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70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<sst xmlns="http://schemas.openxmlformats.org/spreadsheetml/2006/main" count="55" uniqueCount="36">
  <si>
    <t>material</t>
  </si>
  <si>
    <t>not currently included in the model</t>
  </si>
  <si>
    <t>process</t>
  </si>
  <si>
    <t>Graphite</t>
  </si>
  <si>
    <t>Carbon black</t>
  </si>
  <si>
    <t>PVDF</t>
  </si>
  <si>
    <t>Binder: anode</t>
  </si>
  <si>
    <t xml:space="preserve">Copper </t>
  </si>
  <si>
    <t>Aluminium</t>
  </si>
  <si>
    <t xml:space="preserve">Steel </t>
  </si>
  <si>
    <t>Electrolyte: LiPF6</t>
  </si>
  <si>
    <t>Electrolyte: Solvents</t>
  </si>
  <si>
    <t>Plastics</t>
  </si>
  <si>
    <t xml:space="preserve">Li </t>
  </si>
  <si>
    <t>Co</t>
  </si>
  <si>
    <t>Ni</t>
  </si>
  <si>
    <t>Mn</t>
  </si>
  <si>
    <t>shredding</t>
  </si>
  <si>
    <t>landfill</t>
  </si>
  <si>
    <t>burned</t>
  </si>
  <si>
    <t>gas treatment</t>
  </si>
  <si>
    <t>N/A</t>
  </si>
  <si>
    <t>calcination</t>
  </si>
  <si>
    <t>discarded</t>
  </si>
  <si>
    <t>physical seperation</t>
  </si>
  <si>
    <t>leaching</t>
  </si>
  <si>
    <t>solvent extraction</t>
  </si>
  <si>
    <t>precipitation</t>
  </si>
  <si>
    <t xml:space="preserve">Overall recovery rate </t>
  </si>
  <si>
    <t>mr_lithium</t>
  </si>
  <si>
    <t>mr_nickel</t>
  </si>
  <si>
    <t>mr_cobalt</t>
  </si>
  <si>
    <t>mr_manganese</t>
  </si>
  <si>
    <t>mr_aluminum</t>
  </si>
  <si>
    <t>mr_copper</t>
  </si>
  <si>
    <t>mr_graphite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</si>
</sst>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</numFmts>
  <fonts count="24">
    <font>
      <sz val="11"/>
      <color theme="1"/>
      <name val="Aptos Narrow"/>
      <charset val="134"/>
      <scheme val="minor"/>
    </font>
    <font>
      <sz val="10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0"/>
      <name val="Arial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3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9" fontId="0" fillId="0" borderId="0" xfId="0" applyNumberFormat="1"/>
    <xf numFmtId="0" fontId="0" fillId="0" borderId="0" xfId="0" applyAlignment="1">
      <alignment wrapText="1"/>
    </xf>
    <xf numFmtId="0" fontId="1" fillId="0" borderId="4" xfId="0" applyFont="1" applyBorder="1"/>
    <xf numFmtId="9" fontId="1" fillId="0" borderId="0" xfId="0" applyNumberFormat="1" applyFont="1" applyBorder="1"/>
    <xf numFmtId="0" fontId="2" fillId="2" borderId="0" xfId="0" applyFont="1" applyFill="1"/>
    <xf numFmtId="0" fontId="0" fillId="2" borderId="0" xfId="0" applyFill="1"/>
    <xf numFmtId="0" fontId="3" fillId="2" borderId="0" xfId="49" applyFill="1"/>
    <xf numFmtId="0" fontId="0" fillId="3" borderId="0" xfId="0" applyFill="1"/>
    <xf numFmtId="0" fontId="1" fillId="4" borderId="3" xfId="0" applyFont="1" applyFill="1" applyBorder="1"/>
    <xf numFmtId="0" fontId="0" fillId="4" borderId="0" xfId="0" applyFill="1"/>
    <xf numFmtId="0" fontId="1" fillId="4" borderId="4" xfId="0" applyFont="1" applyFill="1" applyBorder="1"/>
    <xf numFmtId="9" fontId="1" fillId="4" borderId="0" xfId="0" applyNumberFormat="1" applyFont="1" applyFill="1" applyBorder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0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"/>
  <sheetViews>
    <sheetView tabSelected="1" topLeftCell="A6" workbookViewId="0">
      <selection activeCell="A17" sqref="A17"/>
    </sheetView>
  </sheetViews>
  <sheetFormatPr defaultColWidth="9" defaultRowHeight="14"/>
  <cols>
    <col min="1" max="1" width="11.7272727272727" customWidth="1"/>
    <col min="3" max="3" width="12.8181818181818" customWidth="1"/>
    <col min="5" max="5" width="15.1818181818182" customWidth="1"/>
    <col min="6" max="6" width="7.90909090909091" customWidth="1"/>
    <col min="7" max="7" width="9.72727272727273" customWidth="1"/>
    <col min="8" max="8" width="7" customWidth="1"/>
    <col min="9" max="9" width="39.9090909090909" customWidth="1"/>
    <col min="10" max="10" width="22" customWidth="1"/>
    <col min="11" max="11" width="8.81818181818182" customWidth="1"/>
  </cols>
  <sheetData>
    <row r="1" spans="2:9">
      <c r="B1" t="s">
        <v>0</v>
      </c>
      <c r="I1" s="11" t="s">
        <v>1</v>
      </c>
    </row>
    <row r="2" spans="1:15">
      <c r="A2" t="s">
        <v>2</v>
      </c>
      <c r="B2" s="1" t="s">
        <v>3</v>
      </c>
      <c r="C2" s="2" t="s">
        <v>4</v>
      </c>
      <c r="D2" s="3" t="s">
        <v>5</v>
      </c>
      <c r="E2" s="3" t="s">
        <v>6</v>
      </c>
      <c r="F2" s="3" t="s">
        <v>7</v>
      </c>
      <c r="G2" s="1" t="s">
        <v>8</v>
      </c>
      <c r="H2" s="3" t="s">
        <v>9</v>
      </c>
      <c r="I2" s="3" t="s">
        <v>10</v>
      </c>
      <c r="J2" s="12" t="s">
        <v>11</v>
      </c>
      <c r="K2" s="12" t="s">
        <v>12</v>
      </c>
      <c r="L2" s="3" t="s">
        <v>13</v>
      </c>
      <c r="M2" s="3" t="s">
        <v>14</v>
      </c>
      <c r="N2" s="3" t="s">
        <v>15</v>
      </c>
      <c r="O2" s="3" t="s">
        <v>16</v>
      </c>
    </row>
    <row r="3" spans="1:15">
      <c r="A3" t="s">
        <v>17</v>
      </c>
      <c r="B3" s="4">
        <v>1</v>
      </c>
      <c r="C3" t="s">
        <v>18</v>
      </c>
      <c r="D3" t="s">
        <v>18</v>
      </c>
      <c r="E3" t="s">
        <v>18</v>
      </c>
      <c r="F3" s="4">
        <v>1</v>
      </c>
      <c r="G3" s="4">
        <v>1</v>
      </c>
      <c r="H3" s="4">
        <v>1</v>
      </c>
      <c r="I3" t="s">
        <v>19</v>
      </c>
      <c r="J3" s="13" t="s">
        <v>19</v>
      </c>
      <c r="K3" s="13" t="s">
        <v>19</v>
      </c>
      <c r="L3" s="4">
        <v>1</v>
      </c>
      <c r="M3" s="4">
        <v>1</v>
      </c>
      <c r="N3" s="4">
        <v>1</v>
      </c>
      <c r="O3" s="4">
        <v>1</v>
      </c>
    </row>
    <row r="4" ht="28" spans="1:15">
      <c r="A4" s="5" t="s">
        <v>20</v>
      </c>
      <c r="B4" t="s">
        <v>21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s="6" t="s">
        <v>21</v>
      </c>
      <c r="I4" s="6" t="s">
        <v>21</v>
      </c>
      <c r="J4" s="14" t="s">
        <v>21</v>
      </c>
      <c r="K4" s="14" t="s">
        <v>21</v>
      </c>
      <c r="L4" s="6" t="s">
        <v>21</v>
      </c>
      <c r="M4" s="6" t="s">
        <v>21</v>
      </c>
      <c r="N4" s="6" t="s">
        <v>21</v>
      </c>
      <c r="O4" s="6" t="s">
        <v>21</v>
      </c>
    </row>
    <row r="5" spans="1:15">
      <c r="A5" t="s">
        <v>22</v>
      </c>
      <c r="B5" s="4">
        <v>1</v>
      </c>
      <c r="C5" t="s">
        <v>23</v>
      </c>
      <c r="D5" t="s">
        <v>23</v>
      </c>
      <c r="E5" t="s">
        <v>23</v>
      </c>
      <c r="F5" s="4">
        <v>1</v>
      </c>
      <c r="G5" s="4">
        <v>1</v>
      </c>
      <c r="H5" s="7">
        <v>1</v>
      </c>
      <c r="I5" s="7">
        <v>0</v>
      </c>
      <c r="J5" s="15">
        <v>0</v>
      </c>
      <c r="K5" s="15">
        <v>0</v>
      </c>
      <c r="L5" s="7">
        <v>1</v>
      </c>
      <c r="M5" s="7">
        <v>1</v>
      </c>
      <c r="N5" s="7">
        <v>1</v>
      </c>
      <c r="O5" s="7">
        <v>1</v>
      </c>
    </row>
    <row r="6" ht="28" spans="1:15">
      <c r="A6" s="5" t="s">
        <v>24</v>
      </c>
      <c r="B6" s="4">
        <v>0.9</v>
      </c>
      <c r="C6" s="4">
        <v>0</v>
      </c>
      <c r="D6" s="4">
        <v>0</v>
      </c>
      <c r="E6" s="4">
        <v>0</v>
      </c>
      <c r="F6" s="4">
        <v>0.9</v>
      </c>
      <c r="G6" s="4">
        <v>0.9</v>
      </c>
      <c r="H6" s="4">
        <v>0.9</v>
      </c>
      <c r="I6" s="7">
        <v>0</v>
      </c>
      <c r="J6" s="15">
        <v>0</v>
      </c>
      <c r="K6" s="15">
        <v>0</v>
      </c>
      <c r="L6" s="7">
        <v>1</v>
      </c>
      <c r="M6" s="4">
        <v>1</v>
      </c>
      <c r="N6" s="7">
        <v>1</v>
      </c>
      <c r="O6" s="7">
        <v>1</v>
      </c>
    </row>
    <row r="7" spans="1:15">
      <c r="A7" t="s">
        <v>25</v>
      </c>
      <c r="B7" s="4">
        <v>0.9</v>
      </c>
      <c r="C7" s="4">
        <v>0</v>
      </c>
      <c r="D7" s="4">
        <v>0</v>
      </c>
      <c r="E7" s="4">
        <v>0</v>
      </c>
      <c r="F7" s="4">
        <v>0.9</v>
      </c>
      <c r="G7" s="4">
        <v>0.9</v>
      </c>
      <c r="H7" s="4">
        <v>0.9</v>
      </c>
      <c r="I7" s="7">
        <v>0</v>
      </c>
      <c r="J7" s="15">
        <v>0</v>
      </c>
      <c r="K7" s="15">
        <v>0</v>
      </c>
      <c r="L7" s="7">
        <v>1</v>
      </c>
      <c r="M7" s="4">
        <v>1</v>
      </c>
      <c r="N7" s="7">
        <v>1</v>
      </c>
      <c r="O7" s="7">
        <v>1</v>
      </c>
    </row>
    <row r="8" ht="28" spans="1:15">
      <c r="A8" s="5" t="s">
        <v>26</v>
      </c>
      <c r="B8" s="4">
        <v>0.9</v>
      </c>
      <c r="C8" s="4">
        <v>0</v>
      </c>
      <c r="D8" s="4">
        <v>0</v>
      </c>
      <c r="E8" s="4">
        <v>0</v>
      </c>
      <c r="F8" s="4">
        <v>0.9</v>
      </c>
      <c r="G8" s="4">
        <v>0.9</v>
      </c>
      <c r="H8" s="4">
        <v>0.9</v>
      </c>
      <c r="I8" s="7">
        <v>0</v>
      </c>
      <c r="J8" s="15">
        <v>0</v>
      </c>
      <c r="K8" s="15">
        <v>0</v>
      </c>
      <c r="L8" s="7">
        <v>1</v>
      </c>
      <c r="M8" s="4">
        <v>1</v>
      </c>
      <c r="N8" s="7">
        <v>1</v>
      </c>
      <c r="O8" s="7">
        <v>1</v>
      </c>
    </row>
    <row r="9" ht="28" spans="1:15">
      <c r="A9" s="5" t="s">
        <v>27</v>
      </c>
      <c r="B9" s="4">
        <v>0.9</v>
      </c>
      <c r="C9" s="4">
        <v>0</v>
      </c>
      <c r="D9" s="4">
        <v>0</v>
      </c>
      <c r="E9" s="4">
        <v>0</v>
      </c>
      <c r="F9" s="4">
        <v>0.9</v>
      </c>
      <c r="G9" s="4">
        <v>0.9</v>
      </c>
      <c r="H9" s="4">
        <v>0.9</v>
      </c>
      <c r="I9" s="7">
        <v>0</v>
      </c>
      <c r="J9" s="15">
        <v>0</v>
      </c>
      <c r="K9" s="15">
        <v>0</v>
      </c>
      <c r="L9" s="4">
        <v>0.9</v>
      </c>
      <c r="M9" s="4">
        <v>0.98</v>
      </c>
      <c r="N9" s="4">
        <v>0.98</v>
      </c>
      <c r="O9" s="4">
        <v>0.98</v>
      </c>
    </row>
    <row r="10" spans="4:4">
      <c r="D10" s="4"/>
    </row>
    <row r="12" spans="2:15">
      <c r="B12" t="str">
        <f>B2</f>
        <v>Graphite</v>
      </c>
      <c r="C12" t="str">
        <f t="shared" ref="C12:O12" si="0">C2</f>
        <v>Carbon black</v>
      </c>
      <c r="D12" t="str">
        <f t="shared" si="0"/>
        <v>PVDF</v>
      </c>
      <c r="E12" t="str">
        <f t="shared" si="0"/>
        <v>Binder: anode</v>
      </c>
      <c r="F12" t="str">
        <f t="shared" si="0"/>
        <v>Copper </v>
      </c>
      <c r="G12" t="str">
        <f t="shared" si="0"/>
        <v>Aluminium</v>
      </c>
      <c r="H12" t="str">
        <f t="shared" si="0"/>
        <v>Steel </v>
      </c>
      <c r="I12" t="str">
        <f t="shared" si="0"/>
        <v>Electrolyte: LiPF6</v>
      </c>
      <c r="J12" t="str">
        <f t="shared" si="0"/>
        <v>Electrolyte: Solvents</v>
      </c>
      <c r="K12" t="str">
        <f t="shared" si="0"/>
        <v>Plastics</v>
      </c>
      <c r="L12" t="str">
        <f t="shared" si="0"/>
        <v>Li </v>
      </c>
      <c r="M12" t="str">
        <f t="shared" si="0"/>
        <v>Co</v>
      </c>
      <c r="N12" t="str">
        <f t="shared" si="0"/>
        <v>Ni</v>
      </c>
      <c r="O12" t="str">
        <f t="shared" si="0"/>
        <v>Mn</v>
      </c>
    </row>
    <row r="13" spans="2:15">
      <c r="B13">
        <f>B3*B5*B6*B7*B8*B9</f>
        <v>0.6561</v>
      </c>
      <c r="C13">
        <v>0</v>
      </c>
      <c r="D13">
        <v>0</v>
      </c>
      <c r="E13">
        <v>0</v>
      </c>
      <c r="F13">
        <f>F3*F5*F6*F7*F8*F9</f>
        <v>0.6561</v>
      </c>
      <c r="G13">
        <f t="shared" ref="G13:L13" si="1">G3*G5*G6*G7*G8*G9</f>
        <v>0.6561</v>
      </c>
      <c r="H13">
        <f t="shared" si="1"/>
        <v>0.6561</v>
      </c>
      <c r="I13">
        <v>0</v>
      </c>
      <c r="J13">
        <v>0</v>
      </c>
      <c r="K13">
        <v>0</v>
      </c>
      <c r="L13">
        <f t="shared" si="1"/>
        <v>0.9</v>
      </c>
      <c r="M13">
        <f>M3*M5*M6*M7*M8*M9</f>
        <v>0.98</v>
      </c>
      <c r="N13">
        <f>N3*N5*N6*N7*N8*N9</f>
        <v>0.98</v>
      </c>
      <c r="O13">
        <f>O3*O5*O6*O7*O8*O9</f>
        <v>0.98</v>
      </c>
    </row>
    <row r="17" spans="1:8">
      <c r="A17" s="8" t="s">
        <v>28</v>
      </c>
      <c r="B17" s="9"/>
      <c r="C17" s="9"/>
      <c r="D17" s="9"/>
      <c r="E17" s="9"/>
      <c r="F17" s="9"/>
      <c r="G17" s="9"/>
      <c r="H17" s="9"/>
    </row>
    <row r="18" spans="1:8">
      <c r="A18" s="9"/>
      <c r="B18" s="10" t="s">
        <v>29</v>
      </c>
      <c r="C18" s="10" t="s">
        <v>30</v>
      </c>
      <c r="D18" s="10" t="s">
        <v>31</v>
      </c>
      <c r="E18" s="10" t="s">
        <v>32</v>
      </c>
      <c r="F18" s="10" t="s">
        <v>33</v>
      </c>
      <c r="G18" s="10" t="s">
        <v>34</v>
      </c>
      <c r="H18" s="10" t="s">
        <v>35</v>
      </c>
    </row>
    <row r="19" spans="1:8">
      <c r="A19" s="9"/>
      <c r="B19" s="9">
        <f>L13</f>
        <v>0.9</v>
      </c>
      <c r="C19" s="9">
        <f>N13</f>
        <v>0.98</v>
      </c>
      <c r="D19" s="9">
        <f>M13</f>
        <v>0.98</v>
      </c>
      <c r="E19" s="9">
        <f>O13</f>
        <v>0.98</v>
      </c>
      <c r="F19" s="9">
        <f>G13</f>
        <v>0.6561</v>
      </c>
      <c r="G19" s="9">
        <f>F13</f>
        <v>0.6561</v>
      </c>
      <c r="H19" s="9">
        <f>B13</f>
        <v>0.6561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Armita Mohammadi</dc:creator>
  <cp:lastModifiedBy>xli9</cp:lastModifiedBy>
  <dcterms:created xsi:type="dcterms:W3CDTF">2025-03-10T02:12:00Z</dcterms:created>
  <dcterms:modified xsi:type="dcterms:W3CDTF">2025-03-28T14:19:03Z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46A2DD9715B945E68BF9E529108F4B2B_12</vt:lpwstr>
  </property>
  <property fmtid="{D5CDD505-2E9C-101B-9397-08002B2CF9AE}" pid="3" name="KSOProductBuildVer">
    <vt:lpwstr>1033-12.2.0.20326</vt:lpwstr>
  </property>
</Properties>
</file>