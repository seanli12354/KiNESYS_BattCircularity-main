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707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<sst xmlns="http://schemas.openxmlformats.org/spreadsheetml/2006/main" count="66" uniqueCount="51">
  <si>
    <t>Cathode</t>
  </si>
  <si>
    <t>Pack</t>
  </si>
  <si>
    <t>Cell</t>
  </si>
  <si>
    <t>Electrolyte</t>
  </si>
  <si>
    <t>Anode</t>
  </si>
  <si>
    <t>Separation Technology</t>
  </si>
  <si>
    <t>LFP</t>
  </si>
  <si>
    <t>LCO</t>
  </si>
  <si>
    <t xml:space="preserve">NMC </t>
  </si>
  <si>
    <t>Process</t>
  </si>
  <si>
    <t>Steel</t>
  </si>
  <si>
    <t>Plastic</t>
  </si>
  <si>
    <t>Al</t>
  </si>
  <si>
    <t>Cu</t>
  </si>
  <si>
    <t>Solvent</t>
  </si>
  <si>
    <t>Salt</t>
  </si>
  <si>
    <t>G</t>
  </si>
  <si>
    <t>Co</t>
  </si>
  <si>
    <t>Ni</t>
  </si>
  <si>
    <t>Mn</t>
  </si>
  <si>
    <t>Fe</t>
  </si>
  <si>
    <t>P</t>
  </si>
  <si>
    <t>Heat</t>
  </si>
  <si>
    <t>N/A</t>
  </si>
  <si>
    <t>Perforation</t>
  </si>
  <si>
    <t>Supercritical/Flash</t>
  </si>
  <si>
    <t>Ultrasonication</t>
  </si>
  <si>
    <t>Shredding</t>
  </si>
  <si>
    <t>Ultrasound</t>
  </si>
  <si>
    <t>Density Separation</t>
  </si>
  <si>
    <t>Deagglomeration</t>
  </si>
  <si>
    <t>Froth Flotation</t>
  </si>
  <si>
    <t>Cryogenic</t>
  </si>
  <si>
    <t>Relithiation</t>
  </si>
  <si>
    <t>EverBatt</t>
  </si>
  <si>
    <t xml:space="preserve">Overall recovery rate </t>
  </si>
  <si>
    <t>mr_lithium</t>
  </si>
  <si>
    <t>mr_nickel</t>
  </si>
  <si>
    <t>mr_cobalt</t>
  </si>
  <si>
    <t>mr_manganese</t>
  </si>
  <si>
    <t>mr_aluminum</t>
  </si>
  <si>
    <t>mr_copper</t>
  </si>
  <si>
    <t>mr_graphite</t>
  </si>
  <si>
    <t>PVDF</t>
  </si>
  <si>
    <t>NMC</t>
  </si>
  <si>
    <t>solvent</t>
  </si>
  <si>
    <t xml:space="preserve">1. Direct recycling is employed when the raw value of the materials extracted is not worth the destructive process of recycling. </t>
  </si>
  <si>
    <t xml:space="preserve">2. Direct recycling preserves the cathode's compositonal and structural value. </t>
  </si>
  <si>
    <t>Module</t>
  </si>
  <si>
    <t xml:space="preserve">3. Direct recycling likely preserves the same recovery rate at other mechanical steps. </t>
  </si>
  <si>
    <t>Capacity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</si>
</sst>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3" formatCode="_-* #,##0.00_-;\-* #,##0.00_-;_-* &quot;-&quot;??_-;_-@_-"/>
    <numFmt numFmtId="176" formatCode="_-&quot;$&quot;* #,##0.00_-;\-&quot;$&quot;* #,##0.00_-;_-&quot;$&quot;* \-??_-;_-@_-"/>
    <numFmt numFmtId="177" formatCode="_-&quot;$&quot;* #,##0_-;\-&quot;$&quot;* #,##0_-;_-&quot;$&quot;* &quot;-&quot;_-;_-@_-"/>
  </numFmts>
  <fonts count="23">
    <font>
      <sz val="11"/>
      <color theme="1"/>
      <name val="Aptos Narrow"/>
      <charset val="134"/>
      <scheme val="minor"/>
    </font>
    <font>
      <b/>
      <sz val="11"/>
      <color theme="1"/>
      <name val="Aptos Narrow"/>
      <charset val="134"/>
      <scheme val="minor"/>
    </font>
    <font>
      <sz val="10"/>
      <name val="Arial"/>
      <charset val="134"/>
    </font>
    <font>
      <sz val="11"/>
      <color theme="1"/>
      <name val="Aptos Narrow"/>
      <charset val="134"/>
      <scheme val="minor"/>
    </font>
    <font>
      <u/>
      <sz val="11"/>
      <color rgb="FF0000FF"/>
      <name val="Aptos Narrow"/>
      <charset val="0"/>
      <scheme val="minor"/>
    </font>
    <font>
      <u/>
      <sz val="11"/>
      <color rgb="FF800080"/>
      <name val="Aptos Narrow"/>
      <charset val="0"/>
      <scheme val="minor"/>
    </font>
    <font>
      <sz val="11"/>
      <color rgb="FFFF0000"/>
      <name val="Aptos Narrow"/>
      <charset val="0"/>
      <scheme val="minor"/>
    </font>
    <font>
      <b/>
      <sz val="18"/>
      <color theme="3"/>
      <name val="Aptos Narrow"/>
      <charset val="134"/>
      <scheme val="minor"/>
    </font>
    <font>
      <i/>
      <sz val="11"/>
      <color rgb="FF7F7F7F"/>
      <name val="Aptos Narrow"/>
      <charset val="0"/>
      <scheme val="minor"/>
    </font>
    <font>
      <b/>
      <sz val="15"/>
      <color theme="3"/>
      <name val="Aptos Narrow"/>
      <charset val="134"/>
      <scheme val="minor"/>
    </font>
    <font>
      <b/>
      <sz val="13"/>
      <color theme="3"/>
      <name val="Aptos Narrow"/>
      <charset val="134"/>
      <scheme val="minor"/>
    </font>
    <font>
      <b/>
      <sz val="11"/>
      <color theme="3"/>
      <name val="Aptos Narrow"/>
      <charset val="134"/>
      <scheme val="minor"/>
    </font>
    <font>
      <sz val="11"/>
      <color rgb="FF3F3F76"/>
      <name val="Aptos Narrow"/>
      <charset val="0"/>
      <scheme val="minor"/>
    </font>
    <font>
      <b/>
      <sz val="11"/>
      <color rgb="FF3F3F3F"/>
      <name val="Aptos Narrow"/>
      <charset val="0"/>
      <scheme val="minor"/>
    </font>
    <font>
      <b/>
      <sz val="11"/>
      <color rgb="FFFA7D00"/>
      <name val="Aptos Narrow"/>
      <charset val="0"/>
      <scheme val="minor"/>
    </font>
    <font>
      <b/>
      <sz val="11"/>
      <color rgb="FFFFFFFF"/>
      <name val="Aptos Narrow"/>
      <charset val="0"/>
      <scheme val="minor"/>
    </font>
    <font>
      <sz val="11"/>
      <color rgb="FFFA7D00"/>
      <name val="Aptos Narrow"/>
      <charset val="0"/>
      <scheme val="minor"/>
    </font>
    <font>
      <b/>
      <sz val="11"/>
      <color theme="1"/>
      <name val="Aptos Narrow"/>
      <charset val="0"/>
      <scheme val="minor"/>
    </font>
    <font>
      <sz val="11"/>
      <color rgb="FF006100"/>
      <name val="Aptos Narrow"/>
      <charset val="0"/>
      <scheme val="minor"/>
    </font>
    <font>
      <sz val="11"/>
      <color rgb="FF9C0006"/>
      <name val="Aptos Narrow"/>
      <charset val="0"/>
      <scheme val="minor"/>
    </font>
    <font>
      <sz val="11"/>
      <color rgb="FF9C6500"/>
      <name val="Aptos Narrow"/>
      <charset val="0"/>
      <scheme val="minor"/>
    </font>
    <font>
      <sz val="11"/>
      <color theme="0"/>
      <name val="Aptos Narrow"/>
      <charset val="0"/>
      <scheme val="minor"/>
    </font>
    <font>
      <sz val="11"/>
      <color theme="1"/>
      <name val="Aptos Narrow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" fillId="0" borderId="0"/>
  </cellStyleXfs>
  <cellXfs count="5">
    <xf numFmtId="0" fontId="0" fillId="0" borderId="0" xfId="0"/>
    <xf numFmtId="0" fontId="1" fillId="2" borderId="0" xfId="0" applyFont="1" applyFill="1"/>
    <xf numFmtId="0" fontId="0" fillId="3" borderId="0" xfId="0" applyFill="1"/>
    <xf numFmtId="0" fontId="2" fillId="2" borderId="0" xfId="49" applyFill="1"/>
    <xf numFmtId="0" fontId="1" fillId="3" borderId="0" xfId="0" applyFont="1" applyFill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10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Z33"/>
  <sheetViews>
    <sheetView tabSelected="1" zoomScale="68" zoomScaleNormal="68" workbookViewId="0">
      <selection activeCell="O26" sqref="O26"/>
    </sheetView>
  </sheetViews>
  <sheetFormatPr defaultColWidth="9" defaultRowHeight="14"/>
  <cols>
    <col min="2" max="2" width="24.1818181818182" customWidth="1"/>
    <col min="3" max="3" width="6.54545454545455" customWidth="1"/>
    <col min="5" max="5" width="14.7272727272727" customWidth="1"/>
    <col min="6" max="6" width="9.81818181818182" customWidth="1"/>
    <col min="7" max="7" width="21.9090909090909" customWidth="1"/>
    <col min="8" max="8" width="9.54545454545454" customWidth="1"/>
  </cols>
  <sheetData>
    <row r="2" spans="2:15">
      <c r="B2" t="s">
        <v>0</v>
      </c>
      <c r="H2" t="s">
        <v>1</v>
      </c>
      <c r="J2" t="s">
        <v>2</v>
      </c>
      <c r="L2" t="s">
        <v>3</v>
      </c>
      <c r="N2" t="s">
        <v>4</v>
      </c>
      <c r="O2" t="s">
        <v>0</v>
      </c>
    </row>
    <row r="3" spans="2:19">
      <c r="B3" t="s">
        <v>5</v>
      </c>
      <c r="C3" t="s">
        <v>6</v>
      </c>
      <c r="D3" t="s">
        <v>7</v>
      </c>
      <c r="E3" t="s">
        <v>8</v>
      </c>
      <c r="G3" t="s">
        <v>9</v>
      </c>
      <c r="H3" t="s">
        <v>10</v>
      </c>
      <c r="I3" t="s">
        <v>11</v>
      </c>
      <c r="J3" t="s">
        <v>12</v>
      </c>
      <c r="K3" t="s">
        <v>13</v>
      </c>
      <c r="L3" t="s">
        <v>14</v>
      </c>
      <c r="M3" t="s">
        <v>15</v>
      </c>
      <c r="N3" t="s">
        <v>16</v>
      </c>
      <c r="O3" t="s">
        <v>17</v>
      </c>
      <c r="P3" t="s">
        <v>18</v>
      </c>
      <c r="Q3" t="s">
        <v>19</v>
      </c>
      <c r="R3" t="s">
        <v>20</v>
      </c>
      <c r="S3" t="s">
        <v>21</v>
      </c>
    </row>
    <row r="4" spans="2:7">
      <c r="B4" t="s">
        <v>22</v>
      </c>
      <c r="C4" t="s">
        <v>23</v>
      </c>
      <c r="D4" t="s">
        <v>23</v>
      </c>
      <c r="E4" t="s">
        <v>23</v>
      </c>
      <c r="G4" t="s">
        <v>24</v>
      </c>
    </row>
    <row r="5" spans="2:13">
      <c r="B5" t="s">
        <v>14</v>
      </c>
      <c r="C5" t="s">
        <v>23</v>
      </c>
      <c r="D5" t="s">
        <v>23</v>
      </c>
      <c r="E5">
        <v>99.86</v>
      </c>
      <c r="G5" t="s">
        <v>25</v>
      </c>
      <c r="L5">
        <v>50</v>
      </c>
      <c r="M5">
        <v>50</v>
      </c>
    </row>
    <row r="6" spans="2:7">
      <c r="B6" t="s">
        <v>26</v>
      </c>
      <c r="C6" t="s">
        <v>23</v>
      </c>
      <c r="D6" t="s">
        <v>23</v>
      </c>
      <c r="E6">
        <v>93</v>
      </c>
      <c r="G6" t="s">
        <v>27</v>
      </c>
    </row>
    <row r="7" spans="2:11">
      <c r="B7" t="s">
        <v>28</v>
      </c>
      <c r="C7" t="s">
        <v>23</v>
      </c>
      <c r="D7">
        <v>97</v>
      </c>
      <c r="E7" t="s">
        <v>23</v>
      </c>
      <c r="G7" t="s">
        <v>29</v>
      </c>
      <c r="H7">
        <v>90</v>
      </c>
      <c r="I7">
        <v>50</v>
      </c>
      <c r="J7">
        <v>90</v>
      </c>
      <c r="K7">
        <v>90</v>
      </c>
    </row>
    <row r="8" spans="2:14">
      <c r="B8" t="s">
        <v>30</v>
      </c>
      <c r="C8">
        <v>94.15</v>
      </c>
      <c r="D8">
        <v>94.15</v>
      </c>
      <c r="E8">
        <v>94.15</v>
      </c>
      <c r="G8" t="s">
        <v>31</v>
      </c>
      <c r="N8">
        <v>90</v>
      </c>
    </row>
    <row r="9" spans="2:19">
      <c r="B9" t="s">
        <v>32</v>
      </c>
      <c r="C9" t="s">
        <v>23</v>
      </c>
      <c r="D9">
        <v>89.83</v>
      </c>
      <c r="E9">
        <v>84</v>
      </c>
      <c r="G9" t="s">
        <v>33</v>
      </c>
      <c r="O9">
        <v>90</v>
      </c>
      <c r="P9">
        <v>90</v>
      </c>
      <c r="Q9">
        <v>90</v>
      </c>
      <c r="R9">
        <v>90</v>
      </c>
      <c r="S9">
        <v>90</v>
      </c>
    </row>
    <row r="10" spans="2:5">
      <c r="B10" t="s">
        <v>34</v>
      </c>
      <c r="C10">
        <v>90</v>
      </c>
      <c r="D10">
        <v>90</v>
      </c>
      <c r="E10">
        <v>90</v>
      </c>
    </row>
    <row r="17" spans="7:14">
      <c r="G17" s="1" t="s">
        <v>35</v>
      </c>
      <c r="H17" s="2"/>
      <c r="I17" s="2"/>
      <c r="J17" s="2"/>
      <c r="K17" s="2"/>
      <c r="L17" s="2"/>
      <c r="M17" s="2"/>
      <c r="N17" s="2"/>
    </row>
    <row r="18" spans="7:14">
      <c r="G18" s="2"/>
      <c r="H18" s="3" t="s">
        <v>36</v>
      </c>
      <c r="I18" s="3" t="s">
        <v>37</v>
      </c>
      <c r="J18" s="3" t="s">
        <v>38</v>
      </c>
      <c r="K18" s="3" t="s">
        <v>39</v>
      </c>
      <c r="L18" s="3" t="s">
        <v>40</v>
      </c>
      <c r="M18" s="3" t="s">
        <v>41</v>
      </c>
      <c r="N18" s="3" t="s">
        <v>42</v>
      </c>
    </row>
    <row r="19" spans="7:23">
      <c r="G19" s="2"/>
      <c r="H19" s="4">
        <v>0</v>
      </c>
      <c r="I19" s="2">
        <f>P9*E10/10000</f>
        <v>0.81</v>
      </c>
      <c r="J19" s="2">
        <f>O9*D10/10000</f>
        <v>0.81</v>
      </c>
      <c r="K19" s="2">
        <f>Q9*E10/10000</f>
        <v>0.81</v>
      </c>
      <c r="L19" s="2">
        <f>J7*C10/10000</f>
        <v>0.81</v>
      </c>
      <c r="M19" s="2">
        <f>O9*E10/10000</f>
        <v>0.81</v>
      </c>
      <c r="N19" s="2">
        <f>N8*E10/10000</f>
        <v>0.81</v>
      </c>
      <c r="W19" t="s">
        <v>43</v>
      </c>
    </row>
    <row r="20" spans="23:24">
      <c r="W20" t="s">
        <v>7</v>
      </c>
      <c r="X20" t="s">
        <v>44</v>
      </c>
    </row>
    <row r="22" spans="22:24">
      <c r="V22" t="s">
        <v>45</v>
      </c>
      <c r="W22">
        <v>81</v>
      </c>
      <c r="X22">
        <v>69</v>
      </c>
    </row>
    <row r="23" spans="23:23">
      <c r="W23">
        <v>29.4</v>
      </c>
    </row>
    <row r="28" spans="26:26">
      <c r="Z28" t="s">
        <v>46</v>
      </c>
    </row>
    <row r="29" spans="24:26">
      <c r="X29" t="s">
        <v>1</v>
      </c>
      <c r="Z29" t="s">
        <v>47</v>
      </c>
    </row>
    <row r="30" spans="24:26">
      <c r="X30" t="s">
        <v>48</v>
      </c>
      <c r="Z30" t="s">
        <v>49</v>
      </c>
    </row>
    <row r="31" spans="24:24">
      <c r="X31" t="s">
        <v>2</v>
      </c>
    </row>
    <row r="32" spans="24:24">
      <c r="X32" t="s">
        <v>0</v>
      </c>
    </row>
    <row r="33" spans="24:24">
      <c r="X33" t="s">
        <v>50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Yisen Wang</dc:creator>
  <cp:lastModifiedBy>xli9</cp:lastModifiedBy>
  <dcterms:created xsi:type="dcterms:W3CDTF">2025-03-07T21:34:00Z</dcterms:created>
  <dcterms:modified xsi:type="dcterms:W3CDTF">2025-03-28T14:18:54Z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7AA79B2B1DC847659CF1C45CD072A88C_12</vt:lpwstr>
  </property>
  <property fmtid="{D5CDD505-2E9C-101B-9397-08002B2CF9AE}" pid="3" name="KSOProductBuildVer">
    <vt:lpwstr>1033-12.2.0.20326</vt:lpwstr>
  </property>
</Properties>
</file>