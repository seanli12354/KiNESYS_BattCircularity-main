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070"/>
  </bookViews>
  <sheets>
    <sheet name="Xiao's Translation" sheetId="3" r:id="rId1"/>
    <sheet name="Lower Bound Throughout (10840) " sheetId="1" r:id="rId2"/>
    <sheet name="Higher Bound Throughput (16300)" sheetId="2" r:id="rId3"/>
  </sheets>
  <externalReferences>
    <externalReference r:id="rId4"/>
  </externalReferences>
  <definedNames>
    <definedName name="GROWTH">'[1]TechRep-Doc'!#REF!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<sst xmlns="http://schemas.openxmlformats.org/spreadsheetml/2006/main" count="314" uniqueCount="75">
  <si>
    <t>Recycling CAPEX cost breakdown: Middle Bound (M$/ktonne, to align with the unit of TIMES model )</t>
  </si>
  <si>
    <t>Manufacturing CAPEX (M$/ktonne): Middle throughput selected</t>
  </si>
  <si>
    <t>Overall Recovery rate for pyrometallurgical recycling process</t>
  </si>
  <si>
    <t xml:space="preserve">US </t>
  </si>
  <si>
    <t>Korea</t>
  </si>
  <si>
    <t xml:space="preserve">China </t>
  </si>
  <si>
    <t>Other World</t>
  </si>
  <si>
    <t>Energy Density of Battery Cells/ for validation</t>
  </si>
  <si>
    <t xml:space="preserve">Location </t>
  </si>
  <si>
    <t xml:space="preserve">Li </t>
  </si>
  <si>
    <t>Ni</t>
  </si>
  <si>
    <t>Co</t>
  </si>
  <si>
    <t>Mn</t>
  </si>
  <si>
    <t>Aluminium</t>
  </si>
  <si>
    <t xml:space="preserve">Copper </t>
  </si>
  <si>
    <t>Graphite</t>
  </si>
  <si>
    <t>Fe</t>
  </si>
  <si>
    <t>CAPEX/mass ($/tonne/yr)</t>
  </si>
  <si>
    <t>GWh/ktonne</t>
  </si>
  <si>
    <t>Throughput</t>
  </si>
  <si>
    <t>50 GWh/yr</t>
  </si>
  <si>
    <t>30 GWh/yr</t>
  </si>
  <si>
    <t>10 GWh/yr</t>
  </si>
  <si>
    <t>Total material after recovery</t>
  </si>
  <si>
    <t>Pyro</t>
  </si>
  <si>
    <t>Hydro</t>
  </si>
  <si>
    <t>Direct</t>
  </si>
  <si>
    <t>Cathode type</t>
  </si>
  <si>
    <t>Capital investment ($/kg cell)</t>
  </si>
  <si>
    <t>LCO</t>
  </si>
  <si>
    <t>LFP </t>
  </si>
  <si>
    <t xml:space="preserve">LFP </t>
  </si>
  <si>
    <t>LMO </t>
  </si>
  <si>
    <t xml:space="preserve">LMO </t>
  </si>
  <si>
    <t>NCA</t>
  </si>
  <si>
    <t>NMC 111</t>
  </si>
  <si>
    <t>NMC 532</t>
  </si>
  <si>
    <t>NMC 622</t>
  </si>
  <si>
    <t>NMC 811</t>
  </si>
  <si>
    <t>NCAP_ICOM (ktonne/GWh) for new batteries: Tra_EV_Batt*</t>
  </si>
  <si>
    <t>NCAP_ICOM</t>
  </si>
  <si>
    <t>Total amount of commodity (c) required for the construction of new capacity.</t>
  </si>
  <si>
    <t>process</t>
  </si>
  <si>
    <t>m_lithium</t>
  </si>
  <si>
    <t>m_nickel</t>
  </si>
  <si>
    <t>m_cobalt</t>
  </si>
  <si>
    <t>m_manganese</t>
  </si>
  <si>
    <t>m_aluminum</t>
  </si>
  <si>
    <t>m_copper</t>
  </si>
  <si>
    <t>m_graphite</t>
  </si>
  <si>
    <t>Tra_EV_Batt-LFP</t>
  </si>
  <si>
    <t>Tra_EV_Batt-LMO</t>
  </si>
  <si>
    <t>Tra_EV_Batt-NCA</t>
  </si>
  <si>
    <t>Tra_EV_Batt-NMC 111</t>
  </si>
  <si>
    <t>Tra_EV_Batt-NMC532</t>
  </si>
  <si>
    <t>Tra_EV_Batt-NMC 622</t>
  </si>
  <si>
    <t>Tra_EV_Batt-NMC 811</t>
  </si>
  <si>
    <t>Not inluding preprocessing </t>
  </si>
  <si>
    <t>Location </t>
  </si>
  <si>
    <t>US </t>
  </si>
  <si>
    <t>China </t>
  </si>
  <si>
    <t>Fixed capital investment ($)</t>
  </si>
  <si>
    <t>Assuming a througput of 10840 based on avergae from of the lower bound: </t>
  </si>
  <si>
    <t>**Cost varies depending on the plant throughput</t>
  </si>
  <si>
    <t>https://www.sciencedirect.com/science/article/pii/S0956053X21006267</t>
  </si>
  <si>
    <t>Including preprocessing </t>
  </si>
  <si>
    <t>Recycling</t>
  </si>
  <si>
    <t>Preprocessing</t>
  </si>
  <si>
    <t>Total </t>
  </si>
  <si>
    <t>Assuming a througput of 10840 based on avergae from of the higher bound: </t>
  </si>
  <si>
    <t>20000$/tonne</t>
  </si>
  <si>
    <t>$/tonne</t>
  </si>
  <si>
    <t>Assuming a througput of 16300 based on avergae from of the lower bound: </t>
  </si>
  <si>
    <t>million $/ktonne</t>
  </si>
  <si>
    <t>Assuming a througput of 16300 based on avergae from of the higher bound: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</si>
</sst>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&quot;$&quot;#,##0.00"/>
    <numFmt numFmtId="179" formatCode="0.000"/>
  </numFmts>
  <fonts count="38">
    <font>
      <sz val="12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  <font>
      <b/>
      <i/>
      <u/>
      <sz val="16"/>
      <color rgb="FF000000"/>
      <name val="Calibri"/>
      <charset val="134"/>
      <scheme val="minor"/>
    </font>
    <font>
      <b/>
      <sz val="10"/>
      <name val="Arial"/>
      <charset val="134"/>
    </font>
    <font>
      <b/>
      <i/>
      <sz val="10"/>
      <color theme="1"/>
      <name val="Arial"/>
      <charset val="134"/>
    </font>
    <font>
      <b/>
      <i/>
      <sz val="10"/>
      <name val="Calibri"/>
      <charset val="134"/>
      <scheme val="minor"/>
    </font>
    <font>
      <b/>
      <i/>
      <sz val="10"/>
      <color rgb="FF000000"/>
      <name val="Calibri"/>
      <charset val="134"/>
      <scheme val="minor"/>
    </font>
    <font>
      <b/>
      <i/>
      <u/>
      <sz val="16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9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6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2" fillId="0" borderId="9" xfId="0" applyFont="1" applyBorder="1"/>
    <xf numFmtId="0" fontId="0" fillId="0" borderId="9" xfId="0" applyBorder="1"/>
    <xf numFmtId="0" fontId="5" fillId="2" borderId="0" xfId="49" applyFill="1" applyBorder="1"/>
    <xf numFmtId="0" fontId="6" fillId="2" borderId="0" xfId="0" applyFont="1" applyFill="1" applyAlignment="1">
      <alignment horizontal="center"/>
    </xf>
    <xf numFmtId="0" fontId="7" fillId="2" borderId="0" xfId="49" applyFont="1" applyFill="1" applyBorder="1"/>
    <xf numFmtId="0" fontId="8" fillId="2" borderId="0" xfId="0" applyFont="1" applyFill="1" applyBorder="1" applyAlignment="1"/>
    <xf numFmtId="0" fontId="9" fillId="2" borderId="0" xfId="0" applyFont="1" applyFill="1" applyBorder="1" applyAlignment="1"/>
    <xf numFmtId="178" fontId="8" fillId="2" borderId="0" xfId="0" applyNumberFormat="1" applyFont="1" applyFill="1" applyBorder="1" applyAlignment="1"/>
    <xf numFmtId="0" fontId="10" fillId="2" borderId="0" xfId="0" applyFont="1" applyFill="1" applyBorder="1" applyAlignment="1"/>
    <xf numFmtId="0" fontId="1" fillId="2" borderId="0" xfId="0" applyFont="1" applyFill="1" applyBorder="1" applyAlignment="1"/>
    <xf numFmtId="179" fontId="4" fillId="2" borderId="0" xfId="0" applyNumberFormat="1" applyFont="1" applyFill="1" applyBorder="1" applyAlignment="1"/>
    <xf numFmtId="0" fontId="5" fillId="3" borderId="0" xfId="49" applyFill="1" applyBorder="1"/>
    <xf numFmtId="0" fontId="11" fillId="3" borderId="0" xfId="49" applyFont="1" applyFill="1" applyBorder="1" applyAlignment="1">
      <alignment horizontal="center"/>
    </xf>
    <xf numFmtId="0" fontId="5" fillId="3" borderId="0" xfId="49" applyFill="1"/>
    <xf numFmtId="1" fontId="8" fillId="2" borderId="0" xfId="0" applyNumberFormat="1" applyFont="1" applyFill="1" applyBorder="1" applyAlignment="1">
      <alignment horizontal="right"/>
    </xf>
    <xf numFmtId="0" fontId="7" fillId="3" borderId="9" xfId="49" applyFont="1" applyFill="1" applyBorder="1"/>
    <xf numFmtId="0" fontId="5" fillId="2" borderId="0" xfId="49" applyFill="1"/>
    <xf numFmtId="0" fontId="12" fillId="2" borderId="0" xfId="0" applyFont="1" applyFill="1" applyAlignment="1"/>
    <xf numFmtId="0" fontId="13" fillId="2" borderId="0" xfId="0" applyFont="1" applyFill="1" applyAlignment="1"/>
    <xf numFmtId="0" fontId="2" fillId="2" borderId="9" xfId="0" applyFont="1" applyFill="1" applyBorder="1" applyAlignment="1"/>
    <xf numFmtId="178" fontId="2" fillId="2" borderId="9" xfId="0" applyNumberFormat="1" applyFont="1" applyFill="1" applyBorder="1" applyAlignment="1"/>
    <xf numFmtId="0" fontId="12" fillId="2" borderId="9" xfId="0" applyFont="1" applyFill="1" applyBorder="1" applyAlignment="1"/>
    <xf numFmtId="2" fontId="12" fillId="2" borderId="9" xfId="0" applyNumberFormat="1" applyFont="1" applyFill="1" applyBorder="1" applyAlignment="1"/>
    <xf numFmtId="0" fontId="1" fillId="2" borderId="9" xfId="0" applyFont="1" applyFill="1" applyBorder="1" applyAlignment="1"/>
    <xf numFmtId="0" fontId="14" fillId="2" borderId="9" xfId="0" applyFont="1" applyFill="1" applyBorder="1" applyAlignment="1"/>
    <xf numFmtId="178" fontId="1" fillId="2" borderId="9" xfId="0" applyNumberFormat="1" applyFont="1" applyFill="1" applyBorder="1" applyAlignment="1"/>
    <xf numFmtId="0" fontId="15" fillId="2" borderId="9" xfId="0" applyFont="1" applyFill="1" applyBorder="1" applyAlignment="1"/>
    <xf numFmtId="0" fontId="16" fillId="2" borderId="9" xfId="0" applyFont="1" applyFill="1" applyBorder="1" applyAlignment="1"/>
    <xf numFmtId="2" fontId="15" fillId="2" borderId="9" xfId="0" applyNumberFormat="1" applyFont="1" applyFill="1" applyBorder="1" applyAlignment="1"/>
    <xf numFmtId="0" fontId="17" fillId="2" borderId="10" xfId="0" applyFont="1" applyFill="1" applyBorder="1" applyAlignment="1"/>
    <xf numFmtId="0" fontId="7" fillId="2" borderId="0" xfId="49" applyFont="1" applyFill="1"/>
    <xf numFmtId="0" fontId="6" fillId="2" borderId="0" xfId="0" applyFont="1" applyFill="1" applyAlignment="1"/>
    <xf numFmtId="0" fontId="18" fillId="2" borderId="11" xfId="0" applyFont="1" applyFill="1" applyBorder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956053X210062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956053X21006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AU32"/>
  <sheetViews>
    <sheetView tabSelected="1" workbookViewId="0">
      <selection activeCell="S17" sqref="S17"/>
    </sheetView>
  </sheetViews>
  <sheetFormatPr defaultColWidth="8.66666666666667" defaultRowHeight="15.5"/>
  <sheetData>
    <row r="4" ht="21" spans="4:47">
      <c r="D4" s="21"/>
      <c r="E4" s="22" t="s">
        <v>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U4" s="35"/>
      <c r="V4" s="36"/>
      <c r="W4" s="22" t="s">
        <v>1</v>
      </c>
      <c r="X4" s="22"/>
      <c r="Y4" s="22"/>
      <c r="Z4" s="22"/>
      <c r="AA4" s="22"/>
      <c r="AB4" s="22"/>
      <c r="AC4" s="22"/>
      <c r="AD4" s="22"/>
      <c r="AE4" s="22"/>
      <c r="AF4" s="35"/>
      <c r="AG4" s="35"/>
      <c r="AM4" s="22" t="s">
        <v>2</v>
      </c>
      <c r="AN4" s="22"/>
      <c r="AO4" s="22"/>
      <c r="AP4" s="22"/>
      <c r="AQ4" s="22"/>
      <c r="AR4" s="22"/>
      <c r="AS4" s="22"/>
      <c r="AT4" s="50"/>
      <c r="AU4" s="50"/>
    </row>
    <row r="5" spans="4:47">
      <c r="D5" s="23"/>
      <c r="E5" s="24" t="s">
        <v>3</v>
      </c>
      <c r="F5" s="25"/>
      <c r="G5" s="25"/>
      <c r="H5" s="24" t="s">
        <v>4</v>
      </c>
      <c r="I5" s="25"/>
      <c r="J5" s="25"/>
      <c r="K5" s="24" t="s">
        <v>5</v>
      </c>
      <c r="L5" s="25"/>
      <c r="M5" s="25"/>
      <c r="N5" s="28" t="s">
        <v>6</v>
      </c>
      <c r="O5" s="21"/>
      <c r="P5" s="21"/>
      <c r="U5" s="37" t="s">
        <v>7</v>
      </c>
      <c r="V5" s="38" t="s">
        <v>8</v>
      </c>
      <c r="W5" s="38" t="s">
        <v>3</v>
      </c>
      <c r="X5" s="38" t="s">
        <v>4</v>
      </c>
      <c r="Y5" s="38" t="s">
        <v>5</v>
      </c>
      <c r="Z5" s="42" t="s">
        <v>3</v>
      </c>
      <c r="AA5" s="42" t="s">
        <v>4</v>
      </c>
      <c r="AB5" s="42" t="s">
        <v>5</v>
      </c>
      <c r="AC5" s="38" t="s">
        <v>3</v>
      </c>
      <c r="AD5" s="38" t="s">
        <v>4</v>
      </c>
      <c r="AE5" s="38" t="s">
        <v>5</v>
      </c>
      <c r="AF5" s="35"/>
      <c r="AG5" s="28" t="s">
        <v>6</v>
      </c>
      <c r="AM5" s="36"/>
      <c r="AN5" s="36" t="s">
        <v>9</v>
      </c>
      <c r="AO5" s="36" t="s">
        <v>10</v>
      </c>
      <c r="AP5" s="36" t="s">
        <v>11</v>
      </c>
      <c r="AQ5" s="36" t="s">
        <v>12</v>
      </c>
      <c r="AR5" s="51" t="s">
        <v>13</v>
      </c>
      <c r="AS5" s="36" t="s">
        <v>14</v>
      </c>
      <c r="AT5" s="36" t="s">
        <v>15</v>
      </c>
      <c r="AU5" s="36" t="s">
        <v>16</v>
      </c>
    </row>
    <row r="6" spans="4:47">
      <c r="D6" s="23"/>
      <c r="E6" s="26" t="s">
        <v>17</v>
      </c>
      <c r="F6" s="27"/>
      <c r="G6" s="25"/>
      <c r="H6" s="26" t="s">
        <v>17</v>
      </c>
      <c r="I6" s="27"/>
      <c r="J6" s="25"/>
      <c r="K6" s="26" t="s">
        <v>17</v>
      </c>
      <c r="L6" s="27"/>
      <c r="M6" s="25"/>
      <c r="N6" s="26" t="s">
        <v>17</v>
      </c>
      <c r="O6" s="27"/>
      <c r="P6" s="25"/>
      <c r="U6" s="35" t="s">
        <v>18</v>
      </c>
      <c r="V6" s="38" t="s">
        <v>19</v>
      </c>
      <c r="W6" s="39" t="s">
        <v>20</v>
      </c>
      <c r="X6" s="40"/>
      <c r="Y6" s="43"/>
      <c r="Z6" s="44" t="s">
        <v>21</v>
      </c>
      <c r="AA6" s="45"/>
      <c r="AB6" s="46"/>
      <c r="AC6" s="39" t="s">
        <v>22</v>
      </c>
      <c r="AD6" s="40"/>
      <c r="AE6" s="43"/>
      <c r="AF6" s="35"/>
      <c r="AG6" s="35" t="s">
        <v>21</v>
      </c>
      <c r="AM6" s="48" t="s">
        <v>23</v>
      </c>
      <c r="AN6" s="36">
        <v>0</v>
      </c>
      <c r="AO6" s="36">
        <v>0.98</v>
      </c>
      <c r="AP6" s="36">
        <v>0.9</v>
      </c>
      <c r="AQ6" s="36">
        <v>0</v>
      </c>
      <c r="AR6" s="36">
        <v>0</v>
      </c>
      <c r="AS6" s="36">
        <v>0.9</v>
      </c>
      <c r="AT6" s="36">
        <v>0</v>
      </c>
      <c r="AU6" s="36">
        <v>0.9</v>
      </c>
    </row>
    <row r="7" spans="4:47">
      <c r="D7" s="23"/>
      <c r="E7" s="26" t="s">
        <v>24</v>
      </c>
      <c r="F7" s="26" t="s">
        <v>25</v>
      </c>
      <c r="G7" s="26" t="s">
        <v>26</v>
      </c>
      <c r="H7" s="24" t="s">
        <v>24</v>
      </c>
      <c r="I7" s="33" t="s">
        <v>25</v>
      </c>
      <c r="J7" s="24" t="s">
        <v>26</v>
      </c>
      <c r="K7" s="24" t="s">
        <v>24</v>
      </c>
      <c r="L7" s="24" t="s">
        <v>25</v>
      </c>
      <c r="M7" s="24" t="s">
        <v>26</v>
      </c>
      <c r="N7" s="24" t="s">
        <v>24</v>
      </c>
      <c r="O7" s="24" t="s">
        <v>25</v>
      </c>
      <c r="P7" s="24" t="s">
        <v>26</v>
      </c>
      <c r="U7" s="35"/>
      <c r="V7" s="38" t="s">
        <v>27</v>
      </c>
      <c r="W7" s="39" t="s">
        <v>28</v>
      </c>
      <c r="X7" s="40"/>
      <c r="Y7" s="43"/>
      <c r="Z7" s="44" t="s">
        <v>28</v>
      </c>
      <c r="AA7" s="45"/>
      <c r="AB7" s="46"/>
      <c r="AC7" s="39" t="s">
        <v>28</v>
      </c>
      <c r="AD7" s="40"/>
      <c r="AE7" s="43"/>
      <c r="AF7" s="35"/>
      <c r="AG7" s="35" t="s">
        <v>28</v>
      </c>
      <c r="AM7" s="36"/>
      <c r="AN7" s="36">
        <f t="shared" ref="AN7:AS7" si="0">AN6</f>
        <v>0</v>
      </c>
      <c r="AO7" s="36">
        <f t="shared" si="0"/>
        <v>0.98</v>
      </c>
      <c r="AP7" s="36">
        <f t="shared" si="0"/>
        <v>0.9</v>
      </c>
      <c r="AQ7" s="36">
        <f t="shared" si="0"/>
        <v>0</v>
      </c>
      <c r="AR7" s="36">
        <f t="shared" si="0"/>
        <v>0</v>
      </c>
      <c r="AS7" s="36">
        <f t="shared" si="0"/>
        <v>0.9</v>
      </c>
      <c r="AT7" s="36">
        <v>0</v>
      </c>
      <c r="AU7" s="36">
        <f t="shared" ref="AU7:AU12" si="1">AU6</f>
        <v>0.9</v>
      </c>
    </row>
    <row r="8" spans="4:47">
      <c r="D8" s="28" t="s">
        <v>29</v>
      </c>
      <c r="E8" s="29">
        <v>9.30880110537951</v>
      </c>
      <c r="F8" s="29">
        <v>5.20810707442889</v>
      </c>
      <c r="G8" s="29">
        <v>4.48241960206338</v>
      </c>
      <c r="H8" s="29">
        <v>7.447040899042</v>
      </c>
      <c r="I8" s="29">
        <v>4.16648563006632</v>
      </c>
      <c r="J8" s="29">
        <v>3.58593566691231</v>
      </c>
      <c r="K8" s="29">
        <v>5.67836868091378</v>
      </c>
      <c r="L8" s="29">
        <v>3.17694532056006</v>
      </c>
      <c r="M8" s="29">
        <v>2.73427597641857</v>
      </c>
      <c r="N8" s="23">
        <f t="shared" ref="N8:P8" si="2">AVERAGE(E8,H8,K8)</f>
        <v>7.4780702284451</v>
      </c>
      <c r="O8" s="23">
        <f t="shared" si="2"/>
        <v>4.18384600835176</v>
      </c>
      <c r="P8" s="23">
        <f t="shared" si="2"/>
        <v>3.60087708179809</v>
      </c>
      <c r="U8" s="35">
        <v>0.2</v>
      </c>
      <c r="V8" s="38" t="s">
        <v>29</v>
      </c>
      <c r="W8" s="41">
        <v>21.35</v>
      </c>
      <c r="X8" s="41">
        <v>16.59</v>
      </c>
      <c r="Y8" s="41">
        <v>12.62</v>
      </c>
      <c r="Z8" s="47">
        <v>22.07</v>
      </c>
      <c r="AA8" s="47">
        <v>17.16</v>
      </c>
      <c r="AB8" s="47">
        <v>13.05</v>
      </c>
      <c r="AC8" s="41">
        <v>23.72</v>
      </c>
      <c r="AD8" s="41">
        <v>18.45</v>
      </c>
      <c r="AE8" s="41">
        <v>14.04</v>
      </c>
      <c r="AF8" s="35"/>
      <c r="AG8" s="49">
        <f t="shared" ref="AG8:AG15" si="3">AVERAGE(Z8:AB8)</f>
        <v>17.4266666666667</v>
      </c>
      <c r="AM8" s="36"/>
      <c r="AN8" s="36">
        <f t="shared" ref="AN8:AS8" si="4">AN7</f>
        <v>0</v>
      </c>
      <c r="AO8" s="36">
        <f t="shared" si="4"/>
        <v>0.98</v>
      </c>
      <c r="AP8" s="36">
        <f t="shared" si="4"/>
        <v>0.9</v>
      </c>
      <c r="AQ8" s="36">
        <f t="shared" si="4"/>
        <v>0</v>
      </c>
      <c r="AR8" s="36">
        <f t="shared" si="4"/>
        <v>0</v>
      </c>
      <c r="AS8" s="36">
        <f t="shared" si="4"/>
        <v>0.9</v>
      </c>
      <c r="AT8" s="36">
        <v>0</v>
      </c>
      <c r="AU8" s="36">
        <f t="shared" si="1"/>
        <v>0.9</v>
      </c>
    </row>
    <row r="9" spans="4:47">
      <c r="D9" s="28" t="s">
        <v>30</v>
      </c>
      <c r="E9" s="29">
        <v>8.85540744288872</v>
      </c>
      <c r="F9" s="29">
        <v>5.20810707442889</v>
      </c>
      <c r="G9" s="29">
        <v>4.4384597641857</v>
      </c>
      <c r="H9" s="29">
        <v>7.08432593957259</v>
      </c>
      <c r="I9" s="29">
        <v>4.16648563006632</v>
      </c>
      <c r="J9" s="29">
        <v>3.55076779661017</v>
      </c>
      <c r="K9" s="29">
        <v>5.40179852616065</v>
      </c>
      <c r="L9" s="29">
        <v>3.17694532056006</v>
      </c>
      <c r="M9" s="29">
        <v>2.70746042741341</v>
      </c>
      <c r="N9" s="23">
        <f t="shared" ref="N9:P9" si="5">AVERAGE(E9,H9,K9)</f>
        <v>7.11384396954065</v>
      </c>
      <c r="O9" s="23">
        <f t="shared" si="5"/>
        <v>4.18384600835176</v>
      </c>
      <c r="P9" s="23">
        <f t="shared" si="5"/>
        <v>3.56556266273643</v>
      </c>
      <c r="U9" s="35">
        <f t="shared" ref="U9:U15" si="6">U8</f>
        <v>0.2</v>
      </c>
      <c r="V9" s="38" t="s">
        <v>31</v>
      </c>
      <c r="W9" s="41">
        <v>21.47</v>
      </c>
      <c r="X9" s="41">
        <v>16.67</v>
      </c>
      <c r="Y9" s="41">
        <v>12.68</v>
      </c>
      <c r="Z9" s="47">
        <v>22.2</v>
      </c>
      <c r="AA9" s="47">
        <v>17.25</v>
      </c>
      <c r="AB9" s="47">
        <v>13.12</v>
      </c>
      <c r="AC9" s="41">
        <v>23.87</v>
      </c>
      <c r="AD9" s="41">
        <v>18.55</v>
      </c>
      <c r="AE9" s="41">
        <v>14.11</v>
      </c>
      <c r="AF9" s="35"/>
      <c r="AG9" s="49">
        <f t="shared" si="3"/>
        <v>17.5233333333333</v>
      </c>
      <c r="AM9" s="36"/>
      <c r="AN9" s="36">
        <f t="shared" ref="AN9:AS9" si="7">AN8</f>
        <v>0</v>
      </c>
      <c r="AO9" s="36">
        <f t="shared" si="7"/>
        <v>0.98</v>
      </c>
      <c r="AP9" s="36">
        <f t="shared" si="7"/>
        <v>0.9</v>
      </c>
      <c r="AQ9" s="36">
        <f t="shared" si="7"/>
        <v>0</v>
      </c>
      <c r="AR9" s="36">
        <f t="shared" si="7"/>
        <v>0</v>
      </c>
      <c r="AS9" s="36">
        <f t="shared" si="7"/>
        <v>0.9</v>
      </c>
      <c r="AT9" s="36">
        <v>0</v>
      </c>
      <c r="AU9" s="36">
        <f t="shared" si="1"/>
        <v>0.9</v>
      </c>
    </row>
    <row r="10" spans="4:47">
      <c r="D10" s="28" t="s">
        <v>32</v>
      </c>
      <c r="E10" s="29">
        <v>8.85540744288872</v>
      </c>
      <c r="F10" s="29">
        <v>5.20810707442889</v>
      </c>
      <c r="G10" s="29">
        <v>4.48241960206338</v>
      </c>
      <c r="H10" s="29">
        <v>7.08432593957259</v>
      </c>
      <c r="I10" s="29">
        <v>4.16648563006632</v>
      </c>
      <c r="J10" s="29">
        <v>3.58593566691231</v>
      </c>
      <c r="K10" s="29">
        <v>5.40179852616065</v>
      </c>
      <c r="L10" s="29">
        <v>3.17694532056006</v>
      </c>
      <c r="M10" s="29">
        <v>2.73427597641857</v>
      </c>
      <c r="N10" s="23">
        <f t="shared" ref="N10:P10" si="8">AVERAGE(E10,H10,K10)</f>
        <v>7.11384396954065</v>
      </c>
      <c r="O10" s="23">
        <f t="shared" si="8"/>
        <v>4.18384600835176</v>
      </c>
      <c r="P10" s="23">
        <f t="shared" si="8"/>
        <v>3.60087708179809</v>
      </c>
      <c r="U10" s="35">
        <f t="shared" si="6"/>
        <v>0.2</v>
      </c>
      <c r="V10" s="38" t="s">
        <v>33</v>
      </c>
      <c r="W10" s="41">
        <v>21.35</v>
      </c>
      <c r="X10" s="41">
        <v>16.59</v>
      </c>
      <c r="Y10" s="41">
        <v>12.62</v>
      </c>
      <c r="Z10" s="47">
        <v>22.07</v>
      </c>
      <c r="AA10" s="47">
        <v>17.16</v>
      </c>
      <c r="AB10" s="47">
        <v>13.05</v>
      </c>
      <c r="AC10" s="41">
        <v>23.72</v>
      </c>
      <c r="AD10" s="41">
        <v>18.45</v>
      </c>
      <c r="AE10" s="41">
        <v>14.04</v>
      </c>
      <c r="AF10" s="35"/>
      <c r="AG10" s="49">
        <f t="shared" si="3"/>
        <v>17.4266666666667</v>
      </c>
      <c r="AM10" s="36"/>
      <c r="AN10" s="36">
        <f t="shared" ref="AN10:AS10" si="9">AN9</f>
        <v>0</v>
      </c>
      <c r="AO10" s="36">
        <f t="shared" si="9"/>
        <v>0.98</v>
      </c>
      <c r="AP10" s="36">
        <f t="shared" si="9"/>
        <v>0.9</v>
      </c>
      <c r="AQ10" s="36">
        <f t="shared" si="9"/>
        <v>0</v>
      </c>
      <c r="AR10" s="36">
        <f t="shared" si="9"/>
        <v>0</v>
      </c>
      <c r="AS10" s="36">
        <f t="shared" si="9"/>
        <v>0.9</v>
      </c>
      <c r="AT10" s="36">
        <v>0</v>
      </c>
      <c r="AU10" s="36">
        <f t="shared" si="1"/>
        <v>0.9</v>
      </c>
    </row>
    <row r="11" spans="4:47">
      <c r="D11" s="28" t="s">
        <v>34</v>
      </c>
      <c r="E11" s="29">
        <v>9.49761967575534</v>
      </c>
      <c r="F11" s="29">
        <v>5.20810707442889</v>
      </c>
      <c r="G11" s="29">
        <v>4.4384597641857</v>
      </c>
      <c r="H11" s="29">
        <v>7.59809572586588</v>
      </c>
      <c r="I11" s="29">
        <v>4.16648563006632</v>
      </c>
      <c r="J11" s="29">
        <v>3.55076779661017</v>
      </c>
      <c r="K11" s="29">
        <v>5.79354797347089</v>
      </c>
      <c r="L11" s="29">
        <v>3.17694532056006</v>
      </c>
      <c r="M11" s="29">
        <v>2.70746042741341</v>
      </c>
      <c r="N11" s="23">
        <f t="shared" ref="N11:P11" si="10">AVERAGE(E11,H11,K11)</f>
        <v>7.62975445836404</v>
      </c>
      <c r="O11" s="23">
        <f t="shared" si="10"/>
        <v>4.18384600835176</v>
      </c>
      <c r="P11" s="23">
        <f t="shared" si="10"/>
        <v>3.56556266273643</v>
      </c>
      <c r="U11" s="35">
        <f t="shared" si="6"/>
        <v>0.2</v>
      </c>
      <c r="V11" s="38" t="s">
        <v>34</v>
      </c>
      <c r="W11" s="41">
        <v>26.64</v>
      </c>
      <c r="X11" s="41">
        <v>20.72</v>
      </c>
      <c r="Y11" s="41">
        <v>15.77</v>
      </c>
      <c r="Z11" s="47">
        <v>27.52</v>
      </c>
      <c r="AA11" s="47">
        <v>21.42</v>
      </c>
      <c r="AB11" s="47">
        <v>16.29</v>
      </c>
      <c r="AC11" s="41">
        <v>29.54</v>
      </c>
      <c r="AD11" s="41">
        <v>22.99</v>
      </c>
      <c r="AE11" s="41">
        <v>17.49</v>
      </c>
      <c r="AF11" s="35"/>
      <c r="AG11" s="49">
        <f t="shared" si="3"/>
        <v>21.7433333333333</v>
      </c>
      <c r="AM11" s="36"/>
      <c r="AN11" s="36">
        <f t="shared" ref="AN11:AS11" si="11">AN10</f>
        <v>0</v>
      </c>
      <c r="AO11" s="36">
        <f t="shared" si="11"/>
        <v>0.98</v>
      </c>
      <c r="AP11" s="36">
        <f t="shared" si="11"/>
        <v>0.9</v>
      </c>
      <c r="AQ11" s="36">
        <f t="shared" si="11"/>
        <v>0</v>
      </c>
      <c r="AR11" s="36">
        <f t="shared" si="11"/>
        <v>0</v>
      </c>
      <c r="AS11" s="36">
        <f t="shared" si="11"/>
        <v>0.9</v>
      </c>
      <c r="AT11" s="36">
        <v>0</v>
      </c>
      <c r="AU11" s="36">
        <f t="shared" si="1"/>
        <v>0.9</v>
      </c>
    </row>
    <row r="12" spans="4:47">
      <c r="D12" s="28" t="s">
        <v>35</v>
      </c>
      <c r="E12" s="29">
        <v>9.29996366985999</v>
      </c>
      <c r="F12" s="29">
        <v>5.20810707442889</v>
      </c>
      <c r="G12" s="29">
        <v>4.43956890198968</v>
      </c>
      <c r="H12" s="29">
        <v>7.43997096536478</v>
      </c>
      <c r="I12" s="29">
        <v>4.16648563006632</v>
      </c>
      <c r="J12" s="29">
        <v>3.55165512159175</v>
      </c>
      <c r="K12" s="29">
        <v>5.67297781871776</v>
      </c>
      <c r="L12" s="29">
        <v>3.17694532056006</v>
      </c>
      <c r="M12" s="29">
        <v>2.70813706705969</v>
      </c>
      <c r="N12" s="23">
        <f t="shared" ref="N12:P12" si="12">AVERAGE(E12,H12,K12)</f>
        <v>7.47097081798084</v>
      </c>
      <c r="O12" s="23">
        <f t="shared" si="12"/>
        <v>4.18384600835176</v>
      </c>
      <c r="P12" s="23">
        <f t="shared" si="12"/>
        <v>3.56645369688037</v>
      </c>
      <c r="U12" s="35">
        <f t="shared" si="6"/>
        <v>0.2</v>
      </c>
      <c r="V12" s="38" t="s">
        <v>35</v>
      </c>
      <c r="W12" s="41">
        <v>24.65</v>
      </c>
      <c r="X12" s="41">
        <v>19.18</v>
      </c>
      <c r="Y12" s="41">
        <v>14.59</v>
      </c>
      <c r="Z12" s="47">
        <v>25.48</v>
      </c>
      <c r="AA12" s="47">
        <v>19.82</v>
      </c>
      <c r="AB12" s="47">
        <v>15.08</v>
      </c>
      <c r="AC12" s="41">
        <v>27.36</v>
      </c>
      <c r="AD12" s="41">
        <v>21.29</v>
      </c>
      <c r="AE12" s="41">
        <v>16.2</v>
      </c>
      <c r="AF12" s="35"/>
      <c r="AG12" s="49">
        <f t="shared" si="3"/>
        <v>20.1266666666667</v>
      </c>
      <c r="AM12" s="36"/>
      <c r="AN12" s="36">
        <f t="shared" ref="AN12:AS12" si="13">AN11</f>
        <v>0</v>
      </c>
      <c r="AO12" s="36">
        <f t="shared" si="13"/>
        <v>0.98</v>
      </c>
      <c r="AP12" s="36">
        <f t="shared" si="13"/>
        <v>0.9</v>
      </c>
      <c r="AQ12" s="36">
        <f t="shared" si="13"/>
        <v>0</v>
      </c>
      <c r="AR12" s="36">
        <f t="shared" si="13"/>
        <v>0</v>
      </c>
      <c r="AS12" s="36">
        <f t="shared" si="13"/>
        <v>0.9</v>
      </c>
      <c r="AT12" s="36">
        <v>0</v>
      </c>
      <c r="AU12" s="36">
        <f t="shared" si="1"/>
        <v>0.9</v>
      </c>
    </row>
    <row r="13" spans="4:33">
      <c r="D13" s="28" t="s">
        <v>36</v>
      </c>
      <c r="E13" s="29">
        <v>9.35655836403832</v>
      </c>
      <c r="F13" s="29">
        <v>5.20810707442889</v>
      </c>
      <c r="G13" s="29">
        <v>4.43882940309506</v>
      </c>
      <c r="H13" s="29">
        <v>7.48524664701548</v>
      </c>
      <c r="I13" s="29">
        <v>4.16648563006632</v>
      </c>
      <c r="J13" s="29">
        <v>3.55106352247605</v>
      </c>
      <c r="K13" s="29">
        <v>5.70750058953574</v>
      </c>
      <c r="L13" s="29">
        <v>3.17694532056006</v>
      </c>
      <c r="M13" s="29">
        <v>2.70768592483419</v>
      </c>
      <c r="N13" s="23">
        <f t="shared" ref="N13:P13" si="14">AVERAGE(E13,H13,K13)</f>
        <v>7.51643520019651</v>
      </c>
      <c r="O13" s="23">
        <f t="shared" si="14"/>
        <v>4.18384600835176</v>
      </c>
      <c r="P13" s="23">
        <f t="shared" si="14"/>
        <v>3.56585961680177</v>
      </c>
      <c r="U13" s="35">
        <f t="shared" si="6"/>
        <v>0.2</v>
      </c>
      <c r="V13" s="38" t="s">
        <v>36</v>
      </c>
      <c r="W13" s="41">
        <v>25.67</v>
      </c>
      <c r="X13" s="41">
        <v>19.97</v>
      </c>
      <c r="Y13" s="41">
        <v>15.19</v>
      </c>
      <c r="Z13" s="47">
        <v>26.53</v>
      </c>
      <c r="AA13" s="47">
        <v>20.64</v>
      </c>
      <c r="AB13" s="47">
        <v>15.7</v>
      </c>
      <c r="AC13" s="41">
        <v>28.48</v>
      </c>
      <c r="AD13" s="41">
        <v>22.17</v>
      </c>
      <c r="AE13" s="41">
        <v>16.86</v>
      </c>
      <c r="AF13" s="35"/>
      <c r="AG13" s="49">
        <f t="shared" si="3"/>
        <v>20.9566666666667</v>
      </c>
    </row>
    <row r="14" spans="4:33">
      <c r="D14" s="28" t="s">
        <v>37</v>
      </c>
      <c r="E14" s="29">
        <v>9.39879167280766</v>
      </c>
      <c r="F14" s="29">
        <v>5.20810707442889</v>
      </c>
      <c r="G14" s="29">
        <v>4.4384597641857</v>
      </c>
      <c r="H14" s="29">
        <v>7.51903330876934</v>
      </c>
      <c r="I14" s="29">
        <v>4.16648563006632</v>
      </c>
      <c r="J14" s="29">
        <v>3.55076779661017</v>
      </c>
      <c r="K14" s="29">
        <v>5.73326293294031</v>
      </c>
      <c r="L14" s="29">
        <v>3.17694532056006</v>
      </c>
      <c r="M14" s="29">
        <v>2.70746042741341</v>
      </c>
      <c r="N14" s="23">
        <f t="shared" ref="N14:P14" si="15">AVERAGE(E14,H14,K14)</f>
        <v>7.55036263817244</v>
      </c>
      <c r="O14" s="23">
        <f t="shared" si="15"/>
        <v>4.18384600835176</v>
      </c>
      <c r="P14" s="23">
        <f t="shared" si="15"/>
        <v>3.56556266273643</v>
      </c>
      <c r="U14" s="35">
        <f t="shared" si="6"/>
        <v>0.2</v>
      </c>
      <c r="V14" s="38" t="s">
        <v>37</v>
      </c>
      <c r="W14" s="41">
        <v>25.92</v>
      </c>
      <c r="X14" s="41">
        <v>20.16</v>
      </c>
      <c r="Y14" s="41">
        <v>15.34</v>
      </c>
      <c r="Z14" s="47">
        <v>26.78</v>
      </c>
      <c r="AA14" s="47">
        <v>20.84</v>
      </c>
      <c r="AB14" s="47">
        <v>15.85</v>
      </c>
      <c r="AC14" s="41">
        <v>28.75</v>
      </c>
      <c r="AD14" s="41">
        <v>22.38</v>
      </c>
      <c r="AE14" s="41">
        <v>17.02</v>
      </c>
      <c r="AF14" s="35"/>
      <c r="AG14" s="49">
        <f t="shared" si="3"/>
        <v>21.1566666666667</v>
      </c>
    </row>
    <row r="15" spans="4:33">
      <c r="D15" s="28" t="s">
        <v>38</v>
      </c>
      <c r="E15" s="29">
        <v>9.49761967575534</v>
      </c>
      <c r="F15" s="29">
        <v>5.20810707442889</v>
      </c>
      <c r="G15" s="29">
        <v>4.43772063375092</v>
      </c>
      <c r="H15" s="29">
        <v>7.59809572586588</v>
      </c>
      <c r="I15" s="29">
        <v>4.16648563006632</v>
      </c>
      <c r="J15" s="29">
        <v>3.55017649226234</v>
      </c>
      <c r="K15" s="29">
        <v>5.79354797347089</v>
      </c>
      <c r="L15" s="29">
        <v>3.17694532056006</v>
      </c>
      <c r="M15" s="29">
        <v>2.70700957995578</v>
      </c>
      <c r="N15" s="23">
        <f t="shared" ref="N15:P15" si="16">AVERAGE(E15,H15,K15)</f>
        <v>7.62975445836404</v>
      </c>
      <c r="O15" s="23">
        <f t="shared" si="16"/>
        <v>4.18384600835176</v>
      </c>
      <c r="P15" s="23">
        <f t="shared" si="16"/>
        <v>3.56496890198968</v>
      </c>
      <c r="U15" s="35">
        <f t="shared" si="6"/>
        <v>0.2</v>
      </c>
      <c r="V15" s="38" t="s">
        <v>38</v>
      </c>
      <c r="W15" s="41">
        <v>27.36</v>
      </c>
      <c r="X15" s="41">
        <v>21.29</v>
      </c>
      <c r="Y15" s="41">
        <v>16.19</v>
      </c>
      <c r="Z15" s="47">
        <v>28.27</v>
      </c>
      <c r="AA15" s="47">
        <v>22</v>
      </c>
      <c r="AB15" s="47">
        <v>16.73</v>
      </c>
      <c r="AC15" s="41">
        <v>30.33</v>
      </c>
      <c r="AD15" s="41">
        <v>23.61</v>
      </c>
      <c r="AE15" s="41">
        <v>17.96</v>
      </c>
      <c r="AF15" s="35"/>
      <c r="AG15" s="49">
        <f t="shared" si="3"/>
        <v>22.3333333333333</v>
      </c>
    </row>
    <row r="16" spans="4:16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4:16"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4:16"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4:16"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4:16"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4:16"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4:16"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21" spans="4:16">
      <c r="D23" s="30"/>
      <c r="E23" s="31" t="s">
        <v>39</v>
      </c>
      <c r="F23" s="31"/>
      <c r="G23" s="31"/>
      <c r="H23" s="31"/>
      <c r="I23" s="31"/>
      <c r="J23" s="31"/>
      <c r="K23" s="31"/>
      <c r="L23" s="31"/>
      <c r="M23" s="31"/>
      <c r="N23" s="30"/>
      <c r="O23" s="30"/>
      <c r="P23" s="30"/>
    </row>
    <row r="24" spans="4:16">
      <c r="D24" s="32" t="s">
        <v>40</v>
      </c>
      <c r="E24" s="32"/>
      <c r="F24" s="32"/>
      <c r="G24" s="32"/>
      <c r="H24" s="32"/>
      <c r="I24" s="32"/>
      <c r="J24" s="32"/>
      <c r="K24" s="32"/>
      <c r="L24" s="30"/>
      <c r="M24" s="34" t="s">
        <v>41</v>
      </c>
      <c r="N24" s="30"/>
      <c r="O24" s="30"/>
      <c r="P24" s="30"/>
    </row>
    <row r="25" spans="4:16">
      <c r="D25" s="32" t="s">
        <v>42</v>
      </c>
      <c r="E25" s="32" t="s">
        <v>43</v>
      </c>
      <c r="F25" s="32" t="s">
        <v>44</v>
      </c>
      <c r="G25" s="32" t="s">
        <v>45</v>
      </c>
      <c r="H25" s="32" t="s">
        <v>46</v>
      </c>
      <c r="I25" s="32" t="s">
        <v>47</v>
      </c>
      <c r="J25" s="32" t="s">
        <v>48</v>
      </c>
      <c r="K25" s="32" t="s">
        <v>49</v>
      </c>
      <c r="L25" s="32"/>
      <c r="M25" s="34"/>
      <c r="N25" s="30"/>
      <c r="O25" s="30"/>
      <c r="P25" s="30"/>
    </row>
    <row r="26" spans="4:16">
      <c r="D26" s="32" t="s">
        <v>50</v>
      </c>
      <c r="E26" s="32">
        <v>0.095</v>
      </c>
      <c r="F26" s="32">
        <v>0</v>
      </c>
      <c r="G26" s="32">
        <v>0</v>
      </c>
      <c r="H26" s="32">
        <v>0</v>
      </c>
      <c r="I26" s="32">
        <v>3.528</v>
      </c>
      <c r="J26" s="32">
        <v>0.946</v>
      </c>
      <c r="K26" s="32">
        <v>1.085</v>
      </c>
      <c r="L26" s="30"/>
      <c r="M26" s="34">
        <f t="shared" ref="M26:M32" si="17">SUM(E26:K26)</f>
        <v>5.654</v>
      </c>
      <c r="N26" s="30"/>
      <c r="O26" s="30"/>
      <c r="P26" s="32"/>
    </row>
    <row r="27" spans="4:16">
      <c r="D27" s="32" t="s">
        <v>51</v>
      </c>
      <c r="E27" s="32">
        <v>0.106</v>
      </c>
      <c r="F27" s="32">
        <v>0</v>
      </c>
      <c r="G27" s="32">
        <v>0</v>
      </c>
      <c r="H27" s="32">
        <v>1.396</v>
      </c>
      <c r="I27" s="32">
        <v>3.369</v>
      </c>
      <c r="J27" s="32">
        <v>0.863</v>
      </c>
      <c r="K27" s="32">
        <v>0.911</v>
      </c>
      <c r="L27" s="30"/>
      <c r="M27" s="34">
        <f t="shared" si="17"/>
        <v>6.645</v>
      </c>
      <c r="N27" s="30"/>
      <c r="O27" s="30"/>
      <c r="P27" s="32"/>
    </row>
    <row r="28" spans="4:16">
      <c r="D28" s="32" t="s">
        <v>52</v>
      </c>
      <c r="E28" s="32">
        <v>0.102</v>
      </c>
      <c r="F28" s="32">
        <v>0.672</v>
      </c>
      <c r="G28" s="32">
        <v>0.127</v>
      </c>
      <c r="H28" s="32">
        <v>0</v>
      </c>
      <c r="I28" s="32">
        <v>2.92</v>
      </c>
      <c r="J28" s="32">
        <v>0.564</v>
      </c>
      <c r="K28" s="32">
        <v>0.978</v>
      </c>
      <c r="L28" s="30"/>
      <c r="M28" s="34">
        <f t="shared" si="17"/>
        <v>5.363</v>
      </c>
      <c r="N28" s="30"/>
      <c r="O28" s="30"/>
      <c r="P28" s="32"/>
    </row>
    <row r="29" spans="4:16">
      <c r="D29" s="32" t="s">
        <v>53</v>
      </c>
      <c r="E29" s="32">
        <v>0.141</v>
      </c>
      <c r="F29" s="32">
        <v>0.351</v>
      </c>
      <c r="G29" s="32">
        <v>0.352</v>
      </c>
      <c r="H29" s="32">
        <v>0.328</v>
      </c>
      <c r="I29" s="32">
        <v>3.11</v>
      </c>
      <c r="J29" s="32">
        <v>0.677</v>
      </c>
      <c r="K29" s="32">
        <v>0.978</v>
      </c>
      <c r="L29" s="30"/>
      <c r="M29" s="34">
        <f t="shared" si="17"/>
        <v>5.937</v>
      </c>
      <c r="N29" s="30"/>
      <c r="O29" s="30"/>
      <c r="P29" s="32"/>
    </row>
    <row r="30" spans="4:16">
      <c r="D30" s="32" t="s">
        <v>54</v>
      </c>
      <c r="E30" s="32">
        <v>0.136</v>
      </c>
      <c r="F30" s="32">
        <v>0.508</v>
      </c>
      <c r="G30" s="32">
        <v>0.204</v>
      </c>
      <c r="H30" s="32">
        <v>0.285</v>
      </c>
      <c r="I30" s="32">
        <v>3.07</v>
      </c>
      <c r="J30" s="32">
        <v>0.661</v>
      </c>
      <c r="K30" s="32">
        <v>0.981</v>
      </c>
      <c r="L30" s="30"/>
      <c r="M30" s="34">
        <f t="shared" si="17"/>
        <v>5.845</v>
      </c>
      <c r="N30" s="30"/>
      <c r="O30" s="30"/>
      <c r="P30" s="32"/>
    </row>
    <row r="31" spans="4:16">
      <c r="D31" s="32" t="s">
        <v>55</v>
      </c>
      <c r="E31" s="32">
        <v>0.118</v>
      </c>
      <c r="F31" s="32">
        <v>0.531</v>
      </c>
      <c r="G31" s="32">
        <v>0.178</v>
      </c>
      <c r="H31" s="32">
        <v>0.166</v>
      </c>
      <c r="I31" s="32">
        <v>3.017</v>
      </c>
      <c r="J31" s="32">
        <v>0.605</v>
      </c>
      <c r="K31" s="32">
        <v>0.96</v>
      </c>
      <c r="L31" s="30"/>
      <c r="M31" s="34">
        <f t="shared" si="17"/>
        <v>5.575</v>
      </c>
      <c r="N31" s="30"/>
      <c r="O31" s="30"/>
      <c r="P31" s="32"/>
    </row>
    <row r="32" spans="4:16">
      <c r="D32" s="32" t="s">
        <v>56</v>
      </c>
      <c r="E32" s="32">
        <v>0.1</v>
      </c>
      <c r="F32" s="32">
        <v>0.6</v>
      </c>
      <c r="G32" s="32">
        <v>0.075</v>
      </c>
      <c r="H32" s="32">
        <v>0.07</v>
      </c>
      <c r="I32" s="32">
        <v>2.921</v>
      </c>
      <c r="J32" s="32">
        <v>0.549</v>
      </c>
      <c r="K32" s="32">
        <v>0.961</v>
      </c>
      <c r="L32" s="30"/>
      <c r="M32" s="34">
        <f t="shared" si="17"/>
        <v>5.276</v>
      </c>
      <c r="N32" s="30"/>
      <c r="O32" s="30"/>
      <c r="P32" s="32"/>
    </row>
  </sheetData>
  <mergeCells count="17">
    <mergeCell ref="E4:P4"/>
    <mergeCell ref="W4:AE4"/>
    <mergeCell ref="AM4:AS4"/>
    <mergeCell ref="E5:G5"/>
    <mergeCell ref="H5:J5"/>
    <mergeCell ref="K5:M5"/>
    <mergeCell ref="E6:G6"/>
    <mergeCell ref="H6:J6"/>
    <mergeCell ref="K6:M6"/>
    <mergeCell ref="N6:P6"/>
    <mergeCell ref="W6:Y6"/>
    <mergeCell ref="Z6:AB6"/>
    <mergeCell ref="AC6:AE6"/>
    <mergeCell ref="W7:Y7"/>
    <mergeCell ref="Z7:AB7"/>
    <mergeCell ref="AC7:AE7"/>
    <mergeCell ref="E23:M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6"/>
  <sheetViews>
    <sheetView zoomScale="66" zoomScaleNormal="66" workbookViewId="0">
      <selection activeCell="N11" sqref="N11"/>
    </sheetView>
  </sheetViews>
  <sheetFormatPr defaultColWidth="11" defaultRowHeight="15.5"/>
  <cols>
    <col min="1" max="1" width="16.1666666666667" customWidth="1"/>
    <col min="2" max="2" width="13.8333333333333" customWidth="1"/>
    <col min="3" max="3" width="11.3333333333333" customWidth="1"/>
    <col min="5" max="5" width="10.8333333333333" customWidth="1"/>
  </cols>
  <sheetData>
    <row r="2" spans="2:11">
      <c r="B2" s="1" t="s">
        <v>57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3" t="s">
        <v>58</v>
      </c>
      <c r="C3" s="4" t="s">
        <v>59</v>
      </c>
      <c r="D3" s="4"/>
      <c r="E3" s="4"/>
      <c r="F3" s="4" t="s">
        <v>4</v>
      </c>
      <c r="G3" s="4"/>
      <c r="H3" s="4"/>
      <c r="I3" s="4" t="s">
        <v>60</v>
      </c>
      <c r="J3" s="4"/>
      <c r="K3" s="15"/>
    </row>
    <row r="4" spans="2:11">
      <c r="B4" s="5" t="s">
        <v>27</v>
      </c>
      <c r="C4" s="6" t="s">
        <v>61</v>
      </c>
      <c r="D4" s="6"/>
      <c r="E4" s="6"/>
      <c r="F4" s="6" t="s">
        <v>61</v>
      </c>
      <c r="G4" s="6"/>
      <c r="H4" s="6"/>
      <c r="I4" s="6" t="s">
        <v>61</v>
      </c>
      <c r="J4" s="6"/>
      <c r="K4" s="16"/>
    </row>
    <row r="5" spans="2:11">
      <c r="B5" s="5"/>
      <c r="C5" s="6" t="s">
        <v>24</v>
      </c>
      <c r="D5" s="6" t="s">
        <v>25</v>
      </c>
      <c r="E5" s="6" t="s">
        <v>26</v>
      </c>
      <c r="F5" s="6" t="s">
        <v>24</v>
      </c>
      <c r="G5" s="6" t="s">
        <v>25</v>
      </c>
      <c r="H5" s="6" t="s">
        <v>26</v>
      </c>
      <c r="I5" s="6" t="s">
        <v>24</v>
      </c>
      <c r="J5" s="6" t="s">
        <v>25</v>
      </c>
      <c r="K5" s="16" t="s">
        <v>26</v>
      </c>
    </row>
    <row r="6" spans="2:11">
      <c r="B6" s="7" t="s">
        <v>29</v>
      </c>
      <c r="C6" s="6">
        <v>115138579</v>
      </c>
      <c r="D6" s="6">
        <v>66662689</v>
      </c>
      <c r="E6" s="6">
        <v>60114818</v>
      </c>
      <c r="F6" s="6">
        <v>92110863</v>
      </c>
      <c r="G6" s="6">
        <v>53330151</v>
      </c>
      <c r="H6" s="6">
        <v>48091854</v>
      </c>
      <c r="I6" s="6">
        <v>70234533</v>
      </c>
      <c r="J6" s="6">
        <v>40664241</v>
      </c>
      <c r="K6" s="16">
        <v>36670039</v>
      </c>
    </row>
    <row r="7" spans="2:11">
      <c r="B7" s="7" t="s">
        <v>35</v>
      </c>
      <c r="C7" s="6">
        <v>115431323</v>
      </c>
      <c r="D7" s="6">
        <v>66662689</v>
      </c>
      <c r="E7" s="6">
        <v>59615962</v>
      </c>
      <c r="F7" s="6">
        <v>92345059</v>
      </c>
      <c r="G7" s="6">
        <v>53330151</v>
      </c>
      <c r="H7" s="6">
        <v>47692770</v>
      </c>
      <c r="I7" s="6">
        <v>70413107</v>
      </c>
      <c r="J7" s="6">
        <v>40664241</v>
      </c>
      <c r="K7" s="16">
        <v>36365737</v>
      </c>
    </row>
    <row r="8" spans="2:11">
      <c r="B8" s="7" t="s">
        <v>36</v>
      </c>
      <c r="C8" s="6">
        <v>116199313</v>
      </c>
      <c r="D8" s="6">
        <v>66662689</v>
      </c>
      <c r="E8" s="6">
        <v>59605991</v>
      </c>
      <c r="F8" s="6">
        <v>92959450</v>
      </c>
      <c r="G8" s="6">
        <v>53330151</v>
      </c>
      <c r="H8" s="6">
        <v>47684793</v>
      </c>
      <c r="I8" s="6">
        <v>70881581</v>
      </c>
      <c r="J8" s="6">
        <v>40664241</v>
      </c>
      <c r="K8" s="16">
        <v>36359655</v>
      </c>
    </row>
    <row r="9" spans="2:11">
      <c r="B9" s="7" t="s">
        <v>37</v>
      </c>
      <c r="C9" s="6">
        <v>116199313</v>
      </c>
      <c r="D9" s="6">
        <v>66662689</v>
      </c>
      <c r="E9" s="6">
        <v>59605991</v>
      </c>
      <c r="F9" s="6">
        <v>92959450</v>
      </c>
      <c r="G9" s="6">
        <v>53330151</v>
      </c>
      <c r="H9" s="6">
        <v>47684793</v>
      </c>
      <c r="I9" s="6">
        <v>70881581</v>
      </c>
      <c r="J9" s="6">
        <v>40664241</v>
      </c>
      <c r="K9" s="16">
        <v>36359655</v>
      </c>
    </row>
    <row r="10" spans="2:11">
      <c r="B10" s="7" t="s">
        <v>38</v>
      </c>
      <c r="C10" s="6">
        <v>116199313</v>
      </c>
      <c r="D10" s="6">
        <v>66662689</v>
      </c>
      <c r="E10" s="6">
        <v>59596025</v>
      </c>
      <c r="F10" s="6">
        <v>92959450</v>
      </c>
      <c r="G10" s="6">
        <v>53330151</v>
      </c>
      <c r="H10" s="6">
        <v>47676820</v>
      </c>
      <c r="I10" s="6">
        <v>70881581</v>
      </c>
      <c r="J10" s="6">
        <v>40664241</v>
      </c>
      <c r="K10" s="16">
        <v>36353575</v>
      </c>
    </row>
    <row r="11" spans="2:11">
      <c r="B11" s="7" t="s">
        <v>34</v>
      </c>
      <c r="C11" s="6">
        <v>116772419</v>
      </c>
      <c r="D11" s="6">
        <v>66662689</v>
      </c>
      <c r="E11" s="6">
        <v>59605991</v>
      </c>
      <c r="F11" s="6">
        <v>93417935</v>
      </c>
      <c r="G11" s="6">
        <v>53330151</v>
      </c>
      <c r="H11" s="6">
        <v>47684793</v>
      </c>
      <c r="I11" s="6">
        <v>71231176</v>
      </c>
      <c r="J11" s="6">
        <v>40664241</v>
      </c>
      <c r="K11" s="16">
        <v>36359655</v>
      </c>
    </row>
    <row r="12" spans="2:11">
      <c r="B12" s="7" t="s">
        <v>32</v>
      </c>
      <c r="C12" s="6">
        <v>109105323</v>
      </c>
      <c r="D12" s="6">
        <v>66662689</v>
      </c>
      <c r="E12" s="6">
        <v>60114818</v>
      </c>
      <c r="F12" s="6">
        <v>87284259</v>
      </c>
      <c r="G12" s="6">
        <v>53330151</v>
      </c>
      <c r="H12" s="6">
        <v>48091854</v>
      </c>
      <c r="I12" s="6">
        <v>66554247</v>
      </c>
      <c r="J12" s="6">
        <v>40664241</v>
      </c>
      <c r="K12" s="16">
        <v>36670039</v>
      </c>
    </row>
    <row r="13" spans="2:11">
      <c r="B13" s="8" t="s">
        <v>30</v>
      </c>
      <c r="C13" s="9">
        <v>110992681</v>
      </c>
      <c r="D13" s="9">
        <v>66662689</v>
      </c>
      <c r="E13" s="9">
        <v>60089880</v>
      </c>
      <c r="F13" s="9">
        <v>88794144</v>
      </c>
      <c r="G13" s="9">
        <v>53330151</v>
      </c>
      <c r="H13" s="9">
        <v>48071904</v>
      </c>
      <c r="I13" s="9">
        <v>67705535</v>
      </c>
      <c r="J13" s="9">
        <v>40664241</v>
      </c>
      <c r="K13" s="17">
        <v>36654827</v>
      </c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 t="s">
        <v>62</v>
      </c>
      <c r="C15" s="2"/>
      <c r="D15" s="2"/>
      <c r="E15" s="2"/>
      <c r="F15" s="2"/>
      <c r="G15" s="2"/>
      <c r="H15" s="2" t="s">
        <v>63</v>
      </c>
      <c r="I15" s="2"/>
      <c r="J15" s="2"/>
      <c r="K15" s="2"/>
    </row>
    <row r="16" spans="2:10">
      <c r="B16" s="10" t="s">
        <v>64</v>
      </c>
      <c r="C16" s="2"/>
      <c r="D16" s="2"/>
      <c r="E16" s="2"/>
      <c r="F16" s="2"/>
      <c r="G16" s="2"/>
      <c r="H16" s="2"/>
      <c r="I16" s="2"/>
      <c r="J16" s="2"/>
    </row>
    <row r="18" spans="2:12">
      <c r="B18" s="1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1">
      <c r="A19" s="11" t="s">
        <v>66</v>
      </c>
      <c r="B19" s="4" t="s">
        <v>58</v>
      </c>
      <c r="C19" s="4" t="s">
        <v>59</v>
      </c>
      <c r="D19" s="4"/>
      <c r="E19" s="4"/>
      <c r="F19" s="4" t="s">
        <v>4</v>
      </c>
      <c r="G19" s="4"/>
      <c r="H19" s="4"/>
      <c r="I19" s="4" t="s">
        <v>60</v>
      </c>
      <c r="J19" s="4"/>
      <c r="K19" s="15"/>
    </row>
    <row r="20" spans="1:11">
      <c r="A20" s="5"/>
      <c r="B20" s="12" t="s">
        <v>27</v>
      </c>
      <c r="C20" s="6" t="s">
        <v>61</v>
      </c>
      <c r="D20" s="6"/>
      <c r="E20" s="6"/>
      <c r="F20" s="6" t="s">
        <v>61</v>
      </c>
      <c r="G20" s="6"/>
      <c r="H20" s="6"/>
      <c r="I20" s="6" t="s">
        <v>61</v>
      </c>
      <c r="J20" s="6"/>
      <c r="K20" s="16"/>
    </row>
    <row r="21" spans="1:11">
      <c r="A21" s="5"/>
      <c r="B21" s="12"/>
      <c r="C21" s="6" t="s">
        <v>24</v>
      </c>
      <c r="D21" s="6" t="s">
        <v>25</v>
      </c>
      <c r="E21" s="6" t="s">
        <v>26</v>
      </c>
      <c r="F21" s="6" t="s">
        <v>24</v>
      </c>
      <c r="G21" s="6" t="s">
        <v>25</v>
      </c>
      <c r="H21" s="6" t="s">
        <v>26</v>
      </c>
      <c r="I21" s="6" t="s">
        <v>24</v>
      </c>
      <c r="J21" s="6" t="s">
        <v>25</v>
      </c>
      <c r="K21" s="16" t="s">
        <v>26</v>
      </c>
    </row>
    <row r="22" spans="1:11">
      <c r="A22" s="5"/>
      <c r="B22" s="6" t="s">
        <v>29</v>
      </c>
      <c r="C22" s="6">
        <v>86768509</v>
      </c>
      <c r="D22" s="6">
        <v>54661990</v>
      </c>
      <c r="E22" s="6">
        <v>60084896</v>
      </c>
      <c r="F22" s="6">
        <v>69414807</v>
      </c>
      <c r="G22" s="6">
        <v>43729592</v>
      </c>
      <c r="H22" s="6">
        <v>48067917</v>
      </c>
      <c r="I22" s="6">
        <v>52928791</v>
      </c>
      <c r="J22" s="6">
        <v>33343814</v>
      </c>
      <c r="K22" s="16">
        <v>36651787</v>
      </c>
    </row>
    <row r="23" spans="1:11">
      <c r="A23" s="5"/>
      <c r="B23" s="6" t="s">
        <v>35</v>
      </c>
      <c r="C23" s="6">
        <v>87730754</v>
      </c>
      <c r="D23" s="6">
        <v>54661990</v>
      </c>
      <c r="E23" s="6">
        <v>59586063</v>
      </c>
      <c r="F23" s="6">
        <v>70184603</v>
      </c>
      <c r="G23" s="6">
        <v>43729592</v>
      </c>
      <c r="H23" s="6">
        <v>47668851</v>
      </c>
      <c r="I23" s="6">
        <v>53515760</v>
      </c>
      <c r="J23" s="6">
        <v>33343814</v>
      </c>
      <c r="K23" s="16">
        <v>36347499</v>
      </c>
    </row>
    <row r="24" spans="1:11">
      <c r="A24" s="5"/>
      <c r="B24" s="6" t="s">
        <v>36</v>
      </c>
      <c r="C24" s="6">
        <v>88498743</v>
      </c>
      <c r="D24" s="6">
        <v>54661990</v>
      </c>
      <c r="E24" s="6">
        <v>59581085</v>
      </c>
      <c r="F24" s="6">
        <v>70798995</v>
      </c>
      <c r="G24" s="6">
        <v>43729592</v>
      </c>
      <c r="H24" s="6">
        <v>47664868</v>
      </c>
      <c r="I24" s="6">
        <v>53984233</v>
      </c>
      <c r="J24" s="6">
        <v>33343814</v>
      </c>
      <c r="K24" s="16">
        <v>36344462</v>
      </c>
    </row>
    <row r="25" spans="1:11">
      <c r="A25" s="5"/>
      <c r="B25" s="6" t="s">
        <v>37</v>
      </c>
      <c r="C25" s="6">
        <v>88498743</v>
      </c>
      <c r="D25" s="6">
        <v>54661990</v>
      </c>
      <c r="E25" s="6">
        <v>59576107</v>
      </c>
      <c r="F25" s="6">
        <v>70798995</v>
      </c>
      <c r="G25" s="6">
        <v>43729592</v>
      </c>
      <c r="H25" s="6">
        <v>47660886</v>
      </c>
      <c r="I25" s="6">
        <v>53984233</v>
      </c>
      <c r="J25" s="6">
        <v>33343814</v>
      </c>
      <c r="K25" s="16">
        <v>36341425</v>
      </c>
    </row>
    <row r="26" spans="1:11">
      <c r="A26" s="5"/>
      <c r="B26" s="6" t="s">
        <v>38</v>
      </c>
      <c r="C26" s="6">
        <v>88498743</v>
      </c>
      <c r="D26" s="6">
        <v>54661990</v>
      </c>
      <c r="E26" s="6">
        <v>59566156</v>
      </c>
      <c r="F26" s="6">
        <v>70798995</v>
      </c>
      <c r="G26" s="6">
        <v>43729592</v>
      </c>
      <c r="H26" s="6">
        <v>47652925</v>
      </c>
      <c r="I26" s="6">
        <v>53984233</v>
      </c>
      <c r="J26" s="6">
        <v>33343814</v>
      </c>
      <c r="K26" s="16">
        <v>36335355</v>
      </c>
    </row>
    <row r="27" spans="1:11">
      <c r="A27" s="5"/>
      <c r="B27" s="6" t="s">
        <v>34</v>
      </c>
      <c r="C27" s="6">
        <v>88498743</v>
      </c>
      <c r="D27" s="6">
        <v>54661990</v>
      </c>
      <c r="E27" s="6">
        <v>59576107</v>
      </c>
      <c r="F27" s="6">
        <v>70798995</v>
      </c>
      <c r="G27" s="6">
        <v>43729592</v>
      </c>
      <c r="H27" s="6">
        <v>47660886</v>
      </c>
      <c r="I27" s="6">
        <v>53984233</v>
      </c>
      <c r="J27" s="6">
        <v>33343814</v>
      </c>
      <c r="K27" s="16">
        <v>36341425</v>
      </c>
    </row>
    <row r="28" spans="1:11">
      <c r="A28" s="5"/>
      <c r="B28" s="6" t="s">
        <v>32</v>
      </c>
      <c r="C28" s="6">
        <v>81977860</v>
      </c>
      <c r="D28" s="6">
        <v>54661990</v>
      </c>
      <c r="E28" s="6">
        <v>60084896</v>
      </c>
      <c r="F28" s="6">
        <v>65582288</v>
      </c>
      <c r="G28" s="6">
        <v>43729592</v>
      </c>
      <c r="H28" s="6">
        <v>48067917</v>
      </c>
      <c r="I28" s="6">
        <v>50006495</v>
      </c>
      <c r="J28" s="6">
        <v>33343814</v>
      </c>
      <c r="K28" s="16">
        <v>36651787</v>
      </c>
    </row>
    <row r="29" spans="1:11">
      <c r="A29" s="13"/>
      <c r="B29" s="9" t="s">
        <v>30</v>
      </c>
      <c r="C29" s="9">
        <v>81977860</v>
      </c>
      <c r="D29" s="9">
        <v>54661990</v>
      </c>
      <c r="E29" s="9">
        <v>59576107</v>
      </c>
      <c r="F29" s="9">
        <v>65582288</v>
      </c>
      <c r="G29" s="9">
        <v>43729592</v>
      </c>
      <c r="H29" s="9">
        <v>47660886</v>
      </c>
      <c r="I29" s="9">
        <v>50006495</v>
      </c>
      <c r="J29" s="9">
        <v>33343814</v>
      </c>
      <c r="K29" s="17">
        <v>36341425</v>
      </c>
    </row>
    <row r="30" spans="1:11">
      <c r="A30" s="11" t="s">
        <v>67</v>
      </c>
      <c r="B30" s="4" t="s">
        <v>58</v>
      </c>
      <c r="C30" s="4" t="s">
        <v>59</v>
      </c>
      <c r="D30" s="4"/>
      <c r="E30" s="4"/>
      <c r="F30" s="4" t="s">
        <v>4</v>
      </c>
      <c r="G30" s="4"/>
      <c r="H30" s="4"/>
      <c r="I30" s="4" t="s">
        <v>60</v>
      </c>
      <c r="J30" s="4"/>
      <c r="K30" s="15"/>
    </row>
    <row r="31" spans="1:11">
      <c r="A31" s="5"/>
      <c r="B31" s="12" t="s">
        <v>27</v>
      </c>
      <c r="C31" s="6" t="s">
        <v>61</v>
      </c>
      <c r="D31" s="6"/>
      <c r="E31" s="6"/>
      <c r="F31" s="6" t="s">
        <v>61</v>
      </c>
      <c r="G31" s="6"/>
      <c r="H31" s="6"/>
      <c r="I31" s="6" t="s">
        <v>61</v>
      </c>
      <c r="J31" s="6"/>
      <c r="K31" s="16"/>
    </row>
    <row r="32" spans="1:11">
      <c r="A32" s="5"/>
      <c r="B32" s="12"/>
      <c r="C32" s="6" t="s">
        <v>67</v>
      </c>
      <c r="D32" s="6"/>
      <c r="E32" s="6"/>
      <c r="F32" s="6" t="s">
        <v>67</v>
      </c>
      <c r="G32" s="6"/>
      <c r="H32" s="6"/>
      <c r="I32" s="6" t="s">
        <v>67</v>
      </c>
      <c r="J32" s="6"/>
      <c r="K32" s="16"/>
    </row>
    <row r="33" spans="1:11">
      <c r="A33" s="5"/>
      <c r="B33" s="6" t="s">
        <v>29</v>
      </c>
      <c r="C33" s="6">
        <v>20309903</v>
      </c>
      <c r="D33" s="6"/>
      <c r="E33" s="6"/>
      <c r="F33" s="6">
        <v>16247923</v>
      </c>
      <c r="G33" s="6"/>
      <c r="H33" s="6"/>
      <c r="I33" s="6">
        <v>12389041</v>
      </c>
      <c r="J33" s="6"/>
      <c r="K33" s="16"/>
    </row>
    <row r="34" spans="1:11">
      <c r="A34" s="5"/>
      <c r="B34" s="6" t="s">
        <v>35</v>
      </c>
      <c r="C34" s="6">
        <v>20309903</v>
      </c>
      <c r="D34" s="6"/>
      <c r="E34" s="6"/>
      <c r="F34" s="6">
        <v>16247923</v>
      </c>
      <c r="G34" s="6"/>
      <c r="H34" s="6"/>
      <c r="I34" s="6">
        <v>12389041</v>
      </c>
      <c r="J34" s="6"/>
      <c r="K34" s="16"/>
    </row>
    <row r="35" spans="1:11">
      <c r="A35" s="5"/>
      <c r="B35" s="6" t="s">
        <v>36</v>
      </c>
      <c r="C35" s="6">
        <v>20309903</v>
      </c>
      <c r="D35" s="6"/>
      <c r="E35" s="6"/>
      <c r="F35" s="6">
        <v>16247923</v>
      </c>
      <c r="G35" s="6"/>
      <c r="H35" s="6"/>
      <c r="I35" s="6">
        <v>12389041</v>
      </c>
      <c r="J35" s="6"/>
      <c r="K35" s="16"/>
    </row>
    <row r="36" spans="1:11">
      <c r="A36" s="5"/>
      <c r="B36" s="6" t="s">
        <v>37</v>
      </c>
      <c r="C36" s="6">
        <v>20309903</v>
      </c>
      <c r="D36" s="6"/>
      <c r="E36" s="6"/>
      <c r="F36" s="6">
        <v>16247923</v>
      </c>
      <c r="G36" s="6"/>
      <c r="H36" s="6"/>
      <c r="I36" s="6">
        <v>12389041</v>
      </c>
      <c r="J36" s="6"/>
      <c r="K36" s="16"/>
    </row>
    <row r="37" spans="1:11">
      <c r="A37" s="5"/>
      <c r="B37" s="6" t="s">
        <v>38</v>
      </c>
      <c r="C37" s="6">
        <v>20309903</v>
      </c>
      <c r="D37" s="6"/>
      <c r="E37" s="6"/>
      <c r="F37" s="6">
        <v>16247923</v>
      </c>
      <c r="G37" s="6"/>
      <c r="H37" s="6"/>
      <c r="I37" s="6">
        <v>12389041</v>
      </c>
      <c r="J37" s="6"/>
      <c r="K37" s="16"/>
    </row>
    <row r="38" spans="1:11">
      <c r="A38" s="5"/>
      <c r="B38" s="6" t="s">
        <v>34</v>
      </c>
      <c r="C38" s="6">
        <v>20309903</v>
      </c>
      <c r="D38" s="6"/>
      <c r="E38" s="6"/>
      <c r="F38" s="6">
        <v>16247923</v>
      </c>
      <c r="G38" s="6"/>
      <c r="H38" s="6"/>
      <c r="I38" s="6">
        <v>12389041</v>
      </c>
      <c r="J38" s="6"/>
      <c r="K38" s="16"/>
    </row>
    <row r="39" spans="1:11">
      <c r="A39" s="5"/>
      <c r="B39" s="6" t="s">
        <v>32</v>
      </c>
      <c r="C39" s="6">
        <v>20309903</v>
      </c>
      <c r="D39" s="6"/>
      <c r="E39" s="6"/>
      <c r="F39" s="6">
        <v>16247923</v>
      </c>
      <c r="G39" s="6"/>
      <c r="H39" s="6"/>
      <c r="I39" s="6">
        <v>12389041</v>
      </c>
      <c r="J39" s="6"/>
      <c r="K39" s="16"/>
    </row>
    <row r="40" spans="1:11">
      <c r="A40" s="13"/>
      <c r="B40" s="9" t="s">
        <v>30</v>
      </c>
      <c r="C40" s="9">
        <v>20309903</v>
      </c>
      <c r="D40" s="9"/>
      <c r="E40" s="9"/>
      <c r="F40" s="9">
        <v>16247923</v>
      </c>
      <c r="G40" s="9"/>
      <c r="H40" s="9"/>
      <c r="I40" s="9">
        <v>12389041</v>
      </c>
      <c r="J40" s="9"/>
      <c r="K40" s="17"/>
    </row>
    <row r="41" spans="1:11">
      <c r="A41" s="11" t="s">
        <v>68</v>
      </c>
      <c r="B41" s="4" t="s">
        <v>58</v>
      </c>
      <c r="C41" s="4" t="s">
        <v>59</v>
      </c>
      <c r="D41" s="4"/>
      <c r="E41" s="4"/>
      <c r="F41" s="4" t="s">
        <v>4</v>
      </c>
      <c r="G41" s="4"/>
      <c r="H41" s="4"/>
      <c r="I41" s="4" t="s">
        <v>60</v>
      </c>
      <c r="J41" s="4"/>
      <c r="K41" s="15"/>
    </row>
    <row r="42" spans="1:11">
      <c r="A42" s="5"/>
      <c r="B42" s="12" t="s">
        <v>27</v>
      </c>
      <c r="C42" s="6" t="s">
        <v>61</v>
      </c>
      <c r="D42" s="6"/>
      <c r="E42" s="6"/>
      <c r="F42" s="6" t="s">
        <v>61</v>
      </c>
      <c r="G42" s="6"/>
      <c r="H42" s="6"/>
      <c r="I42" s="6" t="s">
        <v>61</v>
      </c>
      <c r="J42" s="6"/>
      <c r="K42" s="16"/>
    </row>
    <row r="43" spans="1:11">
      <c r="A43" s="5"/>
      <c r="B43" s="12"/>
      <c r="C43" s="6" t="s">
        <v>24</v>
      </c>
      <c r="D43" s="6" t="s">
        <v>25</v>
      </c>
      <c r="E43" s="6" t="s">
        <v>26</v>
      </c>
      <c r="F43" s="6" t="s">
        <v>24</v>
      </c>
      <c r="G43" s="6" t="s">
        <v>25</v>
      </c>
      <c r="H43" s="6" t="s">
        <v>26</v>
      </c>
      <c r="I43" s="6" t="s">
        <v>24</v>
      </c>
      <c r="J43" s="6" t="s">
        <v>25</v>
      </c>
      <c r="K43" s="16" t="s">
        <v>26</v>
      </c>
    </row>
    <row r="44" spans="1:11">
      <c r="A44" s="5"/>
      <c r="B44" s="6" t="s">
        <v>29</v>
      </c>
      <c r="C44" s="6">
        <v>107078412</v>
      </c>
      <c r="D44" s="6">
        <v>74971893</v>
      </c>
      <c r="E44" s="6">
        <v>80394799</v>
      </c>
      <c r="F44" s="6">
        <v>85662730</v>
      </c>
      <c r="G44" s="6">
        <v>59977515</v>
      </c>
      <c r="H44" s="6">
        <v>64315840</v>
      </c>
      <c r="I44" s="6">
        <v>65317832</v>
      </c>
      <c r="J44" s="6">
        <v>45732855</v>
      </c>
      <c r="K44" s="16">
        <v>49040828</v>
      </c>
    </row>
    <row r="45" spans="1:11">
      <c r="A45" s="5"/>
      <c r="B45" s="6" t="s">
        <v>35</v>
      </c>
      <c r="C45" s="6">
        <v>108040657</v>
      </c>
      <c r="D45" s="6">
        <v>74971893</v>
      </c>
      <c r="E45" s="6">
        <v>79895966</v>
      </c>
      <c r="F45" s="6">
        <v>86432526</v>
      </c>
      <c r="G45" s="6">
        <v>59977515</v>
      </c>
      <c r="H45" s="6">
        <v>63916774</v>
      </c>
      <c r="I45" s="6">
        <v>65904801</v>
      </c>
      <c r="J45" s="6">
        <v>45732855</v>
      </c>
      <c r="K45" s="16">
        <v>48736540</v>
      </c>
    </row>
    <row r="46" spans="1:11">
      <c r="A46" s="5"/>
      <c r="B46" s="6" t="s">
        <v>36</v>
      </c>
      <c r="C46" s="6">
        <v>108808646</v>
      </c>
      <c r="D46" s="6">
        <v>74971893</v>
      </c>
      <c r="E46" s="6">
        <v>79890988</v>
      </c>
      <c r="F46" s="6">
        <v>87046918</v>
      </c>
      <c r="G46" s="6">
        <v>59977515</v>
      </c>
      <c r="H46" s="6">
        <v>63912791</v>
      </c>
      <c r="I46" s="6">
        <v>66373274</v>
      </c>
      <c r="J46" s="6">
        <v>45732855</v>
      </c>
      <c r="K46" s="16">
        <v>48733503</v>
      </c>
    </row>
    <row r="47" spans="1:11">
      <c r="A47" s="5"/>
      <c r="B47" s="6" t="s">
        <v>37</v>
      </c>
      <c r="C47" s="6">
        <v>108808646</v>
      </c>
      <c r="D47" s="6">
        <v>74971893</v>
      </c>
      <c r="E47" s="6">
        <v>79886010</v>
      </c>
      <c r="F47" s="6">
        <v>87046918</v>
      </c>
      <c r="G47" s="6">
        <v>59977515</v>
      </c>
      <c r="H47" s="6">
        <v>63908809</v>
      </c>
      <c r="I47" s="6">
        <v>66373274</v>
      </c>
      <c r="J47" s="6">
        <v>45732855</v>
      </c>
      <c r="K47" s="16">
        <v>48730466</v>
      </c>
    </row>
    <row r="48" spans="1:11">
      <c r="A48" s="5"/>
      <c r="B48" s="6" t="s">
        <v>38</v>
      </c>
      <c r="C48" s="6">
        <v>108808646</v>
      </c>
      <c r="D48" s="6">
        <v>74971893</v>
      </c>
      <c r="E48" s="6">
        <v>79876059</v>
      </c>
      <c r="F48" s="6">
        <v>87046918</v>
      </c>
      <c r="G48" s="6">
        <v>59977515</v>
      </c>
      <c r="H48" s="6">
        <v>63900848</v>
      </c>
      <c r="I48" s="6">
        <v>66373274</v>
      </c>
      <c r="J48" s="6">
        <v>45732855</v>
      </c>
      <c r="K48" s="16">
        <v>48724396</v>
      </c>
    </row>
    <row r="49" spans="1:11">
      <c r="A49" s="5"/>
      <c r="B49" s="6" t="s">
        <v>34</v>
      </c>
      <c r="C49" s="6">
        <v>108808646</v>
      </c>
      <c r="D49" s="6">
        <v>74971893</v>
      </c>
      <c r="E49" s="6">
        <v>79886010</v>
      </c>
      <c r="F49" s="6">
        <v>87046918</v>
      </c>
      <c r="G49" s="6">
        <v>59977515</v>
      </c>
      <c r="H49" s="6">
        <v>63908809</v>
      </c>
      <c r="I49" s="6">
        <v>66373274</v>
      </c>
      <c r="J49" s="6">
        <v>45732855</v>
      </c>
      <c r="K49" s="16">
        <v>48730466</v>
      </c>
    </row>
    <row r="50" spans="1:11">
      <c r="A50" s="5"/>
      <c r="B50" s="6" t="s">
        <v>32</v>
      </c>
      <c r="C50" s="6">
        <v>102287763</v>
      </c>
      <c r="D50" s="6">
        <v>74971893</v>
      </c>
      <c r="E50" s="6">
        <v>80394799</v>
      </c>
      <c r="F50" s="6">
        <v>81830211</v>
      </c>
      <c r="G50" s="6">
        <v>59977515</v>
      </c>
      <c r="H50" s="6">
        <v>64315840</v>
      </c>
      <c r="I50" s="6">
        <v>62395536</v>
      </c>
      <c r="J50" s="6">
        <v>45732855</v>
      </c>
      <c r="K50" s="16">
        <v>49040828</v>
      </c>
    </row>
    <row r="51" spans="1:11">
      <c r="A51" s="13"/>
      <c r="B51" s="9" t="s">
        <v>30</v>
      </c>
      <c r="C51" s="9">
        <v>102287763</v>
      </c>
      <c r="D51" s="9">
        <v>74971893</v>
      </c>
      <c r="E51" s="9">
        <v>79886010</v>
      </c>
      <c r="F51" s="9">
        <v>81830211</v>
      </c>
      <c r="G51" s="9">
        <v>59977515</v>
      </c>
      <c r="H51" s="9">
        <v>63908809</v>
      </c>
      <c r="I51" s="9">
        <v>62395536</v>
      </c>
      <c r="J51" s="9">
        <v>45732855</v>
      </c>
      <c r="K51" s="17">
        <v>48730466</v>
      </c>
    </row>
    <row r="52" spans="2:1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>
      <c r="B53" s="2" t="s">
        <v>69</v>
      </c>
      <c r="C53" s="2"/>
      <c r="D53" s="2"/>
      <c r="E53" s="2"/>
      <c r="F53" s="2"/>
      <c r="G53" s="2"/>
      <c r="H53" s="2" t="s">
        <v>63</v>
      </c>
      <c r="I53" s="2"/>
      <c r="J53" s="2"/>
      <c r="K53" s="2"/>
      <c r="L53" s="2"/>
    </row>
    <row r="54" spans="2:12">
      <c r="B54" s="10" t="s">
        <v>64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1">
      <c r="B56" s="2"/>
      <c r="C56" s="10"/>
      <c r="D56" s="2"/>
      <c r="E56" s="2"/>
      <c r="F56" s="2"/>
      <c r="G56" s="2"/>
      <c r="H56" s="2"/>
      <c r="I56" s="2"/>
      <c r="J56" s="2"/>
      <c r="K56" s="2"/>
    </row>
  </sheetData>
  <mergeCells count="58">
    <mergeCell ref="C3:E3"/>
    <mergeCell ref="F3:H3"/>
    <mergeCell ref="I3:K3"/>
    <mergeCell ref="C4:E4"/>
    <mergeCell ref="F4:H4"/>
    <mergeCell ref="I4:K4"/>
    <mergeCell ref="C19:E19"/>
    <mergeCell ref="F19:H19"/>
    <mergeCell ref="I19:K19"/>
    <mergeCell ref="C20:E20"/>
    <mergeCell ref="F20:H20"/>
    <mergeCell ref="I20:K20"/>
    <mergeCell ref="C30:E30"/>
    <mergeCell ref="F30:H30"/>
    <mergeCell ref="I30:K30"/>
    <mergeCell ref="C31:E31"/>
    <mergeCell ref="F31:H31"/>
    <mergeCell ref="I31:K31"/>
    <mergeCell ref="C32:E32"/>
    <mergeCell ref="F32:H32"/>
    <mergeCell ref="I32:K32"/>
    <mergeCell ref="C33:E33"/>
    <mergeCell ref="F33:H33"/>
    <mergeCell ref="I33:K33"/>
    <mergeCell ref="C34:E34"/>
    <mergeCell ref="F34:H34"/>
    <mergeCell ref="I34:K34"/>
    <mergeCell ref="C35:E35"/>
    <mergeCell ref="F35:H35"/>
    <mergeCell ref="I35:K35"/>
    <mergeCell ref="C36:E36"/>
    <mergeCell ref="F36:H36"/>
    <mergeCell ref="I36:K36"/>
    <mergeCell ref="C37:E37"/>
    <mergeCell ref="F37:H37"/>
    <mergeCell ref="I37:K37"/>
    <mergeCell ref="C38:E38"/>
    <mergeCell ref="F38:H38"/>
    <mergeCell ref="I38:K38"/>
    <mergeCell ref="C39:E39"/>
    <mergeCell ref="F39:H39"/>
    <mergeCell ref="I39:K39"/>
    <mergeCell ref="C40:E40"/>
    <mergeCell ref="F40:H40"/>
    <mergeCell ref="I40:K40"/>
    <mergeCell ref="C41:E41"/>
    <mergeCell ref="F41:H41"/>
    <mergeCell ref="I41:K41"/>
    <mergeCell ref="C42:E42"/>
    <mergeCell ref="F42:H42"/>
    <mergeCell ref="I42:K42"/>
    <mergeCell ref="A19:A29"/>
    <mergeCell ref="A30:A40"/>
    <mergeCell ref="A41:A51"/>
    <mergeCell ref="B4:B5"/>
    <mergeCell ref="B20:B21"/>
    <mergeCell ref="B31:B32"/>
    <mergeCell ref="B42:B43"/>
  </mergeCells>
  <hyperlinks>
    <hyperlink ref="B16" r:id="rId1" display="https://www.sciencedirect.com/science/article/pii/S0956053X21006267"/>
    <hyperlink ref="B54" r:id="rId1" display="https://www.sciencedirect.com/science/article/pii/S0956053X21006267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zoomScale="55" zoomScaleNormal="55" workbookViewId="0">
      <selection activeCell="O16" sqref="O16"/>
    </sheetView>
  </sheetViews>
  <sheetFormatPr defaultColWidth="11" defaultRowHeight="15.5"/>
  <cols>
    <col min="1" max="1" width="17" customWidth="1"/>
    <col min="2" max="2" width="14" customWidth="1"/>
    <col min="13" max="21" width="12.6666666666667"/>
  </cols>
  <sheetData>
    <row r="1" spans="13:13">
      <c r="M1" s="14" t="s">
        <v>70</v>
      </c>
    </row>
    <row r="2" spans="2:11">
      <c r="B2" s="1" t="s">
        <v>57</v>
      </c>
      <c r="C2" s="2"/>
      <c r="D2" s="2"/>
      <c r="E2" s="2"/>
      <c r="F2" s="2"/>
      <c r="G2" s="2"/>
      <c r="H2" s="2"/>
      <c r="I2" s="2"/>
      <c r="J2" s="2"/>
      <c r="K2" s="2"/>
    </row>
    <row r="3" spans="2:21">
      <c r="B3" s="3" t="s">
        <v>58</v>
      </c>
      <c r="C3" s="4" t="s">
        <v>59</v>
      </c>
      <c r="D3" s="4"/>
      <c r="E3" s="4"/>
      <c r="F3" s="4" t="s">
        <v>4</v>
      </c>
      <c r="G3" s="4"/>
      <c r="H3" s="4"/>
      <c r="I3" s="4" t="s">
        <v>60</v>
      </c>
      <c r="J3" s="4"/>
      <c r="K3" s="15"/>
      <c r="M3" s="4" t="s">
        <v>59</v>
      </c>
      <c r="N3" s="4"/>
      <c r="O3" s="4"/>
      <c r="P3" s="4" t="s">
        <v>4</v>
      </c>
      <c r="Q3" s="4"/>
      <c r="R3" s="4"/>
      <c r="S3" s="4" t="s">
        <v>60</v>
      </c>
      <c r="T3" s="4"/>
      <c r="U3" s="15"/>
    </row>
    <row r="4" spans="2:21">
      <c r="B4" s="5" t="s">
        <v>27</v>
      </c>
      <c r="C4" s="6" t="s">
        <v>61</v>
      </c>
      <c r="D4" s="6"/>
      <c r="E4" s="6"/>
      <c r="F4" s="6" t="s">
        <v>61</v>
      </c>
      <c r="G4" s="6"/>
      <c r="H4" s="6"/>
      <c r="I4" s="6" t="s">
        <v>61</v>
      </c>
      <c r="J4" s="6"/>
      <c r="K4" s="16"/>
      <c r="M4" s="6" t="s">
        <v>71</v>
      </c>
      <c r="N4" s="6"/>
      <c r="O4" s="6"/>
      <c r="P4" s="6"/>
      <c r="Q4" s="6"/>
      <c r="R4" s="6"/>
      <c r="S4" s="6"/>
      <c r="T4" s="6"/>
      <c r="U4" s="16"/>
    </row>
    <row r="5" spans="2:21">
      <c r="B5" s="5"/>
      <c r="C5" s="6" t="s">
        <v>24</v>
      </c>
      <c r="D5" s="6" t="s">
        <v>25</v>
      </c>
      <c r="E5" s="6" t="s">
        <v>26</v>
      </c>
      <c r="F5" s="6" t="s">
        <v>24</v>
      </c>
      <c r="G5" s="6" t="s">
        <v>25</v>
      </c>
      <c r="H5" s="6" t="s">
        <v>26</v>
      </c>
      <c r="I5" s="6" t="s">
        <v>24</v>
      </c>
      <c r="J5" s="6" t="s">
        <v>25</v>
      </c>
      <c r="K5" s="16" t="s">
        <v>26</v>
      </c>
      <c r="M5" s="6" t="s">
        <v>24</v>
      </c>
      <c r="N5" s="6" t="s">
        <v>25</v>
      </c>
      <c r="O5" s="6" t="s">
        <v>26</v>
      </c>
      <c r="P5" s="6" t="s">
        <v>24</v>
      </c>
      <c r="Q5" s="6" t="s">
        <v>25</v>
      </c>
      <c r="R5" s="6" t="s">
        <v>26</v>
      </c>
      <c r="S5" s="6" t="s">
        <v>24</v>
      </c>
      <c r="T5" s="6" t="s">
        <v>25</v>
      </c>
      <c r="U5" s="16" t="s">
        <v>26</v>
      </c>
    </row>
    <row r="6" spans="2:21">
      <c r="B6" s="7" t="s">
        <v>29</v>
      </c>
      <c r="C6" s="6">
        <v>137627861</v>
      </c>
      <c r="D6" s="6">
        <v>75305938</v>
      </c>
      <c r="E6" s="6">
        <v>84302515</v>
      </c>
      <c r="F6" s="6">
        <v>110102289</v>
      </c>
      <c r="G6" s="6">
        <v>60244750</v>
      </c>
      <c r="H6" s="6">
        <v>67442012</v>
      </c>
      <c r="I6" s="6">
        <v>83952995</v>
      </c>
      <c r="J6" s="6">
        <v>45936622</v>
      </c>
      <c r="K6" s="16">
        <v>51424534</v>
      </c>
      <c r="M6">
        <f>C6/16300</f>
        <v>8443.42705521472</v>
      </c>
      <c r="N6">
        <f t="shared" ref="N6:U6" si="0">D6/16300</f>
        <v>4619.99619631902</v>
      </c>
      <c r="O6">
        <f t="shared" si="0"/>
        <v>5171.93343558282</v>
      </c>
      <c r="P6">
        <f t="shared" si="0"/>
        <v>6754.74165644172</v>
      </c>
      <c r="Q6">
        <f t="shared" si="0"/>
        <v>3695.99693251534</v>
      </c>
      <c r="R6">
        <f t="shared" si="0"/>
        <v>4137.54674846626</v>
      </c>
      <c r="S6">
        <f t="shared" si="0"/>
        <v>5150.49049079755</v>
      </c>
      <c r="T6">
        <f t="shared" si="0"/>
        <v>2818.19766871166</v>
      </c>
      <c r="U6">
        <f t="shared" si="0"/>
        <v>3154.87938650307</v>
      </c>
    </row>
    <row r="7" spans="2:21">
      <c r="B7" s="7" t="s">
        <v>35</v>
      </c>
      <c r="C7" s="6">
        <v>139247835</v>
      </c>
      <c r="D7" s="6">
        <v>75305938</v>
      </c>
      <c r="E7" s="6">
        <v>60952285</v>
      </c>
      <c r="F7" s="6">
        <v>111398268</v>
      </c>
      <c r="G7" s="6">
        <v>60244750</v>
      </c>
      <c r="H7" s="6">
        <v>48761828</v>
      </c>
      <c r="I7" s="6">
        <v>84941179</v>
      </c>
      <c r="J7" s="6">
        <v>45936622</v>
      </c>
      <c r="K7" s="16">
        <v>37180894</v>
      </c>
      <c r="M7">
        <f t="shared" ref="M7:M13" si="1">C7/16300</f>
        <v>8542.81196319018</v>
      </c>
      <c r="N7">
        <f t="shared" ref="N7:U7" si="2">D7/16300</f>
        <v>4619.99619631902</v>
      </c>
      <c r="O7">
        <f t="shared" si="2"/>
        <v>3739.40398773006</v>
      </c>
      <c r="P7">
        <f t="shared" si="2"/>
        <v>6834.24957055215</v>
      </c>
      <c r="Q7">
        <f t="shared" si="2"/>
        <v>3695.99693251534</v>
      </c>
      <c r="R7">
        <f t="shared" si="2"/>
        <v>2991.52319018405</v>
      </c>
      <c r="S7">
        <f t="shared" si="2"/>
        <v>5211.11527607362</v>
      </c>
      <c r="T7">
        <f t="shared" si="2"/>
        <v>2818.19766871166</v>
      </c>
      <c r="U7">
        <f t="shared" si="2"/>
        <v>2281.03644171779</v>
      </c>
    </row>
    <row r="8" spans="2:21">
      <c r="B8" s="7" t="s">
        <v>36</v>
      </c>
      <c r="C8" s="6">
        <v>139247835</v>
      </c>
      <c r="D8" s="6">
        <v>75305938</v>
      </c>
      <c r="E8" s="6">
        <v>60942197</v>
      </c>
      <c r="F8" s="6">
        <v>111398268</v>
      </c>
      <c r="G8" s="6">
        <v>60244750</v>
      </c>
      <c r="H8" s="6">
        <v>48753757</v>
      </c>
      <c r="I8" s="6">
        <v>84941179</v>
      </c>
      <c r="J8" s="6">
        <v>45936622</v>
      </c>
      <c r="K8" s="16">
        <v>37174740</v>
      </c>
      <c r="M8">
        <f t="shared" si="1"/>
        <v>8542.81196319018</v>
      </c>
      <c r="N8">
        <f t="shared" ref="N8:U8" si="3">D8/16300</f>
        <v>4619.99619631902</v>
      </c>
      <c r="O8">
        <f t="shared" si="3"/>
        <v>3738.78509202454</v>
      </c>
      <c r="P8">
        <f t="shared" si="3"/>
        <v>6834.24957055215</v>
      </c>
      <c r="Q8">
        <f t="shared" si="3"/>
        <v>3695.99693251534</v>
      </c>
      <c r="R8">
        <f t="shared" si="3"/>
        <v>2991.02803680982</v>
      </c>
      <c r="S8">
        <f t="shared" si="3"/>
        <v>5211.11527607362</v>
      </c>
      <c r="T8">
        <f t="shared" si="3"/>
        <v>2818.19766871166</v>
      </c>
      <c r="U8">
        <f t="shared" si="3"/>
        <v>2280.65889570552</v>
      </c>
    </row>
    <row r="9" spans="2:21">
      <c r="B9" s="7" t="s">
        <v>37</v>
      </c>
      <c r="C9" s="6">
        <v>139247835</v>
      </c>
      <c r="D9" s="6">
        <v>75305938</v>
      </c>
      <c r="E9" s="6">
        <v>60937154</v>
      </c>
      <c r="F9" s="6">
        <v>111398268</v>
      </c>
      <c r="G9" s="6">
        <v>60244750</v>
      </c>
      <c r="H9" s="6">
        <v>48749723</v>
      </c>
      <c r="I9" s="6">
        <v>84941179</v>
      </c>
      <c r="J9" s="6">
        <v>45936622</v>
      </c>
      <c r="K9" s="16">
        <v>37171664</v>
      </c>
      <c r="M9">
        <f t="shared" si="1"/>
        <v>8542.81196319018</v>
      </c>
      <c r="N9">
        <f t="shared" ref="N9:U9" si="4">D9/16300</f>
        <v>4619.99619631902</v>
      </c>
      <c r="O9">
        <f t="shared" si="4"/>
        <v>3738.47570552147</v>
      </c>
      <c r="P9">
        <f t="shared" si="4"/>
        <v>6834.24957055215</v>
      </c>
      <c r="Q9">
        <f t="shared" si="4"/>
        <v>3695.99693251534</v>
      </c>
      <c r="R9">
        <f t="shared" si="4"/>
        <v>2990.78055214724</v>
      </c>
      <c r="S9">
        <f t="shared" si="4"/>
        <v>5211.11527607362</v>
      </c>
      <c r="T9">
        <f t="shared" si="4"/>
        <v>2818.19766871166</v>
      </c>
      <c r="U9">
        <f t="shared" si="4"/>
        <v>2280.47018404908</v>
      </c>
    </row>
    <row r="10" spans="2:21">
      <c r="B10" s="7" t="s">
        <v>38</v>
      </c>
      <c r="C10" s="6">
        <v>140233609</v>
      </c>
      <c r="D10" s="6">
        <v>75305938</v>
      </c>
      <c r="E10" s="6">
        <v>60360630</v>
      </c>
      <c r="F10" s="6">
        <v>112186887</v>
      </c>
      <c r="G10" s="6">
        <v>60244750</v>
      </c>
      <c r="H10" s="6">
        <v>48288504</v>
      </c>
      <c r="I10" s="6">
        <v>85542501</v>
      </c>
      <c r="J10" s="6">
        <v>45936622</v>
      </c>
      <c r="K10" s="16">
        <v>36819984</v>
      </c>
      <c r="M10">
        <f t="shared" si="1"/>
        <v>8603.28889570552</v>
      </c>
      <c r="N10">
        <f t="shared" ref="N10:U10" si="5">D10/16300</f>
        <v>4619.99619631902</v>
      </c>
      <c r="O10">
        <f t="shared" si="5"/>
        <v>3703.10613496933</v>
      </c>
      <c r="P10">
        <f t="shared" si="5"/>
        <v>6882.63110429448</v>
      </c>
      <c r="Q10">
        <f t="shared" si="5"/>
        <v>3695.99693251534</v>
      </c>
      <c r="R10">
        <f t="shared" si="5"/>
        <v>2962.48490797546</v>
      </c>
      <c r="S10">
        <f t="shared" si="5"/>
        <v>5248.00619631902</v>
      </c>
      <c r="T10">
        <f t="shared" si="5"/>
        <v>2818.19766871166</v>
      </c>
      <c r="U10">
        <f t="shared" si="5"/>
        <v>2258.89472392638</v>
      </c>
    </row>
    <row r="11" spans="2:21">
      <c r="B11" s="7" t="s">
        <v>34</v>
      </c>
      <c r="C11" s="6">
        <v>140708227</v>
      </c>
      <c r="D11" s="6">
        <v>75305938</v>
      </c>
      <c r="E11" s="6">
        <v>60937154</v>
      </c>
      <c r="F11" s="6">
        <v>112566581</v>
      </c>
      <c r="G11" s="6">
        <v>60244750</v>
      </c>
      <c r="H11" s="6">
        <v>48749723</v>
      </c>
      <c r="I11" s="6">
        <v>85832018</v>
      </c>
      <c r="J11" s="6">
        <v>45936622</v>
      </c>
      <c r="K11" s="16">
        <v>37171664</v>
      </c>
      <c r="M11">
        <f t="shared" si="1"/>
        <v>8632.40656441718</v>
      </c>
      <c r="N11">
        <f t="shared" ref="N11:U11" si="6">D11/16300</f>
        <v>4619.99619631902</v>
      </c>
      <c r="O11">
        <f t="shared" si="6"/>
        <v>3738.47570552147</v>
      </c>
      <c r="P11">
        <f t="shared" si="6"/>
        <v>6905.92521472393</v>
      </c>
      <c r="Q11">
        <f t="shared" si="6"/>
        <v>3695.99693251534</v>
      </c>
      <c r="R11">
        <f t="shared" si="6"/>
        <v>2990.78055214724</v>
      </c>
      <c r="S11">
        <f t="shared" si="6"/>
        <v>5265.76797546012</v>
      </c>
      <c r="T11">
        <f t="shared" si="6"/>
        <v>2818.19766871166</v>
      </c>
      <c r="U11">
        <f t="shared" si="6"/>
        <v>2280.47018404908</v>
      </c>
    </row>
    <row r="12" spans="2:21">
      <c r="B12" s="7" t="s">
        <v>32</v>
      </c>
      <c r="C12" s="6">
        <v>131106121</v>
      </c>
      <c r="D12" s="6">
        <v>75305938</v>
      </c>
      <c r="E12" s="6">
        <v>84302515</v>
      </c>
      <c r="F12" s="6">
        <v>104884897</v>
      </c>
      <c r="G12" s="6">
        <v>60244750</v>
      </c>
      <c r="H12" s="6">
        <v>67442012</v>
      </c>
      <c r="I12" s="6">
        <v>79974734</v>
      </c>
      <c r="J12" s="6">
        <v>45936622</v>
      </c>
      <c r="K12" s="16">
        <v>51424534</v>
      </c>
      <c r="M12">
        <f t="shared" si="1"/>
        <v>8043.32030674847</v>
      </c>
      <c r="N12">
        <f t="shared" ref="N12:U12" si="7">D12/16300</f>
        <v>4619.99619631902</v>
      </c>
      <c r="O12">
        <f t="shared" si="7"/>
        <v>5171.93343558282</v>
      </c>
      <c r="P12">
        <f t="shared" si="7"/>
        <v>6434.65625766871</v>
      </c>
      <c r="Q12">
        <f t="shared" si="7"/>
        <v>3695.99693251534</v>
      </c>
      <c r="R12">
        <f t="shared" si="7"/>
        <v>4137.54674846626</v>
      </c>
      <c r="S12">
        <f t="shared" si="7"/>
        <v>4906.42539877301</v>
      </c>
      <c r="T12">
        <f t="shared" si="7"/>
        <v>2818.19766871166</v>
      </c>
      <c r="U12">
        <f t="shared" si="7"/>
        <v>3154.87938650307</v>
      </c>
    </row>
    <row r="13" spans="2:21">
      <c r="B13" s="8" t="s">
        <v>30</v>
      </c>
      <c r="C13" s="9">
        <v>131106121</v>
      </c>
      <c r="D13" s="9">
        <v>75305938</v>
      </c>
      <c r="E13" s="9">
        <v>60937154</v>
      </c>
      <c r="F13" s="9">
        <v>104884897</v>
      </c>
      <c r="G13" s="9">
        <v>60244750</v>
      </c>
      <c r="H13" s="9">
        <v>48749723</v>
      </c>
      <c r="I13" s="9">
        <v>79974734</v>
      </c>
      <c r="J13" s="9">
        <v>45936622</v>
      </c>
      <c r="K13" s="17">
        <v>37171664</v>
      </c>
      <c r="M13">
        <f t="shared" si="1"/>
        <v>8043.32030674847</v>
      </c>
      <c r="N13">
        <f t="shared" ref="N13:U13" si="8">D13/16300</f>
        <v>4619.99619631902</v>
      </c>
      <c r="O13">
        <f t="shared" si="8"/>
        <v>3738.47570552147</v>
      </c>
      <c r="P13">
        <f t="shared" si="8"/>
        <v>6434.65625766871</v>
      </c>
      <c r="Q13">
        <f t="shared" si="8"/>
        <v>3695.99693251534</v>
      </c>
      <c r="R13">
        <f t="shared" si="8"/>
        <v>2990.78055214724</v>
      </c>
      <c r="S13">
        <f t="shared" si="8"/>
        <v>4906.42539877301</v>
      </c>
      <c r="T13">
        <f t="shared" si="8"/>
        <v>2818.19766871166</v>
      </c>
      <c r="U13">
        <f t="shared" si="8"/>
        <v>2280.47018404908</v>
      </c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 t="s">
        <v>72</v>
      </c>
      <c r="C15" s="2"/>
      <c r="D15" s="2"/>
      <c r="E15" s="2"/>
      <c r="F15" s="2"/>
      <c r="G15" s="2"/>
      <c r="H15" s="2" t="s">
        <v>63</v>
      </c>
      <c r="I15" s="2"/>
      <c r="J15" s="2"/>
      <c r="K15" s="2"/>
    </row>
    <row r="16" spans="2:10">
      <c r="B16" s="10" t="s">
        <v>64</v>
      </c>
      <c r="C16" s="2"/>
      <c r="D16" s="2"/>
      <c r="E16" s="2"/>
      <c r="F16" s="2"/>
      <c r="G16" s="2"/>
      <c r="H16" s="2"/>
      <c r="I16" s="2"/>
      <c r="J16" s="2"/>
    </row>
    <row r="18" spans="2:11">
      <c r="B18" s="1" t="s">
        <v>65</v>
      </c>
      <c r="C18" s="2"/>
      <c r="D18" s="2"/>
      <c r="E18" s="2"/>
      <c r="F18" s="2"/>
      <c r="G18" s="2"/>
      <c r="H18" s="2"/>
      <c r="I18" s="2"/>
      <c r="J18" s="2"/>
      <c r="K18" s="2"/>
    </row>
    <row r="19" spans="1:21">
      <c r="A19" s="11" t="s">
        <v>66</v>
      </c>
      <c r="B19" s="4" t="s">
        <v>58</v>
      </c>
      <c r="C19" s="4" t="s">
        <v>59</v>
      </c>
      <c r="D19" s="4"/>
      <c r="E19" s="4"/>
      <c r="F19" s="4" t="s">
        <v>4</v>
      </c>
      <c r="G19" s="4"/>
      <c r="H19" s="4"/>
      <c r="I19" s="4" t="s">
        <v>60</v>
      </c>
      <c r="J19" s="4"/>
      <c r="K19" s="15"/>
      <c r="M19" s="4"/>
      <c r="N19" s="4"/>
      <c r="O19" s="4"/>
      <c r="P19" s="4"/>
      <c r="Q19" s="4"/>
      <c r="R19" s="4"/>
      <c r="S19" s="4"/>
      <c r="T19" s="4"/>
      <c r="U19" s="15"/>
    </row>
    <row r="20" spans="1:21">
      <c r="A20" s="5"/>
      <c r="B20" s="12" t="s">
        <v>27</v>
      </c>
      <c r="C20" s="6" t="s">
        <v>61</v>
      </c>
      <c r="D20" s="6"/>
      <c r="E20" s="6"/>
      <c r="F20" s="6" t="s">
        <v>61</v>
      </c>
      <c r="G20" s="6"/>
      <c r="H20" s="6"/>
      <c r="I20" s="6" t="s">
        <v>61</v>
      </c>
      <c r="J20" s="6"/>
      <c r="K20" s="16"/>
      <c r="M20" s="6"/>
      <c r="N20" s="6"/>
      <c r="O20" s="6"/>
      <c r="P20" s="6"/>
      <c r="Q20" s="6"/>
      <c r="R20" s="6"/>
      <c r="S20" s="6"/>
      <c r="T20" s="6"/>
      <c r="U20" s="16"/>
    </row>
    <row r="21" spans="1:21">
      <c r="A21" s="5"/>
      <c r="B21" s="12"/>
      <c r="C21" s="6" t="s">
        <v>24</v>
      </c>
      <c r="D21" s="6" t="s">
        <v>25</v>
      </c>
      <c r="E21" s="6" t="s">
        <v>26</v>
      </c>
      <c r="F21" s="6" t="s">
        <v>24</v>
      </c>
      <c r="G21" s="6" t="s">
        <v>25</v>
      </c>
      <c r="H21" s="6" t="s">
        <v>26</v>
      </c>
      <c r="I21" s="6" t="s">
        <v>24</v>
      </c>
      <c r="J21" s="6" t="s">
        <v>25</v>
      </c>
      <c r="K21" s="16" t="s">
        <v>26</v>
      </c>
      <c r="M21" s="18" t="s">
        <v>73</v>
      </c>
      <c r="N21" s="19"/>
      <c r="O21" s="19"/>
      <c r="P21" s="19"/>
      <c r="Q21" s="19"/>
      <c r="R21" s="19"/>
      <c r="S21" s="19"/>
      <c r="T21" s="19"/>
      <c r="U21" s="19"/>
    </row>
    <row r="22" spans="1:21">
      <c r="A22" s="5"/>
      <c r="B22" s="6" t="s">
        <v>29</v>
      </c>
      <c r="C22" s="6">
        <v>101452635</v>
      </c>
      <c r="D22" s="6">
        <v>60695571</v>
      </c>
      <c r="E22" s="6">
        <v>83853712</v>
      </c>
      <c r="F22" s="6">
        <v>81162108</v>
      </c>
      <c r="G22" s="6">
        <v>48556457</v>
      </c>
      <c r="H22" s="6">
        <v>67082970</v>
      </c>
      <c r="I22" s="6">
        <v>61886107</v>
      </c>
      <c r="J22" s="6">
        <v>37024298</v>
      </c>
      <c r="K22" s="16">
        <v>51150764</v>
      </c>
      <c r="M22" s="20">
        <f>M6/1000000*1000</f>
        <v>8.44342705521473</v>
      </c>
      <c r="N22" s="20">
        <f t="shared" ref="N22:U22" si="9">N6/1000000*1000</f>
        <v>4.61999619631902</v>
      </c>
      <c r="O22" s="20">
        <f t="shared" si="9"/>
        <v>5.17193343558282</v>
      </c>
      <c r="P22" s="20">
        <f t="shared" si="9"/>
        <v>6.75474165644172</v>
      </c>
      <c r="Q22" s="20">
        <f t="shared" si="9"/>
        <v>3.69599693251534</v>
      </c>
      <c r="R22" s="20">
        <f t="shared" si="9"/>
        <v>4.13754674846626</v>
      </c>
      <c r="S22" s="20">
        <f t="shared" si="9"/>
        <v>5.15049049079755</v>
      </c>
      <c r="T22" s="20">
        <f t="shared" si="9"/>
        <v>2.81819766871166</v>
      </c>
      <c r="U22" s="20">
        <f t="shared" si="9"/>
        <v>3.15487938650307</v>
      </c>
    </row>
    <row r="23" spans="1:21">
      <c r="A23" s="5"/>
      <c r="B23" s="6" t="s">
        <v>35</v>
      </c>
      <c r="C23" s="6">
        <v>102611857</v>
      </c>
      <c r="D23" s="6">
        <v>60339370</v>
      </c>
      <c r="E23" s="6">
        <v>60911953</v>
      </c>
      <c r="F23" s="6">
        <v>82089486</v>
      </c>
      <c r="G23" s="6">
        <v>48271496</v>
      </c>
      <c r="H23" s="6">
        <v>48729562</v>
      </c>
      <c r="I23" s="6">
        <v>62593233</v>
      </c>
      <c r="J23" s="6">
        <v>36807016</v>
      </c>
      <c r="K23" s="16">
        <v>37156291</v>
      </c>
      <c r="M23" s="20">
        <f t="shared" ref="M23:M29" si="10">M7/1000000*1000</f>
        <v>8.54281196319018</v>
      </c>
      <c r="N23" s="20">
        <f t="shared" ref="N23:U23" si="11">N7/1000000*1000</f>
        <v>4.61999619631902</v>
      </c>
      <c r="O23" s="20">
        <f t="shared" si="11"/>
        <v>3.73940398773006</v>
      </c>
      <c r="P23" s="20">
        <f t="shared" si="11"/>
        <v>6.83424957055215</v>
      </c>
      <c r="Q23" s="20">
        <f t="shared" si="11"/>
        <v>3.69599693251534</v>
      </c>
      <c r="R23" s="20">
        <f t="shared" si="11"/>
        <v>2.99152319018405</v>
      </c>
      <c r="S23" s="20">
        <f t="shared" si="11"/>
        <v>5.21111527607362</v>
      </c>
      <c r="T23" s="20">
        <f t="shared" si="11"/>
        <v>2.81819766871166</v>
      </c>
      <c r="U23" s="20">
        <f t="shared" si="11"/>
        <v>2.28103644171779</v>
      </c>
    </row>
    <row r="24" spans="1:21">
      <c r="A24" s="5"/>
      <c r="B24" s="6" t="s">
        <v>36</v>
      </c>
      <c r="C24" s="6">
        <v>102611857</v>
      </c>
      <c r="D24" s="6">
        <v>60339370</v>
      </c>
      <c r="E24" s="6">
        <v>60896842</v>
      </c>
      <c r="F24" s="6">
        <v>82089486</v>
      </c>
      <c r="G24" s="6">
        <v>48271496</v>
      </c>
      <c r="H24" s="6">
        <v>48717474</v>
      </c>
      <c r="I24" s="6">
        <v>62593233</v>
      </c>
      <c r="J24" s="6">
        <v>36807016</v>
      </c>
      <c r="K24" s="16">
        <v>37147074</v>
      </c>
      <c r="M24" s="20">
        <f t="shared" si="10"/>
        <v>8.54281196319018</v>
      </c>
      <c r="N24" s="20">
        <f t="shared" ref="N24:U24" si="12">N8/1000000*1000</f>
        <v>4.61999619631902</v>
      </c>
      <c r="O24" s="20">
        <f t="shared" si="12"/>
        <v>3.73878509202454</v>
      </c>
      <c r="P24" s="20">
        <f t="shared" si="12"/>
        <v>6.83424957055215</v>
      </c>
      <c r="Q24" s="20">
        <f t="shared" si="12"/>
        <v>3.69599693251534</v>
      </c>
      <c r="R24" s="20">
        <f t="shared" si="12"/>
        <v>2.99102803680982</v>
      </c>
      <c r="S24" s="20">
        <f t="shared" si="12"/>
        <v>5.21111527607362</v>
      </c>
      <c r="T24" s="20">
        <f t="shared" si="12"/>
        <v>2.81819766871166</v>
      </c>
      <c r="U24" s="20">
        <f t="shared" si="12"/>
        <v>2.28065889570552</v>
      </c>
    </row>
    <row r="25" spans="1:21">
      <c r="A25" s="5"/>
      <c r="B25" s="6" t="s">
        <v>37</v>
      </c>
      <c r="C25" s="6">
        <v>102611857</v>
      </c>
      <c r="D25" s="6">
        <v>60339370</v>
      </c>
      <c r="E25" s="6">
        <v>60891807</v>
      </c>
      <c r="F25" s="6">
        <v>82089486</v>
      </c>
      <c r="G25" s="6">
        <v>48271496</v>
      </c>
      <c r="H25" s="6">
        <v>48713446</v>
      </c>
      <c r="I25" s="6">
        <v>62593233</v>
      </c>
      <c r="J25" s="6">
        <v>36807016</v>
      </c>
      <c r="K25" s="16">
        <v>37144002</v>
      </c>
      <c r="M25" s="20">
        <f t="shared" si="10"/>
        <v>8.54281196319018</v>
      </c>
      <c r="N25" s="20">
        <f t="shared" ref="N25:U25" si="13">N9/1000000*1000</f>
        <v>4.61999619631902</v>
      </c>
      <c r="O25" s="20">
        <f t="shared" si="13"/>
        <v>3.73847570552147</v>
      </c>
      <c r="P25" s="20">
        <f t="shared" si="13"/>
        <v>6.83424957055215</v>
      </c>
      <c r="Q25" s="20">
        <f t="shared" si="13"/>
        <v>3.69599693251534</v>
      </c>
      <c r="R25" s="20">
        <f t="shared" si="13"/>
        <v>2.99078055214724</v>
      </c>
      <c r="S25" s="20">
        <f t="shared" si="13"/>
        <v>5.21111527607362</v>
      </c>
      <c r="T25" s="20">
        <f t="shared" si="13"/>
        <v>2.81819766871166</v>
      </c>
      <c r="U25" s="20">
        <f t="shared" si="13"/>
        <v>2.28047018404908</v>
      </c>
    </row>
    <row r="26" spans="1:21">
      <c r="A26" s="5"/>
      <c r="B26" s="6" t="s">
        <v>38</v>
      </c>
      <c r="C26" s="6">
        <v>103184963</v>
      </c>
      <c r="D26" s="6">
        <v>60339370</v>
      </c>
      <c r="E26" s="6">
        <v>60320339</v>
      </c>
      <c r="F26" s="6">
        <v>82547971</v>
      </c>
      <c r="G26" s="6">
        <v>48271496</v>
      </c>
      <c r="H26" s="6">
        <v>48256271</v>
      </c>
      <c r="I26" s="6">
        <v>62942828</v>
      </c>
      <c r="J26" s="6">
        <v>36807016</v>
      </c>
      <c r="K26" s="16">
        <v>36795407</v>
      </c>
      <c r="M26" s="20">
        <f t="shared" si="10"/>
        <v>8.60328889570552</v>
      </c>
      <c r="N26" s="20">
        <f t="shared" ref="N26:U26" si="14">N10/1000000*1000</f>
        <v>4.61999619631902</v>
      </c>
      <c r="O26" s="20">
        <f t="shared" si="14"/>
        <v>3.70310613496932</v>
      </c>
      <c r="P26" s="20">
        <f t="shared" si="14"/>
        <v>6.88263110429448</v>
      </c>
      <c r="Q26" s="20">
        <f t="shared" si="14"/>
        <v>3.69599693251534</v>
      </c>
      <c r="R26" s="20">
        <f t="shared" si="14"/>
        <v>2.96248490797546</v>
      </c>
      <c r="S26" s="20">
        <f t="shared" si="14"/>
        <v>5.24800619631902</v>
      </c>
      <c r="T26" s="20">
        <f t="shared" si="14"/>
        <v>2.81819766871166</v>
      </c>
      <c r="U26" s="20">
        <f t="shared" si="14"/>
        <v>2.25889472392638</v>
      </c>
    </row>
    <row r="27" spans="1:21">
      <c r="A27" s="5"/>
      <c r="B27" s="6" t="s">
        <v>34</v>
      </c>
      <c r="C27" s="6">
        <v>103184963</v>
      </c>
      <c r="D27" s="6">
        <v>60339370</v>
      </c>
      <c r="E27" s="6">
        <v>60330407</v>
      </c>
      <c r="F27" s="6">
        <v>82547971</v>
      </c>
      <c r="G27" s="6">
        <v>48271496</v>
      </c>
      <c r="H27" s="6">
        <v>48264325</v>
      </c>
      <c r="I27" s="6">
        <v>62942828</v>
      </c>
      <c r="J27" s="6">
        <v>36807016</v>
      </c>
      <c r="K27" s="16">
        <v>36801548</v>
      </c>
      <c r="M27" s="20">
        <f t="shared" si="10"/>
        <v>8.63240656441718</v>
      </c>
      <c r="N27" s="20">
        <f t="shared" ref="N27:U27" si="15">N11/1000000*1000</f>
        <v>4.61999619631902</v>
      </c>
      <c r="O27" s="20">
        <f t="shared" si="15"/>
        <v>3.73847570552147</v>
      </c>
      <c r="P27" s="20">
        <f t="shared" si="15"/>
        <v>6.90592521472393</v>
      </c>
      <c r="Q27" s="20">
        <f t="shared" si="15"/>
        <v>3.69599693251534</v>
      </c>
      <c r="R27" s="20">
        <f t="shared" si="15"/>
        <v>2.99078055214724</v>
      </c>
      <c r="S27" s="20">
        <f t="shared" si="15"/>
        <v>5.26576797546012</v>
      </c>
      <c r="T27" s="20">
        <f t="shared" si="15"/>
        <v>2.81819766871166</v>
      </c>
      <c r="U27" s="20">
        <f t="shared" si="15"/>
        <v>2.28047018404908</v>
      </c>
    </row>
    <row r="28" spans="1:21">
      <c r="A28" s="5"/>
      <c r="B28" s="6" t="s">
        <v>32</v>
      </c>
      <c r="C28" s="6">
        <v>94944761</v>
      </c>
      <c r="D28" s="6">
        <v>60695571</v>
      </c>
      <c r="E28" s="6">
        <v>83853712</v>
      </c>
      <c r="F28" s="6">
        <v>75955809</v>
      </c>
      <c r="G28" s="6">
        <v>48556457</v>
      </c>
      <c r="H28" s="6">
        <v>67082970</v>
      </c>
      <c r="I28" s="6">
        <v>57916304</v>
      </c>
      <c r="J28" s="6">
        <v>37024298</v>
      </c>
      <c r="K28" s="16">
        <v>51150764</v>
      </c>
      <c r="M28" s="20">
        <f t="shared" si="10"/>
        <v>8.04332030674847</v>
      </c>
      <c r="N28" s="20">
        <f t="shared" ref="N28:U28" si="16">N12/1000000*1000</f>
        <v>4.61999619631902</v>
      </c>
      <c r="O28" s="20">
        <f t="shared" si="16"/>
        <v>5.17193343558282</v>
      </c>
      <c r="P28" s="20">
        <f t="shared" si="16"/>
        <v>6.43465625766871</v>
      </c>
      <c r="Q28" s="20">
        <f t="shared" si="16"/>
        <v>3.69599693251534</v>
      </c>
      <c r="R28" s="20">
        <f t="shared" si="16"/>
        <v>4.13754674846626</v>
      </c>
      <c r="S28" s="20">
        <f t="shared" si="16"/>
        <v>4.90642539877301</v>
      </c>
      <c r="T28" s="20">
        <f t="shared" si="16"/>
        <v>2.81819766871166</v>
      </c>
      <c r="U28" s="20">
        <f t="shared" si="16"/>
        <v>3.15487938650307</v>
      </c>
    </row>
    <row r="29" spans="1:21">
      <c r="A29" s="13"/>
      <c r="B29" s="9" t="s">
        <v>30</v>
      </c>
      <c r="C29" s="9">
        <v>94944761</v>
      </c>
      <c r="D29" s="9">
        <v>60339370</v>
      </c>
      <c r="E29" s="9">
        <v>60891807</v>
      </c>
      <c r="F29" s="9">
        <v>75955809</v>
      </c>
      <c r="G29" s="9">
        <v>48271496</v>
      </c>
      <c r="H29" s="9">
        <v>48713446</v>
      </c>
      <c r="I29" s="9">
        <v>57916304</v>
      </c>
      <c r="J29" s="9">
        <v>36807016</v>
      </c>
      <c r="K29" s="17">
        <v>37144002</v>
      </c>
      <c r="M29" s="20">
        <f t="shared" si="10"/>
        <v>8.04332030674847</v>
      </c>
      <c r="N29" s="20">
        <f t="shared" ref="N29:U29" si="17">N13/1000000*1000</f>
        <v>4.61999619631902</v>
      </c>
      <c r="O29" s="20">
        <f t="shared" si="17"/>
        <v>3.73847570552147</v>
      </c>
      <c r="P29" s="20">
        <f t="shared" si="17"/>
        <v>6.43465625766871</v>
      </c>
      <c r="Q29" s="20">
        <f t="shared" si="17"/>
        <v>3.69599693251534</v>
      </c>
      <c r="R29" s="20">
        <f t="shared" si="17"/>
        <v>2.99078055214724</v>
      </c>
      <c r="S29" s="20">
        <f t="shared" si="17"/>
        <v>4.90642539877301</v>
      </c>
      <c r="T29" s="20">
        <f t="shared" si="17"/>
        <v>2.81819766871166</v>
      </c>
      <c r="U29" s="20">
        <f t="shared" si="17"/>
        <v>2.28047018404908</v>
      </c>
    </row>
    <row r="30" spans="1:11">
      <c r="A30" s="11" t="s">
        <v>67</v>
      </c>
      <c r="B30" s="4" t="s">
        <v>58</v>
      </c>
      <c r="C30" s="4" t="s">
        <v>59</v>
      </c>
      <c r="D30" s="4"/>
      <c r="E30" s="4"/>
      <c r="F30" s="4" t="s">
        <v>4</v>
      </c>
      <c r="G30" s="4"/>
      <c r="H30" s="4"/>
      <c r="I30" s="4" t="s">
        <v>60</v>
      </c>
      <c r="J30" s="4"/>
      <c r="K30" s="15"/>
    </row>
    <row r="31" spans="1:11">
      <c r="A31" s="5"/>
      <c r="B31" s="12" t="s">
        <v>27</v>
      </c>
      <c r="C31" s="6" t="s">
        <v>61</v>
      </c>
      <c r="D31" s="6"/>
      <c r="E31" s="6"/>
      <c r="F31" s="6" t="s">
        <v>61</v>
      </c>
      <c r="G31" s="6"/>
      <c r="H31" s="6"/>
      <c r="I31" s="6" t="s">
        <v>61</v>
      </c>
      <c r="J31" s="6"/>
      <c r="K31" s="16"/>
    </row>
    <row r="32" spans="1:13">
      <c r="A32" s="5"/>
      <c r="B32" s="12"/>
      <c r="C32" s="6" t="s">
        <v>67</v>
      </c>
      <c r="D32" s="6"/>
      <c r="E32" s="6"/>
      <c r="F32" s="6" t="s">
        <v>67</v>
      </c>
      <c r="G32" s="6"/>
      <c r="H32" s="6"/>
      <c r="I32" s="6" t="s">
        <v>67</v>
      </c>
      <c r="J32" s="6"/>
      <c r="K32" s="16"/>
      <c r="M32" s="14"/>
    </row>
    <row r="33" spans="1:11">
      <c r="A33" s="5"/>
      <c r="B33" s="6" t="s">
        <v>29</v>
      </c>
      <c r="C33" s="2">
        <v>23137256</v>
      </c>
      <c r="D33" s="2"/>
      <c r="E33" s="2"/>
      <c r="F33" s="2">
        <v>18509805</v>
      </c>
      <c r="G33" s="2"/>
      <c r="H33" s="2"/>
      <c r="I33" s="2">
        <v>14113726</v>
      </c>
      <c r="J33" s="2"/>
      <c r="K33" s="16"/>
    </row>
    <row r="34" spans="1:11">
      <c r="A34" s="5"/>
      <c r="B34" s="6" t="s">
        <v>35</v>
      </c>
      <c r="C34" s="2">
        <v>23137256</v>
      </c>
      <c r="D34" s="2"/>
      <c r="E34" s="2"/>
      <c r="F34" s="2">
        <v>18509805</v>
      </c>
      <c r="G34" s="2"/>
      <c r="H34" s="2"/>
      <c r="I34" s="2">
        <v>14113726</v>
      </c>
      <c r="J34" s="2"/>
      <c r="K34" s="16"/>
    </row>
    <row r="35" spans="1:11">
      <c r="A35" s="5"/>
      <c r="B35" s="6" t="s">
        <v>36</v>
      </c>
      <c r="C35" s="2">
        <v>23137256</v>
      </c>
      <c r="D35" s="2"/>
      <c r="E35" s="2"/>
      <c r="F35" s="2">
        <v>18509805</v>
      </c>
      <c r="G35" s="2"/>
      <c r="H35" s="2"/>
      <c r="I35" s="2">
        <v>14113726</v>
      </c>
      <c r="J35" s="2"/>
      <c r="K35" s="16"/>
    </row>
    <row r="36" spans="1:11">
      <c r="A36" s="5"/>
      <c r="B36" s="6" t="s">
        <v>37</v>
      </c>
      <c r="C36" s="2">
        <v>23137256</v>
      </c>
      <c r="D36" s="2"/>
      <c r="E36" s="2"/>
      <c r="F36" s="2">
        <v>18509805</v>
      </c>
      <c r="G36" s="2"/>
      <c r="H36" s="2"/>
      <c r="I36" s="2">
        <v>14113726</v>
      </c>
      <c r="J36" s="2"/>
      <c r="K36" s="16"/>
    </row>
    <row r="37" spans="1:11">
      <c r="A37" s="5"/>
      <c r="B37" s="6" t="s">
        <v>38</v>
      </c>
      <c r="C37" s="2">
        <v>23137256</v>
      </c>
      <c r="D37" s="2"/>
      <c r="E37" s="2"/>
      <c r="F37" s="2">
        <v>18509805</v>
      </c>
      <c r="G37" s="2"/>
      <c r="H37" s="2"/>
      <c r="I37" s="2">
        <v>14113726</v>
      </c>
      <c r="J37" s="2"/>
      <c r="K37" s="16"/>
    </row>
    <row r="38" spans="1:11">
      <c r="A38" s="5"/>
      <c r="B38" s="6" t="s">
        <v>34</v>
      </c>
      <c r="C38" s="2">
        <v>23137256</v>
      </c>
      <c r="D38" s="2"/>
      <c r="E38" s="2"/>
      <c r="F38" s="2">
        <v>18509805</v>
      </c>
      <c r="G38" s="2"/>
      <c r="H38" s="2"/>
      <c r="I38" s="2">
        <v>14113726</v>
      </c>
      <c r="J38" s="2"/>
      <c r="K38" s="16"/>
    </row>
    <row r="39" spans="1:11">
      <c r="A39" s="5"/>
      <c r="B39" s="6" t="s">
        <v>32</v>
      </c>
      <c r="C39" s="2">
        <v>23137256</v>
      </c>
      <c r="D39" s="2"/>
      <c r="E39" s="2"/>
      <c r="F39" s="2">
        <v>18509805</v>
      </c>
      <c r="G39" s="2"/>
      <c r="H39" s="2"/>
      <c r="I39" s="2">
        <v>14113726</v>
      </c>
      <c r="J39" s="2"/>
      <c r="K39" s="16"/>
    </row>
    <row r="40" spans="1:11">
      <c r="A40" s="13"/>
      <c r="B40" s="9" t="s">
        <v>30</v>
      </c>
      <c r="C40" s="9">
        <v>23137256</v>
      </c>
      <c r="D40" s="9"/>
      <c r="E40" s="9"/>
      <c r="F40" s="9">
        <v>18509805</v>
      </c>
      <c r="G40" s="9"/>
      <c r="H40" s="9"/>
      <c r="I40" s="9">
        <v>14113726</v>
      </c>
      <c r="J40" s="9"/>
      <c r="K40" s="17"/>
    </row>
    <row r="41" spans="1:11">
      <c r="A41" s="11" t="s">
        <v>68</v>
      </c>
      <c r="B41" s="4" t="s">
        <v>58</v>
      </c>
      <c r="C41" s="4" t="s">
        <v>59</v>
      </c>
      <c r="D41" s="4"/>
      <c r="E41" s="4"/>
      <c r="F41" s="4" t="s">
        <v>4</v>
      </c>
      <c r="G41" s="4"/>
      <c r="H41" s="4"/>
      <c r="I41" s="4" t="s">
        <v>60</v>
      </c>
      <c r="J41" s="4"/>
      <c r="K41" s="15"/>
    </row>
    <row r="42" spans="1:11">
      <c r="A42" s="5"/>
      <c r="B42" s="12" t="s">
        <v>27</v>
      </c>
      <c r="C42" s="6" t="s">
        <v>61</v>
      </c>
      <c r="D42" s="6"/>
      <c r="E42" s="6"/>
      <c r="F42" s="6" t="s">
        <v>61</v>
      </c>
      <c r="G42" s="6"/>
      <c r="H42" s="6"/>
      <c r="I42" s="6" t="s">
        <v>61</v>
      </c>
      <c r="J42" s="6"/>
      <c r="K42" s="16"/>
    </row>
    <row r="43" spans="1:11">
      <c r="A43" s="5"/>
      <c r="B43" s="12"/>
      <c r="C43" s="6" t="s">
        <v>24</v>
      </c>
      <c r="D43" s="6" t="s">
        <v>25</v>
      </c>
      <c r="E43" s="6" t="s">
        <v>26</v>
      </c>
      <c r="F43" s="6" t="s">
        <v>24</v>
      </c>
      <c r="G43" s="6" t="s">
        <v>25</v>
      </c>
      <c r="H43" s="6" t="s">
        <v>26</v>
      </c>
      <c r="I43" s="6" t="s">
        <v>24</v>
      </c>
      <c r="J43" s="6" t="s">
        <v>25</v>
      </c>
      <c r="K43" s="16" t="s">
        <v>26</v>
      </c>
    </row>
    <row r="44" spans="1:11">
      <c r="A44" s="5"/>
      <c r="B44" s="6" t="s">
        <v>29</v>
      </c>
      <c r="C44" s="6">
        <v>124589891</v>
      </c>
      <c r="D44" s="6">
        <v>83832827</v>
      </c>
      <c r="E44" s="6">
        <v>106990968</v>
      </c>
      <c r="F44" s="6">
        <v>99671913</v>
      </c>
      <c r="G44" s="6">
        <v>67066262</v>
      </c>
      <c r="H44" s="6">
        <v>85592775</v>
      </c>
      <c r="I44" s="6">
        <v>75999833</v>
      </c>
      <c r="J44" s="6">
        <v>51138024</v>
      </c>
      <c r="K44" s="16">
        <v>65264490</v>
      </c>
    </row>
    <row r="45" spans="1:11">
      <c r="A45" s="5"/>
      <c r="B45" s="6" t="s">
        <v>35</v>
      </c>
      <c r="C45" s="6">
        <v>125749113</v>
      </c>
      <c r="D45" s="6">
        <v>83476626</v>
      </c>
      <c r="E45" s="6">
        <v>84049209</v>
      </c>
      <c r="F45" s="6">
        <v>100599291</v>
      </c>
      <c r="G45" s="6">
        <v>66781301</v>
      </c>
      <c r="H45" s="6">
        <v>67239367</v>
      </c>
      <c r="I45" s="6">
        <v>76706959</v>
      </c>
      <c r="J45" s="6">
        <v>50920742</v>
      </c>
      <c r="K45" s="16">
        <v>51270017</v>
      </c>
    </row>
    <row r="46" spans="1:11">
      <c r="A46" s="5"/>
      <c r="B46" s="6" t="s">
        <v>36</v>
      </c>
      <c r="C46" s="6">
        <v>125749113</v>
      </c>
      <c r="D46" s="6">
        <v>83476626</v>
      </c>
      <c r="E46" s="6">
        <v>84034098</v>
      </c>
      <c r="F46" s="6">
        <v>100599291</v>
      </c>
      <c r="G46" s="6">
        <v>66781301</v>
      </c>
      <c r="H46" s="6">
        <v>67227279</v>
      </c>
      <c r="I46" s="6">
        <v>76706959</v>
      </c>
      <c r="J46" s="6">
        <v>50920742</v>
      </c>
      <c r="K46" s="16">
        <v>51260800</v>
      </c>
    </row>
    <row r="47" spans="1:11">
      <c r="A47" s="5"/>
      <c r="B47" s="6" t="s">
        <v>37</v>
      </c>
      <c r="C47" s="6">
        <v>125749113</v>
      </c>
      <c r="D47" s="6">
        <v>83476626</v>
      </c>
      <c r="E47" s="6">
        <v>84029063</v>
      </c>
      <c r="F47" s="6">
        <v>100599291</v>
      </c>
      <c r="G47" s="6">
        <v>66781301</v>
      </c>
      <c r="H47" s="6">
        <v>67223251</v>
      </c>
      <c r="I47" s="6">
        <v>76706959</v>
      </c>
      <c r="J47" s="6">
        <v>50920742</v>
      </c>
      <c r="K47" s="16">
        <v>51257728</v>
      </c>
    </row>
    <row r="48" spans="1:11">
      <c r="A48" s="5"/>
      <c r="B48" s="6" t="s">
        <v>38</v>
      </c>
      <c r="C48" s="6">
        <v>126322219</v>
      </c>
      <c r="D48" s="6">
        <v>83476626</v>
      </c>
      <c r="E48" s="6">
        <v>83457595</v>
      </c>
      <c r="F48" s="6">
        <v>101057776</v>
      </c>
      <c r="G48" s="6">
        <v>66781301</v>
      </c>
      <c r="H48" s="6">
        <v>66766076</v>
      </c>
      <c r="I48" s="6">
        <v>77056554</v>
      </c>
      <c r="J48" s="6">
        <v>50920742</v>
      </c>
      <c r="K48" s="16">
        <v>50909133</v>
      </c>
    </row>
    <row r="49" spans="1:11">
      <c r="A49" s="5"/>
      <c r="B49" s="6" t="s">
        <v>34</v>
      </c>
      <c r="C49" s="6">
        <v>126322219</v>
      </c>
      <c r="D49" s="6">
        <v>83476626</v>
      </c>
      <c r="E49" s="6">
        <v>83467663</v>
      </c>
      <c r="F49" s="6">
        <v>101057776</v>
      </c>
      <c r="G49" s="6">
        <v>66781301</v>
      </c>
      <c r="H49" s="6">
        <v>66774130</v>
      </c>
      <c r="I49" s="6">
        <v>77056554</v>
      </c>
      <c r="J49" s="6">
        <v>50920742</v>
      </c>
      <c r="K49" s="16">
        <v>50915274</v>
      </c>
    </row>
    <row r="50" spans="1:11">
      <c r="A50" s="5"/>
      <c r="B50" s="6" t="s">
        <v>32</v>
      </c>
      <c r="C50" s="6">
        <v>118082017</v>
      </c>
      <c r="D50" s="6">
        <v>83832827</v>
      </c>
      <c r="E50" s="6">
        <v>106990968</v>
      </c>
      <c r="F50" s="6">
        <v>94465614</v>
      </c>
      <c r="G50" s="6">
        <v>67066262</v>
      </c>
      <c r="H50" s="6">
        <v>85592775</v>
      </c>
      <c r="I50" s="6">
        <v>72030030</v>
      </c>
      <c r="J50" s="6">
        <v>51138024</v>
      </c>
      <c r="K50" s="16">
        <v>65264490</v>
      </c>
    </row>
    <row r="51" spans="1:11">
      <c r="A51" s="13"/>
      <c r="B51" s="9" t="s">
        <v>30</v>
      </c>
      <c r="C51" s="9">
        <v>118082017</v>
      </c>
      <c r="D51" s="9">
        <v>83476626</v>
      </c>
      <c r="E51" s="9">
        <v>84029063</v>
      </c>
      <c r="F51" s="9">
        <v>94465614</v>
      </c>
      <c r="G51" s="9">
        <v>66781301</v>
      </c>
      <c r="H51" s="9">
        <v>67223251</v>
      </c>
      <c r="I51" s="9">
        <v>72030030</v>
      </c>
      <c r="J51" s="9">
        <v>50920742</v>
      </c>
      <c r="K51" s="17">
        <v>51257728</v>
      </c>
    </row>
    <row r="52" spans="2:11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>
      <c r="B53" s="2" t="s">
        <v>74</v>
      </c>
      <c r="C53" s="2"/>
      <c r="D53" s="2"/>
      <c r="E53" s="2"/>
      <c r="F53" s="2"/>
      <c r="G53" s="2"/>
      <c r="H53" s="2" t="s">
        <v>63</v>
      </c>
      <c r="I53" s="2"/>
      <c r="J53" s="2"/>
      <c r="K53" s="2"/>
    </row>
    <row r="54" spans="2:11">
      <c r="B54" s="10" t="s">
        <v>64</v>
      </c>
      <c r="C54" s="2"/>
      <c r="D54" s="2"/>
      <c r="E54" s="2"/>
      <c r="F54" s="2"/>
      <c r="G54" s="2"/>
      <c r="H54" s="2"/>
      <c r="I54" s="2"/>
      <c r="J54" s="2"/>
      <c r="K54" s="2"/>
    </row>
  </sheetData>
  <mergeCells count="70">
    <mergeCell ref="C3:E3"/>
    <mergeCell ref="F3:H3"/>
    <mergeCell ref="I3:K3"/>
    <mergeCell ref="M3:O3"/>
    <mergeCell ref="P3:R3"/>
    <mergeCell ref="S3:U3"/>
    <mergeCell ref="C4:E4"/>
    <mergeCell ref="F4:H4"/>
    <mergeCell ref="I4:K4"/>
    <mergeCell ref="M4:O4"/>
    <mergeCell ref="P4:R4"/>
    <mergeCell ref="S4:U4"/>
    <mergeCell ref="C19:E19"/>
    <mergeCell ref="F19:H19"/>
    <mergeCell ref="I19:K19"/>
    <mergeCell ref="M19:O19"/>
    <mergeCell ref="P19:R19"/>
    <mergeCell ref="S19:U19"/>
    <mergeCell ref="C20:E20"/>
    <mergeCell ref="F20:H20"/>
    <mergeCell ref="I20:K20"/>
    <mergeCell ref="M20:O20"/>
    <mergeCell ref="P20:R20"/>
    <mergeCell ref="S20:U20"/>
    <mergeCell ref="C30:E30"/>
    <mergeCell ref="F30:H30"/>
    <mergeCell ref="I30:K30"/>
    <mergeCell ref="C31:E31"/>
    <mergeCell ref="F31:H31"/>
    <mergeCell ref="I31:K31"/>
    <mergeCell ref="C32:E32"/>
    <mergeCell ref="F32:H32"/>
    <mergeCell ref="I32:K32"/>
    <mergeCell ref="C33:E33"/>
    <mergeCell ref="F33:H33"/>
    <mergeCell ref="I33:K33"/>
    <mergeCell ref="C34:E34"/>
    <mergeCell ref="F34:H34"/>
    <mergeCell ref="I34:K34"/>
    <mergeCell ref="C35:E35"/>
    <mergeCell ref="F35:H35"/>
    <mergeCell ref="I35:K35"/>
    <mergeCell ref="C36:E36"/>
    <mergeCell ref="F36:H36"/>
    <mergeCell ref="I36:K36"/>
    <mergeCell ref="C37:E37"/>
    <mergeCell ref="F37:H37"/>
    <mergeCell ref="I37:K37"/>
    <mergeCell ref="C38:E38"/>
    <mergeCell ref="F38:H38"/>
    <mergeCell ref="I38:K38"/>
    <mergeCell ref="C39:E39"/>
    <mergeCell ref="F39:H39"/>
    <mergeCell ref="I39:K39"/>
    <mergeCell ref="C40:E40"/>
    <mergeCell ref="F40:H40"/>
    <mergeCell ref="I40:K40"/>
    <mergeCell ref="C41:E41"/>
    <mergeCell ref="F41:H41"/>
    <mergeCell ref="I41:K41"/>
    <mergeCell ref="C42:E42"/>
    <mergeCell ref="F42:H42"/>
    <mergeCell ref="I42:K42"/>
    <mergeCell ref="A19:A29"/>
    <mergeCell ref="A30:A40"/>
    <mergeCell ref="A41:A51"/>
    <mergeCell ref="B4:B5"/>
    <mergeCell ref="B20:B21"/>
    <mergeCell ref="B31:B32"/>
    <mergeCell ref="B42:B43"/>
  </mergeCells>
  <hyperlinks>
    <hyperlink ref="B16" r:id="rId1" display="https://www.sciencedirect.com/science/article/pii/S0956053X21006267"/>
    <hyperlink ref="B54" r:id="rId1" display="https://www.sciencedirect.com/science/article/pii/S0956053X2100626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Xiao's Translation</vt:lpstr>
      <vt:lpstr>Lower Bound Throughout (10840) </vt:lpstr>
      <vt:lpstr>Higher Bound Throughput (16300)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xli9</cp:lastModifiedBy>
  <dcterms:created xsi:type="dcterms:W3CDTF">2024-12-02T17:30:00Z</dcterms:created>
  <dcterms:modified xsi:type="dcterms:W3CDTF">2025-03-28T14:18:57Z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017ADE37A2164145995FBD4C95484913_13</vt:lpwstr>
  </property>
  <property fmtid="{D5CDD505-2E9C-101B-9397-08002B2CF9AE}" pid="3" name="KSOProductBuildVer">
    <vt:lpwstr>1033-12.2.0.20326</vt:lpwstr>
  </property>
</Properties>
</file>