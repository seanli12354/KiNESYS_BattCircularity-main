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KiNESYS_BattCircularity-main\"/>
    </mc:Choice>
  </mc:AlternateContent>
  <xr:revisionPtr revIDLastSave="0" documentId="13_ncr:1_{8950D78C-009E-4CD3-BACC-E60AD3C4DBAF}" xr6:coauthVersionLast="47" xr6:coauthVersionMax="47" xr10:uidLastSave="{00000000-0000-0000-0000-000000000000}"/>
  <bookViews>
    <workbookView xWindow="-98" yWindow="-98" windowWidth="28996" windowHeight="17475" firstSheet="2" activeTab="2" xr2:uid="{00000000-000D-0000-FFFF-FFFF00000000}"/>
  </bookViews>
  <sheets>
    <sheet name="ScenMap" sheetId="64" r:id="rId1"/>
    <sheet name="TS_Defs" sheetId="80" r:id="rId2"/>
    <sheet name="TS_Defs Sankey" sheetId="85" r:id="rId3"/>
    <sheet name="Steel" sheetId="92" r:id="rId4"/>
    <sheet name="TS_Defs repUCs" sheetId="87" r:id="rId5"/>
    <sheet name="TS_ratios" sheetId="86" r:id="rId6"/>
    <sheet name="PSET_Map" sheetId="58" r:id="rId7"/>
    <sheet name="CSET_Map" sheetId="82" r:id="rId8"/>
    <sheet name="cname_map" sheetId="83" r:id="rId9"/>
    <sheet name="pname_map" sheetId="88" r:id="rId10"/>
    <sheet name="varbl map" sheetId="77" r:id="rId11"/>
    <sheet name="process map" sheetId="78" r:id="rId12"/>
    <sheet name="commodity map" sheetId="79" r:id="rId13"/>
    <sheet name="UnitConv_TIAM" sheetId="38" r:id="rId14"/>
    <sheet name="lang" sheetId="91" r:id="rId15"/>
  </sheets>
  <definedNames>
    <definedName name="_xlnm._FilterDatabase" localSheetId="11" hidden="1">'process map'!$A$2:$F$208</definedName>
    <definedName name="_xlnm._FilterDatabase" localSheetId="0" hidden="1">ScenMap!$G$5:$G$9</definedName>
    <definedName name="_xlnm._FilterDatabase" localSheetId="1" hidden="1">TS_Defs!$N$2:$O$49</definedName>
    <definedName name="_xlnm._FilterDatabase" localSheetId="4" hidden="1">'TS_Defs repUCs'!$P$2:$Q$2</definedName>
    <definedName name="_xlnm._FilterDatabase" localSheetId="2" hidden="1">'TS_Defs Sankey'!$L$2:$M$2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64" l="1"/>
  <c r="B8" i="64"/>
  <c r="G8" i="64" s="1"/>
  <c r="B9" i="64"/>
  <c r="G9" i="64" s="1"/>
  <c r="B10" i="64"/>
  <c r="G10" i="64" s="1"/>
  <c r="B11" i="64"/>
  <c r="G11" i="64" s="1"/>
  <c r="B7" i="64"/>
  <c r="G7" i="64" s="1"/>
  <c r="C7" i="79" l="1"/>
  <c r="C6" i="79"/>
  <c r="B78" i="85"/>
  <c r="P16" i="80" l="1"/>
  <c r="P13" i="80"/>
  <c r="Q13" i="80" s="1"/>
  <c r="D29" i="38"/>
  <c r="P42" i="80" l="1"/>
  <c r="Q42" i="80" s="1"/>
  <c r="G6" i="85"/>
  <c r="H6" i="82"/>
  <c r="G70" i="85"/>
  <c r="G71" i="85" s="1"/>
  <c r="B70" i="85"/>
  <c r="B69" i="85"/>
  <c r="H28" i="58"/>
  <c r="H19" i="58"/>
  <c r="H39" i="58"/>
  <c r="H56" i="58"/>
  <c r="H96" i="58"/>
  <c r="H19" i="82"/>
  <c r="H29" i="82"/>
  <c r="P32" i="80"/>
  <c r="Q32" i="80" s="1"/>
  <c r="O67" i="80"/>
  <c r="O66" i="80"/>
  <c r="O65" i="80"/>
  <c r="O64" i="80"/>
  <c r="O63" i="80"/>
  <c r="E12" i="92"/>
  <c r="B3" i="92" s="1"/>
  <c r="B4" i="92" s="1"/>
  <c r="E38" i="92"/>
  <c r="C3" i="92" s="1"/>
  <c r="B6" i="88" l="1"/>
  <c r="B7" i="88"/>
  <c r="B8" i="88"/>
  <c r="B9" i="88"/>
  <c r="B10" i="88"/>
  <c r="B11" i="88"/>
  <c r="B12" i="88"/>
  <c r="B13" i="88"/>
  <c r="B14" i="88"/>
  <c r="B15" i="88"/>
  <c r="B16" i="88"/>
  <c r="B17" i="88"/>
  <c r="B18" i="88"/>
  <c r="B19" i="88"/>
  <c r="B20" i="88"/>
  <c r="B21" i="88"/>
  <c r="B22" i="88"/>
  <c r="B23" i="88"/>
  <c r="B24" i="88"/>
  <c r="B25" i="88"/>
  <c r="B26" i="88"/>
  <c r="B27" i="88"/>
  <c r="B28" i="88"/>
  <c r="B29" i="88"/>
  <c r="B30" i="88"/>
  <c r="B31" i="88"/>
  <c r="B32" i="88"/>
  <c r="B33" i="88"/>
  <c r="B34" i="88"/>
  <c r="B35" i="88"/>
  <c r="B36" i="88"/>
  <c r="B37" i="88"/>
  <c r="B38" i="88"/>
  <c r="B39" i="88"/>
  <c r="B40" i="88"/>
  <c r="B41" i="88"/>
  <c r="B42" i="88"/>
  <c r="B43" i="88"/>
  <c r="B44" i="88"/>
  <c r="B45" i="88"/>
  <c r="B46" i="88"/>
  <c r="B47" i="88"/>
  <c r="B48" i="88"/>
  <c r="B49" i="88"/>
  <c r="B50" i="88"/>
  <c r="B51" i="88"/>
  <c r="B52" i="88"/>
  <c r="B53" i="88"/>
  <c r="B54" i="88"/>
  <c r="B55" i="88"/>
  <c r="B56" i="88"/>
  <c r="B57" i="88"/>
  <c r="B58" i="88"/>
  <c r="B59" i="88"/>
  <c r="B60" i="88"/>
  <c r="B61" i="88"/>
  <c r="B62" i="88"/>
  <c r="B63" i="88"/>
  <c r="B64" i="88"/>
  <c r="B65" i="88"/>
  <c r="B66" i="88"/>
  <c r="B67" i="88"/>
  <c r="B68" i="88"/>
  <c r="B69" i="88"/>
  <c r="B70" i="88"/>
  <c r="B71" i="88"/>
  <c r="B72" i="88"/>
  <c r="B73" i="88"/>
  <c r="B74" i="88"/>
  <c r="B75" i="88"/>
  <c r="B76" i="88"/>
  <c r="B77" i="88"/>
  <c r="B78" i="88"/>
  <c r="B79" i="88"/>
  <c r="B80" i="88"/>
  <c r="B81" i="88"/>
  <c r="B82" i="88"/>
  <c r="B83" i="88"/>
  <c r="B84" i="88"/>
  <c r="B85" i="88"/>
  <c r="B86" i="88"/>
  <c r="B87" i="88"/>
  <c r="B88" i="88"/>
  <c r="B89" i="88"/>
  <c r="B90" i="88"/>
  <c r="B91" i="88"/>
  <c r="B92" i="88"/>
  <c r="B93" i="88"/>
  <c r="B94" i="88"/>
  <c r="B95" i="88"/>
  <c r="B96" i="88"/>
  <c r="B97" i="88"/>
  <c r="B98" i="88"/>
  <c r="B99" i="88"/>
  <c r="B100" i="88"/>
  <c r="B101" i="88"/>
  <c r="B102" i="88"/>
  <c r="B103" i="88"/>
  <c r="B104" i="88"/>
  <c r="B105" i="88"/>
  <c r="B106" i="88"/>
  <c r="B107" i="88"/>
  <c r="B108" i="88"/>
  <c r="B109" i="88"/>
  <c r="B110" i="88"/>
  <c r="B111" i="88"/>
  <c r="B112" i="88"/>
  <c r="B113" i="88"/>
  <c r="B114" i="88"/>
  <c r="B115" i="88"/>
  <c r="B116" i="88"/>
  <c r="B117" i="88"/>
  <c r="B118" i="88"/>
  <c r="B119" i="88"/>
  <c r="B120" i="88"/>
  <c r="B121" i="88"/>
  <c r="B122" i="88"/>
  <c r="B123" i="88"/>
  <c r="B124" i="88"/>
  <c r="B125" i="88"/>
  <c r="B126" i="88"/>
  <c r="B127" i="88"/>
  <c r="B128" i="88"/>
  <c r="B129" i="88"/>
  <c r="B130" i="88"/>
  <c r="B131" i="88"/>
  <c r="B132" i="88"/>
  <c r="B133" i="88"/>
  <c r="B134" i="88"/>
  <c r="B135" i="88"/>
  <c r="B136" i="88"/>
  <c r="B137" i="88"/>
  <c r="B138" i="88"/>
  <c r="B139" i="88"/>
  <c r="B140" i="88"/>
  <c r="B141" i="88"/>
  <c r="B142" i="88"/>
  <c r="B143" i="88"/>
  <c r="B144" i="88"/>
  <c r="B5" i="88"/>
  <c r="G12" i="85"/>
  <c r="G11" i="85"/>
  <c r="B59" i="85"/>
  <c r="B49" i="85" l="1"/>
  <c r="B50" i="85"/>
  <c r="B60" i="85"/>
  <c r="A11" i="64"/>
  <c r="A10" i="64"/>
  <c r="B53" i="58"/>
  <c r="C53" i="58" s="1"/>
  <c r="B52" i="58"/>
  <c r="C52" i="58" s="1"/>
  <c r="B51" i="58"/>
  <c r="C51" i="58" s="1"/>
  <c r="B50" i="58"/>
  <c r="C50" i="58" s="1"/>
  <c r="B49" i="58"/>
  <c r="C49" i="58" s="1"/>
  <c r="B48" i="58"/>
  <c r="C48" i="58" s="1"/>
  <c r="A9" i="64"/>
  <c r="A8" i="64"/>
  <c r="A7" i="64"/>
  <c r="A6" i="64"/>
  <c r="D30" i="38" l="1"/>
  <c r="C43" i="58" l="1"/>
  <c r="C15" i="82"/>
  <c r="O61" i="80"/>
  <c r="O60" i="80"/>
  <c r="O59" i="80"/>
  <c r="O58" i="80"/>
  <c r="P50" i="80"/>
  <c r="Q50" i="80" s="1"/>
  <c r="M9" i="85"/>
  <c r="M8" i="85"/>
  <c r="J9" i="85"/>
  <c r="C9" i="85"/>
  <c r="J8" i="85"/>
  <c r="H8" i="85"/>
  <c r="C8" i="85"/>
  <c r="A9" i="85"/>
  <c r="A8" i="85"/>
  <c r="O57" i="80"/>
  <c r="O56" i="80"/>
  <c r="P55" i="80"/>
  <c r="Q55" i="80" s="1"/>
  <c r="P54" i="80"/>
  <c r="Q54" i="80" s="1"/>
  <c r="P10" i="80"/>
  <c r="Q10" i="80" s="1"/>
  <c r="C15" i="85"/>
  <c r="C11" i="82"/>
  <c r="C19" i="82"/>
  <c r="P15" i="80"/>
  <c r="P30" i="80"/>
  <c r="Q30" i="80" s="1"/>
  <c r="C55" i="58"/>
  <c r="Q12" i="87"/>
  <c r="R12" i="87" s="1"/>
  <c r="S12" i="87" s="1"/>
  <c r="Q13" i="87"/>
  <c r="R13" i="87"/>
  <c r="S13" i="87" s="1"/>
  <c r="Q14" i="87"/>
  <c r="R14" i="87"/>
  <c r="S14" i="87"/>
  <c r="Q15" i="87"/>
  <c r="R15" i="87"/>
  <c r="S15" i="87"/>
  <c r="Q16" i="87"/>
  <c r="R16" i="87"/>
  <c r="S16" i="87" s="1"/>
  <c r="Q17" i="87"/>
  <c r="R17" i="87" s="1"/>
  <c r="S17" i="87" s="1"/>
  <c r="Q18" i="87"/>
  <c r="R18" i="87" s="1"/>
  <c r="S18" i="87" s="1"/>
  <c r="Q19" i="87"/>
  <c r="R19" i="87" s="1"/>
  <c r="S19" i="87" s="1"/>
  <c r="E22" i="86"/>
  <c r="E21" i="86"/>
  <c r="E20" i="86"/>
  <c r="E19" i="86"/>
  <c r="E18" i="86"/>
  <c r="E17" i="86"/>
  <c r="E16" i="86"/>
  <c r="E15" i="86"/>
  <c r="D23" i="38"/>
  <c r="D24" i="38"/>
  <c r="Q6" i="87"/>
  <c r="R6" i="87"/>
  <c r="S6" i="87"/>
  <c r="Q7" i="87"/>
  <c r="R7" i="87"/>
  <c r="S7" i="87"/>
  <c r="Q8" i="87"/>
  <c r="R8" i="87"/>
  <c r="S8" i="87" s="1"/>
  <c r="Q9" i="87"/>
  <c r="R9" i="87" s="1"/>
  <c r="S9" i="87" s="1"/>
  <c r="Q10" i="87"/>
  <c r="R10" i="87" s="1"/>
  <c r="S10" i="87" s="1"/>
  <c r="Q11" i="87"/>
  <c r="R11" i="87"/>
  <c r="S11" i="87" s="1"/>
  <c r="Q5" i="87"/>
  <c r="R5" i="87"/>
  <c r="S5" i="87"/>
  <c r="Q4" i="87"/>
  <c r="R4" i="87"/>
  <c r="S4" i="87"/>
  <c r="Q3" i="87"/>
  <c r="R3" i="87"/>
  <c r="S3" i="87"/>
  <c r="P48" i="80"/>
  <c r="Q48" i="80" s="1"/>
  <c r="P47" i="80"/>
  <c r="Q47" i="80" s="1"/>
  <c r="P46" i="80"/>
  <c r="Q46" i="80" s="1"/>
  <c r="P25" i="80"/>
  <c r="P14" i="80"/>
  <c r="P41" i="80"/>
  <c r="Q41" i="80" s="1"/>
  <c r="H30" i="58"/>
  <c r="C30" i="58"/>
  <c r="P23" i="80"/>
  <c r="Q23" i="80" s="1"/>
  <c r="P22" i="80"/>
  <c r="Q22" i="80" s="1"/>
  <c r="P21" i="80"/>
  <c r="Q21" i="80" s="1"/>
  <c r="P20" i="80"/>
  <c r="Q20" i="80" s="1"/>
  <c r="P11" i="80"/>
  <c r="P35" i="80"/>
  <c r="Q35" i="80" s="1"/>
  <c r="P24" i="80"/>
  <c r="P19" i="80"/>
  <c r="Q19" i="80" s="1"/>
  <c r="P18" i="80"/>
  <c r="Q18" i="80" s="1"/>
  <c r="P17" i="80"/>
  <c r="Q17" i="80" s="1"/>
  <c r="P12" i="80"/>
  <c r="Q12" i="80" s="1"/>
  <c r="P9" i="80"/>
  <c r="P7" i="80"/>
  <c r="P53" i="80"/>
  <c r="Q53" i="80" s="1"/>
  <c r="P52" i="80"/>
  <c r="Q52" i="80" s="1"/>
  <c r="P51" i="80"/>
  <c r="Q51" i="80"/>
  <c r="L51" i="80"/>
  <c r="C27" i="58"/>
  <c r="C26" i="58"/>
  <c r="C18" i="82"/>
  <c r="C13" i="82"/>
  <c r="B48" i="77"/>
  <c r="B47" i="77"/>
  <c r="B46" i="77"/>
  <c r="B45" i="77"/>
  <c r="B44" i="77"/>
  <c r="B43" i="77"/>
  <c r="B42" i="77"/>
  <c r="B41" i="77"/>
  <c r="B40" i="77"/>
  <c r="B39" i="77"/>
  <c r="B38" i="77"/>
  <c r="B37" i="77"/>
  <c r="B36" i="77"/>
  <c r="B35" i="77"/>
  <c r="B34" i="77"/>
  <c r="I30" i="77"/>
  <c r="I29" i="77"/>
  <c r="I28" i="77"/>
  <c r="I27" i="77"/>
  <c r="I26" i="77"/>
  <c r="I25" i="77"/>
  <c r="I24" i="77"/>
  <c r="I23" i="77"/>
  <c r="I22" i="77"/>
  <c r="I21" i="77"/>
  <c r="I20" i="77"/>
  <c r="I19" i="77"/>
  <c r="I18" i="77"/>
  <c r="I17" i="77"/>
  <c r="H30" i="77"/>
  <c r="H29" i="77"/>
  <c r="H28" i="77"/>
  <c r="H27" i="77"/>
  <c r="H26" i="77"/>
  <c r="H25" i="77"/>
  <c r="H24" i="77"/>
  <c r="H23" i="77"/>
  <c r="H22" i="77"/>
  <c r="H21" i="77"/>
  <c r="H20" i="77"/>
  <c r="H19" i="77"/>
  <c r="H18" i="77"/>
  <c r="H17" i="77"/>
  <c r="H58" i="58"/>
  <c r="C58" i="58"/>
  <c r="C56" i="58"/>
  <c r="C54" i="58"/>
  <c r="C47" i="58"/>
  <c r="C46" i="58"/>
  <c r="C45" i="58"/>
  <c r="C44" i="58"/>
  <c r="C42" i="58"/>
  <c r="C41" i="58"/>
  <c r="C14" i="82"/>
  <c r="C16" i="82"/>
  <c r="C17" i="82"/>
  <c r="P49" i="80"/>
  <c r="Q49" i="80" s="1"/>
  <c r="C3" i="58"/>
  <c r="C4" i="58"/>
  <c r="C5" i="58"/>
  <c r="C6" i="58"/>
  <c r="C7" i="58"/>
  <c r="C8" i="58"/>
  <c r="C9" i="58"/>
  <c r="C10" i="58"/>
  <c r="C11" i="58"/>
  <c r="C12" i="58"/>
  <c r="C13" i="58"/>
  <c r="C14" i="58"/>
  <c r="C15" i="58"/>
  <c r="C16" i="58"/>
  <c r="C17" i="58"/>
  <c r="C18" i="58"/>
  <c r="C19" i="58"/>
  <c r="P45" i="80"/>
  <c r="Q45" i="80" s="1"/>
  <c r="P40" i="80"/>
  <c r="Q40" i="80" s="1"/>
  <c r="C24" i="58"/>
  <c r="P6" i="80"/>
  <c r="P5" i="80"/>
  <c r="P4" i="80"/>
  <c r="P3" i="80"/>
  <c r="P39" i="80"/>
  <c r="Q39" i="80" s="1"/>
  <c r="P37" i="80"/>
  <c r="Q37" i="80"/>
  <c r="P36" i="80"/>
  <c r="Q36" i="80" s="1"/>
  <c r="P34" i="80"/>
  <c r="Q34" i="80" s="1"/>
  <c r="P33" i="80"/>
  <c r="Q33" i="80" s="1"/>
  <c r="P31" i="80"/>
  <c r="Q31" i="80" s="1"/>
  <c r="C4" i="83"/>
  <c r="C5" i="83"/>
  <c r="C6" i="83"/>
  <c r="C7" i="83"/>
  <c r="C3" i="83"/>
  <c r="C4" i="82"/>
  <c r="C5" i="82"/>
  <c r="C6" i="82"/>
  <c r="C7" i="82"/>
  <c r="C8" i="82"/>
  <c r="C9" i="82"/>
  <c r="C10" i="82"/>
  <c r="C12" i="82"/>
  <c r="C3" i="82"/>
  <c r="C28" i="58"/>
  <c r="C25" i="58"/>
  <c r="C23" i="58"/>
  <c r="C22" i="58"/>
  <c r="C21" i="58"/>
  <c r="D20" i="38"/>
  <c r="P29" i="80"/>
  <c r="Q29" i="80"/>
  <c r="P28" i="80"/>
  <c r="D18" i="38"/>
  <c r="C31" i="58"/>
  <c r="C32" i="58"/>
  <c r="C33" i="58"/>
  <c r="C34" i="58"/>
  <c r="C35" i="58"/>
  <c r="C36" i="58"/>
  <c r="C37" i="58"/>
  <c r="C38" i="58"/>
  <c r="C39" i="58"/>
  <c r="D9" i="38"/>
  <c r="D17" i="38" s="1"/>
  <c r="D4" i="38"/>
  <c r="D16" i="38" s="1"/>
  <c r="H4" i="38"/>
  <c r="N10" i="38"/>
  <c r="L3" i="38"/>
  <c r="M3" i="38" s="1"/>
  <c r="B7" i="85" l="1"/>
  <c r="B9" i="85" s="1"/>
  <c r="D10" i="38"/>
  <c r="D3" i="80"/>
  <c r="B6" i="85"/>
  <c r="B8" i="85" s="1"/>
  <c r="G3" i="85"/>
  <c r="G17" i="85" l="1"/>
  <c r="G7" i="85"/>
  <c r="I5" i="80" l="1"/>
  <c r="I4" i="80"/>
  <c r="I6" i="8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B2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3/20/2013
to use as weight for aggregating over commodities or TS (or process?)
</t>
        </r>
      </text>
    </comment>
    <comment ref="D2" authorId="0" shapeId="0" xr:uid="{00000000-0006-0000-1100-000004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6/4/2011
These sets should not have common elements</t>
        </r>
      </text>
    </comment>
    <comment ref="W2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2/11/2012
Name of the aggregated Region
</t>
        </r>
      </text>
    </comment>
    <comment ref="AA2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3/29/2012
if not from EMF TS
</t>
        </r>
      </text>
    </comment>
    <comment ref="J23" authorId="0" shapeId="0" xr:uid="{D58A7D3A-D11E-42BE-A78A-C855DB4EE778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10-04-2022
energy services
</t>
        </r>
      </text>
    </comment>
    <comment ref="J24" authorId="0" shapeId="0" xr:uid="{6E4CD069-9A79-4905-AB6D-9E428AD4C5E9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03-07-2018
Removing autoproduction from here… this varbl is used in sector fuel consumption… leads to double counting
10-12-2021
Autoprod added, because EFF calculation suffers without it. Will manage sector fuel consumption.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B2" authorId="0" shapeId="0" xr:uid="{02C20EE6-1FD9-4CEE-BDC4-F1F2DEBF0E29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6/4/2011
These sets should not have common elements</t>
        </r>
      </text>
    </comment>
    <comment ref="H6" authorId="0" shapeId="0" xr:uid="{28940337-96A9-4FDF-8B08-1546588F382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15-03-2022
- SUP* accounted separately
- BF and CokeOv</t>
        </r>
      </text>
    </comment>
    <comment ref="G11" authorId="0" shapeId="0" xr:uid="{6C5CE0E8-9044-4F09-ACF5-B8FF0DB7B24C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24-02-2023
without ALLGAS
</t>
        </r>
      </text>
    </comment>
    <comment ref="G12" authorId="0" shapeId="0" xr:uid="{1DDC28A0-93B4-4218-89BA-AADACFD818A3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24-02-2023
without ALLGAS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</author>
    <author>Amit Kanudia</author>
  </authors>
  <commentList>
    <comment ref="A2" authorId="0" shapeId="0" xr:uid="{CE4F1AC7-5032-4418-836A-0EB78555CB96}">
      <text>
        <r>
          <rPr>
            <b/>
            <sz val="9"/>
            <color indexed="81"/>
            <rFont val="Tahoma"/>
            <family val="2"/>
          </rPr>
          <t>Amit:</t>
        </r>
        <r>
          <rPr>
            <sz val="9"/>
            <color indexed="81"/>
            <rFont val="Tahoma"/>
            <family val="2"/>
          </rPr>
          <t xml:space="preserve">
31-05-2012
Flag to trigger process level reporting for GIS</t>
        </r>
      </text>
    </comment>
    <comment ref="B2" authorId="1" shapeId="0" xr:uid="{F671238E-748D-4DFE-B2FA-B3C0EAAF95AE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i/>
            <sz val="8"/>
            <color indexed="81"/>
            <rFont val="Tahoma"/>
            <family val="2"/>
          </rPr>
          <t>Types:</t>
        </r>
        <r>
          <rPr>
            <sz val="8"/>
            <color indexed="81"/>
            <rFont val="Tahoma"/>
            <family val="2"/>
          </rPr>
          <t xml:space="preserve">
1: PSet
2: CName
3: Pset,Cname
4: PSet, Cset
</t>
        </r>
      </text>
    </comment>
    <comment ref="D2" authorId="1" shapeId="0" xr:uid="{000612AD-D9D8-471B-BEC2-619B1407BDB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3/20/2013
to use as weight for aggregating over commodities or TS (or process?)
</t>
        </r>
      </text>
    </comment>
    <comment ref="F2" authorId="1" shapeId="0" xr:uid="{CF9ED5BA-BF0C-406D-9206-13365A247F1D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6/4/2011
These sets should not have common elements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B01DEEA-5276-4FA8-BF3D-4032EB211A8C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18" authorId="0" shapeId="0" xr:uid="{49C8CC42-9403-44C9-9614-525CF364813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03-12-2021
to get IEA autoprod into FE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F19" authorId="0" shapeId="0" xr:uid="{34513F65-0BE4-4AB9-82A4-106F48CBC214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28-09-2022
excluding road tra batteries
</t>
        </r>
      </text>
    </comment>
    <comment ref="F39" authorId="0" shapeId="0" xr:uid="{3E3601C1-D3B6-44FE-B2CE-041FF159CFA5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28-09-2022
excluding road tra batteries
</t>
        </r>
      </text>
    </comment>
  </commentList>
</comments>
</file>

<file path=xl/sharedStrings.xml><?xml version="1.0" encoding="utf-8"?>
<sst xmlns="http://schemas.openxmlformats.org/spreadsheetml/2006/main" count="6110" uniqueCount="3769">
  <si>
    <t>Unit</t>
  </si>
  <si>
    <t>%</t>
  </si>
  <si>
    <t>Desc</t>
  </si>
  <si>
    <t>Name</t>
  </si>
  <si>
    <t>Bio</t>
  </si>
  <si>
    <t>Coal</t>
  </si>
  <si>
    <t>Gas</t>
  </si>
  <si>
    <t>Heat</t>
  </si>
  <si>
    <t>Hydrogen</t>
  </si>
  <si>
    <t>Industry</t>
  </si>
  <si>
    <t>Electricity</t>
  </si>
  <si>
    <t>Transport</t>
  </si>
  <si>
    <t>Geothermal</t>
  </si>
  <si>
    <t>Hydro</t>
  </si>
  <si>
    <t>Nuclear</t>
  </si>
  <si>
    <t>Oil</t>
  </si>
  <si>
    <t>Solar</t>
  </si>
  <si>
    <t>Wind</t>
  </si>
  <si>
    <t>World</t>
  </si>
  <si>
    <t>Commercial</t>
  </si>
  <si>
    <t>Residential</t>
  </si>
  <si>
    <t>VAR_FOUT</t>
  </si>
  <si>
    <t>TS</t>
  </si>
  <si>
    <t>EQ_COMBALM</t>
  </si>
  <si>
    <t>VAR_CAP</t>
  </si>
  <si>
    <t>GW</t>
  </si>
  <si>
    <t>*</t>
  </si>
  <si>
    <t>m$</t>
  </si>
  <si>
    <t>VAR_NCAP</t>
  </si>
  <si>
    <t>Twh</t>
  </si>
  <si>
    <t>Model</t>
  </si>
  <si>
    <t>Scen</t>
  </si>
  <si>
    <t>EJ</t>
  </si>
  <si>
    <t>$/GJ</t>
  </si>
  <si>
    <t>PJ</t>
  </si>
  <si>
    <t>Biomass</t>
  </si>
  <si>
    <t>Waste</t>
  </si>
  <si>
    <t>TIAM</t>
  </si>
  <si>
    <t>VAR_FIN</t>
  </si>
  <si>
    <t>HH2</t>
  </si>
  <si>
    <t>Renewable</t>
  </si>
  <si>
    <t>Agriculture</t>
  </si>
  <si>
    <t>TOTCO2</t>
  </si>
  <si>
    <t>Ldesc</t>
  </si>
  <si>
    <t>GEO</t>
  </si>
  <si>
    <t>HYD</t>
  </si>
  <si>
    <t>SOL</t>
  </si>
  <si>
    <t>WIN</t>
  </si>
  <si>
    <t>ProcOrd</t>
  </si>
  <si>
    <t>NRG</t>
  </si>
  <si>
    <t>million</t>
  </si>
  <si>
    <t>billion US$2005/yr</t>
  </si>
  <si>
    <t>EJ/yr</t>
  </si>
  <si>
    <t>Mt CO2/yr</t>
  </si>
  <si>
    <t>kt N2O/yr</t>
  </si>
  <si>
    <t>Mt CH4/yr</t>
  </si>
  <si>
    <t>Mt CO2-equiv/yr</t>
  </si>
  <si>
    <t>ppm</t>
  </si>
  <si>
    <t>ppb</t>
  </si>
  <si>
    <t>W/m2</t>
  </si>
  <si>
    <t>US$2005/t CO2</t>
  </si>
  <si>
    <t>US$2005/GJ</t>
  </si>
  <si>
    <t>US$2005/MWh</t>
  </si>
  <si>
    <t>$/kW</t>
  </si>
  <si>
    <t>ktU</t>
  </si>
  <si>
    <t>Mt SO2/yr</t>
  </si>
  <si>
    <t>Mt BC/yr</t>
  </si>
  <si>
    <t>Mt OC/yr</t>
  </si>
  <si>
    <t>Mt NO2/yr</t>
  </si>
  <si>
    <t>Mt CO/yr</t>
  </si>
  <si>
    <t xml:space="preserve"> °C</t>
  </si>
  <si>
    <t>million Ha/yr</t>
  </si>
  <si>
    <t>Index (2005 = 1)</t>
  </si>
  <si>
    <t>bn pkm/yr</t>
  </si>
  <si>
    <t>bn tkm/yr</t>
  </si>
  <si>
    <t>bn m2/yr</t>
  </si>
  <si>
    <t>Alt Description</t>
  </si>
  <si>
    <t>kt CO2</t>
  </si>
  <si>
    <t>kt CH4</t>
  </si>
  <si>
    <t>kt N2O</t>
  </si>
  <si>
    <t>$/t CO2</t>
  </si>
  <si>
    <t>$2000 to 2005</t>
  </si>
  <si>
    <t>EMF27 Units</t>
  </si>
  <si>
    <t>PJ-Cum</t>
  </si>
  <si>
    <t>quadrillion Btu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</si>
  <si>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</si>
  <si>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</si>
  <si>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</si>
  <si>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</si>
  <si>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</si>
  <si>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</si>
  <si>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</si>
  <si>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</si>
  <si>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</si>
  <si>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Coal (CCS)</t>
  </si>
  <si>
    <t>Gas (CCS)</t>
  </si>
  <si>
    <t>Agri</t>
  </si>
  <si>
    <t>Oname</t>
  </si>
  <si>
    <t>Crude</t>
  </si>
  <si>
    <t>Cost_INV</t>
  </si>
  <si>
    <t>IRE</t>
  </si>
  <si>
    <t>~TS_Defs</t>
  </si>
  <si>
    <t>IgnoreForRegAgg</t>
  </si>
  <si>
    <t>WAttribute</t>
  </si>
  <si>
    <t>~UnitConv</t>
  </si>
  <si>
    <t>Unit1</t>
  </si>
  <si>
    <t>Unit2</t>
  </si>
  <si>
    <t>MultFact</t>
  </si>
  <si>
    <t>VAR_NCAPR</t>
  </si>
  <si>
    <t>$/GJe</t>
  </si>
  <si>
    <t>UC_N</t>
  </si>
  <si>
    <t>$/kw</t>
  </si>
  <si>
    <t>$2000 to 2010</t>
  </si>
  <si>
    <t>DMD</t>
  </si>
  <si>
    <t>Cost_Act</t>
  </si>
  <si>
    <t>Cost_Fom</t>
  </si>
  <si>
    <t>~Pset_Map</t>
  </si>
  <si>
    <t>Pset</t>
  </si>
  <si>
    <t>$2015 to 2010</t>
  </si>
  <si>
    <t>m$npv</t>
  </si>
  <si>
    <t>$2015 to 2015</t>
  </si>
  <si>
    <t>NETs</t>
  </si>
  <si>
    <t>Snk_Avo_For</t>
  </si>
  <si>
    <t>Snk_Ref_-_T</t>
  </si>
  <si>
    <t xml:space="preserve">Reforestation </t>
  </si>
  <si>
    <t>Snk_Nat_For</t>
  </si>
  <si>
    <t>Snk_Bio_-_T</t>
  </si>
  <si>
    <t xml:space="preserve">Biochar </t>
  </si>
  <si>
    <t>Snk_Cro_Nut</t>
  </si>
  <si>
    <t>Snk_Tre_In_</t>
  </si>
  <si>
    <t xml:space="preserve">Trees in Cropland </t>
  </si>
  <si>
    <t>Snk_Avo_Pet</t>
  </si>
  <si>
    <t>Snk_Coa_Wet</t>
  </si>
  <si>
    <t>Snk_Pet_Res</t>
  </si>
  <si>
    <t xml:space="preserve">Peatland Restoration </t>
  </si>
  <si>
    <t>Avoided Forest Conv</t>
  </si>
  <si>
    <t>Nat Forest Mgmt</t>
  </si>
  <si>
    <t>Avoided Peatland</t>
  </si>
  <si>
    <t>Cstal Wetland Rstrn</t>
  </si>
  <si>
    <t>Crplnd Nutrient Mgmt</t>
  </si>
  <si>
    <t>Fuel</t>
  </si>
  <si>
    <t>Power</t>
  </si>
  <si>
    <t>Biofuels</t>
  </si>
  <si>
    <t>~varbl_map</t>
  </si>
  <si>
    <t>dimension</t>
  </si>
  <si>
    <t>name</t>
  </si>
  <si>
    <t>description</t>
  </si>
  <si>
    <t>attribute</t>
  </si>
  <si>
    <t>Final energy</t>
  </si>
  <si>
    <t>~process_map</t>
  </si>
  <si>
    <t>Cars</t>
  </si>
  <si>
    <t>Elec Generation</t>
  </si>
  <si>
    <t>Fuel Consumption</t>
  </si>
  <si>
    <t>Capacity</t>
  </si>
  <si>
    <t>Emissions</t>
  </si>
  <si>
    <t>PJe</t>
  </si>
  <si>
    <t>p</t>
  </si>
  <si>
    <t>Iron and Steel</t>
  </si>
  <si>
    <t>TRANGA</t>
  </si>
  <si>
    <t>~commodity_map</t>
  </si>
  <si>
    <t>Diesel</t>
  </si>
  <si>
    <t>Gasoline</t>
  </si>
  <si>
    <t>LNG</t>
  </si>
  <si>
    <t>CNG</t>
  </si>
  <si>
    <t>???DST</t>
  </si>
  <si>
    <t>???LNG</t>
  </si>
  <si>
    <t>???LPG</t>
  </si>
  <si>
    <t>LPG</t>
  </si>
  <si>
    <t>???JTK</t>
  </si>
  <si>
    <t>???HFO</t>
  </si>
  <si>
    <t>???KER</t>
  </si>
  <si>
    <t>Jet kero</t>
  </si>
  <si>
    <t>Heavy oil</t>
  </si>
  <si>
    <t>Kerosene</t>
  </si>
  <si>
    <t>???Nap</t>
  </si>
  <si>
    <t>Naphtha</t>
  </si>
  <si>
    <t>???PTC</t>
  </si>
  <si>
    <t>Petcoke</t>
  </si>
  <si>
    <t>Chemicals</t>
  </si>
  <si>
    <t>Pulp and Paper</t>
  </si>
  <si>
    <t>???WAS,???WHT</t>
  </si>
  <si>
    <t>*COA*</t>
  </si>
  <si>
    <t>CostType</t>
  </si>
  <si>
    <t>FixOM</t>
  </si>
  <si>
    <t>Investment</t>
  </si>
  <si>
    <t>Trade</t>
  </si>
  <si>
    <t>Variable</t>
  </si>
  <si>
    <t>Tax/Subsidy</t>
  </si>
  <si>
    <t>Act</t>
  </si>
  <si>
    <t>Deliv</t>
  </si>
  <si>
    <t>Delivery</t>
  </si>
  <si>
    <t>FOM</t>
  </si>
  <si>
    <t>c</t>
  </si>
  <si>
    <t>PJNeg</t>
  </si>
  <si>
    <t>Energy</t>
  </si>
  <si>
    <t>*BIO*</t>
  </si>
  <si>
    <t>*GAS*,*NGA*</t>
  </si>
  <si>
    <t>*ELC*</t>
  </si>
  <si>
    <t>*HET*</t>
  </si>
  <si>
    <t>*WIN*</t>
  </si>
  <si>
    <t>*HYD*</t>
  </si>
  <si>
    <t>Ren Elec</t>
  </si>
  <si>
    <t>source/use</t>
  </si>
  <si>
    <t>ENV</t>
  </si>
  <si>
    <t>kt CO2neg</t>
  </si>
  <si>
    <t>Emi/Cap</t>
  </si>
  <si>
    <t>Emi*</t>
  </si>
  <si>
    <t>Emission</t>
  </si>
  <si>
    <t>CapCO2*</t>
  </si>
  <si>
    <t>Capture</t>
  </si>
  <si>
    <t>???OVC,???COK</t>
  </si>
  <si>
    <t>Coke</t>
  </si>
  <si>
    <t>???REN</t>
  </si>
  <si>
    <t>BF gas</t>
  </si>
  <si>
    <t>???BFG,???COG</t>
  </si>
  <si>
    <t>???BDS</t>
  </si>
  <si>
    <t>Biodiesel</t>
  </si>
  <si>
    <t>???BGS</t>
  </si>
  <si>
    <t>Biogasoline</t>
  </si>
  <si>
    <t>???GSL*</t>
  </si>
  <si>
    <t>DEM</t>
  </si>
  <si>
    <t>DMD_out</t>
  </si>
  <si>
    <t>DMD_in</t>
  </si>
  <si>
    <t>Coal bro</t>
  </si>
  <si>
    <t>*COB*,*BCO*</t>
  </si>
  <si>
    <t>VAR_POUT</t>
  </si>
  <si>
    <t>PJ2gw</t>
  </si>
  <si>
    <t>Vintage</t>
  </si>
  <si>
    <t>t</t>
  </si>
  <si>
    <t>*GEO*</t>
  </si>
  <si>
    <t>*CO2Nc</t>
  </si>
  <si>
    <t>*CO2Ng</t>
  </si>
  <si>
    <t>*CO2No</t>
  </si>
  <si>
    <t>*CO2Nw</t>
  </si>
  <si>
    <t>SUP*</t>
  </si>
  <si>
    <t>CO2_emissions</t>
  </si>
  <si>
    <t>*CO2Nb</t>
  </si>
  <si>
    <t>TFC[_]*,*[_]FE[_]*,Fin E[_]*,-*[_]IND[_]*,-*[_]Fuels[_]*,FinE*,*[_]Fuels</t>
  </si>
  <si>
    <t>DMD_AGR</t>
  </si>
  <si>
    <t>DMD_COM</t>
  </si>
  <si>
    <t>DMD_RES</t>
  </si>
  <si>
    <t>DMD_IND</t>
  </si>
  <si>
    <t>~Cset_Map</t>
  </si>
  <si>
    <t>Cset</t>
  </si>
  <si>
    <t>ALLBIO</t>
  </si>
  <si>
    <t>ALLNUC</t>
  </si>
  <si>
    <t>ALLELC</t>
  </si>
  <si>
    <t>ALLGAS</t>
  </si>
  <si>
    <t>ALLCOAL</t>
  </si>
  <si>
    <t>ALLHEAT</t>
  </si>
  <si>
    <t>ALLH2</t>
  </si>
  <si>
    <t>show_me</t>
  </si>
  <si>
    <t>~CName_Map</t>
  </si>
  <si>
    <t>Cname</t>
  </si>
  <si>
    <t>TID</t>
  </si>
  <si>
    <t>Tidal</t>
  </si>
  <si>
    <t>Non-ferrous metals</t>
  </si>
  <si>
    <t>Non-metals</t>
  </si>
  <si>
    <t>Transport and machinery</t>
  </si>
  <si>
    <t>Mining and Construction</t>
  </si>
  <si>
    <t>Food processing</t>
  </si>
  <si>
    <t>Other non-specified</t>
  </si>
  <si>
    <t>~ScenMap</t>
  </si>
  <si>
    <t>~ScenG</t>
  </si>
  <si>
    <t>*NUC</t>
  </si>
  <si>
    <t>Non-Energy</t>
  </si>
  <si>
    <t>Fuel_Agg</t>
  </si>
  <si>
    <t>CO2_captured</t>
  </si>
  <si>
    <t>CO2ForStorage</t>
  </si>
  <si>
    <t>CO2_Stored</t>
  </si>
  <si>
    <t>Pri_Import</t>
  </si>
  <si>
    <t>Pjneg</t>
  </si>
  <si>
    <t>Pri_Export</t>
  </si>
  <si>
    <t>Pri_Prod</t>
  </si>
  <si>
    <t>SUP_TBLAST*,SUP_TCOK*</t>
  </si>
  <si>
    <t>PJneg</t>
  </si>
  <si>
    <t>-SUP*</t>
  </si>
  <si>
    <t>Eprod_ELAUTO*,Efuel_AUTO*</t>
  </si>
  <si>
    <t>Pri_Prod*,Pri_Imp*,Pri_Exp*,PE[_]*,PriE*,Pri E*</t>
  </si>
  <si>
    <t>DMD_AUTOP</t>
  </si>
  <si>
    <t>E*</t>
  </si>
  <si>
    <t>CHP</t>
  </si>
  <si>
    <t>-*WHT,-ELCC,-ELC</t>
  </si>
  <si>
    <t>VAR_COMPRD</t>
  </si>
  <si>
    <t>000$/tneg</t>
  </si>
  <si>
    <t>Prices</t>
  </si>
  <si>
    <t>Bus</t>
  </si>
  <si>
    <t>Trd_endo</t>
  </si>
  <si>
    <t>E_Bio</t>
  </si>
  <si>
    <t>E_Coal</t>
  </si>
  <si>
    <t>E_Gas</t>
  </si>
  <si>
    <t>E_Lignite</t>
  </si>
  <si>
    <t>Lignite</t>
  </si>
  <si>
    <t>E_Geothermal</t>
  </si>
  <si>
    <t>E_Nuclear</t>
  </si>
  <si>
    <t>E_Oil</t>
  </si>
  <si>
    <t>E_Crude</t>
  </si>
  <si>
    <t>E_Diesel</t>
  </si>
  <si>
    <t>E_Waste</t>
  </si>
  <si>
    <t>E_Hydro</t>
  </si>
  <si>
    <t>E_Solar</t>
  </si>
  <si>
    <t>E_Tidal</t>
  </si>
  <si>
    <t>E_Wind</t>
  </si>
  <si>
    <t>E_Bio-S</t>
  </si>
  <si>
    <t>Bio (CCS)</t>
  </si>
  <si>
    <t>E_Coal-S</t>
  </si>
  <si>
    <t>E_Gas-S</t>
  </si>
  <si>
    <t>ALLSOL</t>
  </si>
  <si>
    <t>ALLWIN</t>
  </si>
  <si>
    <t>ALLHYD</t>
  </si>
  <si>
    <t>ALLGEO</t>
  </si>
  <si>
    <t>Geotherm</t>
  </si>
  <si>
    <t>ALLELCi</t>
  </si>
  <si>
    <t>Int. Elec</t>
  </si>
  <si>
    <t>SNK</t>
  </si>
  <si>
    <t>SRC + SNK</t>
  </si>
  <si>
    <t>E_Thermal</t>
  </si>
  <si>
    <t>Thermal Elec</t>
  </si>
  <si>
    <t>E_Thermal-S</t>
  </si>
  <si>
    <t>Thermal CCS</t>
  </si>
  <si>
    <t>E_Renewable</t>
  </si>
  <si>
    <t>FossilProc</t>
  </si>
  <si>
    <t>IndProc</t>
  </si>
  <si>
    <t>BioRef</t>
  </si>
  <si>
    <t>BF and CokeOv</t>
  </si>
  <si>
    <t>Bio Ref</t>
  </si>
  <si>
    <t>Fossil proc</t>
  </si>
  <si>
    <t>H2_Thermal</t>
  </si>
  <si>
    <t>H2 Thermal</t>
  </si>
  <si>
    <t>H2_Elec</t>
  </si>
  <si>
    <t>H2 Elec</t>
  </si>
  <si>
    <t>&lt;cset&gt;_snk_&lt;pset&gt;</t>
  </si>
  <si>
    <t>&lt;cset&gt;_src_&lt;pset&gt;</t>
  </si>
  <si>
    <t>ELE,CHP</t>
  </si>
  <si>
    <t>&lt;cset&gt;_src_Renewable</t>
  </si>
  <si>
    <t>Extraction</t>
  </si>
  <si>
    <t>SRC</t>
  </si>
  <si>
    <t>Grid Elec</t>
  </si>
  <si>
    <t>ignore</t>
  </si>
  <si>
    <t>ALLCOALInd</t>
  </si>
  <si>
    <t>Coal Ind.</t>
  </si>
  <si>
    <t>&lt;cset&gt;_snk_Export</t>
  </si>
  <si>
    <t>&lt;cset&gt;_src_Import</t>
  </si>
  <si>
    <t>ALLOILCrd</t>
  </si>
  <si>
    <t>ALLOILPrd</t>
  </si>
  <si>
    <t>Oil Crude</t>
  </si>
  <si>
    <t>Oil Prod.</t>
  </si>
  <si>
    <t>MinBio*</t>
  </si>
  <si>
    <t>DMD_Non-En</t>
  </si>
  <si>
    <t>DMD_TRA-NR</t>
  </si>
  <si>
    <t>Tra Non-Road</t>
  </si>
  <si>
    <t>DMD_TRA-R</t>
  </si>
  <si>
    <t>Tra Road</t>
  </si>
  <si>
    <t>-MinRen*,-MinBio*,-MinNuc*</t>
  </si>
  <si>
    <t>Thermal Power</t>
  </si>
  <si>
    <t>Oil Ref</t>
  </si>
  <si>
    <t>BF and CokOv</t>
  </si>
  <si>
    <t>VAR_COMNET</t>
  </si>
  <si>
    <t>TOTCO2_check</t>
  </si>
  <si>
    <t>???CO2??,-*CO2Nb</t>
  </si>
  <si>
    <t>*OIL*,???RPP,???RFG</t>
  </si>
  <si>
    <t>Sto-CO2_CB1</t>
  </si>
  <si>
    <t>Sto-CO2_CB2</t>
  </si>
  <si>
    <t>Sto-CO2_DGF</t>
  </si>
  <si>
    <t>Sto-CO2_DGO</t>
  </si>
  <si>
    <t>Sto-CO2_DOF</t>
  </si>
  <si>
    <t>Sto-CO2_DOO</t>
  </si>
  <si>
    <t>Sto-CO2_DSA</t>
  </si>
  <si>
    <t>Sto-CO2_DSO</t>
  </si>
  <si>
    <t>Sto-CO2_EOF</t>
  </si>
  <si>
    <t>Sto-CO2_EOR</t>
  </si>
  <si>
    <t>EOR (offshore)</t>
  </si>
  <si>
    <t>EOR (onshore)</t>
  </si>
  <si>
    <t>DSA (onshore)</t>
  </si>
  <si>
    <t>DSA (offshore)</t>
  </si>
  <si>
    <t>Reg_Acost</t>
  </si>
  <si>
    <t>*ELS</t>
  </si>
  <si>
    <t>WelfareLoss</t>
  </si>
  <si>
    <t>*FIX</t>
  </si>
  <si>
    <t>*INV</t>
  </si>
  <si>
    <t>*IRE</t>
  </si>
  <si>
    <t>*VAR</t>
  </si>
  <si>
    <t>*VARX</t>
  </si>
  <si>
    <t>IMP*Z</t>
  </si>
  <si>
    <t>Dummy imports</t>
  </si>
  <si>
    <t>c,t</t>
  </si>
  <si>
    <t>ALLOILprd</t>
  </si>
  <si>
    <t>Oil prod.</t>
  </si>
  <si>
    <t>cset_set</t>
  </si>
  <si>
    <t>ele_chp</t>
  </si>
  <si>
    <t>pset_set</t>
  </si>
  <si>
    <t>ELE</t>
  </si>
  <si>
    <t>DMD_CCK</t>
  </si>
  <si>
    <t>Cooking-Com</t>
  </si>
  <si>
    <t>DMD_CHW</t>
  </si>
  <si>
    <t>Hot Water-Com</t>
  </si>
  <si>
    <t>DMD_CLA</t>
  </si>
  <si>
    <t>Lighting-Com</t>
  </si>
  <si>
    <t>DMD_CAP</t>
  </si>
  <si>
    <t>Appliances-Com</t>
  </si>
  <si>
    <t>DMD_CSC</t>
  </si>
  <si>
    <t>Space Cooling-Com</t>
  </si>
  <si>
    <t>DMD_CSH</t>
  </si>
  <si>
    <t>Space Heating-Com</t>
  </si>
  <si>
    <t>DMD_ICH</t>
  </si>
  <si>
    <t>DMD_ICH-fStock</t>
  </si>
  <si>
    <t>Chemical feedstock</t>
  </si>
  <si>
    <t>DMD_IFP</t>
  </si>
  <si>
    <t>DMD_IIS</t>
  </si>
  <si>
    <t>DMD_ILP</t>
  </si>
  <si>
    <t>DMD_IMC</t>
  </si>
  <si>
    <t>DMD_INF</t>
  </si>
  <si>
    <t>DMD_INM</t>
  </si>
  <si>
    <t>DMD_IOI</t>
  </si>
  <si>
    <t>Other Industry</t>
  </si>
  <si>
    <t>DMD_ITM</t>
  </si>
  <si>
    <t>DMD_NEU</t>
  </si>
  <si>
    <t>Non Energy Uses</t>
  </si>
  <si>
    <t>DMD_ONO</t>
  </si>
  <si>
    <t>DMD_RAP</t>
  </si>
  <si>
    <t>Appliances-Rsd</t>
  </si>
  <si>
    <t>DMD_RCK</t>
  </si>
  <si>
    <t>Cooking-Rsd</t>
  </si>
  <si>
    <t>DMD_RHW</t>
  </si>
  <si>
    <t>Hot Water-Rsd</t>
  </si>
  <si>
    <t>DMD_RLI</t>
  </si>
  <si>
    <t>Lighting-Rsd</t>
  </si>
  <si>
    <t>DMD_RSC</t>
  </si>
  <si>
    <t>Space Cooling-Rsd</t>
  </si>
  <si>
    <t>DMD_RSH</t>
  </si>
  <si>
    <t>Space Heating-Rsd</t>
  </si>
  <si>
    <t>DMD_TAD</t>
  </si>
  <si>
    <t>Domestic Aviation</t>
  </si>
  <si>
    <t>DMD_TAI</t>
  </si>
  <si>
    <t>International Aviation</t>
  </si>
  <si>
    <t>DMD_Trd_2w</t>
  </si>
  <si>
    <t>2-wheelers</t>
  </si>
  <si>
    <t>DMD_Trd_3w</t>
  </si>
  <si>
    <t>3-wheelers</t>
  </si>
  <si>
    <t>DMD_Trd_Bus</t>
  </si>
  <si>
    <t>DMD_Trd_Car</t>
  </si>
  <si>
    <t>DMD_Trd_Hdt</t>
  </si>
  <si>
    <t>Heavy Trucks</t>
  </si>
  <si>
    <t>DMD_Trd_Lcv</t>
  </si>
  <si>
    <t>Light Trucks</t>
  </si>
  <si>
    <t>DMD_TTF</t>
  </si>
  <si>
    <t>Rail-Freight</t>
  </si>
  <si>
    <t>DMD_TTP</t>
  </si>
  <si>
    <t>Rail-Passenger</t>
  </si>
  <si>
    <t>DMD_TWD</t>
  </si>
  <si>
    <t>Domestic Ships</t>
  </si>
  <si>
    <t>DMD_TWI</t>
  </si>
  <si>
    <t>International Ships</t>
  </si>
  <si>
    <t>ELCCurt</t>
  </si>
  <si>
    <t>Elec_Prod</t>
  </si>
  <si>
    <t>Elec-int_Prod</t>
  </si>
  <si>
    <t>Trd[_]*</t>
  </si>
  <si>
    <t>s_Imports</t>
  </si>
  <si>
    <t>s_Mining</t>
  </si>
  <si>
    <t>Mining</t>
  </si>
  <si>
    <t>s_Trade</t>
  </si>
  <si>
    <t>s_Utility</t>
  </si>
  <si>
    <t>s_Autoprod</t>
  </si>
  <si>
    <t>s_Energy</t>
  </si>
  <si>
    <t>s_Industry</t>
  </si>
  <si>
    <t>s_Transport</t>
  </si>
  <si>
    <t>s_Commercial</t>
  </si>
  <si>
    <t>s_Residential</t>
  </si>
  <si>
    <t>s_Agriculture</t>
  </si>
  <si>
    <t>s_Hydrogen</t>
  </si>
  <si>
    <t>s_Industry_NE</t>
  </si>
  <si>
    <t>s_Transport_NE</t>
  </si>
  <si>
    <t>s_NatSinks</t>
  </si>
  <si>
    <t>Natural Sinks</t>
  </si>
  <si>
    <t>s_CO2Storage</t>
  </si>
  <si>
    <t>CO2Storage</t>
  </si>
  <si>
    <t>s_Storage</t>
  </si>
  <si>
    <t>Storage</t>
  </si>
  <si>
    <t>s_NatGrids</t>
  </si>
  <si>
    <t>Nat Grid (RE)</t>
  </si>
  <si>
    <t>Sector</t>
  </si>
  <si>
    <t>CostINV</t>
  </si>
  <si>
    <t>CostVAR</t>
  </si>
  <si>
    <t>CostFIX</t>
  </si>
  <si>
    <t>CO2_emi*,CO2_cap*</t>
  </si>
  <si>
    <t>ELE,CHP,DMD,PRE</t>
  </si>
  <si>
    <t>CO2Captured*,CO2_DAC</t>
  </si>
  <si>
    <t>s_DAC</t>
  </si>
  <si>
    <t>Direct Air Cap</t>
  </si>
  <si>
    <t>sub_sector</t>
  </si>
  <si>
    <t>-CO2Captured*</t>
  </si>
  <si>
    <t>CO2Captured*</t>
  </si>
  <si>
    <t>pset_ci</t>
  </si>
  <si>
    <t>pset_co</t>
  </si>
  <si>
    <t>???BSL,???BIO</t>
  </si>
  <si>
    <t>???COA</t>
  </si>
  <si>
    <t>???NGA</t>
  </si>
  <si>
    <t>???COB</t>
  </si>
  <si>
    <t>???GEO</t>
  </si>
  <si>
    <t>???NUC</t>
  </si>
  <si>
    <t>???OIL</t>
  </si>
  <si>
    <t>???OIL_CRD</t>
  </si>
  <si>
    <t>???OIL_DST</t>
  </si>
  <si>
    <t>???WAS</t>
  </si>
  <si>
    <t>???HYD</t>
  </si>
  <si>
    <t>???TDL</t>
  </si>
  <si>
    <t>STG</t>
  </si>
  <si>
    <t>LCOE</t>
  </si>
  <si>
    <t>Cost*</t>
  </si>
  <si>
    <t>Ann_OBJ*</t>
  </si>
  <si>
    <t>Elec*_Prod</t>
  </si>
  <si>
    <t>Primary En and Trade</t>
  </si>
  <si>
    <t>Sector Costs</t>
  </si>
  <si>
    <t>System Costs</t>
  </si>
  <si>
    <t>&lt;cset&gt;_snk_Energy Sect</t>
  </si>
  <si>
    <t>H2_Prod</t>
  </si>
  <si>
    <t>-IRE</t>
  </si>
  <si>
    <t>H2_blue</t>
  </si>
  <si>
    <t>H2_green</t>
  </si>
  <si>
    <t>*COA*,*NGA*</t>
  </si>
  <si>
    <t>H2_bio</t>
  </si>
  <si>
    <t>*ELC*,-*COA*,-*NGA*,-*BIO*</t>
  </si>
  <si>
    <t>Val_Flo</t>
  </si>
  <si>
    <t>-ELC*,-HET,-INDELC,-INDHET</t>
  </si>
  <si>
    <t>-HH2</t>
  </si>
  <si>
    <t>C*,R*,T*</t>
  </si>
  <si>
    <t>CostFue</t>
  </si>
  <si>
    <t>DMD_IND,DMD_Non-En</t>
  </si>
  <si>
    <t>-*[_]*</t>
  </si>
  <si>
    <t>*Fue*</t>
  </si>
  <si>
    <t>En_service</t>
  </si>
  <si>
    <t>Steam</t>
  </si>
  <si>
    <t>Lighting</t>
  </si>
  <si>
    <t>Other</t>
  </si>
  <si>
    <t>Proc heat</t>
  </si>
  <si>
    <t>Proc cool</t>
  </si>
  <si>
    <t>Machine dr</t>
  </si>
  <si>
    <t>Electrochem</t>
  </si>
  <si>
    <t>Other proc</t>
  </si>
  <si>
    <t>Spc cond</t>
  </si>
  <si>
    <t>I??[_]STM[_]*</t>
  </si>
  <si>
    <t>I??[_]PRH[_]*</t>
  </si>
  <si>
    <t>I??[_]PRC[_]*</t>
  </si>
  <si>
    <t>I??[_]MDR[_]*</t>
  </si>
  <si>
    <t>I??[_]ECP[_]*</t>
  </si>
  <si>
    <t>I??[_]OTP[_]*</t>
  </si>
  <si>
    <t>I??[_]SPC[_]*</t>
  </si>
  <si>
    <t>I??[_]LIG[_]*</t>
  </si>
  <si>
    <t>I??[_]OTH[_]*</t>
  </si>
  <si>
    <t>Import (exo)</t>
  </si>
  <si>
    <t>Power-util</t>
  </si>
  <si>
    <t>Power-Auto</t>
  </si>
  <si>
    <t>Industry NE</t>
  </si>
  <si>
    <t>Transport NE</t>
  </si>
  <si>
    <t>Capacity_factor</t>
  </si>
  <si>
    <t>var_num</t>
  </si>
  <si>
    <t>var_den</t>
  </si>
  <si>
    <t>Efficiency</t>
  </si>
  <si>
    <t>~TS_Ratios</t>
  </si>
  <si>
    <t>CO2 intensity</t>
  </si>
  <si>
    <t>t/TJ</t>
  </si>
  <si>
    <t>t/Tjneg</t>
  </si>
  <si>
    <t>kt/DemU</t>
  </si>
  <si>
    <t>Capacity_roadtra</t>
  </si>
  <si>
    <t>Capacity_H2</t>
  </si>
  <si>
    <t>Fuel_cons_H2</t>
  </si>
  <si>
    <t>Fuel_cons_power</t>
  </si>
  <si>
    <t>Fuel_con*</t>
  </si>
  <si>
    <t>Capacity*</t>
  </si>
  <si>
    <t>commtype</t>
  </si>
  <si>
    <t>MAT</t>
  </si>
  <si>
    <t>Demand</t>
  </si>
  <si>
    <t>Material</t>
  </si>
  <si>
    <t>cset_cd</t>
  </si>
  <si>
    <t>Dummy</t>
  </si>
  <si>
    <t>*dummy*</t>
  </si>
  <si>
    <t>$/000vkm</t>
  </si>
  <si>
    <t>IIS,ILP,INM,INF</t>
  </si>
  <si>
    <t>$/t</t>
  </si>
  <si>
    <t>-Trd[_]*,-IIS,-ILP,-INF,-INM</t>
  </si>
  <si>
    <t>CF</t>
  </si>
  <si>
    <t>kg/Mwh</t>
  </si>
  <si>
    <t>CO2 int</t>
  </si>
  <si>
    <t>PJ/GW</t>
  </si>
  <si>
    <t>t/Mwhneg</t>
  </si>
  <si>
    <t>User_con</t>
  </si>
  <si>
    <t>rep_tra_road_pass</t>
  </si>
  <si>
    <t>rep_tra_road_frt</t>
  </si>
  <si>
    <t>rep_totco2</t>
  </si>
  <si>
    <t>bvkm</t>
  </si>
  <si>
    <t>kt</t>
  </si>
  <si>
    <t>rep_GDP</t>
  </si>
  <si>
    <t>rep_GDPAGR</t>
  </si>
  <si>
    <t>rep_GDPIND</t>
  </si>
  <si>
    <t>rep_GDPSER</t>
  </si>
  <si>
    <t>rep_HOU</t>
  </si>
  <si>
    <t>rep_POP</t>
  </si>
  <si>
    <t>b$</t>
  </si>
  <si>
    <t>Road pass/Population</t>
  </si>
  <si>
    <t>Road frt/GDP</t>
  </si>
  <si>
    <t>vkm/$</t>
  </si>
  <si>
    <t>CO2 percapita</t>
  </si>
  <si>
    <t>-I??,-ONO</t>
  </si>
  <si>
    <t>-I*,-ONO</t>
  </si>
  <si>
    <t>000 vkm pcap</t>
  </si>
  <si>
    <t>kg pcap</t>
  </si>
  <si>
    <t>rep_com_cookhw</t>
  </si>
  <si>
    <t>rep_com_lightappl</t>
  </si>
  <si>
    <t>rep_com_spcool</t>
  </si>
  <si>
    <t>rep_com_spht</t>
  </si>
  <si>
    <t>rep_res_cookhw</t>
  </si>
  <si>
    <t>rep_res_lightappl</t>
  </si>
  <si>
    <t>rep_res_spcool</t>
  </si>
  <si>
    <t>rep_res_spht</t>
  </si>
  <si>
    <t>MJ/$</t>
  </si>
  <si>
    <t>GJ/HH</t>
  </si>
  <si>
    <t>Macro Indices</t>
  </si>
  <si>
    <t>*GDP*,*popu*,*percap*,*househo*,-rep*</t>
  </si>
  <si>
    <t>rep_hou,rep_pop,rep_gdp*</t>
  </si>
  <si>
    <t>Macro drivers</t>
  </si>
  <si>
    <t>y</t>
  </si>
  <si>
    <t>include_null</t>
  </si>
  <si>
    <t>H2_Bio</t>
  </si>
  <si>
    <t>H2 Bio</t>
  </si>
  <si>
    <t>-SUP*,-COAOVC,-COATAR,-*BFG,-ELCHH2</t>
  </si>
  <si>
    <t>T_neg_andor</t>
  </si>
  <si>
    <t>OR</t>
  </si>
  <si>
    <t>-EA_HH2*</t>
  </si>
  <si>
    <t>Power*</t>
  </si>
  <si>
    <t>include_dim</t>
  </si>
  <si>
    <t>ELE,CHP,PRE,STG</t>
  </si>
  <si>
    <t>Ann_OBJ</t>
  </si>
  <si>
    <t>u</t>
  </si>
  <si>
    <t>&lt;c&gt;</t>
  </si>
  <si>
    <t>&lt;pc&gt;</t>
  </si>
  <si>
    <t>t_neg_andor</t>
  </si>
  <si>
    <t>-TRDELC</t>
  </si>
  <si>
    <t>NewCap</t>
  </si>
  <si>
    <t>FinEnergy</t>
  </si>
  <si>
    <t>ELE,CHP,STG,IRE</t>
  </si>
  <si>
    <t>Asia Pacific</t>
  </si>
  <si>
    <t>Europe</t>
  </si>
  <si>
    <t>Central and South America</t>
  </si>
  <si>
    <t>North America</t>
  </si>
  <si>
    <t>Africa</t>
  </si>
  <si>
    <t>Middle East</t>
  </si>
  <si>
    <t>Eurasia</t>
  </si>
  <si>
    <t>Capacity_Elec</t>
  </si>
  <si>
    <t>PriSup</t>
  </si>
  <si>
    <t>Buildings</t>
  </si>
  <si>
    <t>LNG[_]*</t>
  </si>
  <si>
    <t>GASNGA</t>
  </si>
  <si>
    <t>~PName_Map</t>
  </si>
  <si>
    <t>Pname</t>
  </si>
  <si>
    <t>TU_GasPip--Russia-Turkey</t>
  </si>
  <si>
    <t>TU_GasPip--Russia-Ukraine</t>
  </si>
  <si>
    <t>Elec_act</t>
  </si>
  <si>
    <t>tons per capita</t>
  </si>
  <si>
    <t>VAR_ACT</t>
  </si>
  <si>
    <t>ELE,CHP,IRE</t>
  </si>
  <si>
    <t>CO2/GDP</t>
  </si>
  <si>
    <t>kt/b$</t>
  </si>
  <si>
    <t>kg per PPP $</t>
  </si>
  <si>
    <t>sector_c</t>
  </si>
  <si>
    <t>R*,C*</t>
  </si>
  <si>
    <t>T*</t>
  </si>
  <si>
    <t>I*</t>
  </si>
  <si>
    <t>H*</t>
  </si>
  <si>
    <t>PRE</t>
  </si>
  <si>
    <t>GASLNG</t>
  </si>
  <si>
    <t>LNG_liquefaction</t>
  </si>
  <si>
    <t>LNG_regasification</t>
  </si>
  <si>
    <t>mt LNG</t>
  </si>
  <si>
    <t>ct</t>
  </si>
  <si>
    <t>OILDST,OILGSL,BIODST,BIOGSL,BIOBSL,COAHCO</t>
  </si>
  <si>
    <t>$/Gjo</t>
  </si>
  <si>
    <t>$/GJg</t>
  </si>
  <si>
    <t>$/bbl</t>
  </si>
  <si>
    <t>$/MMBTU</t>
  </si>
  <si>
    <t>$/GJo</t>
  </si>
  <si>
    <t>Gas_snk_Exp-LNG</t>
  </si>
  <si>
    <t>Gas_src_Imp-LNG</t>
  </si>
  <si>
    <t>price_cat</t>
  </si>
  <si>
    <t>minoil_rs_step01*</t>
  </si>
  <si>
    <t>minoil_rs_step02*</t>
  </si>
  <si>
    <t>minoil_rs_step03*</t>
  </si>
  <si>
    <t>minoil_rs_step04*</t>
  </si>
  <si>
    <t>minoil_rs_step05*</t>
  </si>
  <si>
    <t>minoil_rs_step06*</t>
  </si>
  <si>
    <t>minoil_rs_step07*</t>
  </si>
  <si>
    <t>minoil_rs_step08*</t>
  </si>
  <si>
    <t>minoil_rs_step09*</t>
  </si>
  <si>
    <t>minoil_rs_step10*</t>
  </si>
  <si>
    <t>minoil_rs_step11*</t>
  </si>
  <si>
    <t>minoil_rs_step12*</t>
  </si>
  <si>
    <t>minoil_rs_step13*</t>
  </si>
  <si>
    <t>minoil_rs_step14*</t>
  </si>
  <si>
    <t>minoil_rs_step15*</t>
  </si>
  <si>
    <t>minoil_rs_step16*</t>
  </si>
  <si>
    <t>minoil_rs_step17*</t>
  </si>
  <si>
    <t>minoil_rs_step18*</t>
  </si>
  <si>
    <t>minoil_rs_step19*</t>
  </si>
  <si>
    <t>minoil_rs_step20*</t>
  </si>
  <si>
    <t>minoil_rs_step21*</t>
  </si>
  <si>
    <t>minoil_rs_step22*</t>
  </si>
  <si>
    <t>minoil_rs_step23*</t>
  </si>
  <si>
    <t>minoil_rs_step24*</t>
  </si>
  <si>
    <t>minoil_rs_step25*</t>
  </si>
  <si>
    <t>minoil_rs_step26*</t>
  </si>
  <si>
    <t>minoil_rs_step27*</t>
  </si>
  <si>
    <t>minoil_rs_step28*</t>
  </si>
  <si>
    <t>minoil_rs_step29*</t>
  </si>
  <si>
    <t>minoil_rs_step30*</t>
  </si>
  <si>
    <t>USD/bbl 10-15</t>
  </si>
  <si>
    <t>USD/bbl 15-20</t>
  </si>
  <si>
    <t>USD/bbl 20-25</t>
  </si>
  <si>
    <t>USD/bbl 25-30</t>
  </si>
  <si>
    <t>USD/bbl 30-35</t>
  </si>
  <si>
    <t>USD/bbl 35-40</t>
  </si>
  <si>
    <t>USD/bbl 40-45</t>
  </si>
  <si>
    <t>USD/bbl 45-50</t>
  </si>
  <si>
    <t>USD/bbl 50-55</t>
  </si>
  <si>
    <t>USD/bbl 55-60</t>
  </si>
  <si>
    <t>USD/bbl 60-65</t>
  </si>
  <si>
    <t>USD/bbl 65-70</t>
  </si>
  <si>
    <t>USD/bbl 70-75</t>
  </si>
  <si>
    <t>USD/bbl 75-80</t>
  </si>
  <si>
    <t>USD/bbl 80-85</t>
  </si>
  <si>
    <t>USD/bbl 85-90</t>
  </si>
  <si>
    <t>USD/bbl 90-95</t>
  </si>
  <si>
    <t>USD/bbl 95-100</t>
  </si>
  <si>
    <t>USD/bbl 100-105</t>
  </si>
  <si>
    <t>USD/bbl 105-110</t>
  </si>
  <si>
    <t>USD/bbl 110-115</t>
  </si>
  <si>
    <t>USD/bbl 115-120</t>
  </si>
  <si>
    <t>USD/bbl 120-125</t>
  </si>
  <si>
    <t>USD/bbl 125-130</t>
  </si>
  <si>
    <t>USD/bbl 130-135</t>
  </si>
  <si>
    <t>USD/bbl 135-140</t>
  </si>
  <si>
    <t>USD/bbl 140-145</t>
  </si>
  <si>
    <t>USD/bbl 145-150</t>
  </si>
  <si>
    <t>Above USD/bbl 150</t>
  </si>
  <si>
    <t>USD/bbl 5-10</t>
  </si>
  <si>
    <t>mingas_rs_step01*</t>
  </si>
  <si>
    <t>mingas_rs_step02*</t>
  </si>
  <si>
    <t>mingas_rs_step03*</t>
  </si>
  <si>
    <t>mingas_rs_step04*</t>
  </si>
  <si>
    <t>mingas_rs_step05*</t>
  </si>
  <si>
    <t>mingas_rs_step06*</t>
  </si>
  <si>
    <t>mingas_rs_step07*</t>
  </si>
  <si>
    <t>mingas_rs_step08*</t>
  </si>
  <si>
    <t>mingas_rs_step09*</t>
  </si>
  <si>
    <t>mingas_rs_step10*</t>
  </si>
  <si>
    <t>mingas_rs_step11*</t>
  </si>
  <si>
    <t>mingas_rs_step12*</t>
  </si>
  <si>
    <t>mingas_rs_step13*</t>
  </si>
  <si>
    <t>mingas_rs_step14*</t>
  </si>
  <si>
    <t>mingas_rs_step15*</t>
  </si>
  <si>
    <t>mingas_rs_step16*</t>
  </si>
  <si>
    <t>USD/kcf 0-1</t>
  </si>
  <si>
    <t>USD/kcf 1-2</t>
  </si>
  <si>
    <t>USD/kcf 2-3</t>
  </si>
  <si>
    <t>USD/kcf 3-4</t>
  </si>
  <si>
    <t>USD/kcf 4-5</t>
  </si>
  <si>
    <t>USD/kcf 5-6</t>
  </si>
  <si>
    <t>USD/kcf 6-7</t>
  </si>
  <si>
    <t>USD/kcf 7-8</t>
  </si>
  <si>
    <t>USD/kcf 8-9</t>
  </si>
  <si>
    <t>USD/kcf 9-10</t>
  </si>
  <si>
    <t>USD/kcf 10-11</t>
  </si>
  <si>
    <t>USD/kcf 11-12</t>
  </si>
  <si>
    <t>USD/kcf 12-13</t>
  </si>
  <si>
    <t>USD/kcf 13-14</t>
  </si>
  <si>
    <t>USD/kcf 14-15</t>
  </si>
  <si>
    <t>Above USD/kcf 15</t>
  </si>
  <si>
    <t>KS</t>
  </si>
  <si>
    <t>*NGL*</t>
  </si>
  <si>
    <t>NGL</t>
  </si>
  <si>
    <t>Oil crude+NGL</t>
  </si>
  <si>
    <t>OIL[_]*</t>
  </si>
  <si>
    <t>GAS[_]*</t>
  </si>
  <si>
    <t>p-Crude Oil</t>
  </si>
  <si>
    <t>p-Natural Gas</t>
  </si>
  <si>
    <t>GASNGA,GASLNG,GAS[_]*</t>
  </si>
  <si>
    <t>ELCHH2</t>
  </si>
  <si>
    <t>Hydrogen_snk_H2-to-ThermPow</t>
  </si>
  <si>
    <t>*H2*,-[_]*</t>
  </si>
  <si>
    <t>-[_]*</t>
  </si>
  <si>
    <t>_H2-for-ThermPow_snk_Thermal Power</t>
  </si>
  <si>
    <t>Base</t>
  </si>
  <si>
    <t>-IRE,-STG</t>
  </si>
  <si>
    <t>Bio Refinery</t>
  </si>
  <si>
    <t>DAC</t>
  </si>
  <si>
    <t>*DAC*</t>
  </si>
  <si>
    <t>CBM &lt;1000 m</t>
  </si>
  <si>
    <t>CBM  &gt;1000 m</t>
  </si>
  <si>
    <t>DGF (offshore)</t>
  </si>
  <si>
    <t>DGF (onshore)</t>
  </si>
  <si>
    <t>DOF (offshore)</t>
  </si>
  <si>
    <t>DOF (onshore)</t>
  </si>
  <si>
    <t>IND_CCS</t>
  </si>
  <si>
    <t>Ind CCS</t>
  </si>
  <si>
    <t>m$/&lt;pa&gt;</t>
  </si>
  <si>
    <t>PRE,DMD</t>
  </si>
  <si>
    <t>HH2,Trd[_]*</t>
  </si>
  <si>
    <t>t,c</t>
  </si>
  <si>
    <t>p,t</t>
  </si>
  <si>
    <t>p,c,t</t>
  </si>
  <si>
    <t>stg[_]*</t>
  </si>
  <si>
    <t>Storage operation</t>
  </si>
  <si>
    <t>Vehicle Batt</t>
  </si>
  <si>
    <t>TRDELC</t>
  </si>
  <si>
    <t>US$2020/GJ</t>
  </si>
  <si>
    <t>billion US$2020/yr</t>
  </si>
  <si>
    <t>US$2020/t CO2</t>
  </si>
  <si>
    <t>US$2020/MWh</t>
  </si>
  <si>
    <t>US$2020/kW</t>
  </si>
  <si>
    <t>billion US$2020</t>
  </si>
  <si>
    <t>US$2020/vkm</t>
  </si>
  <si>
    <t>sector_weo</t>
  </si>
  <si>
    <t>Ammonia</t>
  </si>
  <si>
    <t>https://www.loc.gov/standards/iso639-2/php/code_list.php</t>
  </si>
  <si>
    <t>HUN</t>
  </si>
  <si>
    <t>Африка</t>
  </si>
  <si>
    <t>Евроазија</t>
  </si>
  <si>
    <t>Асиа Пацифиц</t>
  </si>
  <si>
    <t>Европа</t>
  </si>
  <si>
    <t>Централна и Јужна Америка</t>
  </si>
  <si>
    <t>средњи Исток</t>
  </si>
  <si>
    <t>Северна Америка</t>
  </si>
  <si>
    <t>Соларни</t>
  </si>
  <si>
    <t>Ветар</t>
  </si>
  <si>
    <t>Хидро</t>
  </si>
  <si>
    <t>Геотерм</t>
  </si>
  <si>
    <t>Биомаса</t>
  </si>
  <si>
    <t>Нуклеарна</t>
  </si>
  <si>
    <t>Грид Елец</t>
  </si>
  <si>
    <t>Гасни</t>
  </si>
  <si>
    <t>Угаљ</t>
  </si>
  <si>
    <t>Топлота</t>
  </si>
  <si>
    <t>Водоник</t>
  </si>
  <si>
    <t>Afrika</t>
  </si>
  <si>
    <t>Evroazija</t>
  </si>
  <si>
    <t>Evropa</t>
  </si>
  <si>
    <t>Centralna i Južna Amerika</t>
  </si>
  <si>
    <t>srednji istok</t>
  </si>
  <si>
    <t>sjeverna amerika</t>
  </si>
  <si>
    <t>Solarno</t>
  </si>
  <si>
    <t>Vjetar</t>
  </si>
  <si>
    <t>Geoterm</t>
  </si>
  <si>
    <t>Biomasa</t>
  </si>
  <si>
    <t>Nuklearni</t>
  </si>
  <si>
    <t>Ugalj</t>
  </si>
  <si>
    <t>Toplota</t>
  </si>
  <si>
    <t>Vodonik</t>
  </si>
  <si>
    <t>Europa</t>
  </si>
  <si>
    <t>America Centrală și de Sud</t>
  </si>
  <si>
    <t>Orientul Mijlociu</t>
  </si>
  <si>
    <t>America de Nord</t>
  </si>
  <si>
    <t>Vânt</t>
  </si>
  <si>
    <t>Hidro</t>
  </si>
  <si>
    <t>Geotermă</t>
  </si>
  <si>
    <t>Biomasă</t>
  </si>
  <si>
    <t>Gaz</t>
  </si>
  <si>
    <t>Cărbune</t>
  </si>
  <si>
    <t>Căldură</t>
  </si>
  <si>
    <t>Petrol brut</t>
  </si>
  <si>
    <t>Hidrogen</t>
  </si>
  <si>
    <t>Eurázsia</t>
  </si>
  <si>
    <t>Ázsia csendes-óceáni</t>
  </si>
  <si>
    <t>Európa</t>
  </si>
  <si>
    <t>Közép- és Dél-Amerika</t>
  </si>
  <si>
    <t>Közel-Kelet</t>
  </si>
  <si>
    <t>Észak Amerika</t>
  </si>
  <si>
    <t>Nap</t>
  </si>
  <si>
    <t>Szél</t>
  </si>
  <si>
    <t>Biomassza</t>
  </si>
  <si>
    <t>Nukleáris</t>
  </si>
  <si>
    <t>Gáz</t>
  </si>
  <si>
    <t>Szén</t>
  </si>
  <si>
    <t>Hő</t>
  </si>
  <si>
    <t>Nyers olaj</t>
  </si>
  <si>
    <t>Hidrogén</t>
  </si>
  <si>
    <t>SRP</t>
  </si>
  <si>
    <t>BOS</t>
  </si>
  <si>
    <t>RUM</t>
  </si>
  <si>
    <t>ALLBIOFliq</t>
  </si>
  <si>
    <t>Biofuels liq</t>
  </si>
  <si>
    <t>ALLBIOFgas</t>
  </si>
  <si>
    <t>Biofuels gas</t>
  </si>
  <si>
    <t>BIOJTK,TRABJT</t>
  </si>
  <si>
    <t>Biojet</t>
  </si>
  <si>
    <t>???SNG</t>
  </si>
  <si>
    <t>Biogas syn</t>
  </si>
  <si>
    <t>ELE,CHP,HPL,-STG</t>
  </si>
  <si>
    <t>Fuel_cons_DAC</t>
  </si>
  <si>
    <t>CO2_DAC</t>
  </si>
  <si>
    <t>E_USHP</t>
  </si>
  <si>
    <t>Utility Heat Pump</t>
  </si>
  <si>
    <t>ALB</t>
  </si>
  <si>
    <t>GRE</t>
  </si>
  <si>
    <t>UKR</t>
  </si>
  <si>
    <t>BUL</t>
  </si>
  <si>
    <t>FRA</t>
  </si>
  <si>
    <t>DEU</t>
  </si>
  <si>
    <t>ESP</t>
  </si>
  <si>
    <t>ARA</t>
  </si>
  <si>
    <t>CHI</t>
  </si>
  <si>
    <t>JPN</t>
  </si>
  <si>
    <t>2-точка</t>
  </si>
  <si>
    <t>2-rrota</t>
  </si>
  <si>
    <t>2 kerekűek</t>
  </si>
  <si>
    <t>2-točka</t>
  </si>
  <si>
    <t>2-τροχα</t>
  </si>
  <si>
    <t>2-колісні</t>
  </si>
  <si>
    <t>2-колесни</t>
  </si>
  <si>
    <t>2 roti</t>
  </si>
  <si>
    <t>2-roues</t>
  </si>
  <si>
    <t>Zweiräder</t>
  </si>
  <si>
    <t>2 ruedas</t>
  </si>
  <si>
    <t>2 عجلات</t>
  </si>
  <si>
    <t>两轮车</t>
  </si>
  <si>
    <t>二輪車</t>
  </si>
  <si>
    <t>3-точкаши</t>
  </si>
  <si>
    <t>3-rrota</t>
  </si>
  <si>
    <t>3 kerekűek</t>
  </si>
  <si>
    <t>3-točkaši</t>
  </si>
  <si>
    <t>3τροχα</t>
  </si>
  <si>
    <t>3-колісні</t>
  </si>
  <si>
    <t>3-колесни</t>
  </si>
  <si>
    <t>vehicule cu 3 roti</t>
  </si>
  <si>
    <t>3 roues</t>
  </si>
  <si>
    <t>3-Räder</t>
  </si>
  <si>
    <t>vehículos de 3 ruedas</t>
  </si>
  <si>
    <t>3 عجلات</t>
  </si>
  <si>
    <t>三轮车</t>
  </si>
  <si>
    <t>三輪車</t>
  </si>
  <si>
    <t>Αφρική</t>
  </si>
  <si>
    <t>Afrique</t>
  </si>
  <si>
    <t>África</t>
  </si>
  <si>
    <t>أفريقيا</t>
  </si>
  <si>
    <t>非洲</t>
  </si>
  <si>
    <t>アフリカ</t>
  </si>
  <si>
    <t>Агри</t>
  </si>
  <si>
    <t>Αγρι</t>
  </si>
  <si>
    <t>Landwirtschaft</t>
  </si>
  <si>
    <t>agrícola</t>
  </si>
  <si>
    <t>الزراعية</t>
  </si>
  <si>
    <t>农业</t>
  </si>
  <si>
    <t>アグリ</t>
  </si>
  <si>
    <t>Пољопривреда</t>
  </si>
  <si>
    <t>Bujqësia</t>
  </si>
  <si>
    <t>Mezőgazdaság</t>
  </si>
  <si>
    <t>Poljoprivreda</t>
  </si>
  <si>
    <t>Γεωργία</t>
  </si>
  <si>
    <t>Сільське господарство</t>
  </si>
  <si>
    <t>селско стопанство</t>
  </si>
  <si>
    <t>Agricultură</t>
  </si>
  <si>
    <t>Agricultura</t>
  </si>
  <si>
    <t>زراعة</t>
  </si>
  <si>
    <t>農業</t>
  </si>
  <si>
    <t>Апплианцес-Цом</t>
  </si>
  <si>
    <t>Pajisje shtëpiake-Com</t>
  </si>
  <si>
    <t>Συσκευές-Κομ</t>
  </si>
  <si>
    <t>Техніка-Ком</t>
  </si>
  <si>
    <t>Техника-Ком</t>
  </si>
  <si>
    <t>Electrocasnice-Com</t>
  </si>
  <si>
    <t>Électroménagers-Com</t>
  </si>
  <si>
    <t>Electrodomésticos-Com</t>
  </si>
  <si>
    <t>اجهزة منزلية كوم</t>
  </si>
  <si>
    <t>家电通讯</t>
  </si>
  <si>
    <t>家電コム</t>
  </si>
  <si>
    <t>Апарати-Рсд</t>
  </si>
  <si>
    <t>Pajisjet-Rsd</t>
  </si>
  <si>
    <t>Készülékek-Rsd</t>
  </si>
  <si>
    <t>Aparati-Rsd</t>
  </si>
  <si>
    <t>Συσκευές-Rsd</t>
  </si>
  <si>
    <t>Техніка-Rsd</t>
  </si>
  <si>
    <t>Техника-Rsd</t>
  </si>
  <si>
    <t>Electrocasnice-Rsd</t>
  </si>
  <si>
    <t>Électroménagers-Rsd</t>
  </si>
  <si>
    <t>Haushaltsgeräte-Rsd</t>
  </si>
  <si>
    <t>Electrodomésticos-Rsd</t>
  </si>
  <si>
    <t>الأجهزة- Rsd</t>
  </si>
  <si>
    <t>电器-Rsd</t>
  </si>
  <si>
    <t>アプライアンス-RSD</t>
  </si>
  <si>
    <t>Azia Paqësori</t>
  </si>
  <si>
    <t>Ασία-Ειρηνικός</t>
  </si>
  <si>
    <t>Азіатсько-Тихоокеанський регіон</t>
  </si>
  <si>
    <t>Азия и Тихия океан</t>
  </si>
  <si>
    <t>Asie-Pacifique</t>
  </si>
  <si>
    <t>Asien-Pazifik</t>
  </si>
  <si>
    <t>Asia Pacífico</t>
  </si>
  <si>
    <t>آسيا والمحيط الهادئ</t>
  </si>
  <si>
    <t>亚太地区</t>
  </si>
  <si>
    <t>アジア太平洋地域</t>
  </si>
  <si>
    <t>Избегаване шумске конв</t>
  </si>
  <si>
    <t>Konvertimi i pyllit të shmangur</t>
  </si>
  <si>
    <t>Elkerült erdő konv</t>
  </si>
  <si>
    <t>Izbjegavane šumske konv</t>
  </si>
  <si>
    <t>Αποφευγόμενο δάσος μετατρ</t>
  </si>
  <si>
    <t>Уникнення лісу Conv</t>
  </si>
  <si>
    <t>Избягната конв. в гората</t>
  </si>
  <si>
    <t>Pădure evitată Conv</t>
  </si>
  <si>
    <t>Conv forêt évitée</t>
  </si>
  <si>
    <t>Waldconv. vermieden</t>
  </si>
  <si>
    <t>Conv bosque evitado</t>
  </si>
  <si>
    <t>تجنب تحويل الغابة</t>
  </si>
  <si>
    <t>避免森林转换</t>
  </si>
  <si>
    <t>回避された森の変換</t>
  </si>
  <si>
    <t>Избегао тресетиште</t>
  </si>
  <si>
    <t>Peatland i shmangur</t>
  </si>
  <si>
    <t>Elkerülte a tőzeglápot</t>
  </si>
  <si>
    <t>Izbjegavao tresetište</t>
  </si>
  <si>
    <t>Αποφεύχθηκε Peatland</t>
  </si>
  <si>
    <t>Уникнув торфовищ</t>
  </si>
  <si>
    <t>Избягвано торфище</t>
  </si>
  <si>
    <t>Turbă evitată</t>
  </si>
  <si>
    <t>Tourbière évitée</t>
  </si>
  <si>
    <t>Moorland gemieden</t>
  </si>
  <si>
    <t>Turbera evitada</t>
  </si>
  <si>
    <t>تجنب الخث</t>
  </si>
  <si>
    <t>避开泥炭地</t>
  </si>
  <si>
    <t>泥炭地を回避</t>
  </si>
  <si>
    <t>БФ и ЦокОв</t>
  </si>
  <si>
    <t>BF dhe CokOv</t>
  </si>
  <si>
    <t>BF és CokOv</t>
  </si>
  <si>
    <t>BF i CokOv</t>
  </si>
  <si>
    <t>BF και CokOv</t>
  </si>
  <si>
    <t>BF і CokOv</t>
  </si>
  <si>
    <t>BF и CokOv</t>
  </si>
  <si>
    <t>BF și CokOv</t>
  </si>
  <si>
    <t>BF et CokOv</t>
  </si>
  <si>
    <t>BF und CokOv</t>
  </si>
  <si>
    <t>BF y CokOv</t>
  </si>
  <si>
    <t>BF و CokOv</t>
  </si>
  <si>
    <t>BF 和 Cokov</t>
  </si>
  <si>
    <t>BFとCokOv</t>
  </si>
  <si>
    <t>БФ гас</t>
  </si>
  <si>
    <t>Gaz BF</t>
  </si>
  <si>
    <t>BF gáz</t>
  </si>
  <si>
    <t>Αέριο BF</t>
  </si>
  <si>
    <t>BF газ</t>
  </si>
  <si>
    <t>gaz BF</t>
  </si>
  <si>
    <t>BF-Gas</t>
  </si>
  <si>
    <t>gasolina BF</t>
  </si>
  <si>
    <t>غاز BF</t>
  </si>
  <si>
    <t>高炉气体</t>
  </si>
  <si>
    <t>BFガス</t>
  </si>
  <si>
    <t>Био</t>
  </si>
  <si>
    <t>біографія</t>
  </si>
  <si>
    <t>био</t>
  </si>
  <si>
    <t>bio</t>
  </si>
  <si>
    <t>biografía</t>
  </si>
  <si>
    <t>السيرة الذاتية</t>
  </si>
  <si>
    <t>简介</t>
  </si>
  <si>
    <t>バイオ</t>
  </si>
  <si>
    <t>биографија (ЦЦС)</t>
  </si>
  <si>
    <t>Biografia (CCS)</t>
  </si>
  <si>
    <t>biografija (CCS)</t>
  </si>
  <si>
    <t>Βιογραφικό (CCS)</t>
  </si>
  <si>
    <t>Біо (CCS)</t>
  </si>
  <si>
    <t>Био (CCS)</t>
  </si>
  <si>
    <t>Biografie (CCS)</t>
  </si>
  <si>
    <t>Biografía (CCS)</t>
  </si>
  <si>
    <t>السيرة الذاتية (CCS)</t>
  </si>
  <si>
    <t>生物（CCS）</t>
  </si>
  <si>
    <t>略歴 (CCS)</t>
  </si>
  <si>
    <t>Био Реф</t>
  </si>
  <si>
    <t>біореф</t>
  </si>
  <si>
    <t>Ref. bio</t>
  </si>
  <si>
    <t>Bio Réf</t>
  </si>
  <si>
    <t>Bio-Ref</t>
  </si>
  <si>
    <t>Referencia biológica</t>
  </si>
  <si>
    <t>المرجع السيرة الذاتية</t>
  </si>
  <si>
    <t>生物参考</t>
  </si>
  <si>
    <t>バイオリファレンス</t>
  </si>
  <si>
    <t>Биоцхар</t>
  </si>
  <si>
    <t>Biochar</t>
  </si>
  <si>
    <t>Біовугілля</t>
  </si>
  <si>
    <t>Биовъглен</t>
  </si>
  <si>
    <t>Pflanzenkohle</t>
  </si>
  <si>
    <t>Biocarbón</t>
  </si>
  <si>
    <t>生物炭</t>
  </si>
  <si>
    <t>バイオ炭</t>
  </si>
  <si>
    <t>Биодиесел</t>
  </si>
  <si>
    <t>Bionaftë</t>
  </si>
  <si>
    <t>Biodízel</t>
  </si>
  <si>
    <t>Biodizel</t>
  </si>
  <si>
    <t>Βιοντίζελ</t>
  </si>
  <si>
    <t>Біодизель</t>
  </si>
  <si>
    <t>Биодизел</t>
  </si>
  <si>
    <t>biodiésel</t>
  </si>
  <si>
    <t>وقود الديزل الحيوي</t>
  </si>
  <si>
    <t>生物柴油</t>
  </si>
  <si>
    <t>バイオディーゼル</t>
  </si>
  <si>
    <t>Биогорива гас</t>
  </si>
  <si>
    <t>Gaz biokarburantesh</t>
  </si>
  <si>
    <t>Bioüzemanyagok gáz</t>
  </si>
  <si>
    <t>Biogoriva gas</t>
  </si>
  <si>
    <t>Αέριο βιοκαυσίμων</t>
  </si>
  <si>
    <t>Біопаливо газ</t>
  </si>
  <si>
    <t>Биогорива газ</t>
  </si>
  <si>
    <t>Biocombustibili gaz</t>
  </si>
  <si>
    <t>Gaz biocarburants</t>
  </si>
  <si>
    <t>Biokraftstoffe Gas</t>
  </si>
  <si>
    <t>biocombustibles gas</t>
  </si>
  <si>
    <t>غاز الوقود الحيوي</t>
  </si>
  <si>
    <t>生物燃料气体</t>
  </si>
  <si>
    <t>バイオ燃料ガス</t>
  </si>
  <si>
    <t>Биогорива течност</t>
  </si>
  <si>
    <t>Biokarburantet liq</t>
  </si>
  <si>
    <t>Folyékony bioüzemanyagok</t>
  </si>
  <si>
    <t>Biogoriva tečnost</t>
  </si>
  <si>
    <t>Υγρό βιοκαυσίμων</t>
  </si>
  <si>
    <t>Біопаливо рідке</t>
  </si>
  <si>
    <t>Течни биогорива</t>
  </si>
  <si>
    <t>Biocombustibili lic</t>
  </si>
  <si>
    <t>Biocarburants liquide</t>
  </si>
  <si>
    <t>Flüssige Biokraftstoffe</t>
  </si>
  <si>
    <t>Líquido de biocombustibles</t>
  </si>
  <si>
    <t>الوقود الحيوي</t>
  </si>
  <si>
    <t>生物燃料液</t>
  </si>
  <si>
    <t>バイオ燃料液</t>
  </si>
  <si>
    <t>Биогас син</t>
  </si>
  <si>
    <t>Biogaz sin</t>
  </si>
  <si>
    <t>Biogáz syn</t>
  </si>
  <si>
    <t>Biogas sin</t>
  </si>
  <si>
    <t>Βιοαέριο συν</t>
  </si>
  <si>
    <t>Біогаз син</t>
  </si>
  <si>
    <t>биогаз син</t>
  </si>
  <si>
    <t>syn biogaz</t>
  </si>
  <si>
    <t>Biogas-Syn</t>
  </si>
  <si>
    <t>Sin biogás</t>
  </si>
  <si>
    <t>تزامن الغاز الحيوي</t>
  </si>
  <si>
    <t>沼气合成</t>
  </si>
  <si>
    <t>バイオガス合成</t>
  </si>
  <si>
    <t>Биобензин</t>
  </si>
  <si>
    <t>Biogasolinë</t>
  </si>
  <si>
    <t>Biobenzin</t>
  </si>
  <si>
    <t>Βιοβενζίνη</t>
  </si>
  <si>
    <t>біобензин</t>
  </si>
  <si>
    <t>биобензин</t>
  </si>
  <si>
    <t>Biobenzină</t>
  </si>
  <si>
    <t>Bioessence</t>
  </si>
  <si>
    <t>biogasolina</t>
  </si>
  <si>
    <t>البنزين الحيوي</t>
  </si>
  <si>
    <t>生物汽油</t>
  </si>
  <si>
    <t>バイオガソリン</t>
  </si>
  <si>
    <t>Биојет</t>
  </si>
  <si>
    <t>بيوجيت</t>
  </si>
  <si>
    <t>生物喷射</t>
  </si>
  <si>
    <t>バイオジェット</t>
  </si>
  <si>
    <t>Βιομάζα</t>
  </si>
  <si>
    <t>Біомаса</t>
  </si>
  <si>
    <t>биомаса</t>
  </si>
  <si>
    <t>Biomasse</t>
  </si>
  <si>
    <t>الكتلة الحيوية</t>
  </si>
  <si>
    <t>生物质</t>
  </si>
  <si>
    <t>バイオマス</t>
  </si>
  <si>
    <t>Зграде</t>
  </si>
  <si>
    <t>Ndërtesat</t>
  </si>
  <si>
    <t>Épületek</t>
  </si>
  <si>
    <t>Zgrade</t>
  </si>
  <si>
    <t>Κτίρια</t>
  </si>
  <si>
    <t>Будівлі</t>
  </si>
  <si>
    <t>Сгради</t>
  </si>
  <si>
    <t>Clădiri</t>
  </si>
  <si>
    <t>Bâtiments</t>
  </si>
  <si>
    <t>Gebäude</t>
  </si>
  <si>
    <t>Edificios</t>
  </si>
  <si>
    <t>البنايات</t>
  </si>
  <si>
    <t>建筑物</t>
  </si>
  <si>
    <t>建物</t>
  </si>
  <si>
    <t>Аутобус</t>
  </si>
  <si>
    <t>Autobus</t>
  </si>
  <si>
    <t>Busz</t>
  </si>
  <si>
    <t>Λεωφορείο</t>
  </si>
  <si>
    <t>Автобус</t>
  </si>
  <si>
    <t>автобус</t>
  </si>
  <si>
    <t>Autobuz</t>
  </si>
  <si>
    <t>Autobús</t>
  </si>
  <si>
    <t>حافلة</t>
  </si>
  <si>
    <t>公共汽车</t>
  </si>
  <si>
    <t>バス</t>
  </si>
  <si>
    <t>Капацитет</t>
  </si>
  <si>
    <t>Kapaciteti</t>
  </si>
  <si>
    <t>Kapacitás</t>
  </si>
  <si>
    <t>Kapacitet</t>
  </si>
  <si>
    <t>Χωρητικότητα</t>
  </si>
  <si>
    <t>Ємність</t>
  </si>
  <si>
    <t>Capacitate</t>
  </si>
  <si>
    <t>Capacité</t>
  </si>
  <si>
    <t>Kapazität</t>
  </si>
  <si>
    <t>Capacidad</t>
  </si>
  <si>
    <t>سعة</t>
  </si>
  <si>
    <t>容量</t>
  </si>
  <si>
    <t>Аутомобили</t>
  </si>
  <si>
    <t>Makina</t>
  </si>
  <si>
    <t>Autók</t>
  </si>
  <si>
    <t>Automobili</t>
  </si>
  <si>
    <t>Αυτοκίνητα</t>
  </si>
  <si>
    <t>Автомобілі</t>
  </si>
  <si>
    <t>автомобили</t>
  </si>
  <si>
    <t>Mașini</t>
  </si>
  <si>
    <t>Voitures</t>
  </si>
  <si>
    <t>Autos</t>
  </si>
  <si>
    <t>Carros</t>
  </si>
  <si>
    <t>سيارات</t>
  </si>
  <si>
    <t>汽车</t>
  </si>
  <si>
    <t>車</t>
  </si>
  <si>
    <t>CBM recov &lt;1000 m</t>
  </si>
  <si>
    <t>ЦБМ рецов &lt;1000 м</t>
  </si>
  <si>
    <t>Recov CBM &lt;1000 m</t>
  </si>
  <si>
    <t>Ανάκτηση CBM &lt;1000 m</t>
  </si>
  <si>
    <t>CBM recov &lt;1000 м</t>
  </si>
  <si>
    <t>Recuperare CBM &lt;1000 m</t>
  </si>
  <si>
    <t>CBM récupéré &lt;1000 m</t>
  </si>
  <si>
    <t>CBM-Aufnahme &lt;1000 m</t>
  </si>
  <si>
    <t>Recuperación de CBM &lt;1000 m</t>
  </si>
  <si>
    <t>تعويض CBM &lt;1000 م</t>
  </si>
  <si>
    <t>煤层气采收率 &lt;1000 m</t>
  </si>
  <si>
    <t>CBM 回復 &lt;1000 m</t>
  </si>
  <si>
    <t>CBM recov &gt;1000 m</t>
  </si>
  <si>
    <t>ЦБМ рецов &gt;1000 м</t>
  </si>
  <si>
    <t>Recov CBM &gt;1000 m</t>
  </si>
  <si>
    <t>Ανάκτηση CBM &gt;1000 m</t>
  </si>
  <si>
    <t>CBM recov &gt;1000 м</t>
  </si>
  <si>
    <t>Recuperare CBM &gt;1000 m</t>
  </si>
  <si>
    <t>CBM récupéré &gt;1000 m</t>
  </si>
  <si>
    <t>CBM-Erholung &gt;1000 m</t>
  </si>
  <si>
    <t>Recuperación de CBM &gt;1000 m</t>
  </si>
  <si>
    <t>تعويض CBM&gt; 1000 م</t>
  </si>
  <si>
    <t>煤层气采收率 &gt;1000 m</t>
  </si>
  <si>
    <t>CBM 回復 &gt;1000 m</t>
  </si>
  <si>
    <t>Amerika Qendrore dhe Jugore</t>
  </si>
  <si>
    <t>Κεντρική και Νότια Αμερική</t>
  </si>
  <si>
    <t>Центральна і Південна Америка</t>
  </si>
  <si>
    <t>Централна и Южна Америка</t>
  </si>
  <si>
    <t>Amérique centrale et du sud</t>
  </si>
  <si>
    <t>Zentral-und Mittelamerika</t>
  </si>
  <si>
    <t>América Central y del Sur</t>
  </si>
  <si>
    <t>أمريكا الوسطى والجنوبية</t>
  </si>
  <si>
    <t>中美洲和南美洲</t>
  </si>
  <si>
    <t>中南米</t>
  </si>
  <si>
    <t>Хемијска сировина</t>
  </si>
  <si>
    <t>Lëndët e para kimike</t>
  </si>
  <si>
    <t>Vegyi alapanyag</t>
  </si>
  <si>
    <t>Hemijska sirovina</t>
  </si>
  <si>
    <t>Χημική πρώτη ύλη</t>
  </si>
  <si>
    <t>Хімічна сировина</t>
  </si>
  <si>
    <t>Химическа суровина</t>
  </si>
  <si>
    <t>Materiile prime chimice</t>
  </si>
  <si>
    <t>Matière première chimique</t>
  </si>
  <si>
    <t>Chemischer Rohstoff</t>
  </si>
  <si>
    <t>materia prima química</t>
  </si>
  <si>
    <t>المواد الأولية الكيميائية</t>
  </si>
  <si>
    <t>化工原料</t>
  </si>
  <si>
    <t>化学原料</t>
  </si>
  <si>
    <t>хемикалије</t>
  </si>
  <si>
    <t>Kimikatet</t>
  </si>
  <si>
    <t>Vegyszerek</t>
  </si>
  <si>
    <t>Hemikalije</t>
  </si>
  <si>
    <t>Χημικά</t>
  </si>
  <si>
    <t>Хімікалії</t>
  </si>
  <si>
    <t>Химикали</t>
  </si>
  <si>
    <t>Produse chimice</t>
  </si>
  <si>
    <t>Produits chimiques</t>
  </si>
  <si>
    <t>Chemikalien</t>
  </si>
  <si>
    <t>quimicos</t>
  </si>
  <si>
    <t>مواد كيميائية</t>
  </si>
  <si>
    <t>化学品</t>
  </si>
  <si>
    <t>化学薬品</t>
  </si>
  <si>
    <t>ЦХП</t>
  </si>
  <si>
    <t>ТЕЦ</t>
  </si>
  <si>
    <t>cogénération</t>
  </si>
  <si>
    <t>BHKW</t>
  </si>
  <si>
    <t>cogeneración</t>
  </si>
  <si>
    <t>حزب الشعب الجمهوري</t>
  </si>
  <si>
    <t>热电联产</t>
  </si>
  <si>
    <t>ЦНГ</t>
  </si>
  <si>
    <t>GNC</t>
  </si>
  <si>
    <t>压缩天然气</t>
  </si>
  <si>
    <t>ЦО2Стораге</t>
  </si>
  <si>
    <t>Magazinimi i CO2</t>
  </si>
  <si>
    <t>CO2 tárolás</t>
  </si>
  <si>
    <t>Αποθήκευση CO2</t>
  </si>
  <si>
    <t>Зберігання CO2</t>
  </si>
  <si>
    <t>Съхранение на CO2</t>
  </si>
  <si>
    <t>Stocare CO2</t>
  </si>
  <si>
    <t>Stockage du CO2</t>
  </si>
  <si>
    <t>CO2-Speicherung</t>
  </si>
  <si>
    <t>Almacenamiento de CO2</t>
  </si>
  <si>
    <t>تخزين ثاني أكسيد الكربون</t>
  </si>
  <si>
    <t>二氧化碳储存</t>
  </si>
  <si>
    <t>CO2貯留</t>
  </si>
  <si>
    <t>Qymyri</t>
  </si>
  <si>
    <t>Κάρβουνο</t>
  </si>
  <si>
    <t>вугілля</t>
  </si>
  <si>
    <t>Въглища</t>
  </si>
  <si>
    <t>Charbon</t>
  </si>
  <si>
    <t>Kohle</t>
  </si>
  <si>
    <t>Carbón</t>
  </si>
  <si>
    <t>فحم</t>
  </si>
  <si>
    <t>煤炭</t>
  </si>
  <si>
    <t>石炭</t>
  </si>
  <si>
    <t>угаљ (ЦЦС)</t>
  </si>
  <si>
    <t>Qymyri (CCS)</t>
  </si>
  <si>
    <t>Szén (CCS)</t>
  </si>
  <si>
    <t>ugalj (CCS)</t>
  </si>
  <si>
    <t>Άνθρακας (CCS)</t>
  </si>
  <si>
    <t>Вугілля (CCS)</t>
  </si>
  <si>
    <t>Въглища (CCS)</t>
  </si>
  <si>
    <t>Cărbune (CCS)</t>
  </si>
  <si>
    <t>Charbon (CSC)</t>
  </si>
  <si>
    <t>Kohle (CCS)</t>
  </si>
  <si>
    <t>Carbón (CCS)</t>
  </si>
  <si>
    <t>الفحم (CCS)</t>
  </si>
  <si>
    <t>煤炭（CCS）</t>
  </si>
  <si>
    <t>石炭（CCS）</t>
  </si>
  <si>
    <t>Угаљ брате</t>
  </si>
  <si>
    <t>Thëngjill vëlla</t>
  </si>
  <si>
    <t>Szén tesó</t>
  </si>
  <si>
    <t>Ugalj brate</t>
  </si>
  <si>
    <t>Άνθρακας αδερφέ</t>
  </si>
  <si>
    <t>Вугілля братан</t>
  </si>
  <si>
    <t>Въглища братле</t>
  </si>
  <si>
    <t>Cărbune frate</t>
  </si>
  <si>
    <t>Charbon frère</t>
  </si>
  <si>
    <t>Kohle, Bruder</t>
  </si>
  <si>
    <t>Carbón hermano</t>
  </si>
  <si>
    <t>الفحم إخوانه</t>
  </si>
  <si>
    <t>煤哥</t>
  </si>
  <si>
    <t>石炭兄さん</t>
  </si>
  <si>
    <t>Цоал Инд.</t>
  </si>
  <si>
    <t>Qymyri Ind.</t>
  </si>
  <si>
    <t>Άνθρακα Ind.</t>
  </si>
  <si>
    <t>вугільна пром.</t>
  </si>
  <si>
    <t>въглищна инд.</t>
  </si>
  <si>
    <t>Cărbune Ind.</t>
  </si>
  <si>
    <t>Kohleindustrie</t>
  </si>
  <si>
    <t>industria del carbón</t>
  </si>
  <si>
    <t>صناعة الفحم</t>
  </si>
  <si>
    <t>煤炭工业</t>
  </si>
  <si>
    <t>石炭工業株式会社</t>
  </si>
  <si>
    <t>кока кола</t>
  </si>
  <si>
    <t>Coca-Cola</t>
  </si>
  <si>
    <t>Koksz</t>
  </si>
  <si>
    <t>Koka-kola</t>
  </si>
  <si>
    <t>Κοκ</t>
  </si>
  <si>
    <t>Кокс</t>
  </si>
  <si>
    <t>Кока Кола</t>
  </si>
  <si>
    <t>du Coca</t>
  </si>
  <si>
    <t>Koks</t>
  </si>
  <si>
    <t>Coca</t>
  </si>
  <si>
    <t>فحم الكوك</t>
  </si>
  <si>
    <t>可乐</t>
  </si>
  <si>
    <t>コークス</t>
  </si>
  <si>
    <t>Комерцијални</t>
  </si>
  <si>
    <t>Komerciale</t>
  </si>
  <si>
    <t>Kereskedelmi</t>
  </si>
  <si>
    <t>Komercijalno</t>
  </si>
  <si>
    <t>Εμπορικός</t>
  </si>
  <si>
    <t>Комерційний</t>
  </si>
  <si>
    <t>Търговски</t>
  </si>
  <si>
    <t>Comercial</t>
  </si>
  <si>
    <t>Werbung</t>
  </si>
  <si>
    <t>تجاري</t>
  </si>
  <si>
    <t>商业的</t>
  </si>
  <si>
    <t>商業</t>
  </si>
  <si>
    <t>Цоокинг-Цом</t>
  </si>
  <si>
    <t>Főzés-Com</t>
  </si>
  <si>
    <t>Кулінарія-Ком</t>
  </si>
  <si>
    <t>Готвене-Ком</t>
  </si>
  <si>
    <t>Cuisine-Com</t>
  </si>
  <si>
    <t>cocina-com</t>
  </si>
  <si>
    <t>الطبخ كوم</t>
  </si>
  <si>
    <t>烹饪通讯</t>
  </si>
  <si>
    <t>クッキングコム</t>
  </si>
  <si>
    <t>Кување-РСД</t>
  </si>
  <si>
    <t>Gatim-Rsd</t>
  </si>
  <si>
    <t>Főzés-Rsd</t>
  </si>
  <si>
    <t>Kuvanje-Rsd</t>
  </si>
  <si>
    <t>Μαγειρική-Rsd</t>
  </si>
  <si>
    <t>Кулінарія-Rsd</t>
  </si>
  <si>
    <t>Готвене-Rsd</t>
  </si>
  <si>
    <t>Gătit-Rsd</t>
  </si>
  <si>
    <t>Cuisine-Rsd</t>
  </si>
  <si>
    <t>Kochen-Rsd</t>
  </si>
  <si>
    <t>Cocción-Rsd</t>
  </si>
  <si>
    <t>الطبخ- Rsd</t>
  </si>
  <si>
    <t>烹饪-Rsd</t>
  </si>
  <si>
    <t>料理研究</t>
  </si>
  <si>
    <t>Црплнд Нутриент Мгмт</t>
  </si>
  <si>
    <t>Crplnd lëndë ushqyese Mgmt</t>
  </si>
  <si>
    <t>Crplnd Θρεπτικό Mgmt</t>
  </si>
  <si>
    <t>Crplnd Gestion des éléments nutritifs</t>
  </si>
  <si>
    <t>Crplnd Nährstoff-Mgmt</t>
  </si>
  <si>
    <t>Gestión de nutrientes crplnd</t>
  </si>
  <si>
    <t>Crplnd المغذيات Mgmt</t>
  </si>
  <si>
    <t>复合营养素管理</t>
  </si>
  <si>
    <t>Crplnd 栄養管理</t>
  </si>
  <si>
    <t>Сирова</t>
  </si>
  <si>
    <t>I papërpunuar</t>
  </si>
  <si>
    <t>Nyers</t>
  </si>
  <si>
    <t>Sirova</t>
  </si>
  <si>
    <t>Ακατέργαστος</t>
  </si>
  <si>
    <t>Сирий</t>
  </si>
  <si>
    <t>Суров</t>
  </si>
  <si>
    <t>Brut</t>
  </si>
  <si>
    <t>Roh</t>
  </si>
  <si>
    <t>Crudo</t>
  </si>
  <si>
    <t>خام</t>
  </si>
  <si>
    <t>原油</t>
  </si>
  <si>
    <t>粗製</t>
  </si>
  <si>
    <t>Цстал Ветланд Рстрн</t>
  </si>
  <si>
    <t>Ligatina Cstal Rstrn</t>
  </si>
  <si>
    <t>Carretera del humedal de Cstal</t>
  </si>
  <si>
    <t>Cstal ويتلاند Rstrn</t>
  </si>
  <si>
    <t>水晶湿地站</t>
  </si>
  <si>
    <t>シュタール湿地Rstrn</t>
  </si>
  <si>
    <t>Потражња</t>
  </si>
  <si>
    <t>Kërkesa</t>
  </si>
  <si>
    <t>Igény</t>
  </si>
  <si>
    <t>Potražnja</t>
  </si>
  <si>
    <t>Ζήτηση</t>
  </si>
  <si>
    <t>Попит</t>
  </si>
  <si>
    <t>Търсене</t>
  </si>
  <si>
    <t>Cerere</t>
  </si>
  <si>
    <t>Demande</t>
  </si>
  <si>
    <t>Nachfrage</t>
  </si>
  <si>
    <t>Demanda</t>
  </si>
  <si>
    <t>يطلب</t>
  </si>
  <si>
    <t>要求</t>
  </si>
  <si>
    <t>Depl Gas fld (offshore)</t>
  </si>
  <si>
    <t>Депл Гас Флд (оффсхоре)</t>
  </si>
  <si>
    <t>Depl Gas fld (në det të hapur)</t>
  </si>
  <si>
    <t>Depl Gas Fld (offshore)</t>
  </si>
  <si>
    <t>Depl Gas fld (υπεράκτια)</t>
  </si>
  <si>
    <t>Depl Gas Fld (офшор)</t>
  </si>
  <si>
    <t>Depl Gas fld (офшорни)</t>
  </si>
  <si>
    <t>Depl Gasfeld (Offshore)</t>
  </si>
  <si>
    <t>Depl Gas fld (في الخارج)</t>
  </si>
  <si>
    <t>Depl 天然气田（海上）</t>
  </si>
  <si>
    <t>Deplガス工場（オフショア）</t>
  </si>
  <si>
    <t>Depl Gas fld (onshore)</t>
  </si>
  <si>
    <t>Депл Гас Флд (копно)</t>
  </si>
  <si>
    <t>Depl Gas fld (në breg)</t>
  </si>
  <si>
    <t>Depl Gas fld (szárazföldi)</t>
  </si>
  <si>
    <t>Depl Gas Fld (kopno)</t>
  </si>
  <si>
    <t>Depl Gas fld (χερσαία)</t>
  </si>
  <si>
    <t>Depl Gas Fld (береговий)</t>
  </si>
  <si>
    <t>Depl Gas Fld (на сушата)</t>
  </si>
  <si>
    <t>Depl Gas fld (à terre)</t>
  </si>
  <si>
    <t>Depl Gas fld (en tierra)</t>
  </si>
  <si>
    <t>Depl Gas Fld (البرية)</t>
  </si>
  <si>
    <t>Depl 天然气田（陆上）</t>
  </si>
  <si>
    <t>Deplガス工場（陸上）</t>
  </si>
  <si>
    <t>Depl Oil fld (offshore)</t>
  </si>
  <si>
    <t>Депл Оил Флд (оффсхоре)</t>
  </si>
  <si>
    <t>Depl Oil fld (në det të hapur)</t>
  </si>
  <si>
    <t>Depl Oil Fld (offshore)</t>
  </si>
  <si>
    <t>Depl Oil fld (υπεράκτια)</t>
  </si>
  <si>
    <t>Depl Oil Fld (офшор)</t>
  </si>
  <si>
    <t>Depl Oil fld (офшорни)</t>
  </si>
  <si>
    <t>Depl Ölfeld (Offshore)</t>
  </si>
  <si>
    <t>Depl Oil fld (في الخارج)</t>
  </si>
  <si>
    <t>Depl 油田（海上）</t>
  </si>
  <si>
    <t>Depl石油貯蔵所（オフショア）</t>
  </si>
  <si>
    <t>Depl Oil fld (onshore)</t>
  </si>
  <si>
    <t>Депл Оил Флд (копно)</t>
  </si>
  <si>
    <t>Depl Oil fld (në breg)</t>
  </si>
  <si>
    <t>Depl Oil fld (szárazföldi)</t>
  </si>
  <si>
    <t>Depl Oil Fld (kopno)</t>
  </si>
  <si>
    <t>Depl Oil fld (χερσαία)</t>
  </si>
  <si>
    <t>Depl Oil Fld (на суші)</t>
  </si>
  <si>
    <t>Depl Oil fld (на сушата)</t>
  </si>
  <si>
    <t>Depl Ölfeld (onshore)</t>
  </si>
  <si>
    <t>Depl Oil fld (en tierra)</t>
  </si>
  <si>
    <t>Depl Oil fld (البرية)</t>
  </si>
  <si>
    <t>Depl 油田（陆上）</t>
  </si>
  <si>
    <t>Depl石油貯蔵所（陸上）</t>
  </si>
  <si>
    <t>Диесел</t>
  </si>
  <si>
    <t>Naftë</t>
  </si>
  <si>
    <t>Dízel</t>
  </si>
  <si>
    <t>Ντίζελ</t>
  </si>
  <si>
    <t>Дизель</t>
  </si>
  <si>
    <t>дизел</t>
  </si>
  <si>
    <t>Motorină</t>
  </si>
  <si>
    <t>ديزل</t>
  </si>
  <si>
    <t>柴油机</t>
  </si>
  <si>
    <t>ディーゼル</t>
  </si>
  <si>
    <t>Дирецт Аир Цап</t>
  </si>
  <si>
    <t>Kapak i drejtpërdrejtë i ajrit</t>
  </si>
  <si>
    <t>Közvetlen légsapka</t>
  </si>
  <si>
    <t>Απευθείας καπάκι αέρα</t>
  </si>
  <si>
    <t>Прямий повітряний ковпачок</t>
  </si>
  <si>
    <t>Капачка за директен въздух</t>
  </si>
  <si>
    <t>Cap de aer direct</t>
  </si>
  <si>
    <t>Capuchon d'air direct</t>
  </si>
  <si>
    <t>Direkte Luftkappe</t>
  </si>
  <si>
    <t>Casquillo de aire directo</t>
  </si>
  <si>
    <t>غطاء الهواء المباشر</t>
  </si>
  <si>
    <t>直接空气帽</t>
  </si>
  <si>
    <t>ダイレクトエアキャップ</t>
  </si>
  <si>
    <t>Домаћа авијација</t>
  </si>
  <si>
    <t>Aviacioni i Brendshëm</t>
  </si>
  <si>
    <t>Belföldi repülés</t>
  </si>
  <si>
    <t>Domaća avijacija</t>
  </si>
  <si>
    <t>Αεροπορία εσωτερικού</t>
  </si>
  <si>
    <t>Вітчизняна авіація</t>
  </si>
  <si>
    <t>Вътрешна авиация</t>
  </si>
  <si>
    <t>Aviația internă</t>
  </si>
  <si>
    <t>Aviation domestique</t>
  </si>
  <si>
    <t>Inländische Luftfahrt</t>
  </si>
  <si>
    <t>Aviación Nacional</t>
  </si>
  <si>
    <t>الطيران المحلي</t>
  </si>
  <si>
    <t>国内航空</t>
  </si>
  <si>
    <t>Домаћи бродови</t>
  </si>
  <si>
    <t>Anije vendase</t>
  </si>
  <si>
    <t>Belföldi hajók</t>
  </si>
  <si>
    <t>Domaći brodovi</t>
  </si>
  <si>
    <t>Πλοία εσωτερικού</t>
  </si>
  <si>
    <t>Внутрішні кораблі</t>
  </si>
  <si>
    <t>Вътрешни кораби</t>
  </si>
  <si>
    <t>Navele interne</t>
  </si>
  <si>
    <t>Navires nationaux</t>
  </si>
  <si>
    <t>Inländische Schiffe</t>
  </si>
  <si>
    <t>Barcos Nacionales</t>
  </si>
  <si>
    <t>السفن المحلية</t>
  </si>
  <si>
    <t>国内船舶</t>
  </si>
  <si>
    <t>内航船</t>
  </si>
  <si>
    <t>ДСА (офшор)</t>
  </si>
  <si>
    <t>DSA (në det të hapur)</t>
  </si>
  <si>
    <t>DSA (υπεράκτια)</t>
  </si>
  <si>
    <t>DSA (офшор)</t>
  </si>
  <si>
    <t>DSA (офшорни)</t>
  </si>
  <si>
    <t>DSA (Offshore)</t>
  </si>
  <si>
    <t>DSA (en alta mar)</t>
  </si>
  <si>
    <t>DSA (في الخارج)</t>
  </si>
  <si>
    <t>DSA（海上）</t>
  </si>
  <si>
    <t>DSA（オフショア）</t>
  </si>
  <si>
    <t>ДСА (копно)</t>
  </si>
  <si>
    <t>DSA (në breg)</t>
  </si>
  <si>
    <t>DSA (szárazföldi)</t>
  </si>
  <si>
    <t>DSA (kopno)</t>
  </si>
  <si>
    <t>DSA (χερσαία)</t>
  </si>
  <si>
    <t>DSA (на березі)</t>
  </si>
  <si>
    <t>DSA (на сушата)</t>
  </si>
  <si>
    <t>DSA (à terre)</t>
  </si>
  <si>
    <t>DSA (en tierra)</t>
  </si>
  <si>
    <t>DSA (على الشاطئ)</t>
  </si>
  <si>
    <t>DSA（陆上）</t>
  </si>
  <si>
    <t>DSA (陸上)</t>
  </si>
  <si>
    <t>Dsl Hybrid</t>
  </si>
  <si>
    <t>Дсл Хибрид</t>
  </si>
  <si>
    <t>Dsl hibrid</t>
  </si>
  <si>
    <t>Dsl хибрид</t>
  </si>
  <si>
    <t>ADSL Hybride</t>
  </si>
  <si>
    <t>DSL-Hybrid</t>
  </si>
  <si>
    <t>híbrido dsl</t>
  </si>
  <si>
    <t>دي اس ال هجين</t>
  </si>
  <si>
    <t>DSL 混合</t>
  </si>
  <si>
    <t>DSL ハイブリッド</t>
  </si>
  <si>
    <t>Dsl Plug-in Hyb</t>
  </si>
  <si>
    <t>Дсл Плуг-ин Хиб</t>
  </si>
  <si>
    <t>Hyb Plug-in Dsl</t>
  </si>
  <si>
    <t>Плагін Dsl Hyb</t>
  </si>
  <si>
    <t>Plug-in Hyb Dsl</t>
  </si>
  <si>
    <t>DSL-Plug-in-Hyb</t>
  </si>
  <si>
    <t>Dsl enchufable híbrido</t>
  </si>
  <si>
    <t>DSL 插入式混合动力</t>
  </si>
  <si>
    <t>DSL プラグイン ハイブリッド</t>
  </si>
  <si>
    <t>Думми</t>
  </si>
  <si>
    <t>Bedel</t>
  </si>
  <si>
    <t>Színlelt</t>
  </si>
  <si>
    <t>Ανδρείκελο</t>
  </si>
  <si>
    <t>манекен</t>
  </si>
  <si>
    <t>Manichin</t>
  </si>
  <si>
    <t>Factice</t>
  </si>
  <si>
    <t>Ficticio</t>
  </si>
  <si>
    <t>غبي</t>
  </si>
  <si>
    <t>假的</t>
  </si>
  <si>
    <t>ダミー</t>
  </si>
  <si>
    <t>E85</t>
  </si>
  <si>
    <t>Е85</t>
  </si>
  <si>
    <t>Ε85</t>
  </si>
  <si>
    <t>Elec</t>
  </si>
  <si>
    <t>Елец</t>
  </si>
  <si>
    <t>Електр</t>
  </si>
  <si>
    <t>Ел</t>
  </si>
  <si>
    <t>élec</t>
  </si>
  <si>
    <t>Elektr</t>
  </si>
  <si>
    <t>eléctrico</t>
  </si>
  <si>
    <t>كهربائي</t>
  </si>
  <si>
    <t>电气</t>
  </si>
  <si>
    <t>エレック</t>
  </si>
  <si>
    <t>Elec 150</t>
  </si>
  <si>
    <t>Елец 150</t>
  </si>
  <si>
    <t>Zgjedhja 150</t>
  </si>
  <si>
    <t>Електр 150</t>
  </si>
  <si>
    <t>Elektrik 150</t>
  </si>
  <si>
    <t>150 eléctricos</t>
  </si>
  <si>
    <t>إلك 150</t>
  </si>
  <si>
    <t>电动150</t>
  </si>
  <si>
    <t>エレク150</t>
  </si>
  <si>
    <t>Elec 50</t>
  </si>
  <si>
    <t>Елец 50</t>
  </si>
  <si>
    <t>Zgjedhja 50</t>
  </si>
  <si>
    <t>Ηλεκτρικό 50</t>
  </si>
  <si>
    <t>Електр 50</t>
  </si>
  <si>
    <t>Électr 50</t>
  </si>
  <si>
    <t>Elektrik 50</t>
  </si>
  <si>
    <t>50 eléctricos</t>
  </si>
  <si>
    <t>إلك 50</t>
  </si>
  <si>
    <t>电动50</t>
  </si>
  <si>
    <t>エレク50</t>
  </si>
  <si>
    <t>Elec 500</t>
  </si>
  <si>
    <t>Елец 500</t>
  </si>
  <si>
    <t>Zgjedhja 500</t>
  </si>
  <si>
    <t>Електр 500</t>
  </si>
  <si>
    <t>500 eléctricos</t>
  </si>
  <si>
    <t>إلك 500</t>
  </si>
  <si>
    <t>电动500</t>
  </si>
  <si>
    <t>エレク500</t>
  </si>
  <si>
    <t>Елец Генератион</t>
  </si>
  <si>
    <t>Gjenerata Zgjedhore</t>
  </si>
  <si>
    <t>Elektromos generáció</t>
  </si>
  <si>
    <t>Εκλογή Γενιά</t>
  </si>
  <si>
    <t>Електрогенерація</t>
  </si>
  <si>
    <t>Електрическо поколение</t>
  </si>
  <si>
    <t>Generația Elec</t>
  </si>
  <si>
    <t>Génération Elec</t>
  </si>
  <si>
    <t>Stromerzeugung</t>
  </si>
  <si>
    <t>generación eléctrica</t>
  </si>
  <si>
    <t>جيل الكهرباء</t>
  </si>
  <si>
    <t>电力一代</t>
  </si>
  <si>
    <t>エレクジェネレーション</t>
  </si>
  <si>
    <t>Elec vehicle</t>
  </si>
  <si>
    <t>Елец вехицле</t>
  </si>
  <si>
    <t>Automjete elektrike</t>
  </si>
  <si>
    <t>Elektromos jármű</t>
  </si>
  <si>
    <t>Ηλεκτρικό όχημα</t>
  </si>
  <si>
    <t>Електричний транспортний засіб</t>
  </si>
  <si>
    <t>Електрическо превозно средство</t>
  </si>
  <si>
    <t>Vehicul electric</t>
  </si>
  <si>
    <t>Véhicule électrique</t>
  </si>
  <si>
    <t>Elektrofahrzeug</t>
  </si>
  <si>
    <t>vehículo eléctrico</t>
  </si>
  <si>
    <t>مركبة كهربائية</t>
  </si>
  <si>
    <t>电动车</t>
  </si>
  <si>
    <t>電気自動車</t>
  </si>
  <si>
    <t>Електрична енергија</t>
  </si>
  <si>
    <t>Elektricitet</t>
  </si>
  <si>
    <t>Elektromosság</t>
  </si>
  <si>
    <t>Struja</t>
  </si>
  <si>
    <t>Ηλεκτρική ενέργεια</t>
  </si>
  <si>
    <t>Електрика</t>
  </si>
  <si>
    <t>Електричество</t>
  </si>
  <si>
    <t>Electricitate</t>
  </si>
  <si>
    <t>Électricité</t>
  </si>
  <si>
    <t>Elektrizität</t>
  </si>
  <si>
    <t>Electricidad</t>
  </si>
  <si>
    <t>كهرباء</t>
  </si>
  <si>
    <t>电</t>
  </si>
  <si>
    <t>電気</t>
  </si>
  <si>
    <t>Елецтроцхем</t>
  </si>
  <si>
    <t>Elektrokimik</t>
  </si>
  <si>
    <t>Ηλεκτροχημ</t>
  </si>
  <si>
    <t>електрохім</t>
  </si>
  <si>
    <t>Електрохимия</t>
  </si>
  <si>
    <t>Electrochimie</t>
  </si>
  <si>
    <t>Électrochimie</t>
  </si>
  <si>
    <t>Elektrochem</t>
  </si>
  <si>
    <t>Electroquímica</t>
  </si>
  <si>
    <t>الكتروكيم</t>
  </si>
  <si>
    <t>电化学</t>
  </si>
  <si>
    <t>電気化学</t>
  </si>
  <si>
    <t>Емисија</t>
  </si>
  <si>
    <t>Emisioni</t>
  </si>
  <si>
    <t>Kibocsátás</t>
  </si>
  <si>
    <t>Emisija</t>
  </si>
  <si>
    <t>Εκπομπή</t>
  </si>
  <si>
    <t>емісія</t>
  </si>
  <si>
    <t>Емисия</t>
  </si>
  <si>
    <t>Emisia</t>
  </si>
  <si>
    <t>Émission</t>
  </si>
  <si>
    <t>Emisión</t>
  </si>
  <si>
    <t>انبعاث</t>
  </si>
  <si>
    <t>排放</t>
  </si>
  <si>
    <t>放出</t>
  </si>
  <si>
    <t>Емисије</t>
  </si>
  <si>
    <t>Emetimet</t>
  </si>
  <si>
    <t>Kibocsátások</t>
  </si>
  <si>
    <t>Emisije</t>
  </si>
  <si>
    <t>Εκπομπές</t>
  </si>
  <si>
    <t>Викиди</t>
  </si>
  <si>
    <t>Емисии</t>
  </si>
  <si>
    <t>Emisii</t>
  </si>
  <si>
    <t>Émissions</t>
  </si>
  <si>
    <t>Emissionen</t>
  </si>
  <si>
    <t>Emisiones</t>
  </si>
  <si>
    <t>الانبعاثات</t>
  </si>
  <si>
    <t>排放量</t>
  </si>
  <si>
    <t>排出量</t>
  </si>
  <si>
    <t>EnCom_nbrs</t>
  </si>
  <si>
    <t>ЕнЦом_нбрс</t>
  </si>
  <si>
    <t>Енергија</t>
  </si>
  <si>
    <t>Energjisë</t>
  </si>
  <si>
    <t>Energia</t>
  </si>
  <si>
    <t>Energija</t>
  </si>
  <si>
    <t>Ενέργεια</t>
  </si>
  <si>
    <t>Енергія</t>
  </si>
  <si>
    <t>Енергия</t>
  </si>
  <si>
    <t>Energie</t>
  </si>
  <si>
    <t>Énergie</t>
  </si>
  <si>
    <t>Energía</t>
  </si>
  <si>
    <t>طاقة</t>
  </si>
  <si>
    <t>活力</t>
  </si>
  <si>
    <t>エネルギー</t>
  </si>
  <si>
    <t>ЕОР (офшор)</t>
  </si>
  <si>
    <t>EOR (në det të hapur)</t>
  </si>
  <si>
    <t>EOR (υπεράκτια)</t>
  </si>
  <si>
    <t>EOR (офшор)</t>
  </si>
  <si>
    <t>EOR (офшорни)</t>
  </si>
  <si>
    <t>EOR (Offshore)</t>
  </si>
  <si>
    <t>EOR (en alta mar)</t>
  </si>
  <si>
    <t>الاستخلاص المعزز للنفط (في الخارج)</t>
  </si>
  <si>
    <t>EOR（海上）</t>
  </si>
  <si>
    <t>EOR（オフショア）</t>
  </si>
  <si>
    <t>ЕОР (копно)</t>
  </si>
  <si>
    <t>EOR (në breg)</t>
  </si>
  <si>
    <t>EOR (szárazföldi)</t>
  </si>
  <si>
    <t>EOR (kopno)</t>
  </si>
  <si>
    <t>EOR (χερσαία)</t>
  </si>
  <si>
    <t>EOR (на суші)</t>
  </si>
  <si>
    <t>EOR (на сушата)</t>
  </si>
  <si>
    <t>EOR (à terre)</t>
  </si>
  <si>
    <t>EOR (en tierra)</t>
  </si>
  <si>
    <t>الاستخلاص المعزز للنفط (على اليابسة)</t>
  </si>
  <si>
    <t>EOR（陆上）</t>
  </si>
  <si>
    <t>EOR (陸上)</t>
  </si>
  <si>
    <t>Euroazia</t>
  </si>
  <si>
    <t>Ευρασία</t>
  </si>
  <si>
    <t>Євразія</t>
  </si>
  <si>
    <t>Евразия</t>
  </si>
  <si>
    <t>Eurasie</t>
  </si>
  <si>
    <t>Eurasien</t>
  </si>
  <si>
    <t>eurasia</t>
  </si>
  <si>
    <t>أوراسيا</t>
  </si>
  <si>
    <t>欧亚大陆</t>
  </si>
  <si>
    <t>ユーラシア</t>
  </si>
  <si>
    <t>Evropë</t>
  </si>
  <si>
    <t>Ευρώπη</t>
  </si>
  <si>
    <t>Європа</t>
  </si>
  <si>
    <t>L'Europe </t>
  </si>
  <si>
    <t>أوروبا</t>
  </si>
  <si>
    <t>欧洲</t>
  </si>
  <si>
    <t>ヨーロッパ</t>
  </si>
  <si>
    <t>EV Battery</t>
  </si>
  <si>
    <t>ЕВ Баттери</t>
  </si>
  <si>
    <t>Bateri EV</t>
  </si>
  <si>
    <t>EV akkumulátor</t>
  </si>
  <si>
    <t>EV baterija</t>
  </si>
  <si>
    <t>Μπαταρία EV</t>
  </si>
  <si>
    <t>EV акумулятор</t>
  </si>
  <si>
    <t>EV батерия</t>
  </si>
  <si>
    <t>Baterie EV</t>
  </si>
  <si>
    <t>Batterie VÉ</t>
  </si>
  <si>
    <t>EV-Batterie</t>
  </si>
  <si>
    <t>Batería para vehículos eléctricos</t>
  </si>
  <si>
    <t>بطارية EV</t>
  </si>
  <si>
    <t>电动车电池</t>
  </si>
  <si>
    <t>EVバッテリー</t>
  </si>
  <si>
    <t>Екстракција</t>
  </si>
  <si>
    <t>Nxjerrja</t>
  </si>
  <si>
    <t>Kitermelés</t>
  </si>
  <si>
    <t>Ekstrakcija</t>
  </si>
  <si>
    <t>Εξαγωγή</t>
  </si>
  <si>
    <t>Видобуток</t>
  </si>
  <si>
    <t>Екстракция</t>
  </si>
  <si>
    <t>Extracţie</t>
  </si>
  <si>
    <t>Extraktion</t>
  </si>
  <si>
    <t>Extracción</t>
  </si>
  <si>
    <t>اِستِخلاص</t>
  </si>
  <si>
    <t>萃取</t>
  </si>
  <si>
    <t>抽出</t>
  </si>
  <si>
    <t>Коначна енергија</t>
  </si>
  <si>
    <t>Energjia përfundimtare</t>
  </si>
  <si>
    <t>Végső energia</t>
  </si>
  <si>
    <t>Konačna energija</t>
  </si>
  <si>
    <t>Τελική ενέργεια</t>
  </si>
  <si>
    <t>Кінцева енергія</t>
  </si>
  <si>
    <t>Крайна енергия</t>
  </si>
  <si>
    <t>Energia finală</t>
  </si>
  <si>
    <t>Énergie finale</t>
  </si>
  <si>
    <t>Endenergie</t>
  </si>
  <si>
    <t>energía final</t>
  </si>
  <si>
    <t>الطاقة النهائية</t>
  </si>
  <si>
    <t>最终能量</t>
  </si>
  <si>
    <t>最終エネルギー</t>
  </si>
  <si>
    <t>Прерада хране</t>
  </si>
  <si>
    <t>Përpunimi i ushqimit</t>
  </si>
  <si>
    <t>Élelmiszer feldolgozás</t>
  </si>
  <si>
    <t>Obrada hrane</t>
  </si>
  <si>
    <t>Επεξεργασία τροφής</t>
  </si>
  <si>
    <t>Приготування їжі</t>
  </si>
  <si>
    <t>Обработка на храна</t>
  </si>
  <si>
    <t>Prelucrare alimentară</t>
  </si>
  <si>
    <t>Préparation des aliments</t>
  </si>
  <si>
    <t>Lebensmittelverarbeitung</t>
  </si>
  <si>
    <t>Procesamiento de alimentos</t>
  </si>
  <si>
    <t>معالجة الغذاء</t>
  </si>
  <si>
    <t>食品加工</t>
  </si>
  <si>
    <t>Потрошња горива</t>
  </si>
  <si>
    <t>Konsumi i karburantit</t>
  </si>
  <si>
    <t>Üzemanyag fogyasztás</t>
  </si>
  <si>
    <t>Potrošnja goriva</t>
  </si>
  <si>
    <t>Κατανάλωση καυσίμου</t>
  </si>
  <si>
    <t>Витрата палива</t>
  </si>
  <si>
    <t>Разход на гориво</t>
  </si>
  <si>
    <t>Consum de combustibil</t>
  </si>
  <si>
    <t>Consommation de carburant</t>
  </si>
  <si>
    <t>Kraftstoffverbrauch</t>
  </si>
  <si>
    <t>El consumo de combustible</t>
  </si>
  <si>
    <t>استهلاك الوقود</t>
  </si>
  <si>
    <t>燃油消耗</t>
  </si>
  <si>
    <t>燃費</t>
  </si>
  <si>
    <t>Gazi</t>
  </si>
  <si>
    <t>Αέριο</t>
  </si>
  <si>
    <t>газ</t>
  </si>
  <si>
    <t>Газ</t>
  </si>
  <si>
    <t>غاز</t>
  </si>
  <si>
    <t>气体</t>
  </si>
  <si>
    <t>ガス</t>
  </si>
  <si>
    <t>гас (ЦЦС)</t>
  </si>
  <si>
    <t>Gaz (CCS)</t>
  </si>
  <si>
    <t>Gáz (CCS)</t>
  </si>
  <si>
    <t>plin (CCS)</t>
  </si>
  <si>
    <t>Αέριο (CCS)</t>
  </si>
  <si>
    <t>Газ (CCS)</t>
  </si>
  <si>
    <t>Gaz (CSC)</t>
  </si>
  <si>
    <t>الغاز (CCS)</t>
  </si>
  <si>
    <t>气体（CCS）</t>
  </si>
  <si>
    <t>ガス(CCS)</t>
  </si>
  <si>
    <t>Бензин</t>
  </si>
  <si>
    <t>Benzina</t>
  </si>
  <si>
    <t>Benzin</t>
  </si>
  <si>
    <t>Βενζίνη</t>
  </si>
  <si>
    <t>Benzină</t>
  </si>
  <si>
    <t>De l'essence</t>
  </si>
  <si>
    <t>Gasolina</t>
  </si>
  <si>
    <t>الغازولين</t>
  </si>
  <si>
    <t>汽油</t>
  </si>
  <si>
    <t>ガソリン</t>
  </si>
  <si>
    <t>Gasoline 150</t>
  </si>
  <si>
    <t>Бензин 150</t>
  </si>
  <si>
    <t>Benzina 150</t>
  </si>
  <si>
    <t>150-es benzin</t>
  </si>
  <si>
    <t>Benzin 150</t>
  </si>
  <si>
    <t>Βενζίνη 150</t>
  </si>
  <si>
    <t>Essence 150</t>
  </si>
  <si>
    <t>Gasolina 150</t>
  </si>
  <si>
    <t>150- بنزين</t>
  </si>
  <si>
    <t>汽油150</t>
  </si>
  <si>
    <t>ガソリン 150</t>
  </si>
  <si>
    <t>Gasoline 50</t>
  </si>
  <si>
    <t>Бензин 50</t>
  </si>
  <si>
    <t>Benzina 50</t>
  </si>
  <si>
    <t>50-es benzin</t>
  </si>
  <si>
    <t>Benzin 50</t>
  </si>
  <si>
    <t>Βενζίνη 50</t>
  </si>
  <si>
    <t>Essence 50</t>
  </si>
  <si>
    <t>gasolina 50</t>
  </si>
  <si>
    <t>بنزين 50</t>
  </si>
  <si>
    <t>汽油50</t>
  </si>
  <si>
    <t>ガソリン 50</t>
  </si>
  <si>
    <t>Gasoline 500</t>
  </si>
  <si>
    <t>Бензин 500</t>
  </si>
  <si>
    <t>Benzina 500</t>
  </si>
  <si>
    <t>500-as benzin</t>
  </si>
  <si>
    <t>Benzin 500</t>
  </si>
  <si>
    <t>Βενζίνη 500</t>
  </si>
  <si>
    <t>Essence 500</t>
  </si>
  <si>
    <t>Gasolina 500</t>
  </si>
  <si>
    <t>بنزين 500</t>
  </si>
  <si>
    <t>汽油500</t>
  </si>
  <si>
    <t>ガソリン 500</t>
  </si>
  <si>
    <t>Gjeotermia</t>
  </si>
  <si>
    <t>Геотермия</t>
  </si>
  <si>
    <t>Géothermie</t>
  </si>
  <si>
    <t>Geothermie</t>
  </si>
  <si>
    <t>Geotermia</t>
  </si>
  <si>
    <t>جيوثيرم</t>
  </si>
  <si>
    <t>地热</t>
  </si>
  <si>
    <t>地熱</t>
  </si>
  <si>
    <t>Геотермални</t>
  </si>
  <si>
    <t>Gjeotermale</t>
  </si>
  <si>
    <t>Geotermikus</t>
  </si>
  <si>
    <t>Geotermalni</t>
  </si>
  <si>
    <t>Γεωθερμία</t>
  </si>
  <si>
    <t>геотермальний</t>
  </si>
  <si>
    <t>Геотермална</t>
  </si>
  <si>
    <t>geotermal</t>
  </si>
  <si>
    <t>الحرارة الأرضية</t>
  </si>
  <si>
    <t>Rrjeti Elec</t>
  </si>
  <si>
    <t>Πλέγμα Ηλεκτρ</t>
  </si>
  <si>
    <t>Електрична мережа</t>
  </si>
  <si>
    <t>Мрежа Elec</t>
  </si>
  <si>
    <t>Réseau électrique</t>
  </si>
  <si>
    <t>Netzelektr</t>
  </si>
  <si>
    <t>red eléctrica</t>
  </si>
  <si>
    <t>شبكة الكهرباء</t>
  </si>
  <si>
    <t>电网电力</t>
  </si>
  <si>
    <t>グリッドエレク</t>
  </si>
  <si>
    <t>Gsl Hybrid</t>
  </si>
  <si>
    <t>Гсл Хибрид</t>
  </si>
  <si>
    <t>Gsl Hibrid</t>
  </si>
  <si>
    <t>Gsl hibrid</t>
  </si>
  <si>
    <t>Гібрид Gsl</t>
  </si>
  <si>
    <t>Gsl хибрид</t>
  </si>
  <si>
    <t>Hybride Gsl</t>
  </si>
  <si>
    <t>Gsl-Hybrid</t>
  </si>
  <si>
    <t>Híbrido GSL</t>
  </si>
  <si>
    <t>هجين GSL</t>
  </si>
  <si>
    <t>GSL混合动力车</t>
  </si>
  <si>
    <t>GSLハイブリッド</t>
  </si>
  <si>
    <t>Gsl Plug-in Hyb</t>
  </si>
  <si>
    <t>Гсл Плуг-ин Хиб</t>
  </si>
  <si>
    <t>Плагін Gsl Hyb</t>
  </si>
  <si>
    <t>Hib enchufable GSL</t>
  </si>
  <si>
    <t>Gsl 插电式混合动力车</t>
  </si>
  <si>
    <t>GSL プラグイン ハイブリッド</t>
  </si>
  <si>
    <t>Х2 Био</t>
  </si>
  <si>
    <t>H2 Біо</t>
  </si>
  <si>
    <t>H2 Био</t>
  </si>
  <si>
    <t>H2 biológico</t>
  </si>
  <si>
    <t>H2 بيو</t>
  </si>
  <si>
    <t>H2生物</t>
  </si>
  <si>
    <t>H2 バイオ</t>
  </si>
  <si>
    <t>Х2 Елец</t>
  </si>
  <si>
    <t>H2 Elek</t>
  </si>
  <si>
    <t>Η2 Ηλεκτρ</t>
  </si>
  <si>
    <t>H2 élec</t>
  </si>
  <si>
    <t>H2 eléctrico</t>
  </si>
  <si>
    <t>H2 الكهرباء</t>
  </si>
  <si>
    <t>H2电动</t>
  </si>
  <si>
    <t>H2エレク</t>
  </si>
  <si>
    <t>Х2 Тхермал</t>
  </si>
  <si>
    <t>H2 Termike</t>
  </si>
  <si>
    <t>H2 Termikus</t>
  </si>
  <si>
    <t>Η2 Θερμική</t>
  </si>
  <si>
    <t>Н2 Теплова</t>
  </si>
  <si>
    <t>H2 Термичен</t>
  </si>
  <si>
    <t>H2 termic</t>
  </si>
  <si>
    <t>H2 Thermique</t>
  </si>
  <si>
    <t>Térmico H2</t>
  </si>
  <si>
    <t>H2 الحرارية</t>
  </si>
  <si>
    <t>H2 热能</t>
  </si>
  <si>
    <t>H2サーマル</t>
  </si>
  <si>
    <t>Х2_био</t>
  </si>
  <si>
    <t>H2_био</t>
  </si>
  <si>
    <t>H2_生物</t>
  </si>
  <si>
    <t>H2_バイオ</t>
  </si>
  <si>
    <t>Х2_блуе</t>
  </si>
  <si>
    <t>H2_blu</t>
  </si>
  <si>
    <t>H2_kék</t>
  </si>
  <si>
    <t>H2_plava</t>
  </si>
  <si>
    <t>H2_μπλε</t>
  </si>
  <si>
    <t>H2_синій</t>
  </si>
  <si>
    <t>H2_синьо</t>
  </si>
  <si>
    <t>H2_albastru</t>
  </si>
  <si>
    <t>H2_bleu</t>
  </si>
  <si>
    <t>H2_blau</t>
  </si>
  <si>
    <t>H2_azul</t>
  </si>
  <si>
    <t>H2_蓝色</t>
  </si>
  <si>
    <t>H2_青</t>
  </si>
  <si>
    <t>Х2_греен</t>
  </si>
  <si>
    <t>H2_jeshile</t>
  </si>
  <si>
    <t>H2_zöld</t>
  </si>
  <si>
    <t>H2_zelena</t>
  </si>
  <si>
    <t>H2_πράσινο</t>
  </si>
  <si>
    <t>H2_зелений</t>
  </si>
  <si>
    <t>H2_зелено</t>
  </si>
  <si>
    <t>H2_verde</t>
  </si>
  <si>
    <t>H2_vert</t>
  </si>
  <si>
    <t>H2_grün</t>
  </si>
  <si>
    <t>H2_绿色</t>
  </si>
  <si>
    <t>H2_緑</t>
  </si>
  <si>
    <t>Nxehtësia</t>
  </si>
  <si>
    <t>Θερμότητα</t>
  </si>
  <si>
    <t>Тепло</t>
  </si>
  <si>
    <t>Топлина</t>
  </si>
  <si>
    <t>Chaleur</t>
  </si>
  <si>
    <t>Hitze</t>
  </si>
  <si>
    <t>Calor</t>
  </si>
  <si>
    <t>حرارة</t>
  </si>
  <si>
    <t>热</t>
  </si>
  <si>
    <t>熱</t>
  </si>
  <si>
    <t>Мазут</t>
  </si>
  <si>
    <t>Vaj i rëndë</t>
  </si>
  <si>
    <t>Nehéz olaj</t>
  </si>
  <si>
    <t>Tesko ulje</t>
  </si>
  <si>
    <t>Βαρύ λάδι</t>
  </si>
  <si>
    <t>Важка нафта</t>
  </si>
  <si>
    <t>Тежко масло</t>
  </si>
  <si>
    <t>Ulei greu</t>
  </si>
  <si>
    <t>Pétrole lourd</t>
  </si>
  <si>
    <t>Schweres Öl</t>
  </si>
  <si>
    <t>Aceite pesado</t>
  </si>
  <si>
    <t>زيت ثقيل</t>
  </si>
  <si>
    <t>重油</t>
  </si>
  <si>
    <t>Тешки камиони</t>
  </si>
  <si>
    <t>Kamionë të rëndë</t>
  </si>
  <si>
    <t>Nehéz teherautók</t>
  </si>
  <si>
    <t>Βαρέα φορτηγά</t>
  </si>
  <si>
    <t>Важкі вантажівки</t>
  </si>
  <si>
    <t>Тежки камиони</t>
  </si>
  <si>
    <t>Camioane Grele</t>
  </si>
  <si>
    <t>Camions lourds</t>
  </si>
  <si>
    <t>Schwere Lastwagen</t>
  </si>
  <si>
    <t>camiones pesados</t>
  </si>
  <si>
    <t>شاحنات ثقيلة</t>
  </si>
  <si>
    <t>重型卡车</t>
  </si>
  <si>
    <t>大型トラック</t>
  </si>
  <si>
    <t>Хот Ватер-Цом</t>
  </si>
  <si>
    <t>Ujë i Nxehtë-Com</t>
  </si>
  <si>
    <t>Topla voda-kom</t>
  </si>
  <si>
    <t>Ζεστό Νερό-Com</t>
  </si>
  <si>
    <t>Гаряча Вода-Ком</t>
  </si>
  <si>
    <t>Топла вода-Ком</t>
  </si>
  <si>
    <t>Apa calda-Com</t>
  </si>
  <si>
    <t>Eau chaude-Com</t>
  </si>
  <si>
    <t>Warmwasser-Com</t>
  </si>
  <si>
    <t>agua caliente-com</t>
  </si>
  <si>
    <t>الماء الساخن كوم</t>
  </si>
  <si>
    <t>热水-Com</t>
  </si>
  <si>
    <t>給湯コム</t>
  </si>
  <si>
    <t>Топла вода-РСД</t>
  </si>
  <si>
    <t>Ujë i nxehtë-Rsd</t>
  </si>
  <si>
    <t>Melegvíz-Rsd</t>
  </si>
  <si>
    <t>Topla voda-RSD</t>
  </si>
  <si>
    <t>Ζεστό Νερό-Rsd</t>
  </si>
  <si>
    <t>Гаряча вода-Rsd</t>
  </si>
  <si>
    <t>Топла вода-Rsd</t>
  </si>
  <si>
    <t>Apa calda-Rsd</t>
  </si>
  <si>
    <t>Eau Chaude-Rsd</t>
  </si>
  <si>
    <t>Warmwasser-Rsd</t>
  </si>
  <si>
    <t>Agua caliente-Rsd</t>
  </si>
  <si>
    <t>الماء الساخن- Rsd</t>
  </si>
  <si>
    <t>热水-Rsd</t>
  </si>
  <si>
    <t>熱水-RSD</t>
  </si>
  <si>
    <t>Гідро</t>
  </si>
  <si>
    <t>Hydroélectricité</t>
  </si>
  <si>
    <t>Wasserkraft</t>
  </si>
  <si>
    <t>هيدرو</t>
  </si>
  <si>
    <t>海德鲁</t>
  </si>
  <si>
    <t>ハイドロ</t>
  </si>
  <si>
    <t>Hidrogjeni</t>
  </si>
  <si>
    <t>Υδρογόνο</t>
  </si>
  <si>
    <t>водень</t>
  </si>
  <si>
    <t>Водород</t>
  </si>
  <si>
    <t>Hydrogène</t>
  </si>
  <si>
    <t>Wasserstoff</t>
  </si>
  <si>
    <t>Hidrógeno</t>
  </si>
  <si>
    <t>هيدروجين</t>
  </si>
  <si>
    <t>氢</t>
  </si>
  <si>
    <t>水素</t>
  </si>
  <si>
    <t xml:space="preserve">Hydrogen </t>
  </si>
  <si>
    <t>Увоз (еко)</t>
  </si>
  <si>
    <t>Importi (exo)</t>
  </si>
  <si>
    <t>uvoz (exo)</t>
  </si>
  <si>
    <t>Εισαγωγή (exo)</t>
  </si>
  <si>
    <t>Імпорт (екзо)</t>
  </si>
  <si>
    <t>Импортиране (exo)</t>
  </si>
  <si>
    <t>Importation (exo)</t>
  </si>
  <si>
    <t>Importieren (exo)</t>
  </si>
  <si>
    <t>Importar (exo)</t>
  </si>
  <si>
    <t>استيراد (exo)</t>
  </si>
  <si>
    <t>导入（外）</t>
  </si>
  <si>
    <t>インポート（exo）</t>
  </si>
  <si>
    <t>Индустрија</t>
  </si>
  <si>
    <t>Industria</t>
  </si>
  <si>
    <t>Ipar</t>
  </si>
  <si>
    <t>Industrija</t>
  </si>
  <si>
    <t>Βιομηχανία</t>
  </si>
  <si>
    <t>Промисловість</t>
  </si>
  <si>
    <t>Индустрия</t>
  </si>
  <si>
    <t>Industrie</t>
  </si>
  <si>
    <t>صناعة</t>
  </si>
  <si>
    <t>行业</t>
  </si>
  <si>
    <t>業界</t>
  </si>
  <si>
    <t>Индустрија НЕ</t>
  </si>
  <si>
    <t>Industria NE</t>
  </si>
  <si>
    <t>Ipar NE</t>
  </si>
  <si>
    <t>Industrija NE</t>
  </si>
  <si>
    <t>Βιομηχανίας ΒΑ</t>
  </si>
  <si>
    <t>Промисловість СВ</t>
  </si>
  <si>
    <t>Индустрия NE</t>
  </si>
  <si>
    <t>Industrie NE</t>
  </si>
  <si>
    <t>صناعة NE</t>
  </si>
  <si>
    <t>行业NE</t>
  </si>
  <si>
    <t>業界NE</t>
  </si>
  <si>
    <t>Инт. Елец</t>
  </si>
  <si>
    <t>Міжн. Електр</t>
  </si>
  <si>
    <t>Вътр. Ел</t>
  </si>
  <si>
    <t>Int. élec</t>
  </si>
  <si>
    <t>Int. Elektr</t>
  </si>
  <si>
    <t>En t. eléctrico</t>
  </si>
  <si>
    <t>كثافة العمليات كهربائي</t>
  </si>
  <si>
    <t>国际。电气</t>
  </si>
  <si>
    <t>内部。エレック</t>
  </si>
  <si>
    <t>Међународна авијација</t>
  </si>
  <si>
    <t>Aviacioni Ndërkombëtar</t>
  </si>
  <si>
    <t>Nemzetközi Repülés</t>
  </si>
  <si>
    <t>Διεθνής Αεροπορία</t>
  </si>
  <si>
    <t>Міжнародна авіація</t>
  </si>
  <si>
    <t>Международна авиация</t>
  </si>
  <si>
    <t>Aviația Internațională</t>
  </si>
  <si>
    <t>Aéronautique internationale</t>
  </si>
  <si>
    <t>Internationale Luftfahrt</t>
  </si>
  <si>
    <t>Aviación internacional</t>
  </si>
  <si>
    <t>الطيران الدولي</t>
  </si>
  <si>
    <t>国际航空</t>
  </si>
  <si>
    <t>国際航空</t>
  </si>
  <si>
    <t>Међународни бродови</t>
  </si>
  <si>
    <t>Anije ndërkombëtare</t>
  </si>
  <si>
    <t>Nemzetközi hajók</t>
  </si>
  <si>
    <t>Međunarodni brodovi</t>
  </si>
  <si>
    <t>Διεθνή Πλοία</t>
  </si>
  <si>
    <t>Міжнародні судна</t>
  </si>
  <si>
    <t>Международни кораби</t>
  </si>
  <si>
    <t>Nave internaționale</t>
  </si>
  <si>
    <t>Navires internationaux</t>
  </si>
  <si>
    <t>Internationale Schiffe</t>
  </si>
  <si>
    <t>Barcos Internacionales</t>
  </si>
  <si>
    <t>السفن الدولية</t>
  </si>
  <si>
    <t>国际船舶</t>
  </si>
  <si>
    <t>国際船舶</t>
  </si>
  <si>
    <t>Гвожђе и челик</t>
  </si>
  <si>
    <t>Hekur dhe çelik</t>
  </si>
  <si>
    <t>Vas és acél</t>
  </si>
  <si>
    <t>Gvožđe i čelik</t>
  </si>
  <si>
    <t>Σίδερο και ατσάλι</t>
  </si>
  <si>
    <t>Залізо та сталь</t>
  </si>
  <si>
    <t>Желязо и стомана</t>
  </si>
  <si>
    <t>Fier si otel</t>
  </si>
  <si>
    <t>Fer et acier</t>
  </si>
  <si>
    <t>Eisen und Stahl</t>
  </si>
  <si>
    <t>Hierro y acero</t>
  </si>
  <si>
    <t>حديد وفولاذ</t>
  </si>
  <si>
    <t>铁和钢</t>
  </si>
  <si>
    <t>鉄鋼</t>
  </si>
  <si>
    <t>Јет керо</t>
  </si>
  <si>
    <t>Реактивне керо</t>
  </si>
  <si>
    <t>Джет керо</t>
  </si>
  <si>
    <t>Jet kéro</t>
  </si>
  <si>
    <t>Jet-Kero</t>
  </si>
  <si>
    <t>جيت كيرو</t>
  </si>
  <si>
    <t>喷射客罗</t>
  </si>
  <si>
    <t>ジェットケロ</t>
  </si>
  <si>
    <t>Керозин</t>
  </si>
  <si>
    <t>Vajguri</t>
  </si>
  <si>
    <t>Kerozin</t>
  </si>
  <si>
    <t>Πετρέλαιο</t>
  </si>
  <si>
    <t>Гас</t>
  </si>
  <si>
    <t>Керосин</t>
  </si>
  <si>
    <t>Kerosenul</t>
  </si>
  <si>
    <t>Kérosène</t>
  </si>
  <si>
    <t>Kerosin</t>
  </si>
  <si>
    <t>Queroseno</t>
  </si>
  <si>
    <t>الكيروسين</t>
  </si>
  <si>
    <t>煤油</t>
  </si>
  <si>
    <t>灯油</t>
  </si>
  <si>
    <t>Лаки камиони</t>
  </si>
  <si>
    <t>Kamionë të Lehtë</t>
  </si>
  <si>
    <t>Könnyű teherautók</t>
  </si>
  <si>
    <t>Laki kamioni</t>
  </si>
  <si>
    <t>Ελαφρά φορτηγά</t>
  </si>
  <si>
    <t>Легкі вантажівки</t>
  </si>
  <si>
    <t>Лекотоварни автомобили</t>
  </si>
  <si>
    <t>Camioane ușoare</t>
  </si>
  <si>
    <t>Camions légers</t>
  </si>
  <si>
    <t>Leichte Lastwagen</t>
  </si>
  <si>
    <t>Camiones ligeros</t>
  </si>
  <si>
    <t>الشاحنات الخفيفة</t>
  </si>
  <si>
    <t>轻型卡车</t>
  </si>
  <si>
    <t>軽トラック</t>
  </si>
  <si>
    <t>Осветљење</t>
  </si>
  <si>
    <t>Ndriçimi</t>
  </si>
  <si>
    <t>Világítás</t>
  </si>
  <si>
    <t>Osvetljenje</t>
  </si>
  <si>
    <t>Φωτισμός</t>
  </si>
  <si>
    <t>Освітлення</t>
  </si>
  <si>
    <t>Осветление</t>
  </si>
  <si>
    <t>Iluminat</t>
  </si>
  <si>
    <t>Éclairage</t>
  </si>
  <si>
    <t>Beleuchtung</t>
  </si>
  <si>
    <t>Encendiendo</t>
  </si>
  <si>
    <t>إضاءة</t>
  </si>
  <si>
    <t>灯光</t>
  </si>
  <si>
    <t>点灯</t>
  </si>
  <si>
    <t>Лигхтинг-Цом</t>
  </si>
  <si>
    <t>Ndriçimi-Com</t>
  </si>
  <si>
    <t>Φωτισμός-Κοιν</t>
  </si>
  <si>
    <t>Освітлення-Ком</t>
  </si>
  <si>
    <t>Осветление-Ком</t>
  </si>
  <si>
    <t>Iluminare-Com</t>
  </si>
  <si>
    <t>Beleuchtung-Com</t>
  </si>
  <si>
    <t>Iluminación-Com</t>
  </si>
  <si>
    <t>إضاءة كوم</t>
  </si>
  <si>
    <t>照明通讯</t>
  </si>
  <si>
    <t>ライティングコム</t>
  </si>
  <si>
    <t>Расвета-Рсд</t>
  </si>
  <si>
    <t>Ndriçimi-Rsd</t>
  </si>
  <si>
    <t>Világítás-Rsd</t>
  </si>
  <si>
    <t>Rasveta-Rsd</t>
  </si>
  <si>
    <t>Φωτισμός-Rsd</t>
  </si>
  <si>
    <t>Освітлення-Rsd</t>
  </si>
  <si>
    <t>Осветление-Rsd</t>
  </si>
  <si>
    <t>Iluminat-Rsd</t>
  </si>
  <si>
    <t>Eclairage-Rsd</t>
  </si>
  <si>
    <t>Beleuchtung-Rsd</t>
  </si>
  <si>
    <t>Iluminación-Rsd</t>
  </si>
  <si>
    <t>إضاءة- RSD</t>
  </si>
  <si>
    <t>照明-Rsd</t>
  </si>
  <si>
    <t>照明-RSD</t>
  </si>
  <si>
    <t>Лигнит</t>
  </si>
  <si>
    <t>Linjiti</t>
  </si>
  <si>
    <t>Barnaszén</t>
  </si>
  <si>
    <t>Lignit</t>
  </si>
  <si>
    <t>Λιγνίτης</t>
  </si>
  <si>
    <t>Буре вугілля</t>
  </si>
  <si>
    <t>Лигнитни въглища</t>
  </si>
  <si>
    <t>Braunkohle</t>
  </si>
  <si>
    <t>Lignito</t>
  </si>
  <si>
    <t>褐煤</t>
  </si>
  <si>
    <t>亜炭</t>
  </si>
  <si>
    <t>ЛНГ</t>
  </si>
  <si>
    <t>СПГ</t>
  </si>
  <si>
    <t>GNL</t>
  </si>
  <si>
    <t>الغاز الطبيعي المسال</t>
  </si>
  <si>
    <t>液化天然气</t>
  </si>
  <si>
    <t>ЛПГ</t>
  </si>
  <si>
    <t>зріджений газ</t>
  </si>
  <si>
    <t>GPL</t>
  </si>
  <si>
    <t>Flüssiggas</t>
  </si>
  <si>
    <t>GLP</t>
  </si>
  <si>
    <t>غاز البترول المسال</t>
  </si>
  <si>
    <t>液化石油气</t>
  </si>
  <si>
    <t>Мацхине др</t>
  </si>
  <si>
    <t>Makina dr</t>
  </si>
  <si>
    <t>Gép dr</t>
  </si>
  <si>
    <t>Stroj dr</t>
  </si>
  <si>
    <t>Μηχανή dr</t>
  </si>
  <si>
    <t>Машина dr</t>
  </si>
  <si>
    <t>Машина д-р</t>
  </si>
  <si>
    <t>Masina dr</t>
  </si>
  <si>
    <t>Dr machine</t>
  </si>
  <si>
    <t>Maschine Dr</t>
  </si>
  <si>
    <t>máquina dr</t>
  </si>
  <si>
    <t>آلة د</t>
  </si>
  <si>
    <t>机械博士</t>
  </si>
  <si>
    <t>マシン博士</t>
  </si>
  <si>
    <t>Макро драјвери</t>
  </si>
  <si>
    <t>Drejtues makro</t>
  </si>
  <si>
    <t>Makró illesztőprogramok</t>
  </si>
  <si>
    <t>Makro drajveri</t>
  </si>
  <si>
    <t>Προγράμματα οδήγησης μακροεντολών</t>
  </si>
  <si>
    <t>Макродрайвери</t>
  </si>
  <si>
    <t>Макро драйвери</t>
  </si>
  <si>
    <t>Drivere de macro</t>
  </si>
  <si>
    <t>Pilotes de macros</t>
  </si>
  <si>
    <t>Makrotreiber</t>
  </si>
  <si>
    <t>Controladores de macros</t>
  </si>
  <si>
    <t>برامج تشغيل الماكرو</t>
  </si>
  <si>
    <t>宏驱动程序</t>
  </si>
  <si>
    <t>マクロドライバー</t>
  </si>
  <si>
    <t>Макро индекси</t>
  </si>
  <si>
    <t>Indekset makro</t>
  </si>
  <si>
    <t>Makró indexek</t>
  </si>
  <si>
    <t>Makro indeksi</t>
  </si>
  <si>
    <t>Μακρο-Δείκτες</t>
  </si>
  <si>
    <t>Макроіндекси</t>
  </si>
  <si>
    <t>Indici macro</t>
  </si>
  <si>
    <t>Macro-indices</t>
  </si>
  <si>
    <t>Makroindizes</t>
  </si>
  <si>
    <t>Índices de macros</t>
  </si>
  <si>
    <t>مؤشرات الماكرو</t>
  </si>
  <si>
    <t>宏观指数</t>
  </si>
  <si>
    <t>マクロインデックス</t>
  </si>
  <si>
    <t>Материјал</t>
  </si>
  <si>
    <t>Materiali</t>
  </si>
  <si>
    <t>Anyag</t>
  </si>
  <si>
    <t>Materijal</t>
  </si>
  <si>
    <t>Υλικό</t>
  </si>
  <si>
    <t>матеріал</t>
  </si>
  <si>
    <t>Материал</t>
  </si>
  <si>
    <t>Matériel</t>
  </si>
  <si>
    <t>مادة</t>
  </si>
  <si>
    <t>材料</t>
  </si>
  <si>
    <t>Lindja e Mesme</t>
  </si>
  <si>
    <t>μέση Ανατολή</t>
  </si>
  <si>
    <t>середній Схід</t>
  </si>
  <si>
    <t>Близкия Изток</t>
  </si>
  <si>
    <t>Moyen-Orient</t>
  </si>
  <si>
    <t>Naher Osten</t>
  </si>
  <si>
    <t>Oriente Medio</t>
  </si>
  <si>
    <t>الشرق الأوسط</t>
  </si>
  <si>
    <t>中东</t>
  </si>
  <si>
    <t>中東</t>
  </si>
  <si>
    <t>Рударство</t>
  </si>
  <si>
    <t>Minierave</t>
  </si>
  <si>
    <t>Bányászati</t>
  </si>
  <si>
    <t>Rudarstvo</t>
  </si>
  <si>
    <t>Εξόρυξη</t>
  </si>
  <si>
    <t>Майнінг</t>
  </si>
  <si>
    <t>Минен</t>
  </si>
  <si>
    <t>Minerit</t>
  </si>
  <si>
    <t>Exploitation minière</t>
  </si>
  <si>
    <t>Bergbau</t>
  </si>
  <si>
    <t>Minería</t>
  </si>
  <si>
    <t>التعدين</t>
  </si>
  <si>
    <t>矿业</t>
  </si>
  <si>
    <t>マイニング</t>
  </si>
  <si>
    <t>Рударство и грађевинарство</t>
  </si>
  <si>
    <t>Minierave dhe Ndërtimit</t>
  </si>
  <si>
    <t>Bányászat és Építőipar</t>
  </si>
  <si>
    <t>Rudarstvo i građevinarstvo</t>
  </si>
  <si>
    <t>Μεταλλεία και Κατασκευές</t>
  </si>
  <si>
    <t>Гірнича справа та будівництво</t>
  </si>
  <si>
    <t>Минно дело и строителство</t>
  </si>
  <si>
    <t>Exploatare și construcții</t>
  </si>
  <si>
    <t>Exploitation minière et construction</t>
  </si>
  <si>
    <t>Bergbau und Bauwesen</t>
  </si>
  <si>
    <t>Minería y Construcción</t>
  </si>
  <si>
    <t>التعدين والبناء</t>
  </si>
  <si>
    <t>采矿和建筑</t>
  </si>
  <si>
    <t>鉱業と建設</t>
  </si>
  <si>
    <t>Нафта</t>
  </si>
  <si>
    <t>Nafta</t>
  </si>
  <si>
    <t>Νέφτι</t>
  </si>
  <si>
    <t>Naphte</t>
  </si>
  <si>
    <t>النفثا</t>
  </si>
  <si>
    <t>石脑油</t>
  </si>
  <si>
    <t>ナフサ</t>
  </si>
  <si>
    <t>Нат Форест Мгмт</t>
  </si>
  <si>
    <t>Gestion de la forêt nationale</t>
  </si>
  <si>
    <t>Gestión forestal nacional</t>
  </si>
  <si>
    <t>نات فورست Mgmt</t>
  </si>
  <si>
    <t>自然森林管理</t>
  </si>
  <si>
    <t>ナットフォレスト管理</t>
  </si>
  <si>
    <t>Нат Грид (РЕ)</t>
  </si>
  <si>
    <t>Grila Nat (RE)</t>
  </si>
  <si>
    <t>Grille Nat (RE)</t>
  </si>
  <si>
    <t>Red nacional (RE)</t>
  </si>
  <si>
    <t>شبكة نات (RE)</t>
  </si>
  <si>
    <t>自然网格 (RE)</t>
  </si>
  <si>
    <t>ナットグリッド (RE)</t>
  </si>
  <si>
    <t>Натурал Синкс</t>
  </si>
  <si>
    <t>Lavaman Natyral</t>
  </si>
  <si>
    <t>Természetes mosogatók</t>
  </si>
  <si>
    <t>Φυσικοί νεροχύτες</t>
  </si>
  <si>
    <t>Природні раковини</t>
  </si>
  <si>
    <t>Естествени мивки</t>
  </si>
  <si>
    <t>Chiuvete naturale</t>
  </si>
  <si>
    <t>Éviers naturels</t>
  </si>
  <si>
    <t>Natürliche Waschbecken</t>
  </si>
  <si>
    <t>Fregaderos Naturales</t>
  </si>
  <si>
    <t>مغاسل طبيعية</t>
  </si>
  <si>
    <t>天然水槽</t>
  </si>
  <si>
    <t>ナチュラルシンク</t>
  </si>
  <si>
    <t>НЕТс</t>
  </si>
  <si>
    <t>NET</t>
  </si>
  <si>
    <t>NET-ek</t>
  </si>
  <si>
    <t>МРЕЖИ</t>
  </si>
  <si>
    <t>NET-uri</t>
  </si>
  <si>
    <t>redes</t>
  </si>
  <si>
    <t>الشبكات</t>
  </si>
  <si>
    <t>网络</t>
  </si>
  <si>
    <t>ネット</t>
  </si>
  <si>
    <t>НГЛ</t>
  </si>
  <si>
    <t>LGN</t>
  </si>
  <si>
    <t>天然气液化公司</t>
  </si>
  <si>
    <t>Неенергетска употреба</t>
  </si>
  <si>
    <t>Përdorime jo të energjisë</t>
  </si>
  <si>
    <t>Nem energiafelhasználás</t>
  </si>
  <si>
    <t>Neenergetska upotreba</t>
  </si>
  <si>
    <t>Μη Ενεργειακές Χρήσεις</t>
  </si>
  <si>
    <t>Неенергетичне використання</t>
  </si>
  <si>
    <t>Неенергийни употреби</t>
  </si>
  <si>
    <t>Utilizări non-energetice</t>
  </si>
  <si>
    <t>Utilisations non énergétiques</t>
  </si>
  <si>
    <t>Nicht-energetische Nutzung</t>
  </si>
  <si>
    <t>Usos no energéticos</t>
  </si>
  <si>
    <t>استخدامات غير الطاقة</t>
  </si>
  <si>
    <t>非能源使用</t>
  </si>
  <si>
    <t>エネルギー以外の使用</t>
  </si>
  <si>
    <t>Нон-Енерги</t>
  </si>
  <si>
    <t>Jo Energjitike</t>
  </si>
  <si>
    <t>Nem energia</t>
  </si>
  <si>
    <t>Neenergetski</t>
  </si>
  <si>
    <t>Μη Ενεργειακή</t>
  </si>
  <si>
    <t>Неенергетичні</t>
  </si>
  <si>
    <t>Неенергийни</t>
  </si>
  <si>
    <t>Non-energie</t>
  </si>
  <si>
    <t>Non énergétique</t>
  </si>
  <si>
    <t>Nicht-Energie</t>
  </si>
  <si>
    <t>No energético</t>
  </si>
  <si>
    <t>غير الطاقة</t>
  </si>
  <si>
    <t>非能源</t>
  </si>
  <si>
    <t>非エネルギー</t>
  </si>
  <si>
    <t>Обојени метали</t>
  </si>
  <si>
    <t>Metalet me ngjyra</t>
  </si>
  <si>
    <t>Színesfémek</t>
  </si>
  <si>
    <t>Obojeni metali</t>
  </si>
  <si>
    <t>Μη σιδηρούχα μέταλλα</t>
  </si>
  <si>
    <t>Кольорові метали</t>
  </si>
  <si>
    <t>Цветни метали</t>
  </si>
  <si>
    <t>Metale neferoase</t>
  </si>
  <si>
    <t>Métaux non-ferreux</t>
  </si>
  <si>
    <t>Nichteisenmetalle</t>
  </si>
  <si>
    <t>Metales no ferrosos</t>
  </si>
  <si>
    <t>المعادن غير الحديدية</t>
  </si>
  <si>
    <t>有色金属</t>
  </si>
  <si>
    <t>非鉄金属</t>
  </si>
  <si>
    <t>Неметали</t>
  </si>
  <si>
    <t>jometalet</t>
  </si>
  <si>
    <t>Nem fémek</t>
  </si>
  <si>
    <t>Nemetali</t>
  </si>
  <si>
    <t>Αμέταλλα</t>
  </si>
  <si>
    <t>Nemetale</t>
  </si>
  <si>
    <t>Non-métaux</t>
  </si>
  <si>
    <t>Nichtmetalle</t>
  </si>
  <si>
    <t>no metales</t>
  </si>
  <si>
    <t>اللافلزات</t>
  </si>
  <si>
    <t>非金属</t>
  </si>
  <si>
    <t>Amerika e Veriut</t>
  </si>
  <si>
    <t>Βόρεια Αμερική</t>
  </si>
  <si>
    <t>Північна Америка</t>
  </si>
  <si>
    <t>Amérique du Nord</t>
  </si>
  <si>
    <t>Nordamerika</t>
  </si>
  <si>
    <t>América del norte</t>
  </si>
  <si>
    <t>أمريكا الشمالية</t>
  </si>
  <si>
    <t>北美</t>
  </si>
  <si>
    <t>北米</t>
  </si>
  <si>
    <t>bërthamore</t>
  </si>
  <si>
    <t>Πυρηνικός</t>
  </si>
  <si>
    <t>Ядерний</t>
  </si>
  <si>
    <t>Ядрена</t>
  </si>
  <si>
    <t>Nucléaire</t>
  </si>
  <si>
    <t>Nuklear</t>
  </si>
  <si>
    <t>نووي</t>
  </si>
  <si>
    <t>核</t>
  </si>
  <si>
    <t>уље</t>
  </si>
  <si>
    <t>Vaj</t>
  </si>
  <si>
    <t>Olaj</t>
  </si>
  <si>
    <t>Ulje</t>
  </si>
  <si>
    <t>Λάδι</t>
  </si>
  <si>
    <t>олія</t>
  </si>
  <si>
    <t>Масло</t>
  </si>
  <si>
    <t>Ulei</t>
  </si>
  <si>
    <t>Huile</t>
  </si>
  <si>
    <t>Öl</t>
  </si>
  <si>
    <t>Aceite</t>
  </si>
  <si>
    <t>زيت</t>
  </si>
  <si>
    <t>油</t>
  </si>
  <si>
    <t>Оил Цруде</t>
  </si>
  <si>
    <t>Nafta e papërpunuar</t>
  </si>
  <si>
    <t>Nafta Sirova</t>
  </si>
  <si>
    <t>Πετρέλαιο αργό</t>
  </si>
  <si>
    <t>Сира нафта</t>
  </si>
  <si>
    <t>Суров петрол</t>
  </si>
  <si>
    <t>Pétrole brut</t>
  </si>
  <si>
    <t>Erdöl</t>
  </si>
  <si>
    <t>Petróleo Crudo</t>
  </si>
  <si>
    <t>النفط الخام</t>
  </si>
  <si>
    <t>Оил Прод.</t>
  </si>
  <si>
    <t>Nafta Prod.</t>
  </si>
  <si>
    <t>Olaj Prod.</t>
  </si>
  <si>
    <t>Prod.</t>
  </si>
  <si>
    <t>Ölprod.</t>
  </si>
  <si>
    <t>Producción de petróleo</t>
  </si>
  <si>
    <t>إنتاج الزيت.</t>
  </si>
  <si>
    <t>石油产品</t>
  </si>
  <si>
    <t>石油製品。</t>
  </si>
  <si>
    <t>Оил Реф</t>
  </si>
  <si>
    <t>Nafta Ref</t>
  </si>
  <si>
    <t>Olaj Ref</t>
  </si>
  <si>
    <t>Масло Ref</t>
  </si>
  <si>
    <t>Ulei Ref</t>
  </si>
  <si>
    <t>Réf huile</t>
  </si>
  <si>
    <t>Öl Ref</t>
  </si>
  <si>
    <t>Referencia de aceite</t>
  </si>
  <si>
    <t>مرجع الزيت</t>
  </si>
  <si>
    <t>油参考</t>
  </si>
  <si>
    <t>オイルリファレンス</t>
  </si>
  <si>
    <t>Остало</t>
  </si>
  <si>
    <t>Të tjera</t>
  </si>
  <si>
    <t>Egyéb</t>
  </si>
  <si>
    <t>Ostalo</t>
  </si>
  <si>
    <t>Αλλα</t>
  </si>
  <si>
    <t>Інший</t>
  </si>
  <si>
    <t>други</t>
  </si>
  <si>
    <t>Alte</t>
  </si>
  <si>
    <t>Autre</t>
  </si>
  <si>
    <t>Andere</t>
  </si>
  <si>
    <t>Otro</t>
  </si>
  <si>
    <t>آخر</t>
  </si>
  <si>
    <t>其他</t>
  </si>
  <si>
    <t>他の</t>
  </si>
  <si>
    <t>Other EnCom</t>
  </si>
  <si>
    <t>Други ЕнЦом</t>
  </si>
  <si>
    <t>Tjetër EnCom</t>
  </si>
  <si>
    <t>Egyéb EnCom</t>
  </si>
  <si>
    <t>Ostalo EnCom</t>
  </si>
  <si>
    <t>Άλλα EnCom</t>
  </si>
  <si>
    <t>Інші EnCom</t>
  </si>
  <si>
    <t>Други EnCom</t>
  </si>
  <si>
    <t>Alte EnCom</t>
  </si>
  <si>
    <t>Autres EnCom</t>
  </si>
  <si>
    <t>Andere EnCom</t>
  </si>
  <si>
    <t>Otros EnCom</t>
  </si>
  <si>
    <t>EnCom أخرى</t>
  </si>
  <si>
    <t>其他 EnCom</t>
  </si>
  <si>
    <t>その他のエンコム</t>
  </si>
  <si>
    <t>Other Europe</t>
  </si>
  <si>
    <t>Друга Европа</t>
  </si>
  <si>
    <t>Evropa tjetër</t>
  </si>
  <si>
    <t>Más Európa</t>
  </si>
  <si>
    <t>Druga Evropa</t>
  </si>
  <si>
    <t>Άλλη Ευρώπη</t>
  </si>
  <si>
    <t>Інша Європа</t>
  </si>
  <si>
    <t>Alta Europa</t>
  </si>
  <si>
    <t>Autre Europe</t>
  </si>
  <si>
    <t>Anderes Europa</t>
  </si>
  <si>
    <t>Otra Europa</t>
  </si>
  <si>
    <t>أوروبا الأخرى</t>
  </si>
  <si>
    <t>欧洲其他地区</t>
  </si>
  <si>
    <t>その他のヨーロッパ</t>
  </si>
  <si>
    <t>Остала индустрија</t>
  </si>
  <si>
    <t>Industri tjetër</t>
  </si>
  <si>
    <t>Egyéb ipar</t>
  </si>
  <si>
    <t>Ostala industrija</t>
  </si>
  <si>
    <t>Άλλη Βιομηχανία</t>
  </si>
  <si>
    <t>Інша промисловість</t>
  </si>
  <si>
    <t>Друга индустрия</t>
  </si>
  <si>
    <t>Altă industrie</t>
  </si>
  <si>
    <t>Autre industrie</t>
  </si>
  <si>
    <t>Andere Industrie</t>
  </si>
  <si>
    <t>Otra industria</t>
  </si>
  <si>
    <t>صناعة أخرى</t>
  </si>
  <si>
    <t>其他行业</t>
  </si>
  <si>
    <t>その他の産業</t>
  </si>
  <si>
    <t>Остало није специфицирано</t>
  </si>
  <si>
    <t>Të tjera të paspecifikuara</t>
  </si>
  <si>
    <t>Egyéb nem meghatározott</t>
  </si>
  <si>
    <t>Ostalo nije specificirano</t>
  </si>
  <si>
    <t>Άλλα μη καθορισμένα</t>
  </si>
  <si>
    <t>Інші неуточнені</t>
  </si>
  <si>
    <t>Други неуточнени</t>
  </si>
  <si>
    <t>Altele nespecificate</t>
  </si>
  <si>
    <t>Autre non spécifié</t>
  </si>
  <si>
    <t>Sonstiges nicht spezifiziert</t>
  </si>
  <si>
    <t>Otros no especificados</t>
  </si>
  <si>
    <t>أخرى غير محددة</t>
  </si>
  <si>
    <t>其他未指定的</t>
  </si>
  <si>
    <t>その他の指定されていないもの</t>
  </si>
  <si>
    <t>Други проц</t>
  </si>
  <si>
    <t>Proc</t>
  </si>
  <si>
    <t>Egyéb proc</t>
  </si>
  <si>
    <t>Ostalo proc</t>
  </si>
  <si>
    <t>Άλλο proc</t>
  </si>
  <si>
    <t>Інші проц</t>
  </si>
  <si>
    <t>Други прок</t>
  </si>
  <si>
    <t>Alte proc</t>
  </si>
  <si>
    <t>Autre procédure</t>
  </si>
  <si>
    <t>Anderer Prozess</t>
  </si>
  <si>
    <t>Otro proceso</t>
  </si>
  <si>
    <t>عمليات أخرى</t>
  </si>
  <si>
    <t>其他进程</t>
  </si>
  <si>
    <t>その他のプロセス</t>
  </si>
  <si>
    <t>п-Сирова нафта</t>
  </si>
  <si>
    <t>p-Naftë bruto</t>
  </si>
  <si>
    <t>p-Nyersolaj</t>
  </si>
  <si>
    <t>p-Sirova nafta</t>
  </si>
  <si>
    <t>p-Αργό Πετρέλαιο</t>
  </si>
  <si>
    <t>p-суров петрол</t>
  </si>
  <si>
    <t>p-Petrol brut</t>
  </si>
  <si>
    <t>p-pétrole brut</t>
  </si>
  <si>
    <t>p-Rohöl</t>
  </si>
  <si>
    <t>p-petróleo crudo</t>
  </si>
  <si>
    <t>ف النفط الخام</t>
  </si>
  <si>
    <t>对原油</t>
  </si>
  <si>
    <t>p-原油</t>
  </si>
  <si>
    <t>Обнова тресетишта</t>
  </si>
  <si>
    <t>Restaurimi i Peatland</t>
  </si>
  <si>
    <t>Tőzegláp helyreállítása</t>
  </si>
  <si>
    <t>Obnova tresetišta</t>
  </si>
  <si>
    <t>Αποκατάσταση Τύρφης</t>
  </si>
  <si>
    <t>Відновлення торфовищ</t>
  </si>
  <si>
    <t>Възстановяване на торфищата</t>
  </si>
  <si>
    <t>Restaurarea turbării</t>
  </si>
  <si>
    <t>Restauration des tourbières</t>
  </si>
  <si>
    <t>Wiederherstellung von Mooren</t>
  </si>
  <si>
    <t>Restauración de Turberas</t>
  </si>
  <si>
    <t>استعادة الخث</t>
  </si>
  <si>
    <t>泥炭地恢复</t>
  </si>
  <si>
    <t>泥炭地の回復</t>
  </si>
  <si>
    <t>Петцоке</t>
  </si>
  <si>
    <t>нафтакокс</t>
  </si>
  <si>
    <t>Петкокс</t>
  </si>
  <si>
    <t>coke de pétrole</t>
  </si>
  <si>
    <t>Petrolkoks</t>
  </si>
  <si>
    <t>coque de petróleo</t>
  </si>
  <si>
    <t>بيتكوك</t>
  </si>
  <si>
    <t>石油焦</t>
  </si>
  <si>
    <t>ペットコーク</t>
  </si>
  <si>
    <t>п-Природни гас</t>
  </si>
  <si>
    <t>p-Gaz Natyror</t>
  </si>
  <si>
    <t>p-Földgáz</t>
  </si>
  <si>
    <t>p-Prirodni gas</t>
  </si>
  <si>
    <t>π-Φυσικό Αέριο</t>
  </si>
  <si>
    <t>р-природний газ</t>
  </si>
  <si>
    <t>p-Природен газ</t>
  </si>
  <si>
    <t>p-gaz natural</t>
  </si>
  <si>
    <t>p-Gaz naturel</t>
  </si>
  <si>
    <t>p-Erdgas</t>
  </si>
  <si>
    <t>p-Gas Natural</t>
  </si>
  <si>
    <t>ف الغاز الطبيعي</t>
  </si>
  <si>
    <t>对天然气</t>
  </si>
  <si>
    <t>p-天然ガス</t>
  </si>
  <si>
    <t>Снага</t>
  </si>
  <si>
    <t>Fuqia</t>
  </si>
  <si>
    <t>Erő</t>
  </si>
  <si>
    <t>Snaga</t>
  </si>
  <si>
    <t>Εξουσία</t>
  </si>
  <si>
    <t>потужність</t>
  </si>
  <si>
    <t>Мощност</t>
  </si>
  <si>
    <t>Putere</t>
  </si>
  <si>
    <t>Pouvoir</t>
  </si>
  <si>
    <t>Leistung</t>
  </si>
  <si>
    <t>Fuerza</t>
  </si>
  <si>
    <t>قوة</t>
  </si>
  <si>
    <t>力量</t>
  </si>
  <si>
    <t>力</t>
  </si>
  <si>
    <t>Повер-Ауто</t>
  </si>
  <si>
    <t>Fuqia-Auto</t>
  </si>
  <si>
    <t>Puissance-Auto</t>
  </si>
  <si>
    <t>Encendido automático</t>
  </si>
  <si>
    <t>قوة السيارات</t>
  </si>
  <si>
    <t>动力自动</t>
  </si>
  <si>
    <t>パワーオート</t>
  </si>
  <si>
    <t>Повер-утил</t>
  </si>
  <si>
    <t>Shfrytëzimi i energjisë</t>
  </si>
  <si>
    <t>Τροφοδοσία</t>
  </si>
  <si>
    <t>Energieversorger</t>
  </si>
  <si>
    <t>استخدام القوة</t>
  </si>
  <si>
    <t>电源实用程序</t>
  </si>
  <si>
    <t>電力会社</t>
  </si>
  <si>
    <t>Цене</t>
  </si>
  <si>
    <t>Çmimet</t>
  </si>
  <si>
    <t>Árak</t>
  </si>
  <si>
    <t>Cijene</t>
  </si>
  <si>
    <t>Τιμές</t>
  </si>
  <si>
    <t>Ціни</t>
  </si>
  <si>
    <t>цени</t>
  </si>
  <si>
    <t>Preturi</t>
  </si>
  <si>
    <t>Des prix</t>
  </si>
  <si>
    <t>Preise</t>
  </si>
  <si>
    <t>Precios</t>
  </si>
  <si>
    <t>الأسعار</t>
  </si>
  <si>
    <t>价格</t>
  </si>
  <si>
    <t>価格</t>
  </si>
  <si>
    <t>Примари Ен и Траде</t>
  </si>
  <si>
    <t>Primar En and Trade</t>
  </si>
  <si>
    <t>Elsődleges En és kereskedelem</t>
  </si>
  <si>
    <t>Первинна ін і торгівля</t>
  </si>
  <si>
    <t>Първичен En и търговия</t>
  </si>
  <si>
    <t>Primar En și Comerț</t>
  </si>
  <si>
    <t>Primaire En et Commerce</t>
  </si>
  <si>
    <t>Primäre En und Handel</t>
  </si>
  <si>
    <t>Educación Primaria y Comercio</t>
  </si>
  <si>
    <t>En الأساسي والتجارة</t>
  </si>
  <si>
    <t>小学英语与贸易</t>
  </si>
  <si>
    <t>初等教育と貿易</t>
  </si>
  <si>
    <t>ПриСуп</t>
  </si>
  <si>
    <t>普里苏普</t>
  </si>
  <si>
    <t>プリサップ</t>
  </si>
  <si>
    <t>Проц цоол</t>
  </si>
  <si>
    <t>Прок круто</t>
  </si>
  <si>
    <t>Прок готино</t>
  </si>
  <si>
    <t>proceso genial</t>
  </si>
  <si>
    <t>بروك بارد</t>
  </si>
  <si>
    <t>过程酷</t>
  </si>
  <si>
    <t>プロクール</t>
  </si>
  <si>
    <t>Проц хеат</t>
  </si>
  <si>
    <t>Proc ngrohje</t>
  </si>
  <si>
    <t>Proc hő</t>
  </si>
  <si>
    <t>Proc θερμότητα</t>
  </si>
  <si>
    <t>Проц тепла</t>
  </si>
  <si>
    <t>Proc топлина</t>
  </si>
  <si>
    <t>Proc căldură</t>
  </si>
  <si>
    <t>Proc chaleur</t>
  </si>
  <si>
    <t>Proc-Wärme</t>
  </si>
  <si>
    <t>calor de proceso</t>
  </si>
  <si>
    <t>حرارة Proc</t>
  </si>
  <si>
    <t>过程热</t>
  </si>
  <si>
    <t>プロセスヒート</t>
  </si>
  <si>
    <t>Целулозе и папира</t>
  </si>
  <si>
    <t>Pulp dhe Letër</t>
  </si>
  <si>
    <t>Cellulóz és papír</t>
  </si>
  <si>
    <t>Celuloza i papir</t>
  </si>
  <si>
    <t>Πολτός και Χαρτί</t>
  </si>
  <si>
    <t>Целюлоза і папір</t>
  </si>
  <si>
    <t>Целулоза и хартия</t>
  </si>
  <si>
    <t>Celuloză și hârtie</t>
  </si>
  <si>
    <t>Pâtes et papiers</t>
  </si>
  <si>
    <t>Zellstoff und Papier</t>
  </si>
  <si>
    <t>Pulpo y papel</t>
  </si>
  <si>
    <t>لب الورق والورق</t>
  </si>
  <si>
    <t>纸浆和造纸</t>
  </si>
  <si>
    <t>パルプ・紙</t>
  </si>
  <si>
    <t>Раил-Фреигхт</t>
  </si>
  <si>
    <t>Hekurudhor-Mallrash</t>
  </si>
  <si>
    <t>Vasúti teherszállítás</t>
  </si>
  <si>
    <t>Σιδηροδρομικές Εμπορευματικές Μεταφορές</t>
  </si>
  <si>
    <t>Залізничний транспорт</t>
  </si>
  <si>
    <t>Железопътен транспорт</t>
  </si>
  <si>
    <t>Transport feroviar de marfă</t>
  </si>
  <si>
    <t>Rail-Fret</t>
  </si>
  <si>
    <t>Schienengüterverkehr</t>
  </si>
  <si>
    <t>Transporte ferroviario de mercancías</t>
  </si>
  <si>
    <t>النقل بالسكك الحديدية</t>
  </si>
  <si>
    <t>铁路货运</t>
  </si>
  <si>
    <t>鉄道貨物</t>
  </si>
  <si>
    <t>Железнички-путнички</t>
  </si>
  <si>
    <t>Hekurudhor-pasagjer</t>
  </si>
  <si>
    <t>Vasúti-utas</t>
  </si>
  <si>
    <t>Željeznički putnički</t>
  </si>
  <si>
    <t>Σιδηροδρομικός-Επιβατικός</t>
  </si>
  <si>
    <t>Залізнично-Пасажирський</t>
  </si>
  <si>
    <t>ЖП-Пътнически</t>
  </si>
  <si>
    <t>Feroviar-Pasager</t>
  </si>
  <si>
    <t>Rail-Voyageur</t>
  </si>
  <si>
    <t>Bahn-Passagier</t>
  </si>
  <si>
    <t>Pasajero de tren</t>
  </si>
  <si>
    <t>ركاب السكك الحديدية</t>
  </si>
  <si>
    <t>铁路客运</t>
  </si>
  <si>
    <t>鉄道乗客</t>
  </si>
  <si>
    <t>Пошумљавање</t>
  </si>
  <si>
    <t>Ripyllëzimi</t>
  </si>
  <si>
    <t>Erdősítés</t>
  </si>
  <si>
    <t>Pošumljavanje</t>
  </si>
  <si>
    <t>Αναδάσωση</t>
  </si>
  <si>
    <t>Лісовідновлення</t>
  </si>
  <si>
    <t>Залесяване</t>
  </si>
  <si>
    <t>Reîmpădurire</t>
  </si>
  <si>
    <t>Reboisement</t>
  </si>
  <si>
    <t>Wiederaufforstung</t>
  </si>
  <si>
    <t>Repoblación forestal</t>
  </si>
  <si>
    <t>إعادة التحريج</t>
  </si>
  <si>
    <t>重新造林</t>
  </si>
  <si>
    <t>植林</t>
  </si>
  <si>
    <t>Рен Елец</t>
  </si>
  <si>
    <t>Ρεν Ελεκ</t>
  </si>
  <si>
    <t>ren elec</t>
  </si>
  <si>
    <t>رن إلك</t>
  </si>
  <si>
    <t>任电</t>
  </si>
  <si>
    <t>レン・エレック</t>
  </si>
  <si>
    <t>Обновљиви</t>
  </si>
  <si>
    <t>E rinovueshme</t>
  </si>
  <si>
    <t>Megújítható</t>
  </si>
  <si>
    <t>Obnovljive</t>
  </si>
  <si>
    <t>Ανανεώσιμος</t>
  </si>
  <si>
    <t>Відновлюваний</t>
  </si>
  <si>
    <t>Възобновяема</t>
  </si>
  <si>
    <t>Regenerabile</t>
  </si>
  <si>
    <t>Renouvelable</t>
  </si>
  <si>
    <t>Verlängerbar</t>
  </si>
  <si>
    <t>renovable</t>
  </si>
  <si>
    <t>قابل للتجديد</t>
  </si>
  <si>
    <t>可再生</t>
  </si>
  <si>
    <t>再生可能</t>
  </si>
  <si>
    <t>Стамбени</t>
  </si>
  <si>
    <t>Rezidenciale</t>
  </si>
  <si>
    <t>Lakó</t>
  </si>
  <si>
    <t>Stambeni</t>
  </si>
  <si>
    <t>Κατοικητικός</t>
  </si>
  <si>
    <t>Житлова</t>
  </si>
  <si>
    <t>Жилищен</t>
  </si>
  <si>
    <t>Rezidențial</t>
  </si>
  <si>
    <t>Résidentiel</t>
  </si>
  <si>
    <t>Wohn</t>
  </si>
  <si>
    <t>Residencial</t>
  </si>
  <si>
    <t>سكني</t>
  </si>
  <si>
    <t>住宅</t>
  </si>
  <si>
    <t>居住の</t>
  </si>
  <si>
    <t>ROW</t>
  </si>
  <si>
    <t>РОВ</t>
  </si>
  <si>
    <t>RRESHT</t>
  </si>
  <si>
    <t>SOR</t>
  </si>
  <si>
    <t>ΣΕΙΡΑ</t>
  </si>
  <si>
    <t>РЯД</t>
  </si>
  <si>
    <t>РЕД</t>
  </si>
  <si>
    <t>RÂND</t>
  </si>
  <si>
    <t>LIGNE</t>
  </si>
  <si>
    <t>REIHE</t>
  </si>
  <si>
    <t>FILA</t>
  </si>
  <si>
    <t>صف</t>
  </si>
  <si>
    <t>排</t>
  </si>
  <si>
    <t>行</t>
  </si>
  <si>
    <t>Секторски трошкови</t>
  </si>
  <si>
    <t>Kostot e sektorit</t>
  </si>
  <si>
    <t>Ágazati költségek</t>
  </si>
  <si>
    <t>Sektorski troškovi</t>
  </si>
  <si>
    <t>Κόστος Τομέα</t>
  </si>
  <si>
    <t>Витрати сектору</t>
  </si>
  <si>
    <t>Секторни разходи</t>
  </si>
  <si>
    <t>Costuri de sector</t>
  </si>
  <si>
    <t>Coûts du secteur</t>
  </si>
  <si>
    <t>Sektorkosten</t>
  </si>
  <si>
    <t>Costos Sectoriales</t>
  </si>
  <si>
    <t>تكاليف القطاع</t>
  </si>
  <si>
    <t>部门成本</t>
  </si>
  <si>
    <t>セクターコスト</t>
  </si>
  <si>
    <t>Diellore</t>
  </si>
  <si>
    <t>Ηλιακός</t>
  </si>
  <si>
    <t>Сонячна</t>
  </si>
  <si>
    <t>Слънчева</t>
  </si>
  <si>
    <t>Solaire</t>
  </si>
  <si>
    <t>شمسي</t>
  </si>
  <si>
    <t>太阳的</t>
  </si>
  <si>
    <t>太陽</t>
  </si>
  <si>
    <t>Спаце Цоолинг-Цом</t>
  </si>
  <si>
    <t>Espace Cooling-Com</t>
  </si>
  <si>
    <t>Raumkühlung-Com</t>
  </si>
  <si>
    <t>Refrigeración espacial-Com</t>
  </si>
  <si>
    <t>شركة تبريد الفضاء</t>
  </si>
  <si>
    <t>空间制冷-Com</t>
  </si>
  <si>
    <t>空間冷却コム</t>
  </si>
  <si>
    <t>Хлађење простора-РСД</t>
  </si>
  <si>
    <t>Ftohja e hapësirës-Rsd</t>
  </si>
  <si>
    <t>Térhűtés-Rsd</t>
  </si>
  <si>
    <t>Hlađenje prostora-RSd</t>
  </si>
  <si>
    <t>Ψύξη χώρου-Rsd</t>
  </si>
  <si>
    <t>Охолодження простору - Rsd</t>
  </si>
  <si>
    <t>Охлаждане на пространството-Rsd</t>
  </si>
  <si>
    <t>Răcire spațiu-Rsd</t>
  </si>
  <si>
    <t>Refroidissement de l'espace-Rsd</t>
  </si>
  <si>
    <t>Raumkühlung-Rsd</t>
  </si>
  <si>
    <t>Refrigeración espacial-Rsd</t>
  </si>
  <si>
    <t>تبريد الفضاء- Rsd</t>
  </si>
  <si>
    <t>空间冷却-Rsd</t>
  </si>
  <si>
    <t>空間冷却-RSD</t>
  </si>
  <si>
    <t>Спаце Хеатинг-Цом</t>
  </si>
  <si>
    <t>Ngrohja e Hapësirës-Com</t>
  </si>
  <si>
    <t>Térfűtés-Com</t>
  </si>
  <si>
    <t>Grijanje prostora-kom</t>
  </si>
  <si>
    <t>Θέρμανση Χώρων-Κομ</t>
  </si>
  <si>
    <t>Опалення приміщень-ком</t>
  </si>
  <si>
    <t>Отопление-Ком</t>
  </si>
  <si>
    <t>Incalzire spatii-Com</t>
  </si>
  <si>
    <t>Chauffage d'espace-Com</t>
  </si>
  <si>
    <t>Raumheizung-Com</t>
  </si>
  <si>
    <t>Calefacción de espacios-Com</t>
  </si>
  <si>
    <t>تدفئة الفضاء كوم</t>
  </si>
  <si>
    <t>空间供暖-Com</t>
  </si>
  <si>
    <t>空間暖房コム</t>
  </si>
  <si>
    <t>Грејање простора-РСД</t>
  </si>
  <si>
    <t>Ngrohja e Hapësirës-Rsd</t>
  </si>
  <si>
    <t>Térfűtés-Rsd</t>
  </si>
  <si>
    <t>Grijanje prostora-Rsd</t>
  </si>
  <si>
    <t>Θέρμανση Χώρου-Rsd</t>
  </si>
  <si>
    <t>Опалення приміщення - Rsd</t>
  </si>
  <si>
    <t>Отопление на помещения-Rsd</t>
  </si>
  <si>
    <t>Incalzire spatii-Rsd</t>
  </si>
  <si>
    <t>Chauffage des locaux-Rsd</t>
  </si>
  <si>
    <t>Raumheizung-Rsd</t>
  </si>
  <si>
    <t>Calefacción de espacios-Rsd</t>
  </si>
  <si>
    <t>تدفئة الفضاء- Rsd</t>
  </si>
  <si>
    <t>空间供暖-Rsd</t>
  </si>
  <si>
    <t>暖房-RSD</t>
  </si>
  <si>
    <t>Спц цонд</t>
  </si>
  <si>
    <t>Spc kond</t>
  </si>
  <si>
    <t>Spc συν</t>
  </si>
  <si>
    <t>SPC cond</t>
  </si>
  <si>
    <t>Cond Spc</t>
  </si>
  <si>
    <t>Spc-Kond</t>
  </si>
  <si>
    <t>Cond. espec.</t>
  </si>
  <si>
    <t>SPC كوند</t>
  </si>
  <si>
    <t>质控条件</t>
  </si>
  <si>
    <t>特定条件</t>
  </si>
  <si>
    <t>Стеам</t>
  </si>
  <si>
    <t>Avulli</t>
  </si>
  <si>
    <t>Gőz</t>
  </si>
  <si>
    <t>Ατμός</t>
  </si>
  <si>
    <t>пар</t>
  </si>
  <si>
    <t>Пара</t>
  </si>
  <si>
    <t>Aburi</t>
  </si>
  <si>
    <t>Fumer</t>
  </si>
  <si>
    <t>Dampf</t>
  </si>
  <si>
    <t>Vapor</t>
  </si>
  <si>
    <t>بخار</t>
  </si>
  <si>
    <t>蒸汽</t>
  </si>
  <si>
    <t>蒸気</t>
  </si>
  <si>
    <t>Складиште</t>
  </si>
  <si>
    <t>Magazinimi</t>
  </si>
  <si>
    <t>Tárolás</t>
  </si>
  <si>
    <t>Skladištenje</t>
  </si>
  <si>
    <t>Αποθήκευση</t>
  </si>
  <si>
    <t>Зберігання</t>
  </si>
  <si>
    <t>Съхранение</t>
  </si>
  <si>
    <t>Depozitare</t>
  </si>
  <si>
    <t>Stockage</t>
  </si>
  <si>
    <t>Lagerung</t>
  </si>
  <si>
    <t>Almacenamiento</t>
  </si>
  <si>
    <t>تخزين</t>
  </si>
  <si>
    <t>贮存</t>
  </si>
  <si>
    <t>保管所</t>
  </si>
  <si>
    <t>Системски трошкови</t>
  </si>
  <si>
    <t>Kostot e sistemit</t>
  </si>
  <si>
    <t>Rendszerköltségek</t>
  </si>
  <si>
    <t>Sistemski troškovi</t>
  </si>
  <si>
    <t>Κόστος συστήματος</t>
  </si>
  <si>
    <t>Системні витрати</t>
  </si>
  <si>
    <t>Системни разходи</t>
  </si>
  <si>
    <t>Costuri de sistem</t>
  </si>
  <si>
    <t>Coûts du système</t>
  </si>
  <si>
    <t>Systemkosten</t>
  </si>
  <si>
    <t>Costos del sistema</t>
  </si>
  <si>
    <t>تكاليف النظام</t>
  </si>
  <si>
    <t>系统成本</t>
  </si>
  <si>
    <t>システムコスト</t>
  </si>
  <si>
    <t>Тхермал ЦЦС</t>
  </si>
  <si>
    <t>CCS termike</t>
  </si>
  <si>
    <t>Termikus CCS</t>
  </si>
  <si>
    <t>Θερμικό CCS</t>
  </si>
  <si>
    <t>Теплова CCS</t>
  </si>
  <si>
    <t>Топлинна CCS</t>
  </si>
  <si>
    <t>CCS termic</t>
  </si>
  <si>
    <t>CSC thermique</t>
  </si>
  <si>
    <t>Thermisches CCS</t>
  </si>
  <si>
    <t>CCS térmico</t>
  </si>
  <si>
    <t>CCS الحرارية</t>
  </si>
  <si>
    <t>热CCS</t>
  </si>
  <si>
    <t>サーマルCCS</t>
  </si>
  <si>
    <t>Топлотна енергија</t>
  </si>
  <si>
    <t>Fuqia termike</t>
  </si>
  <si>
    <t>Hőenergia</t>
  </si>
  <si>
    <t>Θερμική Ισχύς</t>
  </si>
  <si>
    <t>Теплова потужність</t>
  </si>
  <si>
    <t>Термична мощност</t>
  </si>
  <si>
    <t>Putere termala</t>
  </si>
  <si>
    <t>Energie thermique</t>
  </si>
  <si>
    <t>Wärmekraft</t>
  </si>
  <si>
    <t>Energía térmica</t>
  </si>
  <si>
    <t>الطاقة الحرارية</t>
  </si>
  <si>
    <t>火电</t>
  </si>
  <si>
    <t>熱出力</t>
  </si>
  <si>
    <t>Тидал</t>
  </si>
  <si>
    <t>Baticë</t>
  </si>
  <si>
    <t>Árapály</t>
  </si>
  <si>
    <t>Plima</t>
  </si>
  <si>
    <t>Παλίρροιας</t>
  </si>
  <si>
    <t>Приливний</t>
  </si>
  <si>
    <t>Приливни</t>
  </si>
  <si>
    <t>Marée</t>
  </si>
  <si>
    <t>Gezeiten</t>
  </si>
  <si>
    <t>De marea</t>
  </si>
  <si>
    <t>المد والجزر</t>
  </si>
  <si>
    <t>潮汐</t>
  </si>
  <si>
    <t>Тра Нон-Роад</t>
  </si>
  <si>
    <t>Tra Jorrugore</t>
  </si>
  <si>
    <t>Τρα Μη Οδική</t>
  </si>
  <si>
    <t>Тра Бездоріжжя</t>
  </si>
  <si>
    <t>Тра Извънпътна</t>
  </si>
  <si>
    <t>Tra non routier</t>
  </si>
  <si>
    <t>Tra No Carretera</t>
  </si>
  <si>
    <t>ترا غير طريق</t>
  </si>
  <si>
    <t>非公路交通</t>
  </si>
  <si>
    <t>トラ・ノンロード</t>
  </si>
  <si>
    <t>Тра Роад</t>
  </si>
  <si>
    <t>Rruga e Tra</t>
  </si>
  <si>
    <t>Tra út</t>
  </si>
  <si>
    <t>Тра-роуд</t>
  </si>
  <si>
    <t>Тра Роуд</t>
  </si>
  <si>
    <t>Drumul Tra</t>
  </si>
  <si>
    <t>Tra camino</t>
  </si>
  <si>
    <t>طريق ترا</t>
  </si>
  <si>
    <t>茶路</t>
  </si>
  <si>
    <t>トラロード</t>
  </si>
  <si>
    <t>Траде</t>
  </si>
  <si>
    <t>Tregtisë</t>
  </si>
  <si>
    <t>Trgovina</t>
  </si>
  <si>
    <t>Εμπορικές συναλλαγές</t>
  </si>
  <si>
    <t>Торгівля</t>
  </si>
  <si>
    <t>Търговия</t>
  </si>
  <si>
    <t>Comerț</t>
  </si>
  <si>
    <t>Commerce</t>
  </si>
  <si>
    <t>Handeln</t>
  </si>
  <si>
    <t>Comercio</t>
  </si>
  <si>
    <t>تجارة</t>
  </si>
  <si>
    <t>贸易</t>
  </si>
  <si>
    <t>トレード</t>
  </si>
  <si>
    <t>Транспорт</t>
  </si>
  <si>
    <t>Transporti</t>
  </si>
  <si>
    <t>Szállítás</t>
  </si>
  <si>
    <t>Μεταφορά</t>
  </si>
  <si>
    <t>транспорт</t>
  </si>
  <si>
    <t>Transporte</t>
  </si>
  <si>
    <t>ينقل</t>
  </si>
  <si>
    <t>运输</t>
  </si>
  <si>
    <t>輸送</t>
  </si>
  <si>
    <t>Транспорт и машине</t>
  </si>
  <si>
    <t>Transporti dhe makineri</t>
  </si>
  <si>
    <t>Szállítás és gépek</t>
  </si>
  <si>
    <t>Transport i mehanizacija</t>
  </si>
  <si>
    <t>Μεταφορές και μηχανήματα</t>
  </si>
  <si>
    <t>Транспорт і техніка</t>
  </si>
  <si>
    <t>Транспорт и машини</t>
  </si>
  <si>
    <t>Transport si utilaje</t>
  </si>
  <si>
    <t>Transport et machinerie</t>
  </si>
  <si>
    <t>Transport und Maschinen</t>
  </si>
  <si>
    <t>Transporte y maquinaria</t>
  </si>
  <si>
    <t>النقل والآلات</t>
  </si>
  <si>
    <t>运输和机械</t>
  </si>
  <si>
    <t>輸送および機械</t>
  </si>
  <si>
    <t>Транспорт НЕ</t>
  </si>
  <si>
    <t>Transporti NE</t>
  </si>
  <si>
    <t>Közlekedés ÉK</t>
  </si>
  <si>
    <t>Μεταφορική ΒΑ</t>
  </si>
  <si>
    <t>Транспорт NE</t>
  </si>
  <si>
    <t>Transports NE</t>
  </si>
  <si>
    <t>Transporte NE</t>
  </si>
  <si>
    <t>النقل NE</t>
  </si>
  <si>
    <t>运输东北部</t>
  </si>
  <si>
    <t>輸送 NE</t>
  </si>
  <si>
    <t>Дрвеће у обрадивим површинама</t>
  </si>
  <si>
    <t>Pemë në tokë bujqësore</t>
  </si>
  <si>
    <t>Fák a termőföldön</t>
  </si>
  <si>
    <t>Drveće u obradivim površinama</t>
  </si>
  <si>
    <t>Δέντρα σε καλλιέργειες</t>
  </si>
  <si>
    <t>Дерева в посівах</t>
  </si>
  <si>
    <t>Дървета в обработваема земя</t>
  </si>
  <si>
    <t>Copaci în terenuri cultivate</t>
  </si>
  <si>
    <t>Arbres dans les terres cultivées</t>
  </si>
  <si>
    <t>Bäume im Ackerland</t>
  </si>
  <si>
    <t>Árboles en tierras de cultivo</t>
  </si>
  <si>
    <t>الأشجار في Cropland</t>
  </si>
  <si>
    <t>农田里的树木</t>
  </si>
  <si>
    <t>耕作地の木々</t>
  </si>
  <si>
    <t>Губљење</t>
  </si>
  <si>
    <t>Humbje</t>
  </si>
  <si>
    <t>Pazarlás</t>
  </si>
  <si>
    <t>Otpad</t>
  </si>
  <si>
    <t>Απόβλητα</t>
  </si>
  <si>
    <t>Відходи</t>
  </si>
  <si>
    <t>Отпадъци</t>
  </si>
  <si>
    <t>Deşeuri</t>
  </si>
  <si>
    <t>Déchets</t>
  </si>
  <si>
    <t>Abfall</t>
  </si>
  <si>
    <t>Desperdiciar</t>
  </si>
  <si>
    <t>يضيع</t>
  </si>
  <si>
    <t>浪费</t>
  </si>
  <si>
    <t>無駄</t>
  </si>
  <si>
    <t>Western Balkans</t>
  </si>
  <si>
    <t>Западни Балкан</t>
  </si>
  <si>
    <t>Ballkani Perëndimor</t>
  </si>
  <si>
    <t>Nyugat-Balkán</t>
  </si>
  <si>
    <t>Zapadni Balkan</t>
  </si>
  <si>
    <t>Δυτικά Βαλκάνια</t>
  </si>
  <si>
    <t>Західні Балкани</t>
  </si>
  <si>
    <t>Западни Балкани</t>
  </si>
  <si>
    <t>Balcanii de Vest</t>
  </si>
  <si>
    <t>Balkans occidentaux</t>
  </si>
  <si>
    <t>Westbalkan</t>
  </si>
  <si>
    <t>Balcanes Occidentales</t>
  </si>
  <si>
    <t>غرب البلقان</t>
  </si>
  <si>
    <t>西巴尔干地区</t>
  </si>
  <si>
    <t>西バルカン半島</t>
  </si>
  <si>
    <t>Era</t>
  </si>
  <si>
    <t>Ανεμος</t>
  </si>
  <si>
    <t>Вітер</t>
  </si>
  <si>
    <t>Вятър</t>
  </si>
  <si>
    <t>Vent</t>
  </si>
  <si>
    <t>Viento</t>
  </si>
  <si>
    <t>رياح</t>
  </si>
  <si>
    <t>风</t>
  </si>
  <si>
    <t>風</t>
  </si>
  <si>
    <t>Tech</t>
  </si>
  <si>
    <t>TrdT_CNG</t>
  </si>
  <si>
    <t>TrdT_Diesel</t>
  </si>
  <si>
    <t>TrdT_Dsl Hybrid</t>
  </si>
  <si>
    <t>TrdT_Dsl Plug-in Hyb</t>
  </si>
  <si>
    <t>TrdT_E85</t>
  </si>
  <si>
    <t>TrdT_Elec vehicle</t>
  </si>
  <si>
    <t>TrdT_Elec 150</t>
  </si>
  <si>
    <t>TrdT_Elec 50</t>
  </si>
  <si>
    <t>TrdT_Elec 500</t>
  </si>
  <si>
    <t>TrdT_Gasoline</t>
  </si>
  <si>
    <t>TrdT_Gasoline 150</t>
  </si>
  <si>
    <t>TrdT_Gasoline 50</t>
  </si>
  <si>
    <t>TrdT_Gasoline 500</t>
  </si>
  <si>
    <t>TrdT_Gsl Hybrid</t>
  </si>
  <si>
    <t>TrdT_Gsl Plug-in Hyb</t>
  </si>
  <si>
    <t xml:space="preserve">TrdT_Hydrogen </t>
  </si>
  <si>
    <t>TrdT_LNG</t>
  </si>
  <si>
    <t>TrdT_LPG</t>
  </si>
  <si>
    <t>*bioref*,brf[_]*</t>
  </si>
  <si>
    <t>en_type</t>
  </si>
  <si>
    <t>COA*,BIO*,OIL*,GAS*,HH2</t>
  </si>
  <si>
    <t>ldesc</t>
  </si>
  <si>
    <t>for final energy view - to distinguish combustion and non-energy uses</t>
  </si>
  <si>
    <t>final</t>
  </si>
  <si>
    <t>primary</t>
  </si>
  <si>
    <t>Final energy consumption by sector and fuel</t>
  </si>
  <si>
    <t>Electricity production - including output from storage and trade</t>
  </si>
  <si>
    <t>Intermittent electricity production - this is either curtailed or used for Hydrogen production</t>
  </si>
  <si>
    <t>Hydrogen production</t>
  </si>
  <si>
    <t>Energy consumed for producing electricity and heat</t>
  </si>
  <si>
    <t>Energy consumed for producing Hydrogen</t>
  </si>
  <si>
    <t>Energy consumed in Direct Air Capture of CO2</t>
  </si>
  <si>
    <t>IRE,STG</t>
  </si>
  <si>
    <t>ELC</t>
  </si>
  <si>
    <t>PJeNeg</t>
  </si>
  <si>
    <t>KINESYS</t>
  </si>
  <si>
    <t>Road transport vehicles population</t>
  </si>
  <si>
    <t>End-use services produced - these are the exogenous demands</t>
  </si>
  <si>
    <t>MIN*,WB_sup*</t>
  </si>
  <si>
    <t>H2_Exp_LH2</t>
  </si>
  <si>
    <t>H2_Exp_Amm</t>
  </si>
  <si>
    <t>H2_Exp_LOHC</t>
  </si>
  <si>
    <t>H2_Imp_LH2</t>
  </si>
  <si>
    <t>H2_Imp_Amm</t>
  </si>
  <si>
    <t>H2_Imp_LOHC</t>
  </si>
  <si>
    <t>-TU_sup-dem*</t>
  </si>
  <si>
    <t>Dem*</t>
  </si>
  <si>
    <t>_Testdownscaling</t>
  </si>
  <si>
    <t>p,c</t>
  </si>
  <si>
    <t>~TS_Defs: Snk_attr=SANKEY_gas_trade</t>
  </si>
  <si>
    <t>downscale_option</t>
  </si>
  <si>
    <t>*gaspip*</t>
  </si>
  <si>
    <t>Nat Gas-&lt;region&gt;_Snk_&lt;gen_pname&gt;</t>
  </si>
  <si>
    <t>Pipeline exports</t>
  </si>
  <si>
    <t>Pipeline imports</t>
  </si>
  <si>
    <t>LNG exports</t>
  </si>
  <si>
    <t>~TS_Defs: Snk_attr=SANKEY_all_sectors</t>
  </si>
  <si>
    <t>LNG imports</t>
  </si>
  <si>
    <t>~TS_Defs: Snk_attr=SANKEY_elec_trade</t>
  </si>
  <si>
    <t>Electricity-&lt;region&gt;_Snk_&lt;gen_pname&gt;</t>
  </si>
  <si>
    <t>-*sup-dem*</t>
  </si>
  <si>
    <t>L N G Exp_Src_&lt;gen_pname&gt;</t>
  </si>
  <si>
    <t>L N G Imp_Snk_&lt;gen_pname&gt;</t>
  </si>
  <si>
    <t>~TS_Defs: snk_attr=SANKEY_Residential</t>
  </si>
  <si>
    <t>RES*</t>
  </si>
  <si>
    <t>&lt;gen_cname&gt;_snk_&lt;gen_pname&gt;</t>
  </si>
  <si>
    <t>secondary fuels to sector</t>
  </si>
  <si>
    <t>&lt;gen_cname&gt;_src_&lt;gen_pname&gt;</t>
  </si>
  <si>
    <t>production of sector fuels</t>
  </si>
  <si>
    <t>&lt;gen_cname&gt;_snk_&lt;pset&gt;</t>
  </si>
  <si>
    <t>consumption in devices</t>
  </si>
  <si>
    <t>&lt;gen_cname&gt;_src_&lt;pset&gt;</t>
  </si>
  <si>
    <t>demand production</t>
  </si>
  <si>
    <t>~TS_Defs: snk_attr=SANKEY_Transport</t>
  </si>
  <si>
    <t>PRE,STG</t>
  </si>
  <si>
    <t>-H2_STG*</t>
  </si>
  <si>
    <t>TRA*,TRD*</t>
  </si>
  <si>
    <t>-ELC</t>
  </si>
  <si>
    <t>TRAELC</t>
  </si>
  <si>
    <t>TRDELC_snk_to grid - V2G</t>
  </si>
  <si>
    <t>vehicle to grid</t>
  </si>
  <si>
    <t>Trd_*</t>
  </si>
  <si>
    <t>consumption vehicles</t>
  </si>
  <si>
    <t>TRA*</t>
  </si>
  <si>
    <t>Bvkm</t>
  </si>
  <si>
    <t>TAI,TAD</t>
  </si>
  <si>
    <t>&lt;gen_cname&gt;_snk_Aviation</t>
  </si>
  <si>
    <t>consumption in non-road segments</t>
  </si>
  <si>
    <t>TWI,TWD</t>
  </si>
  <si>
    <t>&lt;gen_cname&gt;_snk_Shipping</t>
  </si>
  <si>
    <t>TTF,TTP</t>
  </si>
  <si>
    <t>&lt;gen_cname&gt;_snk_Rail</t>
  </si>
  <si>
    <t>For sector SANKEY</t>
  </si>
  <si>
    <t>Cooking</t>
  </si>
  <si>
    <t>Hot Water</t>
  </si>
  <si>
    <t>Appliances</t>
  </si>
  <si>
    <t>Space Cooling</t>
  </si>
  <si>
    <t>Space Heating</t>
  </si>
  <si>
    <t>Dom. Aviation</t>
  </si>
  <si>
    <t>Int. Aviation</t>
  </si>
  <si>
    <t>Dom. Ships</t>
  </si>
  <si>
    <t>Int. Ships</t>
  </si>
  <si>
    <t>TU_GasPip--Austria-Hungary</t>
  </si>
  <si>
    <t xml:space="preserve"> [0.0 km]</t>
  </si>
  <si>
    <t>TU_GasPip--Hungary-Serbia</t>
  </si>
  <si>
    <t>TU_GasPip--Lithuania-Poland</t>
  </si>
  <si>
    <t>TU_GasPip--Serbia-Bosnia_Herz</t>
  </si>
  <si>
    <t>TU_GasPip--Slovak-Poland</t>
  </si>
  <si>
    <t>TU_GasPip--Ukraine-Poland</t>
  </si>
  <si>
    <t>TU_GasPip--Uzbekistan-Tajikistan</t>
  </si>
  <si>
    <t>TU_GasPip--Moldova-Romania</t>
  </si>
  <si>
    <t>anan^iv-tiraspol-izmail [257.0 km]</t>
  </si>
  <si>
    <t>TU_GasPip--Ukraine-Moldova</t>
  </si>
  <si>
    <t>TU_GasPip--France-Switzerland</t>
  </si>
  <si>
    <t>annecy-la gabiule+etrez-vernier+morelmaison-rodersdorf [276.0 km]</t>
  </si>
  <si>
    <t>TU_GasPip--Egypt-Other_MidEast</t>
  </si>
  <si>
    <t>arab [1200.0 km]</t>
  </si>
  <si>
    <t>TU_GasPip--Romania-Hungary</t>
  </si>
  <si>
    <t>arad-szeged [109.0 km]</t>
  </si>
  <si>
    <t>TU_GasPip--Israel-Egypt</t>
  </si>
  <si>
    <t>arish–ashkelon [90.0 km]</t>
  </si>
  <si>
    <t>TU_GasPip--Austria-Slovenia</t>
  </si>
  <si>
    <t>austria–slovenia interconnector [28.0 km]</t>
  </si>
  <si>
    <t>TU_GasPip--Netherlands-UK</t>
  </si>
  <si>
    <t>balgzand–bacton line [232.0 km]</t>
  </si>
  <si>
    <t>TU_GasPip--Denmark-Sweden</t>
  </si>
  <si>
    <t>baltic pipe project [613.0 km]</t>
  </si>
  <si>
    <t>TU_GasPip--Norway-Denmark</t>
  </si>
  <si>
    <t>TU_GasPip--Sweden-Poland</t>
  </si>
  <si>
    <t>TU_GasPip--Finland-Estonia</t>
  </si>
  <si>
    <t>balticconnector [155.0 km]</t>
  </si>
  <si>
    <t>TU_GasPip--Canada-USA</t>
  </si>
  <si>
    <t>bc+gas transmission northwest+great lakestransmission+northern border+transgas+empire+vikingtransmission+alliance+maritimes and northeast [31596.0 km]</t>
  </si>
  <si>
    <t>blue stream+turkstream [2143.0 km]</t>
  </si>
  <si>
    <t>TU_GasPip--Kyrgyzstan-Kazakhstan</t>
  </si>
  <si>
    <t>bukhara-tashkent-bishkek-almaty [1585.0 km]</t>
  </si>
  <si>
    <t>TU_GasPip--Uzbekistan-Kyrgyzstan</t>
  </si>
  <si>
    <t>TU_GasPip--Turkmenistan-Kazakhstan</t>
  </si>
  <si>
    <t>bukhara-ural [2382.0 km]</t>
  </si>
  <si>
    <t>TU_GasPip--Uzbekistan-Russia</t>
  </si>
  <si>
    <t>bukhara-ural [4537.0 km]</t>
  </si>
  <si>
    <t>TU_GasPip--Uzbekistan-Turkmenistan</t>
  </si>
  <si>
    <t>TU_GasPip--Kazakhstan-Russia</t>
  </si>
  <si>
    <t>bukhara-ural+central asia–center+central asia–center+makat–north caucasus [9775.0 km]</t>
  </si>
  <si>
    <t>TU_GasPip--Germany-Netherlands</t>
  </si>
  <si>
    <t>bunde-etzel [60.0 km]</t>
  </si>
  <si>
    <t>TU_GasPip--Turkmenistan-Uzbekistan</t>
  </si>
  <si>
    <t>central asia–center+central asia–center+central asia–china [8282.0 km]</t>
  </si>
  <si>
    <t>TU_GasPip--Uzbekistan-Kazakhstan</t>
  </si>
  <si>
    <t>central asia–center+central asia–center+central asia–china+gazli-shymkent [9159.0 km]</t>
  </si>
  <si>
    <t>TU_GasPip--Kazakhstan-China</t>
  </si>
  <si>
    <t>central asia–china [1833.0 km]</t>
  </si>
  <si>
    <t>TU_GasPip--Turkmenistan-China</t>
  </si>
  <si>
    <t>central asia–china+central asia–china [3666.0 km]</t>
  </si>
  <si>
    <t>TU_GasPip--Turkmenistan-Russia</t>
  </si>
  <si>
    <t>central asia-center+central asia-center [5399.0 km]</t>
  </si>
  <si>
    <t>TU_GasPip--Qatar-UAE</t>
  </si>
  <si>
    <t>dolphin qatar–uae natural [364.0 km]</t>
  </si>
  <si>
    <t>TU_GasPip--UAE-Oman</t>
  </si>
  <si>
    <t>TU_GasPip--Croatia-Hungary</t>
  </si>
  <si>
    <t>donje mijolac-bata [73.0 km]</t>
  </si>
  <si>
    <t>TU_GasPip--France-Belgium</t>
  </si>
  <si>
    <t>dunkirk-zeebrugge+taisnieres sur hon-mons+maastricht-paris [376.0 km]</t>
  </si>
  <si>
    <t>TU_GasPip--Algeria-Tunisia</t>
  </si>
  <si>
    <t>el borma-gabes+trans-mediterranean [2769.0 km]</t>
  </si>
  <si>
    <t>TU_GasPip--Norway-France</t>
  </si>
  <si>
    <t>franpipe [840.0 km]</t>
  </si>
  <si>
    <t>TU_GasPip--Poland-Lithuania</t>
  </si>
  <si>
    <t>gas interconnection poland-lithuania+gas interconnection poland-lithuania [508.0 km]</t>
  </si>
  <si>
    <t>TU_GasPip--Greece-Bulgaria</t>
  </si>
  <si>
    <t>gas interconnector greece–bulgaria (igb) [184.0 km]</t>
  </si>
  <si>
    <t>TU_GasPip--Argentina-Chile</t>
  </si>
  <si>
    <t>gasandes+norandino+atacama+gasoducto del pacifico+gasoducto del pacifico [3440.0 km]</t>
  </si>
  <si>
    <t>TU_GasPip--Other_LatAm-Brazil</t>
  </si>
  <si>
    <t>gasbol+cuiabá [3795.0 km]</t>
  </si>
  <si>
    <t>TU_GasPip--Argentina-Other_LatAm</t>
  </si>
  <si>
    <t>gasoducto del litoral+southern cross [427.0 km]</t>
  </si>
  <si>
    <t>TU_GasPip--Czech-Germany</t>
  </si>
  <si>
    <t>gazela+kateřinský potok junction point–přimda junction point [316.0 km]</t>
  </si>
  <si>
    <t>TU_GasPip--Romania-Bulgaria</t>
  </si>
  <si>
    <t>giurgiu-ruse [26.0 km]</t>
  </si>
  <si>
    <t>TU_GasPip--Belgium-Netherlands</t>
  </si>
  <si>
    <t>gravenvoeren–bemelen+maastricht-paris [293.0 km]</t>
  </si>
  <si>
    <t>TU_GasPip--Greece-Italy</t>
  </si>
  <si>
    <t>greece-italy interconnector [800.0 km]</t>
  </si>
  <si>
    <t>TU_GasPip--Libya-Italy</t>
  </si>
  <si>
    <t>greenstream [520.0 km]</t>
  </si>
  <si>
    <t>TU_GasPip--Indonesia-Singapore</t>
  </si>
  <si>
    <t>gresik-batam-singapore [468.0 km]</t>
  </si>
  <si>
    <t>TU_GasPip--Azerbaijan-Russia</t>
  </si>
  <si>
    <t>hajigabul-shirvanovka-mozdok [680.0 km]</t>
  </si>
  <si>
    <t>TU_GasPip--Azerbaijan-Iran</t>
  </si>
  <si>
    <t>hajiqabul–astara–abadan [1475.0 km]</t>
  </si>
  <si>
    <t>TU_GasPip--Austria-Switzerland</t>
  </si>
  <si>
    <t>hoscht-st.magrethen+rankweil-lienz [14.0 km]</t>
  </si>
  <si>
    <t>TU_GasPip--Ukraine-Romania</t>
  </si>
  <si>
    <t>hust–satu mare [21.0 km]</t>
  </si>
  <si>
    <t>TU_GasPip--Iran-Armenia</t>
  </si>
  <si>
    <t>iran-armenia [141.0 km]</t>
  </si>
  <si>
    <t>TU_GasPip--Iran-Iraq</t>
  </si>
  <si>
    <t>iran-iraq [0.0 km]</t>
  </si>
  <si>
    <t>TU_GasPip--Spain-France</t>
  </si>
  <si>
    <t>irun-biriatou [4.0 km]</t>
  </si>
  <si>
    <t>TU_GasPip--Israel-Other_MidEast</t>
  </si>
  <si>
    <t>israel naturaltransmission system+israel jordan [684.0 km]</t>
  </si>
  <si>
    <t>TU_GasPip--Belarus-Ukraine</t>
  </si>
  <si>
    <t>ivatsevichy-kobryn-dolyna+ivatsevichy-kobryn-dolyna+torzhok-smolensk-mazyr-dolyna [948.0 km]</t>
  </si>
  <si>
    <t>TU_GasPip--Russia-Kazakhstan</t>
  </si>
  <si>
    <t>kartaly-rudny-kostanai [156.0 km]</t>
  </si>
  <si>
    <t>TU_GasPip--Belarus-Poland</t>
  </si>
  <si>
    <t>kobryn-brest-warsaw [263.0 km]</t>
  </si>
  <si>
    <t>TU_GasPip--Estonia-Russia</t>
  </si>
  <si>
    <t>kohtla-järve-leningrad+kohtla-järve-leningrad [317.0 km]</t>
  </si>
  <si>
    <t>TU_GasPip--Turkmenistan-Iran</t>
  </si>
  <si>
    <t>korpeje-kordkuy+dauletabad-sarakhs-khangiran [379.0 km]</t>
  </si>
  <si>
    <t>TU_GasPip--Bulgaria-Greece</t>
  </si>
  <si>
    <t>kulata-nea missivria [92.0 km]</t>
  </si>
  <si>
    <t>TU_GasPip--Austria-Slovak</t>
  </si>
  <si>
    <t>lanzhot–plavecky peter [34.0 km]</t>
  </si>
  <si>
    <t>TU_GasPip--France-Spain</t>
  </si>
  <si>
    <t>larrau–villar de arnedo [145.0 km]</t>
  </si>
  <si>
    <t>TU_GasPip--Lithuania-Latvia</t>
  </si>
  <si>
    <t>lithuania-latvia interconnection [138.0 km]</t>
  </si>
  <si>
    <t>TU_GasPip--Algeria-Spain</t>
  </si>
  <si>
    <t>medgaz+medgaz [757.0 km]</t>
  </si>
  <si>
    <t>TU_GasPip--Germany-France</t>
  </si>
  <si>
    <t>megal–france [86.0 km]</t>
  </si>
  <si>
    <t>TU_GasPip--USA-Mexico</t>
  </si>
  <si>
    <t>mier monterrey+norte crossing+sierrita+nueva era+sur de texas-tuxpan+sierrita+sierrita [1334.0 km]</t>
  </si>
  <si>
    <t>TU_GasPip--Belarus-Russia</t>
  </si>
  <si>
    <t>minsk-kaliningrad interconnection [155.0 km]</t>
  </si>
  <si>
    <t>TU_GasPip--Mozambique-SouthAfrica</t>
  </si>
  <si>
    <t>mozambique-south africa [865.0 km]</t>
  </si>
  <si>
    <t>TU_GasPip--Denmark-Netherlands</t>
  </si>
  <si>
    <t>noordgastransport (nogat)+tyra west–f3 [570.0 km]</t>
  </si>
  <si>
    <t>TU_GasPip--Norway-Germany</t>
  </si>
  <si>
    <t>norpipe+europipe ii+europipe i [1718.0 km]</t>
  </si>
  <si>
    <t>TU_GasPip--Georgia-Armenia</t>
  </si>
  <si>
    <t>north caucasus-transcaucasia [271.0 km]</t>
  </si>
  <si>
    <t>TU_GasPip--Russia-Georgia</t>
  </si>
  <si>
    <t>north caucasus-transcaucasia+north caucasus-transcaucasia [884.0 km]</t>
  </si>
  <si>
    <t>TU_GasPip--UK-Norway</t>
  </si>
  <si>
    <t>northern leg [80.0 km]</t>
  </si>
  <si>
    <t>TU_GasPip--Kazakhstan-Turkmenistan</t>
  </si>
  <si>
    <t>okarem-beyneu [999.0 km]</t>
  </si>
  <si>
    <t>TU_GasPip--Slovak-Hungary</t>
  </si>
  <si>
    <t>ozdany–nemesbikk [104.0 km]</t>
  </si>
  <si>
    <t>TU_GasPip--Argentina-Brazil</t>
  </si>
  <si>
    <t>paraná-uruguayana [437.0 km]</t>
  </si>
  <si>
    <t>TU_GasPip--Belgium-France</t>
  </si>
  <si>
    <t>pitgam–maldegem [76.0 km]</t>
  </si>
  <si>
    <t>TU_GasPip--Poland-Slovak</t>
  </si>
  <si>
    <t>poland-slovakia+poland-slovakia [165.0 km]</t>
  </si>
  <si>
    <t>TU_GasPip--Netherlands-Germany</t>
  </si>
  <si>
    <t>ravenstein-echt+zweekhorst–paffrath+laren-vreden+ommen-legden+scheemda-emden+scheemda–bunde [254.0 km]</t>
  </si>
  <si>
    <t>TU_GasPip--Slovenia-Italy</t>
  </si>
  <si>
    <t>rogatec–gorizia [101.0 km]</t>
  </si>
  <si>
    <t>TU_GasPip--Romania-Moldova</t>
  </si>
  <si>
    <t>romania-moldova [120.0 km]</t>
  </si>
  <si>
    <t>TU_GasPip--Serbia-Hungary</t>
  </si>
  <si>
    <t>serbian-hungarian+turkstream 2 [1728.0 km]</t>
  </si>
  <si>
    <t>shebelinka-belgorod-kursk-bryansk+dashava-kiev-bryansk-moscow+yelets-kursk-kyiv+yelets-kursk-dykanka+yelets-kremenchuk–kryvyi rih+progress+tula-shostka-kiev+orenburg-novopskov+petrovsk-novopskov+urengoy-novopskov+urengoy-pomary-uzhgorod [18154.0 km]</t>
  </si>
  <si>
    <t>TU_GasPip--Myanmar-China</t>
  </si>
  <si>
    <t>sino-myanmar [2518.0 km]</t>
  </si>
  <si>
    <t>TU_GasPip--Macedonia-Bulgaria</t>
  </si>
  <si>
    <t>skopje-kriva palanka [86.0 km]</t>
  </si>
  <si>
    <t>TU_GasPip--Azerbaijan-Georgia</t>
  </si>
  <si>
    <t>south caucasus+hajigabul-gazakh-saguramo+south caucasus [1659.0 km]</t>
  </si>
  <si>
    <t>TU_GasPip--Georgia-Turkey</t>
  </si>
  <si>
    <t>south caucasus+trans-anatolian+south caucasus [2992.0 km]</t>
  </si>
  <si>
    <t>TU_GasPip--Bulgaria-Turkey</t>
  </si>
  <si>
    <t>strandja–malkoclar [16.0 km]</t>
  </si>
  <si>
    <t>TU_GasPip--Iran-Turkey</t>
  </si>
  <si>
    <t>tabriz-ankara [2577.0 km]</t>
  </si>
  <si>
    <t>TU_GasPip--Russia-Belarus</t>
  </si>
  <si>
    <t>torzhok-minsk-ivatsevichy+torzhok-minsk-ivatsevichy+torzhok-minsk-ivatsevichy+torzhok-smolensk-mazyr-dolyna [2917.0 km]</t>
  </si>
  <si>
    <t>TU_GasPip--Germany-Switzerland</t>
  </si>
  <si>
    <t>trans europa naturgas [968.0 km]</t>
  </si>
  <si>
    <t>TU_GasPip--Malaysia-Thailand</t>
  </si>
  <si>
    <t>trans thailand–malaysia (ttm) [267.0 km]</t>
  </si>
  <si>
    <t>TU_GasPip--Albania-Italy</t>
  </si>
  <si>
    <t>trans-adriatic [878.0 km]</t>
  </si>
  <si>
    <t>TU_GasPip--Greece-Albania</t>
  </si>
  <si>
    <t>TU_GasPip--Georgia-Greece</t>
  </si>
  <si>
    <t>trans-anatolian [0.0 km]</t>
  </si>
  <si>
    <t>TU_GasPip--Greece-Turkey</t>
  </si>
  <si>
    <t>TU_GasPip--Turkey-Bulgaria</t>
  </si>
  <si>
    <t>trans-balkan [638.0 km]</t>
  </si>
  <si>
    <t>TU_GasPip--Bulgaria-Romania</t>
  </si>
  <si>
    <t>trans-balkan+gas interconnector bulgaria-romania [668.0 km]</t>
  </si>
  <si>
    <t>TU_GasPip--Italy-Slovenia</t>
  </si>
  <si>
    <t>trans-mediterranean [2475.0 km]</t>
  </si>
  <si>
    <t>TU_GasPip--Tunisia-Italy</t>
  </si>
  <si>
    <t>TU_GasPip--Switzerland-France</t>
  </si>
  <si>
    <t>transitgas–laneuvelotte–obergailbach [327.0 km]</t>
  </si>
  <si>
    <t>TU_GasPip--Turkey-Greece</t>
  </si>
  <si>
    <t>turkey-greece-italy interconnector (itgi)+trans-adriatic+kipi-komotini [1261.0 km]</t>
  </si>
  <si>
    <t>TU_GasPip--Bulgaria-Serbia</t>
  </si>
  <si>
    <t>turkstream 2 [1646.0 km]</t>
  </si>
  <si>
    <t>TU_GasPip--Russia-Bulgaria</t>
  </si>
  <si>
    <t>TU_GasPip--UK-Ireland</t>
  </si>
  <si>
    <t>uk-ireland interconnector 2+uk-ireland interconnector+carrickfergus-gormansten [573.0 km]</t>
  </si>
  <si>
    <t>TU_GasPip--Slovak-Austria</t>
  </si>
  <si>
    <t>urengoy-pomary-uzhgorod [4451.0 km]</t>
  </si>
  <si>
    <t>TU_GasPip--Ukraine-Slovak</t>
  </si>
  <si>
    <t>uzhgorod–velke kapusany+urengoy-pomary-uzhgorod [4466.0 km]</t>
  </si>
  <si>
    <t>TU_GasPip--Russia-Estonia</t>
  </si>
  <si>
    <t>valdai-pskov-riga [365.0 km]</t>
  </si>
  <si>
    <t>TU_GasPip--Estonia-Latvia</t>
  </si>
  <si>
    <t>valdai-pskov-riga+estonia-latvia interconnection [645.0 km]</t>
  </si>
  <si>
    <t>TU_GasPip--USA-Canada</t>
  </si>
  <si>
    <t>vector+empire+portland naturaltransmission system (pngts)+atlantic bridge+portland naturaltransmission system (pngts) [610.0 km]</t>
  </si>
  <si>
    <t>TU_GasPip--Norway-UK</t>
  </si>
  <si>
    <t>vesterled+langeled+tampen link+gjøa [1681.0 km]</t>
  </si>
  <si>
    <t>TU_GasPip--Slovak-Ukraine</t>
  </si>
  <si>
    <t>vojany-uzhgorod [23.0 km]</t>
  </si>
  <si>
    <t>TU_GasPip--Hungary-Croatia</t>
  </si>
  <si>
    <t>városföld-slobodnica [293.0 km]</t>
  </si>
  <si>
    <t>TU_GasPip--Belgium-Luxembourg</t>
  </si>
  <si>
    <t>warnant dreye-petange+berneau-winseler [254.0 km]</t>
  </si>
  <si>
    <t>TU_GasPip--Germany-Belgium</t>
  </si>
  <si>
    <t>wedal [236.0 km]</t>
  </si>
  <si>
    <t>TU_GasPip--Nigeria-Other_Africa</t>
  </si>
  <si>
    <t>west african [678.0 km]</t>
  </si>
  <si>
    <t>TU_GasPip--Other_Africa-Ghana</t>
  </si>
  <si>
    <t>west natuna transportation system [640.0 km]</t>
  </si>
  <si>
    <t>TU_GasPip--Netherlands-Belgium</t>
  </si>
  <si>
    <t>westerschelde oost–zelzate [45.0 km]</t>
  </si>
  <si>
    <t>TU_GasPip--Other_LatAm-Argentina</t>
  </si>
  <si>
    <t>yabog+juana azurduy [493.0 km]</t>
  </si>
  <si>
    <t>yamal-europe [1660.0 km]</t>
  </si>
  <si>
    <t>TU_GasPip--Poland-Germany</t>
  </si>
  <si>
    <t>TU_GasPip--Germany-Poland</t>
  </si>
  <si>
    <t>yamal-reverse [0.0 km]</t>
  </si>
  <si>
    <t>TU_GasPip--Myanmar-Thailand</t>
  </si>
  <si>
    <t>yetagun [472.0 km]</t>
  </si>
  <si>
    <t>TU_GasPip--Belgium-UK</t>
  </si>
  <si>
    <t>zeebrugge-bacton [0.0 km]</t>
  </si>
  <si>
    <t>TU_GasPip--UK-Belgium</t>
  </si>
  <si>
    <t>zeebrugge-bacton [235.0 km]</t>
  </si>
  <si>
    <t>TU_GasPip--Norway-Belgium</t>
  </si>
  <si>
    <t>zeepipe [1445.0 km]</t>
  </si>
  <si>
    <t>TU_GasPip--Russia-Germany</t>
  </si>
  <si>
    <t>nord stream [1222.0 km]</t>
  </si>
  <si>
    <t>bulgaria-serbia interconnector+bulgaria-serbia interconnector [170.0 km]</t>
  </si>
  <si>
    <t>central asia–china [966.0 km]</t>
  </si>
  <si>
    <t>TU_GasPip--Iran-Pakistan</t>
  </si>
  <si>
    <t>iran-pakistan [2775.0 km]</t>
  </si>
  <si>
    <t>israel–egypt onshore [79.0 km]</t>
  </si>
  <si>
    <t>lithuania-latvia interconnection [0.0 km]</t>
  </si>
  <si>
    <t>TU_GasPip--Iran-Azerbaijan</t>
  </si>
  <si>
    <t>rasht-chelavend [150.0 km]</t>
  </si>
  <si>
    <t>taganrog-melitopol-berdyansk [273.0 km]</t>
  </si>
  <si>
    <t>gp_aut-hun</t>
  </si>
  <si>
    <t>gp_hun-srb</t>
  </si>
  <si>
    <t>gp_ltu-pol</t>
  </si>
  <si>
    <t>gp_srb-bih</t>
  </si>
  <si>
    <t>gp_svk-pol</t>
  </si>
  <si>
    <t>gp_ukr-pol</t>
  </si>
  <si>
    <t>gp_uzb-tjk</t>
  </si>
  <si>
    <t>gp_mda-rou</t>
  </si>
  <si>
    <t>gp_ukr-mda</t>
  </si>
  <si>
    <t>gp_fra-che</t>
  </si>
  <si>
    <t>gp_egy-jor</t>
  </si>
  <si>
    <t>gp_rou-hun</t>
  </si>
  <si>
    <t>gp_isr-egy</t>
  </si>
  <si>
    <t>gp_aut-svn</t>
  </si>
  <si>
    <t>gp_nld-gbr</t>
  </si>
  <si>
    <t>gp_dnk-swe</t>
  </si>
  <si>
    <t>gp_nor-dnk</t>
  </si>
  <si>
    <t>gp_swe-pol</t>
  </si>
  <si>
    <t>gp_fin-est</t>
  </si>
  <si>
    <t>gp_can-usa</t>
  </si>
  <si>
    <t>gp_rus-tur</t>
  </si>
  <si>
    <t>gp_kgz-kaz</t>
  </si>
  <si>
    <t>gp_uzb-kgz</t>
  </si>
  <si>
    <t>gp_tkm-kaz</t>
  </si>
  <si>
    <t>gp_uzb-rus</t>
  </si>
  <si>
    <t>gp_uzb-tkm</t>
  </si>
  <si>
    <t>gp_kaz-rus</t>
  </si>
  <si>
    <t>gp_deu-nld</t>
  </si>
  <si>
    <t>gp_tkm-uzb</t>
  </si>
  <si>
    <t>gp_uzb-kaz</t>
  </si>
  <si>
    <t>gp_kaz-chn</t>
  </si>
  <si>
    <t>gp_tkm-chn</t>
  </si>
  <si>
    <t>gp_tkm-rus</t>
  </si>
  <si>
    <t>gp_qat-are</t>
  </si>
  <si>
    <t>gp_are-omn</t>
  </si>
  <si>
    <t>gp_hrv-hun</t>
  </si>
  <si>
    <t>gp_fra-bel</t>
  </si>
  <si>
    <t>gp_dza-tun</t>
  </si>
  <si>
    <t>gp_nor-fra</t>
  </si>
  <si>
    <t>gp_pol-ltu</t>
  </si>
  <si>
    <t>gp_grc-bgr</t>
  </si>
  <si>
    <t>gp_arg-chl</t>
  </si>
  <si>
    <t>gp_bol-bra</t>
  </si>
  <si>
    <t>gp_arg-ury</t>
  </si>
  <si>
    <t>gp_cze-deu</t>
  </si>
  <si>
    <t>gp_rou-bgr</t>
  </si>
  <si>
    <t>gp_bel-nld</t>
  </si>
  <si>
    <t>gp_grc-ita</t>
  </si>
  <si>
    <t>gp_lby-ita</t>
  </si>
  <si>
    <t>gp_idn-sgp</t>
  </si>
  <si>
    <t>gp_aze-rus</t>
  </si>
  <si>
    <t>gp_aze-irn</t>
  </si>
  <si>
    <t>gp_aut-che</t>
  </si>
  <si>
    <t>gp_ukr-rou</t>
  </si>
  <si>
    <t>gp_irn-arm</t>
  </si>
  <si>
    <t>gp_irn-irq</t>
  </si>
  <si>
    <t>gp_esp-fra</t>
  </si>
  <si>
    <t>gp_isr-jor</t>
  </si>
  <si>
    <t>gp_blr-ukr</t>
  </si>
  <si>
    <t>gp_rus-kaz</t>
  </si>
  <si>
    <t>gp_blr-pol</t>
  </si>
  <si>
    <t>gp_est-rus</t>
  </si>
  <si>
    <t>gp_tkm-irn</t>
  </si>
  <si>
    <t>gp_bgr-grc</t>
  </si>
  <si>
    <t>gp_aut-svk</t>
  </si>
  <si>
    <t>gp_fra-esp</t>
  </si>
  <si>
    <t>gp_ltu-lva</t>
  </si>
  <si>
    <t>gp_dza-esp</t>
  </si>
  <si>
    <t>gp_deu-fra</t>
  </si>
  <si>
    <t>gp_usa-mex</t>
  </si>
  <si>
    <t>gp_blr-rus</t>
  </si>
  <si>
    <t>gp_moz-zaf</t>
  </si>
  <si>
    <t>gp_dnk-nld</t>
  </si>
  <si>
    <t>gp_nor-deu</t>
  </si>
  <si>
    <t>gp_geo-arm</t>
  </si>
  <si>
    <t>gp_rus-geo</t>
  </si>
  <si>
    <t>gp_gbr-nor</t>
  </si>
  <si>
    <t>gp_kaz-tkm</t>
  </si>
  <si>
    <t>gp_svk-hun</t>
  </si>
  <si>
    <t>gp_arg-bra</t>
  </si>
  <si>
    <t>gp_bel-fra</t>
  </si>
  <si>
    <t>gp_pol-svk</t>
  </si>
  <si>
    <t>gp_nld-deu</t>
  </si>
  <si>
    <t>gp_svn-ita</t>
  </si>
  <si>
    <t>gp_rou-mda</t>
  </si>
  <si>
    <t>gp_srb-hun</t>
  </si>
  <si>
    <t>gp_rus-ukr</t>
  </si>
  <si>
    <t>gp_mmr-chn</t>
  </si>
  <si>
    <t>gp_mkd-bgr</t>
  </si>
  <si>
    <t>gp_aze-geo</t>
  </si>
  <si>
    <t>gp_geo-tur</t>
  </si>
  <si>
    <t>gp_bgr-tur</t>
  </si>
  <si>
    <t>gp_irn-tur</t>
  </si>
  <si>
    <t>gp_rus-blr</t>
  </si>
  <si>
    <t>gp_deu-che</t>
  </si>
  <si>
    <t>gp_mys-tha</t>
  </si>
  <si>
    <t>gp_alb-ita</t>
  </si>
  <si>
    <t>gp_grc-alb</t>
  </si>
  <si>
    <t>gp_geo-grc</t>
  </si>
  <si>
    <t>gp_grc-tur</t>
  </si>
  <si>
    <t>gp_tur-bgr</t>
  </si>
  <si>
    <t>gp_bgr-rou</t>
  </si>
  <si>
    <t>gp_ita-svn</t>
  </si>
  <si>
    <t>gp_tun-ita</t>
  </si>
  <si>
    <t>gp_che-fra</t>
  </si>
  <si>
    <t>gp_tur-grc</t>
  </si>
  <si>
    <t>gp_bgr-srb</t>
  </si>
  <si>
    <t>gp_rus-bgr</t>
  </si>
  <si>
    <t>gp_gbr-irl</t>
  </si>
  <si>
    <t>gp_svk-aut</t>
  </si>
  <si>
    <t>gp_ukr-svk</t>
  </si>
  <si>
    <t>gp_rus-est</t>
  </si>
  <si>
    <t>gp_est-lva</t>
  </si>
  <si>
    <t>gp_usa-can</t>
  </si>
  <si>
    <t>gp_nor-gbr</t>
  </si>
  <si>
    <t>gp_svk-ukr</t>
  </si>
  <si>
    <t>gp_hun-hrv</t>
  </si>
  <si>
    <t>gp_bel-lux</t>
  </si>
  <si>
    <t>gp_deu-bel</t>
  </si>
  <si>
    <t>gp_nga-ben</t>
  </si>
  <si>
    <t>gp_tgo-gha</t>
  </si>
  <si>
    <t>gp_nld-bel</t>
  </si>
  <si>
    <t>gp_bol-arg</t>
  </si>
  <si>
    <t>gp_pol-deu</t>
  </si>
  <si>
    <t>gp_deu-pol</t>
  </si>
  <si>
    <t>gp_mmr-tha</t>
  </si>
  <si>
    <t>gp_bel-gbr</t>
  </si>
  <si>
    <t>gp_gbr-bel</t>
  </si>
  <si>
    <t>gp_nor-bel</t>
  </si>
  <si>
    <t>gp_rus-deu</t>
  </si>
  <si>
    <t>gp_irn-pak</t>
  </si>
  <si>
    <t>gp_irn-aze</t>
  </si>
  <si>
    <t>franpipe</t>
  </si>
  <si>
    <t>bluestream</t>
  </si>
  <si>
    <t>greenstream</t>
  </si>
  <si>
    <t>yamal</t>
  </si>
  <si>
    <t>yamal-rev</t>
  </si>
  <si>
    <t>nordstream</t>
  </si>
  <si>
    <t>medgaz</t>
  </si>
  <si>
    <t>turkstream</t>
  </si>
  <si>
    <t>hotmetal,spongeiron,ironore,scrap,crudesteel</t>
  </si>
  <si>
    <t>mtneg</t>
  </si>
  <si>
    <t>mt</t>
  </si>
  <si>
    <t>BOF</t>
  </si>
  <si>
    <t>EAF</t>
  </si>
  <si>
    <t>BF</t>
  </si>
  <si>
    <t>Gas-DRI</t>
  </si>
  <si>
    <t>Coal-DRI</t>
  </si>
  <si>
    <t>Domestic</t>
  </si>
  <si>
    <t>t_BAT_BF-BOF</t>
  </si>
  <si>
    <t>BAT_BF-BOF</t>
  </si>
  <si>
    <t>t_BAT_BF-BOF_ccs</t>
  </si>
  <si>
    <t>BAT_BF-BOF_ccs</t>
  </si>
  <si>
    <t>t_BAT_BF-BOF_H2-PCI_ccs</t>
  </si>
  <si>
    <t>BAT_BF-BOF_H2-PCI_ccs</t>
  </si>
  <si>
    <t>t_DRI-EAF</t>
  </si>
  <si>
    <t>DRI-EAF</t>
  </si>
  <si>
    <t>t_DRI-EAF_ccs</t>
  </si>
  <si>
    <t>DRI-EAF_ccs</t>
  </si>
  <si>
    <t>t_H2-DRI-EAF</t>
  </si>
  <si>
    <t>H2-DRI-EAF</t>
  </si>
  <si>
    <t>t_Smelt_Red-BOF</t>
  </si>
  <si>
    <t>Smelt_Red-BOF</t>
  </si>
  <si>
    <t>t_Smelt_Red-BOF_ccs</t>
  </si>
  <si>
    <t>Smelt_Red-BOF_ccs</t>
  </si>
  <si>
    <t>t_EAF</t>
  </si>
  <si>
    <t>t_DRI-Melt-BOF</t>
  </si>
  <si>
    <t>DRI-Melt-BOF</t>
  </si>
  <si>
    <t>t_DRI-Melt-BOF_ccs</t>
  </si>
  <si>
    <t>DRI-Melt-BOF_ccs</t>
  </si>
  <si>
    <t>t_H2-DRI-Melt-BOF</t>
  </si>
  <si>
    <t>H2-DRI-Melt-BOF</t>
  </si>
  <si>
    <t>t_Gas-DRI</t>
  </si>
  <si>
    <t>t_Gas-DRI_ccs</t>
  </si>
  <si>
    <t>Gas-DRI_ccs</t>
  </si>
  <si>
    <t>t_H2-DRI</t>
  </si>
  <si>
    <t>H2-DRI</t>
  </si>
  <si>
    <t>t_Melt-BOF</t>
  </si>
  <si>
    <t>Melt-BOF</t>
  </si>
  <si>
    <t>~CSet_Map</t>
  </si>
  <si>
    <t>CSet</t>
  </si>
  <si>
    <t>hotmetal</t>
  </si>
  <si>
    <t>Hot Metal</t>
  </si>
  <si>
    <t>spongeiron</t>
  </si>
  <si>
    <t>Sponge Iron</t>
  </si>
  <si>
    <t>ironore</t>
  </si>
  <si>
    <t>Iron Ore</t>
  </si>
  <si>
    <t>scrap</t>
  </si>
  <si>
    <t>Scrap</t>
  </si>
  <si>
    <t>crudesteel</t>
  </si>
  <si>
    <t>Crude Steel</t>
  </si>
  <si>
    <t>Trade_endo</t>
  </si>
  <si>
    <t>~TS_Defs: Snk_attr=SANKEY_steel</t>
  </si>
  <si>
    <t>pset_pd</t>
  </si>
  <si>
    <t>Existing/New</t>
  </si>
  <si>
    <t>n[_]*</t>
  </si>
  <si>
    <t>New</t>
  </si>
  <si>
    <t>*-rf</t>
  </si>
  <si>
    <t>Retrofit</t>
  </si>
  <si>
    <t>*rf*-rf</t>
  </si>
  <si>
    <t>Retrofit of rft</t>
  </si>
  <si>
    <t>*[_]f[_]*</t>
  </si>
  <si>
    <t>Known Build</t>
  </si>
  <si>
    <t>mis_*</t>
  </si>
  <si>
    <t>zz_TFC_steelprod</t>
  </si>
  <si>
    <t>mat_prod-crudesteel</t>
  </si>
  <si>
    <t>Efficiency_steelprod</t>
  </si>
  <si>
    <t>GJ/t</t>
  </si>
  <si>
    <t>SUP_GasSupply</t>
  </si>
  <si>
    <t>OILNGL</t>
  </si>
  <si>
    <t>*SOL*,*SPV*,*STH*</t>
  </si>
  <si>
    <t>for industry sector SANKEY</t>
  </si>
  <si>
    <t>IndSer_STM</t>
  </si>
  <si>
    <t>IndSer_PRH</t>
  </si>
  <si>
    <t>Proc. heat</t>
  </si>
  <si>
    <t>IndSer_PRC</t>
  </si>
  <si>
    <t>Proc. Cool</t>
  </si>
  <si>
    <t>IndSer_MDR</t>
  </si>
  <si>
    <t>Mch drive</t>
  </si>
  <si>
    <t>IndSer_ECP</t>
  </si>
  <si>
    <t>IndSer_OTP</t>
  </si>
  <si>
    <t>Oth. Proc. Use</t>
  </si>
  <si>
    <t>IndSer_SPC</t>
  </si>
  <si>
    <t>Space cond.</t>
  </si>
  <si>
    <t>IndSer_LIG</t>
  </si>
  <si>
    <t>IndSer_OTH</t>
  </si>
  <si>
    <t>IndSerT_STM</t>
  </si>
  <si>
    <t>IndSerT_PRH</t>
  </si>
  <si>
    <t>IndSerT_PRC</t>
  </si>
  <si>
    <t>IndSerT_MDR</t>
  </si>
  <si>
    <t>IndSerT_ECP</t>
  </si>
  <si>
    <t>IndSerT_OTP</t>
  </si>
  <si>
    <t>IndSerT_SPC</t>
  </si>
  <si>
    <t>IndSerT_LIG</t>
  </si>
  <si>
    <t>IndSerT_OTH</t>
  </si>
  <si>
    <t>~TS_Defs: snk_attr=SANKEY_Industry</t>
  </si>
  <si>
    <t>IND*</t>
  </si>
  <si>
    <t>Energy service production</t>
  </si>
  <si>
    <t>&lt;cset&gt;_snk_&lt;gen_pname&gt;</t>
  </si>
  <si>
    <t>Energy service aggregation</t>
  </si>
  <si>
    <t>-Steam</t>
  </si>
  <si>
    <t>-Proc. heat</t>
  </si>
  <si>
    <t>-Proc. Cool</t>
  </si>
  <si>
    <t>-Mch drive</t>
  </si>
  <si>
    <t>-Electrochem</t>
  </si>
  <si>
    <t>-Oth. Proc. Use</t>
  </si>
  <si>
    <t>-Space cond.</t>
  </si>
  <si>
    <t>-Lighting</t>
  </si>
  <si>
    <t>-Other</t>
  </si>
  <si>
    <t>\I:</t>
  </si>
  <si>
    <t>-TU_sup-dem*,-ElcAgg*</t>
  </si>
  <si>
    <t>ELC,INDELC,ELC_???-*</t>
  </si>
  <si>
    <t>ELC,INDELC,ELC_???-*,-TRDELC</t>
  </si>
  <si>
    <t>-ElcAgg*</t>
  </si>
  <si>
    <t>-FT[_]*-ElcAgg*</t>
  </si>
  <si>
    <t>ELC,HET,ELC_???-*</t>
  </si>
  <si>
    <t>ELE,PRE</t>
  </si>
  <si>
    <t>???SPV,???STH,ELC_Sol-*</t>
  </si>
  <si>
    <t>???WIN,ELC_Win-*</t>
  </si>
  <si>
    <t>*,-FT[_]*,-TU_sup-dem*</t>
  </si>
  <si>
    <t>zz_sprun_flows</t>
  </si>
  <si>
    <t>zz_sprun_capacity</t>
  </si>
  <si>
    <t>data to present capacities when making single-period runs to check cap mix with hourly slices</t>
  </si>
  <si>
    <t>Nat Gas-&lt;region&gt;_Src_&lt;gen_pname&gt;</t>
  </si>
  <si>
    <t>Electricity-&lt;region&gt;_Src_&lt;gen_pname&gt;</t>
  </si>
  <si>
    <t>OILCRD</t>
  </si>
  <si>
    <t>ELC,INDELC,TRAELC,COMELC</t>
  </si>
  <si>
    <t>$/GJh</t>
  </si>
  <si>
    <t>$/kg</t>
  </si>
  <si>
    <t>T?[_]ELC*</t>
  </si>
  <si>
    <t>Elec Transmission</t>
  </si>
  <si>
    <t>T?[_]GasPip*</t>
  </si>
  <si>
    <t>Gas pipelines</t>
  </si>
  <si>
    <t>ELE,CHP,DMD,PRE,IRE</t>
  </si>
  <si>
    <t>T?_ELC*</t>
  </si>
  <si>
    <t>FT_*,-*ELC*,-*H2*,-*SUP*</t>
  </si>
  <si>
    <t>data to put UP flo bounds when making single-period runs to check cap mix with hourly slices</t>
  </si>
  <si>
    <t>DMD,PRE</t>
  </si>
  <si>
    <t>zz_sprun_demands</t>
  </si>
  <si>
    <t>data to present demand output when making single-period runs to check cap mix with hourly slices</t>
  </si>
  <si>
    <t>mis_steel_crude</t>
  </si>
  <si>
    <t>EQ_CUMFLO</t>
  </si>
  <si>
    <t>min???[_]rs*</t>
  </si>
  <si>
    <t>zz_sprun_cumflo</t>
  </si>
  <si>
    <t>data to present cumulative oil/gas production when making single-period runs to check cap mix with hourly slices</t>
  </si>
  <si>
    <t>zz_sprun_*</t>
  </si>
  <si>
    <t>zz_single-period run data</t>
  </si>
  <si>
    <t>Mining (En)</t>
  </si>
  <si>
    <t>Autoproduction</t>
  </si>
  <si>
    <t>Non-energy use</t>
  </si>
  <si>
    <t>ELC_???-*</t>
  </si>
  <si>
    <t>~TS_Defs: Snk_attr=SANKEY_Oil-and-Gas</t>
  </si>
  <si>
    <t>-min*_rs_*,-LNG_??p_*, -LNG_New*</t>
  </si>
  <si>
    <t>OIL*,GAS*,-OIL[_]*,-GAS[_]*</t>
  </si>
  <si>
    <t>&lt;gen_cname&gt;_Src_&lt;gen_pname&gt;</t>
  </si>
  <si>
    <t>-IRE,-FinCon*</t>
  </si>
  <si>
    <t>&lt;gen_cname&gt;_Snk_&lt;gen_pname&gt;</t>
  </si>
  <si>
    <t>&lt;gen_cname&gt;_Snk_&lt;pset&gt;</t>
  </si>
  <si>
    <t>&lt;gen_cname&gt;_Src_Import</t>
  </si>
  <si>
    <t>&lt;gen_cname&gt;_Snk_Export</t>
  </si>
  <si>
    <t>min*_rs_*,-LNG_??p_*, -LNG_New*</t>
  </si>
  <si>
    <t>&lt;gen_cname&gt;_Src_Associated</t>
  </si>
  <si>
    <t>LNG_*Exp*</t>
  </si>
  <si>
    <t>&lt;gen_cname&gt;_Src_Liquefaction</t>
  </si>
  <si>
    <t>&lt;gen_cname&gt;_Snk_Liquefaction</t>
  </si>
  <si>
    <t>LNG_*Imp*</t>
  </si>
  <si>
    <t>&lt;gen_cname&gt;_Src_Regasification</t>
  </si>
  <si>
    <t>&lt;gen_cname&gt;_Snk_Regasification</t>
  </si>
  <si>
    <t>FinCon_OIL</t>
  </si>
  <si>
    <t>Final OIL</t>
  </si>
  <si>
    <t>FinCon_GAS</t>
  </si>
  <si>
    <t>Final GAS</t>
  </si>
  <si>
    <t>FinCon_Power-Energy</t>
  </si>
  <si>
    <t>Power/Energy</t>
  </si>
  <si>
    <t>NetCO2*</t>
  </si>
  <si>
    <t>zz_sprun_emissions</t>
  </si>
  <si>
    <t>data to present emissions when making single-period runs to check cap mix with hourly slices</t>
  </si>
  <si>
    <t>zz_sprun_trades</t>
  </si>
  <si>
    <t>LOHC</t>
  </si>
  <si>
    <t>Hydrogen+</t>
  </si>
  <si>
    <t>TU_sup-dem*</t>
  </si>
  <si>
    <t>Trades_sup-dem</t>
  </si>
  <si>
    <t>LOHC,Ammonia,LH2</t>
  </si>
  <si>
    <t>~TS_Defs: Snk_attr=SANKEY_Battery</t>
  </si>
  <si>
    <t>m_*,mr_*,multir*,recy*,repp*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</si>
</sst>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\o\n\th\ d\,\ yyyy"/>
    <numFmt numFmtId="165" formatCode="#.00"/>
    <numFmt numFmtId="166" formatCode="#."/>
    <numFmt numFmtId="167" formatCode="_-&quot;€&quot;\ * #,##0.00_-;\-&quot;€&quot;\ * #,##0.00_-;_-&quot;€&quot;\ * &quot;-&quot;??_-;_-@_-"/>
    <numFmt numFmtId="168" formatCode="_-* #,##0.00\ _€_-;\-* #,##0.00\ _€_-;_-* &quot;-&quot;??\ _€_-;_-@_-"/>
  </numFmts>
  <fonts count="25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i/>
      <sz val="8"/>
      <color indexed="81"/>
      <name val="Tahoma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Gill Sans MT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8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7">
    <xf numFmtId="0" fontId="0" fillId="0" borderId="0"/>
    <xf numFmtId="0" fontId="14" fillId="2" borderId="0" applyNumberFormat="0" applyBorder="0" applyAlignment="0" applyProtection="0"/>
    <xf numFmtId="164" fontId="6" fillId="0" borderId="0">
      <protection locked="0"/>
    </xf>
    <xf numFmtId="167" fontId="12" fillId="0" borderId="0" applyFont="0" applyFill="0" applyBorder="0" applyAlignment="0" applyProtection="0"/>
    <xf numFmtId="165" fontId="6" fillId="0" borderId="0">
      <protection locked="0"/>
    </xf>
    <xf numFmtId="0" fontId="15" fillId="3" borderId="0" applyNumberFormat="0" applyBorder="0" applyAlignment="0" applyProtection="0"/>
    <xf numFmtId="166" fontId="7" fillId="0" borderId="0">
      <protection locked="0"/>
    </xf>
    <xf numFmtId="166" fontId="7" fillId="0" borderId="0">
      <protection locked="0"/>
    </xf>
    <xf numFmtId="168" fontId="12" fillId="0" borderId="0" applyFont="0" applyFill="0" applyBorder="0" applyAlignment="0" applyProtection="0"/>
    <xf numFmtId="0" fontId="16" fillId="4" borderId="0" applyNumberFormat="0" applyBorder="0" applyAlignment="0" applyProtection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2" fillId="0" borderId="0"/>
    <xf numFmtId="0" fontId="1" fillId="0" borderId="0"/>
    <xf numFmtId="9" fontId="13" fillId="0" borderId="0" applyFont="0" applyFill="0" applyBorder="0" applyAlignment="0" applyProtection="0"/>
    <xf numFmtId="0" fontId="1" fillId="0" borderId="0"/>
    <xf numFmtId="0" fontId="21" fillId="0" borderId="1" applyNumberFormat="0" applyFill="0" applyAlignment="0" applyProtection="0"/>
    <xf numFmtId="0" fontId="22" fillId="0" borderId="2" applyNumberFormat="0" applyFill="0" applyAlignment="0" applyProtection="0"/>
    <xf numFmtId="0" fontId="23" fillId="8" borderId="3" applyNumberFormat="0" applyAlignment="0" applyProtection="0"/>
    <xf numFmtId="167" fontId="1" fillId="0" borderId="0" applyFont="0" applyFill="0" applyBorder="0" applyAlignment="0" applyProtection="0"/>
    <xf numFmtId="0" fontId="1" fillId="0" borderId="0"/>
    <xf numFmtId="0" fontId="24" fillId="0" borderId="0" applyNumberFormat="0" applyFill="0" applyBorder="0" applyAlignment="0" applyProtection="0"/>
  </cellStyleXfs>
  <cellXfs count="22">
    <xf numFmtId="0" fontId="0" fillId="0" borderId="0" xfId="0"/>
    <xf numFmtId="0" fontId="0" fillId="5" borderId="0" xfId="0" applyFill="1"/>
    <xf numFmtId="0" fontId="17" fillId="5" borderId="0" xfId="0" applyFont="1" applyFill="1"/>
    <xf numFmtId="0" fontId="18" fillId="6" borderId="0" xfId="0" applyFont="1" applyFill="1"/>
    <xf numFmtId="0" fontId="16" fillId="4" borderId="0" xfId="9" applyAlignment="1">
      <alignment horizontal="center"/>
    </xf>
    <xf numFmtId="0" fontId="15" fillId="3" borderId="0" xfId="5"/>
    <xf numFmtId="0" fontId="15" fillId="3" borderId="0" xfId="5" applyBorder="1"/>
    <xf numFmtId="0" fontId="0" fillId="0" borderId="0" xfId="0" quotePrefix="1"/>
    <xf numFmtId="0" fontId="18" fillId="0" borderId="0" xfId="0" applyFont="1"/>
    <xf numFmtId="0" fontId="19" fillId="3" borderId="0" xfId="5" applyFont="1"/>
    <xf numFmtId="0" fontId="16" fillId="4" borderId="0" xfId="9"/>
    <xf numFmtId="0" fontId="14" fillId="2" borderId="0" xfId="1"/>
    <xf numFmtId="2" fontId="0" fillId="0" borderId="0" xfId="0" applyNumberFormat="1"/>
    <xf numFmtId="2" fontId="19" fillId="3" borderId="0" xfId="5" applyNumberFormat="1" applyFont="1"/>
    <xf numFmtId="0" fontId="17" fillId="0" borderId="0" xfId="0" applyFont="1"/>
    <xf numFmtId="0" fontId="17" fillId="7" borderId="0" xfId="0" applyFont="1" applyFill="1"/>
    <xf numFmtId="0" fontId="22" fillId="0" borderId="2" xfId="42"/>
    <xf numFmtId="0" fontId="21" fillId="0" borderId="1" xfId="41"/>
    <xf numFmtId="0" fontId="23" fillId="8" borderId="3" xfId="43"/>
    <xf numFmtId="0" fontId="22" fillId="0" borderId="0" xfId="42" applyFill="1" applyBorder="1"/>
    <xf numFmtId="0" fontId="24" fillId="0" borderId="0" xfId="46"/>
    <xf numFmtId="0" fontId="0" fillId="0" borderId="0" xfId="0" applyAlignment="1">
      <alignment vertical="center" wrapText="1"/>
    </xf>
  </cellXfs>
  <cellStyles count="47">
    <cellStyle name="Bad" xfId="1" builtinId="27"/>
    <cellStyle name="Date" xfId="2" xr:uid="{00000000-0005-0000-0000-000001000000}"/>
    <cellStyle name="Euro" xfId="3" xr:uid="{00000000-0005-0000-0000-000002000000}"/>
    <cellStyle name="Euro 2" xfId="44" xr:uid="{29ADD77E-59C0-495A-B9FA-C1A34CF51540}"/>
    <cellStyle name="Fixed" xfId="4" xr:uid="{00000000-0005-0000-0000-000003000000}"/>
    <cellStyle name="Good" xfId="5" builtinId="26"/>
    <cellStyle name="Heading 2" xfId="41" builtinId="17"/>
    <cellStyle name="Heading 3" xfId="42" builtinId="18"/>
    <cellStyle name="Heading1" xfId="6" xr:uid="{00000000-0005-0000-0000-000005000000}"/>
    <cellStyle name="Heading2" xfId="7" xr:uid="{00000000-0005-0000-0000-000006000000}"/>
    <cellStyle name="Hyperlink" xfId="46" builtinId="8"/>
    <cellStyle name="Input" xfId="43" builtinId="20"/>
    <cellStyle name="Migliaia_Oil&amp;Gas IFE ARC POLITO" xfId="8" xr:uid="{00000000-0005-0000-0000-000007000000}"/>
    <cellStyle name="Neutral" xfId="9" builtinId="28"/>
    <cellStyle name="Normal" xfId="0" builtinId="0"/>
    <cellStyle name="Normal 10" xfId="10" xr:uid="{00000000-0005-0000-0000-00000A000000}"/>
    <cellStyle name="Normal 11 2" xfId="11" xr:uid="{00000000-0005-0000-0000-00000B000000}"/>
    <cellStyle name="Normal 11 3" xfId="12" xr:uid="{00000000-0005-0000-0000-00000C000000}"/>
    <cellStyle name="Normal 11 4" xfId="13" xr:uid="{00000000-0005-0000-0000-00000D000000}"/>
    <cellStyle name="Normal 12 2" xfId="14" xr:uid="{00000000-0005-0000-0000-00000E000000}"/>
    <cellStyle name="Normal 12 3" xfId="15" xr:uid="{00000000-0005-0000-0000-00000F000000}"/>
    <cellStyle name="Normal 12 4" xfId="16" xr:uid="{00000000-0005-0000-0000-000010000000}"/>
    <cellStyle name="Normal 13 2" xfId="17" xr:uid="{00000000-0005-0000-0000-000011000000}"/>
    <cellStyle name="Normal 13 3" xfId="18" xr:uid="{00000000-0005-0000-0000-000012000000}"/>
    <cellStyle name="Normal 13 4" xfId="19" xr:uid="{00000000-0005-0000-0000-000013000000}"/>
    <cellStyle name="Normal 14 2" xfId="20" xr:uid="{00000000-0005-0000-0000-000014000000}"/>
    <cellStyle name="Normal 14 3" xfId="21" xr:uid="{00000000-0005-0000-0000-000015000000}"/>
    <cellStyle name="Normal 14 4" xfId="22" xr:uid="{00000000-0005-0000-0000-000016000000}"/>
    <cellStyle name="Normal 15 2" xfId="23" xr:uid="{00000000-0005-0000-0000-000017000000}"/>
    <cellStyle name="Normal 15 3" xfId="24" xr:uid="{00000000-0005-0000-0000-000018000000}"/>
    <cellStyle name="Normal 15 4" xfId="25" xr:uid="{00000000-0005-0000-0000-000019000000}"/>
    <cellStyle name="Normal 2" xfId="26" xr:uid="{00000000-0005-0000-0000-00001A000000}"/>
    <cellStyle name="Normal 2 2" xfId="27" xr:uid="{00000000-0005-0000-0000-00001B000000}"/>
    <cellStyle name="Normal 2 3" xfId="28" xr:uid="{00000000-0005-0000-0000-00001C000000}"/>
    <cellStyle name="Normal 2 4" xfId="29" xr:uid="{00000000-0005-0000-0000-00001D000000}"/>
    <cellStyle name="Normal 2 5" xfId="30" xr:uid="{00000000-0005-0000-0000-00001E000000}"/>
    <cellStyle name="Normal 2 6" xfId="31" xr:uid="{00000000-0005-0000-0000-00001F000000}"/>
    <cellStyle name="Normal 2 7" xfId="32" xr:uid="{00000000-0005-0000-0000-000020000000}"/>
    <cellStyle name="Normal 2 8" xfId="33" xr:uid="{00000000-0005-0000-0000-000021000000}"/>
    <cellStyle name="Normal 2 9" xfId="34" xr:uid="{00000000-0005-0000-0000-000022000000}"/>
    <cellStyle name="Normal 3" xfId="35" xr:uid="{00000000-0005-0000-0000-000023000000}"/>
    <cellStyle name="Normal 3 2" xfId="36" xr:uid="{00000000-0005-0000-0000-000024000000}"/>
    <cellStyle name="Normal 4" xfId="37" xr:uid="{00000000-0005-0000-0000-000025000000}"/>
    <cellStyle name="Normal 4 2" xfId="45" xr:uid="{EC1A7A7A-CC9D-40B0-BAC5-A49E6909FE58}"/>
    <cellStyle name="Normale_DBT completo" xfId="38" xr:uid="{00000000-0005-0000-0000-000026000000}"/>
    <cellStyle name="Percent 2" xfId="39" xr:uid="{00000000-0005-0000-0000-000027000000}"/>
    <cellStyle name="Standard_Sce_D_Extraction" xfId="40" xr:uid="{00000000-0005-0000-0000-00002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www.loc.gov/standards/iso639-2/php/code_list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37"/>
  <dimension ref="A1:Q11"/>
  <sheetViews>
    <sheetView zoomScaleNormal="100" workbookViewId="0">
      <selection activeCell="L15" sqref="L15"/>
    </sheetView>
  </sheetViews>
  <sheetFormatPr defaultRowHeight="14.25"/>
  <cols>
    <col min="1" max="1" width="8.86328125" bestFit="1" customWidth="1"/>
    <col min="2" max="2" width="32.86328125" bestFit="1" customWidth="1"/>
    <col min="3" max="4" width="5.1328125" bestFit="1" customWidth="1"/>
    <col min="5" max="5" width="3.59765625" customWidth="1"/>
    <col min="6" max="6" width="4.59765625" customWidth="1"/>
    <col min="7" max="7" width="15" bestFit="1" customWidth="1"/>
    <col min="8" max="8" width="10.59765625" bestFit="1" customWidth="1"/>
    <col min="9" max="9" width="12.265625" bestFit="1" customWidth="1"/>
    <col min="10" max="10" width="9.73046875" bestFit="1" customWidth="1"/>
    <col min="12" max="12" width="27.1328125" bestFit="1" customWidth="1"/>
  </cols>
  <sheetData>
    <row r="1" spans="1:17">
      <c r="A1" s="18" t="s">
        <v>775</v>
      </c>
      <c r="F1" s="8"/>
    </row>
    <row r="4" spans="1:17">
      <c r="A4" t="s">
        <v>262</v>
      </c>
      <c r="G4" t="s">
        <v>263</v>
      </c>
    </row>
    <row r="5" spans="1:17" ht="14.65" thickBot="1">
      <c r="A5" s="16" t="s">
        <v>97</v>
      </c>
      <c r="B5" s="16" t="s">
        <v>3</v>
      </c>
      <c r="C5" s="16" t="s">
        <v>2</v>
      </c>
      <c r="D5" s="16" t="s">
        <v>43</v>
      </c>
      <c r="G5" s="16" t="s">
        <v>31</v>
      </c>
    </row>
    <row r="6" spans="1:17">
      <c r="A6" t="str">
        <f t="shared" ref="A6:A11" si="0">$A$1&amp;"~"&amp;TEXT(O6,"0000")</f>
        <v>KS~0000</v>
      </c>
      <c r="B6" t="s">
        <v>789</v>
      </c>
      <c r="G6" t="str">
        <f>B6</f>
        <v>Base</v>
      </c>
      <c r="Q6" s="7"/>
    </row>
    <row r="7" spans="1:17">
      <c r="A7" t="str">
        <f t="shared" si="0"/>
        <v>KS~0000</v>
      </c>
      <c r="B7" t="str">
        <f>"CO2price-"&amp;ROUND(L7/10,0)*10</f>
        <v>CO2price-0</v>
      </c>
      <c r="G7" t="str">
        <f t="shared" ref="G7:G11" si="1">B7</f>
        <v>CO2price-0</v>
      </c>
      <c r="Q7" s="7"/>
    </row>
    <row r="8" spans="1:17">
      <c r="A8" t="str">
        <f t="shared" si="0"/>
        <v>KS~0000</v>
      </c>
      <c r="B8" t="str">
        <f t="shared" ref="B8:B11" si="2">"CO2price-"&amp;ROUND(L8/10,0)*10</f>
        <v>CO2price-0</v>
      </c>
      <c r="G8" t="str">
        <f t="shared" si="1"/>
        <v>CO2price-0</v>
      </c>
      <c r="Q8" s="7"/>
    </row>
    <row r="9" spans="1:17">
      <c r="A9" t="str">
        <f t="shared" si="0"/>
        <v>KS~0000</v>
      </c>
      <c r="B9" t="str">
        <f t="shared" si="2"/>
        <v>CO2price-0</v>
      </c>
      <c r="G9" t="str">
        <f t="shared" si="1"/>
        <v>CO2price-0</v>
      </c>
    </row>
    <row r="10" spans="1:17">
      <c r="A10" t="str">
        <f t="shared" si="0"/>
        <v>KS~0000</v>
      </c>
      <c r="B10" t="str">
        <f t="shared" si="2"/>
        <v>CO2price-0</v>
      </c>
      <c r="G10" t="str">
        <f t="shared" si="1"/>
        <v>CO2price-0</v>
      </c>
    </row>
    <row r="11" spans="1:17">
      <c r="A11" t="str">
        <f t="shared" si="0"/>
        <v>KS~0000</v>
      </c>
      <c r="B11" t="str">
        <f t="shared" si="2"/>
        <v>CO2price-0</v>
      </c>
      <c r="G11" t="str">
        <f t="shared" si="1"/>
        <v>CO2price-0</v>
      </c>
    </row>
  </sheetData>
  <phoneticPr fontId="20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22"/>
  <dimension ref="A1:AA75"/>
  <sheetViews>
    <sheetView zoomScaleNormal="100" workbookViewId="0">
      <pane ySplit="2" topLeftCell="A66" activePane="bottomLeft" state="frozen"/>
      <selection pane="bottomLeft" activeCell="J75" sqref="J75"/>
    </sheetView>
  </sheetViews>
  <sheetFormatPr defaultRowHeight="14.25"/>
  <cols>
    <col min="1" max="1" width="13.86328125" bestFit="1" customWidth="1"/>
    <col min="2" max="2" width="11.1328125" bestFit="1" customWidth="1"/>
    <col min="3" max="3" width="7.86328125" bestFit="1" customWidth="1"/>
    <col min="4" max="4" width="26.59765625" customWidth="1"/>
    <col min="5" max="5" width="16.86328125" bestFit="1" customWidth="1"/>
    <col min="6" max="6" width="8.59765625" bestFit="1" customWidth="1"/>
    <col min="7" max="8" width="8.73046875" bestFit="1" customWidth="1"/>
    <col min="9" max="9" width="16.73046875" bestFit="1" customWidth="1"/>
    <col min="10" max="10" width="30.86328125" bestFit="1" customWidth="1"/>
    <col min="11" max="11" width="8.59765625" bestFit="1" customWidth="1"/>
    <col min="12" max="12" width="7" bestFit="1" customWidth="1"/>
    <col min="13" max="13" width="4.265625" bestFit="1" customWidth="1"/>
    <col min="14" max="14" width="9.265625" bestFit="1" customWidth="1"/>
    <col min="15" max="15" width="21.3984375" bestFit="1" customWidth="1"/>
    <col min="16" max="16" width="14.59765625" bestFit="1" customWidth="1"/>
    <col min="17" max="17" width="22.3984375" bestFit="1" customWidth="1"/>
    <col min="18" max="18" width="9.265625" bestFit="1" customWidth="1"/>
    <col min="19" max="20" width="9.265625" customWidth="1"/>
    <col min="21" max="21" width="2" bestFit="1" customWidth="1"/>
    <col min="22" max="22" width="11.59765625" bestFit="1" customWidth="1"/>
  </cols>
  <sheetData>
    <row r="1" spans="1:27">
      <c r="A1" t="s">
        <v>101</v>
      </c>
    </row>
    <row r="2" spans="1:27">
      <c r="A2" s="2" t="s">
        <v>85</v>
      </c>
      <c r="B2" s="2" t="s">
        <v>103</v>
      </c>
      <c r="C2" s="2" t="s">
        <v>227</v>
      </c>
      <c r="D2" s="2" t="s">
        <v>86</v>
      </c>
      <c r="E2" s="2" t="s">
        <v>87</v>
      </c>
      <c r="F2" s="2" t="s">
        <v>91</v>
      </c>
      <c r="G2" s="2" t="s">
        <v>92</v>
      </c>
      <c r="H2" s="2" t="s">
        <v>93</v>
      </c>
      <c r="I2" s="2" t="s">
        <v>88</v>
      </c>
      <c r="J2" s="2" t="s">
        <v>89</v>
      </c>
      <c r="K2" s="2" t="s">
        <v>90</v>
      </c>
      <c r="L2" s="2" t="s">
        <v>0</v>
      </c>
      <c r="M2" s="2" t="s">
        <v>22</v>
      </c>
      <c r="N2" s="2" t="s">
        <v>110</v>
      </c>
      <c r="O2" s="2" t="s">
        <v>3</v>
      </c>
      <c r="P2" s="2" t="s">
        <v>2</v>
      </c>
      <c r="Q2" s="2" t="s">
        <v>43</v>
      </c>
      <c r="R2" s="2" t="s">
        <v>251</v>
      </c>
      <c r="S2" s="2" t="s">
        <v>338</v>
      </c>
      <c r="T2" s="2" t="s">
        <v>635</v>
      </c>
      <c r="V2" s="3" t="s">
        <v>37</v>
      </c>
      <c r="W2" s="4" t="s">
        <v>18</v>
      </c>
      <c r="AA2" t="s">
        <v>76</v>
      </c>
    </row>
    <row r="3" spans="1:27">
      <c r="A3" t="s">
        <v>38</v>
      </c>
      <c r="D3" t="str">
        <f>PSET_Map!H28</f>
        <v>DMD_AGR,DMD_COM,DMD_RES,DMD_AUTOP,DMD_IND,DMD_Non-En,DMD_TRA-NR,DMD_TRA-R</v>
      </c>
      <c r="I3" t="s">
        <v>49</v>
      </c>
      <c r="L3" t="s">
        <v>34</v>
      </c>
      <c r="O3" t="s">
        <v>638</v>
      </c>
      <c r="P3" t="str">
        <f>O3</f>
        <v>FinEnergy</v>
      </c>
      <c r="Q3" t="s">
        <v>3116</v>
      </c>
    </row>
    <row r="4" spans="1:27">
      <c r="A4" t="s">
        <v>38</v>
      </c>
      <c r="I4" t="str">
        <f>$I$3</f>
        <v>NRG</v>
      </c>
      <c r="J4" t="s">
        <v>234</v>
      </c>
      <c r="L4" t="s">
        <v>34</v>
      </c>
      <c r="O4" t="s">
        <v>638</v>
      </c>
      <c r="P4" t="str">
        <f>O4</f>
        <v>FinEnergy</v>
      </c>
      <c r="Q4" t="s">
        <v>3116</v>
      </c>
    </row>
    <row r="5" spans="1:27">
      <c r="A5" t="s">
        <v>3693</v>
      </c>
      <c r="E5" t="s">
        <v>274</v>
      </c>
      <c r="I5" t="str">
        <f>$I$3</f>
        <v>NRG</v>
      </c>
      <c r="J5" s="7" t="s">
        <v>276</v>
      </c>
      <c r="L5" t="s">
        <v>34</v>
      </c>
      <c r="O5" t="s">
        <v>638</v>
      </c>
      <c r="P5" t="str">
        <f t="shared" ref="P5:P6" si="0">O5</f>
        <v>FinEnergy</v>
      </c>
      <c r="Q5" t="s">
        <v>3116</v>
      </c>
    </row>
    <row r="6" spans="1:27">
      <c r="A6" t="s">
        <v>3693</v>
      </c>
      <c r="E6" t="s">
        <v>274</v>
      </c>
      <c r="I6" t="str">
        <f>$I$3</f>
        <v>NRG</v>
      </c>
      <c r="J6" s="7" t="s">
        <v>276</v>
      </c>
      <c r="L6" t="s">
        <v>275</v>
      </c>
      <c r="O6" t="s">
        <v>638</v>
      </c>
      <c r="P6" t="str">
        <f t="shared" si="0"/>
        <v>FinEnergy</v>
      </c>
      <c r="Q6" t="s">
        <v>3116</v>
      </c>
    </row>
    <row r="7" spans="1:27">
      <c r="A7" t="s">
        <v>21</v>
      </c>
      <c r="D7" t="s">
        <v>639</v>
      </c>
      <c r="E7" s="7" t="s">
        <v>3694</v>
      </c>
      <c r="J7" s="15" t="s">
        <v>3695</v>
      </c>
      <c r="L7" t="s">
        <v>155</v>
      </c>
      <c r="O7" t="s">
        <v>454</v>
      </c>
      <c r="P7" t="str">
        <f>O7</f>
        <v>Elec_Prod</v>
      </c>
      <c r="Q7" t="s">
        <v>3117</v>
      </c>
    </row>
    <row r="8" spans="1:27">
      <c r="A8" t="s">
        <v>38</v>
      </c>
      <c r="D8" t="s">
        <v>3123</v>
      </c>
      <c r="E8" s="7" t="s">
        <v>3136</v>
      </c>
      <c r="J8" s="15" t="s">
        <v>3124</v>
      </c>
      <c r="L8" t="s">
        <v>3125</v>
      </c>
      <c r="O8" t="s">
        <v>454</v>
      </c>
      <c r="Q8" t="s">
        <v>3117</v>
      </c>
    </row>
    <row r="9" spans="1:27">
      <c r="A9" t="s">
        <v>21</v>
      </c>
      <c r="D9" t="s">
        <v>3700</v>
      </c>
      <c r="J9" t="s">
        <v>453</v>
      </c>
      <c r="L9" t="s">
        <v>155</v>
      </c>
      <c r="O9" t="s">
        <v>455</v>
      </c>
      <c r="P9" t="str">
        <f t="shared" ref="P9:P11" si="1">O9</f>
        <v>Elec-int_Prod</v>
      </c>
      <c r="Q9" t="s">
        <v>3118</v>
      </c>
    </row>
    <row r="10" spans="1:27">
      <c r="A10" t="s">
        <v>658</v>
      </c>
      <c r="D10" t="s">
        <v>659</v>
      </c>
      <c r="H10" t="s">
        <v>3696</v>
      </c>
      <c r="L10" t="s">
        <v>155</v>
      </c>
      <c r="O10" t="s">
        <v>656</v>
      </c>
      <c r="P10" t="str">
        <f t="shared" ref="P10" si="2">O10</f>
        <v>Elec_act</v>
      </c>
      <c r="Q10" t="str">
        <f t="shared" ref="Q10" si="3">P10</f>
        <v>Elec_act</v>
      </c>
    </row>
    <row r="11" spans="1:27">
      <c r="A11" t="s">
        <v>21</v>
      </c>
      <c r="D11" s="7" t="s">
        <v>790</v>
      </c>
      <c r="J11" t="s">
        <v>39</v>
      </c>
      <c r="L11" t="s">
        <v>34</v>
      </c>
      <c r="O11" t="s">
        <v>515</v>
      </c>
      <c r="P11" t="str">
        <f t="shared" si="1"/>
        <v>H2_Prod</v>
      </c>
      <c r="Q11" t="s">
        <v>3119</v>
      </c>
      <c r="R11" t="s">
        <v>156</v>
      </c>
    </row>
    <row r="12" spans="1:27">
      <c r="A12" t="s">
        <v>24</v>
      </c>
      <c r="D12" t="s">
        <v>630</v>
      </c>
      <c r="E12" s="7" t="s">
        <v>3697</v>
      </c>
      <c r="H12" t="s">
        <v>3696</v>
      </c>
      <c r="L12" t="s">
        <v>25</v>
      </c>
      <c r="O12" t="s">
        <v>647</v>
      </c>
      <c r="P12" t="str">
        <f t="shared" ref="P12:P15" si="4">O12</f>
        <v>Capacity_Elec</v>
      </c>
      <c r="Q12" t="str">
        <f t="shared" ref="Q12:Q20" si="5">P12</f>
        <v>Capacity_Elec</v>
      </c>
      <c r="T12" s="14" t="s">
        <v>626</v>
      </c>
    </row>
    <row r="13" spans="1:27">
      <c r="A13" t="s">
        <v>24</v>
      </c>
      <c r="D13" t="s">
        <v>100</v>
      </c>
      <c r="E13" s="7" t="s">
        <v>3718</v>
      </c>
      <c r="L13" t="s">
        <v>25</v>
      </c>
      <c r="O13" t="s">
        <v>647</v>
      </c>
      <c r="P13" t="str">
        <f t="shared" ref="P13" si="6">O13</f>
        <v>Capacity_Elec</v>
      </c>
      <c r="Q13" t="str">
        <f t="shared" ref="Q13" si="7">P13</f>
        <v>Capacity_Elec</v>
      </c>
      <c r="T13" s="14"/>
    </row>
    <row r="14" spans="1:27">
      <c r="A14" t="s">
        <v>24</v>
      </c>
      <c r="D14" s="7" t="s">
        <v>516</v>
      </c>
      <c r="H14" t="s">
        <v>39</v>
      </c>
      <c r="L14" t="s">
        <v>634</v>
      </c>
      <c r="O14" t="s">
        <v>564</v>
      </c>
      <c r="P14" t="str">
        <f t="shared" si="4"/>
        <v>Capacity_H2</v>
      </c>
      <c r="R14" t="s">
        <v>156</v>
      </c>
    </row>
    <row r="15" spans="1:27">
      <c r="A15" t="s">
        <v>28</v>
      </c>
      <c r="D15" s="7" t="s">
        <v>516</v>
      </c>
      <c r="L15" t="s">
        <v>634</v>
      </c>
      <c r="O15" t="s">
        <v>637</v>
      </c>
      <c r="P15" t="str">
        <f t="shared" si="4"/>
        <v>NewCap</v>
      </c>
    </row>
    <row r="16" spans="1:27">
      <c r="A16" t="s">
        <v>28</v>
      </c>
      <c r="D16" t="s">
        <v>100</v>
      </c>
      <c r="E16" s="7" t="s">
        <v>3718</v>
      </c>
      <c r="L16" t="s">
        <v>25</v>
      </c>
      <c r="O16" t="s">
        <v>637</v>
      </c>
      <c r="P16" t="str">
        <f t="shared" ref="P16" si="8">O16</f>
        <v>NewCap</v>
      </c>
    </row>
    <row r="17" spans="1:20">
      <c r="A17" t="s">
        <v>99</v>
      </c>
      <c r="D17" t="s">
        <v>3717</v>
      </c>
      <c r="E17" s="7" t="s">
        <v>3698</v>
      </c>
      <c r="L17" t="s">
        <v>27</v>
      </c>
      <c r="O17" t="s">
        <v>481</v>
      </c>
      <c r="P17" t="str">
        <f t="shared" ref="P17" si="9">O17</f>
        <v>CostINV</v>
      </c>
      <c r="Q17" t="str">
        <f t="shared" si="5"/>
        <v>CostINV</v>
      </c>
    </row>
    <row r="18" spans="1:20">
      <c r="A18" t="s">
        <v>114</v>
      </c>
      <c r="D18" t="s">
        <v>485</v>
      </c>
      <c r="E18" s="7" t="s">
        <v>3698</v>
      </c>
      <c r="L18" t="s">
        <v>27</v>
      </c>
      <c r="O18" t="s">
        <v>482</v>
      </c>
      <c r="P18" t="str">
        <f t="shared" ref="P18" si="10">O18</f>
        <v>CostVAR</v>
      </c>
      <c r="Q18" t="str">
        <f t="shared" si="5"/>
        <v>CostVAR</v>
      </c>
    </row>
    <row r="19" spans="1:20">
      <c r="A19" t="s">
        <v>115</v>
      </c>
      <c r="D19" t="s">
        <v>485</v>
      </c>
      <c r="E19" s="7" t="s">
        <v>3698</v>
      </c>
      <c r="L19" t="s">
        <v>27</v>
      </c>
      <c r="O19" t="s">
        <v>483</v>
      </c>
      <c r="P19" t="str">
        <f t="shared" ref="P19:P20" si="11">O19</f>
        <v>CostFIX</v>
      </c>
      <c r="Q19" t="str">
        <f t="shared" si="5"/>
        <v>CostFIX</v>
      </c>
    </row>
    <row r="20" spans="1:20">
      <c r="A20" t="s">
        <v>522</v>
      </c>
      <c r="D20" t="s">
        <v>333</v>
      </c>
      <c r="E20" s="7" t="s">
        <v>3698</v>
      </c>
      <c r="I20" t="s">
        <v>49</v>
      </c>
      <c r="J20" s="7" t="s">
        <v>523</v>
      </c>
      <c r="L20" t="s">
        <v>27</v>
      </c>
      <c r="O20" t="s">
        <v>526</v>
      </c>
      <c r="P20" t="str">
        <f t="shared" si="11"/>
        <v>CostFue</v>
      </c>
      <c r="Q20" t="str">
        <f t="shared" si="5"/>
        <v>CostFue</v>
      </c>
    </row>
    <row r="21" spans="1:20">
      <c r="A21" t="s">
        <v>522</v>
      </c>
      <c r="E21" s="7"/>
      <c r="H21" t="s">
        <v>39</v>
      </c>
      <c r="I21" t="s">
        <v>49</v>
      </c>
      <c r="J21" s="7" t="s">
        <v>524</v>
      </c>
      <c r="L21" t="s">
        <v>27</v>
      </c>
      <c r="O21" t="s">
        <v>526</v>
      </c>
      <c r="P21" t="str">
        <f t="shared" ref="P21:P23" si="12">O21</f>
        <v>CostFue</v>
      </c>
      <c r="Q21" t="str">
        <f t="shared" ref="Q21:Q23" si="13">P21</f>
        <v>CostFue</v>
      </c>
    </row>
    <row r="22" spans="1:20">
      <c r="A22" t="s">
        <v>522</v>
      </c>
      <c r="D22" t="s">
        <v>113</v>
      </c>
      <c r="E22" s="7" t="s">
        <v>525</v>
      </c>
      <c r="I22" t="s">
        <v>49</v>
      </c>
      <c r="L22" t="s">
        <v>27</v>
      </c>
      <c r="O22" t="s">
        <v>526</v>
      </c>
      <c r="P22" t="str">
        <f t="shared" si="12"/>
        <v>CostFue</v>
      </c>
      <c r="Q22" t="str">
        <f t="shared" si="13"/>
        <v>CostFue</v>
      </c>
    </row>
    <row r="23" spans="1:20">
      <c r="A23" t="s">
        <v>522</v>
      </c>
      <c r="D23" t="s">
        <v>527</v>
      </c>
      <c r="E23" s="7"/>
      <c r="I23" t="s">
        <v>49</v>
      </c>
      <c r="J23" s="7" t="s">
        <v>528</v>
      </c>
      <c r="L23" t="s">
        <v>27</v>
      </c>
      <c r="O23" t="s">
        <v>526</v>
      </c>
      <c r="P23" t="str">
        <f t="shared" si="12"/>
        <v>CostFue</v>
      </c>
      <c r="Q23" t="str">
        <f t="shared" si="13"/>
        <v>CostFue</v>
      </c>
    </row>
    <row r="24" spans="1:20">
      <c r="A24" t="s">
        <v>38</v>
      </c>
      <c r="D24" t="s">
        <v>894</v>
      </c>
      <c r="H24" t="s">
        <v>3699</v>
      </c>
      <c r="I24" t="s">
        <v>49</v>
      </c>
      <c r="J24" s="7" t="s">
        <v>282</v>
      </c>
      <c r="L24" t="s">
        <v>34</v>
      </c>
      <c r="O24" t="s">
        <v>566</v>
      </c>
      <c r="P24" t="str">
        <f t="shared" ref="P24:P25" si="14">O24</f>
        <v>Fuel_cons_power</v>
      </c>
      <c r="Q24" t="s">
        <v>3120</v>
      </c>
      <c r="T24" t="s">
        <v>626</v>
      </c>
    </row>
    <row r="25" spans="1:20">
      <c r="A25" t="s">
        <v>38</v>
      </c>
      <c r="D25" s="7" t="s">
        <v>790</v>
      </c>
      <c r="H25" t="s">
        <v>39</v>
      </c>
      <c r="I25" t="s">
        <v>49</v>
      </c>
      <c r="J25" s="7"/>
      <c r="L25" t="s">
        <v>34</v>
      </c>
      <c r="O25" t="s">
        <v>565</v>
      </c>
      <c r="P25" t="str">
        <f t="shared" si="14"/>
        <v>Fuel_cons_H2</v>
      </c>
      <c r="Q25" t="s">
        <v>3121</v>
      </c>
    </row>
    <row r="26" spans="1:20">
      <c r="A26" t="s">
        <v>38</v>
      </c>
      <c r="D26" s="7"/>
      <c r="H26" t="s">
        <v>896</v>
      </c>
      <c r="I26" t="s">
        <v>49</v>
      </c>
      <c r="J26" s="7"/>
      <c r="L26" t="s">
        <v>34</v>
      </c>
      <c r="O26" t="s">
        <v>895</v>
      </c>
      <c r="Q26" t="s">
        <v>3122</v>
      </c>
    </row>
    <row r="27" spans="1:20">
      <c r="A27" t="s">
        <v>24</v>
      </c>
      <c r="D27" t="s">
        <v>113</v>
      </c>
      <c r="H27" t="s">
        <v>456</v>
      </c>
      <c r="J27" s="7"/>
      <c r="L27" t="s">
        <v>634</v>
      </c>
      <c r="O27" t="s">
        <v>563</v>
      </c>
      <c r="Q27" t="s">
        <v>3127</v>
      </c>
    </row>
    <row r="28" spans="1:20">
      <c r="A28" t="s">
        <v>21</v>
      </c>
      <c r="D28" t="s">
        <v>113</v>
      </c>
      <c r="I28" t="s">
        <v>220</v>
      </c>
      <c r="J28" s="7" t="s">
        <v>602</v>
      </c>
      <c r="L28" t="s">
        <v>633</v>
      </c>
      <c r="O28" t="s">
        <v>221</v>
      </c>
      <c r="P28" t="str">
        <f t="shared" ref="P28:Q30" si="15">O28</f>
        <v>DMD_out</v>
      </c>
      <c r="Q28" t="s">
        <v>3128</v>
      </c>
    </row>
    <row r="29" spans="1:20">
      <c r="A29" t="s">
        <v>38</v>
      </c>
      <c r="D29" t="s">
        <v>113</v>
      </c>
      <c r="H29" s="7" t="s">
        <v>603</v>
      </c>
      <c r="I29" t="s">
        <v>49</v>
      </c>
      <c r="L29" t="s">
        <v>34</v>
      </c>
      <c r="O29" t="s">
        <v>222</v>
      </c>
      <c r="P29" t="str">
        <f t="shared" si="15"/>
        <v>DMD_in</v>
      </c>
      <c r="Q29" t="str">
        <f t="shared" si="15"/>
        <v>DMD_in</v>
      </c>
    </row>
    <row r="30" spans="1:20">
      <c r="A30" t="s">
        <v>225</v>
      </c>
      <c r="E30" s="7" t="s">
        <v>3703</v>
      </c>
      <c r="J30" s="7" t="s">
        <v>636</v>
      </c>
      <c r="L30" t="s">
        <v>226</v>
      </c>
      <c r="O30" t="s">
        <v>141</v>
      </c>
      <c r="P30" t="str">
        <f t="shared" si="15"/>
        <v>Power</v>
      </c>
      <c r="Q30" t="str">
        <f t="shared" si="15"/>
        <v>Power</v>
      </c>
      <c r="R30" t="s">
        <v>805</v>
      </c>
      <c r="T30" s="14" t="s">
        <v>626</v>
      </c>
    </row>
    <row r="31" spans="1:20">
      <c r="A31" t="s">
        <v>21</v>
      </c>
      <c r="D31" t="s">
        <v>100</v>
      </c>
      <c r="E31" t="s">
        <v>3129</v>
      </c>
      <c r="I31" t="s">
        <v>49</v>
      </c>
      <c r="L31" t="s">
        <v>34</v>
      </c>
      <c r="O31" t="s">
        <v>273</v>
      </c>
      <c r="P31" t="str">
        <f t="shared" ref="P31:Q40" si="16">O31</f>
        <v>Pri_Prod</v>
      </c>
      <c r="Q31" t="str">
        <f t="shared" si="16"/>
        <v>Pri_Prod</v>
      </c>
    </row>
    <row r="32" spans="1:20">
      <c r="A32" t="s">
        <v>21</v>
      </c>
      <c r="E32" t="s">
        <v>3652</v>
      </c>
      <c r="J32" t="s">
        <v>3653</v>
      </c>
      <c r="L32" t="s">
        <v>34</v>
      </c>
      <c r="O32" t="s">
        <v>273</v>
      </c>
      <c r="P32" t="str">
        <f t="shared" ref="P32" si="17">O32</f>
        <v>Pri_Prod</v>
      </c>
      <c r="Q32" t="str">
        <f t="shared" ref="Q32" si="18">P32</f>
        <v>Pri_Prod</v>
      </c>
    </row>
    <row r="33" spans="1:18">
      <c r="A33" t="s">
        <v>21</v>
      </c>
      <c r="I33" t="s">
        <v>203</v>
      </c>
      <c r="J33" t="s">
        <v>359</v>
      </c>
      <c r="L33" t="s">
        <v>77</v>
      </c>
      <c r="O33" t="s">
        <v>235</v>
      </c>
      <c r="P33" t="str">
        <f t="shared" si="16"/>
        <v>CO2_emissions</v>
      </c>
      <c r="Q33" t="str">
        <f t="shared" si="16"/>
        <v>CO2_emissions</v>
      </c>
      <c r="R33" t="s">
        <v>192</v>
      </c>
    </row>
    <row r="34" spans="1:18">
      <c r="A34" t="s">
        <v>21</v>
      </c>
      <c r="J34" t="s">
        <v>486</v>
      </c>
      <c r="L34" t="s">
        <v>204</v>
      </c>
      <c r="O34" t="s">
        <v>267</v>
      </c>
      <c r="P34" t="str">
        <f t="shared" si="16"/>
        <v>CO2_captured</v>
      </c>
      <c r="Q34" t="str">
        <f t="shared" si="16"/>
        <v>CO2_captured</v>
      </c>
      <c r="R34" t="s">
        <v>156</v>
      </c>
    </row>
    <row r="35" spans="1:18">
      <c r="A35" t="s">
        <v>38</v>
      </c>
      <c r="J35" t="s">
        <v>42</v>
      </c>
      <c r="L35" t="s">
        <v>204</v>
      </c>
      <c r="O35" t="s">
        <v>267</v>
      </c>
      <c r="P35" t="str">
        <f t="shared" ref="P35" si="19">O35</f>
        <v>CO2_captured</v>
      </c>
      <c r="Q35" t="str">
        <f t="shared" ref="Q35" si="20">P35</f>
        <v>CO2_captured</v>
      </c>
    </row>
    <row r="36" spans="1:18">
      <c r="A36" t="s">
        <v>38</v>
      </c>
      <c r="J36" t="s">
        <v>268</v>
      </c>
      <c r="L36" t="s">
        <v>77</v>
      </c>
      <c r="O36" t="s">
        <v>269</v>
      </c>
      <c r="P36" t="str">
        <f t="shared" si="16"/>
        <v>CO2_Stored</v>
      </c>
      <c r="Q36" t="str">
        <f t="shared" si="16"/>
        <v>CO2_Stored</v>
      </c>
      <c r="R36" t="s">
        <v>156</v>
      </c>
    </row>
    <row r="37" spans="1:18">
      <c r="A37" t="s">
        <v>21</v>
      </c>
      <c r="D37" t="s">
        <v>287</v>
      </c>
      <c r="I37" t="s">
        <v>49</v>
      </c>
      <c r="L37" t="s">
        <v>34</v>
      </c>
      <c r="O37" t="s">
        <v>270</v>
      </c>
      <c r="P37" t="str">
        <f t="shared" si="16"/>
        <v>Pri_Import</v>
      </c>
      <c r="Q37" t="str">
        <f t="shared" si="16"/>
        <v>Pri_Import</v>
      </c>
    </row>
    <row r="38" spans="1:18">
      <c r="A38" t="s">
        <v>21</v>
      </c>
      <c r="E38" t="s">
        <v>650</v>
      </c>
      <c r="J38" t="s">
        <v>651</v>
      </c>
      <c r="L38" t="s">
        <v>34</v>
      </c>
      <c r="O38" t="s">
        <v>270</v>
      </c>
    </row>
    <row r="39" spans="1:18">
      <c r="A39" t="s">
        <v>38</v>
      </c>
      <c r="D39" t="s">
        <v>287</v>
      </c>
      <c r="I39" t="s">
        <v>49</v>
      </c>
      <c r="L39" t="s">
        <v>271</v>
      </c>
      <c r="O39" t="s">
        <v>272</v>
      </c>
      <c r="P39" t="str">
        <f t="shared" si="16"/>
        <v>Pri_Export</v>
      </c>
      <c r="Q39" t="str">
        <f t="shared" si="16"/>
        <v>Pri_Export</v>
      </c>
    </row>
    <row r="40" spans="1:18">
      <c r="A40" t="s">
        <v>23</v>
      </c>
      <c r="B40" t="s">
        <v>283</v>
      </c>
      <c r="I40" t="s">
        <v>49</v>
      </c>
      <c r="J40" t="s">
        <v>674</v>
      </c>
      <c r="L40" t="s">
        <v>33</v>
      </c>
      <c r="O40" t="s">
        <v>285</v>
      </c>
      <c r="P40" t="str">
        <f t="shared" si="16"/>
        <v>Prices</v>
      </c>
      <c r="Q40" t="str">
        <f t="shared" si="16"/>
        <v>Prices</v>
      </c>
      <c r="R40" t="s">
        <v>192</v>
      </c>
    </row>
    <row r="41" spans="1:18">
      <c r="A41" t="s">
        <v>23</v>
      </c>
      <c r="B41" t="s">
        <v>283</v>
      </c>
      <c r="I41" t="s">
        <v>49</v>
      </c>
      <c r="J41" t="s">
        <v>3710</v>
      </c>
      <c r="L41" t="s">
        <v>109</v>
      </c>
      <c r="O41" t="s">
        <v>285</v>
      </c>
      <c r="P41" t="str">
        <f t="shared" ref="P41" si="21">O41</f>
        <v>Prices</v>
      </c>
      <c r="Q41" t="str">
        <f t="shared" ref="Q41" si="22">P41</f>
        <v>Prices</v>
      </c>
      <c r="R41" t="s">
        <v>673</v>
      </c>
    </row>
    <row r="42" spans="1:18">
      <c r="A42" t="s">
        <v>23</v>
      </c>
      <c r="B42" t="s">
        <v>283</v>
      </c>
      <c r="I42" t="s">
        <v>49</v>
      </c>
      <c r="J42" t="s">
        <v>39</v>
      </c>
      <c r="L42" t="s">
        <v>3711</v>
      </c>
      <c r="O42" t="s">
        <v>285</v>
      </c>
      <c r="P42" t="str">
        <f t="shared" ref="P42" si="23">O42</f>
        <v>Prices</v>
      </c>
      <c r="Q42" t="str">
        <f t="shared" ref="Q42" si="24">P42</f>
        <v>Prices</v>
      </c>
      <c r="R42" t="s">
        <v>673</v>
      </c>
    </row>
    <row r="43" spans="1:18">
      <c r="A43" t="s">
        <v>23</v>
      </c>
      <c r="B43" t="s">
        <v>283</v>
      </c>
      <c r="I43" t="s">
        <v>49</v>
      </c>
      <c r="J43" t="s">
        <v>3709</v>
      </c>
      <c r="L43" t="s">
        <v>675</v>
      </c>
      <c r="O43" t="s">
        <v>285</v>
      </c>
    </row>
    <row r="44" spans="1:18">
      <c r="A44" t="s">
        <v>23</v>
      </c>
      <c r="B44" t="s">
        <v>283</v>
      </c>
      <c r="I44" t="s">
        <v>49</v>
      </c>
      <c r="J44" t="s">
        <v>783</v>
      </c>
      <c r="L44" t="s">
        <v>676</v>
      </c>
      <c r="O44" t="s">
        <v>285</v>
      </c>
      <c r="R44" t="s">
        <v>228</v>
      </c>
    </row>
    <row r="45" spans="1:18">
      <c r="A45" t="s">
        <v>23</v>
      </c>
      <c r="B45" t="s">
        <v>283</v>
      </c>
      <c r="I45" t="s">
        <v>203</v>
      </c>
      <c r="J45" t="s">
        <v>42</v>
      </c>
      <c r="L45" t="s">
        <v>284</v>
      </c>
      <c r="O45" t="s">
        <v>285</v>
      </c>
      <c r="P45" t="str">
        <f t="shared" ref="P45" si="25">O45</f>
        <v>Prices</v>
      </c>
      <c r="Q45" t="str">
        <f t="shared" ref="Q45" si="26">P45</f>
        <v>Prices</v>
      </c>
      <c r="R45" t="s">
        <v>192</v>
      </c>
    </row>
    <row r="46" spans="1:18">
      <c r="A46" t="s">
        <v>23</v>
      </c>
      <c r="B46" t="s">
        <v>283</v>
      </c>
      <c r="I46" t="s">
        <v>220</v>
      </c>
      <c r="J46" t="s">
        <v>456</v>
      </c>
      <c r="L46" t="s">
        <v>576</v>
      </c>
      <c r="O46" t="s">
        <v>285</v>
      </c>
      <c r="P46" t="str">
        <f t="shared" ref="P46:P48" si="27">O46</f>
        <v>Prices</v>
      </c>
      <c r="Q46" t="str">
        <f t="shared" ref="Q46:Q48" si="28">P46</f>
        <v>Prices</v>
      </c>
      <c r="R46" t="s">
        <v>192</v>
      </c>
    </row>
    <row r="47" spans="1:18">
      <c r="A47" t="s">
        <v>23</v>
      </c>
      <c r="B47" t="s">
        <v>283</v>
      </c>
      <c r="I47" t="s">
        <v>220</v>
      </c>
      <c r="J47" t="s">
        <v>577</v>
      </c>
      <c r="L47" t="s">
        <v>578</v>
      </c>
      <c r="O47" t="s">
        <v>285</v>
      </c>
      <c r="P47" t="str">
        <f t="shared" si="27"/>
        <v>Prices</v>
      </c>
      <c r="Q47" t="str">
        <f t="shared" si="28"/>
        <v>Prices</v>
      </c>
      <c r="R47" t="s">
        <v>192</v>
      </c>
    </row>
    <row r="48" spans="1:18">
      <c r="A48" t="s">
        <v>23</v>
      </c>
      <c r="B48" t="s">
        <v>283</v>
      </c>
      <c r="I48" t="s">
        <v>220</v>
      </c>
      <c r="J48" s="7" t="s">
        <v>579</v>
      </c>
      <c r="L48" t="s">
        <v>33</v>
      </c>
      <c r="O48" t="s">
        <v>285</v>
      </c>
      <c r="P48" t="str">
        <f t="shared" si="27"/>
        <v>Prices</v>
      </c>
      <c r="Q48" t="str">
        <f t="shared" si="28"/>
        <v>Prices</v>
      </c>
      <c r="R48" t="s">
        <v>192</v>
      </c>
    </row>
    <row r="49" spans="1:18">
      <c r="A49" t="s">
        <v>108</v>
      </c>
      <c r="B49" t="s">
        <v>28</v>
      </c>
      <c r="D49" t="s">
        <v>391</v>
      </c>
      <c r="L49" t="s">
        <v>33</v>
      </c>
      <c r="O49" t="s">
        <v>507</v>
      </c>
      <c r="P49" t="str">
        <f t="shared" ref="P49:P51" si="29">O49</f>
        <v>LCOE</v>
      </c>
      <c r="Q49" t="str">
        <f t="shared" ref="Q49:Q52" si="30">P49</f>
        <v>LCOE</v>
      </c>
    </row>
    <row r="50" spans="1:18">
      <c r="A50" t="s">
        <v>108</v>
      </c>
      <c r="B50" t="s">
        <v>28</v>
      </c>
      <c r="D50" t="s">
        <v>803</v>
      </c>
      <c r="H50" t="s">
        <v>804</v>
      </c>
      <c r="L50" t="s">
        <v>802</v>
      </c>
      <c r="O50" t="s">
        <v>507</v>
      </c>
      <c r="P50" t="str">
        <f t="shared" ref="P50" si="31">O50</f>
        <v>LCOE</v>
      </c>
      <c r="Q50" t="str">
        <f t="shared" ref="Q50" si="32">P50</f>
        <v>LCOE</v>
      </c>
      <c r="R50" t="s">
        <v>156</v>
      </c>
    </row>
    <row r="51" spans="1:18">
      <c r="A51" t="s">
        <v>357</v>
      </c>
      <c r="J51" t="s">
        <v>42</v>
      </c>
      <c r="L51" t="str">
        <f>L36</f>
        <v>kt CO2</v>
      </c>
      <c r="O51" t="s">
        <v>358</v>
      </c>
      <c r="P51" t="str">
        <f t="shared" si="29"/>
        <v>TOTCO2_check</v>
      </c>
      <c r="Q51" t="str">
        <f t="shared" si="30"/>
        <v>TOTCO2_check</v>
      </c>
    </row>
    <row r="52" spans="1:18">
      <c r="A52" t="s">
        <v>375</v>
      </c>
      <c r="L52" t="s">
        <v>27</v>
      </c>
      <c r="O52" t="s">
        <v>631</v>
      </c>
      <c r="P52" t="str">
        <f>O52</f>
        <v>Ann_OBJ</v>
      </c>
      <c r="Q52" t="str">
        <f t="shared" si="30"/>
        <v>Ann_OBJ</v>
      </c>
      <c r="R52" t="s">
        <v>632</v>
      </c>
    </row>
    <row r="53" spans="1:18">
      <c r="A53" t="s">
        <v>21</v>
      </c>
      <c r="D53" t="s">
        <v>100</v>
      </c>
      <c r="E53" t="s">
        <v>383</v>
      </c>
      <c r="L53" t="s">
        <v>34</v>
      </c>
      <c r="O53" t="s">
        <v>384</v>
      </c>
      <c r="P53" t="str">
        <f t="shared" ref="P53:P55" si="33">O53</f>
        <v>Dummy imports</v>
      </c>
      <c r="Q53" t="str">
        <f t="shared" ref="Q53:Q55" si="34">P53</f>
        <v>Dummy imports</v>
      </c>
      <c r="R53" t="s">
        <v>385</v>
      </c>
    </row>
    <row r="54" spans="1:18">
      <c r="A54" t="s">
        <v>21</v>
      </c>
      <c r="D54" t="s">
        <v>668</v>
      </c>
      <c r="H54" t="s">
        <v>669</v>
      </c>
      <c r="L54" t="s">
        <v>34</v>
      </c>
      <c r="O54" t="s">
        <v>670</v>
      </c>
      <c r="P54" t="str">
        <f t="shared" si="33"/>
        <v>LNG_liquefaction</v>
      </c>
      <c r="Q54" t="str">
        <f t="shared" si="34"/>
        <v>LNG_liquefaction</v>
      </c>
    </row>
    <row r="55" spans="1:18">
      <c r="A55" t="s">
        <v>38</v>
      </c>
      <c r="D55" t="s">
        <v>668</v>
      </c>
      <c r="G55" t="s">
        <v>669</v>
      </c>
      <c r="L55" t="s">
        <v>34</v>
      </c>
      <c r="O55" t="s">
        <v>671</v>
      </c>
      <c r="P55" t="str">
        <f t="shared" si="33"/>
        <v>LNG_regasification</v>
      </c>
      <c r="Q55" t="str">
        <f t="shared" si="34"/>
        <v>LNG_regasification</v>
      </c>
    </row>
    <row r="56" spans="1:18">
      <c r="A56" t="s">
        <v>24</v>
      </c>
      <c r="D56" t="s">
        <v>668</v>
      </c>
      <c r="H56" t="s">
        <v>669</v>
      </c>
      <c r="L56" t="s">
        <v>672</v>
      </c>
      <c r="O56" t="str">
        <f>"Cap_"&amp;LEFT(O54,9)</f>
        <v>Cap_LNG_lique</v>
      </c>
    </row>
    <row r="57" spans="1:18">
      <c r="A57" t="s">
        <v>24</v>
      </c>
      <c r="D57" t="s">
        <v>668</v>
      </c>
      <c r="G57" t="s">
        <v>669</v>
      </c>
      <c r="L57" t="s">
        <v>672</v>
      </c>
      <c r="O57" t="str">
        <f>"Cap_"&amp;LEFT(O55,9)</f>
        <v>Cap_LNG_regas</v>
      </c>
    </row>
    <row r="58" spans="1:18">
      <c r="A58" t="s">
        <v>24</v>
      </c>
      <c r="D58" t="s">
        <v>506</v>
      </c>
      <c r="L58" t="s">
        <v>25</v>
      </c>
      <c r="O58" t="str">
        <f>"Stg"&amp;MID(A58,4,10)</f>
        <v>Stg_CAP</v>
      </c>
      <c r="R58" t="s">
        <v>156</v>
      </c>
    </row>
    <row r="59" spans="1:18">
      <c r="A59" t="s">
        <v>658</v>
      </c>
      <c r="D59" t="s">
        <v>506</v>
      </c>
      <c r="L59" t="s">
        <v>34</v>
      </c>
      <c r="O59" t="str">
        <f t="shared" ref="O59:O61" si="35">"Stg"&amp;MID(A59,4,10)</f>
        <v>Stg_ACT</v>
      </c>
      <c r="R59" t="s">
        <v>806</v>
      </c>
    </row>
    <row r="60" spans="1:18">
      <c r="A60" t="s">
        <v>38</v>
      </c>
      <c r="D60" t="s">
        <v>506</v>
      </c>
      <c r="L60" t="s">
        <v>34</v>
      </c>
      <c r="O60" t="str">
        <f t="shared" si="35"/>
        <v>Stg_FIN</v>
      </c>
      <c r="R60" t="s">
        <v>807</v>
      </c>
    </row>
    <row r="61" spans="1:18">
      <c r="A61" t="s">
        <v>21</v>
      </c>
      <c r="D61" t="s">
        <v>506</v>
      </c>
      <c r="L61" t="s">
        <v>34</v>
      </c>
      <c r="O61" t="str">
        <f t="shared" si="35"/>
        <v>Stg_FOUT</v>
      </c>
      <c r="R61" t="s">
        <v>807</v>
      </c>
    </row>
    <row r="62" spans="1:18">
      <c r="A62" t="s">
        <v>38</v>
      </c>
      <c r="E62" t="s">
        <v>3137</v>
      </c>
      <c r="I62" t="s">
        <v>49</v>
      </c>
      <c r="L62" t="s">
        <v>34</v>
      </c>
      <c r="O62" t="s">
        <v>3138</v>
      </c>
      <c r="R62" t="s">
        <v>3139</v>
      </c>
    </row>
    <row r="63" spans="1:18">
      <c r="A63" t="s">
        <v>21</v>
      </c>
      <c r="I63" t="s">
        <v>3625</v>
      </c>
      <c r="L63" t="s">
        <v>3586</v>
      </c>
      <c r="O63" t="str">
        <f>"mat_prod-"&amp;I63</f>
        <v>mat_prod-hotmetal</v>
      </c>
    </row>
    <row r="64" spans="1:18">
      <c r="A64" t="s">
        <v>21</v>
      </c>
      <c r="I64" t="s">
        <v>3627</v>
      </c>
      <c r="L64" t="s">
        <v>3586</v>
      </c>
      <c r="O64" t="str">
        <f t="shared" ref="O64:O65" si="36">"mat_prod-"&amp;I64</f>
        <v>mat_prod-spongeiron</v>
      </c>
    </row>
    <row r="65" spans="1:18">
      <c r="A65" t="s">
        <v>21</v>
      </c>
      <c r="I65" t="s">
        <v>3633</v>
      </c>
      <c r="L65" t="s">
        <v>3586</v>
      </c>
      <c r="O65" t="str">
        <f t="shared" si="36"/>
        <v>mat_prod-crudesteel</v>
      </c>
    </row>
    <row r="66" spans="1:18">
      <c r="A66" t="s">
        <v>38</v>
      </c>
      <c r="I66" t="s">
        <v>3629</v>
      </c>
      <c r="L66" t="s">
        <v>3586</v>
      </c>
      <c r="O66" t="str">
        <f>"mat_cons-"&amp;I66</f>
        <v>mat_cons-ironore</v>
      </c>
    </row>
    <row r="67" spans="1:18">
      <c r="A67" t="s">
        <v>38</v>
      </c>
      <c r="I67" t="s">
        <v>3631</v>
      </c>
      <c r="L67" t="s">
        <v>3586</v>
      </c>
      <c r="O67" t="str">
        <f>"mat_cons-"&amp;I67</f>
        <v>mat_cons-scrap</v>
      </c>
    </row>
    <row r="68" spans="1:18">
      <c r="A68" t="s">
        <v>38</v>
      </c>
      <c r="D68" t="s">
        <v>408</v>
      </c>
      <c r="I68" t="s">
        <v>49</v>
      </c>
      <c r="L68" t="s">
        <v>34</v>
      </c>
      <c r="O68" t="s">
        <v>3648</v>
      </c>
    </row>
    <row r="69" spans="1:18">
      <c r="A69" t="s">
        <v>38</v>
      </c>
      <c r="E69" s="7" t="s">
        <v>3719</v>
      </c>
      <c r="I69" t="s">
        <v>49</v>
      </c>
      <c r="L69" t="s">
        <v>34</v>
      </c>
      <c r="O69" t="s">
        <v>3704</v>
      </c>
      <c r="Q69" t="s">
        <v>3720</v>
      </c>
      <c r="R69" t="s">
        <v>3139</v>
      </c>
    </row>
    <row r="70" spans="1:18">
      <c r="A70" t="s">
        <v>24</v>
      </c>
      <c r="E70" t="s">
        <v>26</v>
      </c>
      <c r="L70" t="s">
        <v>634</v>
      </c>
      <c r="O70" t="s">
        <v>3705</v>
      </c>
      <c r="Q70" t="s">
        <v>3706</v>
      </c>
      <c r="R70" t="s">
        <v>156</v>
      </c>
    </row>
    <row r="71" spans="1:18">
      <c r="A71" t="s">
        <v>357</v>
      </c>
      <c r="I71" t="s">
        <v>203</v>
      </c>
      <c r="J71" t="s">
        <v>3758</v>
      </c>
      <c r="L71" s="7" t="s">
        <v>633</v>
      </c>
      <c r="O71" t="s">
        <v>3759</v>
      </c>
      <c r="Q71" t="s">
        <v>3760</v>
      </c>
      <c r="R71" t="s">
        <v>192</v>
      </c>
    </row>
    <row r="72" spans="1:18">
      <c r="A72" t="s">
        <v>21</v>
      </c>
      <c r="D72" t="s">
        <v>3721</v>
      </c>
      <c r="I72" t="s">
        <v>220</v>
      </c>
      <c r="L72" t="s">
        <v>633</v>
      </c>
      <c r="O72" t="s">
        <v>3722</v>
      </c>
      <c r="Q72" t="s">
        <v>3723</v>
      </c>
      <c r="R72" t="s">
        <v>192</v>
      </c>
    </row>
    <row r="73" spans="1:18">
      <c r="A73" t="s">
        <v>21</v>
      </c>
      <c r="D73" t="s">
        <v>3721</v>
      </c>
      <c r="J73" s="21" t="s">
        <v>3724</v>
      </c>
      <c r="L73" t="s">
        <v>633</v>
      </c>
      <c r="O73" t="s">
        <v>3722</v>
      </c>
      <c r="Q73" t="s">
        <v>3723</v>
      </c>
      <c r="R73" t="s">
        <v>192</v>
      </c>
    </row>
    <row r="74" spans="1:18">
      <c r="A74" t="s">
        <v>3725</v>
      </c>
      <c r="C74">
        <v>2019</v>
      </c>
      <c r="E74" t="s">
        <v>3726</v>
      </c>
      <c r="L74" t="s">
        <v>34</v>
      </c>
      <c r="O74" t="s">
        <v>3727</v>
      </c>
      <c r="Q74" t="s">
        <v>3728</v>
      </c>
      <c r="R74" t="s">
        <v>156</v>
      </c>
    </row>
    <row r="75" spans="1:18">
      <c r="A75" t="s">
        <v>658</v>
      </c>
      <c r="D75" t="s">
        <v>460</v>
      </c>
      <c r="L75" t="s">
        <v>34</v>
      </c>
      <c r="O75" t="s">
        <v>3761</v>
      </c>
    </row>
  </sheetData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0CECA-D923-48D5-BB0F-24A648930476}">
  <sheetPr codeName="Sheet23"/>
  <dimension ref="A1:Y94"/>
  <sheetViews>
    <sheetView tabSelected="1" zoomScaleNormal="100" workbookViewId="0">
      <pane ySplit="2" topLeftCell="A71" activePane="bottomLeft" state="frozen"/>
      <selection pane="bottomLeft" activeCell="J94" sqref="J94"/>
    </sheetView>
  </sheetViews>
  <sheetFormatPr defaultRowHeight="14.25"/>
  <cols>
    <col min="1" max="1" width="13.86328125" bestFit="1" customWidth="1"/>
    <col min="2" max="2" width="40.1328125" customWidth="1"/>
    <col min="3" max="3" width="16.86328125" bestFit="1" customWidth="1"/>
    <col min="4" max="4" width="8.59765625" bestFit="1" customWidth="1"/>
    <col min="5" max="6" width="8.73046875" bestFit="1" customWidth="1"/>
    <col min="7" max="7" width="24.265625" customWidth="1"/>
    <col min="8" max="8" width="21.59765625" bestFit="1" customWidth="1"/>
    <col min="9" max="9" width="8.59765625" bestFit="1" customWidth="1"/>
    <col min="10" max="10" width="7" bestFit="1" customWidth="1"/>
    <col min="11" max="11" width="4.265625" bestFit="1" customWidth="1"/>
    <col min="12" max="12" width="9.265625" bestFit="1" customWidth="1"/>
    <col min="13" max="13" width="27.73046875" bestFit="1" customWidth="1"/>
    <col min="14" max="14" width="5.1328125" bestFit="1" customWidth="1"/>
    <col min="15" max="15" width="18.86328125" customWidth="1"/>
    <col min="16" max="16" width="9.59765625" bestFit="1" customWidth="1"/>
    <col min="17" max="17" width="9.265625" customWidth="1"/>
    <col min="18" max="18" width="11.265625" bestFit="1" customWidth="1"/>
    <col min="19" max="19" width="11.59765625" bestFit="1" customWidth="1"/>
  </cols>
  <sheetData>
    <row r="1" spans="1:18">
      <c r="A1" t="s">
        <v>3147</v>
      </c>
    </row>
    <row r="2" spans="1:18">
      <c r="A2" s="2" t="s">
        <v>85</v>
      </c>
      <c r="B2" s="2" t="s">
        <v>86</v>
      </c>
      <c r="C2" s="2" t="s">
        <v>87</v>
      </c>
      <c r="D2" s="2" t="s">
        <v>91</v>
      </c>
      <c r="E2" s="2" t="s">
        <v>92</v>
      </c>
      <c r="F2" s="2" t="s">
        <v>93</v>
      </c>
      <c r="G2" s="2" t="s">
        <v>88</v>
      </c>
      <c r="H2" s="2" t="s">
        <v>89</v>
      </c>
      <c r="I2" s="2" t="s">
        <v>90</v>
      </c>
      <c r="J2" s="2" t="s">
        <v>0</v>
      </c>
      <c r="K2" s="2" t="s">
        <v>22</v>
      </c>
      <c r="L2" s="2" t="s">
        <v>110</v>
      </c>
      <c r="M2" s="2" t="s">
        <v>3</v>
      </c>
      <c r="N2" s="2" t="s">
        <v>2</v>
      </c>
      <c r="O2" s="2" t="s">
        <v>43</v>
      </c>
      <c r="P2" s="2" t="s">
        <v>251</v>
      </c>
      <c r="Q2" s="2" t="s">
        <v>338</v>
      </c>
      <c r="R2" s="2" t="s">
        <v>625</v>
      </c>
    </row>
    <row r="3" spans="1:18">
      <c r="A3" t="s">
        <v>38</v>
      </c>
      <c r="B3" t="s">
        <v>333</v>
      </c>
      <c r="G3" t="str">
        <f>CSET_Map!H6</f>
        <v>ALLSOL,ALLWIN,ALLHYD,ALLGEO</v>
      </c>
      <c r="J3" t="s">
        <v>34</v>
      </c>
      <c r="M3" t="s">
        <v>334</v>
      </c>
    </row>
    <row r="4" spans="1:18">
      <c r="A4" t="s">
        <v>21</v>
      </c>
      <c r="C4" t="s">
        <v>347</v>
      </c>
      <c r="G4" t="s">
        <v>244</v>
      </c>
      <c r="J4" t="s">
        <v>34</v>
      </c>
      <c r="M4" t="s">
        <v>334</v>
      </c>
    </row>
    <row r="5" spans="1:18">
      <c r="A5" t="s">
        <v>26</v>
      </c>
    </row>
    <row r="6" spans="1:18">
      <c r="A6" t="s">
        <v>38</v>
      </c>
      <c r="B6" t="str">
        <f>PSET_Map!$H$28&amp;","&amp;PSET_Map!$H$56&amp;","&amp;PSET_Map!$H$30</f>
        <v>DMD_AGR,DMD_COM,DMD_RES,DMD_AUTOP,DMD_IND,DMD_Non-En,DMD_TRA-NR,DMD_TRA-R,E_Thermal,E_Thermal-S,E_USHP,E_Renewable,FossilProc,IndProc,BioRef,H2_Exp_LH2,H2_Exp_Amm,H2_Exp_LOHC,H2_Imp_LH2,H2_Imp_Amm,H2_Imp_LOHC,H2_Thermal,H2_Bio,H2_Elec,s_DAC</v>
      </c>
      <c r="C6" s="7" t="s">
        <v>627</v>
      </c>
      <c r="G6" t="str">
        <f>CSET_Map!$H$19</f>
        <v>ALLSOL,ALLWIN,ALLHYD,ALLGEO,ALLBIO,ALLNUC,ALLELC,ALLELCi,ALLH2,ALLCOAL,ALLCOALInd,ALLBIOFliq,ALLBIOFgas,ALLHEAT,ALLOILCrd,ALLOILPrd,ALLGAS</v>
      </c>
      <c r="H6" s="7" t="s">
        <v>624</v>
      </c>
      <c r="J6" t="s">
        <v>271</v>
      </c>
      <c r="M6" t="s">
        <v>331</v>
      </c>
      <c r="R6" t="s">
        <v>626</v>
      </c>
    </row>
    <row r="7" spans="1:18">
      <c r="A7" t="s">
        <v>21</v>
      </c>
      <c r="B7" t="str">
        <f>PSET_Map!$H$56&amp;","&amp;PSET_Map!$H$58</f>
        <v>E_Thermal,E_Thermal-S,E_USHP,E_Renewable,FossilProc,IndProc,BioRef,H2_Exp_LH2,H2_Exp_Amm,H2_Exp_LOHC,H2_Imp_LH2,H2_Imp_Amm,H2_Imp_LOHC,H2_Thermal,H2_Bio,H2_Elec,s_Mining</v>
      </c>
      <c r="C7" s="7" t="s">
        <v>353</v>
      </c>
      <c r="G7" t="str">
        <f>$G$6</f>
        <v>ALLSOL,ALLWIN,ALLHYD,ALLGEO,ALLBIO,ALLNUC,ALLELC,ALLELCi,ALLH2,ALLCOAL,ALLCOALInd,ALLBIOFliq,ALLBIOFgas,ALLHEAT,ALLOILCrd,ALLOILPrd,ALLGAS</v>
      </c>
      <c r="J7" t="s">
        <v>34</v>
      </c>
      <c r="M7" t="s">
        <v>332</v>
      </c>
    </row>
    <row r="8" spans="1:18">
      <c r="A8" t="str">
        <f>A6</f>
        <v>VAR_FIN</v>
      </c>
      <c r="B8" t="str">
        <f t="shared" ref="B8:J8" si="0">B6</f>
        <v>DMD_AGR,DMD_COM,DMD_RES,DMD_AUTOP,DMD_IND,DMD_Non-En,DMD_TRA-NR,DMD_TRA-R,E_Thermal,E_Thermal-S,E_USHP,E_Renewable,FossilProc,IndProc,BioRef,H2_Exp_LH2,H2_Exp_Amm,H2_Exp_LOHC,H2_Imp_LH2,H2_Imp_Amm,H2_Imp_LOHC,H2_Thermal,H2_Bio,H2_Elec,s_DAC</v>
      </c>
      <c r="C8" t="str">
        <f t="shared" si="0"/>
        <v>-EA_HH2*</v>
      </c>
      <c r="G8" t="s">
        <v>247</v>
      </c>
      <c r="H8" t="str">
        <f t="shared" si="0"/>
        <v>-SUP*,-COAOVC,-COATAR,-*BFG,-ELCHH2</v>
      </c>
      <c r="J8" t="str">
        <f t="shared" si="0"/>
        <v>Pjneg</v>
      </c>
      <c r="M8" t="str">
        <f t="shared" ref="M8" si="1">M6</f>
        <v>&lt;cset&gt;_snk_&lt;pset&gt;</v>
      </c>
    </row>
    <row r="9" spans="1:18">
      <c r="A9" t="str">
        <f>A7</f>
        <v>VAR_FOUT</v>
      </c>
      <c r="B9" t="str">
        <f t="shared" ref="B9:J9" si="2">B7</f>
        <v>E_Thermal,E_Thermal-S,E_USHP,E_Renewable,FossilProc,IndProc,BioRef,H2_Exp_LH2,H2_Exp_Amm,H2_Exp_LOHC,H2_Imp_LH2,H2_Imp_Amm,H2_Imp_LOHC,H2_Thermal,H2_Bio,H2_Elec,s_Mining</v>
      </c>
      <c r="C9" t="str">
        <f t="shared" si="2"/>
        <v>-MinRen*,-MinBio*,-MinNuc*</v>
      </c>
      <c r="G9" t="s">
        <v>247</v>
      </c>
      <c r="J9" t="str">
        <f t="shared" si="2"/>
        <v>PJ</v>
      </c>
      <c r="M9" t="str">
        <f t="shared" ref="M9" si="3">M7</f>
        <v>&lt;cset&gt;_src_&lt;pset&gt;</v>
      </c>
    </row>
    <row r="10" spans="1:18">
      <c r="A10" t="s">
        <v>26</v>
      </c>
    </row>
    <row r="11" spans="1:18">
      <c r="A11" t="s">
        <v>38</v>
      </c>
      <c r="B11" t="s">
        <v>287</v>
      </c>
      <c r="G11" t="str">
        <f>CSET_Map!$H$19</f>
        <v>ALLSOL,ALLWIN,ALLHYD,ALLGEO,ALLBIO,ALLNUC,ALLELC,ALLELCi,ALLH2,ALLCOAL,ALLCOALInd,ALLBIOFliq,ALLBIOFgas,ALLHEAT,ALLOILCrd,ALLOILPrd,ALLGAS</v>
      </c>
      <c r="J11" t="s">
        <v>271</v>
      </c>
      <c r="M11" t="s">
        <v>341</v>
      </c>
    </row>
    <row r="12" spans="1:18">
      <c r="A12" t="s">
        <v>21</v>
      </c>
      <c r="B12" t="s">
        <v>287</v>
      </c>
      <c r="G12" t="str">
        <f>CSET_Map!$H$19</f>
        <v>ALLSOL,ALLWIN,ALLHYD,ALLGEO,ALLBIO,ALLNUC,ALLELC,ALLELCi,ALLH2,ALLCOAL,ALLCOALInd,ALLBIOFliq,ALLBIOFgas,ALLHEAT,ALLOILCrd,ALLOILPrd,ALLGAS</v>
      </c>
      <c r="J12" t="s">
        <v>34</v>
      </c>
      <c r="M12" t="s">
        <v>342</v>
      </c>
    </row>
    <row r="13" spans="1:18">
      <c r="A13" t="s">
        <v>26</v>
      </c>
    </row>
    <row r="14" spans="1:18">
      <c r="A14" t="s">
        <v>38</v>
      </c>
      <c r="C14" t="s">
        <v>650</v>
      </c>
      <c r="H14" t="s">
        <v>651</v>
      </c>
      <c r="J14" t="s">
        <v>271</v>
      </c>
      <c r="M14" t="s">
        <v>680</v>
      </c>
    </row>
    <row r="15" spans="1:18">
      <c r="A15" t="s">
        <v>21</v>
      </c>
      <c r="C15" t="str">
        <f>C14</f>
        <v>LNG[_]*</v>
      </c>
      <c r="H15" t="s">
        <v>651</v>
      </c>
      <c r="J15" t="s">
        <v>34</v>
      </c>
      <c r="M15" t="s">
        <v>681</v>
      </c>
    </row>
    <row r="16" spans="1:18">
      <c r="A16" t="s">
        <v>26</v>
      </c>
    </row>
    <row r="17" spans="1:19">
      <c r="A17" t="s">
        <v>38</v>
      </c>
      <c r="G17">
        <f>CSET_Map!$H$18</f>
        <v>0</v>
      </c>
      <c r="H17" t="s">
        <v>234</v>
      </c>
      <c r="J17" t="s">
        <v>271</v>
      </c>
      <c r="M17" t="s">
        <v>514</v>
      </c>
    </row>
    <row r="18" spans="1:19">
      <c r="A18" t="s">
        <v>38</v>
      </c>
      <c r="G18" t="s">
        <v>247</v>
      </c>
      <c r="H18" t="s">
        <v>234</v>
      </c>
      <c r="J18" t="s">
        <v>271</v>
      </c>
      <c r="M18" t="s">
        <v>514</v>
      </c>
    </row>
    <row r="19" spans="1:19">
      <c r="A19" t="s">
        <v>26</v>
      </c>
    </row>
    <row r="20" spans="1:19">
      <c r="A20" t="s">
        <v>21</v>
      </c>
      <c r="H20" t="s">
        <v>784</v>
      </c>
      <c r="J20" t="s">
        <v>271</v>
      </c>
      <c r="M20" t="s">
        <v>785</v>
      </c>
    </row>
    <row r="21" spans="1:19">
      <c r="A21" t="s">
        <v>21</v>
      </c>
      <c r="H21" t="s">
        <v>784</v>
      </c>
      <c r="J21" t="s">
        <v>271</v>
      </c>
      <c r="M21" s="7" t="s">
        <v>788</v>
      </c>
    </row>
    <row r="25" spans="1:19">
      <c r="A25" t="s">
        <v>3140</v>
      </c>
    </row>
    <row r="26" spans="1:19">
      <c r="A26" t="s">
        <v>85</v>
      </c>
      <c r="B26" t="s">
        <v>86</v>
      </c>
      <c r="C26" t="s">
        <v>87</v>
      </c>
      <c r="D26" t="s">
        <v>91</v>
      </c>
      <c r="E26" t="s">
        <v>92</v>
      </c>
      <c r="F26" t="s">
        <v>93</v>
      </c>
      <c r="G26" t="s">
        <v>88</v>
      </c>
      <c r="H26" t="s">
        <v>89</v>
      </c>
      <c r="I26" t="s">
        <v>90</v>
      </c>
      <c r="J26" t="s">
        <v>0</v>
      </c>
      <c r="K26" t="s">
        <v>22</v>
      </c>
      <c r="L26" t="s">
        <v>110</v>
      </c>
      <c r="M26" t="s">
        <v>3</v>
      </c>
      <c r="N26" t="s">
        <v>2</v>
      </c>
      <c r="O26" t="s">
        <v>43</v>
      </c>
      <c r="P26" t="s">
        <v>251</v>
      </c>
      <c r="Q26" t="s">
        <v>338</v>
      </c>
      <c r="R26" t="s">
        <v>625</v>
      </c>
      <c r="S26" t="s">
        <v>3141</v>
      </c>
    </row>
    <row r="27" spans="1:19">
      <c r="A27" t="s">
        <v>38</v>
      </c>
      <c r="B27" t="s">
        <v>100</v>
      </c>
      <c r="C27" t="s">
        <v>3142</v>
      </c>
      <c r="H27" t="s">
        <v>651</v>
      </c>
      <c r="J27" t="s">
        <v>271</v>
      </c>
      <c r="M27" t="s">
        <v>3143</v>
      </c>
      <c r="O27" t="s">
        <v>3144</v>
      </c>
      <c r="P27" t="s">
        <v>192</v>
      </c>
      <c r="S27">
        <v>-1</v>
      </c>
    </row>
    <row r="28" spans="1:19">
      <c r="A28" t="s">
        <v>21</v>
      </c>
      <c r="B28" t="s">
        <v>100</v>
      </c>
      <c r="C28" t="s">
        <v>3142</v>
      </c>
      <c r="H28" t="s">
        <v>651</v>
      </c>
      <c r="J28" t="s">
        <v>34</v>
      </c>
      <c r="M28" t="s">
        <v>3707</v>
      </c>
      <c r="O28" t="s">
        <v>3145</v>
      </c>
      <c r="P28" t="s">
        <v>192</v>
      </c>
      <c r="S28">
        <v>-1</v>
      </c>
    </row>
    <row r="29" spans="1:19">
      <c r="A29" t="s">
        <v>38</v>
      </c>
      <c r="B29" t="s">
        <v>668</v>
      </c>
      <c r="F29" t="s">
        <v>669</v>
      </c>
      <c r="H29" t="s">
        <v>651</v>
      </c>
      <c r="J29" t="s">
        <v>271</v>
      </c>
      <c r="M29" t="s">
        <v>3143</v>
      </c>
      <c r="O29" t="s">
        <v>3146</v>
      </c>
      <c r="P29" t="s">
        <v>192</v>
      </c>
      <c r="S29">
        <v>-1</v>
      </c>
    </row>
    <row r="30" spans="1:19">
      <c r="A30" t="s">
        <v>21</v>
      </c>
      <c r="B30" t="s">
        <v>668</v>
      </c>
      <c r="E30" t="s">
        <v>669</v>
      </c>
      <c r="H30" t="s">
        <v>651</v>
      </c>
      <c r="J30" t="s">
        <v>34</v>
      </c>
      <c r="M30" t="s">
        <v>3707</v>
      </c>
      <c r="O30" t="s">
        <v>3148</v>
      </c>
      <c r="P30" t="s">
        <v>192</v>
      </c>
      <c r="S30">
        <v>-1</v>
      </c>
    </row>
    <row r="31" spans="1:19">
      <c r="A31" t="s">
        <v>26</v>
      </c>
    </row>
    <row r="32" spans="1:19">
      <c r="A32" t="s">
        <v>38</v>
      </c>
      <c r="B32" t="s">
        <v>668</v>
      </c>
      <c r="H32" t="s">
        <v>669</v>
      </c>
      <c r="J32" t="s">
        <v>271</v>
      </c>
      <c r="M32" t="s">
        <v>3153</v>
      </c>
      <c r="O32" t="s">
        <v>3146</v>
      </c>
      <c r="P32" t="s">
        <v>192</v>
      </c>
      <c r="S32">
        <v>-1</v>
      </c>
    </row>
    <row r="33" spans="1:19">
      <c r="A33" t="s">
        <v>21</v>
      </c>
      <c r="B33" t="s">
        <v>668</v>
      </c>
      <c r="H33" t="s">
        <v>669</v>
      </c>
      <c r="J33" t="s">
        <v>34</v>
      </c>
      <c r="M33" t="s">
        <v>3152</v>
      </c>
      <c r="O33" t="s">
        <v>3148</v>
      </c>
      <c r="P33" t="s">
        <v>192</v>
      </c>
      <c r="S33">
        <v>-1</v>
      </c>
    </row>
    <row r="37" spans="1:19">
      <c r="A37" t="s">
        <v>3149</v>
      </c>
    </row>
    <row r="38" spans="1:19">
      <c r="A38" t="s">
        <v>85</v>
      </c>
      <c r="B38" t="s">
        <v>86</v>
      </c>
      <c r="C38" t="s">
        <v>87</v>
      </c>
      <c r="D38" t="s">
        <v>91</v>
      </c>
      <c r="E38" t="s">
        <v>92</v>
      </c>
      <c r="F38" t="s">
        <v>93</v>
      </c>
      <c r="G38" t="s">
        <v>88</v>
      </c>
      <c r="H38" t="s">
        <v>89</v>
      </c>
      <c r="I38" t="s">
        <v>90</v>
      </c>
      <c r="J38" t="s">
        <v>0</v>
      </c>
      <c r="K38" t="s">
        <v>22</v>
      </c>
      <c r="L38" t="s">
        <v>110</v>
      </c>
      <c r="M38" t="s">
        <v>3</v>
      </c>
      <c r="N38" t="s">
        <v>2</v>
      </c>
      <c r="O38" t="s">
        <v>43</v>
      </c>
      <c r="P38" t="s">
        <v>251</v>
      </c>
      <c r="Q38" t="s">
        <v>338</v>
      </c>
      <c r="R38" t="s">
        <v>625</v>
      </c>
      <c r="S38" t="s">
        <v>3141</v>
      </c>
    </row>
    <row r="39" spans="1:19">
      <c r="A39" t="s">
        <v>38</v>
      </c>
      <c r="B39" t="s">
        <v>100</v>
      </c>
      <c r="C39" s="7" t="s">
        <v>3151</v>
      </c>
      <c r="H39" t="s">
        <v>3124</v>
      </c>
      <c r="J39" t="s">
        <v>271</v>
      </c>
      <c r="M39" t="s">
        <v>3150</v>
      </c>
      <c r="S39">
        <v>-1</v>
      </c>
    </row>
    <row r="40" spans="1:19">
      <c r="A40" t="s">
        <v>21</v>
      </c>
      <c r="B40" t="s">
        <v>100</v>
      </c>
      <c r="C40" s="7" t="s">
        <v>3151</v>
      </c>
      <c r="H40" t="s">
        <v>3124</v>
      </c>
      <c r="J40" t="s">
        <v>34</v>
      </c>
      <c r="M40" t="s">
        <v>3708</v>
      </c>
      <c r="S40">
        <v>-1</v>
      </c>
    </row>
    <row r="44" spans="1:19">
      <c r="A44" t="s">
        <v>3154</v>
      </c>
    </row>
    <row r="45" spans="1:19">
      <c r="A45" t="s">
        <v>85</v>
      </c>
      <c r="B45" t="s">
        <v>86</v>
      </c>
      <c r="C45" t="s">
        <v>87</v>
      </c>
      <c r="D45" t="s">
        <v>91</v>
      </c>
      <c r="E45" t="s">
        <v>92</v>
      </c>
      <c r="F45" t="s">
        <v>93</v>
      </c>
      <c r="G45" t="s">
        <v>88</v>
      </c>
      <c r="H45" t="s">
        <v>89</v>
      </c>
      <c r="I45" t="s">
        <v>90</v>
      </c>
      <c r="J45" t="s">
        <v>0</v>
      </c>
      <c r="K45" t="s">
        <v>22</v>
      </c>
      <c r="L45" t="s">
        <v>110</v>
      </c>
      <c r="M45" t="s">
        <v>3</v>
      </c>
      <c r="N45" t="s">
        <v>2</v>
      </c>
      <c r="O45" t="s">
        <v>43</v>
      </c>
      <c r="P45" t="s">
        <v>251</v>
      </c>
      <c r="Q45" t="s">
        <v>338</v>
      </c>
      <c r="R45" t="s">
        <v>625</v>
      </c>
    </row>
    <row r="46" spans="1:19">
      <c r="A46" t="s">
        <v>26</v>
      </c>
      <c r="B46" t="s">
        <v>668</v>
      </c>
      <c r="F46" t="s">
        <v>3155</v>
      </c>
      <c r="G46" t="s">
        <v>49</v>
      </c>
      <c r="J46" t="s">
        <v>34</v>
      </c>
      <c r="M46" t="s">
        <v>3156</v>
      </c>
      <c r="O46" t="s">
        <v>3157</v>
      </c>
    </row>
    <row r="47" spans="1:19">
      <c r="A47" t="s">
        <v>26</v>
      </c>
      <c r="B47" t="s">
        <v>668</v>
      </c>
      <c r="F47" t="s">
        <v>3155</v>
      </c>
      <c r="G47" t="s">
        <v>49</v>
      </c>
      <c r="J47" t="s">
        <v>34</v>
      </c>
      <c r="M47" t="s">
        <v>3158</v>
      </c>
      <c r="O47" t="s">
        <v>3159</v>
      </c>
    </row>
    <row r="48" spans="1:19">
      <c r="A48" t="s">
        <v>26</v>
      </c>
    </row>
    <row r="49" spans="1:18">
      <c r="A49" t="s">
        <v>38</v>
      </c>
      <c r="B49" t="str">
        <f>PSET_Map!$H$96</f>
        <v>DMD_AGR,DMD_CCK,DMD_CHW,DMD_CLA,DMD_CAP,DMD_CSC,DMD_CSH,DMD_ICH,DMD_ICH-fStock,IndSerT_STM,IndSerT_PRH,IndSerT_PRC,IndSerT_MDR,IndSerT_ECP,IndSerT_OTP,IndSerT_SPC,IndSerT_LIG,IndSerT_OTH,DMD_ONO,DMD_RAP,DMD_RCK,DMD_RHW,DMD_RLI,DMD_RSC,DMD_RSH,DMD_TAD,DMD_TAI,DMD_Trd_2w,DMD_Trd_3w,DMD_Trd_Bus,DMD_Trd_Car,DMD_Trd_Hdt,DMD_Trd_Lcv,DMD_TTF,DMD_TTP,DMD_TWD,DMD_TWI</v>
      </c>
      <c r="E49" t="s">
        <v>3155</v>
      </c>
      <c r="G49" t="s">
        <v>49</v>
      </c>
      <c r="J49" t="s">
        <v>34</v>
      </c>
      <c r="M49" t="s">
        <v>3160</v>
      </c>
      <c r="O49" t="s">
        <v>3161</v>
      </c>
    </row>
    <row r="50" spans="1:18">
      <c r="A50" t="s">
        <v>21</v>
      </c>
      <c r="B50" t="str">
        <f>PSET_Map!$H$96</f>
        <v>DMD_AGR,DMD_CCK,DMD_CHW,DMD_CLA,DMD_CAP,DMD_CSC,DMD_CSH,DMD_ICH,DMD_ICH-fStock,IndSerT_STM,IndSerT_PRH,IndSerT_PRC,IndSerT_MDR,IndSerT_ECP,IndSerT_OTP,IndSerT_SPC,IndSerT_LIG,IndSerT_OTH,DMD_ONO,DMD_RAP,DMD_RCK,DMD_RHW,DMD_RLI,DMD_RSC,DMD_RSH,DMD_TAD,DMD_TAI,DMD_Trd_2w,DMD_Trd_3w,DMD_Trd_Bus,DMD_Trd_Car,DMD_Trd_Hdt,DMD_Trd_Lcv,DMD_TTF,DMD_TTP,DMD_TWD,DMD_TWI</v>
      </c>
      <c r="E50" t="s">
        <v>3155</v>
      </c>
      <c r="G50" t="s">
        <v>220</v>
      </c>
      <c r="J50" t="s">
        <v>34</v>
      </c>
      <c r="M50" t="s">
        <v>3162</v>
      </c>
      <c r="O50" t="s">
        <v>3163</v>
      </c>
    </row>
    <row r="53" spans="1:18">
      <c r="A53" t="s">
        <v>3164</v>
      </c>
    </row>
    <row r="54" spans="1:18">
      <c r="A54" t="s">
        <v>85</v>
      </c>
      <c r="B54" t="s">
        <v>86</v>
      </c>
      <c r="C54" t="s">
        <v>87</v>
      </c>
      <c r="D54" t="s">
        <v>91</v>
      </c>
      <c r="E54" t="s">
        <v>92</v>
      </c>
      <c r="F54" t="s">
        <v>93</v>
      </c>
      <c r="G54" t="s">
        <v>88</v>
      </c>
      <c r="H54" t="s">
        <v>89</v>
      </c>
      <c r="I54" t="s">
        <v>90</v>
      </c>
      <c r="J54" t="s">
        <v>0</v>
      </c>
      <c r="K54" t="s">
        <v>22</v>
      </c>
      <c r="L54" t="s">
        <v>110</v>
      </c>
      <c r="M54" t="s">
        <v>3</v>
      </c>
      <c r="N54" t="s">
        <v>2</v>
      </c>
      <c r="O54" t="s">
        <v>43</v>
      </c>
      <c r="P54" t="s">
        <v>251</v>
      </c>
      <c r="Q54" t="s">
        <v>338</v>
      </c>
      <c r="R54" t="s">
        <v>625</v>
      </c>
    </row>
    <row r="55" spans="1:18">
      <c r="A55" t="s">
        <v>38</v>
      </c>
      <c r="B55" t="s">
        <v>3165</v>
      </c>
      <c r="C55" t="s">
        <v>3166</v>
      </c>
      <c r="F55" t="s">
        <v>3167</v>
      </c>
      <c r="G55" t="s">
        <v>49</v>
      </c>
      <c r="J55" t="s">
        <v>34</v>
      </c>
      <c r="M55" t="s">
        <v>3156</v>
      </c>
      <c r="O55" t="s">
        <v>3157</v>
      </c>
    </row>
    <row r="56" spans="1:18">
      <c r="A56" t="s">
        <v>21</v>
      </c>
      <c r="B56" t="s">
        <v>3165</v>
      </c>
      <c r="C56" t="s">
        <v>3166</v>
      </c>
      <c r="F56" t="s">
        <v>3167</v>
      </c>
      <c r="G56" t="s">
        <v>49</v>
      </c>
      <c r="H56" t="s">
        <v>3168</v>
      </c>
      <c r="J56" t="s">
        <v>34</v>
      </c>
      <c r="M56" t="s">
        <v>3158</v>
      </c>
      <c r="O56" t="s">
        <v>3159</v>
      </c>
    </row>
    <row r="57" spans="1:18">
      <c r="A57" t="s">
        <v>21</v>
      </c>
      <c r="B57" t="s">
        <v>506</v>
      </c>
      <c r="E57" t="s">
        <v>3169</v>
      </c>
      <c r="F57" t="s">
        <v>3124</v>
      </c>
      <c r="G57" t="s">
        <v>49</v>
      </c>
      <c r="H57" t="s">
        <v>3124</v>
      </c>
      <c r="J57" t="s">
        <v>34</v>
      </c>
      <c r="M57" t="s">
        <v>3170</v>
      </c>
      <c r="O57" t="s">
        <v>3171</v>
      </c>
    </row>
    <row r="58" spans="1:18">
      <c r="A58" t="s">
        <v>26</v>
      </c>
    </row>
    <row r="59" spans="1:18">
      <c r="A59" t="s">
        <v>38</v>
      </c>
      <c r="B59" t="str">
        <f>PSET_Map!$H$96</f>
        <v>DMD_AGR,DMD_CCK,DMD_CHW,DMD_CLA,DMD_CAP,DMD_CSC,DMD_CSH,DMD_ICH,DMD_ICH-fStock,IndSerT_STM,IndSerT_PRH,IndSerT_PRC,IndSerT_MDR,IndSerT_ECP,IndSerT_OTP,IndSerT_SPC,IndSerT_LIG,IndSerT_OTH,DMD_ONO,DMD_RAP,DMD_RCK,DMD_RHW,DMD_RLI,DMD_RSC,DMD_RSH,DMD_TAD,DMD_TAI,DMD_Trd_2w,DMD_Trd_3w,DMD_Trd_Bus,DMD_Trd_Car,DMD_Trd_Hdt,DMD_Trd_Lcv,DMD_TTF,DMD_TTP,DMD_TWD,DMD_TWI</v>
      </c>
      <c r="E59" t="s">
        <v>3167</v>
      </c>
      <c r="F59" t="s">
        <v>3172</v>
      </c>
      <c r="G59" t="s">
        <v>49</v>
      </c>
      <c r="J59" t="s">
        <v>34</v>
      </c>
      <c r="M59" t="s">
        <v>3160</v>
      </c>
      <c r="O59" t="s">
        <v>3173</v>
      </c>
    </row>
    <row r="60" spans="1:18">
      <c r="A60" t="s">
        <v>21</v>
      </c>
      <c r="B60" t="str">
        <f>PSET_Map!$H$96</f>
        <v>DMD_AGR,DMD_CCK,DMD_CHW,DMD_CLA,DMD_CAP,DMD_CSC,DMD_CSH,DMD_ICH,DMD_ICH-fStock,IndSerT_STM,IndSerT_PRH,IndSerT_PRC,IndSerT_MDR,IndSerT_ECP,IndSerT_OTP,IndSerT_SPC,IndSerT_LIG,IndSerT_OTH,DMD_ONO,DMD_RAP,DMD_RCK,DMD_RHW,DMD_RLI,DMD_RSC,DMD_RSH,DMD_TAD,DMD_TAI,DMD_Trd_2w,DMD_Trd_3w,DMD_Trd_Bus,DMD_Trd_Car,DMD_Trd_Hdt,DMD_Trd_Lcv,DMD_TTF,DMD_TTP,DMD_TWD,DMD_TWI</v>
      </c>
      <c r="E60" t="s">
        <v>3174</v>
      </c>
      <c r="F60" t="s">
        <v>3172</v>
      </c>
      <c r="G60" t="s">
        <v>220</v>
      </c>
      <c r="J60" t="s">
        <v>3175</v>
      </c>
      <c r="M60" t="s">
        <v>3162</v>
      </c>
      <c r="O60" t="s">
        <v>3163</v>
      </c>
    </row>
    <row r="61" spans="1:18">
      <c r="A61" t="s">
        <v>26</v>
      </c>
    </row>
    <row r="62" spans="1:18">
      <c r="A62" t="s">
        <v>38</v>
      </c>
      <c r="B62" t="s">
        <v>113</v>
      </c>
      <c r="E62" t="s">
        <v>3167</v>
      </c>
      <c r="F62" t="s">
        <v>3176</v>
      </c>
      <c r="G62" t="s">
        <v>49</v>
      </c>
      <c r="J62" t="s">
        <v>34</v>
      </c>
      <c r="M62" t="s">
        <v>3177</v>
      </c>
      <c r="O62" t="s">
        <v>3178</v>
      </c>
    </row>
    <row r="63" spans="1:18">
      <c r="A63" t="s">
        <v>38</v>
      </c>
      <c r="B63" t="s">
        <v>113</v>
      </c>
      <c r="E63" t="s">
        <v>3167</v>
      </c>
      <c r="F63" t="s">
        <v>3179</v>
      </c>
      <c r="G63" t="s">
        <v>49</v>
      </c>
      <c r="J63" t="s">
        <v>34</v>
      </c>
      <c r="M63" t="s">
        <v>3180</v>
      </c>
      <c r="O63" t="s">
        <v>3178</v>
      </c>
    </row>
    <row r="64" spans="1:18">
      <c r="A64" t="s">
        <v>38</v>
      </c>
      <c r="B64" t="s">
        <v>113</v>
      </c>
      <c r="E64" t="s">
        <v>3167</v>
      </c>
      <c r="F64" t="s">
        <v>3181</v>
      </c>
      <c r="G64" t="s">
        <v>49</v>
      </c>
      <c r="J64" t="s">
        <v>34</v>
      </c>
      <c r="M64" t="s">
        <v>3182</v>
      </c>
      <c r="O64" t="s">
        <v>3178</v>
      </c>
    </row>
    <row r="67" spans="1:25">
      <c r="A67" t="s">
        <v>3679</v>
      </c>
    </row>
    <row r="68" spans="1:25">
      <c r="A68" t="s">
        <v>85</v>
      </c>
      <c r="B68" t="s">
        <v>86</v>
      </c>
      <c r="C68" t="s">
        <v>87</v>
      </c>
      <c r="D68" t="s">
        <v>91</v>
      </c>
      <c r="E68" t="s">
        <v>92</v>
      </c>
      <c r="F68" t="s">
        <v>93</v>
      </c>
      <c r="G68" t="s">
        <v>88</v>
      </c>
      <c r="H68" t="s">
        <v>89</v>
      </c>
      <c r="I68" t="s">
        <v>90</v>
      </c>
      <c r="J68" t="s">
        <v>0</v>
      </c>
      <c r="K68" t="s">
        <v>22</v>
      </c>
      <c r="L68" t="s">
        <v>110</v>
      </c>
      <c r="M68" t="s">
        <v>3</v>
      </c>
      <c r="N68" t="s">
        <v>2</v>
      </c>
      <c r="O68" t="s">
        <v>43</v>
      </c>
      <c r="P68" t="s">
        <v>251</v>
      </c>
      <c r="Q68" t="s">
        <v>338</v>
      </c>
      <c r="R68" t="s">
        <v>625</v>
      </c>
    </row>
    <row r="69" spans="1:25">
      <c r="A69" t="s">
        <v>38</v>
      </c>
      <c r="B69" t="str">
        <f>PSET_Map!$H$96</f>
        <v>DMD_AGR,DMD_CCK,DMD_CHW,DMD_CLA,DMD_CAP,DMD_CSC,DMD_CSH,DMD_ICH,DMD_ICH-fStock,IndSerT_STM,IndSerT_PRH,IndSerT_PRC,IndSerT_MDR,IndSerT_ECP,IndSerT_OTP,IndSerT_SPC,IndSerT_LIG,IndSerT_OTH,DMD_ONO,DMD_RAP,DMD_RCK,DMD_RHW,DMD_RLI,DMD_RSC,DMD_RSH,DMD_TAD,DMD_TAI,DMD_Trd_2w,DMD_Trd_3w,DMD_Trd_Bus,DMD_Trd_Car,DMD_Trd_Hdt,DMD_Trd_Lcv,DMD_TTF,DMD_TTP,DMD_TWD,DMD_TWI</v>
      </c>
      <c r="E69" t="s">
        <v>3680</v>
      </c>
      <c r="G69" t="s">
        <v>49</v>
      </c>
      <c r="J69" t="s">
        <v>34</v>
      </c>
      <c r="M69" t="s">
        <v>3160</v>
      </c>
      <c r="O69" t="s">
        <v>3161</v>
      </c>
    </row>
    <row r="70" spans="1:25">
      <c r="A70" t="s">
        <v>21</v>
      </c>
      <c r="B70" t="str">
        <f>PSET_Map!$H$96</f>
        <v>DMD_AGR,DMD_CCK,DMD_CHW,DMD_CLA,DMD_CAP,DMD_CSC,DMD_CSH,DMD_ICH,DMD_ICH-fStock,IndSerT_STM,IndSerT_PRH,IndSerT_PRC,IndSerT_MDR,IndSerT_ECP,IndSerT_OTP,IndSerT_SPC,IndSerT_LIG,IndSerT_OTH,DMD_ONO,DMD_RAP,DMD_RCK,DMD_RHW,DMD_RLI,DMD_RSC,DMD_RSH,DMD_TAD,DMD_TAI,DMD_Trd_2w,DMD_Trd_3w,DMD_Trd_Bus,DMD_Trd_Car,DMD_Trd_Hdt,DMD_Trd_Lcv,DMD_TTF,DMD_TTP,DMD_TWD,DMD_TWI</v>
      </c>
      <c r="G70" t="str">
        <f>CSET_Map!$H$29</f>
        <v>IndSer_STM,IndSer_PRH,IndSer_PRC,IndSer_MDR,IndSer_ECP,IndSer_OTP,IndSer_SPC,IndSer_LIG,IndSer_OTH</v>
      </c>
      <c r="J70" t="s">
        <v>34</v>
      </c>
      <c r="M70" t="s">
        <v>332</v>
      </c>
      <c r="O70" t="s">
        <v>3681</v>
      </c>
    </row>
    <row r="71" spans="1:25">
      <c r="A71" t="s">
        <v>38</v>
      </c>
      <c r="B71" t="s">
        <v>113</v>
      </c>
      <c r="G71" t="str">
        <f>G70</f>
        <v>IndSer_STM,IndSer_PRH,IndSer_PRC,IndSer_MDR,IndSer_ECP,IndSer_OTP,IndSer_SPC,IndSer_LIG,IndSer_OTH</v>
      </c>
      <c r="J71" t="s">
        <v>34</v>
      </c>
      <c r="M71" t="s">
        <v>3682</v>
      </c>
      <c r="O71" t="s">
        <v>3683</v>
      </c>
    </row>
    <row r="74" spans="1:25">
      <c r="A74" t="s">
        <v>3735</v>
      </c>
    </row>
    <row r="75" spans="1:25">
      <c r="A75" t="s">
        <v>85</v>
      </c>
      <c r="B75" t="s">
        <v>86</v>
      </c>
      <c r="C75" t="s">
        <v>87</v>
      </c>
      <c r="D75" t="s">
        <v>91</v>
      </c>
      <c r="E75" t="s">
        <v>92</v>
      </c>
      <c r="F75" t="s">
        <v>93</v>
      </c>
      <c r="G75" t="s">
        <v>88</v>
      </c>
      <c r="H75" t="s">
        <v>89</v>
      </c>
      <c r="I75" t="s">
        <v>90</v>
      </c>
      <c r="J75" t="s">
        <v>0</v>
      </c>
      <c r="K75" t="s">
        <v>22</v>
      </c>
      <c r="L75" t="s">
        <v>110</v>
      </c>
      <c r="M75" t="s">
        <v>3</v>
      </c>
      <c r="N75" t="s">
        <v>2</v>
      </c>
      <c r="O75" t="s">
        <v>43</v>
      </c>
      <c r="P75" t="s">
        <v>251</v>
      </c>
      <c r="Q75" t="s">
        <v>338</v>
      </c>
      <c r="R75" t="s">
        <v>625</v>
      </c>
      <c r="S75" t="s">
        <v>3141</v>
      </c>
      <c r="W75" t="s">
        <v>116</v>
      </c>
    </row>
    <row r="76" spans="1:25">
      <c r="A76" t="s">
        <v>21</v>
      </c>
      <c r="B76" s="7" t="s">
        <v>516</v>
      </c>
      <c r="C76" s="7" t="s">
        <v>3736</v>
      </c>
      <c r="G76" t="s">
        <v>49</v>
      </c>
      <c r="H76" t="s">
        <v>3737</v>
      </c>
      <c r="J76" t="s">
        <v>633</v>
      </c>
      <c r="M76" t="s">
        <v>3738</v>
      </c>
      <c r="Q76" t="s">
        <v>3139</v>
      </c>
      <c r="R76" t="s">
        <v>626</v>
      </c>
      <c r="S76">
        <v>-1</v>
      </c>
      <c r="W76" t="s">
        <v>117</v>
      </c>
      <c r="X76" t="s">
        <v>2</v>
      </c>
      <c r="Y76" t="s">
        <v>43</v>
      </c>
    </row>
    <row r="77" spans="1:25">
      <c r="A77" t="s">
        <v>38</v>
      </c>
      <c r="B77" s="7" t="s">
        <v>3739</v>
      </c>
      <c r="C77" s="7" t="s">
        <v>3736</v>
      </c>
      <c r="G77" t="s">
        <v>49</v>
      </c>
      <c r="H77" t="s">
        <v>3737</v>
      </c>
      <c r="J77" t="s">
        <v>633</v>
      </c>
      <c r="M77" t="s">
        <v>3740</v>
      </c>
      <c r="Q77" t="s">
        <v>3139</v>
      </c>
      <c r="R77" t="s">
        <v>626</v>
      </c>
      <c r="S77">
        <v>-1</v>
      </c>
      <c r="W77" t="s">
        <v>3752</v>
      </c>
      <c r="X77" t="s">
        <v>3753</v>
      </c>
    </row>
    <row r="78" spans="1:25">
      <c r="A78" t="s">
        <v>38</v>
      </c>
      <c r="B78" s="7" t="str">
        <f>_xlfn.TEXTJOIN(",",TRUE,$W$77:$W$79)</f>
        <v>FinCon_OIL,FinCon_GAS,FinCon_Power-Energy</v>
      </c>
      <c r="C78" s="7"/>
      <c r="G78" t="s">
        <v>49</v>
      </c>
      <c r="H78" t="s">
        <v>3737</v>
      </c>
      <c r="J78" t="s">
        <v>633</v>
      </c>
      <c r="M78" t="s">
        <v>3741</v>
      </c>
      <c r="Q78" t="s">
        <v>3139</v>
      </c>
      <c r="S78">
        <v>-1</v>
      </c>
      <c r="W78" t="s">
        <v>3754</v>
      </c>
      <c r="X78" t="s">
        <v>3755</v>
      </c>
    </row>
    <row r="79" spans="1:25">
      <c r="A79" t="s">
        <v>26</v>
      </c>
      <c r="B79" s="7"/>
      <c r="C79" s="7"/>
      <c r="W79" t="s">
        <v>3756</v>
      </c>
      <c r="X79" t="s">
        <v>3757</v>
      </c>
    </row>
    <row r="80" spans="1:25">
      <c r="A80" t="s">
        <v>21</v>
      </c>
      <c r="B80" s="7" t="s">
        <v>100</v>
      </c>
      <c r="C80" s="7" t="s">
        <v>3736</v>
      </c>
      <c r="G80" t="s">
        <v>49</v>
      </c>
      <c r="H80" t="s">
        <v>3737</v>
      </c>
      <c r="J80" t="s">
        <v>633</v>
      </c>
      <c r="M80" t="s">
        <v>3742</v>
      </c>
      <c r="Q80" t="s">
        <v>3139</v>
      </c>
      <c r="S80">
        <v>-1</v>
      </c>
    </row>
    <row r="81" spans="1:21">
      <c r="A81" t="s">
        <v>38</v>
      </c>
      <c r="B81" s="7" t="s">
        <v>100</v>
      </c>
      <c r="C81" s="7" t="s">
        <v>3736</v>
      </c>
      <c r="G81" t="s">
        <v>49</v>
      </c>
      <c r="H81" t="s">
        <v>3737</v>
      </c>
      <c r="J81" t="s">
        <v>633</v>
      </c>
      <c r="M81" t="s">
        <v>3743</v>
      </c>
      <c r="Q81" t="s">
        <v>3139</v>
      </c>
      <c r="S81">
        <v>-1</v>
      </c>
    </row>
    <row r="82" spans="1:21">
      <c r="A82" t="s">
        <v>26</v>
      </c>
    </row>
    <row r="83" spans="1:21">
      <c r="A83" t="s">
        <v>21</v>
      </c>
      <c r="B83" s="7" t="s">
        <v>100</v>
      </c>
      <c r="C83" s="7" t="s">
        <v>3744</v>
      </c>
      <c r="G83" t="s">
        <v>49</v>
      </c>
      <c r="H83" t="s">
        <v>3737</v>
      </c>
      <c r="J83" t="s">
        <v>633</v>
      </c>
      <c r="M83" t="s">
        <v>3745</v>
      </c>
      <c r="Q83" t="s">
        <v>3139</v>
      </c>
      <c r="S83">
        <v>-1</v>
      </c>
    </row>
    <row r="84" spans="1:21">
      <c r="A84" t="s">
        <v>26</v>
      </c>
    </row>
    <row r="85" spans="1:21">
      <c r="A85" t="s">
        <v>21</v>
      </c>
      <c r="B85" s="7"/>
      <c r="C85" s="7" t="s">
        <v>3746</v>
      </c>
      <c r="G85" t="s">
        <v>49</v>
      </c>
      <c r="H85" t="s">
        <v>3737</v>
      </c>
      <c r="J85" t="s">
        <v>633</v>
      </c>
      <c r="M85" t="s">
        <v>3747</v>
      </c>
      <c r="Q85" t="s">
        <v>3139</v>
      </c>
      <c r="S85">
        <v>-1</v>
      </c>
    </row>
    <row r="86" spans="1:21">
      <c r="A86" t="s">
        <v>38</v>
      </c>
      <c r="B86" s="7"/>
      <c r="C86" s="7" t="s">
        <v>3746</v>
      </c>
      <c r="G86" t="s">
        <v>49</v>
      </c>
      <c r="H86" t="s">
        <v>3737</v>
      </c>
      <c r="J86" t="s">
        <v>633</v>
      </c>
      <c r="M86" t="s">
        <v>3748</v>
      </c>
      <c r="Q86" t="s">
        <v>3139</v>
      </c>
      <c r="S86">
        <v>-1</v>
      </c>
    </row>
    <row r="87" spans="1:21">
      <c r="A87" t="s">
        <v>21</v>
      </c>
      <c r="B87" s="7"/>
      <c r="C87" s="7" t="s">
        <v>3749</v>
      </c>
      <c r="G87" t="s">
        <v>49</v>
      </c>
      <c r="H87" t="s">
        <v>3737</v>
      </c>
      <c r="J87" t="s">
        <v>633</v>
      </c>
      <c r="M87" t="s">
        <v>3750</v>
      </c>
      <c r="Q87" t="s">
        <v>3139</v>
      </c>
      <c r="S87">
        <v>-1</v>
      </c>
    </row>
    <row r="88" spans="1:21">
      <c r="A88" t="s">
        <v>38</v>
      </c>
      <c r="B88" s="7"/>
      <c r="C88" s="7" t="s">
        <v>3749</v>
      </c>
      <c r="G88" t="s">
        <v>49</v>
      </c>
      <c r="H88" t="s">
        <v>3737</v>
      </c>
      <c r="J88" t="s">
        <v>633</v>
      </c>
      <c r="M88" t="s">
        <v>3751</v>
      </c>
      <c r="Q88" t="s">
        <v>3139</v>
      </c>
      <c r="S88">
        <v>-1</v>
      </c>
    </row>
    <row r="91" spans="1:21">
      <c r="A91" t="s">
        <v>3767</v>
      </c>
    </row>
    <row r="92" spans="1:21">
      <c r="A92" t="s">
        <v>85</v>
      </c>
      <c r="B92" t="s">
        <v>103</v>
      </c>
      <c r="C92" t="s">
        <v>227</v>
      </c>
      <c r="D92" t="s">
        <v>86</v>
      </c>
      <c r="E92" t="s">
        <v>87</v>
      </c>
      <c r="F92" t="s">
        <v>91</v>
      </c>
      <c r="G92" t="s">
        <v>92</v>
      </c>
      <c r="H92" t="s">
        <v>93</v>
      </c>
      <c r="I92" t="s">
        <v>88</v>
      </c>
      <c r="J92" t="s">
        <v>89</v>
      </c>
      <c r="K92" t="s">
        <v>90</v>
      </c>
      <c r="L92" t="s">
        <v>0</v>
      </c>
      <c r="M92" t="s">
        <v>22</v>
      </c>
      <c r="N92" t="s">
        <v>110</v>
      </c>
      <c r="O92" t="s">
        <v>3</v>
      </c>
      <c r="P92" t="s">
        <v>2</v>
      </c>
      <c r="Q92" t="s">
        <v>43</v>
      </c>
      <c r="R92" t="s">
        <v>251</v>
      </c>
      <c r="S92" t="s">
        <v>338</v>
      </c>
      <c r="T92" t="s">
        <v>625</v>
      </c>
      <c r="U92" t="s">
        <v>3141</v>
      </c>
    </row>
    <row r="93" spans="1:21">
      <c r="A93" t="s">
        <v>38</v>
      </c>
      <c r="E93" t="s">
        <v>26</v>
      </c>
      <c r="I93" t="s">
        <v>570</v>
      </c>
      <c r="J93" s="7" t="s">
        <v>3768</v>
      </c>
      <c r="L93" t="s">
        <v>590</v>
      </c>
      <c r="O93" t="s">
        <v>3740</v>
      </c>
      <c r="R93" t="s">
        <v>3139</v>
      </c>
      <c r="U93">
        <v>-1</v>
      </c>
    </row>
    <row r="94" spans="1:21">
      <c r="A94" t="s">
        <v>21</v>
      </c>
      <c r="E94" t="s">
        <v>26</v>
      </c>
      <c r="I94" t="s">
        <v>570</v>
      </c>
      <c r="J94" s="7" t="s">
        <v>3768</v>
      </c>
      <c r="L94" t="s">
        <v>590</v>
      </c>
      <c r="O94" t="s">
        <v>3738</v>
      </c>
      <c r="R94" t="s">
        <v>3139</v>
      </c>
      <c r="U94">
        <v>-1</v>
      </c>
    </row>
  </sheetData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29138-9609-44B6-B6C6-0304A274A4E5}">
  <dimension ref="A1:R43"/>
  <sheetViews>
    <sheetView workbookViewId="0"/>
  </sheetViews>
  <sheetFormatPr defaultRowHeight="14.25"/>
  <cols>
    <col min="1" max="1" width="21.86328125" bestFit="1" customWidth="1"/>
    <col min="12" max="12" width="14.86328125" bestFit="1" customWidth="1"/>
    <col min="14" max="14" width="20.1328125" bestFit="1" customWidth="1"/>
    <col min="15" max="15" width="21.86328125" bestFit="1" customWidth="1"/>
  </cols>
  <sheetData>
    <row r="1" spans="1:18" ht="17.25" thickBot="1">
      <c r="A1" s="17" t="s">
        <v>3636</v>
      </c>
    </row>
    <row r="2" spans="1:18" ht="15" thickTop="1" thickBot="1">
      <c r="A2" s="16" t="s">
        <v>85</v>
      </c>
      <c r="B2" s="16" t="s">
        <v>86</v>
      </c>
      <c r="C2" s="16" t="s">
        <v>88</v>
      </c>
      <c r="D2" s="16" t="s">
        <v>0</v>
      </c>
      <c r="E2" s="16" t="s">
        <v>3</v>
      </c>
      <c r="F2" s="16" t="s">
        <v>2</v>
      </c>
      <c r="G2" s="16" t="s">
        <v>43</v>
      </c>
      <c r="H2" s="16" t="s">
        <v>251</v>
      </c>
      <c r="I2" s="16" t="s">
        <v>338</v>
      </c>
      <c r="J2" s="16" t="s">
        <v>625</v>
      </c>
    </row>
    <row r="3" spans="1:18">
      <c r="A3" t="s">
        <v>38</v>
      </c>
      <c r="B3" t="str">
        <f>E12</f>
        <v>BOF,EAF,BF,Gas-DRI,Coal-DRI,Domestic,t_BAT_BF-BOF,t_BAT_BF-BOF_ccs,t_BAT_BF-BOF_H2-PCI_ccs,t_DRI-EAF,t_DRI-EAF_ccs,t_H2-DRI-EAF,t_Smelt_Red-BOF,t_Smelt_Red-BOF_ccs,t_EAF,t_DRI-Melt-BOF,t_DRI-Melt-BOF_ccs,t_H2-DRI-Melt-BOF,t_Gas-DRI,t_Gas-DRI_ccs,t_H2-DRI,t_Melt-BOF</v>
      </c>
      <c r="C3" t="str">
        <f>E38</f>
        <v>hotmetal,spongeiron,ironore,scrap,crudesteel</v>
      </c>
      <c r="D3" t="s">
        <v>3585</v>
      </c>
      <c r="E3" t="s">
        <v>331</v>
      </c>
      <c r="I3" t="s">
        <v>156</v>
      </c>
    </row>
    <row r="4" spans="1:18">
      <c r="A4" t="s">
        <v>21</v>
      </c>
      <c r="B4" t="str">
        <f>B3</f>
        <v>BOF,EAF,BF,Gas-DRI,Coal-DRI,Domestic,t_BAT_BF-BOF,t_BAT_BF-BOF_ccs,t_BAT_BF-BOF_H2-PCI_ccs,t_DRI-EAF,t_DRI-EAF_ccs,t_H2-DRI-EAF,t_Smelt_Red-BOF,t_Smelt_Red-BOF_ccs,t_EAF,t_DRI-Melt-BOF,t_DRI-Melt-BOF_ccs,t_H2-DRI-Melt-BOF,t_Gas-DRI,t_Gas-DRI_ccs,t_H2-DRI,t_Melt-BOF</v>
      </c>
      <c r="C4" t="s">
        <v>3584</v>
      </c>
      <c r="D4" t="s">
        <v>3586</v>
      </c>
      <c r="E4" t="s">
        <v>332</v>
      </c>
      <c r="I4" t="s">
        <v>156</v>
      </c>
    </row>
    <row r="5" spans="1:18">
      <c r="A5" t="s">
        <v>38</v>
      </c>
      <c r="B5" t="s">
        <v>3635</v>
      </c>
      <c r="C5" t="s">
        <v>3584</v>
      </c>
      <c r="D5" t="s">
        <v>3585</v>
      </c>
      <c r="E5" t="s">
        <v>341</v>
      </c>
      <c r="I5" t="s">
        <v>156</v>
      </c>
    </row>
    <row r="6" spans="1:18">
      <c r="A6" t="s">
        <v>21</v>
      </c>
      <c r="B6" t="s">
        <v>3635</v>
      </c>
      <c r="C6" t="s">
        <v>3584</v>
      </c>
      <c r="D6" t="s">
        <v>3586</v>
      </c>
      <c r="E6" t="s">
        <v>342</v>
      </c>
      <c r="I6" t="s">
        <v>156</v>
      </c>
    </row>
    <row r="10" spans="1:18" ht="17.25" thickBot="1">
      <c r="A10" s="17" t="s">
        <v>116</v>
      </c>
    </row>
    <row r="11" spans="1:18" ht="15" thickTop="1" thickBot="1">
      <c r="A11" s="16" t="s">
        <v>117</v>
      </c>
      <c r="B11" s="16" t="s">
        <v>2</v>
      </c>
      <c r="C11" s="16" t="s">
        <v>43</v>
      </c>
    </row>
    <row r="12" spans="1:18">
      <c r="A12" t="s">
        <v>3587</v>
      </c>
      <c r="B12" t="s">
        <v>3587</v>
      </c>
      <c r="E12" t="str">
        <f>_xlfn.TEXTJOIN(",",TRUE,A12:A33)</f>
        <v>BOF,EAF,BF,Gas-DRI,Coal-DRI,Domestic,t_BAT_BF-BOF,t_BAT_BF-BOF_ccs,t_BAT_BF-BOF_H2-PCI_ccs,t_DRI-EAF,t_DRI-EAF_ccs,t_H2-DRI-EAF,t_Smelt_Red-BOF,t_Smelt_Red-BOF_ccs,t_EAF,t_DRI-Melt-BOF,t_DRI-Melt-BOF_ccs,t_H2-DRI-Melt-BOF,t_Gas-DRI,t_Gas-DRI_ccs,t_H2-DRI,t_Melt-BOF</v>
      </c>
    </row>
    <row r="13" spans="1:18">
      <c r="A13" t="s">
        <v>3588</v>
      </c>
      <c r="B13" t="s">
        <v>3588</v>
      </c>
    </row>
    <row r="14" spans="1:18">
      <c r="A14" t="s">
        <v>3589</v>
      </c>
      <c r="B14" t="s">
        <v>3589</v>
      </c>
    </row>
    <row r="15" spans="1:18" ht="17.25" thickBot="1">
      <c r="A15" t="s">
        <v>3590</v>
      </c>
      <c r="B15" t="s">
        <v>3590</v>
      </c>
      <c r="L15" s="17" t="s">
        <v>149</v>
      </c>
    </row>
    <row r="16" spans="1:18" ht="15" thickTop="1" thickBot="1">
      <c r="A16" t="s">
        <v>3591</v>
      </c>
      <c r="B16" t="s">
        <v>3591</v>
      </c>
      <c r="L16" s="16" t="s">
        <v>144</v>
      </c>
      <c r="M16" s="16" t="s">
        <v>145</v>
      </c>
      <c r="N16" s="16" t="s">
        <v>146</v>
      </c>
      <c r="O16" s="16" t="s">
        <v>390</v>
      </c>
      <c r="P16" s="16" t="s">
        <v>492</v>
      </c>
      <c r="Q16" s="16" t="s">
        <v>493</v>
      </c>
      <c r="R16" s="16" t="s">
        <v>3637</v>
      </c>
    </row>
    <row r="17" spans="1:17">
      <c r="A17" t="s">
        <v>3592</v>
      </c>
      <c r="B17" t="s">
        <v>3592</v>
      </c>
      <c r="L17" t="s">
        <v>3090</v>
      </c>
      <c r="N17" t="s">
        <v>3587</v>
      </c>
      <c r="O17" t="s">
        <v>3587</v>
      </c>
      <c r="Q17" t="s">
        <v>3647</v>
      </c>
    </row>
    <row r="18" spans="1:17">
      <c r="A18" t="s">
        <v>3593</v>
      </c>
      <c r="B18" t="s">
        <v>3594</v>
      </c>
      <c r="L18" t="s">
        <v>3090</v>
      </c>
      <c r="N18" t="s">
        <v>3588</v>
      </c>
      <c r="O18" t="s">
        <v>3588</v>
      </c>
      <c r="Q18" t="s">
        <v>3647</v>
      </c>
    </row>
    <row r="19" spans="1:17">
      <c r="A19" t="s">
        <v>3595</v>
      </c>
      <c r="B19" t="s">
        <v>3596</v>
      </c>
      <c r="L19" t="s">
        <v>3090</v>
      </c>
      <c r="N19" t="s">
        <v>3589</v>
      </c>
      <c r="O19" t="s">
        <v>3589</v>
      </c>
      <c r="Q19" t="s">
        <v>3647</v>
      </c>
    </row>
    <row r="20" spans="1:17">
      <c r="A20" t="s">
        <v>3597</v>
      </c>
      <c r="B20" t="s">
        <v>3598</v>
      </c>
      <c r="L20" t="s">
        <v>3090</v>
      </c>
      <c r="N20" t="s">
        <v>3590</v>
      </c>
      <c r="O20" t="s">
        <v>3590</v>
      </c>
      <c r="Q20" t="s">
        <v>3647</v>
      </c>
    </row>
    <row r="21" spans="1:17">
      <c r="A21" t="s">
        <v>3599</v>
      </c>
      <c r="B21" t="s">
        <v>3600</v>
      </c>
      <c r="L21" t="s">
        <v>3090</v>
      </c>
      <c r="N21" t="s">
        <v>3591</v>
      </c>
      <c r="O21" t="s">
        <v>3591</v>
      </c>
      <c r="Q21" t="s">
        <v>3647</v>
      </c>
    </row>
    <row r="22" spans="1:17">
      <c r="A22" t="s">
        <v>3601</v>
      </c>
      <c r="B22" t="s">
        <v>3602</v>
      </c>
      <c r="L22" t="s">
        <v>3090</v>
      </c>
      <c r="N22" t="s">
        <v>3594</v>
      </c>
      <c r="O22" t="s">
        <v>3593</v>
      </c>
      <c r="Q22" t="s">
        <v>3647</v>
      </c>
    </row>
    <row r="23" spans="1:17">
      <c r="A23" t="s">
        <v>3603</v>
      </c>
      <c r="B23" t="s">
        <v>3604</v>
      </c>
      <c r="L23" t="s">
        <v>3090</v>
      </c>
      <c r="N23" t="s">
        <v>3596</v>
      </c>
      <c r="O23" t="s">
        <v>3595</v>
      </c>
      <c r="Q23" t="s">
        <v>3647</v>
      </c>
    </row>
    <row r="24" spans="1:17">
      <c r="A24" t="s">
        <v>3605</v>
      </c>
      <c r="B24" t="s">
        <v>3606</v>
      </c>
      <c r="L24" t="s">
        <v>3090</v>
      </c>
      <c r="N24" t="s">
        <v>3600</v>
      </c>
      <c r="O24" t="s">
        <v>3599</v>
      </c>
      <c r="Q24" t="s">
        <v>3647</v>
      </c>
    </row>
    <row r="25" spans="1:17">
      <c r="A25" t="s">
        <v>3607</v>
      </c>
      <c r="B25" t="s">
        <v>3608</v>
      </c>
      <c r="L25" t="s">
        <v>3090</v>
      </c>
      <c r="N25" t="s">
        <v>3602</v>
      </c>
      <c r="O25" t="s">
        <v>3601</v>
      </c>
      <c r="Q25" t="s">
        <v>3647</v>
      </c>
    </row>
    <row r="26" spans="1:17">
      <c r="A26" t="s">
        <v>3609</v>
      </c>
      <c r="B26" t="s">
        <v>3588</v>
      </c>
      <c r="L26" t="s">
        <v>3090</v>
      </c>
      <c r="N26" t="s">
        <v>3604</v>
      </c>
      <c r="O26" t="s">
        <v>3603</v>
      </c>
      <c r="Q26" t="s">
        <v>3647</v>
      </c>
    </row>
    <row r="27" spans="1:17">
      <c r="A27" t="s">
        <v>3610</v>
      </c>
      <c r="B27" t="s">
        <v>3611</v>
      </c>
      <c r="L27" t="s">
        <v>3090</v>
      </c>
      <c r="N27" t="s">
        <v>3606</v>
      </c>
      <c r="O27" t="s">
        <v>3605</v>
      </c>
      <c r="Q27" t="s">
        <v>3647</v>
      </c>
    </row>
    <row r="28" spans="1:17">
      <c r="A28" t="s">
        <v>3612</v>
      </c>
      <c r="B28" t="s">
        <v>3613</v>
      </c>
      <c r="L28" t="s">
        <v>3090</v>
      </c>
      <c r="N28" t="s">
        <v>3608</v>
      </c>
      <c r="O28" t="s">
        <v>3607</v>
      </c>
      <c r="Q28" t="s">
        <v>3647</v>
      </c>
    </row>
    <row r="29" spans="1:17">
      <c r="A29" t="s">
        <v>3614</v>
      </c>
      <c r="B29" t="s">
        <v>3615</v>
      </c>
      <c r="L29" t="s">
        <v>3090</v>
      </c>
      <c r="N29" t="s">
        <v>3588</v>
      </c>
      <c r="O29" t="s">
        <v>3609</v>
      </c>
      <c r="Q29" t="s">
        <v>3647</v>
      </c>
    </row>
    <row r="30" spans="1:17">
      <c r="A30" t="s">
        <v>3616</v>
      </c>
      <c r="B30" t="s">
        <v>3590</v>
      </c>
      <c r="L30" t="s">
        <v>3090</v>
      </c>
      <c r="N30" t="s">
        <v>3611</v>
      </c>
      <c r="O30" t="s">
        <v>3610</v>
      </c>
      <c r="Q30" t="s">
        <v>3647</v>
      </c>
    </row>
    <row r="31" spans="1:17">
      <c r="A31" t="s">
        <v>3617</v>
      </c>
      <c r="B31" t="s">
        <v>3618</v>
      </c>
      <c r="L31" t="s">
        <v>3090</v>
      </c>
      <c r="N31" t="s">
        <v>3613</v>
      </c>
      <c r="O31" t="s">
        <v>3612</v>
      </c>
      <c r="Q31" t="s">
        <v>3647</v>
      </c>
    </row>
    <row r="32" spans="1:17">
      <c r="A32" t="s">
        <v>3619</v>
      </c>
      <c r="B32" t="s">
        <v>3620</v>
      </c>
      <c r="L32" t="s">
        <v>3090</v>
      </c>
      <c r="N32" t="s">
        <v>3615</v>
      </c>
      <c r="O32" t="s">
        <v>3614</v>
      </c>
      <c r="Q32" t="s">
        <v>3647</v>
      </c>
    </row>
    <row r="33" spans="1:17">
      <c r="A33" t="s">
        <v>3621</v>
      </c>
      <c r="B33" t="s">
        <v>3622</v>
      </c>
      <c r="L33" t="s">
        <v>3090</v>
      </c>
      <c r="N33" t="s">
        <v>3590</v>
      </c>
      <c r="O33" t="s">
        <v>3616</v>
      </c>
      <c r="Q33" t="s">
        <v>3647</v>
      </c>
    </row>
    <row r="34" spans="1:17">
      <c r="L34" t="s">
        <v>3090</v>
      </c>
      <c r="N34" t="s">
        <v>3618</v>
      </c>
      <c r="O34" t="s">
        <v>3617</v>
      </c>
      <c r="Q34" t="s">
        <v>3647</v>
      </c>
    </row>
    <row r="35" spans="1:17">
      <c r="L35" t="s">
        <v>3090</v>
      </c>
      <c r="N35" t="s">
        <v>3620</v>
      </c>
      <c r="O35" t="s">
        <v>3619</v>
      </c>
      <c r="Q35" t="s">
        <v>3647</v>
      </c>
    </row>
    <row r="36" spans="1:17" ht="17.25" thickBot="1">
      <c r="A36" s="17" t="s">
        <v>3623</v>
      </c>
      <c r="L36" t="s">
        <v>3090</v>
      </c>
      <c r="N36" t="s">
        <v>3622</v>
      </c>
      <c r="O36" t="s">
        <v>3621</v>
      </c>
      <c r="Q36" t="s">
        <v>3647</v>
      </c>
    </row>
    <row r="37" spans="1:17" ht="15" thickTop="1" thickBot="1">
      <c r="A37" s="16" t="s">
        <v>3624</v>
      </c>
      <c r="B37" s="16" t="s">
        <v>2</v>
      </c>
      <c r="C37" s="16" t="s">
        <v>43</v>
      </c>
      <c r="L37" t="s">
        <v>3090</v>
      </c>
      <c r="N37" t="s">
        <v>185</v>
      </c>
      <c r="O37" t="s">
        <v>185</v>
      </c>
      <c r="Q37" t="s">
        <v>3647</v>
      </c>
    </row>
    <row r="38" spans="1:17">
      <c r="A38" t="s">
        <v>3625</v>
      </c>
      <c r="B38" t="s">
        <v>3626</v>
      </c>
      <c r="E38" t="str">
        <f>_xlfn.TEXTJOIN(",",TRUE,A38:A42)</f>
        <v>hotmetal,spongeiron,ironore,scrap,crudesteel</v>
      </c>
      <c r="L38" t="s">
        <v>3090</v>
      </c>
      <c r="N38" t="s">
        <v>3592</v>
      </c>
      <c r="O38" t="s">
        <v>3592</v>
      </c>
      <c r="Q38" t="s">
        <v>3647</v>
      </c>
    </row>
    <row r="39" spans="1:17">
      <c r="A39" t="s">
        <v>3627</v>
      </c>
      <c r="B39" t="s">
        <v>3628</v>
      </c>
      <c r="L39" t="s">
        <v>3090</v>
      </c>
      <c r="N39" t="s">
        <v>3598</v>
      </c>
      <c r="O39" t="s">
        <v>3597</v>
      </c>
      <c r="Q39" t="s">
        <v>3647</v>
      </c>
    </row>
    <row r="40" spans="1:17">
      <c r="A40" t="s">
        <v>3629</v>
      </c>
      <c r="B40" t="s">
        <v>3630</v>
      </c>
      <c r="L40" t="s">
        <v>3638</v>
      </c>
      <c r="M40" t="s">
        <v>3639</v>
      </c>
      <c r="N40" t="s">
        <v>3640</v>
      </c>
      <c r="Q40" t="s">
        <v>3647</v>
      </c>
    </row>
    <row r="41" spans="1:17">
      <c r="A41" t="s">
        <v>3631</v>
      </c>
      <c r="B41" t="s">
        <v>3632</v>
      </c>
      <c r="L41" t="s">
        <v>3638</v>
      </c>
      <c r="M41" t="s">
        <v>3641</v>
      </c>
      <c r="N41" t="s">
        <v>3642</v>
      </c>
      <c r="Q41" t="s">
        <v>3647</v>
      </c>
    </row>
    <row r="42" spans="1:17">
      <c r="A42" t="s">
        <v>3633</v>
      </c>
      <c r="B42" t="s">
        <v>3634</v>
      </c>
      <c r="L42" t="s">
        <v>3638</v>
      </c>
      <c r="M42" t="s">
        <v>3643</v>
      </c>
      <c r="N42" t="s">
        <v>3644</v>
      </c>
      <c r="Q42" t="s">
        <v>3647</v>
      </c>
    </row>
    <row r="43" spans="1:17">
      <c r="L43" t="s">
        <v>3638</v>
      </c>
      <c r="M43" t="s">
        <v>3645</v>
      </c>
      <c r="N43" t="s">
        <v>3646</v>
      </c>
      <c r="Q43" t="s">
        <v>3647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2219D-D945-4BDB-8E27-A49AA6A86A98}">
  <dimension ref="A1:U19"/>
  <sheetViews>
    <sheetView zoomScaleNormal="100" workbookViewId="0">
      <pane ySplit="2" topLeftCell="A3" activePane="bottomLeft" state="frozen"/>
      <selection pane="bottomLeft" activeCell="S31" sqref="S31"/>
    </sheetView>
  </sheetViews>
  <sheetFormatPr defaultRowHeight="14.25"/>
  <cols>
    <col min="2" max="2" width="8.1328125" bestFit="1" customWidth="1"/>
    <col min="3" max="3" width="9.1328125" bestFit="1" customWidth="1"/>
    <col min="4" max="13" width="3.59765625" customWidth="1"/>
    <col min="14" max="14" width="7" bestFit="1" customWidth="1"/>
    <col min="15" max="15" width="4.265625" bestFit="1" customWidth="1"/>
    <col min="16" max="19" width="17.86328125" bestFit="1" customWidth="1"/>
    <col min="20" max="20" width="9.265625" bestFit="1" customWidth="1"/>
    <col min="21" max="21" width="9.265625" customWidth="1"/>
    <col min="22" max="22" width="2" bestFit="1" customWidth="1"/>
    <col min="23" max="23" width="11.59765625" bestFit="1" customWidth="1"/>
  </cols>
  <sheetData>
    <row r="1" spans="1:21">
      <c r="A1" t="s">
        <v>101</v>
      </c>
    </row>
    <row r="2" spans="1:21">
      <c r="A2" t="s">
        <v>102</v>
      </c>
      <c r="B2" s="2" t="s">
        <v>48</v>
      </c>
      <c r="C2" s="2" t="s">
        <v>85</v>
      </c>
      <c r="D2" s="2" t="s">
        <v>103</v>
      </c>
      <c r="E2" s="2" t="s">
        <v>227</v>
      </c>
      <c r="F2" s="2" t="s">
        <v>86</v>
      </c>
      <c r="G2" s="2" t="s">
        <v>87</v>
      </c>
      <c r="H2" s="2" t="s">
        <v>91</v>
      </c>
      <c r="I2" s="2" t="s">
        <v>92</v>
      </c>
      <c r="J2" s="2" t="s">
        <v>93</v>
      </c>
      <c r="K2" s="2" t="s">
        <v>88</v>
      </c>
      <c r="L2" s="2" t="s">
        <v>89</v>
      </c>
      <c r="M2" s="2" t="s">
        <v>90</v>
      </c>
      <c r="N2" s="2" t="s">
        <v>0</v>
      </c>
      <c r="O2" s="2" t="s">
        <v>22</v>
      </c>
      <c r="P2" s="2" t="s">
        <v>110</v>
      </c>
      <c r="Q2" s="2" t="s">
        <v>3</v>
      </c>
      <c r="R2" s="2" t="s">
        <v>2</v>
      </c>
      <c r="S2" s="2" t="s">
        <v>43</v>
      </c>
      <c r="T2" s="2" t="s">
        <v>251</v>
      </c>
      <c r="U2" s="2" t="s">
        <v>338</v>
      </c>
    </row>
    <row r="3" spans="1:21">
      <c r="C3" t="s">
        <v>585</v>
      </c>
      <c r="N3" t="s">
        <v>589</v>
      </c>
      <c r="P3" t="s">
        <v>586</v>
      </c>
      <c r="Q3" t="str">
        <f>P3</f>
        <v>rep_tra_road_pass</v>
      </c>
      <c r="R3" t="str">
        <f t="shared" ref="R3:S3" si="0">Q3</f>
        <v>rep_tra_road_pass</v>
      </c>
      <c r="S3" t="str">
        <f t="shared" si="0"/>
        <v>rep_tra_road_pass</v>
      </c>
    </row>
    <row r="4" spans="1:21">
      <c r="C4" t="s">
        <v>585</v>
      </c>
      <c r="N4" t="s">
        <v>589</v>
      </c>
      <c r="P4" t="s">
        <v>587</v>
      </c>
      <c r="Q4" t="str">
        <f t="shared" ref="Q4:S4" si="1">P4</f>
        <v>rep_tra_road_frt</v>
      </c>
      <c r="R4" t="str">
        <f t="shared" si="1"/>
        <v>rep_tra_road_frt</v>
      </c>
      <c r="S4" t="str">
        <f t="shared" si="1"/>
        <v>rep_tra_road_frt</v>
      </c>
    </row>
    <row r="5" spans="1:21">
      <c r="C5" t="s">
        <v>585</v>
      </c>
      <c r="N5" t="s">
        <v>590</v>
      </c>
      <c r="P5" t="s">
        <v>588</v>
      </c>
      <c r="Q5" t="str">
        <f t="shared" ref="Q5:S5" si="2">P5</f>
        <v>rep_totco2</v>
      </c>
      <c r="R5" t="str">
        <f t="shared" si="2"/>
        <v>rep_totco2</v>
      </c>
      <c r="S5" t="str">
        <f t="shared" si="2"/>
        <v>rep_totco2</v>
      </c>
    </row>
    <row r="6" spans="1:21">
      <c r="C6" t="s">
        <v>585</v>
      </c>
      <c r="N6" t="s">
        <v>597</v>
      </c>
      <c r="P6" t="s">
        <v>591</v>
      </c>
      <c r="Q6" t="str">
        <f t="shared" ref="Q6:S6" si="3">P6</f>
        <v>rep_GDP</v>
      </c>
      <c r="R6" t="str">
        <f t="shared" si="3"/>
        <v>rep_GDP</v>
      </c>
      <c r="S6" t="str">
        <f t="shared" si="3"/>
        <v>rep_GDP</v>
      </c>
    </row>
    <row r="7" spans="1:21">
      <c r="C7" t="s">
        <v>585</v>
      </c>
      <c r="N7" t="s">
        <v>597</v>
      </c>
      <c r="P7" t="s">
        <v>592</v>
      </c>
      <c r="Q7" t="str">
        <f t="shared" ref="Q7:S7" si="4">P7</f>
        <v>rep_GDPAGR</v>
      </c>
      <c r="R7" t="str">
        <f t="shared" si="4"/>
        <v>rep_GDPAGR</v>
      </c>
      <c r="S7" t="str">
        <f t="shared" si="4"/>
        <v>rep_GDPAGR</v>
      </c>
    </row>
    <row r="8" spans="1:21">
      <c r="C8" t="s">
        <v>585</v>
      </c>
      <c r="N8" t="s">
        <v>597</v>
      </c>
      <c r="P8" t="s">
        <v>593</v>
      </c>
      <c r="Q8" t="str">
        <f t="shared" ref="Q8:S8" si="5">P8</f>
        <v>rep_GDPIND</v>
      </c>
      <c r="R8" t="str">
        <f t="shared" si="5"/>
        <v>rep_GDPIND</v>
      </c>
      <c r="S8" t="str">
        <f t="shared" si="5"/>
        <v>rep_GDPIND</v>
      </c>
    </row>
    <row r="9" spans="1:21">
      <c r="C9" t="s">
        <v>585</v>
      </c>
      <c r="N9" t="s">
        <v>597</v>
      </c>
      <c r="P9" t="s">
        <v>594</v>
      </c>
      <c r="Q9" t="str">
        <f t="shared" ref="Q9:S9" si="6">P9</f>
        <v>rep_GDPSER</v>
      </c>
      <c r="R9" t="str">
        <f t="shared" si="6"/>
        <v>rep_GDPSER</v>
      </c>
      <c r="S9" t="str">
        <f t="shared" si="6"/>
        <v>rep_GDPSER</v>
      </c>
    </row>
    <row r="10" spans="1:21">
      <c r="C10" t="s">
        <v>585</v>
      </c>
      <c r="N10" t="s">
        <v>50</v>
      </c>
      <c r="P10" t="s">
        <v>595</v>
      </c>
      <c r="Q10" t="str">
        <f t="shared" ref="Q10:S10" si="7">P10</f>
        <v>rep_HOU</v>
      </c>
      <c r="R10" t="str">
        <f t="shared" si="7"/>
        <v>rep_HOU</v>
      </c>
      <c r="S10" t="str">
        <f t="shared" si="7"/>
        <v>rep_HOU</v>
      </c>
    </row>
    <row r="11" spans="1:21">
      <c r="C11" t="s">
        <v>585</v>
      </c>
      <c r="N11" t="s">
        <v>50</v>
      </c>
      <c r="P11" t="s">
        <v>596</v>
      </c>
      <c r="Q11" t="str">
        <f t="shared" ref="Q11:S11" si="8">P11</f>
        <v>rep_POP</v>
      </c>
      <c r="R11" t="str">
        <f t="shared" si="8"/>
        <v>rep_POP</v>
      </c>
      <c r="S11" t="str">
        <f t="shared" si="8"/>
        <v>rep_POP</v>
      </c>
    </row>
    <row r="12" spans="1:21">
      <c r="C12" t="s">
        <v>585</v>
      </c>
      <c r="N12" t="s">
        <v>34</v>
      </c>
      <c r="P12" t="s">
        <v>606</v>
      </c>
      <c r="Q12" t="str">
        <f t="shared" ref="Q12:Q19" si="9">P12</f>
        <v>rep_com_cookhw</v>
      </c>
      <c r="R12" t="str">
        <f t="shared" ref="R12:R19" si="10">Q12</f>
        <v>rep_com_cookhw</v>
      </c>
      <c r="S12" t="str">
        <f t="shared" ref="S12:S19" si="11">R12</f>
        <v>rep_com_cookhw</v>
      </c>
    </row>
    <row r="13" spans="1:21">
      <c r="C13" t="s">
        <v>585</v>
      </c>
      <c r="N13" t="s">
        <v>34</v>
      </c>
      <c r="P13" t="s">
        <v>607</v>
      </c>
      <c r="Q13" t="str">
        <f t="shared" si="9"/>
        <v>rep_com_lightappl</v>
      </c>
      <c r="R13" t="str">
        <f t="shared" si="10"/>
        <v>rep_com_lightappl</v>
      </c>
      <c r="S13" t="str">
        <f t="shared" si="11"/>
        <v>rep_com_lightappl</v>
      </c>
    </row>
    <row r="14" spans="1:21">
      <c r="C14" t="s">
        <v>585</v>
      </c>
      <c r="N14" t="s">
        <v>34</v>
      </c>
      <c r="P14" t="s">
        <v>608</v>
      </c>
      <c r="Q14" t="str">
        <f t="shared" si="9"/>
        <v>rep_com_spcool</v>
      </c>
      <c r="R14" t="str">
        <f t="shared" si="10"/>
        <v>rep_com_spcool</v>
      </c>
      <c r="S14" t="str">
        <f t="shared" si="11"/>
        <v>rep_com_spcool</v>
      </c>
    </row>
    <row r="15" spans="1:21">
      <c r="C15" t="s">
        <v>585</v>
      </c>
      <c r="N15" t="s">
        <v>34</v>
      </c>
      <c r="P15" t="s">
        <v>609</v>
      </c>
      <c r="Q15" t="str">
        <f t="shared" si="9"/>
        <v>rep_com_spht</v>
      </c>
      <c r="R15" t="str">
        <f t="shared" si="10"/>
        <v>rep_com_spht</v>
      </c>
      <c r="S15" t="str">
        <f t="shared" si="11"/>
        <v>rep_com_spht</v>
      </c>
    </row>
    <row r="16" spans="1:21">
      <c r="C16" t="s">
        <v>585</v>
      </c>
      <c r="N16" t="s">
        <v>34</v>
      </c>
      <c r="P16" t="s">
        <v>610</v>
      </c>
      <c r="Q16" t="str">
        <f t="shared" si="9"/>
        <v>rep_res_cookhw</v>
      </c>
      <c r="R16" t="str">
        <f t="shared" si="10"/>
        <v>rep_res_cookhw</v>
      </c>
      <c r="S16" t="str">
        <f t="shared" si="11"/>
        <v>rep_res_cookhw</v>
      </c>
    </row>
    <row r="17" spans="3:19">
      <c r="C17" t="s">
        <v>585</v>
      </c>
      <c r="N17" t="s">
        <v>34</v>
      </c>
      <c r="P17" t="s">
        <v>611</v>
      </c>
      <c r="Q17" t="str">
        <f t="shared" si="9"/>
        <v>rep_res_lightappl</v>
      </c>
      <c r="R17" t="str">
        <f t="shared" si="10"/>
        <v>rep_res_lightappl</v>
      </c>
      <c r="S17" t="str">
        <f t="shared" si="11"/>
        <v>rep_res_lightappl</v>
      </c>
    </row>
    <row r="18" spans="3:19">
      <c r="C18" t="s">
        <v>585</v>
      </c>
      <c r="N18" t="s">
        <v>34</v>
      </c>
      <c r="P18" t="s">
        <v>612</v>
      </c>
      <c r="Q18" t="str">
        <f t="shared" si="9"/>
        <v>rep_res_spcool</v>
      </c>
      <c r="R18" t="str">
        <f t="shared" si="10"/>
        <v>rep_res_spcool</v>
      </c>
      <c r="S18" t="str">
        <f t="shared" si="11"/>
        <v>rep_res_spcool</v>
      </c>
    </row>
    <row r="19" spans="3:19">
      <c r="C19" t="s">
        <v>585</v>
      </c>
      <c r="N19" t="s">
        <v>34</v>
      </c>
      <c r="P19" t="s">
        <v>613</v>
      </c>
      <c r="Q19" t="str">
        <f t="shared" si="9"/>
        <v>rep_res_spht</v>
      </c>
      <c r="R19" t="str">
        <f t="shared" si="10"/>
        <v>rep_res_spht</v>
      </c>
      <c r="S19" t="str">
        <f t="shared" si="11"/>
        <v>rep_res_spht</v>
      </c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D5C1B-B7D7-4D71-A3E0-7F712EED9413}">
  <dimension ref="C1:L36"/>
  <sheetViews>
    <sheetView zoomScaleNormal="100" workbookViewId="0"/>
  </sheetViews>
  <sheetFormatPr defaultRowHeight="14.25"/>
  <cols>
    <col min="3" max="3" width="17.59765625" bestFit="1" customWidth="1"/>
    <col min="4" max="4" width="17.73046875" bestFit="1" customWidth="1"/>
    <col min="5" max="5" width="24.1328125" bestFit="1" customWidth="1"/>
    <col min="6" max="6" width="9" bestFit="1" customWidth="1"/>
    <col min="7" max="7" width="9.59765625" bestFit="1" customWidth="1"/>
    <col min="8" max="8" width="6.73046875" bestFit="1" customWidth="1"/>
    <col min="9" max="10" width="12" bestFit="1" customWidth="1"/>
    <col min="12" max="12" width="12.3984375" bestFit="1" customWidth="1"/>
  </cols>
  <sheetData>
    <row r="1" spans="3:12">
      <c r="C1" t="s">
        <v>558</v>
      </c>
    </row>
    <row r="2" spans="3:12">
      <c r="C2" t="s">
        <v>555</v>
      </c>
      <c r="D2" t="s">
        <v>556</v>
      </c>
      <c r="E2" s="2" t="s">
        <v>3</v>
      </c>
      <c r="F2" t="s">
        <v>0</v>
      </c>
      <c r="G2" t="s">
        <v>251</v>
      </c>
      <c r="H2" t="s">
        <v>338</v>
      </c>
      <c r="I2" t="s">
        <v>621</v>
      </c>
      <c r="J2" t="s">
        <v>629</v>
      </c>
      <c r="L2" s="11" t="s">
        <v>591</v>
      </c>
    </row>
    <row r="3" spans="3:12">
      <c r="C3" t="s">
        <v>656</v>
      </c>
      <c r="D3" t="s">
        <v>647</v>
      </c>
      <c r="E3" s="1" t="s">
        <v>554</v>
      </c>
      <c r="F3" t="s">
        <v>583</v>
      </c>
      <c r="I3" t="s">
        <v>620</v>
      </c>
      <c r="J3" t="s">
        <v>156</v>
      </c>
      <c r="L3" s="11" t="s">
        <v>592</v>
      </c>
    </row>
    <row r="4" spans="3:12">
      <c r="C4" t="s">
        <v>515</v>
      </c>
      <c r="D4" t="s">
        <v>564</v>
      </c>
      <c r="E4" s="1" t="s">
        <v>554</v>
      </c>
      <c r="F4" t="s">
        <v>583</v>
      </c>
      <c r="I4" t="s">
        <v>620</v>
      </c>
      <c r="J4" t="s">
        <v>156</v>
      </c>
      <c r="L4" s="11" t="s">
        <v>593</v>
      </c>
    </row>
    <row r="5" spans="3:12">
      <c r="C5" t="s">
        <v>454</v>
      </c>
      <c r="D5" t="s">
        <v>566</v>
      </c>
      <c r="E5" s="1" t="s">
        <v>557</v>
      </c>
      <c r="F5" t="s">
        <v>1</v>
      </c>
      <c r="I5" t="s">
        <v>620</v>
      </c>
      <c r="J5" t="s">
        <v>156</v>
      </c>
      <c r="L5" s="11" t="s">
        <v>594</v>
      </c>
    </row>
    <row r="6" spans="3:12">
      <c r="C6" t="s">
        <v>515</v>
      </c>
      <c r="D6" t="s">
        <v>565</v>
      </c>
      <c r="E6" s="1" t="s">
        <v>557</v>
      </c>
      <c r="F6" t="s">
        <v>1</v>
      </c>
      <c r="I6" t="s">
        <v>620</v>
      </c>
      <c r="J6" t="s">
        <v>156</v>
      </c>
      <c r="L6" s="11" t="s">
        <v>595</v>
      </c>
    </row>
    <row r="7" spans="3:12">
      <c r="C7" t="s">
        <v>221</v>
      </c>
      <c r="D7" t="s">
        <v>222</v>
      </c>
      <c r="E7" s="1" t="s">
        <v>557</v>
      </c>
      <c r="F7" t="s">
        <v>1</v>
      </c>
      <c r="I7" t="s">
        <v>620</v>
      </c>
      <c r="J7" t="s">
        <v>156</v>
      </c>
      <c r="L7" s="11" t="s">
        <v>596</v>
      </c>
    </row>
    <row r="8" spans="3:12">
      <c r="C8" t="s">
        <v>235</v>
      </c>
      <c r="D8" t="s">
        <v>515</v>
      </c>
      <c r="E8" s="1" t="s">
        <v>559</v>
      </c>
      <c r="F8" t="s">
        <v>560</v>
      </c>
      <c r="I8" t="s">
        <v>620</v>
      </c>
      <c r="J8" t="s">
        <v>156</v>
      </c>
    </row>
    <row r="9" spans="3:12">
      <c r="C9" t="s">
        <v>235</v>
      </c>
      <c r="D9" t="s">
        <v>454</v>
      </c>
      <c r="E9" s="1" t="s">
        <v>559</v>
      </c>
      <c r="F9" t="s">
        <v>560</v>
      </c>
      <c r="I9" t="s">
        <v>620</v>
      </c>
      <c r="J9" t="s">
        <v>156</v>
      </c>
    </row>
    <row r="10" spans="3:12">
      <c r="C10" t="s">
        <v>235</v>
      </c>
      <c r="D10" t="s">
        <v>221</v>
      </c>
      <c r="E10" s="1" t="s">
        <v>559</v>
      </c>
      <c r="F10" t="s">
        <v>562</v>
      </c>
      <c r="I10" t="s">
        <v>620</v>
      </c>
      <c r="J10" t="s">
        <v>156</v>
      </c>
    </row>
    <row r="11" spans="3:12">
      <c r="C11" t="s">
        <v>586</v>
      </c>
      <c r="D11" t="s">
        <v>596</v>
      </c>
      <c r="E11" s="1" t="s">
        <v>598</v>
      </c>
      <c r="F11" t="s">
        <v>604</v>
      </c>
    </row>
    <row r="12" spans="3:12">
      <c r="C12" t="s">
        <v>587</v>
      </c>
      <c r="D12" t="s">
        <v>591</v>
      </c>
      <c r="E12" s="1" t="s">
        <v>599</v>
      </c>
      <c r="F12" t="s">
        <v>600</v>
      </c>
    </row>
    <row r="13" spans="3:12">
      <c r="C13" t="s">
        <v>588</v>
      </c>
      <c r="D13" t="s">
        <v>596</v>
      </c>
      <c r="E13" s="1" t="s">
        <v>601</v>
      </c>
      <c r="F13" t="s">
        <v>605</v>
      </c>
    </row>
    <row r="14" spans="3:12">
      <c r="C14" t="s">
        <v>588</v>
      </c>
      <c r="D14" t="s">
        <v>591</v>
      </c>
      <c r="E14" s="1" t="s">
        <v>660</v>
      </c>
      <c r="F14" t="s">
        <v>661</v>
      </c>
    </row>
    <row r="15" spans="3:12">
      <c r="C15" t="s">
        <v>606</v>
      </c>
      <c r="D15" t="s">
        <v>594</v>
      </c>
      <c r="E15" t="str">
        <f t="shared" ref="E15:E18" si="0">MID(C15,5,22)&amp;" / GDPSER"</f>
        <v>com_cookhw / GDPSER</v>
      </c>
      <c r="F15" t="s">
        <v>614</v>
      </c>
    </row>
    <row r="16" spans="3:12">
      <c r="C16" t="s">
        <v>607</v>
      </c>
      <c r="D16" t="s">
        <v>594</v>
      </c>
      <c r="E16" t="str">
        <f t="shared" si="0"/>
        <v>com_lightappl / GDPSER</v>
      </c>
      <c r="F16" t="s">
        <v>614</v>
      </c>
    </row>
    <row r="17" spans="3:8">
      <c r="C17" t="s">
        <v>608</v>
      </c>
      <c r="D17" t="s">
        <v>594</v>
      </c>
      <c r="E17" t="str">
        <f t="shared" si="0"/>
        <v>com_spcool / GDPSER</v>
      </c>
      <c r="F17" t="s">
        <v>614</v>
      </c>
    </row>
    <row r="18" spans="3:8">
      <c r="C18" t="s">
        <v>609</v>
      </c>
      <c r="D18" t="s">
        <v>594</v>
      </c>
      <c r="E18" t="str">
        <f t="shared" si="0"/>
        <v>com_spht / GDPSER</v>
      </c>
      <c r="F18" t="s">
        <v>614</v>
      </c>
    </row>
    <row r="19" spans="3:8">
      <c r="C19" t="s">
        <v>610</v>
      </c>
      <c r="D19" t="s">
        <v>595</v>
      </c>
      <c r="E19" t="str">
        <f t="shared" ref="E19:E22" si="1">MID(C19,5,22)&amp;" / household"</f>
        <v>res_cookhw / household</v>
      </c>
      <c r="F19" t="s">
        <v>615</v>
      </c>
    </row>
    <row r="20" spans="3:8">
      <c r="C20" t="s">
        <v>611</v>
      </c>
      <c r="D20" t="s">
        <v>595</v>
      </c>
      <c r="E20" t="str">
        <f t="shared" si="1"/>
        <v>res_lightappl / household</v>
      </c>
      <c r="F20" t="s">
        <v>615</v>
      </c>
    </row>
    <row r="21" spans="3:8">
      <c r="C21" t="s">
        <v>612</v>
      </c>
      <c r="D21" t="s">
        <v>595</v>
      </c>
      <c r="E21" t="str">
        <f t="shared" si="1"/>
        <v>res_spcool / household</v>
      </c>
      <c r="F21" t="s">
        <v>615</v>
      </c>
    </row>
    <row r="22" spans="3:8">
      <c r="C22" t="s">
        <v>613</v>
      </c>
      <c r="D22" t="s">
        <v>595</v>
      </c>
      <c r="E22" t="str">
        <f t="shared" si="1"/>
        <v>res_spht / household</v>
      </c>
      <c r="F22" t="s">
        <v>615</v>
      </c>
    </row>
    <row r="23" spans="3:8">
      <c r="C23" t="s">
        <v>3648</v>
      </c>
      <c r="D23" t="s">
        <v>3649</v>
      </c>
      <c r="E23" t="s">
        <v>3650</v>
      </c>
      <c r="F23" t="s">
        <v>3651</v>
      </c>
      <c r="H23" t="s">
        <v>3139</v>
      </c>
    </row>
    <row r="35" spans="3:6">
      <c r="C35" t="s">
        <v>267</v>
      </c>
      <c r="E35" s="1" t="s">
        <v>559</v>
      </c>
      <c r="F35" t="s">
        <v>561</v>
      </c>
    </row>
    <row r="36" spans="3:6">
      <c r="C36" t="s">
        <v>267</v>
      </c>
      <c r="E36" s="1" t="s">
        <v>559</v>
      </c>
      <c r="F36" t="s">
        <v>584</v>
      </c>
    </row>
  </sheetData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"/>
  <dimension ref="A1:H96"/>
  <sheetViews>
    <sheetView workbookViewId="0"/>
  </sheetViews>
  <sheetFormatPr defaultRowHeight="14.25"/>
  <cols>
    <col min="1" max="1" width="14.1328125" bestFit="1" customWidth="1"/>
    <col min="2" max="3" width="13.59765625" bestFit="1" customWidth="1"/>
    <col min="7" max="7" width="10.265625" bestFit="1" customWidth="1"/>
  </cols>
  <sheetData>
    <row r="1" spans="1:3">
      <c r="A1" t="s">
        <v>116</v>
      </c>
    </row>
    <row r="2" spans="1:3">
      <c r="A2" t="s">
        <v>117</v>
      </c>
      <c r="B2" t="s">
        <v>2</v>
      </c>
      <c r="C2" t="s">
        <v>43</v>
      </c>
    </row>
    <row r="3" spans="1:3">
      <c r="A3" t="s">
        <v>288</v>
      </c>
      <c r="B3" t="s">
        <v>4</v>
      </c>
      <c r="C3" t="str">
        <f>B3</f>
        <v>Bio</v>
      </c>
    </row>
    <row r="4" spans="1:3">
      <c r="A4" t="s">
        <v>289</v>
      </c>
      <c r="B4" t="s">
        <v>5</v>
      </c>
      <c r="C4" t="str">
        <f t="shared" ref="C4:C19" si="0">B4</f>
        <v>Coal</v>
      </c>
    </row>
    <row r="5" spans="1:3">
      <c r="A5" t="s">
        <v>290</v>
      </c>
      <c r="B5" t="s">
        <v>6</v>
      </c>
      <c r="C5" t="str">
        <f t="shared" si="0"/>
        <v>Gas</v>
      </c>
    </row>
    <row r="6" spans="1:3">
      <c r="A6" t="s">
        <v>291</v>
      </c>
      <c r="B6" t="s">
        <v>292</v>
      </c>
      <c r="C6" t="str">
        <f t="shared" si="0"/>
        <v>Lignite</v>
      </c>
    </row>
    <row r="7" spans="1:3">
      <c r="A7" t="s">
        <v>293</v>
      </c>
      <c r="B7" t="s">
        <v>12</v>
      </c>
      <c r="C7" t="str">
        <f t="shared" si="0"/>
        <v>Geothermal</v>
      </c>
    </row>
    <row r="8" spans="1:3">
      <c r="A8" t="s">
        <v>294</v>
      </c>
      <c r="B8" t="s">
        <v>14</v>
      </c>
      <c r="C8" t="str">
        <f t="shared" si="0"/>
        <v>Nuclear</v>
      </c>
    </row>
    <row r="9" spans="1:3">
      <c r="A9" t="s">
        <v>295</v>
      </c>
      <c r="B9" t="s">
        <v>15</v>
      </c>
      <c r="C9" t="str">
        <f t="shared" si="0"/>
        <v>Oil</v>
      </c>
    </row>
    <row r="10" spans="1:3">
      <c r="A10" t="s">
        <v>296</v>
      </c>
      <c r="B10" t="s">
        <v>98</v>
      </c>
      <c r="C10" t="str">
        <f t="shared" si="0"/>
        <v>Crude</v>
      </c>
    </row>
    <row r="11" spans="1:3">
      <c r="A11" t="s">
        <v>297</v>
      </c>
      <c r="B11" t="s">
        <v>160</v>
      </c>
      <c r="C11" t="str">
        <f t="shared" si="0"/>
        <v>Diesel</v>
      </c>
    </row>
    <row r="12" spans="1:3">
      <c r="A12" t="s">
        <v>298</v>
      </c>
      <c r="B12" t="s">
        <v>36</v>
      </c>
      <c r="C12" t="str">
        <f t="shared" si="0"/>
        <v>Waste</v>
      </c>
    </row>
    <row r="13" spans="1:3">
      <c r="A13" t="s">
        <v>299</v>
      </c>
      <c r="B13" t="s">
        <v>13</v>
      </c>
      <c r="C13" t="str">
        <f t="shared" si="0"/>
        <v>Hydro</v>
      </c>
    </row>
    <row r="14" spans="1:3">
      <c r="A14" t="s">
        <v>300</v>
      </c>
      <c r="B14" t="s">
        <v>16</v>
      </c>
      <c r="C14" t="str">
        <f t="shared" si="0"/>
        <v>Solar</v>
      </c>
    </row>
    <row r="15" spans="1:3">
      <c r="A15" t="s">
        <v>301</v>
      </c>
      <c r="B15" t="s">
        <v>255</v>
      </c>
      <c r="C15" t="str">
        <f t="shared" si="0"/>
        <v>Tidal</v>
      </c>
    </row>
    <row r="16" spans="1:3">
      <c r="A16" t="s">
        <v>302</v>
      </c>
      <c r="B16" t="s">
        <v>17</v>
      </c>
      <c r="C16" t="str">
        <f t="shared" si="0"/>
        <v>Wind</v>
      </c>
    </row>
    <row r="17" spans="1:8">
      <c r="A17" t="s">
        <v>303</v>
      </c>
      <c r="B17" t="s">
        <v>304</v>
      </c>
      <c r="C17" t="str">
        <f t="shared" si="0"/>
        <v>Bio (CCS)</v>
      </c>
    </row>
    <row r="18" spans="1:8">
      <c r="A18" t="s">
        <v>305</v>
      </c>
      <c r="B18" t="s">
        <v>94</v>
      </c>
      <c r="C18" t="str">
        <f t="shared" si="0"/>
        <v>Coal (CCS)</v>
      </c>
    </row>
    <row r="19" spans="1:8">
      <c r="A19" t="s">
        <v>306</v>
      </c>
      <c r="B19" t="s">
        <v>95</v>
      </c>
      <c r="C19" t="str">
        <f t="shared" si="0"/>
        <v>Gas (CCS)</v>
      </c>
      <c r="H19" t="str">
        <f>_xlfn.TEXTJOIN(",",TRUE,A3:A19)</f>
        <v>E_Bio,E_Coal,E_Gas,E_Lignite,E_Geothermal,E_Nuclear,E_Oil,E_Crude,E_Diesel,E_Waste,E_Hydro,E_Solar,E_Tidal,E_Wind,E_Bio-S,E_Coal-S,E_Gas-S</v>
      </c>
    </row>
    <row r="20" spans="1:8">
      <c r="A20" t="s">
        <v>26</v>
      </c>
      <c r="B20" t="s">
        <v>148</v>
      </c>
    </row>
    <row r="21" spans="1:8">
      <c r="A21" t="s">
        <v>238</v>
      </c>
      <c r="B21" t="s">
        <v>96</v>
      </c>
      <c r="C21" t="str">
        <f t="shared" ref="C21:C28" si="1">B21</f>
        <v>Agri</v>
      </c>
    </row>
    <row r="22" spans="1:8">
      <c r="A22" t="s">
        <v>239</v>
      </c>
      <c r="B22" t="s">
        <v>19</v>
      </c>
      <c r="C22" t="str">
        <f t="shared" si="1"/>
        <v>Commercial</v>
      </c>
    </row>
    <row r="23" spans="1:8">
      <c r="A23" t="s">
        <v>240</v>
      </c>
      <c r="B23" t="s">
        <v>20</v>
      </c>
      <c r="C23" t="str">
        <f t="shared" si="1"/>
        <v>Residential</v>
      </c>
    </row>
    <row r="24" spans="1:8">
      <c r="A24" t="s">
        <v>279</v>
      </c>
      <c r="B24" t="s">
        <v>9</v>
      </c>
      <c r="C24" t="str">
        <f t="shared" si="1"/>
        <v>Industry</v>
      </c>
    </row>
    <row r="25" spans="1:8">
      <c r="A25" t="s">
        <v>241</v>
      </c>
      <c r="B25" t="s">
        <v>9</v>
      </c>
      <c r="C25" t="str">
        <f t="shared" si="1"/>
        <v>Industry</v>
      </c>
    </row>
    <row r="26" spans="1:8">
      <c r="A26" t="s">
        <v>348</v>
      </c>
      <c r="B26" t="s">
        <v>265</v>
      </c>
      <c r="C26" t="str">
        <f t="shared" si="1"/>
        <v>Non-Energy</v>
      </c>
    </row>
    <row r="27" spans="1:8">
      <c r="A27" t="s">
        <v>349</v>
      </c>
      <c r="B27" t="s">
        <v>350</v>
      </c>
      <c r="C27" t="str">
        <f t="shared" si="1"/>
        <v>Tra Non-Road</v>
      </c>
    </row>
    <row r="28" spans="1:8">
      <c r="A28" t="s">
        <v>351</v>
      </c>
      <c r="B28" t="s">
        <v>352</v>
      </c>
      <c r="C28" t="str">
        <f t="shared" si="1"/>
        <v>Tra Road</v>
      </c>
      <c r="G28" t="s">
        <v>314</v>
      </c>
      <c r="H28" t="str">
        <f>_xlfn.TEXTJOIN(",",TRUE,A21:A28)</f>
        <v>DMD_AGR,DMD_COM,DMD_RES,DMD_AUTOP,DMD_IND,DMD_Non-En,DMD_TRA-NR,DMD_TRA-R</v>
      </c>
    </row>
    <row r="29" spans="1:8">
      <c r="A29" t="s">
        <v>26</v>
      </c>
      <c r="B29" t="s">
        <v>121</v>
      </c>
    </row>
    <row r="30" spans="1:8">
      <c r="A30" t="s">
        <v>487</v>
      </c>
      <c r="B30" t="s">
        <v>488</v>
      </c>
      <c r="C30" t="str">
        <f>B30</f>
        <v>Direct Air Cap</v>
      </c>
      <c r="H30" t="str">
        <f>A30</f>
        <v>s_DAC</v>
      </c>
    </row>
    <row r="31" spans="1:8">
      <c r="A31" t="s">
        <v>122</v>
      </c>
      <c r="B31" t="s">
        <v>135</v>
      </c>
      <c r="C31" t="str">
        <f t="shared" ref="C31:C58" si="2">B31</f>
        <v>Avoided Forest Conv</v>
      </c>
    </row>
    <row r="32" spans="1:8">
      <c r="A32" t="s">
        <v>123</v>
      </c>
      <c r="B32" t="s">
        <v>124</v>
      </c>
      <c r="C32" t="str">
        <f t="shared" si="2"/>
        <v xml:space="preserve">Reforestation </v>
      </c>
    </row>
    <row r="33" spans="1:8">
      <c r="A33" t="s">
        <v>125</v>
      </c>
      <c r="B33" t="s">
        <v>136</v>
      </c>
      <c r="C33" t="str">
        <f t="shared" si="2"/>
        <v>Nat Forest Mgmt</v>
      </c>
    </row>
    <row r="34" spans="1:8">
      <c r="A34" t="s">
        <v>126</v>
      </c>
      <c r="B34" t="s">
        <v>127</v>
      </c>
      <c r="C34" t="str">
        <f t="shared" si="2"/>
        <v xml:space="preserve">Biochar </v>
      </c>
    </row>
    <row r="35" spans="1:8">
      <c r="A35" t="s">
        <v>128</v>
      </c>
      <c r="B35" t="s">
        <v>139</v>
      </c>
      <c r="C35" t="str">
        <f t="shared" si="2"/>
        <v>Crplnd Nutrient Mgmt</v>
      </c>
    </row>
    <row r="36" spans="1:8">
      <c r="A36" t="s">
        <v>129</v>
      </c>
      <c r="B36" t="s">
        <v>130</v>
      </c>
      <c r="C36" t="str">
        <f t="shared" si="2"/>
        <v xml:space="preserve">Trees in Cropland </v>
      </c>
    </row>
    <row r="37" spans="1:8">
      <c r="A37" t="s">
        <v>131</v>
      </c>
      <c r="B37" t="s">
        <v>137</v>
      </c>
      <c r="C37" t="str">
        <f t="shared" si="2"/>
        <v>Avoided Peatland</v>
      </c>
    </row>
    <row r="38" spans="1:8">
      <c r="A38" t="s">
        <v>132</v>
      </c>
      <c r="B38" t="s">
        <v>138</v>
      </c>
      <c r="C38" t="str">
        <f t="shared" si="2"/>
        <v>Cstal Wetland Rstrn</v>
      </c>
    </row>
    <row r="39" spans="1:8">
      <c r="A39" t="s">
        <v>133</v>
      </c>
      <c r="B39" t="s">
        <v>134</v>
      </c>
      <c r="C39" t="str">
        <f t="shared" si="2"/>
        <v xml:space="preserve">Peatland Restoration </v>
      </c>
      <c r="H39" t="str">
        <f>_xlfn.TEXTJOIN(",",TRUE,A31:A39)</f>
        <v>Snk_Avo_For,Snk_Ref_-_T,Snk_Nat_For,Snk_Bio_-_T,Snk_Cro_Nut,Snk_Tre_In_,Snk_Avo_Pet,Snk_Coa_Wet,Snk_Pet_Res</v>
      </c>
    </row>
    <row r="40" spans="1:8">
      <c r="A40" t="s">
        <v>26</v>
      </c>
    </row>
    <row r="41" spans="1:8">
      <c r="A41" t="s">
        <v>316</v>
      </c>
      <c r="B41" t="s">
        <v>354</v>
      </c>
      <c r="C41" t="str">
        <f t="shared" si="2"/>
        <v>Thermal Power</v>
      </c>
    </row>
    <row r="42" spans="1:8">
      <c r="A42" t="s">
        <v>318</v>
      </c>
      <c r="B42" t="s">
        <v>319</v>
      </c>
      <c r="C42" t="str">
        <f t="shared" si="2"/>
        <v>Thermal CCS</v>
      </c>
    </row>
    <row r="43" spans="1:8">
      <c r="A43" t="s">
        <v>897</v>
      </c>
      <c r="B43" t="s">
        <v>898</v>
      </c>
      <c r="C43" t="str">
        <f t="shared" si="2"/>
        <v>Utility Heat Pump</v>
      </c>
    </row>
    <row r="44" spans="1:8">
      <c r="A44" t="s">
        <v>320</v>
      </c>
      <c r="B44" t="s">
        <v>201</v>
      </c>
      <c r="C44" t="str">
        <f t="shared" si="2"/>
        <v>Ren Elec</v>
      </c>
    </row>
    <row r="45" spans="1:8">
      <c r="A45" t="s">
        <v>321</v>
      </c>
      <c r="B45" t="s">
        <v>355</v>
      </c>
      <c r="C45" t="str">
        <f t="shared" si="2"/>
        <v>Oil Ref</v>
      </c>
    </row>
    <row r="46" spans="1:8">
      <c r="A46" t="s">
        <v>322</v>
      </c>
      <c r="B46" t="s">
        <v>356</v>
      </c>
      <c r="C46" t="str">
        <f t="shared" si="2"/>
        <v>BF and CokOv</v>
      </c>
    </row>
    <row r="47" spans="1:8">
      <c r="A47" t="s">
        <v>323</v>
      </c>
      <c r="B47" t="s">
        <v>325</v>
      </c>
      <c r="C47" t="str">
        <f t="shared" si="2"/>
        <v>Bio Ref</v>
      </c>
    </row>
    <row r="48" spans="1:8">
      <c r="A48" t="s">
        <v>3130</v>
      </c>
      <c r="B48" t="str">
        <f>MID(A48,4,22)</f>
        <v>Exp_LH2</v>
      </c>
      <c r="C48" t="str">
        <f t="shared" si="2"/>
        <v>Exp_LH2</v>
      </c>
    </row>
    <row r="49" spans="1:8">
      <c r="A49" t="s">
        <v>3131</v>
      </c>
      <c r="B49" t="str">
        <f>MID(A49,4,22)</f>
        <v>Exp_Amm</v>
      </c>
      <c r="C49" t="str">
        <f t="shared" si="2"/>
        <v>Exp_Amm</v>
      </c>
    </row>
    <row r="50" spans="1:8">
      <c r="A50" t="s">
        <v>3132</v>
      </c>
      <c r="B50" t="str">
        <f t="shared" ref="B50:B53" si="3">MID(A50,4,22)</f>
        <v>Exp_LOHC</v>
      </c>
      <c r="C50" t="str">
        <f t="shared" si="2"/>
        <v>Exp_LOHC</v>
      </c>
    </row>
    <row r="51" spans="1:8">
      <c r="A51" t="s">
        <v>3133</v>
      </c>
      <c r="B51" t="str">
        <f t="shared" si="3"/>
        <v>Imp_LH2</v>
      </c>
      <c r="C51" t="str">
        <f t="shared" si="2"/>
        <v>Imp_LH2</v>
      </c>
    </row>
    <row r="52" spans="1:8">
      <c r="A52" t="s">
        <v>3134</v>
      </c>
      <c r="B52" t="str">
        <f t="shared" si="3"/>
        <v>Imp_Amm</v>
      </c>
      <c r="C52" t="str">
        <f t="shared" si="2"/>
        <v>Imp_Amm</v>
      </c>
    </row>
    <row r="53" spans="1:8">
      <c r="A53" t="s">
        <v>3135</v>
      </c>
      <c r="B53" t="str">
        <f t="shared" si="3"/>
        <v>Imp_LOHC</v>
      </c>
      <c r="C53" t="str">
        <f t="shared" si="2"/>
        <v>Imp_LOHC</v>
      </c>
    </row>
    <row r="54" spans="1:8">
      <c r="A54" t="s">
        <v>327</v>
      </c>
      <c r="B54" t="s">
        <v>328</v>
      </c>
      <c r="C54" t="str">
        <f t="shared" si="2"/>
        <v>H2 Thermal</v>
      </c>
    </row>
    <row r="55" spans="1:8">
      <c r="A55" t="s">
        <v>622</v>
      </c>
      <c r="B55" t="s">
        <v>623</v>
      </c>
      <c r="C55" t="str">
        <f t="shared" si="2"/>
        <v>H2 Bio</v>
      </c>
    </row>
    <row r="56" spans="1:8">
      <c r="A56" t="s">
        <v>329</v>
      </c>
      <c r="B56" t="s">
        <v>330</v>
      </c>
      <c r="C56" t="str">
        <f t="shared" si="2"/>
        <v>H2 Elec</v>
      </c>
      <c r="G56" t="s">
        <v>315</v>
      </c>
      <c r="H56" t="str">
        <f>_xlfn.TEXTJOIN(",",TRUE,A41:A56)</f>
        <v>E_Thermal,E_Thermal-S,E_USHP,E_Renewable,FossilProc,IndProc,BioRef,H2_Exp_LH2,H2_Exp_Amm,H2_Exp_LOHC,H2_Imp_LH2,H2_Imp_Amm,H2_Imp_LOHC,H2_Thermal,H2_Bio,H2_Elec</v>
      </c>
    </row>
    <row r="57" spans="1:8">
      <c r="A57" t="s">
        <v>26</v>
      </c>
    </row>
    <row r="58" spans="1:8">
      <c r="A58" t="s">
        <v>458</v>
      </c>
      <c r="B58" t="s">
        <v>335</v>
      </c>
      <c r="C58" t="str">
        <f t="shared" si="2"/>
        <v>Extraction</v>
      </c>
      <c r="G58" t="s">
        <v>336</v>
      </c>
      <c r="H58" t="str">
        <f>A58</f>
        <v>s_Mining</v>
      </c>
    </row>
    <row r="59" spans="1:8">
      <c r="A59" t="s">
        <v>26</v>
      </c>
      <c r="B59" t="s">
        <v>3183</v>
      </c>
    </row>
    <row r="60" spans="1:8">
      <c r="A60" t="s">
        <v>238</v>
      </c>
      <c r="B60" t="s">
        <v>41</v>
      </c>
    </row>
    <row r="61" spans="1:8">
      <c r="A61" t="s">
        <v>392</v>
      </c>
      <c r="B61" t="s">
        <v>3184</v>
      </c>
    </row>
    <row r="62" spans="1:8">
      <c r="A62" t="s">
        <v>394</v>
      </c>
      <c r="B62" t="s">
        <v>3185</v>
      </c>
    </row>
    <row r="63" spans="1:8">
      <c r="A63" t="s">
        <v>396</v>
      </c>
      <c r="B63" t="s">
        <v>532</v>
      </c>
    </row>
    <row r="64" spans="1:8">
      <c r="A64" t="s">
        <v>398</v>
      </c>
      <c r="B64" t="s">
        <v>3186</v>
      </c>
    </row>
    <row r="65" spans="1:2">
      <c r="A65" t="s">
        <v>400</v>
      </c>
      <c r="B65" t="s">
        <v>3187</v>
      </c>
    </row>
    <row r="66" spans="1:2">
      <c r="A66" t="s">
        <v>402</v>
      </c>
      <c r="B66" t="s">
        <v>3188</v>
      </c>
    </row>
    <row r="67" spans="1:2">
      <c r="A67" t="s">
        <v>404</v>
      </c>
      <c r="B67" t="s">
        <v>178</v>
      </c>
    </row>
    <row r="68" spans="1:2">
      <c r="A68" t="s">
        <v>405</v>
      </c>
      <c r="B68" t="s">
        <v>406</v>
      </c>
    </row>
    <row r="69" spans="1:2">
      <c r="A69" t="s">
        <v>3670</v>
      </c>
      <c r="B69" t="s">
        <v>531</v>
      </c>
    </row>
    <row r="70" spans="1:2">
      <c r="A70" t="s">
        <v>3671</v>
      </c>
      <c r="B70" t="s">
        <v>3658</v>
      </c>
    </row>
    <row r="71" spans="1:2">
      <c r="A71" t="s">
        <v>3672</v>
      </c>
      <c r="B71" t="s">
        <v>3660</v>
      </c>
    </row>
    <row r="72" spans="1:2">
      <c r="A72" t="s">
        <v>3673</v>
      </c>
      <c r="B72" t="s">
        <v>3662</v>
      </c>
    </row>
    <row r="73" spans="1:2">
      <c r="A73" t="s">
        <v>3674</v>
      </c>
      <c r="B73" t="s">
        <v>537</v>
      </c>
    </row>
    <row r="74" spans="1:2">
      <c r="A74" t="s">
        <v>3675</v>
      </c>
      <c r="B74" t="s">
        <v>3665</v>
      </c>
    </row>
    <row r="75" spans="1:2">
      <c r="A75" t="s">
        <v>3676</v>
      </c>
      <c r="B75" t="s">
        <v>3667</v>
      </c>
    </row>
    <row r="76" spans="1:2">
      <c r="A76" t="s">
        <v>3677</v>
      </c>
      <c r="B76" t="s">
        <v>532</v>
      </c>
    </row>
    <row r="77" spans="1:2">
      <c r="A77" t="s">
        <v>3678</v>
      </c>
      <c r="B77" t="s">
        <v>533</v>
      </c>
    </row>
    <row r="78" spans="1:2">
      <c r="A78" t="s">
        <v>418</v>
      </c>
      <c r="B78" t="s">
        <v>261</v>
      </c>
    </row>
    <row r="79" spans="1:2">
      <c r="A79" t="s">
        <v>419</v>
      </c>
      <c r="B79" t="s">
        <v>3186</v>
      </c>
    </row>
    <row r="80" spans="1:2">
      <c r="A80" t="s">
        <v>421</v>
      </c>
      <c r="B80" t="s">
        <v>3184</v>
      </c>
    </row>
    <row r="81" spans="1:8">
      <c r="A81" t="s">
        <v>423</v>
      </c>
      <c r="B81" t="s">
        <v>3185</v>
      </c>
    </row>
    <row r="82" spans="1:8">
      <c r="A82" t="s">
        <v>425</v>
      </c>
      <c r="B82" t="s">
        <v>532</v>
      </c>
    </row>
    <row r="83" spans="1:8">
      <c r="A83" t="s">
        <v>427</v>
      </c>
      <c r="B83" t="s">
        <v>3187</v>
      </c>
    </row>
    <row r="84" spans="1:8">
      <c r="A84" t="s">
        <v>429</v>
      </c>
      <c r="B84" t="s">
        <v>3188</v>
      </c>
    </row>
    <row r="85" spans="1:8">
      <c r="A85" t="s">
        <v>431</v>
      </c>
      <c r="B85" t="s">
        <v>3189</v>
      </c>
    </row>
    <row r="86" spans="1:8">
      <c r="A86" t="s">
        <v>433</v>
      </c>
      <c r="B86" t="s">
        <v>3190</v>
      </c>
    </row>
    <row r="87" spans="1:8">
      <c r="A87" t="s">
        <v>435</v>
      </c>
      <c r="B87" t="s">
        <v>436</v>
      </c>
    </row>
    <row r="88" spans="1:8">
      <c r="A88" t="s">
        <v>437</v>
      </c>
      <c r="B88" t="s">
        <v>438</v>
      </c>
    </row>
    <row r="89" spans="1:8">
      <c r="A89" t="s">
        <v>439</v>
      </c>
      <c r="B89" t="s">
        <v>286</v>
      </c>
    </row>
    <row r="90" spans="1:8">
      <c r="A90" t="s">
        <v>440</v>
      </c>
      <c r="B90" t="s">
        <v>150</v>
      </c>
    </row>
    <row r="91" spans="1:8">
      <c r="A91" t="s">
        <v>441</v>
      </c>
      <c r="B91" t="s">
        <v>442</v>
      </c>
    </row>
    <row r="92" spans="1:8">
      <c r="A92" t="s">
        <v>443</v>
      </c>
      <c r="B92" t="s">
        <v>444</v>
      </c>
    </row>
    <row r="93" spans="1:8">
      <c r="A93" t="s">
        <v>445</v>
      </c>
      <c r="B93" t="s">
        <v>446</v>
      </c>
    </row>
    <row r="94" spans="1:8">
      <c r="A94" t="s">
        <v>447</v>
      </c>
      <c r="B94" t="s">
        <v>448</v>
      </c>
    </row>
    <row r="95" spans="1:8">
      <c r="A95" t="s">
        <v>449</v>
      </c>
      <c r="B95" t="s">
        <v>3191</v>
      </c>
    </row>
    <row r="96" spans="1:8">
      <c r="A96" t="s">
        <v>451</v>
      </c>
      <c r="B96" t="s">
        <v>3192</v>
      </c>
      <c r="H96" s="1" t="str">
        <f>_xlfn.TEXTJOIN(",",TRUE,A60:A96)</f>
        <v>DMD_AGR,DMD_CCK,DMD_CHW,DMD_CLA,DMD_CAP,DMD_CSC,DMD_CSH,DMD_ICH,DMD_ICH-fStock,IndSerT_STM,IndSerT_PRH,IndSerT_PRC,IndSerT_MDR,IndSerT_ECP,IndSerT_OTP,IndSerT_SPC,IndSerT_LIG,IndSerT_OTH,DMD_ONO,DMD_RAP,DMD_RCK,DMD_RHW,DMD_RLI,DMD_RSC,DMD_RSH,DMD_TAD,DMD_TAI,DMD_Trd_2w,DMD_Trd_3w,DMD_Trd_Bus,DMD_Trd_Car,DMD_Trd_Hdt,DMD_Trd_Lcv,DMD_TTF,DMD_TTP,DMD_TWD,DMD_TWI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641A1-D8EF-4B2D-A375-CFB98AC934ED}">
  <sheetPr codeName="Sheet5"/>
  <dimension ref="A1:H29"/>
  <sheetViews>
    <sheetView workbookViewId="0"/>
  </sheetViews>
  <sheetFormatPr defaultRowHeight="14.25"/>
  <cols>
    <col min="1" max="1" width="11.59765625" bestFit="1" customWidth="1"/>
    <col min="2" max="2" width="11" bestFit="1" customWidth="1"/>
  </cols>
  <sheetData>
    <row r="1" spans="1:8">
      <c r="A1" t="s">
        <v>242</v>
      </c>
    </row>
    <row r="2" spans="1:8">
      <c r="A2" t="s">
        <v>243</v>
      </c>
      <c r="B2" t="s">
        <v>2</v>
      </c>
      <c r="C2" t="s">
        <v>43</v>
      </c>
    </row>
    <row r="3" spans="1:8">
      <c r="A3" t="s">
        <v>307</v>
      </c>
      <c r="B3" t="s">
        <v>16</v>
      </c>
      <c r="C3" t="str">
        <f>B3</f>
        <v>Solar</v>
      </c>
    </row>
    <row r="4" spans="1:8">
      <c r="A4" t="s">
        <v>308</v>
      </c>
      <c r="B4" t="s">
        <v>17</v>
      </c>
      <c r="C4" t="str">
        <f t="shared" ref="C4:C18" si="0">B4</f>
        <v>Wind</v>
      </c>
    </row>
    <row r="5" spans="1:8">
      <c r="A5" t="s">
        <v>309</v>
      </c>
      <c r="B5" t="s">
        <v>13</v>
      </c>
      <c r="C5" t="str">
        <f t="shared" si="0"/>
        <v>Hydro</v>
      </c>
    </row>
    <row r="6" spans="1:8">
      <c r="A6" t="s">
        <v>310</v>
      </c>
      <c r="B6" t="s">
        <v>311</v>
      </c>
      <c r="C6" t="str">
        <f t="shared" si="0"/>
        <v>Geotherm</v>
      </c>
      <c r="H6" t="str">
        <f>_xlfn.TEXTJOIN(",",TRUE,A3:A6)</f>
        <v>ALLSOL,ALLWIN,ALLHYD,ALLGEO</v>
      </c>
    </row>
    <row r="7" spans="1:8">
      <c r="A7" t="s">
        <v>244</v>
      </c>
      <c r="B7" t="s">
        <v>35</v>
      </c>
      <c r="C7" t="str">
        <f t="shared" si="0"/>
        <v>Biomass</v>
      </c>
    </row>
    <row r="8" spans="1:8">
      <c r="A8" t="s">
        <v>245</v>
      </c>
      <c r="B8" t="s">
        <v>14</v>
      </c>
      <c r="C8" t="str">
        <f t="shared" si="0"/>
        <v>Nuclear</v>
      </c>
    </row>
    <row r="9" spans="1:8">
      <c r="A9" t="s">
        <v>246</v>
      </c>
      <c r="B9" t="s">
        <v>337</v>
      </c>
      <c r="C9" t="str">
        <f t="shared" si="0"/>
        <v>Grid Elec</v>
      </c>
    </row>
    <row r="10" spans="1:8">
      <c r="A10" t="s">
        <v>312</v>
      </c>
      <c r="B10" t="s">
        <v>313</v>
      </c>
      <c r="C10" t="str">
        <f t="shared" si="0"/>
        <v>Int. Elec</v>
      </c>
    </row>
    <row r="11" spans="1:8">
      <c r="A11" t="s">
        <v>250</v>
      </c>
      <c r="B11" t="s">
        <v>8</v>
      </c>
      <c r="C11" t="str">
        <f t="shared" si="0"/>
        <v>Hydrogen</v>
      </c>
    </row>
    <row r="12" spans="1:8">
      <c r="A12" t="s">
        <v>248</v>
      </c>
      <c r="B12" t="s">
        <v>5</v>
      </c>
      <c r="C12" t="str">
        <f t="shared" si="0"/>
        <v>Coal</v>
      </c>
    </row>
    <row r="13" spans="1:8">
      <c r="A13" t="s">
        <v>339</v>
      </c>
      <c r="B13" t="s">
        <v>340</v>
      </c>
      <c r="C13" t="str">
        <f t="shared" si="0"/>
        <v>Coal Ind.</v>
      </c>
    </row>
    <row r="14" spans="1:8">
      <c r="A14" t="s">
        <v>886</v>
      </c>
      <c r="B14" t="s">
        <v>887</v>
      </c>
      <c r="C14" t="str">
        <f t="shared" si="0"/>
        <v>Biofuels liq</v>
      </c>
    </row>
    <row r="15" spans="1:8">
      <c r="A15" t="s">
        <v>888</v>
      </c>
      <c r="B15" t="s">
        <v>889</v>
      </c>
      <c r="C15" t="str">
        <f t="shared" si="0"/>
        <v>Biofuels gas</v>
      </c>
    </row>
    <row r="16" spans="1:8">
      <c r="A16" t="s">
        <v>249</v>
      </c>
      <c r="B16" t="s">
        <v>7</v>
      </c>
      <c r="C16" t="str">
        <f t="shared" si="0"/>
        <v>Heat</v>
      </c>
    </row>
    <row r="17" spans="1:8">
      <c r="A17" t="s">
        <v>343</v>
      </c>
      <c r="B17" t="s">
        <v>345</v>
      </c>
      <c r="C17" t="str">
        <f t="shared" si="0"/>
        <v>Oil Crude</v>
      </c>
    </row>
    <row r="18" spans="1:8">
      <c r="A18" t="s">
        <v>344</v>
      </c>
      <c r="B18" t="s">
        <v>346</v>
      </c>
      <c r="C18" t="str">
        <f t="shared" si="0"/>
        <v>Oil Prod.</v>
      </c>
    </row>
    <row r="19" spans="1:8">
      <c r="A19" t="s">
        <v>247</v>
      </c>
      <c r="B19" t="s">
        <v>6</v>
      </c>
      <c r="C19" t="str">
        <f t="shared" ref="C19" si="1">B19</f>
        <v>Gas</v>
      </c>
      <c r="H19" s="1" t="str">
        <f>_xlfn.TEXTJOIN(",",TRUE,A3:A19)</f>
        <v>ALLSOL,ALLWIN,ALLHYD,ALLGEO,ALLBIO,ALLNUC,ALLELC,ALLELCi,ALLH2,ALLCOAL,ALLCOALInd,ALLBIOFliq,ALLBIOFgas,ALLHEAT,ALLOILCrd,ALLOILPrd,ALLGAS</v>
      </c>
    </row>
    <row r="20" spans="1:8">
      <c r="A20" t="s">
        <v>26</v>
      </c>
      <c r="B20" t="s">
        <v>3655</v>
      </c>
    </row>
    <row r="21" spans="1:8">
      <c r="A21" t="s">
        <v>3656</v>
      </c>
      <c r="B21" t="s">
        <v>3684</v>
      </c>
    </row>
    <row r="22" spans="1:8">
      <c r="A22" t="s">
        <v>3657</v>
      </c>
      <c r="B22" t="s">
        <v>3685</v>
      </c>
    </row>
    <row r="23" spans="1:8">
      <c r="A23" t="s">
        <v>3659</v>
      </c>
      <c r="B23" t="s">
        <v>3686</v>
      </c>
    </row>
    <row r="24" spans="1:8">
      <c r="A24" t="s">
        <v>3661</v>
      </c>
      <c r="B24" t="s">
        <v>3687</v>
      </c>
    </row>
    <row r="25" spans="1:8">
      <c r="A25" t="s">
        <v>3663</v>
      </c>
      <c r="B25" t="s">
        <v>3688</v>
      </c>
    </row>
    <row r="26" spans="1:8">
      <c r="A26" t="s">
        <v>3664</v>
      </c>
      <c r="B26" t="s">
        <v>3689</v>
      </c>
    </row>
    <row r="27" spans="1:8">
      <c r="A27" t="s">
        <v>3666</v>
      </c>
      <c r="B27" t="s">
        <v>3690</v>
      </c>
    </row>
    <row r="28" spans="1:8">
      <c r="A28" t="s">
        <v>3668</v>
      </c>
      <c r="B28" t="s">
        <v>3691</v>
      </c>
    </row>
    <row r="29" spans="1:8">
      <c r="A29" t="s">
        <v>3669</v>
      </c>
      <c r="B29" t="s">
        <v>3692</v>
      </c>
      <c r="H29" s="1" t="str">
        <f>_xlfn.TEXTJOIN(",",TRUE,A21:A29)</f>
        <v>IndSer_STM,IndSer_PRH,IndSer_PRC,IndSer_MDR,IndSer_ECP,IndSer_OTP,IndSer_SPC,IndSer_LIG,IndSer_OTH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F7E7D-F939-4FD1-8F83-19531BE9BA47}">
  <sheetPr codeName="Sheet6"/>
  <dimension ref="A1:C7"/>
  <sheetViews>
    <sheetView workbookViewId="0"/>
  </sheetViews>
  <sheetFormatPr defaultRowHeight="14.25"/>
  <sheetData>
    <row r="1" spans="1:3">
      <c r="A1" t="s">
        <v>252</v>
      </c>
    </row>
    <row r="2" spans="1:3">
      <c r="A2" t="s">
        <v>253</v>
      </c>
      <c r="B2" t="s">
        <v>2</v>
      </c>
      <c r="C2" t="s">
        <v>43</v>
      </c>
    </row>
    <row r="3" spans="1:3">
      <c r="A3" t="s">
        <v>45</v>
      </c>
      <c r="B3" t="s">
        <v>13</v>
      </c>
      <c r="C3" t="str">
        <f>B3</f>
        <v>Hydro</v>
      </c>
    </row>
    <row r="4" spans="1:3">
      <c r="A4" t="s">
        <v>46</v>
      </c>
      <c r="B4" t="s">
        <v>16</v>
      </c>
      <c r="C4" t="str">
        <f t="shared" ref="C4:C7" si="0">B4</f>
        <v>Solar</v>
      </c>
    </row>
    <row r="5" spans="1:3">
      <c r="A5" t="s">
        <v>47</v>
      </c>
      <c r="B5" t="s">
        <v>17</v>
      </c>
      <c r="C5" t="str">
        <f t="shared" si="0"/>
        <v>Wind</v>
      </c>
    </row>
    <row r="6" spans="1:3">
      <c r="A6" t="s">
        <v>44</v>
      </c>
      <c r="B6" t="s">
        <v>12</v>
      </c>
      <c r="C6" t="str">
        <f t="shared" si="0"/>
        <v>Geothermal</v>
      </c>
    </row>
    <row r="7" spans="1:3">
      <c r="A7" t="s">
        <v>254</v>
      </c>
      <c r="B7" t="s">
        <v>255</v>
      </c>
      <c r="C7" t="str">
        <f t="shared" si="0"/>
        <v>Tidal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F5A23-CDD7-4773-91D4-CE0B0A860FFC}">
  <dimension ref="A1:H144"/>
  <sheetViews>
    <sheetView workbookViewId="0"/>
  </sheetViews>
  <sheetFormatPr defaultRowHeight="14.25"/>
  <cols>
    <col min="1" max="1" width="35" bestFit="1" customWidth="1"/>
    <col min="2" max="2" width="23.86328125" bestFit="1" customWidth="1"/>
    <col min="6" max="6" width="10.73046875" bestFit="1" customWidth="1"/>
    <col min="7" max="7" width="12.265625" bestFit="1" customWidth="1"/>
  </cols>
  <sheetData>
    <row r="1" spans="1:8">
      <c r="A1" t="s">
        <v>652</v>
      </c>
    </row>
    <row r="2" spans="1:8">
      <c r="A2" t="s">
        <v>653</v>
      </c>
      <c r="B2" t="s">
        <v>2</v>
      </c>
      <c r="C2" t="s">
        <v>43</v>
      </c>
    </row>
    <row r="5" spans="1:8">
      <c r="A5" t="s">
        <v>3193</v>
      </c>
      <c r="B5" t="str">
        <f>F5&amp;IF(G5="",""," - "&amp;G5)</f>
        <v>gp_aut-hun</v>
      </c>
      <c r="F5" t="s">
        <v>3444</v>
      </c>
      <c r="H5" t="s">
        <v>3194</v>
      </c>
    </row>
    <row r="6" spans="1:8">
      <c r="A6" t="s">
        <v>3195</v>
      </c>
      <c r="B6" t="str">
        <f t="shared" ref="B6:B69" si="0">F6&amp;IF(G6="",""," - "&amp;G6)</f>
        <v>gp_hun-srb</v>
      </c>
      <c r="F6" t="s">
        <v>3445</v>
      </c>
      <c r="H6" t="s">
        <v>3194</v>
      </c>
    </row>
    <row r="7" spans="1:8">
      <c r="A7" t="s">
        <v>3196</v>
      </c>
      <c r="B7" t="str">
        <f t="shared" si="0"/>
        <v>gp_ltu-pol</v>
      </c>
      <c r="F7" t="s">
        <v>3446</v>
      </c>
      <c r="H7" t="s">
        <v>3194</v>
      </c>
    </row>
    <row r="8" spans="1:8">
      <c r="A8" t="s">
        <v>3197</v>
      </c>
      <c r="B8" t="str">
        <f t="shared" si="0"/>
        <v>gp_srb-bih</v>
      </c>
      <c r="F8" t="s">
        <v>3447</v>
      </c>
      <c r="H8" t="s">
        <v>3194</v>
      </c>
    </row>
    <row r="9" spans="1:8">
      <c r="A9" t="s">
        <v>3198</v>
      </c>
      <c r="B9" t="str">
        <f t="shared" si="0"/>
        <v>gp_svk-pol</v>
      </c>
      <c r="F9" t="s">
        <v>3448</v>
      </c>
      <c r="H9" t="s">
        <v>3194</v>
      </c>
    </row>
    <row r="10" spans="1:8">
      <c r="A10" t="s">
        <v>3199</v>
      </c>
      <c r="B10" t="str">
        <f t="shared" si="0"/>
        <v>gp_ukr-pol</v>
      </c>
      <c r="F10" t="s">
        <v>3449</v>
      </c>
      <c r="H10" t="s">
        <v>3194</v>
      </c>
    </row>
    <row r="11" spans="1:8">
      <c r="A11" t="s">
        <v>3200</v>
      </c>
      <c r="B11" t="str">
        <f t="shared" si="0"/>
        <v>gp_uzb-tjk</v>
      </c>
      <c r="F11" t="s">
        <v>3450</v>
      </c>
      <c r="H11" t="s">
        <v>3194</v>
      </c>
    </row>
    <row r="12" spans="1:8">
      <c r="A12" t="s">
        <v>3201</v>
      </c>
      <c r="B12" t="str">
        <f t="shared" si="0"/>
        <v>gp_mda-rou</v>
      </c>
      <c r="F12" t="s">
        <v>3451</v>
      </c>
      <c r="H12" t="s">
        <v>3202</v>
      </c>
    </row>
    <row r="13" spans="1:8">
      <c r="A13" t="s">
        <v>3203</v>
      </c>
      <c r="B13" t="str">
        <f t="shared" si="0"/>
        <v>gp_ukr-mda</v>
      </c>
      <c r="F13" t="s">
        <v>3452</v>
      </c>
      <c r="H13" t="s">
        <v>3202</v>
      </c>
    </row>
    <row r="14" spans="1:8">
      <c r="A14" t="s">
        <v>3204</v>
      </c>
      <c r="B14" t="str">
        <f t="shared" si="0"/>
        <v>gp_fra-che</v>
      </c>
      <c r="F14" t="s">
        <v>3453</v>
      </c>
      <c r="H14" t="s">
        <v>3205</v>
      </c>
    </row>
    <row r="15" spans="1:8">
      <c r="A15" t="s">
        <v>3206</v>
      </c>
      <c r="B15" t="str">
        <f t="shared" si="0"/>
        <v>gp_egy-jor</v>
      </c>
      <c r="F15" t="s">
        <v>3454</v>
      </c>
      <c r="H15" t="s">
        <v>3207</v>
      </c>
    </row>
    <row r="16" spans="1:8">
      <c r="A16" t="s">
        <v>3208</v>
      </c>
      <c r="B16" t="str">
        <f t="shared" si="0"/>
        <v>gp_rou-hun</v>
      </c>
      <c r="F16" t="s">
        <v>3455</v>
      </c>
      <c r="H16" t="s">
        <v>3209</v>
      </c>
    </row>
    <row r="17" spans="1:8">
      <c r="A17" t="s">
        <v>3210</v>
      </c>
      <c r="B17" t="str">
        <f t="shared" si="0"/>
        <v>gp_isr-egy</v>
      </c>
      <c r="F17" t="s">
        <v>3456</v>
      </c>
      <c r="H17" t="s">
        <v>3211</v>
      </c>
    </row>
    <row r="18" spans="1:8">
      <c r="A18" t="s">
        <v>3212</v>
      </c>
      <c r="B18" t="str">
        <f t="shared" si="0"/>
        <v>gp_aut-svn</v>
      </c>
      <c r="F18" t="s">
        <v>3457</v>
      </c>
      <c r="H18" t="s">
        <v>3213</v>
      </c>
    </row>
    <row r="19" spans="1:8">
      <c r="A19" t="s">
        <v>3214</v>
      </c>
      <c r="B19" t="str">
        <f t="shared" si="0"/>
        <v>gp_nld-gbr</v>
      </c>
      <c r="F19" t="s">
        <v>3458</v>
      </c>
      <c r="H19" t="s">
        <v>3215</v>
      </c>
    </row>
    <row r="20" spans="1:8">
      <c r="A20" t="s">
        <v>3216</v>
      </c>
      <c r="B20" t="str">
        <f t="shared" si="0"/>
        <v>gp_dnk-swe</v>
      </c>
      <c r="F20" t="s">
        <v>3459</v>
      </c>
      <c r="H20" t="s">
        <v>3217</v>
      </c>
    </row>
    <row r="21" spans="1:8">
      <c r="A21" t="s">
        <v>3218</v>
      </c>
      <c r="B21" t="str">
        <f t="shared" si="0"/>
        <v>gp_nor-dnk</v>
      </c>
      <c r="F21" t="s">
        <v>3460</v>
      </c>
      <c r="H21" t="s">
        <v>3217</v>
      </c>
    </row>
    <row r="22" spans="1:8">
      <c r="A22" t="s">
        <v>3219</v>
      </c>
      <c r="B22" t="str">
        <f t="shared" si="0"/>
        <v>gp_swe-pol</v>
      </c>
      <c r="F22" t="s">
        <v>3461</v>
      </c>
      <c r="H22" t="s">
        <v>3217</v>
      </c>
    </row>
    <row r="23" spans="1:8">
      <c r="A23" t="s">
        <v>3220</v>
      </c>
      <c r="B23" t="str">
        <f t="shared" si="0"/>
        <v>gp_fin-est</v>
      </c>
      <c r="F23" t="s">
        <v>3462</v>
      </c>
      <c r="H23" t="s">
        <v>3221</v>
      </c>
    </row>
    <row r="24" spans="1:8">
      <c r="A24" t="s">
        <v>3222</v>
      </c>
      <c r="B24" t="str">
        <f t="shared" si="0"/>
        <v>gp_can-usa</v>
      </c>
      <c r="F24" t="s">
        <v>3463</v>
      </c>
      <c r="H24" t="s">
        <v>3223</v>
      </c>
    </row>
    <row r="25" spans="1:8">
      <c r="A25" t="s">
        <v>654</v>
      </c>
      <c r="B25" t="str">
        <f t="shared" si="0"/>
        <v>gp_rus-tur - bluestream</v>
      </c>
      <c r="F25" t="s">
        <v>3464</v>
      </c>
      <c r="G25" t="s">
        <v>3577</v>
      </c>
      <c r="H25" t="s">
        <v>3224</v>
      </c>
    </row>
    <row r="26" spans="1:8">
      <c r="A26" t="s">
        <v>3225</v>
      </c>
      <c r="B26" t="str">
        <f t="shared" si="0"/>
        <v>gp_kgz-kaz</v>
      </c>
      <c r="F26" t="s">
        <v>3465</v>
      </c>
      <c r="H26" t="s">
        <v>3226</v>
      </c>
    </row>
    <row r="27" spans="1:8">
      <c r="A27" t="s">
        <v>3227</v>
      </c>
      <c r="B27" t="str">
        <f t="shared" si="0"/>
        <v>gp_uzb-kgz</v>
      </c>
      <c r="F27" t="s">
        <v>3466</v>
      </c>
      <c r="H27" t="s">
        <v>3226</v>
      </c>
    </row>
    <row r="28" spans="1:8">
      <c r="A28" t="s">
        <v>3228</v>
      </c>
      <c r="B28" t="str">
        <f t="shared" si="0"/>
        <v>gp_tkm-kaz</v>
      </c>
      <c r="F28" t="s">
        <v>3467</v>
      </c>
      <c r="H28" t="s">
        <v>3229</v>
      </c>
    </row>
    <row r="29" spans="1:8">
      <c r="A29" t="s">
        <v>3230</v>
      </c>
      <c r="B29" t="str">
        <f t="shared" si="0"/>
        <v>gp_uzb-rus</v>
      </c>
      <c r="F29" t="s">
        <v>3468</v>
      </c>
      <c r="H29" t="s">
        <v>3231</v>
      </c>
    </row>
    <row r="30" spans="1:8">
      <c r="A30" t="s">
        <v>3232</v>
      </c>
      <c r="B30" t="str">
        <f t="shared" si="0"/>
        <v>gp_uzb-tkm</v>
      </c>
      <c r="F30" t="s">
        <v>3469</v>
      </c>
      <c r="H30" t="s">
        <v>3229</v>
      </c>
    </row>
    <row r="31" spans="1:8">
      <c r="A31" t="s">
        <v>3233</v>
      </c>
      <c r="B31" t="str">
        <f t="shared" si="0"/>
        <v>gp_kaz-rus</v>
      </c>
      <c r="F31" t="s">
        <v>3470</v>
      </c>
      <c r="H31" t="s">
        <v>3234</v>
      </c>
    </row>
    <row r="32" spans="1:8">
      <c r="A32" t="s">
        <v>3235</v>
      </c>
      <c r="B32" t="str">
        <f t="shared" si="0"/>
        <v>gp_deu-nld</v>
      </c>
      <c r="F32" t="s">
        <v>3471</v>
      </c>
      <c r="H32" t="s">
        <v>3236</v>
      </c>
    </row>
    <row r="33" spans="1:8">
      <c r="A33" t="s">
        <v>3237</v>
      </c>
      <c r="B33" t="str">
        <f t="shared" si="0"/>
        <v>gp_tkm-uzb</v>
      </c>
      <c r="F33" t="s">
        <v>3472</v>
      </c>
      <c r="H33" t="s">
        <v>3238</v>
      </c>
    </row>
    <row r="34" spans="1:8">
      <c r="A34" t="s">
        <v>3239</v>
      </c>
      <c r="B34" t="str">
        <f t="shared" si="0"/>
        <v>gp_uzb-kaz</v>
      </c>
      <c r="F34" t="s">
        <v>3473</v>
      </c>
      <c r="H34" t="s">
        <v>3240</v>
      </c>
    </row>
    <row r="35" spans="1:8">
      <c r="A35" t="s">
        <v>3241</v>
      </c>
      <c r="B35" t="str">
        <f t="shared" si="0"/>
        <v>gp_kaz-chn</v>
      </c>
      <c r="F35" t="s">
        <v>3474</v>
      </c>
      <c r="H35" t="s">
        <v>3242</v>
      </c>
    </row>
    <row r="36" spans="1:8">
      <c r="A36" t="s">
        <v>3243</v>
      </c>
      <c r="B36" t="str">
        <f t="shared" si="0"/>
        <v>gp_tkm-chn</v>
      </c>
      <c r="F36" t="s">
        <v>3475</v>
      </c>
      <c r="H36" t="s">
        <v>3244</v>
      </c>
    </row>
    <row r="37" spans="1:8">
      <c r="A37" t="s">
        <v>3245</v>
      </c>
      <c r="B37" t="str">
        <f t="shared" si="0"/>
        <v>gp_tkm-rus</v>
      </c>
      <c r="F37" t="s">
        <v>3476</v>
      </c>
      <c r="H37" t="s">
        <v>3246</v>
      </c>
    </row>
    <row r="38" spans="1:8">
      <c r="A38" t="s">
        <v>3247</v>
      </c>
      <c r="B38" t="str">
        <f t="shared" si="0"/>
        <v>gp_qat-are</v>
      </c>
      <c r="F38" t="s">
        <v>3477</v>
      </c>
      <c r="H38" t="s">
        <v>3248</v>
      </c>
    </row>
    <row r="39" spans="1:8">
      <c r="A39" t="s">
        <v>3249</v>
      </c>
      <c r="B39" t="str">
        <f t="shared" si="0"/>
        <v>gp_are-omn</v>
      </c>
      <c r="F39" t="s">
        <v>3478</v>
      </c>
      <c r="H39" t="s">
        <v>3248</v>
      </c>
    </row>
    <row r="40" spans="1:8">
      <c r="A40" t="s">
        <v>3250</v>
      </c>
      <c r="B40" t="str">
        <f t="shared" si="0"/>
        <v>gp_hrv-hun</v>
      </c>
      <c r="F40" t="s">
        <v>3479</v>
      </c>
      <c r="H40" t="s">
        <v>3251</v>
      </c>
    </row>
    <row r="41" spans="1:8">
      <c r="A41" t="s">
        <v>3252</v>
      </c>
      <c r="B41" t="str">
        <f t="shared" si="0"/>
        <v>gp_fra-bel</v>
      </c>
      <c r="F41" t="s">
        <v>3480</v>
      </c>
      <c r="H41" t="s">
        <v>3253</v>
      </c>
    </row>
    <row r="42" spans="1:8">
      <c r="A42" t="s">
        <v>3254</v>
      </c>
      <c r="B42" t="str">
        <f t="shared" si="0"/>
        <v>gp_dza-tun</v>
      </c>
      <c r="F42" t="s">
        <v>3481</v>
      </c>
      <c r="H42" t="s">
        <v>3255</v>
      </c>
    </row>
    <row r="43" spans="1:8">
      <c r="A43" t="s">
        <v>3256</v>
      </c>
      <c r="B43" t="str">
        <f t="shared" si="0"/>
        <v>gp_nor-fra - franpipe</v>
      </c>
      <c r="F43" t="s">
        <v>3482</v>
      </c>
      <c r="G43" t="s">
        <v>3576</v>
      </c>
      <c r="H43" t="s">
        <v>3257</v>
      </c>
    </row>
    <row r="44" spans="1:8">
      <c r="A44" t="s">
        <v>3258</v>
      </c>
      <c r="B44" t="str">
        <f t="shared" si="0"/>
        <v>gp_pol-ltu</v>
      </c>
      <c r="F44" t="s">
        <v>3483</v>
      </c>
      <c r="H44" t="s">
        <v>3259</v>
      </c>
    </row>
    <row r="45" spans="1:8">
      <c r="A45" t="s">
        <v>3260</v>
      </c>
      <c r="B45" t="str">
        <f t="shared" si="0"/>
        <v>gp_grc-bgr</v>
      </c>
      <c r="F45" t="s">
        <v>3484</v>
      </c>
      <c r="H45" t="s">
        <v>3261</v>
      </c>
    </row>
    <row r="46" spans="1:8">
      <c r="A46" t="s">
        <v>3262</v>
      </c>
      <c r="B46" t="str">
        <f t="shared" si="0"/>
        <v>gp_arg-chl</v>
      </c>
      <c r="F46" t="s">
        <v>3485</v>
      </c>
      <c r="H46" t="s">
        <v>3263</v>
      </c>
    </row>
    <row r="47" spans="1:8">
      <c r="A47" t="s">
        <v>3264</v>
      </c>
      <c r="B47" t="str">
        <f t="shared" si="0"/>
        <v>gp_bol-bra</v>
      </c>
      <c r="F47" t="s">
        <v>3486</v>
      </c>
      <c r="H47" t="s">
        <v>3265</v>
      </c>
    </row>
    <row r="48" spans="1:8">
      <c r="A48" t="s">
        <v>3266</v>
      </c>
      <c r="B48" t="str">
        <f t="shared" si="0"/>
        <v>gp_arg-ury</v>
      </c>
      <c r="F48" t="s">
        <v>3487</v>
      </c>
      <c r="H48" t="s">
        <v>3267</v>
      </c>
    </row>
    <row r="49" spans="1:8">
      <c r="A49" t="s">
        <v>3268</v>
      </c>
      <c r="B49" t="str">
        <f t="shared" si="0"/>
        <v>gp_cze-deu</v>
      </c>
      <c r="F49" t="s">
        <v>3488</v>
      </c>
      <c r="H49" t="s">
        <v>3269</v>
      </c>
    </row>
    <row r="50" spans="1:8">
      <c r="A50" t="s">
        <v>3270</v>
      </c>
      <c r="B50" t="str">
        <f t="shared" si="0"/>
        <v>gp_rou-bgr</v>
      </c>
      <c r="F50" t="s">
        <v>3489</v>
      </c>
      <c r="H50" t="s">
        <v>3271</v>
      </c>
    </row>
    <row r="51" spans="1:8">
      <c r="A51" t="s">
        <v>3272</v>
      </c>
      <c r="B51" t="str">
        <f t="shared" si="0"/>
        <v>gp_bel-nld</v>
      </c>
      <c r="F51" t="s">
        <v>3490</v>
      </c>
      <c r="H51" t="s">
        <v>3273</v>
      </c>
    </row>
    <row r="52" spans="1:8">
      <c r="A52" t="s">
        <v>3274</v>
      </c>
      <c r="B52" t="str">
        <f t="shared" si="0"/>
        <v>gp_grc-ita</v>
      </c>
      <c r="F52" t="s">
        <v>3491</v>
      </c>
      <c r="H52" t="s">
        <v>3275</v>
      </c>
    </row>
    <row r="53" spans="1:8">
      <c r="A53" t="s">
        <v>3276</v>
      </c>
      <c r="B53" t="str">
        <f t="shared" si="0"/>
        <v>gp_lby-ita - greenstream</v>
      </c>
      <c r="F53" t="s">
        <v>3492</v>
      </c>
      <c r="G53" t="s">
        <v>3578</v>
      </c>
      <c r="H53" t="s">
        <v>3277</v>
      </c>
    </row>
    <row r="54" spans="1:8">
      <c r="A54" t="s">
        <v>3278</v>
      </c>
      <c r="B54" t="str">
        <f t="shared" si="0"/>
        <v>gp_idn-sgp</v>
      </c>
      <c r="F54" t="s">
        <v>3493</v>
      </c>
      <c r="H54" t="s">
        <v>3279</v>
      </c>
    </row>
    <row r="55" spans="1:8">
      <c r="A55" t="s">
        <v>3280</v>
      </c>
      <c r="B55" t="str">
        <f t="shared" si="0"/>
        <v>gp_aze-rus</v>
      </c>
      <c r="F55" t="s">
        <v>3494</v>
      </c>
      <c r="H55" t="s">
        <v>3281</v>
      </c>
    </row>
    <row r="56" spans="1:8">
      <c r="A56" t="s">
        <v>3282</v>
      </c>
      <c r="B56" t="str">
        <f t="shared" si="0"/>
        <v>gp_aze-irn</v>
      </c>
      <c r="F56" t="s">
        <v>3495</v>
      </c>
      <c r="H56" t="s">
        <v>3283</v>
      </c>
    </row>
    <row r="57" spans="1:8">
      <c r="A57" t="s">
        <v>3284</v>
      </c>
      <c r="B57" t="str">
        <f t="shared" si="0"/>
        <v>gp_aut-che</v>
      </c>
      <c r="F57" t="s">
        <v>3496</v>
      </c>
      <c r="H57" t="s">
        <v>3285</v>
      </c>
    </row>
    <row r="58" spans="1:8">
      <c r="A58" t="s">
        <v>3286</v>
      </c>
      <c r="B58" t="str">
        <f t="shared" si="0"/>
        <v>gp_ukr-rou</v>
      </c>
      <c r="F58" t="s">
        <v>3497</v>
      </c>
      <c r="H58" t="s">
        <v>3287</v>
      </c>
    </row>
    <row r="59" spans="1:8">
      <c r="A59" t="s">
        <v>3288</v>
      </c>
      <c r="B59" t="str">
        <f t="shared" si="0"/>
        <v>gp_irn-arm</v>
      </c>
      <c r="F59" t="s">
        <v>3498</v>
      </c>
      <c r="H59" t="s">
        <v>3289</v>
      </c>
    </row>
    <row r="60" spans="1:8">
      <c r="A60" t="s">
        <v>3290</v>
      </c>
      <c r="B60" t="str">
        <f t="shared" si="0"/>
        <v>gp_irn-irq</v>
      </c>
      <c r="F60" t="s">
        <v>3499</v>
      </c>
      <c r="H60" t="s">
        <v>3291</v>
      </c>
    </row>
    <row r="61" spans="1:8">
      <c r="A61" t="s">
        <v>3292</v>
      </c>
      <c r="B61" t="str">
        <f t="shared" si="0"/>
        <v>gp_esp-fra</v>
      </c>
      <c r="F61" t="s">
        <v>3500</v>
      </c>
      <c r="H61" t="s">
        <v>3293</v>
      </c>
    </row>
    <row r="62" spans="1:8">
      <c r="A62" t="s">
        <v>3294</v>
      </c>
      <c r="B62" t="str">
        <f t="shared" si="0"/>
        <v>gp_isr-jor</v>
      </c>
      <c r="F62" t="s">
        <v>3501</v>
      </c>
      <c r="H62" t="s">
        <v>3295</v>
      </c>
    </row>
    <row r="63" spans="1:8">
      <c r="A63" t="s">
        <v>3296</v>
      </c>
      <c r="B63" t="str">
        <f t="shared" si="0"/>
        <v>gp_blr-ukr</v>
      </c>
      <c r="F63" t="s">
        <v>3502</v>
      </c>
      <c r="H63" t="s">
        <v>3297</v>
      </c>
    </row>
    <row r="64" spans="1:8">
      <c r="A64" t="s">
        <v>3298</v>
      </c>
      <c r="B64" t="str">
        <f t="shared" si="0"/>
        <v>gp_rus-kaz</v>
      </c>
      <c r="F64" t="s">
        <v>3503</v>
      </c>
      <c r="H64" t="s">
        <v>3299</v>
      </c>
    </row>
    <row r="65" spans="1:8">
      <c r="A65" t="s">
        <v>3300</v>
      </c>
      <c r="B65" t="str">
        <f t="shared" si="0"/>
        <v>gp_blr-pol</v>
      </c>
      <c r="F65" t="s">
        <v>3504</v>
      </c>
      <c r="H65" t="s">
        <v>3301</v>
      </c>
    </row>
    <row r="66" spans="1:8">
      <c r="A66" t="s">
        <v>3302</v>
      </c>
      <c r="B66" t="str">
        <f t="shared" si="0"/>
        <v>gp_est-rus</v>
      </c>
      <c r="F66" t="s">
        <v>3505</v>
      </c>
      <c r="H66" t="s">
        <v>3303</v>
      </c>
    </row>
    <row r="67" spans="1:8">
      <c r="A67" t="s">
        <v>3304</v>
      </c>
      <c r="B67" t="str">
        <f t="shared" si="0"/>
        <v>gp_tkm-irn</v>
      </c>
      <c r="F67" t="s">
        <v>3506</v>
      </c>
      <c r="H67" t="s">
        <v>3305</v>
      </c>
    </row>
    <row r="68" spans="1:8">
      <c r="A68" t="s">
        <v>3306</v>
      </c>
      <c r="B68" t="str">
        <f t="shared" si="0"/>
        <v>gp_bgr-grc</v>
      </c>
      <c r="F68" t="s">
        <v>3507</v>
      </c>
      <c r="H68" t="s">
        <v>3307</v>
      </c>
    </row>
    <row r="69" spans="1:8">
      <c r="A69" t="s">
        <v>3308</v>
      </c>
      <c r="B69" t="str">
        <f t="shared" si="0"/>
        <v>gp_aut-svk</v>
      </c>
      <c r="F69" t="s">
        <v>3508</v>
      </c>
      <c r="H69" t="s">
        <v>3309</v>
      </c>
    </row>
    <row r="70" spans="1:8">
      <c r="A70" t="s">
        <v>3310</v>
      </c>
      <c r="B70" t="str">
        <f t="shared" ref="B70:B133" si="1">F70&amp;IF(G70="",""," - "&amp;G70)</f>
        <v>gp_fra-esp</v>
      </c>
      <c r="F70" t="s">
        <v>3509</v>
      </c>
      <c r="H70" t="s">
        <v>3311</v>
      </c>
    </row>
    <row r="71" spans="1:8">
      <c r="A71" t="s">
        <v>3312</v>
      </c>
      <c r="B71" t="str">
        <f t="shared" si="1"/>
        <v>gp_ltu-lva</v>
      </c>
      <c r="F71" t="s">
        <v>3510</v>
      </c>
      <c r="H71" t="s">
        <v>3313</v>
      </c>
    </row>
    <row r="72" spans="1:8">
      <c r="A72" t="s">
        <v>3314</v>
      </c>
      <c r="B72" t="str">
        <f t="shared" si="1"/>
        <v>gp_dza-esp - medgaz</v>
      </c>
      <c r="F72" t="s">
        <v>3511</v>
      </c>
      <c r="G72" t="s">
        <v>3582</v>
      </c>
      <c r="H72" t="s">
        <v>3315</v>
      </c>
    </row>
    <row r="73" spans="1:8">
      <c r="A73" t="s">
        <v>3316</v>
      </c>
      <c r="B73" t="str">
        <f t="shared" si="1"/>
        <v>gp_deu-fra</v>
      </c>
      <c r="F73" t="s">
        <v>3512</v>
      </c>
      <c r="H73" t="s">
        <v>3317</v>
      </c>
    </row>
    <row r="74" spans="1:8">
      <c r="A74" t="s">
        <v>3318</v>
      </c>
      <c r="B74" t="str">
        <f t="shared" si="1"/>
        <v>gp_usa-mex</v>
      </c>
      <c r="F74" t="s">
        <v>3513</v>
      </c>
      <c r="H74" t="s">
        <v>3319</v>
      </c>
    </row>
    <row r="75" spans="1:8">
      <c r="A75" t="s">
        <v>3320</v>
      </c>
      <c r="B75" t="str">
        <f t="shared" si="1"/>
        <v>gp_blr-rus</v>
      </c>
      <c r="F75" t="s">
        <v>3514</v>
      </c>
      <c r="H75" t="s">
        <v>3321</v>
      </c>
    </row>
    <row r="76" spans="1:8">
      <c r="A76" t="s">
        <v>3322</v>
      </c>
      <c r="B76" t="str">
        <f t="shared" si="1"/>
        <v>gp_moz-zaf</v>
      </c>
      <c r="F76" t="s">
        <v>3515</v>
      </c>
      <c r="H76" t="s">
        <v>3323</v>
      </c>
    </row>
    <row r="77" spans="1:8">
      <c r="A77" t="s">
        <v>3324</v>
      </c>
      <c r="B77" t="str">
        <f t="shared" si="1"/>
        <v>gp_dnk-nld</v>
      </c>
      <c r="F77" t="s">
        <v>3516</v>
      </c>
      <c r="H77" t="s">
        <v>3325</v>
      </c>
    </row>
    <row r="78" spans="1:8">
      <c r="A78" t="s">
        <v>3326</v>
      </c>
      <c r="B78" t="str">
        <f t="shared" si="1"/>
        <v>gp_nor-deu</v>
      </c>
      <c r="F78" t="s">
        <v>3517</v>
      </c>
      <c r="H78" t="s">
        <v>3327</v>
      </c>
    </row>
    <row r="79" spans="1:8">
      <c r="A79" t="s">
        <v>3328</v>
      </c>
      <c r="B79" t="str">
        <f t="shared" si="1"/>
        <v>gp_geo-arm</v>
      </c>
      <c r="F79" t="s">
        <v>3518</v>
      </c>
      <c r="H79" t="s">
        <v>3329</v>
      </c>
    </row>
    <row r="80" spans="1:8">
      <c r="A80" t="s">
        <v>3330</v>
      </c>
      <c r="B80" t="str">
        <f t="shared" si="1"/>
        <v>gp_rus-geo</v>
      </c>
      <c r="F80" t="s">
        <v>3519</v>
      </c>
      <c r="H80" t="s">
        <v>3331</v>
      </c>
    </row>
    <row r="81" spans="1:8">
      <c r="A81" t="s">
        <v>3332</v>
      </c>
      <c r="B81" t="str">
        <f t="shared" si="1"/>
        <v>gp_gbr-nor</v>
      </c>
      <c r="F81" t="s">
        <v>3520</v>
      </c>
      <c r="H81" t="s">
        <v>3333</v>
      </c>
    </row>
    <row r="82" spans="1:8">
      <c r="A82" t="s">
        <v>3334</v>
      </c>
      <c r="B82" t="str">
        <f t="shared" si="1"/>
        <v>gp_kaz-tkm</v>
      </c>
      <c r="F82" t="s">
        <v>3521</v>
      </c>
      <c r="H82" t="s">
        <v>3335</v>
      </c>
    </row>
    <row r="83" spans="1:8">
      <c r="A83" t="s">
        <v>3336</v>
      </c>
      <c r="B83" t="str">
        <f t="shared" si="1"/>
        <v>gp_svk-hun</v>
      </c>
      <c r="F83" t="s">
        <v>3522</v>
      </c>
      <c r="H83" t="s">
        <v>3337</v>
      </c>
    </row>
    <row r="84" spans="1:8">
      <c r="A84" t="s">
        <v>3338</v>
      </c>
      <c r="B84" t="str">
        <f t="shared" si="1"/>
        <v>gp_arg-bra</v>
      </c>
      <c r="F84" t="s">
        <v>3523</v>
      </c>
      <c r="H84" t="s">
        <v>3339</v>
      </c>
    </row>
    <row r="85" spans="1:8">
      <c r="A85" t="s">
        <v>3340</v>
      </c>
      <c r="B85" t="str">
        <f t="shared" si="1"/>
        <v>gp_bel-fra</v>
      </c>
      <c r="F85" t="s">
        <v>3524</v>
      </c>
      <c r="H85" t="s">
        <v>3341</v>
      </c>
    </row>
    <row r="86" spans="1:8">
      <c r="A86" t="s">
        <v>3342</v>
      </c>
      <c r="B86" t="str">
        <f t="shared" si="1"/>
        <v>gp_pol-svk</v>
      </c>
      <c r="F86" t="s">
        <v>3525</v>
      </c>
      <c r="H86" t="s">
        <v>3343</v>
      </c>
    </row>
    <row r="87" spans="1:8">
      <c r="A87" t="s">
        <v>3344</v>
      </c>
      <c r="B87" t="str">
        <f t="shared" si="1"/>
        <v>gp_nld-deu</v>
      </c>
      <c r="F87" t="s">
        <v>3526</v>
      </c>
      <c r="H87" t="s">
        <v>3345</v>
      </c>
    </row>
    <row r="88" spans="1:8">
      <c r="A88" t="s">
        <v>3346</v>
      </c>
      <c r="B88" t="str">
        <f t="shared" si="1"/>
        <v>gp_svn-ita</v>
      </c>
      <c r="F88" t="s">
        <v>3527</v>
      </c>
      <c r="H88" t="s">
        <v>3347</v>
      </c>
    </row>
    <row r="89" spans="1:8">
      <c r="A89" t="s">
        <v>3348</v>
      </c>
      <c r="B89" t="str">
        <f t="shared" si="1"/>
        <v>gp_rou-mda</v>
      </c>
      <c r="F89" t="s">
        <v>3528</v>
      </c>
      <c r="H89" t="s">
        <v>3349</v>
      </c>
    </row>
    <row r="90" spans="1:8">
      <c r="A90" t="s">
        <v>3350</v>
      </c>
      <c r="B90" t="str">
        <f t="shared" si="1"/>
        <v>gp_srb-hun</v>
      </c>
      <c r="F90" t="s">
        <v>3529</v>
      </c>
      <c r="H90" t="s">
        <v>3351</v>
      </c>
    </row>
    <row r="91" spans="1:8">
      <c r="A91" t="s">
        <v>655</v>
      </c>
      <c r="B91" t="str">
        <f t="shared" si="1"/>
        <v>gp_rus-ukr</v>
      </c>
      <c r="F91" t="s">
        <v>3530</v>
      </c>
      <c r="H91" t="s">
        <v>3352</v>
      </c>
    </row>
    <row r="92" spans="1:8">
      <c r="A92" t="s">
        <v>3353</v>
      </c>
      <c r="B92" t="str">
        <f t="shared" si="1"/>
        <v>gp_mmr-chn</v>
      </c>
      <c r="F92" t="s">
        <v>3531</v>
      </c>
      <c r="H92" t="s">
        <v>3354</v>
      </c>
    </row>
    <row r="93" spans="1:8">
      <c r="A93" t="s">
        <v>3355</v>
      </c>
      <c r="B93" t="str">
        <f t="shared" si="1"/>
        <v>gp_mkd-bgr</v>
      </c>
      <c r="F93" t="s">
        <v>3532</v>
      </c>
      <c r="H93" t="s">
        <v>3356</v>
      </c>
    </row>
    <row r="94" spans="1:8">
      <c r="A94" t="s">
        <v>3357</v>
      </c>
      <c r="B94" t="str">
        <f t="shared" si="1"/>
        <v>gp_aze-geo</v>
      </c>
      <c r="F94" t="s">
        <v>3533</v>
      </c>
      <c r="H94" t="s">
        <v>3358</v>
      </c>
    </row>
    <row r="95" spans="1:8">
      <c r="A95" t="s">
        <v>3359</v>
      </c>
      <c r="B95" t="str">
        <f t="shared" si="1"/>
        <v>gp_geo-tur</v>
      </c>
      <c r="F95" t="s">
        <v>3534</v>
      </c>
      <c r="H95" t="s">
        <v>3360</v>
      </c>
    </row>
    <row r="96" spans="1:8">
      <c r="A96" t="s">
        <v>3361</v>
      </c>
      <c r="B96" t="str">
        <f t="shared" si="1"/>
        <v>gp_bgr-tur</v>
      </c>
      <c r="F96" t="s">
        <v>3535</v>
      </c>
      <c r="H96" t="s">
        <v>3362</v>
      </c>
    </row>
    <row r="97" spans="1:8">
      <c r="A97" t="s">
        <v>3363</v>
      </c>
      <c r="B97" t="str">
        <f t="shared" si="1"/>
        <v>gp_irn-tur</v>
      </c>
      <c r="F97" t="s">
        <v>3536</v>
      </c>
      <c r="H97" t="s">
        <v>3364</v>
      </c>
    </row>
    <row r="98" spans="1:8">
      <c r="A98" t="s">
        <v>3365</v>
      </c>
      <c r="B98" t="str">
        <f t="shared" si="1"/>
        <v>gp_rus-blr</v>
      </c>
      <c r="F98" t="s">
        <v>3537</v>
      </c>
      <c r="H98" t="s">
        <v>3366</v>
      </c>
    </row>
    <row r="99" spans="1:8">
      <c r="A99" t="s">
        <v>3367</v>
      </c>
      <c r="B99" t="str">
        <f t="shared" si="1"/>
        <v>gp_deu-che</v>
      </c>
      <c r="F99" t="s">
        <v>3538</v>
      </c>
      <c r="H99" t="s">
        <v>3368</v>
      </c>
    </row>
    <row r="100" spans="1:8">
      <c r="A100" t="s">
        <v>3369</v>
      </c>
      <c r="B100" t="str">
        <f t="shared" si="1"/>
        <v>gp_mys-tha</v>
      </c>
      <c r="F100" t="s">
        <v>3539</v>
      </c>
      <c r="H100" t="s">
        <v>3370</v>
      </c>
    </row>
    <row r="101" spans="1:8">
      <c r="A101" t="s">
        <v>3371</v>
      </c>
      <c r="B101" t="str">
        <f t="shared" si="1"/>
        <v>gp_alb-ita</v>
      </c>
      <c r="F101" t="s">
        <v>3540</v>
      </c>
      <c r="H101" t="s">
        <v>3372</v>
      </c>
    </row>
    <row r="102" spans="1:8">
      <c r="A102" t="s">
        <v>3373</v>
      </c>
      <c r="B102" t="str">
        <f t="shared" si="1"/>
        <v>gp_grc-alb</v>
      </c>
      <c r="F102" t="s">
        <v>3541</v>
      </c>
      <c r="H102" t="s">
        <v>3372</v>
      </c>
    </row>
    <row r="103" spans="1:8">
      <c r="A103" t="s">
        <v>3374</v>
      </c>
      <c r="B103" t="str">
        <f t="shared" si="1"/>
        <v>gp_geo-grc</v>
      </c>
      <c r="F103" t="s">
        <v>3542</v>
      </c>
      <c r="H103" t="s">
        <v>3375</v>
      </c>
    </row>
    <row r="104" spans="1:8">
      <c r="A104" t="s">
        <v>3376</v>
      </c>
      <c r="B104" t="str">
        <f t="shared" si="1"/>
        <v>gp_grc-tur</v>
      </c>
      <c r="F104" t="s">
        <v>3543</v>
      </c>
      <c r="H104" t="s">
        <v>3375</v>
      </c>
    </row>
    <row r="105" spans="1:8">
      <c r="A105" t="s">
        <v>3377</v>
      </c>
      <c r="B105" t="str">
        <f t="shared" si="1"/>
        <v>gp_tur-bgr</v>
      </c>
      <c r="F105" t="s">
        <v>3544</v>
      </c>
      <c r="H105" t="s">
        <v>3378</v>
      </c>
    </row>
    <row r="106" spans="1:8">
      <c r="A106" t="s">
        <v>3379</v>
      </c>
      <c r="B106" t="str">
        <f t="shared" si="1"/>
        <v>gp_bgr-rou</v>
      </c>
      <c r="F106" t="s">
        <v>3545</v>
      </c>
      <c r="H106" t="s">
        <v>3380</v>
      </c>
    </row>
    <row r="107" spans="1:8">
      <c r="A107" t="s">
        <v>3381</v>
      </c>
      <c r="B107" t="str">
        <f t="shared" si="1"/>
        <v>gp_ita-svn</v>
      </c>
      <c r="F107" t="s">
        <v>3546</v>
      </c>
      <c r="H107" t="s">
        <v>3382</v>
      </c>
    </row>
    <row r="108" spans="1:8">
      <c r="A108" t="s">
        <v>3383</v>
      </c>
      <c r="B108" t="str">
        <f t="shared" si="1"/>
        <v>gp_tun-ita</v>
      </c>
      <c r="F108" t="s">
        <v>3547</v>
      </c>
      <c r="H108" t="s">
        <v>3382</v>
      </c>
    </row>
    <row r="109" spans="1:8">
      <c r="A109" t="s">
        <v>3384</v>
      </c>
      <c r="B109" t="str">
        <f t="shared" si="1"/>
        <v>gp_che-fra</v>
      </c>
      <c r="F109" t="s">
        <v>3548</v>
      </c>
      <c r="H109" t="s">
        <v>3385</v>
      </c>
    </row>
    <row r="110" spans="1:8">
      <c r="A110" t="s">
        <v>3386</v>
      </c>
      <c r="B110" t="str">
        <f t="shared" si="1"/>
        <v>gp_tur-grc</v>
      </c>
      <c r="F110" t="s">
        <v>3549</v>
      </c>
      <c r="H110" t="s">
        <v>3387</v>
      </c>
    </row>
    <row r="111" spans="1:8">
      <c r="A111" t="s">
        <v>3388</v>
      </c>
      <c r="B111" t="str">
        <f t="shared" si="1"/>
        <v>gp_bgr-srb - turkstream</v>
      </c>
      <c r="F111" t="s">
        <v>3550</v>
      </c>
      <c r="G111" t="s">
        <v>3583</v>
      </c>
      <c r="H111" t="s">
        <v>3389</v>
      </c>
    </row>
    <row r="112" spans="1:8">
      <c r="A112" t="s">
        <v>3390</v>
      </c>
      <c r="B112" t="str">
        <f t="shared" si="1"/>
        <v>gp_rus-bgr - turkstream</v>
      </c>
      <c r="F112" t="s">
        <v>3551</v>
      </c>
      <c r="G112" t="s">
        <v>3583</v>
      </c>
      <c r="H112" t="s">
        <v>3389</v>
      </c>
    </row>
    <row r="113" spans="1:8">
      <c r="A113" t="s">
        <v>3391</v>
      </c>
      <c r="B113" t="str">
        <f t="shared" si="1"/>
        <v>gp_gbr-irl</v>
      </c>
      <c r="F113" t="s">
        <v>3552</v>
      </c>
      <c r="H113" t="s">
        <v>3392</v>
      </c>
    </row>
    <row r="114" spans="1:8">
      <c r="A114" t="s">
        <v>3393</v>
      </c>
      <c r="B114" t="str">
        <f t="shared" si="1"/>
        <v>gp_svk-aut</v>
      </c>
      <c r="F114" t="s">
        <v>3553</v>
      </c>
      <c r="H114" t="s">
        <v>3394</v>
      </c>
    </row>
    <row r="115" spans="1:8">
      <c r="A115" t="s">
        <v>3395</v>
      </c>
      <c r="B115" t="str">
        <f t="shared" si="1"/>
        <v>gp_ukr-svk</v>
      </c>
      <c r="F115" t="s">
        <v>3554</v>
      </c>
      <c r="H115" t="s">
        <v>3396</v>
      </c>
    </row>
    <row r="116" spans="1:8">
      <c r="A116" t="s">
        <v>3397</v>
      </c>
      <c r="B116" t="str">
        <f t="shared" si="1"/>
        <v>gp_rus-est</v>
      </c>
      <c r="F116" t="s">
        <v>3555</v>
      </c>
      <c r="H116" t="s">
        <v>3398</v>
      </c>
    </row>
    <row r="117" spans="1:8">
      <c r="A117" t="s">
        <v>3399</v>
      </c>
      <c r="B117" t="str">
        <f t="shared" si="1"/>
        <v>gp_est-lva</v>
      </c>
      <c r="F117" t="s">
        <v>3556</v>
      </c>
      <c r="H117" t="s">
        <v>3400</v>
      </c>
    </row>
    <row r="118" spans="1:8">
      <c r="A118" t="s">
        <v>3401</v>
      </c>
      <c r="B118" t="str">
        <f t="shared" si="1"/>
        <v>gp_usa-can</v>
      </c>
      <c r="F118" t="s">
        <v>3557</v>
      </c>
      <c r="H118" t="s">
        <v>3402</v>
      </c>
    </row>
    <row r="119" spans="1:8">
      <c r="A119" t="s">
        <v>3403</v>
      </c>
      <c r="B119" t="str">
        <f t="shared" si="1"/>
        <v>gp_nor-gbr</v>
      </c>
      <c r="F119" t="s">
        <v>3558</v>
      </c>
      <c r="H119" t="s">
        <v>3404</v>
      </c>
    </row>
    <row r="120" spans="1:8">
      <c r="A120" t="s">
        <v>3405</v>
      </c>
      <c r="B120" t="str">
        <f t="shared" si="1"/>
        <v>gp_svk-ukr</v>
      </c>
      <c r="F120" t="s">
        <v>3559</v>
      </c>
      <c r="H120" t="s">
        <v>3406</v>
      </c>
    </row>
    <row r="121" spans="1:8">
      <c r="A121" t="s">
        <v>3407</v>
      </c>
      <c r="B121" t="str">
        <f t="shared" si="1"/>
        <v>gp_hun-hrv</v>
      </c>
      <c r="F121" t="s">
        <v>3560</v>
      </c>
      <c r="H121" t="s">
        <v>3408</v>
      </c>
    </row>
    <row r="122" spans="1:8">
      <c r="A122" t="s">
        <v>3409</v>
      </c>
      <c r="B122" t="str">
        <f t="shared" si="1"/>
        <v>gp_bel-lux</v>
      </c>
      <c r="F122" t="s">
        <v>3561</v>
      </c>
      <c r="H122" t="s">
        <v>3410</v>
      </c>
    </row>
    <row r="123" spans="1:8">
      <c r="A123" t="s">
        <v>3411</v>
      </c>
      <c r="B123" t="str">
        <f t="shared" si="1"/>
        <v>gp_deu-bel</v>
      </c>
      <c r="F123" t="s">
        <v>3562</v>
      </c>
      <c r="H123" t="s">
        <v>3412</v>
      </c>
    </row>
    <row r="124" spans="1:8">
      <c r="A124" t="s">
        <v>3413</v>
      </c>
      <c r="B124" t="str">
        <f t="shared" si="1"/>
        <v>gp_nga-ben</v>
      </c>
      <c r="F124" t="s">
        <v>3563</v>
      </c>
      <c r="H124" t="s">
        <v>3414</v>
      </c>
    </row>
    <row r="125" spans="1:8">
      <c r="A125" t="s">
        <v>3415</v>
      </c>
      <c r="B125" t="str">
        <f t="shared" si="1"/>
        <v>gp_tgo-gha</v>
      </c>
      <c r="F125" t="s">
        <v>3564</v>
      </c>
      <c r="H125" t="s">
        <v>3414</v>
      </c>
    </row>
    <row r="126" spans="1:8">
      <c r="A126" t="s">
        <v>3278</v>
      </c>
      <c r="B126" t="str">
        <f t="shared" si="1"/>
        <v>gp_idn-sgp</v>
      </c>
      <c r="F126" t="s">
        <v>3493</v>
      </c>
      <c r="H126" t="s">
        <v>3416</v>
      </c>
    </row>
    <row r="127" spans="1:8">
      <c r="A127" t="s">
        <v>3417</v>
      </c>
      <c r="B127" t="str">
        <f t="shared" si="1"/>
        <v>gp_nld-bel</v>
      </c>
      <c r="F127" t="s">
        <v>3565</v>
      </c>
      <c r="H127" t="s">
        <v>3418</v>
      </c>
    </row>
    <row r="128" spans="1:8">
      <c r="A128" t="s">
        <v>3419</v>
      </c>
      <c r="B128" t="str">
        <f t="shared" si="1"/>
        <v>gp_bol-arg</v>
      </c>
      <c r="F128" t="s">
        <v>3566</v>
      </c>
      <c r="H128" t="s">
        <v>3420</v>
      </c>
    </row>
    <row r="129" spans="1:8">
      <c r="A129" t="s">
        <v>3300</v>
      </c>
      <c r="B129" t="str">
        <f t="shared" si="1"/>
        <v>gp_blr-pol - yamal</v>
      </c>
      <c r="F129" t="s">
        <v>3504</v>
      </c>
      <c r="G129" t="s">
        <v>3579</v>
      </c>
      <c r="H129" t="s">
        <v>3421</v>
      </c>
    </row>
    <row r="130" spans="1:8">
      <c r="A130" t="s">
        <v>3422</v>
      </c>
      <c r="B130" t="str">
        <f t="shared" si="1"/>
        <v>gp_pol-deu - yamal</v>
      </c>
      <c r="F130" t="s">
        <v>3567</v>
      </c>
      <c r="G130" t="s">
        <v>3579</v>
      </c>
      <c r="H130" t="s">
        <v>3421</v>
      </c>
    </row>
    <row r="131" spans="1:8">
      <c r="A131" t="s">
        <v>3365</v>
      </c>
      <c r="B131" t="str">
        <f t="shared" si="1"/>
        <v>gp_rus-blr - yamal</v>
      </c>
      <c r="F131" t="s">
        <v>3537</v>
      </c>
      <c r="G131" t="s">
        <v>3579</v>
      </c>
      <c r="H131" t="s">
        <v>3421</v>
      </c>
    </row>
    <row r="132" spans="1:8">
      <c r="A132" t="s">
        <v>3423</v>
      </c>
      <c r="B132" t="str">
        <f t="shared" si="1"/>
        <v>gp_deu-pol - yamal-rev</v>
      </c>
      <c r="F132" t="s">
        <v>3568</v>
      </c>
      <c r="G132" t="s">
        <v>3580</v>
      </c>
      <c r="H132" t="s">
        <v>3424</v>
      </c>
    </row>
    <row r="133" spans="1:8">
      <c r="A133" t="s">
        <v>3425</v>
      </c>
      <c r="B133" t="str">
        <f t="shared" si="1"/>
        <v>gp_mmr-tha</v>
      </c>
      <c r="F133" t="s">
        <v>3569</v>
      </c>
      <c r="H133" t="s">
        <v>3426</v>
      </c>
    </row>
    <row r="134" spans="1:8">
      <c r="A134" t="s">
        <v>3427</v>
      </c>
      <c r="B134" t="str">
        <f t="shared" ref="B134:B144" si="2">F134&amp;IF(G134="",""," - "&amp;G134)</f>
        <v>gp_bel-gbr</v>
      </c>
      <c r="F134" t="s">
        <v>3570</v>
      </c>
      <c r="H134" t="s">
        <v>3428</v>
      </c>
    </row>
    <row r="135" spans="1:8">
      <c r="A135" t="s">
        <v>3429</v>
      </c>
      <c r="B135" t="str">
        <f t="shared" si="2"/>
        <v>gp_gbr-bel</v>
      </c>
      <c r="F135" t="s">
        <v>3571</v>
      </c>
      <c r="H135" t="s">
        <v>3430</v>
      </c>
    </row>
    <row r="136" spans="1:8">
      <c r="A136" t="s">
        <v>3431</v>
      </c>
      <c r="B136" t="str">
        <f t="shared" si="2"/>
        <v>gp_nor-bel</v>
      </c>
      <c r="F136" t="s">
        <v>3572</v>
      </c>
      <c r="H136" t="s">
        <v>3432</v>
      </c>
    </row>
    <row r="137" spans="1:8">
      <c r="A137" t="s">
        <v>3433</v>
      </c>
      <c r="B137" t="str">
        <f t="shared" si="2"/>
        <v>gp_rus-deu - nordstream</v>
      </c>
      <c r="F137" t="s">
        <v>3573</v>
      </c>
      <c r="G137" t="s">
        <v>3581</v>
      </c>
      <c r="H137" t="s">
        <v>3434</v>
      </c>
    </row>
    <row r="138" spans="1:8">
      <c r="A138" t="s">
        <v>3388</v>
      </c>
      <c r="B138" t="str">
        <f t="shared" si="2"/>
        <v>gp_bgr-srb</v>
      </c>
      <c r="F138" t="s">
        <v>3550</v>
      </c>
      <c r="H138" t="s">
        <v>3435</v>
      </c>
    </row>
    <row r="139" spans="1:8">
      <c r="A139" t="s">
        <v>3243</v>
      </c>
      <c r="B139" t="str">
        <f t="shared" si="2"/>
        <v>gp_tkm-chn</v>
      </c>
      <c r="F139" t="s">
        <v>3475</v>
      </c>
      <c r="H139" t="s">
        <v>3436</v>
      </c>
    </row>
    <row r="140" spans="1:8">
      <c r="A140" t="s">
        <v>3437</v>
      </c>
      <c r="B140" t="str">
        <f t="shared" si="2"/>
        <v>gp_irn-pak</v>
      </c>
      <c r="F140" t="s">
        <v>3574</v>
      </c>
      <c r="H140" t="s">
        <v>3438</v>
      </c>
    </row>
    <row r="141" spans="1:8">
      <c r="A141" t="s">
        <v>3210</v>
      </c>
      <c r="B141" t="str">
        <f t="shared" si="2"/>
        <v>gp_isr-egy</v>
      </c>
      <c r="F141" t="s">
        <v>3456</v>
      </c>
      <c r="H141" t="s">
        <v>3439</v>
      </c>
    </row>
    <row r="142" spans="1:8">
      <c r="A142" t="s">
        <v>3312</v>
      </c>
      <c r="B142" t="str">
        <f t="shared" si="2"/>
        <v>gp_ltu-lva</v>
      </c>
      <c r="F142" t="s">
        <v>3510</v>
      </c>
      <c r="H142" t="s">
        <v>3440</v>
      </c>
    </row>
    <row r="143" spans="1:8">
      <c r="A143" t="s">
        <v>3441</v>
      </c>
      <c r="B143" t="str">
        <f t="shared" si="2"/>
        <v>gp_irn-aze</v>
      </c>
      <c r="F143" t="s">
        <v>3575</v>
      </c>
      <c r="H143" t="s">
        <v>3442</v>
      </c>
    </row>
    <row r="144" spans="1:8">
      <c r="A144" t="s">
        <v>655</v>
      </c>
      <c r="B144" t="str">
        <f t="shared" si="2"/>
        <v>gp_rus-ukr</v>
      </c>
      <c r="F144" t="s">
        <v>3530</v>
      </c>
      <c r="H144" t="s">
        <v>3443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"/>
  <dimension ref="A1:L48"/>
  <sheetViews>
    <sheetView workbookViewId="0"/>
  </sheetViews>
  <sheetFormatPr defaultRowHeight="14.25"/>
  <cols>
    <col min="1" max="1" width="11.265625" bestFit="1" customWidth="1"/>
    <col min="2" max="2" width="34.86328125" bestFit="1" customWidth="1"/>
    <col min="3" max="3" width="20.1328125" bestFit="1" customWidth="1"/>
    <col min="5" max="5" width="15.86328125" bestFit="1" customWidth="1"/>
    <col min="6" max="6" width="15.3984375" bestFit="1" customWidth="1"/>
    <col min="7" max="7" width="42.86328125" bestFit="1" customWidth="1"/>
  </cols>
  <sheetData>
    <row r="1" spans="1:3">
      <c r="A1" t="s">
        <v>143</v>
      </c>
    </row>
    <row r="2" spans="1:3">
      <c r="A2" t="s">
        <v>144</v>
      </c>
      <c r="B2" t="s">
        <v>145</v>
      </c>
      <c r="C2" t="s">
        <v>146</v>
      </c>
    </row>
    <row r="3" spans="1:3">
      <c r="A3" t="s">
        <v>147</v>
      </c>
      <c r="B3" t="s">
        <v>617</v>
      </c>
      <c r="C3" t="s">
        <v>616</v>
      </c>
    </row>
    <row r="4" spans="1:3">
      <c r="A4" t="s">
        <v>147</v>
      </c>
      <c r="B4" t="s">
        <v>618</v>
      </c>
      <c r="C4" t="s">
        <v>619</v>
      </c>
    </row>
    <row r="5" spans="1:3">
      <c r="A5" t="s">
        <v>147</v>
      </c>
      <c r="B5" t="s">
        <v>237</v>
      </c>
      <c r="C5" t="s">
        <v>148</v>
      </c>
    </row>
    <row r="6" spans="1:3">
      <c r="A6" t="s">
        <v>147</v>
      </c>
      <c r="B6" t="s">
        <v>278</v>
      </c>
      <c r="C6" t="s">
        <v>511</v>
      </c>
    </row>
    <row r="7" spans="1:3">
      <c r="A7" t="s">
        <v>147</v>
      </c>
      <c r="B7" t="s">
        <v>510</v>
      </c>
      <c r="C7" t="s">
        <v>151</v>
      </c>
    </row>
    <row r="8" spans="1:3">
      <c r="A8" t="s">
        <v>147</v>
      </c>
      <c r="B8" t="s">
        <v>567</v>
      </c>
      <c r="C8" t="s">
        <v>152</v>
      </c>
    </row>
    <row r="9" spans="1:3">
      <c r="A9" t="s">
        <v>147</v>
      </c>
      <c r="B9" t="s">
        <v>568</v>
      </c>
      <c r="C9" t="s">
        <v>153</v>
      </c>
    </row>
    <row r="10" spans="1:3">
      <c r="A10" t="s">
        <v>147</v>
      </c>
      <c r="B10" t="s">
        <v>3729</v>
      </c>
      <c r="C10" t="s">
        <v>3730</v>
      </c>
    </row>
    <row r="11" spans="1:3">
      <c r="A11" t="s">
        <v>147</v>
      </c>
      <c r="B11" t="s">
        <v>484</v>
      </c>
      <c r="C11" t="s">
        <v>154</v>
      </c>
    </row>
    <row r="12" spans="1:3">
      <c r="A12" t="s">
        <v>147</v>
      </c>
      <c r="B12" t="s">
        <v>628</v>
      </c>
      <c r="C12" t="s">
        <v>141</v>
      </c>
    </row>
    <row r="13" spans="1:3">
      <c r="A13" t="s">
        <v>147</v>
      </c>
      <c r="B13" t="s">
        <v>285</v>
      </c>
      <c r="C13" t="s">
        <v>285</v>
      </c>
    </row>
    <row r="14" spans="1:3">
      <c r="A14" t="s">
        <v>147</v>
      </c>
      <c r="B14" t="s">
        <v>508</v>
      </c>
      <c r="C14" t="s">
        <v>512</v>
      </c>
    </row>
    <row r="15" spans="1:3">
      <c r="A15" t="s">
        <v>147</v>
      </c>
      <c r="B15" t="s">
        <v>509</v>
      </c>
      <c r="C15" t="s">
        <v>513</v>
      </c>
    </row>
    <row r="16" spans="1:3">
      <c r="A16" t="s">
        <v>147</v>
      </c>
      <c r="B16" t="s">
        <v>507</v>
      </c>
      <c r="C16" t="s">
        <v>507</v>
      </c>
    </row>
    <row r="17" spans="1:12">
      <c r="A17" t="s">
        <v>147</v>
      </c>
      <c r="B17" t="s">
        <v>809</v>
      </c>
      <c r="C17" t="s">
        <v>808</v>
      </c>
      <c r="G17" t="s">
        <v>147</v>
      </c>
      <c r="H17" t="str">
        <f>L17&amp;"[_]s*"</f>
        <v>Solar[_]s*</v>
      </c>
      <c r="I17" t="str">
        <f>L17&amp;" source/use"</f>
        <v>Solar source/use</v>
      </c>
      <c r="L17" s="10" t="s">
        <v>16</v>
      </c>
    </row>
    <row r="18" spans="1:12">
      <c r="A18" s="14" t="s">
        <v>147</v>
      </c>
      <c r="B18" s="14" t="s">
        <v>277</v>
      </c>
      <c r="C18" s="14" t="s">
        <v>148</v>
      </c>
      <c r="G18" t="s">
        <v>147</v>
      </c>
      <c r="H18" t="str">
        <f t="shared" ref="H18:H30" si="0">L18&amp;"[_]s*"</f>
        <v>Wind[_]s*</v>
      </c>
      <c r="I18" t="str">
        <f t="shared" ref="I18:I30" si="1">L18&amp;" source/use"</f>
        <v>Wind source/use</v>
      </c>
      <c r="L18" s="10" t="s">
        <v>17</v>
      </c>
    </row>
    <row r="19" spans="1:12">
      <c r="A19" t="s">
        <v>182</v>
      </c>
      <c r="B19" t="s">
        <v>376</v>
      </c>
      <c r="C19" t="s">
        <v>377</v>
      </c>
      <c r="G19" t="s">
        <v>147</v>
      </c>
      <c r="H19" t="str">
        <f t="shared" si="0"/>
        <v>Hydro[_]s*</v>
      </c>
      <c r="I19" t="str">
        <f t="shared" si="1"/>
        <v>Hydro source/use</v>
      </c>
      <c r="L19" s="10" t="s">
        <v>13</v>
      </c>
    </row>
    <row r="20" spans="1:12">
      <c r="A20" t="s">
        <v>182</v>
      </c>
      <c r="B20" t="s">
        <v>378</v>
      </c>
      <c r="C20" t="s">
        <v>183</v>
      </c>
      <c r="G20" t="s">
        <v>147</v>
      </c>
      <c r="H20" t="str">
        <f t="shared" si="0"/>
        <v>Geotherm[_]s*</v>
      </c>
      <c r="I20" t="str">
        <f t="shared" si="1"/>
        <v>Geotherm source/use</v>
      </c>
      <c r="L20" s="10" t="s">
        <v>311</v>
      </c>
    </row>
    <row r="21" spans="1:12">
      <c r="A21" t="s">
        <v>182</v>
      </c>
      <c r="B21" t="s">
        <v>379</v>
      </c>
      <c r="C21" t="s">
        <v>184</v>
      </c>
      <c r="G21" t="s">
        <v>147</v>
      </c>
      <c r="H21" t="str">
        <f t="shared" si="0"/>
        <v>Biomass[_]s*</v>
      </c>
      <c r="I21" t="str">
        <f t="shared" si="1"/>
        <v>Biomass source/use</v>
      </c>
      <c r="L21" s="10" t="s">
        <v>35</v>
      </c>
    </row>
    <row r="22" spans="1:12">
      <c r="A22" t="s">
        <v>182</v>
      </c>
      <c r="B22" t="s">
        <v>380</v>
      </c>
      <c r="C22" t="s">
        <v>185</v>
      </c>
      <c r="G22" t="s">
        <v>147</v>
      </c>
      <c r="H22" t="str">
        <f t="shared" si="0"/>
        <v>Nuclear[_]s*</v>
      </c>
      <c r="I22" t="str">
        <f t="shared" si="1"/>
        <v>Nuclear source/use</v>
      </c>
      <c r="L22" s="10" t="s">
        <v>14</v>
      </c>
    </row>
    <row r="23" spans="1:12">
      <c r="A23" t="s">
        <v>182</v>
      </c>
      <c r="B23" t="s">
        <v>381</v>
      </c>
      <c r="C23" t="s">
        <v>186</v>
      </c>
      <c r="G23" t="s">
        <v>147</v>
      </c>
      <c r="H23" t="str">
        <f t="shared" si="0"/>
        <v>Grid Elec[_]s*</v>
      </c>
      <c r="I23" t="str">
        <f t="shared" si="1"/>
        <v>Grid Elec source/use</v>
      </c>
      <c r="L23" s="10" t="s">
        <v>337</v>
      </c>
    </row>
    <row r="24" spans="1:12">
      <c r="A24" t="s">
        <v>182</v>
      </c>
      <c r="B24" t="s">
        <v>382</v>
      </c>
      <c r="C24" t="s">
        <v>187</v>
      </c>
      <c r="G24" t="s">
        <v>147</v>
      </c>
      <c r="H24" t="str">
        <f t="shared" si="0"/>
        <v>Int. Elec[_]s*</v>
      </c>
      <c r="I24" t="str">
        <f t="shared" si="1"/>
        <v>Int. Elec source/use</v>
      </c>
      <c r="L24" s="10" t="s">
        <v>313</v>
      </c>
    </row>
    <row r="25" spans="1:12">
      <c r="A25" t="s">
        <v>182</v>
      </c>
      <c r="B25" t="s">
        <v>188</v>
      </c>
      <c r="C25" t="s">
        <v>186</v>
      </c>
      <c r="G25" t="s">
        <v>147</v>
      </c>
      <c r="H25" t="str">
        <f t="shared" si="0"/>
        <v>Gas[_]s*</v>
      </c>
      <c r="I25" t="str">
        <f t="shared" si="1"/>
        <v>Gas source/use</v>
      </c>
      <c r="L25" s="10" t="s">
        <v>6</v>
      </c>
    </row>
    <row r="26" spans="1:12">
      <c r="A26" t="s">
        <v>182</v>
      </c>
      <c r="B26" t="s">
        <v>189</v>
      </c>
      <c r="C26" t="s">
        <v>190</v>
      </c>
      <c r="G26" t="s">
        <v>147</v>
      </c>
      <c r="H26" t="str">
        <f t="shared" si="0"/>
        <v>Coal[_]s*</v>
      </c>
      <c r="I26" t="str">
        <f t="shared" si="1"/>
        <v>Coal source/use</v>
      </c>
      <c r="L26" s="10" t="s">
        <v>5</v>
      </c>
    </row>
    <row r="27" spans="1:12">
      <c r="A27" t="s">
        <v>182</v>
      </c>
      <c r="B27" t="s">
        <v>191</v>
      </c>
      <c r="C27" t="s">
        <v>183</v>
      </c>
      <c r="G27" t="s">
        <v>147</v>
      </c>
      <c r="H27" t="str">
        <f t="shared" si="0"/>
        <v>Biofuels[_]s*</v>
      </c>
      <c r="I27" t="str">
        <f t="shared" si="1"/>
        <v>Biofuels source/use</v>
      </c>
      <c r="L27" s="10" t="s">
        <v>142</v>
      </c>
    </row>
    <row r="28" spans="1:12">
      <c r="A28" t="s">
        <v>182</v>
      </c>
      <c r="B28" t="s">
        <v>529</v>
      </c>
      <c r="C28" t="s">
        <v>140</v>
      </c>
      <c r="G28" t="s">
        <v>147</v>
      </c>
      <c r="H28" t="str">
        <f t="shared" si="0"/>
        <v>Heat[_]s*</v>
      </c>
      <c r="I28" t="str">
        <f t="shared" si="1"/>
        <v>Heat source/use</v>
      </c>
      <c r="L28" s="10" t="s">
        <v>7</v>
      </c>
    </row>
    <row r="29" spans="1:12">
      <c r="G29" t="s">
        <v>147</v>
      </c>
      <c r="H29" t="str">
        <f t="shared" si="0"/>
        <v>Oil[_]s*</v>
      </c>
      <c r="I29" t="str">
        <f t="shared" si="1"/>
        <v>Oil source/use</v>
      </c>
      <c r="L29" s="10" t="s">
        <v>15</v>
      </c>
    </row>
    <row r="30" spans="1:12">
      <c r="G30" t="s">
        <v>147</v>
      </c>
      <c r="H30" t="str">
        <f t="shared" si="0"/>
        <v>Hydrogen[_]s*</v>
      </c>
      <c r="I30" t="str">
        <f t="shared" si="1"/>
        <v>Hydrogen source/use</v>
      </c>
      <c r="L30" s="10" t="s">
        <v>8</v>
      </c>
    </row>
    <row r="32" spans="1:12">
      <c r="A32" t="s">
        <v>205</v>
      </c>
      <c r="B32" t="s">
        <v>206</v>
      </c>
      <c r="C32" t="s">
        <v>207</v>
      </c>
    </row>
    <row r="33" spans="1:3">
      <c r="A33" t="s">
        <v>205</v>
      </c>
      <c r="B33" t="s">
        <v>208</v>
      </c>
      <c r="C33" t="s">
        <v>209</v>
      </c>
    </row>
    <row r="34" spans="1:3">
      <c r="A34" t="s">
        <v>202</v>
      </c>
      <c r="B34" t="str">
        <f t="shared" ref="B34:B48" si="2">"*[_]"&amp;C34</f>
        <v>*[_]Agri</v>
      </c>
      <c r="C34" t="s">
        <v>96</v>
      </c>
    </row>
    <row r="35" spans="1:3">
      <c r="A35" t="s">
        <v>202</v>
      </c>
      <c r="B35" t="str">
        <f t="shared" si="2"/>
        <v>*[_]Commercial</v>
      </c>
      <c r="C35" t="s">
        <v>19</v>
      </c>
    </row>
    <row r="36" spans="1:3">
      <c r="A36" t="s">
        <v>202</v>
      </c>
      <c r="B36" t="str">
        <f t="shared" si="2"/>
        <v>*[_]Residential</v>
      </c>
      <c r="C36" t="s">
        <v>20</v>
      </c>
    </row>
    <row r="37" spans="1:3">
      <c r="A37" t="s">
        <v>202</v>
      </c>
      <c r="B37" t="str">
        <f t="shared" si="2"/>
        <v>*[_]Industry</v>
      </c>
      <c r="C37" t="s">
        <v>9</v>
      </c>
    </row>
    <row r="38" spans="1:3">
      <c r="A38" t="s">
        <v>202</v>
      </c>
      <c r="B38" t="str">
        <f t="shared" si="2"/>
        <v>*[_]Transport</v>
      </c>
      <c r="C38" t="s">
        <v>11</v>
      </c>
    </row>
    <row r="39" spans="1:3">
      <c r="A39" t="s">
        <v>202</v>
      </c>
      <c r="B39" t="str">
        <f t="shared" si="2"/>
        <v>*[_]Thermal Elec</v>
      </c>
      <c r="C39" t="s">
        <v>317</v>
      </c>
    </row>
    <row r="40" spans="1:3">
      <c r="A40" t="s">
        <v>202</v>
      </c>
      <c r="B40" t="str">
        <f t="shared" si="2"/>
        <v>*[_]Thermal CCS</v>
      </c>
      <c r="C40" t="s">
        <v>319</v>
      </c>
    </row>
    <row r="41" spans="1:3">
      <c r="A41" t="s">
        <v>202</v>
      </c>
      <c r="B41" t="str">
        <f t="shared" si="2"/>
        <v>*[_]Ren Elec</v>
      </c>
      <c r="C41" t="s">
        <v>201</v>
      </c>
    </row>
    <row r="42" spans="1:3">
      <c r="A42" t="s">
        <v>202</v>
      </c>
      <c r="B42" t="str">
        <f t="shared" si="2"/>
        <v>*[_]Fossil proc</v>
      </c>
      <c r="C42" t="s">
        <v>326</v>
      </c>
    </row>
    <row r="43" spans="1:3">
      <c r="A43" t="s">
        <v>202</v>
      </c>
      <c r="B43" t="str">
        <f t="shared" si="2"/>
        <v>*[_]BF and CokeOv</v>
      </c>
      <c r="C43" t="s">
        <v>324</v>
      </c>
    </row>
    <row r="44" spans="1:3">
      <c r="A44" t="s">
        <v>202</v>
      </c>
      <c r="B44" t="str">
        <f t="shared" si="2"/>
        <v>*[_]Bio Ref</v>
      </c>
      <c r="C44" t="s">
        <v>325</v>
      </c>
    </row>
    <row r="45" spans="1:3">
      <c r="A45" t="s">
        <v>202</v>
      </c>
      <c r="B45" t="str">
        <f t="shared" si="2"/>
        <v>*[_]Trade</v>
      </c>
      <c r="C45" t="s">
        <v>185</v>
      </c>
    </row>
    <row r="46" spans="1:3">
      <c r="A46" t="s">
        <v>202</v>
      </c>
      <c r="B46" t="str">
        <f t="shared" si="2"/>
        <v>*[_]H2 Thermal</v>
      </c>
      <c r="C46" t="s">
        <v>328</v>
      </c>
    </row>
    <row r="47" spans="1:3">
      <c r="A47" t="s">
        <v>202</v>
      </c>
      <c r="B47" t="str">
        <f t="shared" si="2"/>
        <v>*[_]H2 Elec</v>
      </c>
      <c r="C47" t="s">
        <v>330</v>
      </c>
    </row>
    <row r="48" spans="1:3">
      <c r="A48" t="s">
        <v>202</v>
      </c>
      <c r="B48" t="str">
        <f t="shared" si="2"/>
        <v>*[_]Extraction</v>
      </c>
      <c r="C48" t="s">
        <v>335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3"/>
  <dimension ref="A1:F208"/>
  <sheetViews>
    <sheetView workbookViewId="0">
      <pane ySplit="2" topLeftCell="A3" activePane="bottomLeft" state="frozen"/>
      <selection pane="bottomLeft" activeCell="A3" sqref="A3"/>
    </sheetView>
  </sheetViews>
  <sheetFormatPr defaultRowHeight="14.25"/>
  <cols>
    <col min="1" max="1" width="13.73046875" bestFit="1" customWidth="1"/>
    <col min="2" max="2" width="17.3984375" bestFit="1" customWidth="1"/>
    <col min="3" max="3" width="28" bestFit="1" customWidth="1"/>
    <col min="4" max="4" width="17.265625" bestFit="1" customWidth="1"/>
    <col min="5" max="5" width="13.86328125" bestFit="1" customWidth="1"/>
    <col min="7" max="7" width="5.265625" bestFit="1" customWidth="1"/>
    <col min="8" max="8" width="11" bestFit="1" customWidth="1"/>
    <col min="11" max="11" width="16.73046875" bestFit="1" customWidth="1"/>
  </cols>
  <sheetData>
    <row r="1" spans="1:6">
      <c r="A1" t="s">
        <v>149</v>
      </c>
    </row>
    <row r="2" spans="1:6" ht="14.65" thickBot="1">
      <c r="A2" s="16" t="s">
        <v>144</v>
      </c>
      <c r="B2" s="16" t="s">
        <v>145</v>
      </c>
      <c r="C2" s="16" t="s">
        <v>146</v>
      </c>
      <c r="D2" s="16" t="s">
        <v>390</v>
      </c>
      <c r="E2" s="16" t="s">
        <v>492</v>
      </c>
      <c r="F2" s="16" t="s">
        <v>493</v>
      </c>
    </row>
    <row r="3" spans="1:6">
      <c r="A3" t="s">
        <v>819</v>
      </c>
      <c r="C3" t="s">
        <v>648</v>
      </c>
      <c r="D3" t="s">
        <v>457</v>
      </c>
    </row>
    <row r="4" spans="1:6">
      <c r="A4" t="s">
        <v>819</v>
      </c>
      <c r="C4" t="s">
        <v>648</v>
      </c>
      <c r="D4" t="s">
        <v>458</v>
      </c>
    </row>
    <row r="5" spans="1:6">
      <c r="A5" t="s">
        <v>819</v>
      </c>
      <c r="C5" t="s">
        <v>648</v>
      </c>
      <c r="D5" t="s">
        <v>460</v>
      </c>
    </row>
    <row r="6" spans="1:6">
      <c r="A6" t="s">
        <v>819</v>
      </c>
      <c r="C6" t="s">
        <v>141</v>
      </c>
      <c r="D6" t="s">
        <v>461</v>
      </c>
    </row>
    <row r="7" spans="1:6">
      <c r="A7" t="s">
        <v>819</v>
      </c>
      <c r="C7" t="s">
        <v>141</v>
      </c>
      <c r="D7" t="s">
        <v>462</v>
      </c>
    </row>
    <row r="8" spans="1:6">
      <c r="A8" t="s">
        <v>819</v>
      </c>
      <c r="C8" t="s">
        <v>194</v>
      </c>
      <c r="D8" t="s">
        <v>463</v>
      </c>
    </row>
    <row r="9" spans="1:6">
      <c r="A9" t="s">
        <v>819</v>
      </c>
      <c r="C9" t="s">
        <v>9</v>
      </c>
      <c r="D9" t="s">
        <v>464</v>
      </c>
    </row>
    <row r="10" spans="1:6">
      <c r="A10" t="s">
        <v>819</v>
      </c>
      <c r="C10" t="s">
        <v>11</v>
      </c>
      <c r="D10" t="s">
        <v>465</v>
      </c>
    </row>
    <row r="11" spans="1:6">
      <c r="A11" t="s">
        <v>819</v>
      </c>
      <c r="C11" t="s">
        <v>649</v>
      </c>
      <c r="D11" t="s">
        <v>466</v>
      </c>
    </row>
    <row r="12" spans="1:6">
      <c r="A12" t="s">
        <v>819</v>
      </c>
      <c r="C12" t="s">
        <v>649</v>
      </c>
      <c r="D12" t="s">
        <v>467</v>
      </c>
    </row>
    <row r="13" spans="1:6">
      <c r="A13" t="s">
        <v>819</v>
      </c>
      <c r="C13" t="s">
        <v>649</v>
      </c>
      <c r="D13" t="s">
        <v>468</v>
      </c>
    </row>
    <row r="14" spans="1:6">
      <c r="A14" t="s">
        <v>819</v>
      </c>
      <c r="C14" t="s">
        <v>8</v>
      </c>
      <c r="D14" t="s">
        <v>469</v>
      </c>
    </row>
    <row r="15" spans="1:6">
      <c r="A15" t="s">
        <v>819</v>
      </c>
      <c r="C15" t="s">
        <v>265</v>
      </c>
      <c r="D15" t="s">
        <v>470</v>
      </c>
    </row>
    <row r="16" spans="1:6">
      <c r="A16" t="s">
        <v>819</v>
      </c>
      <c r="C16" t="s">
        <v>265</v>
      </c>
      <c r="D16" t="s">
        <v>471</v>
      </c>
    </row>
    <row r="17" spans="1:6">
      <c r="A17" t="s">
        <v>819</v>
      </c>
      <c r="C17" t="s">
        <v>473</v>
      </c>
      <c r="D17" t="s">
        <v>472</v>
      </c>
    </row>
    <row r="18" spans="1:6">
      <c r="A18" t="s">
        <v>819</v>
      </c>
      <c r="C18" t="s">
        <v>475</v>
      </c>
      <c r="D18" t="s">
        <v>474</v>
      </c>
    </row>
    <row r="19" spans="1:6">
      <c r="A19" t="s">
        <v>819</v>
      </c>
      <c r="B19" s="7"/>
      <c r="C19" t="s">
        <v>477</v>
      </c>
      <c r="D19" t="s">
        <v>476</v>
      </c>
      <c r="F19" s="7" t="s">
        <v>636</v>
      </c>
    </row>
    <row r="20" spans="1:6">
      <c r="A20" t="s">
        <v>819</v>
      </c>
      <c r="C20" t="s">
        <v>479</v>
      </c>
      <c r="D20" t="s">
        <v>478</v>
      </c>
    </row>
    <row r="21" spans="1:6">
      <c r="A21" t="s">
        <v>819</v>
      </c>
      <c r="C21" t="s">
        <v>488</v>
      </c>
      <c r="D21" t="s">
        <v>487</v>
      </c>
    </row>
    <row r="22" spans="1:6">
      <c r="A22" t="s">
        <v>480</v>
      </c>
      <c r="C22" t="s">
        <v>549</v>
      </c>
      <c r="D22" t="s">
        <v>457</v>
      </c>
    </row>
    <row r="23" spans="1:6">
      <c r="A23" t="s">
        <v>480</v>
      </c>
      <c r="C23" s="1" t="s">
        <v>9</v>
      </c>
      <c r="D23" t="s">
        <v>458</v>
      </c>
    </row>
    <row r="24" spans="1:6">
      <c r="A24" t="s">
        <v>480</v>
      </c>
      <c r="C24" t="s">
        <v>185</v>
      </c>
      <c r="D24" t="s">
        <v>460</v>
      </c>
    </row>
    <row r="25" spans="1:6">
      <c r="A25" t="s">
        <v>480</v>
      </c>
      <c r="C25" t="s">
        <v>550</v>
      </c>
      <c r="D25" t="s">
        <v>461</v>
      </c>
    </row>
    <row r="26" spans="1:6">
      <c r="A26" t="s">
        <v>480</v>
      </c>
      <c r="C26" t="s">
        <v>550</v>
      </c>
      <c r="F26" t="s">
        <v>3734</v>
      </c>
    </row>
    <row r="27" spans="1:6">
      <c r="A27" t="s">
        <v>480</v>
      </c>
      <c r="C27" s="1" t="s">
        <v>9</v>
      </c>
      <c r="D27" t="s">
        <v>462</v>
      </c>
    </row>
    <row r="28" spans="1:6">
      <c r="A28" t="s">
        <v>480</v>
      </c>
      <c r="C28" t="s">
        <v>194</v>
      </c>
      <c r="D28" t="s">
        <v>463</v>
      </c>
    </row>
    <row r="29" spans="1:6">
      <c r="A29" t="s">
        <v>480</v>
      </c>
      <c r="C29" t="s">
        <v>9</v>
      </c>
      <c r="D29" t="s">
        <v>464</v>
      </c>
    </row>
    <row r="30" spans="1:6">
      <c r="A30" t="s">
        <v>480</v>
      </c>
      <c r="C30" t="s">
        <v>11</v>
      </c>
      <c r="D30" t="s">
        <v>465</v>
      </c>
    </row>
    <row r="31" spans="1:6">
      <c r="A31" t="s">
        <v>480</v>
      </c>
      <c r="C31" t="s">
        <v>19</v>
      </c>
      <c r="D31" t="s">
        <v>466</v>
      </c>
    </row>
    <row r="32" spans="1:6">
      <c r="A32" t="s">
        <v>480</v>
      </c>
      <c r="C32" t="s">
        <v>20</v>
      </c>
      <c r="D32" t="s">
        <v>467</v>
      </c>
    </row>
    <row r="33" spans="1:6">
      <c r="A33" t="s">
        <v>480</v>
      </c>
      <c r="C33" t="s">
        <v>41</v>
      </c>
      <c r="D33" t="s">
        <v>468</v>
      </c>
    </row>
    <row r="34" spans="1:6">
      <c r="A34" t="s">
        <v>480</v>
      </c>
      <c r="C34" t="s">
        <v>8</v>
      </c>
      <c r="D34" t="s">
        <v>469</v>
      </c>
    </row>
    <row r="35" spans="1:6">
      <c r="A35" t="s">
        <v>480</v>
      </c>
      <c r="C35" s="1" t="s">
        <v>9</v>
      </c>
      <c r="D35" t="s">
        <v>470</v>
      </c>
    </row>
    <row r="36" spans="1:6">
      <c r="A36" t="s">
        <v>480</v>
      </c>
      <c r="C36" t="s">
        <v>11</v>
      </c>
      <c r="D36" t="s">
        <v>471</v>
      </c>
    </row>
    <row r="37" spans="1:6">
      <c r="A37" t="s">
        <v>480</v>
      </c>
      <c r="C37" t="s">
        <v>473</v>
      </c>
      <c r="D37" t="s">
        <v>472</v>
      </c>
    </row>
    <row r="38" spans="1:6">
      <c r="A38" t="s">
        <v>480</v>
      </c>
      <c r="C38" t="s">
        <v>475</v>
      </c>
      <c r="D38" t="s">
        <v>474</v>
      </c>
    </row>
    <row r="39" spans="1:6">
      <c r="A39" t="s">
        <v>480</v>
      </c>
      <c r="B39" s="7"/>
      <c r="C39" t="s">
        <v>477</v>
      </c>
      <c r="D39" t="s">
        <v>476</v>
      </c>
      <c r="F39" s="7" t="s">
        <v>636</v>
      </c>
    </row>
    <row r="40" spans="1:6">
      <c r="A40" t="s">
        <v>480</v>
      </c>
      <c r="C40" t="s">
        <v>479</v>
      </c>
      <c r="D40" t="s">
        <v>478</v>
      </c>
    </row>
    <row r="41" spans="1:6">
      <c r="A41" t="s">
        <v>480</v>
      </c>
      <c r="C41" t="s">
        <v>488</v>
      </c>
      <c r="D41" t="s">
        <v>487</v>
      </c>
    </row>
    <row r="42" spans="1:6">
      <c r="A42" t="s">
        <v>480</v>
      </c>
      <c r="B42" t="s">
        <v>800</v>
      </c>
      <c r="C42" t="s">
        <v>801</v>
      </c>
    </row>
    <row r="43" spans="1:6">
      <c r="A43" t="s">
        <v>480</v>
      </c>
      <c r="B43" t="s">
        <v>3764</v>
      </c>
      <c r="C43" t="s">
        <v>3765</v>
      </c>
    </row>
    <row r="44" spans="1:6">
      <c r="A44" t="s">
        <v>489</v>
      </c>
      <c r="C44" t="s">
        <v>41</v>
      </c>
      <c r="D44" t="s">
        <v>238</v>
      </c>
    </row>
    <row r="45" spans="1:6">
      <c r="A45" t="s">
        <v>489</v>
      </c>
      <c r="C45" t="s">
        <v>393</v>
      </c>
      <c r="D45" t="s">
        <v>392</v>
      </c>
    </row>
    <row r="46" spans="1:6">
      <c r="A46" t="s">
        <v>489</v>
      </c>
      <c r="C46" t="s">
        <v>395</v>
      </c>
      <c r="D46" t="s">
        <v>394</v>
      </c>
    </row>
    <row r="47" spans="1:6">
      <c r="A47" t="s">
        <v>489</v>
      </c>
      <c r="C47" t="s">
        <v>397</v>
      </c>
      <c r="D47" t="s">
        <v>396</v>
      </c>
    </row>
    <row r="48" spans="1:6">
      <c r="A48" t="s">
        <v>489</v>
      </c>
      <c r="C48" t="s">
        <v>399</v>
      </c>
      <c r="D48" t="s">
        <v>398</v>
      </c>
    </row>
    <row r="49" spans="1:4">
      <c r="A49" t="s">
        <v>489</v>
      </c>
      <c r="C49" t="s">
        <v>401</v>
      </c>
      <c r="D49" t="s">
        <v>400</v>
      </c>
    </row>
    <row r="50" spans="1:4">
      <c r="A50" t="s">
        <v>489</v>
      </c>
      <c r="C50" t="s">
        <v>403</v>
      </c>
      <c r="D50" t="s">
        <v>402</v>
      </c>
    </row>
    <row r="51" spans="1:4">
      <c r="A51" t="s">
        <v>489</v>
      </c>
      <c r="C51" t="s">
        <v>178</v>
      </c>
      <c r="D51" t="s">
        <v>404</v>
      </c>
    </row>
    <row r="52" spans="1:4">
      <c r="A52" t="s">
        <v>489</v>
      </c>
      <c r="C52" t="s">
        <v>406</v>
      </c>
      <c r="D52" t="s">
        <v>405</v>
      </c>
    </row>
    <row r="53" spans="1:4">
      <c r="A53" t="s">
        <v>489</v>
      </c>
      <c r="C53" t="s">
        <v>260</v>
      </c>
      <c r="D53" t="s">
        <v>407</v>
      </c>
    </row>
    <row r="54" spans="1:4">
      <c r="A54" t="s">
        <v>489</v>
      </c>
      <c r="C54" t="s">
        <v>157</v>
      </c>
      <c r="D54" t="s">
        <v>408</v>
      </c>
    </row>
    <row r="55" spans="1:4">
      <c r="A55" t="s">
        <v>489</v>
      </c>
      <c r="C55" t="s">
        <v>179</v>
      </c>
      <c r="D55" t="s">
        <v>409</v>
      </c>
    </row>
    <row r="56" spans="1:4">
      <c r="A56" t="s">
        <v>489</v>
      </c>
      <c r="C56" t="s">
        <v>259</v>
      </c>
      <c r="D56" t="s">
        <v>410</v>
      </c>
    </row>
    <row r="57" spans="1:4">
      <c r="A57" t="s">
        <v>489</v>
      </c>
      <c r="C57" t="s">
        <v>256</v>
      </c>
      <c r="D57" t="s">
        <v>411</v>
      </c>
    </row>
    <row r="58" spans="1:4">
      <c r="A58" t="s">
        <v>489</v>
      </c>
      <c r="C58" t="s">
        <v>257</v>
      </c>
      <c r="D58" t="s">
        <v>412</v>
      </c>
    </row>
    <row r="59" spans="1:4">
      <c r="A59" t="s">
        <v>489</v>
      </c>
      <c r="C59" t="s">
        <v>414</v>
      </c>
      <c r="D59" t="s">
        <v>413</v>
      </c>
    </row>
    <row r="60" spans="1:4">
      <c r="A60" t="s">
        <v>489</v>
      </c>
      <c r="C60" t="s">
        <v>258</v>
      </c>
      <c r="D60" t="s">
        <v>415</v>
      </c>
    </row>
    <row r="61" spans="1:4">
      <c r="A61" t="s">
        <v>489</v>
      </c>
      <c r="C61" t="s">
        <v>417</v>
      </c>
      <c r="D61" t="s">
        <v>416</v>
      </c>
    </row>
    <row r="62" spans="1:4">
      <c r="A62" t="s">
        <v>489</v>
      </c>
      <c r="C62" t="s">
        <v>261</v>
      </c>
      <c r="D62" t="s">
        <v>418</v>
      </c>
    </row>
    <row r="63" spans="1:4">
      <c r="A63" t="s">
        <v>489</v>
      </c>
      <c r="C63" t="s">
        <v>3731</v>
      </c>
      <c r="D63" t="s">
        <v>458</v>
      </c>
    </row>
    <row r="64" spans="1:4">
      <c r="A64" t="s">
        <v>489</v>
      </c>
      <c r="C64" t="s">
        <v>3732</v>
      </c>
      <c r="D64" t="s">
        <v>462</v>
      </c>
    </row>
    <row r="65" spans="1:4">
      <c r="A65" t="s">
        <v>489</v>
      </c>
      <c r="C65" t="s">
        <v>3733</v>
      </c>
      <c r="D65" t="s">
        <v>470</v>
      </c>
    </row>
    <row r="66" spans="1:4">
      <c r="A66" t="s">
        <v>489</v>
      </c>
      <c r="C66" t="s">
        <v>420</v>
      </c>
      <c r="D66" t="s">
        <v>419</v>
      </c>
    </row>
    <row r="67" spans="1:4">
      <c r="A67" t="s">
        <v>489</v>
      </c>
      <c r="C67" t="s">
        <v>422</v>
      </c>
      <c r="D67" t="s">
        <v>421</v>
      </c>
    </row>
    <row r="68" spans="1:4">
      <c r="A68" t="s">
        <v>489</v>
      </c>
      <c r="C68" t="s">
        <v>424</v>
      </c>
      <c r="D68" t="s">
        <v>423</v>
      </c>
    </row>
    <row r="69" spans="1:4">
      <c r="A69" t="s">
        <v>489</v>
      </c>
      <c r="C69" t="s">
        <v>426</v>
      </c>
      <c r="D69" t="s">
        <v>425</v>
      </c>
    </row>
    <row r="70" spans="1:4">
      <c r="A70" t="s">
        <v>489</v>
      </c>
      <c r="C70" t="s">
        <v>428</v>
      </c>
      <c r="D70" t="s">
        <v>427</v>
      </c>
    </row>
    <row r="71" spans="1:4">
      <c r="A71" t="s">
        <v>489</v>
      </c>
      <c r="C71" t="s">
        <v>430</v>
      </c>
      <c r="D71" t="s">
        <v>429</v>
      </c>
    </row>
    <row r="72" spans="1:4">
      <c r="A72" t="s">
        <v>489</v>
      </c>
      <c r="C72" t="s">
        <v>432</v>
      </c>
      <c r="D72" t="s">
        <v>431</v>
      </c>
    </row>
    <row r="73" spans="1:4">
      <c r="A73" t="s">
        <v>489</v>
      </c>
      <c r="C73" t="s">
        <v>434</v>
      </c>
      <c r="D73" t="s">
        <v>433</v>
      </c>
    </row>
    <row r="74" spans="1:4">
      <c r="A74" t="s">
        <v>489</v>
      </c>
      <c r="C74" t="s">
        <v>436</v>
      </c>
      <c r="D74" t="s">
        <v>435</v>
      </c>
    </row>
    <row r="75" spans="1:4">
      <c r="A75" t="s">
        <v>489</v>
      </c>
      <c r="C75" t="s">
        <v>438</v>
      </c>
      <c r="D75" t="s">
        <v>437</v>
      </c>
    </row>
    <row r="76" spans="1:4">
      <c r="A76" t="s">
        <v>489</v>
      </c>
      <c r="C76" t="s">
        <v>286</v>
      </c>
      <c r="D76" t="s">
        <v>439</v>
      </c>
    </row>
    <row r="77" spans="1:4">
      <c r="A77" t="s">
        <v>489</v>
      </c>
      <c r="C77" t="s">
        <v>150</v>
      </c>
      <c r="D77" t="s">
        <v>440</v>
      </c>
    </row>
    <row r="78" spans="1:4">
      <c r="A78" t="s">
        <v>489</v>
      </c>
      <c r="C78" t="s">
        <v>442</v>
      </c>
      <c r="D78" t="s">
        <v>441</v>
      </c>
    </row>
    <row r="79" spans="1:4">
      <c r="A79" t="s">
        <v>489</v>
      </c>
      <c r="C79" t="s">
        <v>444</v>
      </c>
      <c r="D79" t="s">
        <v>443</v>
      </c>
    </row>
    <row r="80" spans="1:4">
      <c r="A80" t="s">
        <v>489</v>
      </c>
      <c r="C80" t="s">
        <v>446</v>
      </c>
      <c r="D80" t="s">
        <v>445</v>
      </c>
    </row>
    <row r="81" spans="1:4">
      <c r="A81" t="s">
        <v>489</v>
      </c>
      <c r="C81" t="s">
        <v>448</v>
      </c>
      <c r="D81" t="s">
        <v>447</v>
      </c>
    </row>
    <row r="82" spans="1:4">
      <c r="A82" t="s">
        <v>489</v>
      </c>
      <c r="C82" t="s">
        <v>450</v>
      </c>
      <c r="D82" t="s">
        <v>449</v>
      </c>
    </row>
    <row r="83" spans="1:4">
      <c r="A83" t="s">
        <v>489</v>
      </c>
      <c r="C83" t="s">
        <v>452</v>
      </c>
      <c r="D83" t="s">
        <v>451</v>
      </c>
    </row>
    <row r="84" spans="1:4">
      <c r="A84" t="s">
        <v>489</v>
      </c>
      <c r="C84" t="s">
        <v>3733</v>
      </c>
      <c r="D84" t="s">
        <v>471</v>
      </c>
    </row>
    <row r="85" spans="1:4">
      <c r="A85" t="s">
        <v>489</v>
      </c>
      <c r="B85" t="s">
        <v>3713</v>
      </c>
      <c r="C85" t="s">
        <v>3714</v>
      </c>
      <c r="D85" t="s">
        <v>100</v>
      </c>
    </row>
    <row r="86" spans="1:4">
      <c r="A86" t="s">
        <v>489</v>
      </c>
      <c r="B86" t="s">
        <v>3715</v>
      </c>
      <c r="C86" t="s">
        <v>3716</v>
      </c>
      <c r="D86" t="s">
        <v>100</v>
      </c>
    </row>
    <row r="87" spans="1:4">
      <c r="A87" t="s">
        <v>3090</v>
      </c>
      <c r="B87" t="s">
        <v>361</v>
      </c>
      <c r="C87" t="s">
        <v>794</v>
      </c>
    </row>
    <row r="88" spans="1:4">
      <c r="A88" t="s">
        <v>3090</v>
      </c>
      <c r="B88" t="s">
        <v>362</v>
      </c>
      <c r="C88" t="s">
        <v>795</v>
      </c>
    </row>
    <row r="89" spans="1:4">
      <c r="A89" t="s">
        <v>3090</v>
      </c>
      <c r="B89" t="s">
        <v>363</v>
      </c>
      <c r="C89" t="s">
        <v>796</v>
      </c>
    </row>
    <row r="90" spans="1:4">
      <c r="A90" t="s">
        <v>3090</v>
      </c>
      <c r="B90" t="s">
        <v>364</v>
      </c>
      <c r="C90" t="s">
        <v>797</v>
      </c>
    </row>
    <row r="91" spans="1:4">
      <c r="A91" t="s">
        <v>3090</v>
      </c>
      <c r="B91" t="s">
        <v>365</v>
      </c>
      <c r="C91" t="s">
        <v>798</v>
      </c>
    </row>
    <row r="92" spans="1:4">
      <c r="A92" t="s">
        <v>3090</v>
      </c>
      <c r="B92" t="s">
        <v>366</v>
      </c>
      <c r="C92" t="s">
        <v>799</v>
      </c>
    </row>
    <row r="93" spans="1:4">
      <c r="A93" t="s">
        <v>3090</v>
      </c>
      <c r="B93" t="s">
        <v>367</v>
      </c>
      <c r="C93" t="s">
        <v>373</v>
      </c>
    </row>
    <row r="94" spans="1:4">
      <c r="A94" t="s">
        <v>3090</v>
      </c>
      <c r="B94" t="s">
        <v>368</v>
      </c>
      <c r="C94" t="s">
        <v>374</v>
      </c>
    </row>
    <row r="95" spans="1:4">
      <c r="A95" t="s">
        <v>3090</v>
      </c>
      <c r="B95" t="s">
        <v>369</v>
      </c>
      <c r="C95" t="s">
        <v>371</v>
      </c>
    </row>
    <row r="96" spans="1:4">
      <c r="A96" t="s">
        <v>3090</v>
      </c>
      <c r="B96" t="s">
        <v>370</v>
      </c>
      <c r="C96" t="s">
        <v>372</v>
      </c>
    </row>
    <row r="97" spans="1:6">
      <c r="A97" t="s">
        <v>3090</v>
      </c>
      <c r="B97" t="s">
        <v>3109</v>
      </c>
      <c r="C97" t="s">
        <v>791</v>
      </c>
    </row>
    <row r="98" spans="1:6">
      <c r="A98" t="s">
        <v>3090</v>
      </c>
      <c r="B98" t="s">
        <v>793</v>
      </c>
      <c r="C98" t="s">
        <v>792</v>
      </c>
    </row>
    <row r="99" spans="1:6">
      <c r="A99" t="s">
        <v>3090</v>
      </c>
      <c r="C99" t="s">
        <v>4</v>
      </c>
      <c r="D99" t="s">
        <v>333</v>
      </c>
      <c r="E99" t="s">
        <v>494</v>
      </c>
      <c r="F99" t="s">
        <v>490</v>
      </c>
    </row>
    <row r="100" spans="1:6">
      <c r="A100" t="s">
        <v>3090</v>
      </c>
      <c r="C100" t="s">
        <v>5</v>
      </c>
      <c r="D100" t="s">
        <v>333</v>
      </c>
      <c r="E100" t="s">
        <v>495</v>
      </c>
      <c r="F100" t="s">
        <v>490</v>
      </c>
    </row>
    <row r="101" spans="1:6">
      <c r="A101" t="s">
        <v>3090</v>
      </c>
      <c r="C101" t="s">
        <v>6</v>
      </c>
      <c r="D101" t="s">
        <v>333</v>
      </c>
      <c r="E101" t="s">
        <v>496</v>
      </c>
      <c r="F101" t="s">
        <v>490</v>
      </c>
    </row>
    <row r="102" spans="1:6">
      <c r="A102" t="s">
        <v>3090</v>
      </c>
      <c r="C102" t="s">
        <v>292</v>
      </c>
      <c r="D102" t="s">
        <v>333</v>
      </c>
      <c r="E102" t="s">
        <v>497</v>
      </c>
    </row>
    <row r="103" spans="1:6">
      <c r="A103" t="s">
        <v>3090</v>
      </c>
      <c r="C103" t="s">
        <v>12</v>
      </c>
      <c r="D103" t="s">
        <v>333</v>
      </c>
      <c r="E103" t="s">
        <v>498</v>
      </c>
    </row>
    <row r="104" spans="1:6">
      <c r="A104" t="s">
        <v>3090</v>
      </c>
      <c r="C104" t="s">
        <v>14</v>
      </c>
      <c r="D104" t="s">
        <v>333</v>
      </c>
      <c r="E104" t="s">
        <v>499</v>
      </c>
    </row>
    <row r="105" spans="1:6">
      <c r="A105" t="s">
        <v>3090</v>
      </c>
      <c r="C105" t="s">
        <v>15</v>
      </c>
      <c r="D105" t="s">
        <v>333</v>
      </c>
      <c r="E105" t="s">
        <v>500</v>
      </c>
    </row>
    <row r="106" spans="1:6">
      <c r="A106" t="s">
        <v>3090</v>
      </c>
      <c r="C106" t="s">
        <v>98</v>
      </c>
      <c r="D106" t="s">
        <v>333</v>
      </c>
      <c r="E106" t="s">
        <v>501</v>
      </c>
    </row>
    <row r="107" spans="1:6">
      <c r="A107" t="s">
        <v>3090</v>
      </c>
      <c r="C107" t="s">
        <v>160</v>
      </c>
      <c r="D107" t="s">
        <v>333</v>
      </c>
      <c r="E107" t="s">
        <v>502</v>
      </c>
    </row>
    <row r="108" spans="1:6">
      <c r="A108" t="s">
        <v>3090</v>
      </c>
      <c r="C108" t="s">
        <v>36</v>
      </c>
      <c r="D108" t="s">
        <v>333</v>
      </c>
      <c r="E108" t="s">
        <v>503</v>
      </c>
    </row>
    <row r="109" spans="1:6">
      <c r="A109" t="s">
        <v>3090</v>
      </c>
      <c r="C109" t="s">
        <v>13</v>
      </c>
      <c r="D109" t="s">
        <v>333</v>
      </c>
      <c r="E109" t="s">
        <v>504</v>
      </c>
    </row>
    <row r="110" spans="1:6">
      <c r="A110" t="s">
        <v>3090</v>
      </c>
      <c r="C110" t="s">
        <v>16</v>
      </c>
      <c r="D110" t="s">
        <v>333</v>
      </c>
      <c r="E110" t="s">
        <v>3701</v>
      </c>
    </row>
    <row r="111" spans="1:6">
      <c r="A111" t="s">
        <v>3090</v>
      </c>
      <c r="C111" t="s">
        <v>255</v>
      </c>
      <c r="D111" t="s">
        <v>333</v>
      </c>
      <c r="E111" t="s">
        <v>505</v>
      </c>
    </row>
    <row r="112" spans="1:6">
      <c r="A112" t="s">
        <v>3090</v>
      </c>
      <c r="C112" t="s">
        <v>17</v>
      </c>
      <c r="D112" t="s">
        <v>333</v>
      </c>
      <c r="E112" t="s">
        <v>3702</v>
      </c>
    </row>
    <row r="113" spans="1:6">
      <c r="A113" t="s">
        <v>3090</v>
      </c>
      <c r="C113" t="s">
        <v>304</v>
      </c>
      <c r="D113" t="s">
        <v>333</v>
      </c>
      <c r="E113" t="s">
        <v>494</v>
      </c>
      <c r="F113" t="s">
        <v>491</v>
      </c>
    </row>
    <row r="114" spans="1:6">
      <c r="A114" t="s">
        <v>3090</v>
      </c>
      <c r="C114" t="s">
        <v>94</v>
      </c>
      <c r="D114" t="s">
        <v>333</v>
      </c>
      <c r="E114" t="s">
        <v>495</v>
      </c>
      <c r="F114" t="s">
        <v>491</v>
      </c>
    </row>
    <row r="115" spans="1:6">
      <c r="A115" t="s">
        <v>3090</v>
      </c>
      <c r="C115" t="s">
        <v>95</v>
      </c>
      <c r="D115" t="s">
        <v>333</v>
      </c>
      <c r="E115" t="s">
        <v>496</v>
      </c>
      <c r="F115" t="s">
        <v>491</v>
      </c>
    </row>
    <row r="116" spans="1:6">
      <c r="A116" t="s">
        <v>3090</v>
      </c>
      <c r="C116" t="s">
        <v>185</v>
      </c>
      <c r="D116" t="s">
        <v>100</v>
      </c>
    </row>
    <row r="117" spans="1:6">
      <c r="A117" t="s">
        <v>3090</v>
      </c>
      <c r="C117" t="s">
        <v>477</v>
      </c>
      <c r="D117" t="s">
        <v>506</v>
      </c>
      <c r="F117" t="s">
        <v>197</v>
      </c>
    </row>
    <row r="118" spans="1:6">
      <c r="A118" t="s">
        <v>3090</v>
      </c>
      <c r="C118" t="s">
        <v>810</v>
      </c>
      <c r="D118" t="s">
        <v>506</v>
      </c>
      <c r="F118" t="s">
        <v>811</v>
      </c>
    </row>
    <row r="119" spans="1:6">
      <c r="A119" t="s">
        <v>3090</v>
      </c>
      <c r="C119" t="s">
        <v>517</v>
      </c>
      <c r="E119" t="s">
        <v>519</v>
      </c>
      <c r="F119" t="s">
        <v>39</v>
      </c>
    </row>
    <row r="120" spans="1:6">
      <c r="A120" t="s">
        <v>3090</v>
      </c>
      <c r="C120" t="s">
        <v>518</v>
      </c>
      <c r="E120" t="s">
        <v>521</v>
      </c>
      <c r="F120" t="s">
        <v>39</v>
      </c>
    </row>
    <row r="121" spans="1:6">
      <c r="A121" t="s">
        <v>3090</v>
      </c>
      <c r="C121" t="s">
        <v>520</v>
      </c>
      <c r="E121" t="s">
        <v>195</v>
      </c>
      <c r="F121" t="s">
        <v>39</v>
      </c>
    </row>
    <row r="122" spans="1:6">
      <c r="A122" t="s">
        <v>3090</v>
      </c>
      <c r="C122" t="s">
        <v>135</v>
      </c>
      <c r="D122" t="s">
        <v>122</v>
      </c>
    </row>
    <row r="123" spans="1:6">
      <c r="A123" t="s">
        <v>3090</v>
      </c>
      <c r="C123" t="s">
        <v>124</v>
      </c>
      <c r="D123" t="s">
        <v>123</v>
      </c>
    </row>
    <row r="124" spans="1:6">
      <c r="A124" t="s">
        <v>3090</v>
      </c>
      <c r="C124" t="s">
        <v>136</v>
      </c>
      <c r="D124" t="s">
        <v>125</v>
      </c>
    </row>
    <row r="125" spans="1:6">
      <c r="A125" t="s">
        <v>3090</v>
      </c>
      <c r="C125" t="s">
        <v>127</v>
      </c>
      <c r="D125" t="s">
        <v>126</v>
      </c>
    </row>
    <row r="126" spans="1:6">
      <c r="A126" t="s">
        <v>3090</v>
      </c>
      <c r="C126" t="s">
        <v>139</v>
      </c>
      <c r="D126" t="s">
        <v>128</v>
      </c>
    </row>
    <row r="127" spans="1:6">
      <c r="A127" t="s">
        <v>3090</v>
      </c>
      <c r="C127" t="s">
        <v>130</v>
      </c>
      <c r="D127" t="s">
        <v>129</v>
      </c>
    </row>
    <row r="128" spans="1:6">
      <c r="A128" t="s">
        <v>3090</v>
      </c>
      <c r="C128" t="s">
        <v>137</v>
      </c>
      <c r="D128" t="s">
        <v>131</v>
      </c>
    </row>
    <row r="129" spans="1:4">
      <c r="A129" t="s">
        <v>3090</v>
      </c>
      <c r="C129" t="s">
        <v>138</v>
      </c>
      <c r="D129" t="s">
        <v>132</v>
      </c>
    </row>
    <row r="130" spans="1:4">
      <c r="A130" t="s">
        <v>3090</v>
      </c>
      <c r="C130" t="s">
        <v>134</v>
      </c>
      <c r="D130" t="s">
        <v>133</v>
      </c>
    </row>
    <row r="131" spans="1:4">
      <c r="A131" t="s">
        <v>3090</v>
      </c>
      <c r="B131" t="s">
        <v>800</v>
      </c>
      <c r="C131" t="s">
        <v>801</v>
      </c>
    </row>
    <row r="132" spans="1:4">
      <c r="A132" t="s">
        <v>3090</v>
      </c>
      <c r="C132" t="s">
        <v>163</v>
      </c>
      <c r="D132" t="s">
        <v>3091</v>
      </c>
    </row>
    <row r="133" spans="1:4">
      <c r="A133" t="s">
        <v>3090</v>
      </c>
      <c r="C133" t="s">
        <v>160</v>
      </c>
      <c r="D133" t="s">
        <v>3092</v>
      </c>
    </row>
    <row r="134" spans="1:4">
      <c r="A134" t="s">
        <v>3090</v>
      </c>
      <c r="C134" t="s">
        <v>1554</v>
      </c>
      <c r="D134" t="s">
        <v>3093</v>
      </c>
    </row>
    <row r="135" spans="1:4">
      <c r="A135" t="s">
        <v>3090</v>
      </c>
      <c r="C135" t="s">
        <v>1564</v>
      </c>
      <c r="D135" t="s">
        <v>3094</v>
      </c>
    </row>
    <row r="136" spans="1:4">
      <c r="A136" t="s">
        <v>3090</v>
      </c>
      <c r="C136" t="s">
        <v>1584</v>
      </c>
      <c r="D136" t="s">
        <v>3095</v>
      </c>
    </row>
    <row r="137" spans="1:4">
      <c r="A137" t="s">
        <v>3090</v>
      </c>
      <c r="C137" t="s">
        <v>1638</v>
      </c>
      <c r="D137" t="s">
        <v>3096</v>
      </c>
    </row>
    <row r="138" spans="1:4">
      <c r="A138" t="s">
        <v>3090</v>
      </c>
      <c r="C138" t="s">
        <v>1597</v>
      </c>
      <c r="D138" t="s">
        <v>3097</v>
      </c>
    </row>
    <row r="139" spans="1:4">
      <c r="A139" t="s">
        <v>3090</v>
      </c>
      <c r="C139" t="s">
        <v>1606</v>
      </c>
      <c r="D139" t="s">
        <v>3098</v>
      </c>
    </row>
    <row r="140" spans="1:4">
      <c r="A140" t="s">
        <v>3090</v>
      </c>
      <c r="C140" t="s">
        <v>1617</v>
      </c>
      <c r="D140" t="s">
        <v>3099</v>
      </c>
    </row>
    <row r="141" spans="1:4">
      <c r="A141" t="s">
        <v>3090</v>
      </c>
      <c r="C141" t="s">
        <v>161</v>
      </c>
      <c r="D141" t="s">
        <v>3100</v>
      </c>
    </row>
    <row r="142" spans="1:4">
      <c r="A142" t="s">
        <v>3090</v>
      </c>
      <c r="C142" t="s">
        <v>1855</v>
      </c>
      <c r="D142" t="s">
        <v>3101</v>
      </c>
    </row>
    <row r="143" spans="1:4">
      <c r="A143" t="s">
        <v>3090</v>
      </c>
      <c r="C143" t="s">
        <v>1866</v>
      </c>
      <c r="D143" t="s">
        <v>3102</v>
      </c>
    </row>
    <row r="144" spans="1:4">
      <c r="A144" t="s">
        <v>3090</v>
      </c>
      <c r="C144" t="s">
        <v>1877</v>
      </c>
      <c r="D144" t="s">
        <v>3103</v>
      </c>
    </row>
    <row r="145" spans="1:4">
      <c r="A145" t="s">
        <v>3090</v>
      </c>
      <c r="C145" t="s">
        <v>1915</v>
      </c>
      <c r="D145" t="s">
        <v>3104</v>
      </c>
    </row>
    <row r="146" spans="1:4">
      <c r="A146" t="s">
        <v>3090</v>
      </c>
      <c r="C146" t="s">
        <v>1927</v>
      </c>
      <c r="D146" t="s">
        <v>3105</v>
      </c>
    </row>
    <row r="147" spans="1:4">
      <c r="A147" t="s">
        <v>3090</v>
      </c>
      <c r="C147" t="s">
        <v>2068</v>
      </c>
      <c r="D147" t="s">
        <v>3106</v>
      </c>
    </row>
    <row r="148" spans="1:4">
      <c r="A148" t="s">
        <v>3090</v>
      </c>
      <c r="C148" t="s">
        <v>162</v>
      </c>
      <c r="D148" t="s">
        <v>3107</v>
      </c>
    </row>
    <row r="149" spans="1:4">
      <c r="A149" t="s">
        <v>3090</v>
      </c>
      <c r="C149" t="s">
        <v>167</v>
      </c>
      <c r="D149" t="s">
        <v>3108</v>
      </c>
    </row>
    <row r="150" spans="1:4">
      <c r="A150" t="s">
        <v>389</v>
      </c>
      <c r="C150" t="s">
        <v>1587</v>
      </c>
      <c r="D150" t="s">
        <v>391</v>
      </c>
    </row>
    <row r="151" spans="1:4">
      <c r="A151" t="s">
        <v>389</v>
      </c>
      <c r="C151" t="s">
        <v>281</v>
      </c>
      <c r="D151" t="s">
        <v>281</v>
      </c>
    </row>
    <row r="152" spans="1:4">
      <c r="A152" t="s">
        <v>530</v>
      </c>
      <c r="B152" t="s">
        <v>540</v>
      </c>
      <c r="C152" t="s">
        <v>531</v>
      </c>
    </row>
    <row r="153" spans="1:4">
      <c r="A153" t="s">
        <v>530</v>
      </c>
      <c r="B153" t="s">
        <v>541</v>
      </c>
      <c r="C153" t="s">
        <v>534</v>
      </c>
    </row>
    <row r="154" spans="1:4">
      <c r="A154" t="s">
        <v>530</v>
      </c>
      <c r="B154" t="s">
        <v>542</v>
      </c>
      <c r="C154" t="s">
        <v>535</v>
      </c>
    </row>
    <row r="155" spans="1:4">
      <c r="A155" t="s">
        <v>530</v>
      </c>
      <c r="B155" t="s">
        <v>543</v>
      </c>
      <c r="C155" t="s">
        <v>536</v>
      </c>
    </row>
    <row r="156" spans="1:4">
      <c r="A156" t="s">
        <v>530</v>
      </c>
      <c r="B156" t="s">
        <v>544</v>
      </c>
      <c r="C156" t="s">
        <v>537</v>
      </c>
    </row>
    <row r="157" spans="1:4">
      <c r="A157" t="s">
        <v>530</v>
      </c>
      <c r="B157" t="s">
        <v>545</v>
      </c>
      <c r="C157" t="s">
        <v>538</v>
      </c>
    </row>
    <row r="158" spans="1:4">
      <c r="A158" t="s">
        <v>530</v>
      </c>
      <c r="B158" t="s">
        <v>546</v>
      </c>
      <c r="C158" t="s">
        <v>539</v>
      </c>
    </row>
    <row r="159" spans="1:4">
      <c r="A159" t="s">
        <v>530</v>
      </c>
      <c r="B159" t="s">
        <v>547</v>
      </c>
      <c r="C159" t="s">
        <v>532</v>
      </c>
    </row>
    <row r="160" spans="1:4">
      <c r="A160" t="s">
        <v>530</v>
      </c>
      <c r="B160" t="s">
        <v>548</v>
      </c>
      <c r="C160" t="s">
        <v>533</v>
      </c>
    </row>
    <row r="163" spans="1:3">
      <c r="A163" t="s">
        <v>682</v>
      </c>
      <c r="B163" t="s">
        <v>683</v>
      </c>
      <c r="C163" t="s">
        <v>742</v>
      </c>
    </row>
    <row r="164" spans="1:3">
      <c r="A164" t="s">
        <v>682</v>
      </c>
      <c r="B164" t="s">
        <v>684</v>
      </c>
      <c r="C164" t="s">
        <v>713</v>
      </c>
    </row>
    <row r="165" spans="1:3">
      <c r="A165" t="s">
        <v>682</v>
      </c>
      <c r="B165" t="s">
        <v>685</v>
      </c>
      <c r="C165" t="s">
        <v>714</v>
      </c>
    </row>
    <row r="166" spans="1:3">
      <c r="A166" t="s">
        <v>682</v>
      </c>
      <c r="B166" t="s">
        <v>686</v>
      </c>
      <c r="C166" t="s">
        <v>715</v>
      </c>
    </row>
    <row r="167" spans="1:3">
      <c r="A167" t="s">
        <v>682</v>
      </c>
      <c r="B167" t="s">
        <v>687</v>
      </c>
      <c r="C167" t="s">
        <v>716</v>
      </c>
    </row>
    <row r="168" spans="1:3">
      <c r="A168" t="s">
        <v>682</v>
      </c>
      <c r="B168" t="s">
        <v>688</v>
      </c>
      <c r="C168" t="s">
        <v>717</v>
      </c>
    </row>
    <row r="169" spans="1:3">
      <c r="A169" t="s">
        <v>682</v>
      </c>
      <c r="B169" t="s">
        <v>689</v>
      </c>
      <c r="C169" t="s">
        <v>718</v>
      </c>
    </row>
    <row r="170" spans="1:3">
      <c r="A170" t="s">
        <v>682</v>
      </c>
      <c r="B170" t="s">
        <v>690</v>
      </c>
      <c r="C170" t="s">
        <v>719</v>
      </c>
    </row>
    <row r="171" spans="1:3">
      <c r="A171" t="s">
        <v>682</v>
      </c>
      <c r="B171" t="s">
        <v>691</v>
      </c>
      <c r="C171" t="s">
        <v>720</v>
      </c>
    </row>
    <row r="172" spans="1:3">
      <c r="A172" t="s">
        <v>682</v>
      </c>
      <c r="B172" t="s">
        <v>692</v>
      </c>
      <c r="C172" t="s">
        <v>721</v>
      </c>
    </row>
    <row r="173" spans="1:3">
      <c r="A173" t="s">
        <v>682</v>
      </c>
      <c r="B173" t="s">
        <v>693</v>
      </c>
      <c r="C173" t="s">
        <v>722</v>
      </c>
    </row>
    <row r="174" spans="1:3">
      <c r="A174" t="s">
        <v>682</v>
      </c>
      <c r="B174" t="s">
        <v>694</v>
      </c>
      <c r="C174" t="s">
        <v>723</v>
      </c>
    </row>
    <row r="175" spans="1:3">
      <c r="A175" t="s">
        <v>682</v>
      </c>
      <c r="B175" t="s">
        <v>695</v>
      </c>
      <c r="C175" t="s">
        <v>724</v>
      </c>
    </row>
    <row r="176" spans="1:3">
      <c r="A176" t="s">
        <v>682</v>
      </c>
      <c r="B176" t="s">
        <v>696</v>
      </c>
      <c r="C176" t="s">
        <v>725</v>
      </c>
    </row>
    <row r="177" spans="1:3">
      <c r="A177" t="s">
        <v>682</v>
      </c>
      <c r="B177" t="s">
        <v>697</v>
      </c>
      <c r="C177" t="s">
        <v>726</v>
      </c>
    </row>
    <row r="178" spans="1:3">
      <c r="A178" t="s">
        <v>682</v>
      </c>
      <c r="B178" t="s">
        <v>698</v>
      </c>
      <c r="C178" t="s">
        <v>727</v>
      </c>
    </row>
    <row r="179" spans="1:3">
      <c r="A179" t="s">
        <v>682</v>
      </c>
      <c r="B179" t="s">
        <v>699</v>
      </c>
      <c r="C179" t="s">
        <v>728</v>
      </c>
    </row>
    <row r="180" spans="1:3">
      <c r="A180" t="s">
        <v>682</v>
      </c>
      <c r="B180" t="s">
        <v>700</v>
      </c>
      <c r="C180" t="s">
        <v>729</v>
      </c>
    </row>
    <row r="181" spans="1:3">
      <c r="A181" t="s">
        <v>682</v>
      </c>
      <c r="B181" t="s">
        <v>701</v>
      </c>
      <c r="C181" t="s">
        <v>730</v>
      </c>
    </row>
    <row r="182" spans="1:3">
      <c r="A182" t="s">
        <v>682</v>
      </c>
      <c r="B182" t="s">
        <v>702</v>
      </c>
      <c r="C182" t="s">
        <v>731</v>
      </c>
    </row>
    <row r="183" spans="1:3">
      <c r="A183" t="s">
        <v>682</v>
      </c>
      <c r="B183" t="s">
        <v>703</v>
      </c>
      <c r="C183" t="s">
        <v>732</v>
      </c>
    </row>
    <row r="184" spans="1:3">
      <c r="A184" t="s">
        <v>682</v>
      </c>
      <c r="B184" t="s">
        <v>704</v>
      </c>
      <c r="C184" t="s">
        <v>733</v>
      </c>
    </row>
    <row r="185" spans="1:3">
      <c r="A185" t="s">
        <v>682</v>
      </c>
      <c r="B185" t="s">
        <v>705</v>
      </c>
      <c r="C185" t="s">
        <v>734</v>
      </c>
    </row>
    <row r="186" spans="1:3">
      <c r="A186" t="s">
        <v>682</v>
      </c>
      <c r="B186" t="s">
        <v>706</v>
      </c>
      <c r="C186" t="s">
        <v>735</v>
      </c>
    </row>
    <row r="187" spans="1:3">
      <c r="A187" t="s">
        <v>682</v>
      </c>
      <c r="B187" t="s">
        <v>707</v>
      </c>
      <c r="C187" t="s">
        <v>736</v>
      </c>
    </row>
    <row r="188" spans="1:3">
      <c r="A188" t="s">
        <v>682</v>
      </c>
      <c r="B188" t="s">
        <v>708</v>
      </c>
      <c r="C188" t="s">
        <v>737</v>
      </c>
    </row>
    <row r="189" spans="1:3">
      <c r="A189" t="s">
        <v>682</v>
      </c>
      <c r="B189" t="s">
        <v>709</v>
      </c>
      <c r="C189" t="s">
        <v>738</v>
      </c>
    </row>
    <row r="190" spans="1:3">
      <c r="A190" t="s">
        <v>682</v>
      </c>
      <c r="B190" t="s">
        <v>710</v>
      </c>
      <c r="C190" t="s">
        <v>739</v>
      </c>
    </row>
    <row r="191" spans="1:3">
      <c r="A191" t="s">
        <v>682</v>
      </c>
      <c r="B191" t="s">
        <v>711</v>
      </c>
      <c r="C191" t="s">
        <v>740</v>
      </c>
    </row>
    <row r="192" spans="1:3">
      <c r="A192" t="s">
        <v>682</v>
      </c>
      <c r="B192" t="s">
        <v>712</v>
      </c>
      <c r="C192" t="s">
        <v>741</v>
      </c>
    </row>
    <row r="193" spans="1:3">
      <c r="A193" t="s">
        <v>682</v>
      </c>
      <c r="B193" t="s">
        <v>743</v>
      </c>
      <c r="C193" t="s">
        <v>759</v>
      </c>
    </row>
    <row r="194" spans="1:3">
      <c r="A194" t="s">
        <v>682</v>
      </c>
      <c r="B194" t="s">
        <v>744</v>
      </c>
      <c r="C194" t="s">
        <v>760</v>
      </c>
    </row>
    <row r="195" spans="1:3">
      <c r="A195" t="s">
        <v>682</v>
      </c>
      <c r="B195" t="s">
        <v>745</v>
      </c>
      <c r="C195" t="s">
        <v>761</v>
      </c>
    </row>
    <row r="196" spans="1:3">
      <c r="A196" t="s">
        <v>682</v>
      </c>
      <c r="B196" t="s">
        <v>746</v>
      </c>
      <c r="C196" t="s">
        <v>762</v>
      </c>
    </row>
    <row r="197" spans="1:3">
      <c r="A197" t="s">
        <v>682</v>
      </c>
      <c r="B197" t="s">
        <v>747</v>
      </c>
      <c r="C197" t="s">
        <v>763</v>
      </c>
    </row>
    <row r="198" spans="1:3">
      <c r="A198" t="s">
        <v>682</v>
      </c>
      <c r="B198" t="s">
        <v>748</v>
      </c>
      <c r="C198" t="s">
        <v>764</v>
      </c>
    </row>
    <row r="199" spans="1:3">
      <c r="A199" t="s">
        <v>682</v>
      </c>
      <c r="B199" t="s">
        <v>749</v>
      </c>
      <c r="C199" t="s">
        <v>765</v>
      </c>
    </row>
    <row r="200" spans="1:3">
      <c r="A200" t="s">
        <v>682</v>
      </c>
      <c r="B200" t="s">
        <v>750</v>
      </c>
      <c r="C200" t="s">
        <v>766</v>
      </c>
    </row>
    <row r="201" spans="1:3">
      <c r="A201" t="s">
        <v>682</v>
      </c>
      <c r="B201" t="s">
        <v>751</v>
      </c>
      <c r="C201" t="s">
        <v>767</v>
      </c>
    </row>
    <row r="202" spans="1:3">
      <c r="A202" t="s">
        <v>682</v>
      </c>
      <c r="B202" t="s">
        <v>752</v>
      </c>
      <c r="C202" t="s">
        <v>768</v>
      </c>
    </row>
    <row r="203" spans="1:3">
      <c r="A203" t="s">
        <v>682</v>
      </c>
      <c r="B203" t="s">
        <v>753</v>
      </c>
      <c r="C203" t="s">
        <v>769</v>
      </c>
    </row>
    <row r="204" spans="1:3">
      <c r="A204" t="s">
        <v>682</v>
      </c>
      <c r="B204" t="s">
        <v>754</v>
      </c>
      <c r="C204" t="s">
        <v>770</v>
      </c>
    </row>
    <row r="205" spans="1:3">
      <c r="A205" t="s">
        <v>682</v>
      </c>
      <c r="B205" t="s">
        <v>755</v>
      </c>
      <c r="C205" t="s">
        <v>771</v>
      </c>
    </row>
    <row r="206" spans="1:3">
      <c r="A206" t="s">
        <v>682</v>
      </c>
      <c r="B206" t="s">
        <v>756</v>
      </c>
      <c r="C206" t="s">
        <v>772</v>
      </c>
    </row>
    <row r="207" spans="1:3">
      <c r="A207" t="s">
        <v>682</v>
      </c>
      <c r="B207" t="s">
        <v>757</v>
      </c>
      <c r="C207" t="s">
        <v>773</v>
      </c>
    </row>
    <row r="208" spans="1:3">
      <c r="A208" t="s">
        <v>682</v>
      </c>
      <c r="B208" t="s">
        <v>758</v>
      </c>
      <c r="C208" t="s">
        <v>774</v>
      </c>
    </row>
  </sheetData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4"/>
  <dimension ref="A1:F74"/>
  <sheetViews>
    <sheetView workbookViewId="0">
      <pane ySplit="2" topLeftCell="A3" activePane="bottomLeft" state="frozen"/>
      <selection pane="bottomLeft" activeCell="A3" sqref="A3"/>
    </sheetView>
  </sheetViews>
  <sheetFormatPr defaultRowHeight="14.25"/>
  <cols>
    <col min="1" max="1" width="17" bestFit="1" customWidth="1"/>
    <col min="2" max="2" width="20.1328125" bestFit="1" customWidth="1"/>
    <col min="3" max="3" width="13.73046875" bestFit="1" customWidth="1"/>
  </cols>
  <sheetData>
    <row r="1" spans="1:6">
      <c r="A1" t="s">
        <v>159</v>
      </c>
    </row>
    <row r="2" spans="1:6" ht="14.65" thickBot="1">
      <c r="A2" s="16" t="s">
        <v>144</v>
      </c>
      <c r="B2" s="16" t="s">
        <v>145</v>
      </c>
      <c r="C2" s="16" t="s">
        <v>146</v>
      </c>
      <c r="D2" s="16" t="s">
        <v>388</v>
      </c>
      <c r="E2" s="19" t="s">
        <v>573</v>
      </c>
      <c r="F2" s="19" t="s">
        <v>3112</v>
      </c>
    </row>
    <row r="3" spans="1:6">
      <c r="A3" t="s">
        <v>140</v>
      </c>
      <c r="B3" t="s">
        <v>197</v>
      </c>
      <c r="C3" t="s">
        <v>10</v>
      </c>
    </row>
    <row r="4" spans="1:6">
      <c r="A4" t="s">
        <v>140</v>
      </c>
      <c r="B4" t="s">
        <v>453</v>
      </c>
      <c r="C4" t="s">
        <v>313</v>
      </c>
    </row>
    <row r="5" spans="1:6">
      <c r="A5" t="s">
        <v>140</v>
      </c>
      <c r="B5" t="s">
        <v>786</v>
      </c>
      <c r="C5" t="s">
        <v>8</v>
      </c>
    </row>
    <row r="6" spans="1:6">
      <c r="A6" t="s">
        <v>140</v>
      </c>
      <c r="B6" t="s">
        <v>3762</v>
      </c>
      <c r="C6" t="str">
        <f>B6</f>
        <v>LOHC</v>
      </c>
    </row>
    <row r="7" spans="1:6">
      <c r="A7" t="s">
        <v>140</v>
      </c>
      <c r="B7" t="s">
        <v>820</v>
      </c>
      <c r="C7" t="str">
        <f>B7</f>
        <v>Ammonia</v>
      </c>
    </row>
    <row r="8" spans="1:6">
      <c r="A8" t="s">
        <v>140</v>
      </c>
      <c r="B8" t="s">
        <v>198</v>
      </c>
      <c r="C8" t="s">
        <v>7</v>
      </c>
    </row>
    <row r="9" spans="1:6">
      <c r="A9" t="s">
        <v>140</v>
      </c>
      <c r="B9" t="s">
        <v>360</v>
      </c>
      <c r="C9" t="s">
        <v>15</v>
      </c>
    </row>
    <row r="10" spans="1:6">
      <c r="A10" t="s">
        <v>140</v>
      </c>
      <c r="B10" t="s">
        <v>196</v>
      </c>
      <c r="C10" t="s">
        <v>6</v>
      </c>
    </row>
    <row r="11" spans="1:6">
      <c r="A11" t="s">
        <v>140</v>
      </c>
      <c r="B11" t="s">
        <v>181</v>
      </c>
      <c r="C11" t="s">
        <v>5</v>
      </c>
    </row>
    <row r="12" spans="1:6">
      <c r="A12" t="s">
        <v>140</v>
      </c>
      <c r="B12" t="s">
        <v>224</v>
      </c>
      <c r="C12" t="s">
        <v>223</v>
      </c>
    </row>
    <row r="13" spans="1:6">
      <c r="A13" t="s">
        <v>140</v>
      </c>
      <c r="C13" t="s">
        <v>35</v>
      </c>
      <c r="D13" t="s">
        <v>244</v>
      </c>
    </row>
    <row r="14" spans="1:6">
      <c r="A14" t="s">
        <v>140</v>
      </c>
      <c r="B14" t="s">
        <v>164</v>
      </c>
      <c r="C14" t="s">
        <v>160</v>
      </c>
    </row>
    <row r="15" spans="1:6">
      <c r="A15" t="s">
        <v>140</v>
      </c>
      <c r="B15" t="s">
        <v>219</v>
      </c>
      <c r="C15" t="s">
        <v>161</v>
      </c>
    </row>
    <row r="16" spans="1:6">
      <c r="A16" t="s">
        <v>140</v>
      </c>
      <c r="B16" t="s">
        <v>165</v>
      </c>
      <c r="C16" t="s">
        <v>162</v>
      </c>
    </row>
    <row r="17" spans="1:3">
      <c r="A17" t="s">
        <v>140</v>
      </c>
      <c r="B17" t="s">
        <v>158</v>
      </c>
      <c r="C17" t="s">
        <v>163</v>
      </c>
    </row>
    <row r="18" spans="1:3">
      <c r="A18" t="s">
        <v>140</v>
      </c>
      <c r="B18" t="s">
        <v>166</v>
      </c>
      <c r="C18" t="s">
        <v>167</v>
      </c>
    </row>
    <row r="19" spans="1:3">
      <c r="A19" t="s">
        <v>140</v>
      </c>
      <c r="B19" t="s">
        <v>3654</v>
      </c>
      <c r="C19" t="s">
        <v>16</v>
      </c>
    </row>
    <row r="20" spans="1:3">
      <c r="A20" t="s">
        <v>140</v>
      </c>
      <c r="B20" t="s">
        <v>168</v>
      </c>
      <c r="C20" t="s">
        <v>171</v>
      </c>
    </row>
    <row r="21" spans="1:3">
      <c r="A21" t="s">
        <v>140</v>
      </c>
      <c r="B21" t="s">
        <v>169</v>
      </c>
      <c r="C21" t="s">
        <v>172</v>
      </c>
    </row>
    <row r="22" spans="1:3">
      <c r="A22" t="s">
        <v>140</v>
      </c>
      <c r="B22" t="s">
        <v>170</v>
      </c>
      <c r="C22" t="s">
        <v>173</v>
      </c>
    </row>
    <row r="23" spans="1:3">
      <c r="A23" t="s">
        <v>140</v>
      </c>
      <c r="B23" t="s">
        <v>174</v>
      </c>
      <c r="C23" t="s">
        <v>175</v>
      </c>
    </row>
    <row r="24" spans="1:3">
      <c r="A24" t="s">
        <v>140</v>
      </c>
      <c r="B24" t="s">
        <v>176</v>
      </c>
      <c r="C24" t="s">
        <v>177</v>
      </c>
    </row>
    <row r="25" spans="1:3">
      <c r="A25" t="s">
        <v>140</v>
      </c>
      <c r="B25" t="s">
        <v>200</v>
      </c>
      <c r="C25" t="s">
        <v>13</v>
      </c>
    </row>
    <row r="26" spans="1:3">
      <c r="A26" t="s">
        <v>140</v>
      </c>
      <c r="B26" t="s">
        <v>180</v>
      </c>
      <c r="C26" t="s">
        <v>36</v>
      </c>
    </row>
    <row r="27" spans="1:3">
      <c r="A27" t="s">
        <v>140</v>
      </c>
      <c r="B27" t="s">
        <v>199</v>
      </c>
      <c r="C27" t="s">
        <v>17</v>
      </c>
    </row>
    <row r="28" spans="1:3">
      <c r="A28" t="s">
        <v>140</v>
      </c>
      <c r="B28" t="s">
        <v>210</v>
      </c>
      <c r="C28" t="s">
        <v>211</v>
      </c>
    </row>
    <row r="29" spans="1:3">
      <c r="A29" t="s">
        <v>140</v>
      </c>
      <c r="B29" t="s">
        <v>212</v>
      </c>
      <c r="C29" t="s">
        <v>40</v>
      </c>
    </row>
    <row r="30" spans="1:3">
      <c r="A30" t="s">
        <v>140</v>
      </c>
      <c r="B30" t="s">
        <v>214</v>
      </c>
      <c r="C30" t="s">
        <v>213</v>
      </c>
    </row>
    <row r="31" spans="1:3">
      <c r="A31" t="s">
        <v>140</v>
      </c>
      <c r="B31" t="s">
        <v>215</v>
      </c>
      <c r="C31" t="s">
        <v>216</v>
      </c>
    </row>
    <row r="32" spans="1:3">
      <c r="A32" t="s">
        <v>140</v>
      </c>
      <c r="B32" t="s">
        <v>217</v>
      </c>
      <c r="C32" t="s">
        <v>218</v>
      </c>
    </row>
    <row r="33" spans="1:4">
      <c r="A33" t="s">
        <v>140</v>
      </c>
      <c r="B33" t="s">
        <v>890</v>
      </c>
      <c r="C33" t="s">
        <v>891</v>
      </c>
    </row>
    <row r="34" spans="1:4">
      <c r="A34" t="s">
        <v>140</v>
      </c>
      <c r="B34" t="s">
        <v>892</v>
      </c>
      <c r="C34" t="s">
        <v>893</v>
      </c>
    </row>
    <row r="35" spans="1:4">
      <c r="A35" t="s">
        <v>140</v>
      </c>
      <c r="B35" t="s">
        <v>776</v>
      </c>
      <c r="C35" t="s">
        <v>777</v>
      </c>
    </row>
    <row r="36" spans="1:4">
      <c r="A36" t="s">
        <v>140</v>
      </c>
      <c r="B36" t="s">
        <v>779</v>
      </c>
      <c r="C36" t="s">
        <v>781</v>
      </c>
    </row>
    <row r="37" spans="1:4">
      <c r="A37" t="s">
        <v>140</v>
      </c>
      <c r="B37" t="s">
        <v>780</v>
      </c>
      <c r="C37" t="s">
        <v>782</v>
      </c>
    </row>
    <row r="38" spans="1:4">
      <c r="A38" t="s">
        <v>140</v>
      </c>
      <c r="B38" t="s">
        <v>229</v>
      </c>
      <c r="C38" t="s">
        <v>12</v>
      </c>
    </row>
    <row r="39" spans="1:4">
      <c r="A39" t="s">
        <v>140</v>
      </c>
      <c r="B39" t="s">
        <v>264</v>
      </c>
      <c r="C39" t="s">
        <v>14</v>
      </c>
    </row>
    <row r="40" spans="1:4">
      <c r="A40" t="s">
        <v>140</v>
      </c>
      <c r="B40" t="s">
        <v>230</v>
      </c>
      <c r="C40" t="s">
        <v>5</v>
      </c>
    </row>
    <row r="41" spans="1:4">
      <c r="A41" t="s">
        <v>140</v>
      </c>
      <c r="B41" t="s">
        <v>231</v>
      </c>
      <c r="C41" t="s">
        <v>6</v>
      </c>
    </row>
    <row r="42" spans="1:4">
      <c r="A42" t="s">
        <v>140</v>
      </c>
      <c r="B42" t="s">
        <v>232</v>
      </c>
      <c r="C42" t="s">
        <v>15</v>
      </c>
    </row>
    <row r="43" spans="1:4">
      <c r="A43" t="s">
        <v>140</v>
      </c>
      <c r="B43" t="s">
        <v>233</v>
      </c>
      <c r="C43" t="s">
        <v>36</v>
      </c>
    </row>
    <row r="44" spans="1:4">
      <c r="A44" t="s">
        <v>140</v>
      </c>
      <c r="B44" t="s">
        <v>236</v>
      </c>
      <c r="C44" t="s">
        <v>4</v>
      </c>
    </row>
    <row r="45" spans="1:4">
      <c r="A45" t="s">
        <v>266</v>
      </c>
      <c r="C45" t="s">
        <v>16</v>
      </c>
      <c r="D45" t="s">
        <v>307</v>
      </c>
    </row>
    <row r="46" spans="1:4">
      <c r="A46" t="s">
        <v>266</v>
      </c>
      <c r="C46" t="s">
        <v>17</v>
      </c>
      <c r="D46" t="s">
        <v>308</v>
      </c>
    </row>
    <row r="47" spans="1:4">
      <c r="A47" t="s">
        <v>266</v>
      </c>
      <c r="C47" t="s">
        <v>13</v>
      </c>
      <c r="D47" t="s">
        <v>309</v>
      </c>
    </row>
    <row r="48" spans="1:4">
      <c r="A48" t="s">
        <v>266</v>
      </c>
      <c r="C48" t="s">
        <v>311</v>
      </c>
      <c r="D48" t="s">
        <v>310</v>
      </c>
    </row>
    <row r="49" spans="1:4">
      <c r="A49" t="s">
        <v>266</v>
      </c>
      <c r="C49" t="s">
        <v>35</v>
      </c>
      <c r="D49" t="s">
        <v>244</v>
      </c>
    </row>
    <row r="50" spans="1:4">
      <c r="A50" t="s">
        <v>266</v>
      </c>
      <c r="C50" t="s">
        <v>14</v>
      </c>
      <c r="D50" t="s">
        <v>245</v>
      </c>
    </row>
    <row r="51" spans="1:4">
      <c r="A51" t="s">
        <v>266</v>
      </c>
      <c r="C51" t="s">
        <v>337</v>
      </c>
      <c r="D51" t="s">
        <v>246</v>
      </c>
    </row>
    <row r="52" spans="1:4">
      <c r="A52" t="s">
        <v>266</v>
      </c>
      <c r="C52" t="s">
        <v>313</v>
      </c>
      <c r="D52" t="s">
        <v>312</v>
      </c>
    </row>
    <row r="53" spans="1:4">
      <c r="A53" t="s">
        <v>266</v>
      </c>
      <c r="C53" t="s">
        <v>6</v>
      </c>
      <c r="D53" t="s">
        <v>247</v>
      </c>
    </row>
    <row r="54" spans="1:4">
      <c r="A54" t="s">
        <v>266</v>
      </c>
      <c r="C54" t="s">
        <v>5</v>
      </c>
      <c r="D54" t="s">
        <v>248</v>
      </c>
    </row>
    <row r="55" spans="1:4">
      <c r="A55" t="s">
        <v>266</v>
      </c>
      <c r="C55" t="s">
        <v>340</v>
      </c>
      <c r="D55" t="s">
        <v>339</v>
      </c>
    </row>
    <row r="56" spans="1:4">
      <c r="A56" t="s">
        <v>266</v>
      </c>
      <c r="C56" t="s">
        <v>887</v>
      </c>
      <c r="D56" t="s">
        <v>886</v>
      </c>
    </row>
    <row r="57" spans="1:4">
      <c r="A57" t="s">
        <v>266</v>
      </c>
      <c r="C57" t="s">
        <v>889</v>
      </c>
      <c r="D57" t="s">
        <v>888</v>
      </c>
    </row>
    <row r="58" spans="1:4">
      <c r="A58" t="s">
        <v>266</v>
      </c>
      <c r="C58" t="s">
        <v>7</v>
      </c>
      <c r="D58" t="s">
        <v>249</v>
      </c>
    </row>
    <row r="59" spans="1:4">
      <c r="A59" t="s">
        <v>266</v>
      </c>
      <c r="C59" t="s">
        <v>778</v>
      </c>
      <c r="D59" t="s">
        <v>343</v>
      </c>
    </row>
    <row r="60" spans="1:4">
      <c r="A60" t="s">
        <v>266</v>
      </c>
      <c r="C60" t="s">
        <v>387</v>
      </c>
      <c r="D60" t="s">
        <v>386</v>
      </c>
    </row>
    <row r="61" spans="1:4">
      <c r="A61" t="s">
        <v>266</v>
      </c>
      <c r="B61" s="7" t="s">
        <v>787</v>
      </c>
      <c r="C61" t="s">
        <v>3763</v>
      </c>
      <c r="D61" t="s">
        <v>250</v>
      </c>
    </row>
    <row r="62" spans="1:4">
      <c r="A62" t="s">
        <v>266</v>
      </c>
      <c r="B62" s="7" t="s">
        <v>3766</v>
      </c>
      <c r="C62" t="s">
        <v>3763</v>
      </c>
    </row>
    <row r="63" spans="1:4">
      <c r="A63" t="s">
        <v>569</v>
      </c>
      <c r="C63" t="s">
        <v>194</v>
      </c>
      <c r="D63" t="s">
        <v>49</v>
      </c>
    </row>
    <row r="64" spans="1:4">
      <c r="A64" t="s">
        <v>569</v>
      </c>
      <c r="C64" t="s">
        <v>571</v>
      </c>
      <c r="D64" t="s">
        <v>220</v>
      </c>
    </row>
    <row r="65" spans="1:6">
      <c r="A65" t="s">
        <v>569</v>
      </c>
      <c r="C65" t="s">
        <v>207</v>
      </c>
      <c r="D65" t="s">
        <v>203</v>
      </c>
    </row>
    <row r="66" spans="1:6">
      <c r="A66" t="s">
        <v>569</v>
      </c>
      <c r="C66" t="s">
        <v>572</v>
      </c>
      <c r="D66" t="s">
        <v>570</v>
      </c>
    </row>
    <row r="67" spans="1:6">
      <c r="A67" t="s">
        <v>569</v>
      </c>
      <c r="C67" t="s">
        <v>574</v>
      </c>
      <c r="E67" t="s">
        <v>575</v>
      </c>
    </row>
    <row r="68" spans="1:6">
      <c r="A68" t="s">
        <v>663</v>
      </c>
      <c r="B68" t="s">
        <v>664</v>
      </c>
      <c r="C68" t="s">
        <v>649</v>
      </c>
    </row>
    <row r="69" spans="1:6">
      <c r="A69" t="s">
        <v>663</v>
      </c>
      <c r="B69" t="s">
        <v>665</v>
      </c>
      <c r="C69" t="s">
        <v>11</v>
      </c>
    </row>
    <row r="70" spans="1:6">
      <c r="A70" t="s">
        <v>663</v>
      </c>
      <c r="B70" t="s">
        <v>666</v>
      </c>
      <c r="C70" t="s">
        <v>9</v>
      </c>
    </row>
    <row r="71" spans="1:6">
      <c r="A71" t="s">
        <v>663</v>
      </c>
      <c r="B71" t="s">
        <v>280</v>
      </c>
      <c r="C71" t="s">
        <v>141</v>
      </c>
    </row>
    <row r="72" spans="1:6">
      <c r="A72" t="s">
        <v>663</v>
      </c>
      <c r="B72" t="s">
        <v>667</v>
      </c>
      <c r="C72" t="s">
        <v>8</v>
      </c>
    </row>
    <row r="73" spans="1:6">
      <c r="A73" t="s">
        <v>3110</v>
      </c>
      <c r="B73" t="s">
        <v>26</v>
      </c>
      <c r="C73" t="s">
        <v>3114</v>
      </c>
      <c r="F73" t="s">
        <v>3113</v>
      </c>
    </row>
    <row r="74" spans="1:6">
      <c r="A74" t="s">
        <v>3110</v>
      </c>
      <c r="B74" t="s">
        <v>3111</v>
      </c>
      <c r="C74" t="s">
        <v>3115</v>
      </c>
      <c r="F74" t="s">
        <v>3113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31"/>
  <dimension ref="A1:N32"/>
  <sheetViews>
    <sheetView zoomScaleNormal="100" workbookViewId="0"/>
  </sheetViews>
  <sheetFormatPr defaultRowHeight="14.25"/>
  <cols>
    <col min="1" max="1" width="9.1328125" customWidth="1"/>
    <col min="2" max="2" width="10" bestFit="1" customWidth="1"/>
    <col min="3" max="3" width="17.265625" bestFit="1" customWidth="1"/>
    <col min="4" max="4" width="8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17.265625" bestFit="1" customWidth="1"/>
    <col min="17" max="17" width="14.73046875" bestFit="1" customWidth="1"/>
  </cols>
  <sheetData>
    <row r="1" spans="1:14">
      <c r="A1" t="s">
        <v>104</v>
      </c>
    </row>
    <row r="2" spans="1:14">
      <c r="A2" t="s">
        <v>30</v>
      </c>
      <c r="B2" s="2" t="s">
        <v>105</v>
      </c>
      <c r="C2" s="2" t="s">
        <v>106</v>
      </c>
      <c r="D2" s="2" t="s">
        <v>107</v>
      </c>
    </row>
    <row r="3" spans="1:14">
      <c r="A3" t="s">
        <v>3126</v>
      </c>
      <c r="B3" t="s">
        <v>25</v>
      </c>
      <c r="C3" t="s">
        <v>25</v>
      </c>
      <c r="D3">
        <v>1</v>
      </c>
      <c r="G3" s="5" t="s">
        <v>81</v>
      </c>
      <c r="H3" s="9">
        <v>1.1299999999999999</v>
      </c>
      <c r="J3" s="11" t="s">
        <v>82</v>
      </c>
      <c r="L3">
        <f>218/172.2</f>
        <v>1.2659698025551684</v>
      </c>
      <c r="M3">
        <f>1/L3</f>
        <v>0.78990825688073396</v>
      </c>
    </row>
    <row r="4" spans="1:14">
      <c r="A4" t="s">
        <v>3126</v>
      </c>
      <c r="B4" t="s">
        <v>33</v>
      </c>
      <c r="C4" t="s">
        <v>812</v>
      </c>
      <c r="D4" s="12">
        <f>H5</f>
        <v>1</v>
      </c>
      <c r="G4" s="5" t="s">
        <v>112</v>
      </c>
      <c r="H4" s="9">
        <f>1/0.81</f>
        <v>1.2345679012345678</v>
      </c>
      <c r="J4" s="5" t="s">
        <v>70</v>
      </c>
    </row>
    <row r="5" spans="1:14">
      <c r="A5" t="s">
        <v>3126</v>
      </c>
      <c r="B5" t="s">
        <v>78</v>
      </c>
      <c r="C5" t="s">
        <v>55</v>
      </c>
      <c r="D5">
        <v>1E-3</v>
      </c>
      <c r="G5" s="5" t="s">
        <v>120</v>
      </c>
      <c r="H5" s="13">
        <v>1</v>
      </c>
      <c r="J5" s="5" t="s">
        <v>63</v>
      </c>
    </row>
    <row r="6" spans="1:14">
      <c r="A6" t="s">
        <v>3126</v>
      </c>
      <c r="B6" t="s">
        <v>77</v>
      </c>
      <c r="C6" t="s">
        <v>53</v>
      </c>
      <c r="D6">
        <v>1E-3</v>
      </c>
      <c r="G6" s="5" t="s">
        <v>118</v>
      </c>
      <c r="H6" s="13">
        <v>0.92207697563197444</v>
      </c>
      <c r="J6" s="5" t="s">
        <v>1</v>
      </c>
    </row>
    <row r="7" spans="1:14">
      <c r="A7" t="s">
        <v>3126</v>
      </c>
      <c r="B7" t="s">
        <v>204</v>
      </c>
      <c r="C7" t="s">
        <v>53</v>
      </c>
      <c r="D7">
        <v>-1E-3</v>
      </c>
      <c r="J7" s="5" t="s">
        <v>51</v>
      </c>
    </row>
    <row r="8" spans="1:14">
      <c r="A8" t="s">
        <v>3126</v>
      </c>
      <c r="B8" t="s">
        <v>79</v>
      </c>
      <c r="C8" t="s">
        <v>54</v>
      </c>
      <c r="D8">
        <v>1</v>
      </c>
      <c r="J8" s="5" t="s">
        <v>75</v>
      </c>
    </row>
    <row r="9" spans="1:14">
      <c r="A9" t="s">
        <v>3126</v>
      </c>
      <c r="B9" t="s">
        <v>27</v>
      </c>
      <c r="C9" t="s">
        <v>813</v>
      </c>
      <c r="D9">
        <f>0.001*H5</f>
        <v>1E-3</v>
      </c>
      <c r="J9" s="5" t="s">
        <v>73</v>
      </c>
    </row>
    <row r="10" spans="1:14">
      <c r="A10" t="s">
        <v>3126</v>
      </c>
      <c r="B10" t="s">
        <v>80</v>
      </c>
      <c r="C10" t="s">
        <v>814</v>
      </c>
      <c r="D10">
        <f>D4</f>
        <v>1</v>
      </c>
      <c r="J10" s="5" t="s">
        <v>74</v>
      </c>
      <c r="L10" t="s">
        <v>34</v>
      </c>
      <c r="M10" t="s">
        <v>84</v>
      </c>
      <c r="N10">
        <f>947800*10^-9</f>
        <v>9.4780000000000005E-4</v>
      </c>
    </row>
    <row r="11" spans="1:14">
      <c r="A11" t="s">
        <v>3126</v>
      </c>
      <c r="B11" t="s">
        <v>58</v>
      </c>
      <c r="C11" t="s">
        <v>58</v>
      </c>
      <c r="D11">
        <v>1</v>
      </c>
      <c r="J11" s="5" t="s">
        <v>32</v>
      </c>
    </row>
    <row r="12" spans="1:14">
      <c r="A12" t="s">
        <v>3126</v>
      </c>
      <c r="B12" t="s">
        <v>57</v>
      </c>
      <c r="C12" t="s">
        <v>57</v>
      </c>
      <c r="D12">
        <v>1</v>
      </c>
      <c r="J12" s="5" t="s">
        <v>52</v>
      </c>
    </row>
    <row r="13" spans="1:14">
      <c r="A13" t="s">
        <v>3126</v>
      </c>
      <c r="B13" t="s">
        <v>59</v>
      </c>
      <c r="C13" t="s">
        <v>59</v>
      </c>
      <c r="D13">
        <v>1</v>
      </c>
      <c r="J13" s="6" t="s">
        <v>25</v>
      </c>
    </row>
    <row r="14" spans="1:14">
      <c r="A14" t="s">
        <v>3126</v>
      </c>
      <c r="B14" t="s">
        <v>83</v>
      </c>
      <c r="C14" t="s">
        <v>32</v>
      </c>
      <c r="D14">
        <v>1E-3</v>
      </c>
      <c r="J14" s="5" t="s">
        <v>72</v>
      </c>
    </row>
    <row r="15" spans="1:14">
      <c r="A15" t="s">
        <v>3126</v>
      </c>
      <c r="B15" t="s">
        <v>109</v>
      </c>
      <c r="C15" t="s">
        <v>815</v>
      </c>
      <c r="D15">
        <v>3.6</v>
      </c>
      <c r="J15" s="5" t="s">
        <v>54</v>
      </c>
    </row>
    <row r="16" spans="1:14">
      <c r="A16" t="s">
        <v>3126</v>
      </c>
      <c r="B16" t="s">
        <v>111</v>
      </c>
      <c r="C16" t="s">
        <v>816</v>
      </c>
      <c r="D16">
        <f>D4</f>
        <v>1</v>
      </c>
      <c r="J16" s="5" t="s">
        <v>64</v>
      </c>
    </row>
    <row r="17" spans="1:10">
      <c r="A17" t="s">
        <v>3126</v>
      </c>
      <c r="B17" t="s">
        <v>119</v>
      </c>
      <c r="C17" t="s">
        <v>817</v>
      </c>
      <c r="D17">
        <f>D9</f>
        <v>1E-3</v>
      </c>
      <c r="J17" s="5" t="s">
        <v>50</v>
      </c>
    </row>
    <row r="18" spans="1:10">
      <c r="A18" t="s">
        <v>3126</v>
      </c>
      <c r="B18" t="s">
        <v>155</v>
      </c>
      <c r="C18" t="s">
        <v>29</v>
      </c>
      <c r="D18">
        <f>1/3.6</f>
        <v>0.27777777777777779</v>
      </c>
      <c r="J18" s="5" t="s">
        <v>71</v>
      </c>
    </row>
    <row r="19" spans="1:10">
      <c r="A19" t="s">
        <v>3126</v>
      </c>
      <c r="B19" t="s">
        <v>193</v>
      </c>
      <c r="C19" t="s">
        <v>34</v>
      </c>
      <c r="D19">
        <v>-1</v>
      </c>
      <c r="J19" s="5" t="s">
        <v>66</v>
      </c>
    </row>
    <row r="20" spans="1:10">
      <c r="A20" t="s">
        <v>3126</v>
      </c>
      <c r="B20" t="s">
        <v>226</v>
      </c>
      <c r="C20" t="s">
        <v>25</v>
      </c>
      <c r="D20">
        <f>1/31.536</f>
        <v>3.1709791983764585E-2</v>
      </c>
      <c r="J20" s="5" t="s">
        <v>55</v>
      </c>
    </row>
    <row r="21" spans="1:10">
      <c r="A21" t="s">
        <v>3126</v>
      </c>
      <c r="B21" t="s">
        <v>284</v>
      </c>
      <c r="C21" t="s">
        <v>814</v>
      </c>
      <c r="D21">
        <v>-1000</v>
      </c>
      <c r="J21" s="5" t="s">
        <v>69</v>
      </c>
    </row>
    <row r="22" spans="1:10">
      <c r="A22" t="s">
        <v>3126</v>
      </c>
      <c r="B22" t="s">
        <v>576</v>
      </c>
      <c r="C22" t="s">
        <v>818</v>
      </c>
      <c r="D22">
        <v>1E-3</v>
      </c>
      <c r="J22" s="5" t="s">
        <v>53</v>
      </c>
    </row>
    <row r="23" spans="1:10">
      <c r="A23" t="s">
        <v>3126</v>
      </c>
      <c r="B23" t="s">
        <v>583</v>
      </c>
      <c r="C23" t="s">
        <v>1</v>
      </c>
      <c r="D23">
        <f>1/31.536</f>
        <v>3.1709791983764585E-2</v>
      </c>
      <c r="G23" s="14" t="s">
        <v>580</v>
      </c>
      <c r="J23" s="5" t="s">
        <v>56</v>
      </c>
    </row>
    <row r="24" spans="1:10">
      <c r="A24" t="s">
        <v>3126</v>
      </c>
      <c r="B24" t="s">
        <v>560</v>
      </c>
      <c r="C24" t="s">
        <v>581</v>
      </c>
      <c r="D24">
        <f>3.6</f>
        <v>3.6</v>
      </c>
      <c r="G24" s="14" t="s">
        <v>582</v>
      </c>
      <c r="J24" s="5" t="s">
        <v>68</v>
      </c>
    </row>
    <row r="25" spans="1:10">
      <c r="A25" t="s">
        <v>3126</v>
      </c>
      <c r="B25" t="s">
        <v>605</v>
      </c>
      <c r="C25" t="s">
        <v>657</v>
      </c>
      <c r="D25">
        <v>1E-3</v>
      </c>
      <c r="J25" s="5" t="s">
        <v>67</v>
      </c>
    </row>
    <row r="26" spans="1:10">
      <c r="A26" t="s">
        <v>3126</v>
      </c>
      <c r="B26" t="s">
        <v>661</v>
      </c>
      <c r="C26" t="s">
        <v>662</v>
      </c>
      <c r="D26">
        <v>1E-3</v>
      </c>
      <c r="J26" s="5" t="s">
        <v>65</v>
      </c>
    </row>
    <row r="27" spans="1:10">
      <c r="A27" t="s">
        <v>3126</v>
      </c>
      <c r="B27" t="s">
        <v>679</v>
      </c>
      <c r="C27" t="s">
        <v>677</v>
      </c>
      <c r="D27">
        <v>6.1</v>
      </c>
      <c r="J27" s="5" t="s">
        <v>58</v>
      </c>
    </row>
    <row r="28" spans="1:10">
      <c r="A28" t="s">
        <v>3126</v>
      </c>
      <c r="B28" t="s">
        <v>676</v>
      </c>
      <c r="C28" t="s">
        <v>678</v>
      </c>
      <c r="D28">
        <v>1.0549999999999999</v>
      </c>
      <c r="J28" s="5" t="s">
        <v>57</v>
      </c>
    </row>
    <row r="29" spans="1:10">
      <c r="A29" t="s">
        <v>3126</v>
      </c>
      <c r="B29" t="s">
        <v>3711</v>
      </c>
      <c r="C29" t="s">
        <v>3712</v>
      </c>
      <c r="D29">
        <f>120/1000</f>
        <v>0.12</v>
      </c>
      <c r="J29" s="5" t="s">
        <v>61</v>
      </c>
    </row>
    <row r="30" spans="1:10">
      <c r="A30" t="s">
        <v>3126</v>
      </c>
      <c r="B30" t="s">
        <v>3125</v>
      </c>
      <c r="C30" t="s">
        <v>29</v>
      </c>
      <c r="D30">
        <f>-1/3.6</f>
        <v>-0.27777777777777779</v>
      </c>
      <c r="J30" s="5" t="s">
        <v>62</v>
      </c>
    </row>
    <row r="31" spans="1:10">
      <c r="A31" t="s">
        <v>3126</v>
      </c>
      <c r="B31" t="s">
        <v>3585</v>
      </c>
      <c r="C31" t="s">
        <v>3586</v>
      </c>
      <c r="D31">
        <v>-1</v>
      </c>
      <c r="J31" s="5" t="s">
        <v>60</v>
      </c>
    </row>
    <row r="32" spans="1:10">
      <c r="J32" s="5" t="s">
        <v>59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73A67-E0ED-48F7-AED3-20C7C1BCC9C4}">
  <dimension ref="A1:S197"/>
  <sheetViews>
    <sheetView workbookViewId="0"/>
  </sheetViews>
  <sheetFormatPr defaultRowHeight="14.25"/>
  <sheetData>
    <row r="1" spans="1:19">
      <c r="A1" t="s">
        <v>145</v>
      </c>
      <c r="S1" s="20" t="s">
        <v>821</v>
      </c>
    </row>
    <row r="2" spans="1:19">
      <c r="A2" t="s">
        <v>436</v>
      </c>
      <c r="B2" t="s">
        <v>883</v>
      </c>
      <c r="C2" t="s">
        <v>899</v>
      </c>
      <c r="D2" t="s">
        <v>822</v>
      </c>
      <c r="E2" t="s">
        <v>884</v>
      </c>
      <c r="F2" t="s">
        <v>900</v>
      </c>
      <c r="G2" t="s">
        <v>901</v>
      </c>
      <c r="H2" t="s">
        <v>902</v>
      </c>
      <c r="I2" t="s">
        <v>885</v>
      </c>
      <c r="J2" t="s">
        <v>903</v>
      </c>
      <c r="K2" t="s">
        <v>904</v>
      </c>
      <c r="L2" t="s">
        <v>905</v>
      </c>
      <c r="M2" t="s">
        <v>906</v>
      </c>
      <c r="N2" t="s">
        <v>907</v>
      </c>
      <c r="O2" t="s">
        <v>908</v>
      </c>
    </row>
    <row r="3" spans="1:19">
      <c r="A3" t="s">
        <v>438</v>
      </c>
      <c r="B3" t="s">
        <v>909</v>
      </c>
      <c r="C3" t="s">
        <v>910</v>
      </c>
      <c r="D3" t="s">
        <v>911</v>
      </c>
      <c r="E3" t="s">
        <v>912</v>
      </c>
      <c r="F3" t="s">
        <v>913</v>
      </c>
      <c r="G3" t="s">
        <v>914</v>
      </c>
      <c r="H3" t="s">
        <v>915</v>
      </c>
      <c r="I3" t="s">
        <v>916</v>
      </c>
      <c r="J3" t="s">
        <v>917</v>
      </c>
      <c r="K3" t="s">
        <v>918</v>
      </c>
      <c r="L3" t="s">
        <v>919</v>
      </c>
      <c r="M3" t="s">
        <v>920</v>
      </c>
      <c r="N3" t="s">
        <v>921</v>
      </c>
      <c r="O3" t="s">
        <v>922</v>
      </c>
    </row>
    <row r="4" spans="1:19">
      <c r="A4" t="s">
        <v>644</v>
      </c>
      <c r="B4" t="s">
        <v>923</v>
      </c>
      <c r="C4" t="s">
        <v>924</v>
      </c>
      <c r="D4" t="s">
        <v>925</v>
      </c>
      <c r="E4" t="s">
        <v>926</v>
      </c>
      <c r="F4" t="s">
        <v>927</v>
      </c>
      <c r="G4" t="s">
        <v>928</v>
      </c>
      <c r="H4" t="s">
        <v>929</v>
      </c>
      <c r="I4" t="s">
        <v>930</v>
      </c>
      <c r="J4" t="s">
        <v>931</v>
      </c>
      <c r="K4" t="s">
        <v>932</v>
      </c>
      <c r="L4" t="s">
        <v>933</v>
      </c>
      <c r="M4" t="s">
        <v>934</v>
      </c>
      <c r="N4" t="s">
        <v>935</v>
      </c>
      <c r="O4" t="s">
        <v>936</v>
      </c>
    </row>
    <row r="5" spans="1:19">
      <c r="A5" t="s">
        <v>96</v>
      </c>
      <c r="B5" t="s">
        <v>823</v>
      </c>
      <c r="C5" t="s">
        <v>841</v>
      </c>
      <c r="D5" t="s">
        <v>841</v>
      </c>
      <c r="E5" t="s">
        <v>841</v>
      </c>
      <c r="F5" t="s">
        <v>937</v>
      </c>
      <c r="G5" t="s">
        <v>823</v>
      </c>
      <c r="H5" t="s">
        <v>823</v>
      </c>
      <c r="I5" t="s">
        <v>644</v>
      </c>
      <c r="J5" t="s">
        <v>938</v>
      </c>
      <c r="K5" t="s">
        <v>841</v>
      </c>
      <c r="L5" t="s">
        <v>939</v>
      </c>
      <c r="M5" t="s">
        <v>940</v>
      </c>
      <c r="N5" t="s">
        <v>941</v>
      </c>
      <c r="O5" t="s">
        <v>942</v>
      </c>
    </row>
    <row r="6" spans="1:19">
      <c r="A6" t="s">
        <v>41</v>
      </c>
      <c r="B6" t="s">
        <v>943</v>
      </c>
      <c r="C6" t="s">
        <v>96</v>
      </c>
      <c r="D6" t="s">
        <v>96</v>
      </c>
      <c r="E6" t="s">
        <v>96</v>
      </c>
      <c r="F6" t="s">
        <v>944</v>
      </c>
      <c r="G6" t="s">
        <v>96</v>
      </c>
      <c r="H6" t="s">
        <v>96</v>
      </c>
      <c r="I6" t="s">
        <v>96</v>
      </c>
      <c r="J6" t="s">
        <v>96</v>
      </c>
      <c r="K6" t="s">
        <v>945</v>
      </c>
      <c r="L6" t="s">
        <v>946</v>
      </c>
      <c r="M6" t="s">
        <v>947</v>
      </c>
      <c r="N6" t="s">
        <v>948</v>
      </c>
      <c r="O6" t="s">
        <v>949</v>
      </c>
    </row>
    <row r="7" spans="1:19">
      <c r="A7" t="s">
        <v>399</v>
      </c>
      <c r="B7" t="s">
        <v>950</v>
      </c>
      <c r="C7" t="s">
        <v>951</v>
      </c>
      <c r="D7" t="s">
        <v>952</v>
      </c>
      <c r="E7" t="s">
        <v>953</v>
      </c>
      <c r="F7" t="s">
        <v>954</v>
      </c>
      <c r="G7" t="s">
        <v>955</v>
      </c>
      <c r="H7" t="s">
        <v>956</v>
      </c>
      <c r="I7" t="s">
        <v>957</v>
      </c>
      <c r="J7" t="s">
        <v>41</v>
      </c>
      <c r="K7" t="s">
        <v>945</v>
      </c>
      <c r="L7" t="s">
        <v>958</v>
      </c>
      <c r="M7" t="s">
        <v>959</v>
      </c>
      <c r="N7" t="s">
        <v>948</v>
      </c>
      <c r="O7" t="s">
        <v>960</v>
      </c>
    </row>
    <row r="8" spans="1:19">
      <c r="A8" t="s">
        <v>420</v>
      </c>
      <c r="B8" t="s">
        <v>961</v>
      </c>
      <c r="C8" t="s">
        <v>962</v>
      </c>
      <c r="D8" t="s">
        <v>399</v>
      </c>
      <c r="E8" t="s">
        <v>399</v>
      </c>
      <c r="F8" t="s">
        <v>963</v>
      </c>
      <c r="G8" t="s">
        <v>964</v>
      </c>
      <c r="H8" t="s">
        <v>965</v>
      </c>
      <c r="I8" t="s">
        <v>966</v>
      </c>
      <c r="J8" t="s">
        <v>967</v>
      </c>
      <c r="K8" t="s">
        <v>399</v>
      </c>
      <c r="L8" t="s">
        <v>968</v>
      </c>
      <c r="M8" t="s">
        <v>969</v>
      </c>
      <c r="N8" t="s">
        <v>970</v>
      </c>
      <c r="O8" t="s">
        <v>971</v>
      </c>
    </row>
    <row r="9" spans="1:19">
      <c r="A9" t="s">
        <v>640</v>
      </c>
      <c r="B9" t="s">
        <v>972</v>
      </c>
      <c r="C9" t="s">
        <v>973</v>
      </c>
      <c r="D9" t="s">
        <v>974</v>
      </c>
      <c r="E9" t="s">
        <v>975</v>
      </c>
      <c r="F9" t="s">
        <v>976</v>
      </c>
      <c r="G9" t="s">
        <v>977</v>
      </c>
      <c r="H9" t="s">
        <v>978</v>
      </c>
      <c r="I9" t="s">
        <v>979</v>
      </c>
      <c r="J9" t="s">
        <v>980</v>
      </c>
      <c r="K9" t="s">
        <v>981</v>
      </c>
      <c r="L9" t="s">
        <v>982</v>
      </c>
      <c r="M9" t="s">
        <v>983</v>
      </c>
      <c r="N9" t="s">
        <v>984</v>
      </c>
      <c r="O9" t="s">
        <v>985</v>
      </c>
    </row>
    <row r="10" spans="1:19">
      <c r="A10" t="s">
        <v>135</v>
      </c>
      <c r="B10" t="s">
        <v>825</v>
      </c>
      <c r="C10" t="s">
        <v>986</v>
      </c>
      <c r="D10" t="s">
        <v>869</v>
      </c>
      <c r="E10" t="s">
        <v>640</v>
      </c>
      <c r="F10" t="s">
        <v>987</v>
      </c>
      <c r="G10" t="s">
        <v>988</v>
      </c>
      <c r="H10" t="s">
        <v>989</v>
      </c>
      <c r="I10" t="s">
        <v>640</v>
      </c>
      <c r="J10" t="s">
        <v>990</v>
      </c>
      <c r="K10" t="s">
        <v>991</v>
      </c>
      <c r="L10" t="s">
        <v>992</v>
      </c>
      <c r="M10" t="s">
        <v>993</v>
      </c>
      <c r="N10" t="s">
        <v>994</v>
      </c>
      <c r="O10" t="s">
        <v>995</v>
      </c>
    </row>
    <row r="11" spans="1:19">
      <c r="A11" t="s">
        <v>137</v>
      </c>
      <c r="B11" t="s">
        <v>996</v>
      </c>
      <c r="C11" t="s">
        <v>997</v>
      </c>
      <c r="D11" t="s">
        <v>998</v>
      </c>
      <c r="E11" t="s">
        <v>999</v>
      </c>
      <c r="F11" t="s">
        <v>1000</v>
      </c>
      <c r="G11" t="s">
        <v>1001</v>
      </c>
      <c r="H11" t="s">
        <v>1002</v>
      </c>
      <c r="I11" t="s">
        <v>1003</v>
      </c>
      <c r="J11" t="s">
        <v>1004</v>
      </c>
      <c r="K11" t="s">
        <v>1005</v>
      </c>
      <c r="L11" t="s">
        <v>1006</v>
      </c>
      <c r="M11" t="s">
        <v>1007</v>
      </c>
      <c r="N11" t="s">
        <v>1008</v>
      </c>
      <c r="O11" t="s">
        <v>1009</v>
      </c>
    </row>
    <row r="12" spans="1:19">
      <c r="A12" t="s">
        <v>356</v>
      </c>
      <c r="B12" t="s">
        <v>1010</v>
      </c>
      <c r="C12" t="s">
        <v>1011</v>
      </c>
      <c r="D12" t="s">
        <v>1012</v>
      </c>
      <c r="E12" t="s">
        <v>1013</v>
      </c>
      <c r="F12" t="s">
        <v>1014</v>
      </c>
      <c r="G12" t="s">
        <v>1015</v>
      </c>
      <c r="H12" t="s">
        <v>1016</v>
      </c>
      <c r="I12" t="s">
        <v>1017</v>
      </c>
      <c r="J12" t="s">
        <v>1018</v>
      </c>
      <c r="K12" t="s">
        <v>1019</v>
      </c>
      <c r="L12" t="s">
        <v>1020</v>
      </c>
      <c r="M12" t="s">
        <v>1021</v>
      </c>
      <c r="N12" t="s">
        <v>1022</v>
      </c>
      <c r="O12" t="s">
        <v>1023</v>
      </c>
    </row>
    <row r="13" spans="1:19">
      <c r="A13" t="s">
        <v>213</v>
      </c>
      <c r="B13" t="s">
        <v>1024</v>
      </c>
      <c r="C13" t="s">
        <v>1025</v>
      </c>
      <c r="D13" t="s">
        <v>1026</v>
      </c>
      <c r="E13" t="s">
        <v>1027</v>
      </c>
      <c r="F13" t="s">
        <v>1028</v>
      </c>
      <c r="G13" t="s">
        <v>1029</v>
      </c>
      <c r="H13" t="s">
        <v>1030</v>
      </c>
      <c r="I13" t="s">
        <v>1031</v>
      </c>
      <c r="J13" t="s">
        <v>1032</v>
      </c>
      <c r="K13" t="s">
        <v>1033</v>
      </c>
      <c r="L13" t="s">
        <v>1034</v>
      </c>
      <c r="M13" t="s">
        <v>1035</v>
      </c>
      <c r="N13" t="s">
        <v>1036</v>
      </c>
      <c r="O13" t="s">
        <v>1037</v>
      </c>
    </row>
    <row r="14" spans="1:19">
      <c r="A14" t="s">
        <v>4</v>
      </c>
      <c r="B14" t="s">
        <v>1038</v>
      </c>
      <c r="C14" t="s">
        <v>1039</v>
      </c>
      <c r="D14" t="s">
        <v>1040</v>
      </c>
      <c r="E14" t="s">
        <v>213</v>
      </c>
      <c r="F14" t="s">
        <v>1041</v>
      </c>
      <c r="G14" t="s">
        <v>1042</v>
      </c>
      <c r="H14" t="s">
        <v>1042</v>
      </c>
      <c r="I14" t="s">
        <v>1043</v>
      </c>
      <c r="J14" t="s">
        <v>1039</v>
      </c>
      <c r="K14" t="s">
        <v>1044</v>
      </c>
      <c r="L14" t="s">
        <v>1045</v>
      </c>
      <c r="M14" t="s">
        <v>1046</v>
      </c>
      <c r="N14" t="s">
        <v>1047</v>
      </c>
      <c r="O14" t="s">
        <v>1048</v>
      </c>
    </row>
    <row r="15" spans="1:19">
      <c r="A15" t="s">
        <v>304</v>
      </c>
      <c r="B15" t="s">
        <v>1049</v>
      </c>
      <c r="C15" t="s">
        <v>4</v>
      </c>
      <c r="D15" t="s">
        <v>4</v>
      </c>
      <c r="E15" t="s">
        <v>4</v>
      </c>
      <c r="F15" t="s">
        <v>4</v>
      </c>
      <c r="G15" t="s">
        <v>1050</v>
      </c>
      <c r="H15" t="s">
        <v>1051</v>
      </c>
      <c r="I15" t="s">
        <v>1052</v>
      </c>
      <c r="J15" t="s">
        <v>4</v>
      </c>
      <c r="K15" t="s">
        <v>4</v>
      </c>
      <c r="L15" t="s">
        <v>1053</v>
      </c>
      <c r="M15" t="s">
        <v>1054</v>
      </c>
      <c r="N15" t="s">
        <v>1055</v>
      </c>
      <c r="O15" t="s">
        <v>1056</v>
      </c>
    </row>
    <row r="16" spans="1:19">
      <c r="A16" t="s">
        <v>325</v>
      </c>
      <c r="B16" t="s">
        <v>1057</v>
      </c>
      <c r="C16" t="s">
        <v>1058</v>
      </c>
      <c r="D16" t="s">
        <v>304</v>
      </c>
      <c r="E16" t="s">
        <v>1059</v>
      </c>
      <c r="F16" t="s">
        <v>1060</v>
      </c>
      <c r="G16" t="s">
        <v>1061</v>
      </c>
      <c r="H16" t="s">
        <v>1062</v>
      </c>
      <c r="I16" t="s">
        <v>1063</v>
      </c>
      <c r="J16" t="s">
        <v>304</v>
      </c>
      <c r="K16" t="s">
        <v>304</v>
      </c>
      <c r="L16" t="s">
        <v>1064</v>
      </c>
      <c r="M16" t="s">
        <v>1065</v>
      </c>
      <c r="N16" t="s">
        <v>1066</v>
      </c>
      <c r="O16" t="s">
        <v>1067</v>
      </c>
    </row>
    <row r="17" spans="1:15">
      <c r="A17" t="s">
        <v>127</v>
      </c>
      <c r="B17" t="s">
        <v>1068</v>
      </c>
      <c r="C17" t="s">
        <v>325</v>
      </c>
      <c r="D17" t="s">
        <v>325</v>
      </c>
      <c r="E17" t="s">
        <v>325</v>
      </c>
      <c r="F17" t="s">
        <v>325</v>
      </c>
      <c r="G17" t="s">
        <v>1069</v>
      </c>
      <c r="H17" t="s">
        <v>1068</v>
      </c>
      <c r="I17" t="s">
        <v>1070</v>
      </c>
      <c r="J17" t="s">
        <v>1071</v>
      </c>
      <c r="K17" t="s">
        <v>1072</v>
      </c>
      <c r="L17" t="s">
        <v>1073</v>
      </c>
      <c r="M17" t="s">
        <v>1074</v>
      </c>
      <c r="N17" t="s">
        <v>1075</v>
      </c>
      <c r="O17" t="s">
        <v>1076</v>
      </c>
    </row>
    <row r="18" spans="1:15">
      <c r="A18" t="s">
        <v>216</v>
      </c>
      <c r="B18" t="s">
        <v>1077</v>
      </c>
      <c r="C18" t="s">
        <v>1078</v>
      </c>
      <c r="D18" t="s">
        <v>1078</v>
      </c>
      <c r="E18" t="s">
        <v>1078</v>
      </c>
      <c r="F18" t="s">
        <v>1078</v>
      </c>
      <c r="G18" t="s">
        <v>1079</v>
      </c>
      <c r="H18" t="s">
        <v>1080</v>
      </c>
      <c r="I18" t="s">
        <v>1078</v>
      </c>
      <c r="J18" t="s">
        <v>1078</v>
      </c>
      <c r="K18" t="s">
        <v>1081</v>
      </c>
      <c r="L18" t="s">
        <v>1082</v>
      </c>
      <c r="M18" t="s">
        <v>1078</v>
      </c>
      <c r="N18" t="s">
        <v>1083</v>
      </c>
      <c r="O18" t="s">
        <v>1084</v>
      </c>
    </row>
    <row r="19" spans="1:15">
      <c r="A19" t="s">
        <v>889</v>
      </c>
      <c r="B19" t="s">
        <v>1085</v>
      </c>
      <c r="C19" t="s">
        <v>1086</v>
      </c>
      <c r="D19" t="s">
        <v>1087</v>
      </c>
      <c r="E19" t="s">
        <v>1088</v>
      </c>
      <c r="F19" t="s">
        <v>1089</v>
      </c>
      <c r="G19" t="s">
        <v>1090</v>
      </c>
      <c r="H19" t="s">
        <v>1091</v>
      </c>
      <c r="I19" t="s">
        <v>216</v>
      </c>
      <c r="J19" t="s">
        <v>216</v>
      </c>
      <c r="K19" t="s">
        <v>216</v>
      </c>
      <c r="L19" t="s">
        <v>1092</v>
      </c>
      <c r="M19" t="s">
        <v>1093</v>
      </c>
      <c r="N19" t="s">
        <v>1094</v>
      </c>
      <c r="O19" t="s">
        <v>1095</v>
      </c>
    </row>
    <row r="20" spans="1:15">
      <c r="A20" t="s">
        <v>887</v>
      </c>
      <c r="B20" t="s">
        <v>1096</v>
      </c>
      <c r="C20" t="s">
        <v>1097</v>
      </c>
      <c r="D20" t="s">
        <v>1098</v>
      </c>
      <c r="E20" t="s">
        <v>1099</v>
      </c>
      <c r="F20" t="s">
        <v>1100</v>
      </c>
      <c r="G20" t="s">
        <v>1101</v>
      </c>
      <c r="H20" t="s">
        <v>1102</v>
      </c>
      <c r="I20" t="s">
        <v>1103</v>
      </c>
      <c r="J20" t="s">
        <v>1104</v>
      </c>
      <c r="K20" t="s">
        <v>1105</v>
      </c>
      <c r="L20" t="s">
        <v>1106</v>
      </c>
      <c r="M20" t="s">
        <v>1107</v>
      </c>
      <c r="N20" t="s">
        <v>1108</v>
      </c>
      <c r="O20" t="s">
        <v>1109</v>
      </c>
    </row>
    <row r="21" spans="1:15">
      <c r="A21" t="s">
        <v>893</v>
      </c>
      <c r="B21" t="s">
        <v>1110</v>
      </c>
      <c r="C21" t="s">
        <v>1111</v>
      </c>
      <c r="D21" t="s">
        <v>1112</v>
      </c>
      <c r="E21" t="s">
        <v>1113</v>
      </c>
      <c r="F21" t="s">
        <v>1114</v>
      </c>
      <c r="G21" t="s">
        <v>1115</v>
      </c>
      <c r="H21" t="s">
        <v>1116</v>
      </c>
      <c r="I21" t="s">
        <v>1117</v>
      </c>
      <c r="J21" t="s">
        <v>1118</v>
      </c>
      <c r="K21" t="s">
        <v>1119</v>
      </c>
      <c r="L21" t="s">
        <v>1120</v>
      </c>
      <c r="M21" t="s">
        <v>1121</v>
      </c>
      <c r="N21" t="s">
        <v>1122</v>
      </c>
      <c r="O21" t="s">
        <v>1123</v>
      </c>
    </row>
    <row r="22" spans="1:15">
      <c r="A22" t="s">
        <v>218</v>
      </c>
      <c r="B22" t="s">
        <v>1124</v>
      </c>
      <c r="C22" t="s">
        <v>1125</v>
      </c>
      <c r="D22" t="s">
        <v>1126</v>
      </c>
      <c r="E22" t="s">
        <v>1127</v>
      </c>
      <c r="F22" t="s">
        <v>1128</v>
      </c>
      <c r="G22" t="s">
        <v>1129</v>
      </c>
      <c r="H22" t="s">
        <v>1130</v>
      </c>
      <c r="I22" t="s">
        <v>1125</v>
      </c>
      <c r="J22" t="s">
        <v>1131</v>
      </c>
      <c r="K22" t="s">
        <v>1132</v>
      </c>
      <c r="L22" t="s">
        <v>1133</v>
      </c>
      <c r="M22" t="s">
        <v>1134</v>
      </c>
      <c r="N22" t="s">
        <v>1135</v>
      </c>
      <c r="O22" t="s">
        <v>1136</v>
      </c>
    </row>
    <row r="23" spans="1:15">
      <c r="A23" t="s">
        <v>891</v>
      </c>
      <c r="B23" t="s">
        <v>1137</v>
      </c>
      <c r="C23" t="s">
        <v>1138</v>
      </c>
      <c r="D23" t="s">
        <v>1139</v>
      </c>
      <c r="E23" t="s">
        <v>1139</v>
      </c>
      <c r="F23" t="s">
        <v>1140</v>
      </c>
      <c r="G23" t="s">
        <v>1141</v>
      </c>
      <c r="H23" t="s">
        <v>1142</v>
      </c>
      <c r="I23" t="s">
        <v>1143</v>
      </c>
      <c r="J23" t="s">
        <v>1144</v>
      </c>
      <c r="K23" t="s">
        <v>1139</v>
      </c>
      <c r="L23" t="s">
        <v>1145</v>
      </c>
      <c r="M23" t="s">
        <v>1146</v>
      </c>
      <c r="N23" t="s">
        <v>1147</v>
      </c>
      <c r="O23" t="s">
        <v>1148</v>
      </c>
    </row>
    <row r="24" spans="1:15">
      <c r="A24" t="s">
        <v>35</v>
      </c>
      <c r="B24" t="s">
        <v>1149</v>
      </c>
      <c r="C24" t="s">
        <v>891</v>
      </c>
      <c r="D24" t="s">
        <v>891</v>
      </c>
      <c r="E24" t="s">
        <v>891</v>
      </c>
      <c r="F24" t="s">
        <v>891</v>
      </c>
      <c r="G24" t="s">
        <v>891</v>
      </c>
      <c r="H24" t="s">
        <v>891</v>
      </c>
      <c r="I24" t="s">
        <v>891</v>
      </c>
      <c r="J24" t="s">
        <v>891</v>
      </c>
      <c r="K24" t="s">
        <v>891</v>
      </c>
      <c r="L24" t="s">
        <v>891</v>
      </c>
      <c r="M24" t="s">
        <v>1150</v>
      </c>
      <c r="N24" t="s">
        <v>1151</v>
      </c>
      <c r="O24" t="s">
        <v>1152</v>
      </c>
    </row>
    <row r="25" spans="1:15">
      <c r="A25" t="s">
        <v>649</v>
      </c>
      <c r="B25" t="s">
        <v>834</v>
      </c>
      <c r="C25" t="s">
        <v>850</v>
      </c>
      <c r="D25" t="s">
        <v>876</v>
      </c>
      <c r="E25" t="s">
        <v>850</v>
      </c>
      <c r="F25" t="s">
        <v>1153</v>
      </c>
      <c r="G25" t="s">
        <v>1154</v>
      </c>
      <c r="H25" t="s">
        <v>1155</v>
      </c>
      <c r="I25" t="s">
        <v>862</v>
      </c>
      <c r="J25" t="s">
        <v>1156</v>
      </c>
      <c r="K25" t="s">
        <v>1156</v>
      </c>
      <c r="L25" t="s">
        <v>850</v>
      </c>
      <c r="M25" t="s">
        <v>1157</v>
      </c>
      <c r="N25" t="s">
        <v>1158</v>
      </c>
      <c r="O25" t="s">
        <v>1159</v>
      </c>
    </row>
    <row r="26" spans="1:15">
      <c r="A26" t="s">
        <v>286</v>
      </c>
      <c r="B26" t="s">
        <v>1160</v>
      </c>
      <c r="C26" t="s">
        <v>1161</v>
      </c>
      <c r="D26" t="s">
        <v>1162</v>
      </c>
      <c r="E26" t="s">
        <v>1163</v>
      </c>
      <c r="F26" t="s">
        <v>1164</v>
      </c>
      <c r="G26" t="s">
        <v>1165</v>
      </c>
      <c r="H26" t="s">
        <v>1166</v>
      </c>
      <c r="I26" t="s">
        <v>1167</v>
      </c>
      <c r="J26" t="s">
        <v>1168</v>
      </c>
      <c r="K26" t="s">
        <v>1169</v>
      </c>
      <c r="L26" t="s">
        <v>1170</v>
      </c>
      <c r="M26" t="s">
        <v>1171</v>
      </c>
      <c r="N26" t="s">
        <v>1172</v>
      </c>
      <c r="O26" t="s">
        <v>1173</v>
      </c>
    </row>
    <row r="27" spans="1:15">
      <c r="A27" t="s">
        <v>153</v>
      </c>
      <c r="B27" t="s">
        <v>1174</v>
      </c>
      <c r="C27" t="s">
        <v>1175</v>
      </c>
      <c r="D27" t="s">
        <v>1176</v>
      </c>
      <c r="E27" t="s">
        <v>1175</v>
      </c>
      <c r="F27" t="s">
        <v>1177</v>
      </c>
      <c r="G27" t="s">
        <v>1178</v>
      </c>
      <c r="H27" t="s">
        <v>1179</v>
      </c>
      <c r="I27" t="s">
        <v>1180</v>
      </c>
      <c r="J27" t="s">
        <v>286</v>
      </c>
      <c r="K27" t="s">
        <v>286</v>
      </c>
      <c r="L27" t="s">
        <v>1181</v>
      </c>
      <c r="M27" t="s">
        <v>1182</v>
      </c>
      <c r="N27" t="s">
        <v>1183</v>
      </c>
      <c r="O27" t="s">
        <v>1184</v>
      </c>
    </row>
    <row r="28" spans="1:15">
      <c r="A28" t="s">
        <v>150</v>
      </c>
      <c r="B28" t="s">
        <v>1185</v>
      </c>
      <c r="C28" t="s">
        <v>1186</v>
      </c>
      <c r="D28" t="s">
        <v>1187</v>
      </c>
      <c r="E28" t="s">
        <v>1188</v>
      </c>
      <c r="F28" t="s">
        <v>1189</v>
      </c>
      <c r="G28" t="s">
        <v>1190</v>
      </c>
      <c r="H28" t="s">
        <v>1185</v>
      </c>
      <c r="I28" t="s">
        <v>1191</v>
      </c>
      <c r="J28" t="s">
        <v>1192</v>
      </c>
      <c r="K28" t="s">
        <v>1193</v>
      </c>
      <c r="L28" t="s">
        <v>1194</v>
      </c>
      <c r="M28" t="s">
        <v>1195</v>
      </c>
      <c r="N28" t="s">
        <v>1196</v>
      </c>
      <c r="O28" t="s">
        <v>1196</v>
      </c>
    </row>
    <row r="29" spans="1:15">
      <c r="A29" t="s">
        <v>1211</v>
      </c>
      <c r="B29" t="s">
        <v>1197</v>
      </c>
      <c r="C29" t="s">
        <v>1198</v>
      </c>
      <c r="D29" t="s">
        <v>1199</v>
      </c>
      <c r="E29" t="s">
        <v>1200</v>
      </c>
      <c r="F29" t="s">
        <v>1201</v>
      </c>
      <c r="G29" t="s">
        <v>1202</v>
      </c>
      <c r="H29" t="s">
        <v>1203</v>
      </c>
      <c r="I29" t="s">
        <v>1204</v>
      </c>
      <c r="J29" t="s">
        <v>1205</v>
      </c>
      <c r="K29" t="s">
        <v>1206</v>
      </c>
      <c r="L29" t="s">
        <v>1207</v>
      </c>
      <c r="M29" t="s">
        <v>1208</v>
      </c>
      <c r="N29" t="s">
        <v>1209</v>
      </c>
      <c r="O29" t="s">
        <v>1210</v>
      </c>
    </row>
    <row r="30" spans="1:15">
      <c r="A30" t="s">
        <v>1223</v>
      </c>
      <c r="B30" t="s">
        <v>1212</v>
      </c>
      <c r="C30" t="s">
        <v>1213</v>
      </c>
      <c r="D30" t="s">
        <v>1211</v>
      </c>
      <c r="E30" t="s">
        <v>1211</v>
      </c>
      <c r="F30" t="s">
        <v>1214</v>
      </c>
      <c r="G30" t="s">
        <v>1215</v>
      </c>
      <c r="H30" t="s">
        <v>1211</v>
      </c>
      <c r="I30" t="s">
        <v>1216</v>
      </c>
      <c r="J30" t="s">
        <v>1217</v>
      </c>
      <c r="K30" t="s">
        <v>1218</v>
      </c>
      <c r="L30" t="s">
        <v>1219</v>
      </c>
      <c r="M30" t="s">
        <v>1220</v>
      </c>
      <c r="N30" t="s">
        <v>1221</v>
      </c>
      <c r="O30" t="s">
        <v>1222</v>
      </c>
    </row>
    <row r="31" spans="1:15">
      <c r="A31" t="s">
        <v>642</v>
      </c>
      <c r="B31" t="s">
        <v>1224</v>
      </c>
      <c r="C31" t="s">
        <v>1225</v>
      </c>
      <c r="D31" t="s">
        <v>1223</v>
      </c>
      <c r="E31" t="s">
        <v>1223</v>
      </c>
      <c r="F31" t="s">
        <v>1226</v>
      </c>
      <c r="G31" t="s">
        <v>1227</v>
      </c>
      <c r="H31" t="s">
        <v>1223</v>
      </c>
      <c r="I31" t="s">
        <v>1228</v>
      </c>
      <c r="J31" t="s">
        <v>1229</v>
      </c>
      <c r="K31" t="s">
        <v>1230</v>
      </c>
      <c r="L31" t="s">
        <v>1231</v>
      </c>
      <c r="M31" t="s">
        <v>1232</v>
      </c>
      <c r="N31" t="s">
        <v>1233</v>
      </c>
      <c r="O31" t="s">
        <v>1234</v>
      </c>
    </row>
    <row r="32" spans="1:15">
      <c r="A32" t="s">
        <v>406</v>
      </c>
      <c r="B32" t="s">
        <v>827</v>
      </c>
      <c r="C32" t="s">
        <v>1235</v>
      </c>
      <c r="D32" t="s">
        <v>871</v>
      </c>
      <c r="E32" t="s">
        <v>844</v>
      </c>
      <c r="F32" t="s">
        <v>1236</v>
      </c>
      <c r="G32" t="s">
        <v>1237</v>
      </c>
      <c r="H32" t="s">
        <v>1238</v>
      </c>
      <c r="I32" t="s">
        <v>856</v>
      </c>
      <c r="J32" t="s">
        <v>1239</v>
      </c>
      <c r="K32" t="s">
        <v>1240</v>
      </c>
      <c r="L32" t="s">
        <v>1241</v>
      </c>
      <c r="M32" t="s">
        <v>1242</v>
      </c>
      <c r="N32" t="s">
        <v>1243</v>
      </c>
      <c r="O32" t="s">
        <v>1244</v>
      </c>
    </row>
    <row r="33" spans="1:15">
      <c r="A33" t="s">
        <v>178</v>
      </c>
      <c r="B33" t="s">
        <v>1245</v>
      </c>
      <c r="C33" t="s">
        <v>1246</v>
      </c>
      <c r="D33" t="s">
        <v>1247</v>
      </c>
      <c r="E33" t="s">
        <v>1248</v>
      </c>
      <c r="F33" t="s">
        <v>1249</v>
      </c>
      <c r="G33" t="s">
        <v>1250</v>
      </c>
      <c r="H33" t="s">
        <v>1251</v>
      </c>
      <c r="I33" t="s">
        <v>1252</v>
      </c>
      <c r="J33" t="s">
        <v>1253</v>
      </c>
      <c r="K33" t="s">
        <v>1254</v>
      </c>
      <c r="L33" t="s">
        <v>1255</v>
      </c>
      <c r="M33" t="s">
        <v>1256</v>
      </c>
      <c r="N33" t="s">
        <v>1257</v>
      </c>
      <c r="O33" t="s">
        <v>1258</v>
      </c>
    </row>
    <row r="34" spans="1:15">
      <c r="A34" t="s">
        <v>281</v>
      </c>
      <c r="B34" t="s">
        <v>1259</v>
      </c>
      <c r="C34" t="s">
        <v>1260</v>
      </c>
      <c r="D34" t="s">
        <v>1261</v>
      </c>
      <c r="E34" t="s">
        <v>1262</v>
      </c>
      <c r="F34" t="s">
        <v>1263</v>
      </c>
      <c r="G34" t="s">
        <v>1264</v>
      </c>
      <c r="H34" t="s">
        <v>1265</v>
      </c>
      <c r="I34" t="s">
        <v>1266</v>
      </c>
      <c r="J34" t="s">
        <v>1267</v>
      </c>
      <c r="K34" t="s">
        <v>1268</v>
      </c>
      <c r="L34" t="s">
        <v>1269</v>
      </c>
      <c r="M34" t="s">
        <v>1270</v>
      </c>
      <c r="N34" t="s">
        <v>1271</v>
      </c>
      <c r="O34" t="s">
        <v>1272</v>
      </c>
    </row>
    <row r="35" spans="1:15">
      <c r="A35" t="s">
        <v>163</v>
      </c>
      <c r="B35" t="s">
        <v>1273</v>
      </c>
      <c r="C35" t="s">
        <v>281</v>
      </c>
      <c r="D35" t="s">
        <v>281</v>
      </c>
      <c r="E35" t="s">
        <v>281</v>
      </c>
      <c r="F35" t="s">
        <v>281</v>
      </c>
      <c r="G35" t="s">
        <v>1274</v>
      </c>
      <c r="H35" t="s">
        <v>1274</v>
      </c>
      <c r="I35" t="s">
        <v>281</v>
      </c>
      <c r="J35" t="s">
        <v>1275</v>
      </c>
      <c r="K35" t="s">
        <v>1276</v>
      </c>
      <c r="L35" t="s">
        <v>1277</v>
      </c>
      <c r="M35" t="s">
        <v>1278</v>
      </c>
      <c r="N35" t="s">
        <v>1279</v>
      </c>
      <c r="O35" t="s">
        <v>281</v>
      </c>
    </row>
    <row r="36" spans="1:15">
      <c r="A36" t="s">
        <v>475</v>
      </c>
      <c r="B36" t="s">
        <v>1280</v>
      </c>
      <c r="C36" t="s">
        <v>163</v>
      </c>
      <c r="D36" t="s">
        <v>163</v>
      </c>
      <c r="E36" t="s">
        <v>163</v>
      </c>
      <c r="F36" t="s">
        <v>163</v>
      </c>
      <c r="G36" t="s">
        <v>163</v>
      </c>
      <c r="H36" t="s">
        <v>163</v>
      </c>
      <c r="I36" t="s">
        <v>1281</v>
      </c>
      <c r="J36" t="s">
        <v>1281</v>
      </c>
      <c r="K36" t="s">
        <v>163</v>
      </c>
      <c r="L36" t="s">
        <v>1281</v>
      </c>
      <c r="M36" t="s">
        <v>163</v>
      </c>
      <c r="N36" t="s">
        <v>1282</v>
      </c>
      <c r="O36" t="s">
        <v>163</v>
      </c>
    </row>
    <row r="37" spans="1:15">
      <c r="A37" t="s">
        <v>5</v>
      </c>
      <c r="B37" t="s">
        <v>1283</v>
      </c>
      <c r="C37" t="s">
        <v>1284</v>
      </c>
      <c r="D37" t="s">
        <v>1285</v>
      </c>
      <c r="E37" t="s">
        <v>475</v>
      </c>
      <c r="F37" t="s">
        <v>1286</v>
      </c>
      <c r="G37" t="s">
        <v>1287</v>
      </c>
      <c r="H37" t="s">
        <v>1288</v>
      </c>
      <c r="I37" t="s">
        <v>1289</v>
      </c>
      <c r="J37" t="s">
        <v>1290</v>
      </c>
      <c r="K37" t="s">
        <v>1291</v>
      </c>
      <c r="L37" t="s">
        <v>1292</v>
      </c>
      <c r="M37" t="s">
        <v>1293</v>
      </c>
      <c r="N37" t="s">
        <v>1294</v>
      </c>
      <c r="O37" t="s">
        <v>1295</v>
      </c>
    </row>
    <row r="38" spans="1:15">
      <c r="A38" t="s">
        <v>94</v>
      </c>
      <c r="B38" t="s">
        <v>838</v>
      </c>
      <c r="C38" t="s">
        <v>1296</v>
      </c>
      <c r="D38" t="s">
        <v>879</v>
      </c>
      <c r="E38" t="s">
        <v>852</v>
      </c>
      <c r="F38" t="s">
        <v>1297</v>
      </c>
      <c r="G38" t="s">
        <v>1298</v>
      </c>
      <c r="H38" t="s">
        <v>1299</v>
      </c>
      <c r="I38" t="s">
        <v>864</v>
      </c>
      <c r="J38" t="s">
        <v>1300</v>
      </c>
      <c r="K38" t="s">
        <v>1301</v>
      </c>
      <c r="L38" t="s">
        <v>1302</v>
      </c>
      <c r="M38" t="s">
        <v>1303</v>
      </c>
      <c r="N38" t="s">
        <v>1304</v>
      </c>
      <c r="O38" t="s">
        <v>1305</v>
      </c>
    </row>
    <row r="39" spans="1:15">
      <c r="A39" t="s">
        <v>223</v>
      </c>
      <c r="B39" t="s">
        <v>1306</v>
      </c>
      <c r="C39" t="s">
        <v>1307</v>
      </c>
      <c r="D39" t="s">
        <v>1308</v>
      </c>
      <c r="E39" t="s">
        <v>1309</v>
      </c>
      <c r="F39" t="s">
        <v>1310</v>
      </c>
      <c r="G39" t="s">
        <v>1311</v>
      </c>
      <c r="H39" t="s">
        <v>1312</v>
      </c>
      <c r="I39" t="s">
        <v>1313</v>
      </c>
      <c r="J39" t="s">
        <v>1314</v>
      </c>
      <c r="K39" t="s">
        <v>1315</v>
      </c>
      <c r="L39" t="s">
        <v>1316</v>
      </c>
      <c r="M39" t="s">
        <v>1317</v>
      </c>
      <c r="N39" t="s">
        <v>1318</v>
      </c>
      <c r="O39" t="s">
        <v>1319</v>
      </c>
    </row>
    <row r="40" spans="1:15">
      <c r="A40" t="s">
        <v>340</v>
      </c>
      <c r="B40" t="s">
        <v>1320</v>
      </c>
      <c r="C40" t="s">
        <v>1321</v>
      </c>
      <c r="D40" t="s">
        <v>1322</v>
      </c>
      <c r="E40" t="s">
        <v>1323</v>
      </c>
      <c r="F40" t="s">
        <v>1324</v>
      </c>
      <c r="G40" t="s">
        <v>1325</v>
      </c>
      <c r="H40" t="s">
        <v>1326</v>
      </c>
      <c r="I40" t="s">
        <v>1327</v>
      </c>
      <c r="J40" t="s">
        <v>1328</v>
      </c>
      <c r="K40" t="s">
        <v>1329</v>
      </c>
      <c r="L40" t="s">
        <v>1330</v>
      </c>
      <c r="M40" t="s">
        <v>1331</v>
      </c>
      <c r="N40" t="s">
        <v>1332</v>
      </c>
      <c r="O40" t="s">
        <v>1333</v>
      </c>
    </row>
    <row r="41" spans="1:15">
      <c r="A41" t="s">
        <v>211</v>
      </c>
      <c r="B41" t="s">
        <v>1334</v>
      </c>
      <c r="C41" t="s">
        <v>1335</v>
      </c>
      <c r="D41" t="s">
        <v>340</v>
      </c>
      <c r="E41" t="s">
        <v>340</v>
      </c>
      <c r="F41" t="s">
        <v>1336</v>
      </c>
      <c r="G41" t="s">
        <v>1337</v>
      </c>
      <c r="H41" t="s">
        <v>1338</v>
      </c>
      <c r="I41" t="s">
        <v>1339</v>
      </c>
      <c r="J41" t="s">
        <v>1300</v>
      </c>
      <c r="K41" t="s">
        <v>1340</v>
      </c>
      <c r="L41" t="s">
        <v>1341</v>
      </c>
      <c r="M41" t="s">
        <v>1342</v>
      </c>
      <c r="N41" t="s">
        <v>1343</v>
      </c>
      <c r="O41" t="s">
        <v>1344</v>
      </c>
    </row>
    <row r="42" spans="1:15">
      <c r="A42" t="s">
        <v>19</v>
      </c>
      <c r="B42" t="s">
        <v>1345</v>
      </c>
      <c r="C42" t="s">
        <v>1346</v>
      </c>
      <c r="D42" t="s">
        <v>1347</v>
      </c>
      <c r="E42" t="s">
        <v>1348</v>
      </c>
      <c r="F42" t="s">
        <v>1349</v>
      </c>
      <c r="G42" t="s">
        <v>1350</v>
      </c>
      <c r="H42" t="s">
        <v>1351</v>
      </c>
      <c r="I42" t="s">
        <v>1346</v>
      </c>
      <c r="J42" t="s">
        <v>1352</v>
      </c>
      <c r="K42" t="s">
        <v>1353</v>
      </c>
      <c r="L42" t="s">
        <v>1354</v>
      </c>
      <c r="M42" t="s">
        <v>1355</v>
      </c>
      <c r="N42" t="s">
        <v>1356</v>
      </c>
      <c r="O42" t="s">
        <v>1357</v>
      </c>
    </row>
    <row r="43" spans="1:15">
      <c r="A43" t="s">
        <v>393</v>
      </c>
      <c r="B43" t="s">
        <v>1358</v>
      </c>
      <c r="C43" t="s">
        <v>1359</v>
      </c>
      <c r="D43" t="s">
        <v>1360</v>
      </c>
      <c r="E43" t="s">
        <v>1361</v>
      </c>
      <c r="F43" t="s">
        <v>1362</v>
      </c>
      <c r="G43" t="s">
        <v>1363</v>
      </c>
      <c r="H43" t="s">
        <v>1364</v>
      </c>
      <c r="I43" t="s">
        <v>1365</v>
      </c>
      <c r="J43" t="s">
        <v>19</v>
      </c>
      <c r="K43" t="s">
        <v>1366</v>
      </c>
      <c r="L43" t="s">
        <v>1365</v>
      </c>
      <c r="M43" t="s">
        <v>1367</v>
      </c>
      <c r="N43" t="s">
        <v>1368</v>
      </c>
      <c r="O43" t="s">
        <v>1369</v>
      </c>
    </row>
    <row r="44" spans="1:15">
      <c r="A44" t="s">
        <v>422</v>
      </c>
      <c r="B44" t="s">
        <v>1370</v>
      </c>
      <c r="C44" t="s">
        <v>393</v>
      </c>
      <c r="D44" t="s">
        <v>1371</v>
      </c>
      <c r="E44" t="s">
        <v>393</v>
      </c>
      <c r="F44" t="s">
        <v>393</v>
      </c>
      <c r="G44" t="s">
        <v>1372</v>
      </c>
      <c r="H44" t="s">
        <v>1373</v>
      </c>
      <c r="I44" t="s">
        <v>393</v>
      </c>
      <c r="J44" t="s">
        <v>1374</v>
      </c>
      <c r="K44" t="s">
        <v>393</v>
      </c>
      <c r="L44" t="s">
        <v>1375</v>
      </c>
      <c r="M44" t="s">
        <v>1376</v>
      </c>
      <c r="N44" t="s">
        <v>1377</v>
      </c>
      <c r="O44" t="s">
        <v>1378</v>
      </c>
    </row>
    <row r="45" spans="1:15">
      <c r="A45" t="s">
        <v>139</v>
      </c>
      <c r="B45" t="s">
        <v>1379</v>
      </c>
      <c r="C45" t="s">
        <v>1380</v>
      </c>
      <c r="D45" t="s">
        <v>1381</v>
      </c>
      <c r="E45" t="s">
        <v>1382</v>
      </c>
      <c r="F45" t="s">
        <v>1383</v>
      </c>
      <c r="G45" t="s">
        <v>1384</v>
      </c>
      <c r="H45" t="s">
        <v>1385</v>
      </c>
      <c r="I45" t="s">
        <v>1386</v>
      </c>
      <c r="J45" t="s">
        <v>1387</v>
      </c>
      <c r="K45" t="s">
        <v>1388</v>
      </c>
      <c r="L45" t="s">
        <v>1389</v>
      </c>
      <c r="M45" t="s">
        <v>1390</v>
      </c>
      <c r="N45" t="s">
        <v>1391</v>
      </c>
      <c r="O45" t="s">
        <v>1392</v>
      </c>
    </row>
    <row r="46" spans="1:15">
      <c r="A46" t="s">
        <v>98</v>
      </c>
      <c r="B46" t="s">
        <v>1393</v>
      </c>
      <c r="C46" t="s">
        <v>1394</v>
      </c>
      <c r="D46" t="s">
        <v>139</v>
      </c>
      <c r="E46" t="s">
        <v>139</v>
      </c>
      <c r="F46" t="s">
        <v>1395</v>
      </c>
      <c r="G46" t="s">
        <v>139</v>
      </c>
      <c r="H46" t="s">
        <v>139</v>
      </c>
      <c r="I46" t="s">
        <v>139</v>
      </c>
      <c r="J46" t="s">
        <v>1396</v>
      </c>
      <c r="K46" t="s">
        <v>1397</v>
      </c>
      <c r="L46" t="s">
        <v>1398</v>
      </c>
      <c r="M46" t="s">
        <v>1399</v>
      </c>
      <c r="N46" t="s">
        <v>1400</v>
      </c>
      <c r="O46" t="s">
        <v>1401</v>
      </c>
    </row>
    <row r="47" spans="1:15">
      <c r="A47" t="s">
        <v>138</v>
      </c>
      <c r="B47" t="s">
        <v>1402</v>
      </c>
      <c r="C47" t="s">
        <v>1403</v>
      </c>
      <c r="D47" t="s">
        <v>1404</v>
      </c>
      <c r="E47" t="s">
        <v>1405</v>
      </c>
      <c r="F47" t="s">
        <v>1406</v>
      </c>
      <c r="G47" t="s">
        <v>1407</v>
      </c>
      <c r="H47" t="s">
        <v>1408</v>
      </c>
      <c r="I47" t="s">
        <v>1409</v>
      </c>
      <c r="J47" t="s">
        <v>1409</v>
      </c>
      <c r="K47" t="s">
        <v>1410</v>
      </c>
      <c r="L47" t="s">
        <v>1411</v>
      </c>
      <c r="M47" t="s">
        <v>1412</v>
      </c>
      <c r="N47" t="s">
        <v>1413</v>
      </c>
      <c r="O47" t="s">
        <v>1414</v>
      </c>
    </row>
    <row r="48" spans="1:15">
      <c r="A48" t="s">
        <v>571</v>
      </c>
      <c r="B48" t="s">
        <v>1415</v>
      </c>
      <c r="C48" t="s">
        <v>1416</v>
      </c>
      <c r="D48" t="s">
        <v>138</v>
      </c>
      <c r="E48" t="s">
        <v>138</v>
      </c>
      <c r="F48" t="s">
        <v>138</v>
      </c>
      <c r="G48" t="s">
        <v>138</v>
      </c>
      <c r="H48" t="s">
        <v>138</v>
      </c>
      <c r="I48" t="s">
        <v>138</v>
      </c>
      <c r="J48" t="s">
        <v>138</v>
      </c>
      <c r="K48" t="s">
        <v>138</v>
      </c>
      <c r="L48" t="s">
        <v>1417</v>
      </c>
      <c r="M48" t="s">
        <v>1418</v>
      </c>
      <c r="N48" t="s">
        <v>1419</v>
      </c>
      <c r="O48" t="s">
        <v>1420</v>
      </c>
    </row>
    <row r="49" spans="1:15">
      <c r="A49" t="s">
        <v>1434</v>
      </c>
      <c r="B49" t="s">
        <v>1421</v>
      </c>
      <c r="C49" t="s">
        <v>1422</v>
      </c>
      <c r="D49" t="s">
        <v>1423</v>
      </c>
      <c r="E49" t="s">
        <v>1424</v>
      </c>
      <c r="F49" t="s">
        <v>1425</v>
      </c>
      <c r="G49" t="s">
        <v>1426</v>
      </c>
      <c r="H49" t="s">
        <v>1427</v>
      </c>
      <c r="I49" t="s">
        <v>1428</v>
      </c>
      <c r="J49" t="s">
        <v>1429</v>
      </c>
      <c r="K49" t="s">
        <v>1430</v>
      </c>
      <c r="L49" t="s">
        <v>1431</v>
      </c>
      <c r="M49" t="s">
        <v>1432</v>
      </c>
      <c r="N49" t="s">
        <v>1433</v>
      </c>
      <c r="O49" t="s">
        <v>1433</v>
      </c>
    </row>
    <row r="50" spans="1:15">
      <c r="A50" t="s">
        <v>1445</v>
      </c>
      <c r="B50" t="s">
        <v>1435</v>
      </c>
      <c r="C50" t="s">
        <v>1436</v>
      </c>
      <c r="D50" t="s">
        <v>1434</v>
      </c>
      <c r="E50" t="s">
        <v>1437</v>
      </c>
      <c r="F50" t="s">
        <v>1438</v>
      </c>
      <c r="G50" t="s">
        <v>1439</v>
      </c>
      <c r="H50" t="s">
        <v>1440</v>
      </c>
      <c r="I50" t="s">
        <v>1434</v>
      </c>
      <c r="J50" t="s">
        <v>1434</v>
      </c>
      <c r="K50" t="s">
        <v>1441</v>
      </c>
      <c r="L50" t="s">
        <v>1434</v>
      </c>
      <c r="M50" t="s">
        <v>1442</v>
      </c>
      <c r="N50" t="s">
        <v>1443</v>
      </c>
      <c r="O50" t="s">
        <v>1444</v>
      </c>
    </row>
    <row r="51" spans="1:15">
      <c r="A51" t="s">
        <v>1458</v>
      </c>
      <c r="B51" t="s">
        <v>1446</v>
      </c>
      <c r="C51" t="s">
        <v>1447</v>
      </c>
      <c r="D51" t="s">
        <v>1448</v>
      </c>
      <c r="E51" t="s">
        <v>1449</v>
      </c>
      <c r="F51" t="s">
        <v>1450</v>
      </c>
      <c r="G51" t="s">
        <v>1451</v>
      </c>
      <c r="H51" t="s">
        <v>1452</v>
      </c>
      <c r="I51" t="s">
        <v>1445</v>
      </c>
      <c r="J51" t="s">
        <v>1453</v>
      </c>
      <c r="K51" t="s">
        <v>1445</v>
      </c>
      <c r="L51" t="s">
        <v>1454</v>
      </c>
      <c r="M51" t="s">
        <v>1455</v>
      </c>
      <c r="N51" t="s">
        <v>1456</v>
      </c>
      <c r="O51" t="s">
        <v>1457</v>
      </c>
    </row>
    <row r="52" spans="1:15">
      <c r="A52" t="s">
        <v>1469</v>
      </c>
      <c r="B52" t="s">
        <v>1459</v>
      </c>
      <c r="C52" t="s">
        <v>1460</v>
      </c>
      <c r="D52" t="s">
        <v>1458</v>
      </c>
      <c r="E52" t="s">
        <v>1461</v>
      </c>
      <c r="F52" t="s">
        <v>1462</v>
      </c>
      <c r="G52" t="s">
        <v>1463</v>
      </c>
      <c r="H52" t="s">
        <v>1464</v>
      </c>
      <c r="I52" t="s">
        <v>1458</v>
      </c>
      <c r="J52" t="s">
        <v>1458</v>
      </c>
      <c r="K52" t="s">
        <v>1465</v>
      </c>
      <c r="L52" t="s">
        <v>1458</v>
      </c>
      <c r="M52" t="s">
        <v>1466</v>
      </c>
      <c r="N52" t="s">
        <v>1467</v>
      </c>
      <c r="O52" t="s">
        <v>1468</v>
      </c>
    </row>
    <row r="53" spans="1:15">
      <c r="A53" t="s">
        <v>160</v>
      </c>
      <c r="B53" t="s">
        <v>1470</v>
      </c>
      <c r="C53" t="s">
        <v>1471</v>
      </c>
      <c r="D53" t="s">
        <v>1472</v>
      </c>
      <c r="E53" t="s">
        <v>1473</v>
      </c>
      <c r="F53" t="s">
        <v>1474</v>
      </c>
      <c r="G53" t="s">
        <v>1475</v>
      </c>
      <c r="H53" t="s">
        <v>1476</v>
      </c>
      <c r="I53" t="s">
        <v>1469</v>
      </c>
      <c r="J53" t="s">
        <v>1469</v>
      </c>
      <c r="K53" t="s">
        <v>1477</v>
      </c>
      <c r="L53" t="s">
        <v>1478</v>
      </c>
      <c r="M53" t="s">
        <v>1479</v>
      </c>
      <c r="N53" t="s">
        <v>1480</v>
      </c>
      <c r="O53" t="s">
        <v>1481</v>
      </c>
    </row>
    <row r="54" spans="1:15">
      <c r="A54" t="s">
        <v>488</v>
      </c>
      <c r="B54" t="s">
        <v>1482</v>
      </c>
      <c r="C54" t="s">
        <v>1483</v>
      </c>
      <c r="D54" t="s">
        <v>1484</v>
      </c>
      <c r="E54" t="s">
        <v>160</v>
      </c>
      <c r="F54" t="s">
        <v>1485</v>
      </c>
      <c r="G54" t="s">
        <v>1486</v>
      </c>
      <c r="H54" t="s">
        <v>1487</v>
      </c>
      <c r="I54" t="s">
        <v>1488</v>
      </c>
      <c r="J54" t="s">
        <v>160</v>
      </c>
      <c r="K54" t="s">
        <v>160</v>
      </c>
      <c r="L54" t="s">
        <v>160</v>
      </c>
      <c r="M54" t="s">
        <v>1489</v>
      </c>
      <c r="N54" t="s">
        <v>1490</v>
      </c>
      <c r="O54" t="s">
        <v>1491</v>
      </c>
    </row>
    <row r="55" spans="1:15">
      <c r="A55" t="s">
        <v>432</v>
      </c>
      <c r="B55" t="s">
        <v>1492</v>
      </c>
      <c r="C55" t="s">
        <v>1493</v>
      </c>
      <c r="D55" t="s">
        <v>1494</v>
      </c>
      <c r="E55" t="s">
        <v>488</v>
      </c>
      <c r="F55" t="s">
        <v>1495</v>
      </c>
      <c r="G55" t="s">
        <v>1496</v>
      </c>
      <c r="H55" t="s">
        <v>1497</v>
      </c>
      <c r="I55" t="s">
        <v>1498</v>
      </c>
      <c r="J55" t="s">
        <v>1499</v>
      </c>
      <c r="K55" t="s">
        <v>1500</v>
      </c>
      <c r="L55" t="s">
        <v>1501</v>
      </c>
      <c r="M55" t="s">
        <v>1502</v>
      </c>
      <c r="N55" t="s">
        <v>1503</v>
      </c>
      <c r="O55" t="s">
        <v>1504</v>
      </c>
    </row>
    <row r="56" spans="1:15">
      <c r="A56" t="s">
        <v>450</v>
      </c>
      <c r="B56" t="s">
        <v>1505</v>
      </c>
      <c r="C56" t="s">
        <v>1506</v>
      </c>
      <c r="D56" t="s">
        <v>1507</v>
      </c>
      <c r="E56" t="s">
        <v>1508</v>
      </c>
      <c r="F56" t="s">
        <v>1509</v>
      </c>
      <c r="G56" t="s">
        <v>1510</v>
      </c>
      <c r="H56" t="s">
        <v>1511</v>
      </c>
      <c r="I56" t="s">
        <v>1512</v>
      </c>
      <c r="J56" t="s">
        <v>1513</v>
      </c>
      <c r="K56" t="s">
        <v>1514</v>
      </c>
      <c r="L56" t="s">
        <v>1515</v>
      </c>
      <c r="M56" t="s">
        <v>1516</v>
      </c>
      <c r="N56" t="s">
        <v>1517</v>
      </c>
      <c r="O56" t="s">
        <v>1517</v>
      </c>
    </row>
    <row r="57" spans="1:15">
      <c r="A57" t="s">
        <v>374</v>
      </c>
      <c r="B57" t="s">
        <v>1518</v>
      </c>
      <c r="C57" t="s">
        <v>1519</v>
      </c>
      <c r="D57" t="s">
        <v>1520</v>
      </c>
      <c r="E57" t="s">
        <v>1521</v>
      </c>
      <c r="F57" t="s">
        <v>1522</v>
      </c>
      <c r="G57" t="s">
        <v>1523</v>
      </c>
      <c r="H57" t="s">
        <v>1524</v>
      </c>
      <c r="I57" t="s">
        <v>1525</v>
      </c>
      <c r="J57" t="s">
        <v>1526</v>
      </c>
      <c r="K57" t="s">
        <v>1527</v>
      </c>
      <c r="L57" t="s">
        <v>1528</v>
      </c>
      <c r="M57" t="s">
        <v>1529</v>
      </c>
      <c r="N57" t="s">
        <v>1530</v>
      </c>
      <c r="O57" t="s">
        <v>1531</v>
      </c>
    </row>
    <row r="58" spans="1:15">
      <c r="A58" t="s">
        <v>373</v>
      </c>
      <c r="B58" t="s">
        <v>1532</v>
      </c>
      <c r="C58" t="s">
        <v>1533</v>
      </c>
      <c r="D58" t="s">
        <v>374</v>
      </c>
      <c r="E58" t="s">
        <v>374</v>
      </c>
      <c r="F58" t="s">
        <v>1534</v>
      </c>
      <c r="G58" t="s">
        <v>1535</v>
      </c>
      <c r="H58" t="s">
        <v>1536</v>
      </c>
      <c r="I58" t="s">
        <v>374</v>
      </c>
      <c r="J58" t="s">
        <v>374</v>
      </c>
      <c r="K58" t="s">
        <v>1537</v>
      </c>
      <c r="L58" t="s">
        <v>1538</v>
      </c>
      <c r="M58" t="s">
        <v>1539</v>
      </c>
      <c r="N58" t="s">
        <v>1540</v>
      </c>
      <c r="O58" t="s">
        <v>1541</v>
      </c>
    </row>
    <row r="59" spans="1:15">
      <c r="A59" t="s">
        <v>1554</v>
      </c>
      <c r="B59" t="s">
        <v>1542</v>
      </c>
      <c r="C59" t="s">
        <v>1543</v>
      </c>
      <c r="D59" t="s">
        <v>1544</v>
      </c>
      <c r="E59" t="s">
        <v>1545</v>
      </c>
      <c r="F59" t="s">
        <v>1546</v>
      </c>
      <c r="G59" t="s">
        <v>1547</v>
      </c>
      <c r="H59" t="s">
        <v>1548</v>
      </c>
      <c r="I59" t="s">
        <v>373</v>
      </c>
      <c r="J59" t="s">
        <v>1549</v>
      </c>
      <c r="K59" t="s">
        <v>373</v>
      </c>
      <c r="L59" t="s">
        <v>1550</v>
      </c>
      <c r="M59" t="s">
        <v>1551</v>
      </c>
      <c r="N59" t="s">
        <v>1552</v>
      </c>
      <c r="O59" t="s">
        <v>1553</v>
      </c>
    </row>
    <row r="60" spans="1:15">
      <c r="A60" t="s">
        <v>1564</v>
      </c>
      <c r="B60" t="s">
        <v>1555</v>
      </c>
      <c r="C60" t="s">
        <v>1554</v>
      </c>
      <c r="D60" t="s">
        <v>1556</v>
      </c>
      <c r="E60" t="s">
        <v>1554</v>
      </c>
      <c r="F60" t="s">
        <v>1554</v>
      </c>
      <c r="G60" t="s">
        <v>1554</v>
      </c>
      <c r="H60" t="s">
        <v>1557</v>
      </c>
      <c r="I60" t="s">
        <v>1556</v>
      </c>
      <c r="J60" t="s">
        <v>1558</v>
      </c>
      <c r="K60" t="s">
        <v>1559</v>
      </c>
      <c r="L60" t="s">
        <v>1560</v>
      </c>
      <c r="M60" t="s">
        <v>1561</v>
      </c>
      <c r="N60" t="s">
        <v>1562</v>
      </c>
      <c r="O60" t="s">
        <v>1563</v>
      </c>
    </row>
    <row r="61" spans="1:15">
      <c r="A61" t="s">
        <v>574</v>
      </c>
      <c r="B61" t="s">
        <v>1565</v>
      </c>
      <c r="C61" t="s">
        <v>1566</v>
      </c>
      <c r="D61" t="s">
        <v>1564</v>
      </c>
      <c r="E61" t="s">
        <v>1564</v>
      </c>
      <c r="F61" t="s">
        <v>1564</v>
      </c>
      <c r="G61" t="s">
        <v>1567</v>
      </c>
      <c r="H61" t="s">
        <v>1564</v>
      </c>
      <c r="I61" t="s">
        <v>1564</v>
      </c>
      <c r="J61" t="s">
        <v>1568</v>
      </c>
      <c r="K61" t="s">
        <v>1569</v>
      </c>
      <c r="L61" t="s">
        <v>1570</v>
      </c>
      <c r="M61" t="s">
        <v>1564</v>
      </c>
      <c r="N61" t="s">
        <v>1571</v>
      </c>
      <c r="O61" t="s">
        <v>1572</v>
      </c>
    </row>
    <row r="62" spans="1:15">
      <c r="A62" t="s">
        <v>1584</v>
      </c>
      <c r="B62" t="s">
        <v>1573</v>
      </c>
      <c r="C62" t="s">
        <v>1574</v>
      </c>
      <c r="D62" t="s">
        <v>1575</v>
      </c>
      <c r="E62" t="s">
        <v>574</v>
      </c>
      <c r="F62" t="s">
        <v>1576</v>
      </c>
      <c r="G62" t="s">
        <v>1577</v>
      </c>
      <c r="H62" t="s">
        <v>1577</v>
      </c>
      <c r="I62" t="s">
        <v>1578</v>
      </c>
      <c r="J62" t="s">
        <v>1579</v>
      </c>
      <c r="K62" t="s">
        <v>574</v>
      </c>
      <c r="L62" t="s">
        <v>1580</v>
      </c>
      <c r="M62" t="s">
        <v>1581</v>
      </c>
      <c r="N62" t="s">
        <v>1582</v>
      </c>
      <c r="O62" t="s">
        <v>1583</v>
      </c>
    </row>
    <row r="63" spans="1:15">
      <c r="A63" t="s">
        <v>1587</v>
      </c>
      <c r="B63" t="s">
        <v>1585</v>
      </c>
      <c r="C63" t="s">
        <v>1584</v>
      </c>
      <c r="D63" t="s">
        <v>1584</v>
      </c>
      <c r="E63" t="s">
        <v>1584</v>
      </c>
      <c r="F63" t="s">
        <v>1586</v>
      </c>
      <c r="G63" t="s">
        <v>1584</v>
      </c>
      <c r="H63" t="s">
        <v>1584</v>
      </c>
      <c r="I63" t="s">
        <v>1584</v>
      </c>
      <c r="J63" t="s">
        <v>1584</v>
      </c>
      <c r="K63" t="s">
        <v>1584</v>
      </c>
      <c r="L63" t="s">
        <v>1584</v>
      </c>
      <c r="M63" t="s">
        <v>1584</v>
      </c>
      <c r="N63" t="s">
        <v>1584</v>
      </c>
      <c r="O63" t="s">
        <v>1584</v>
      </c>
    </row>
    <row r="64" spans="1:15">
      <c r="A64" t="s">
        <v>1597</v>
      </c>
      <c r="B64" t="s">
        <v>1588</v>
      </c>
      <c r="C64" t="s">
        <v>1587</v>
      </c>
      <c r="D64" t="s">
        <v>1587</v>
      </c>
      <c r="E64" t="s">
        <v>1587</v>
      </c>
      <c r="F64" t="s">
        <v>1587</v>
      </c>
      <c r="G64" t="s">
        <v>1589</v>
      </c>
      <c r="H64" t="s">
        <v>1590</v>
      </c>
      <c r="I64" t="s">
        <v>1587</v>
      </c>
      <c r="J64" t="s">
        <v>1591</v>
      </c>
      <c r="K64" t="s">
        <v>1592</v>
      </c>
      <c r="L64" t="s">
        <v>1593</v>
      </c>
      <c r="M64" t="s">
        <v>1594</v>
      </c>
      <c r="N64" t="s">
        <v>1595</v>
      </c>
      <c r="O64" t="s">
        <v>1596</v>
      </c>
    </row>
    <row r="65" spans="1:15">
      <c r="A65" t="s">
        <v>1606</v>
      </c>
      <c r="B65" t="s">
        <v>1598</v>
      </c>
      <c r="C65" t="s">
        <v>1599</v>
      </c>
      <c r="D65" t="s">
        <v>1597</v>
      </c>
      <c r="E65" t="s">
        <v>1597</v>
      </c>
      <c r="F65" t="s">
        <v>1597</v>
      </c>
      <c r="G65" t="s">
        <v>1600</v>
      </c>
      <c r="H65" t="s">
        <v>1600</v>
      </c>
      <c r="I65" t="s">
        <v>1597</v>
      </c>
      <c r="J65" t="s">
        <v>1597</v>
      </c>
      <c r="K65" t="s">
        <v>1601</v>
      </c>
      <c r="L65" t="s">
        <v>1602</v>
      </c>
      <c r="M65" t="s">
        <v>1603</v>
      </c>
      <c r="N65" t="s">
        <v>1604</v>
      </c>
      <c r="O65" t="s">
        <v>1605</v>
      </c>
    </row>
    <row r="66" spans="1:15">
      <c r="A66" t="s">
        <v>1617</v>
      </c>
      <c r="B66" t="s">
        <v>1607</v>
      </c>
      <c r="C66" t="s">
        <v>1608</v>
      </c>
      <c r="D66" t="s">
        <v>1606</v>
      </c>
      <c r="E66" t="s">
        <v>1606</v>
      </c>
      <c r="F66" t="s">
        <v>1609</v>
      </c>
      <c r="G66" t="s">
        <v>1606</v>
      </c>
      <c r="H66" t="s">
        <v>1610</v>
      </c>
      <c r="I66" t="s">
        <v>1606</v>
      </c>
      <c r="J66" t="s">
        <v>1611</v>
      </c>
      <c r="K66" t="s">
        <v>1612</v>
      </c>
      <c r="L66" t="s">
        <v>1613</v>
      </c>
      <c r="M66" t="s">
        <v>1614</v>
      </c>
      <c r="N66" t="s">
        <v>1615</v>
      </c>
      <c r="O66" t="s">
        <v>1616</v>
      </c>
    </row>
    <row r="67" spans="1:15">
      <c r="A67" t="s">
        <v>151</v>
      </c>
      <c r="B67" t="s">
        <v>1618</v>
      </c>
      <c r="C67" t="s">
        <v>1619</v>
      </c>
      <c r="D67" t="s">
        <v>1617</v>
      </c>
      <c r="E67" t="s">
        <v>1617</v>
      </c>
      <c r="F67" t="s">
        <v>1617</v>
      </c>
      <c r="G67" t="s">
        <v>1620</v>
      </c>
      <c r="H67" t="s">
        <v>1620</v>
      </c>
      <c r="I67" t="s">
        <v>1617</v>
      </c>
      <c r="J67" t="s">
        <v>1617</v>
      </c>
      <c r="K67" t="s">
        <v>1617</v>
      </c>
      <c r="L67" t="s">
        <v>1621</v>
      </c>
      <c r="M67" t="s">
        <v>1622</v>
      </c>
      <c r="N67" t="s">
        <v>1623</v>
      </c>
      <c r="O67" t="s">
        <v>1624</v>
      </c>
    </row>
    <row r="68" spans="1:15">
      <c r="A68" t="s">
        <v>1638</v>
      </c>
      <c r="B68" t="s">
        <v>1625</v>
      </c>
      <c r="C68" t="s">
        <v>1626</v>
      </c>
      <c r="D68" t="s">
        <v>1627</v>
      </c>
      <c r="E68" t="s">
        <v>151</v>
      </c>
      <c r="F68" t="s">
        <v>1628</v>
      </c>
      <c r="G68" t="s">
        <v>1629</v>
      </c>
      <c r="H68" t="s">
        <v>1630</v>
      </c>
      <c r="I68" t="s">
        <v>1631</v>
      </c>
      <c r="J68" t="s">
        <v>1632</v>
      </c>
      <c r="K68" t="s">
        <v>1633</v>
      </c>
      <c r="L68" t="s">
        <v>1634</v>
      </c>
      <c r="M68" t="s">
        <v>1635</v>
      </c>
      <c r="N68" t="s">
        <v>1636</v>
      </c>
      <c r="O68" t="s">
        <v>1637</v>
      </c>
    </row>
    <row r="69" spans="1:15">
      <c r="A69" t="s">
        <v>10</v>
      </c>
      <c r="B69" t="s">
        <v>1639</v>
      </c>
      <c r="C69" t="s">
        <v>1640</v>
      </c>
      <c r="D69" t="s">
        <v>1641</v>
      </c>
      <c r="E69" t="s">
        <v>1638</v>
      </c>
      <c r="F69" t="s">
        <v>1642</v>
      </c>
      <c r="G69" t="s">
        <v>1643</v>
      </c>
      <c r="H69" t="s">
        <v>1644</v>
      </c>
      <c r="I69" t="s">
        <v>1645</v>
      </c>
      <c r="J69" t="s">
        <v>1646</v>
      </c>
      <c r="K69" t="s">
        <v>1647</v>
      </c>
      <c r="L69" t="s">
        <v>1648</v>
      </c>
      <c r="M69" t="s">
        <v>1649</v>
      </c>
      <c r="N69" t="s">
        <v>1650</v>
      </c>
      <c r="O69" t="s">
        <v>1651</v>
      </c>
    </row>
    <row r="70" spans="1:15">
      <c r="A70" t="s">
        <v>537</v>
      </c>
      <c r="B70" t="s">
        <v>1652</v>
      </c>
      <c r="C70" t="s">
        <v>1653</v>
      </c>
      <c r="D70" t="s">
        <v>1654</v>
      </c>
      <c r="E70" t="s">
        <v>1655</v>
      </c>
      <c r="F70" t="s">
        <v>1656</v>
      </c>
      <c r="G70" t="s">
        <v>1657</v>
      </c>
      <c r="H70" t="s">
        <v>1658</v>
      </c>
      <c r="I70" t="s">
        <v>1659</v>
      </c>
      <c r="J70" t="s">
        <v>1660</v>
      </c>
      <c r="K70" t="s">
        <v>1661</v>
      </c>
      <c r="L70" t="s">
        <v>1662</v>
      </c>
      <c r="M70" t="s">
        <v>1663</v>
      </c>
      <c r="N70" t="s">
        <v>1664</v>
      </c>
      <c r="O70" t="s">
        <v>1665</v>
      </c>
    </row>
    <row r="71" spans="1:15">
      <c r="A71" t="s">
        <v>207</v>
      </c>
      <c r="B71" t="s">
        <v>1666</v>
      </c>
      <c r="C71" t="s">
        <v>1667</v>
      </c>
      <c r="D71" t="s">
        <v>537</v>
      </c>
      <c r="E71" t="s">
        <v>537</v>
      </c>
      <c r="F71" t="s">
        <v>1668</v>
      </c>
      <c r="G71" t="s">
        <v>1669</v>
      </c>
      <c r="H71" t="s">
        <v>1670</v>
      </c>
      <c r="I71" t="s">
        <v>1671</v>
      </c>
      <c r="J71" t="s">
        <v>1672</v>
      </c>
      <c r="K71" t="s">
        <v>1673</v>
      </c>
      <c r="L71" t="s">
        <v>1674</v>
      </c>
      <c r="M71" t="s">
        <v>1675</v>
      </c>
      <c r="N71" t="s">
        <v>1676</v>
      </c>
      <c r="O71" t="s">
        <v>1677</v>
      </c>
    </row>
    <row r="72" spans="1:15">
      <c r="A72" t="s">
        <v>154</v>
      </c>
      <c r="B72" t="s">
        <v>1678</v>
      </c>
      <c r="C72" t="s">
        <v>1679</v>
      </c>
      <c r="D72" t="s">
        <v>1680</v>
      </c>
      <c r="E72" t="s">
        <v>1681</v>
      </c>
      <c r="F72" t="s">
        <v>1682</v>
      </c>
      <c r="G72" t="s">
        <v>1683</v>
      </c>
      <c r="H72" t="s">
        <v>1684</v>
      </c>
      <c r="I72" t="s">
        <v>1685</v>
      </c>
      <c r="J72" t="s">
        <v>1686</v>
      </c>
      <c r="K72" t="s">
        <v>207</v>
      </c>
      <c r="L72" t="s">
        <v>1687</v>
      </c>
      <c r="M72" t="s">
        <v>1688</v>
      </c>
      <c r="N72" t="s">
        <v>1689</v>
      </c>
      <c r="O72" t="s">
        <v>1690</v>
      </c>
    </row>
    <row r="73" spans="1:15">
      <c r="A73" t="s">
        <v>1705</v>
      </c>
      <c r="B73" t="s">
        <v>1691</v>
      </c>
      <c r="C73" t="s">
        <v>1692</v>
      </c>
      <c r="D73" t="s">
        <v>1693</v>
      </c>
      <c r="E73" t="s">
        <v>1694</v>
      </c>
      <c r="F73" t="s">
        <v>1695</v>
      </c>
      <c r="G73" t="s">
        <v>1696</v>
      </c>
      <c r="H73" t="s">
        <v>1697</v>
      </c>
      <c r="I73" t="s">
        <v>1698</v>
      </c>
      <c r="J73" t="s">
        <v>1699</v>
      </c>
      <c r="K73" t="s">
        <v>1700</v>
      </c>
      <c r="L73" t="s">
        <v>1701</v>
      </c>
      <c r="M73" t="s">
        <v>1702</v>
      </c>
      <c r="N73" t="s">
        <v>1703</v>
      </c>
      <c r="O73" t="s">
        <v>1704</v>
      </c>
    </row>
    <row r="74" spans="1:15">
      <c r="A74" t="s">
        <v>194</v>
      </c>
      <c r="B74" t="s">
        <v>1706</v>
      </c>
      <c r="C74" t="s">
        <v>1705</v>
      </c>
      <c r="D74" t="s">
        <v>1705</v>
      </c>
      <c r="E74" t="s">
        <v>1705</v>
      </c>
      <c r="F74" t="s">
        <v>1705</v>
      </c>
      <c r="G74" t="s">
        <v>1705</v>
      </c>
      <c r="H74" t="s">
        <v>1705</v>
      </c>
      <c r="I74" t="s">
        <v>1705</v>
      </c>
      <c r="J74" t="s">
        <v>1705</v>
      </c>
      <c r="K74" t="s">
        <v>1705</v>
      </c>
      <c r="L74" t="s">
        <v>1705</v>
      </c>
      <c r="M74" t="s">
        <v>1705</v>
      </c>
      <c r="N74" t="s">
        <v>1705</v>
      </c>
      <c r="O74" t="s">
        <v>1705</v>
      </c>
    </row>
    <row r="75" spans="1:15">
      <c r="A75" t="s">
        <v>371</v>
      </c>
      <c r="B75" t="s">
        <v>1707</v>
      </c>
      <c r="C75" t="s">
        <v>1708</v>
      </c>
      <c r="D75" t="s">
        <v>1709</v>
      </c>
      <c r="E75" t="s">
        <v>1710</v>
      </c>
      <c r="F75" t="s">
        <v>1711</v>
      </c>
      <c r="G75" t="s">
        <v>1712</v>
      </c>
      <c r="H75" t="s">
        <v>1713</v>
      </c>
      <c r="I75" t="s">
        <v>1714</v>
      </c>
      <c r="J75" t="s">
        <v>1715</v>
      </c>
      <c r="K75" t="s">
        <v>1714</v>
      </c>
      <c r="L75" t="s">
        <v>1716</v>
      </c>
      <c r="M75" t="s">
        <v>1717</v>
      </c>
      <c r="N75" t="s">
        <v>1718</v>
      </c>
      <c r="O75" t="s">
        <v>1719</v>
      </c>
    </row>
    <row r="76" spans="1:15">
      <c r="A76" t="s">
        <v>372</v>
      </c>
      <c r="B76" t="s">
        <v>1720</v>
      </c>
      <c r="C76" t="s">
        <v>1721</v>
      </c>
      <c r="D76" t="s">
        <v>371</v>
      </c>
      <c r="E76" t="s">
        <v>371</v>
      </c>
      <c r="F76" t="s">
        <v>1722</v>
      </c>
      <c r="G76" t="s">
        <v>1723</v>
      </c>
      <c r="H76" t="s">
        <v>1724</v>
      </c>
      <c r="I76" t="s">
        <v>371</v>
      </c>
      <c r="J76" t="s">
        <v>371</v>
      </c>
      <c r="K76" t="s">
        <v>1725</v>
      </c>
      <c r="L76" t="s">
        <v>1726</v>
      </c>
      <c r="M76" t="s">
        <v>1727</v>
      </c>
      <c r="N76" t="s">
        <v>1728</v>
      </c>
      <c r="O76" t="s">
        <v>1729</v>
      </c>
    </row>
    <row r="77" spans="1:15">
      <c r="A77" t="s">
        <v>646</v>
      </c>
      <c r="B77" t="s">
        <v>1730</v>
      </c>
      <c r="C77" t="s">
        <v>1731</v>
      </c>
      <c r="D77" t="s">
        <v>1732</v>
      </c>
      <c r="E77" t="s">
        <v>1733</v>
      </c>
      <c r="F77" t="s">
        <v>1734</v>
      </c>
      <c r="G77" t="s">
        <v>1735</v>
      </c>
      <c r="H77" t="s">
        <v>1736</v>
      </c>
      <c r="I77" t="s">
        <v>372</v>
      </c>
      <c r="J77" t="s">
        <v>1737</v>
      </c>
      <c r="K77" t="s">
        <v>372</v>
      </c>
      <c r="L77" t="s">
        <v>1738</v>
      </c>
      <c r="M77" t="s">
        <v>1739</v>
      </c>
      <c r="N77" t="s">
        <v>1740</v>
      </c>
      <c r="O77" t="s">
        <v>1741</v>
      </c>
    </row>
    <row r="78" spans="1:15">
      <c r="A78" t="s">
        <v>641</v>
      </c>
      <c r="B78" t="s">
        <v>824</v>
      </c>
      <c r="C78" t="s">
        <v>1742</v>
      </c>
      <c r="D78" t="s">
        <v>868</v>
      </c>
      <c r="E78" t="s">
        <v>842</v>
      </c>
      <c r="F78" t="s">
        <v>1743</v>
      </c>
      <c r="G78" t="s">
        <v>1744</v>
      </c>
      <c r="H78" t="s">
        <v>1745</v>
      </c>
      <c r="I78" t="s">
        <v>646</v>
      </c>
      <c r="J78" t="s">
        <v>1746</v>
      </c>
      <c r="K78" t="s">
        <v>1747</v>
      </c>
      <c r="L78" t="s">
        <v>1748</v>
      </c>
      <c r="M78" t="s">
        <v>1749</v>
      </c>
      <c r="N78" t="s">
        <v>1750</v>
      </c>
      <c r="O78" t="s">
        <v>1751</v>
      </c>
    </row>
    <row r="79" spans="1:15">
      <c r="A79" t="s">
        <v>1759</v>
      </c>
      <c r="B79" t="s">
        <v>826</v>
      </c>
      <c r="C79" t="s">
        <v>1752</v>
      </c>
      <c r="D79" t="s">
        <v>870</v>
      </c>
      <c r="E79" t="s">
        <v>843</v>
      </c>
      <c r="F79" t="s">
        <v>1753</v>
      </c>
      <c r="G79" t="s">
        <v>1754</v>
      </c>
      <c r="H79" t="s">
        <v>826</v>
      </c>
      <c r="I79" t="s">
        <v>855</v>
      </c>
      <c r="J79" t="s">
        <v>1755</v>
      </c>
      <c r="K79" t="s">
        <v>855</v>
      </c>
      <c r="L79" t="s">
        <v>855</v>
      </c>
      <c r="M79" t="s">
        <v>1756</v>
      </c>
      <c r="N79" t="s">
        <v>1757</v>
      </c>
      <c r="O79" t="s">
        <v>1758</v>
      </c>
    </row>
    <row r="80" spans="1:15">
      <c r="A80" t="s">
        <v>335</v>
      </c>
      <c r="B80" t="s">
        <v>1760</v>
      </c>
      <c r="C80" t="s">
        <v>1761</v>
      </c>
      <c r="D80" t="s">
        <v>1762</v>
      </c>
      <c r="E80" t="s">
        <v>1763</v>
      </c>
      <c r="F80" t="s">
        <v>1764</v>
      </c>
      <c r="G80" t="s">
        <v>1765</v>
      </c>
      <c r="H80" t="s">
        <v>1766</v>
      </c>
      <c r="I80" t="s">
        <v>1767</v>
      </c>
      <c r="J80" t="s">
        <v>1768</v>
      </c>
      <c r="K80" t="s">
        <v>1769</v>
      </c>
      <c r="L80" t="s">
        <v>1770</v>
      </c>
      <c r="M80" t="s">
        <v>1771</v>
      </c>
      <c r="N80" t="s">
        <v>1772</v>
      </c>
      <c r="O80" t="s">
        <v>1773</v>
      </c>
    </row>
    <row r="81" spans="1:15">
      <c r="A81" t="s">
        <v>148</v>
      </c>
      <c r="B81" t="s">
        <v>1774</v>
      </c>
      <c r="C81" t="s">
        <v>1775</v>
      </c>
      <c r="D81" t="s">
        <v>1776</v>
      </c>
      <c r="E81" t="s">
        <v>1777</v>
      </c>
      <c r="F81" t="s">
        <v>1778</v>
      </c>
      <c r="G81" t="s">
        <v>1779</v>
      </c>
      <c r="H81" t="s">
        <v>1780</v>
      </c>
      <c r="I81" t="s">
        <v>1781</v>
      </c>
      <c r="J81" t="s">
        <v>335</v>
      </c>
      <c r="K81" t="s">
        <v>1782</v>
      </c>
      <c r="L81" t="s">
        <v>1783</v>
      </c>
      <c r="M81" t="s">
        <v>1784</v>
      </c>
      <c r="N81" t="s">
        <v>1785</v>
      </c>
      <c r="O81" t="s">
        <v>1786</v>
      </c>
    </row>
    <row r="82" spans="1:15">
      <c r="A82" t="s">
        <v>260</v>
      </c>
      <c r="B82" t="s">
        <v>1787</v>
      </c>
      <c r="C82" t="s">
        <v>1788</v>
      </c>
      <c r="D82" t="s">
        <v>1789</v>
      </c>
      <c r="E82" t="s">
        <v>1790</v>
      </c>
      <c r="F82" t="s">
        <v>1791</v>
      </c>
      <c r="G82" t="s">
        <v>1792</v>
      </c>
      <c r="H82" t="s">
        <v>1793</v>
      </c>
      <c r="I82" t="s">
        <v>1794</v>
      </c>
      <c r="J82" t="s">
        <v>1795</v>
      </c>
      <c r="K82" t="s">
        <v>1796</v>
      </c>
      <c r="L82" t="s">
        <v>1797</v>
      </c>
      <c r="M82" t="s">
        <v>1798</v>
      </c>
      <c r="N82" t="s">
        <v>1799</v>
      </c>
      <c r="O82" t="s">
        <v>1800</v>
      </c>
    </row>
    <row r="83" spans="1:15">
      <c r="A83" t="s">
        <v>152</v>
      </c>
      <c r="B83" t="s">
        <v>1801</v>
      </c>
      <c r="C83" t="s">
        <v>1802</v>
      </c>
      <c r="D83" t="s">
        <v>1803</v>
      </c>
      <c r="E83" t="s">
        <v>1804</v>
      </c>
      <c r="F83" t="s">
        <v>1805</v>
      </c>
      <c r="G83" t="s">
        <v>1806</v>
      </c>
      <c r="H83" t="s">
        <v>1807</v>
      </c>
      <c r="I83" t="s">
        <v>1808</v>
      </c>
      <c r="J83" t="s">
        <v>1809</v>
      </c>
      <c r="K83" t="s">
        <v>1810</v>
      </c>
      <c r="L83" t="s">
        <v>1811</v>
      </c>
      <c r="M83" t="s">
        <v>1812</v>
      </c>
      <c r="N83" t="s">
        <v>1813</v>
      </c>
      <c r="O83" t="s">
        <v>1813</v>
      </c>
    </row>
    <row r="84" spans="1:15">
      <c r="A84" t="s">
        <v>6</v>
      </c>
      <c r="B84" t="s">
        <v>1814</v>
      </c>
      <c r="C84" t="s">
        <v>1815</v>
      </c>
      <c r="D84" t="s">
        <v>1816</v>
      </c>
      <c r="E84" t="s">
        <v>1817</v>
      </c>
      <c r="F84" t="s">
        <v>1818</v>
      </c>
      <c r="G84" t="s">
        <v>1819</v>
      </c>
      <c r="H84" t="s">
        <v>1820</v>
      </c>
      <c r="I84" t="s">
        <v>1821</v>
      </c>
      <c r="J84" t="s">
        <v>1822</v>
      </c>
      <c r="K84" t="s">
        <v>1823</v>
      </c>
      <c r="L84" t="s">
        <v>1824</v>
      </c>
      <c r="M84" t="s">
        <v>1825</v>
      </c>
      <c r="N84" t="s">
        <v>1826</v>
      </c>
      <c r="O84" t="s">
        <v>1827</v>
      </c>
    </row>
    <row r="85" spans="1:15">
      <c r="A85" t="s">
        <v>95</v>
      </c>
      <c r="B85" t="s">
        <v>837</v>
      </c>
      <c r="C85" t="s">
        <v>1828</v>
      </c>
      <c r="D85" t="s">
        <v>878</v>
      </c>
      <c r="E85" t="s">
        <v>6</v>
      </c>
      <c r="F85" t="s">
        <v>1829</v>
      </c>
      <c r="G85" t="s">
        <v>1830</v>
      </c>
      <c r="H85" t="s">
        <v>1831</v>
      </c>
      <c r="I85" t="s">
        <v>863</v>
      </c>
      <c r="J85" t="s">
        <v>863</v>
      </c>
      <c r="K85" t="s">
        <v>6</v>
      </c>
      <c r="L85" t="s">
        <v>6</v>
      </c>
      <c r="M85" t="s">
        <v>1832</v>
      </c>
      <c r="N85" t="s">
        <v>1833</v>
      </c>
      <c r="O85" t="s">
        <v>1834</v>
      </c>
    </row>
    <row r="86" spans="1:15">
      <c r="A86" t="s">
        <v>161</v>
      </c>
      <c r="B86" t="s">
        <v>1835</v>
      </c>
      <c r="C86" t="s">
        <v>1836</v>
      </c>
      <c r="D86" t="s">
        <v>1837</v>
      </c>
      <c r="E86" t="s">
        <v>1838</v>
      </c>
      <c r="F86" t="s">
        <v>1839</v>
      </c>
      <c r="G86" t="s">
        <v>1840</v>
      </c>
      <c r="H86" t="s">
        <v>1840</v>
      </c>
      <c r="I86" t="s">
        <v>1836</v>
      </c>
      <c r="J86" t="s">
        <v>1841</v>
      </c>
      <c r="K86" t="s">
        <v>95</v>
      </c>
      <c r="L86" t="s">
        <v>95</v>
      </c>
      <c r="M86" t="s">
        <v>1842</v>
      </c>
      <c r="N86" t="s">
        <v>1843</v>
      </c>
      <c r="O86" t="s">
        <v>1844</v>
      </c>
    </row>
    <row r="87" spans="1:15">
      <c r="A87" t="s">
        <v>1855</v>
      </c>
      <c r="B87" t="s">
        <v>1845</v>
      </c>
      <c r="C87" t="s">
        <v>1846</v>
      </c>
      <c r="D87" t="s">
        <v>1847</v>
      </c>
      <c r="E87" t="s">
        <v>1847</v>
      </c>
      <c r="F87" t="s">
        <v>1848</v>
      </c>
      <c r="G87" t="s">
        <v>1845</v>
      </c>
      <c r="H87" t="s">
        <v>1845</v>
      </c>
      <c r="I87" t="s">
        <v>1849</v>
      </c>
      <c r="J87" t="s">
        <v>1850</v>
      </c>
      <c r="K87" t="s">
        <v>1847</v>
      </c>
      <c r="L87" t="s">
        <v>1851</v>
      </c>
      <c r="M87" t="s">
        <v>1852</v>
      </c>
      <c r="N87" t="s">
        <v>1853</v>
      </c>
      <c r="O87" t="s">
        <v>1854</v>
      </c>
    </row>
    <row r="88" spans="1:15">
      <c r="A88" t="s">
        <v>1866</v>
      </c>
      <c r="B88" t="s">
        <v>1856</v>
      </c>
      <c r="C88" t="s">
        <v>1857</v>
      </c>
      <c r="D88" t="s">
        <v>1858</v>
      </c>
      <c r="E88" t="s">
        <v>1859</v>
      </c>
      <c r="F88" t="s">
        <v>1860</v>
      </c>
      <c r="G88" t="s">
        <v>1856</v>
      </c>
      <c r="H88" t="s">
        <v>1856</v>
      </c>
      <c r="I88" t="s">
        <v>1857</v>
      </c>
      <c r="J88" t="s">
        <v>1861</v>
      </c>
      <c r="K88" t="s">
        <v>1859</v>
      </c>
      <c r="L88" t="s">
        <v>1862</v>
      </c>
      <c r="M88" t="s">
        <v>1863</v>
      </c>
      <c r="N88" t="s">
        <v>1864</v>
      </c>
      <c r="O88" t="s">
        <v>1865</v>
      </c>
    </row>
    <row r="89" spans="1:15">
      <c r="A89" t="s">
        <v>1877</v>
      </c>
      <c r="B89" t="s">
        <v>1867</v>
      </c>
      <c r="C89" t="s">
        <v>1868</v>
      </c>
      <c r="D89" t="s">
        <v>1869</v>
      </c>
      <c r="E89" t="s">
        <v>1870</v>
      </c>
      <c r="F89" t="s">
        <v>1871</v>
      </c>
      <c r="G89" t="s">
        <v>1867</v>
      </c>
      <c r="H89" t="s">
        <v>1867</v>
      </c>
      <c r="I89" t="s">
        <v>1868</v>
      </c>
      <c r="J89" t="s">
        <v>1872</v>
      </c>
      <c r="K89" t="s">
        <v>1870</v>
      </c>
      <c r="L89" t="s">
        <v>1873</v>
      </c>
      <c r="M89" t="s">
        <v>1874</v>
      </c>
      <c r="N89" t="s">
        <v>1875</v>
      </c>
      <c r="O89" t="s">
        <v>1876</v>
      </c>
    </row>
    <row r="90" spans="1:15">
      <c r="A90" t="s">
        <v>311</v>
      </c>
      <c r="B90" t="s">
        <v>1878</v>
      </c>
      <c r="C90" t="s">
        <v>1879</v>
      </c>
      <c r="D90" t="s">
        <v>1880</v>
      </c>
      <c r="E90" t="s">
        <v>1881</v>
      </c>
      <c r="F90" t="s">
        <v>1882</v>
      </c>
      <c r="G90" t="s">
        <v>1878</v>
      </c>
      <c r="H90" t="s">
        <v>1878</v>
      </c>
      <c r="I90" t="s">
        <v>1879</v>
      </c>
      <c r="J90" t="s">
        <v>1883</v>
      </c>
      <c r="K90" t="s">
        <v>1881</v>
      </c>
      <c r="L90" t="s">
        <v>1884</v>
      </c>
      <c r="M90" t="s">
        <v>1885</v>
      </c>
      <c r="N90" t="s">
        <v>1886</v>
      </c>
      <c r="O90" t="s">
        <v>1887</v>
      </c>
    </row>
    <row r="91" spans="1:15">
      <c r="A91" t="s">
        <v>12</v>
      </c>
      <c r="B91" t="s">
        <v>833</v>
      </c>
      <c r="C91" t="s">
        <v>1888</v>
      </c>
      <c r="D91" t="s">
        <v>311</v>
      </c>
      <c r="E91" t="s">
        <v>849</v>
      </c>
      <c r="F91" t="s">
        <v>311</v>
      </c>
      <c r="G91" t="s">
        <v>833</v>
      </c>
      <c r="H91" t="s">
        <v>1889</v>
      </c>
      <c r="I91" t="s">
        <v>861</v>
      </c>
      <c r="J91" t="s">
        <v>1890</v>
      </c>
      <c r="K91" t="s">
        <v>1891</v>
      </c>
      <c r="L91" t="s">
        <v>1892</v>
      </c>
      <c r="M91" t="s">
        <v>1893</v>
      </c>
      <c r="N91" t="s">
        <v>1894</v>
      </c>
      <c r="O91" t="s">
        <v>1895</v>
      </c>
    </row>
    <row r="92" spans="1:15">
      <c r="A92" t="s">
        <v>337</v>
      </c>
      <c r="B92" t="s">
        <v>1896</v>
      </c>
      <c r="C92" t="s">
        <v>1897</v>
      </c>
      <c r="D92" t="s">
        <v>1898</v>
      </c>
      <c r="E92" t="s">
        <v>1899</v>
      </c>
      <c r="F92" t="s">
        <v>1900</v>
      </c>
      <c r="G92" t="s">
        <v>1901</v>
      </c>
      <c r="H92" t="s">
        <v>1902</v>
      </c>
      <c r="I92" t="s">
        <v>1903</v>
      </c>
      <c r="J92" t="s">
        <v>1890</v>
      </c>
      <c r="K92" t="s">
        <v>1891</v>
      </c>
      <c r="L92" t="s">
        <v>1892</v>
      </c>
      <c r="M92" t="s">
        <v>1904</v>
      </c>
      <c r="N92" t="s">
        <v>1894</v>
      </c>
      <c r="O92" t="s">
        <v>1895</v>
      </c>
    </row>
    <row r="93" spans="1:15">
      <c r="A93" t="s">
        <v>1915</v>
      </c>
      <c r="B93" t="s">
        <v>836</v>
      </c>
      <c r="C93" t="s">
        <v>1905</v>
      </c>
      <c r="D93" t="s">
        <v>337</v>
      </c>
      <c r="E93" t="s">
        <v>337</v>
      </c>
      <c r="F93" t="s">
        <v>1906</v>
      </c>
      <c r="G93" t="s">
        <v>1907</v>
      </c>
      <c r="H93" t="s">
        <v>1908</v>
      </c>
      <c r="I93" t="s">
        <v>337</v>
      </c>
      <c r="J93" t="s">
        <v>1909</v>
      </c>
      <c r="K93" t="s">
        <v>1910</v>
      </c>
      <c r="L93" t="s">
        <v>1911</v>
      </c>
      <c r="M93" t="s">
        <v>1912</v>
      </c>
      <c r="N93" t="s">
        <v>1913</v>
      </c>
      <c r="O93" t="s">
        <v>1914</v>
      </c>
    </row>
    <row r="94" spans="1:15">
      <c r="A94" t="s">
        <v>1927</v>
      </c>
      <c r="B94" t="s">
        <v>1916</v>
      </c>
      <c r="C94" t="s">
        <v>1917</v>
      </c>
      <c r="D94" t="s">
        <v>1918</v>
      </c>
      <c r="E94" t="s">
        <v>1915</v>
      </c>
      <c r="F94" t="s">
        <v>1915</v>
      </c>
      <c r="G94" t="s">
        <v>1919</v>
      </c>
      <c r="H94" t="s">
        <v>1920</v>
      </c>
      <c r="I94" t="s">
        <v>1915</v>
      </c>
      <c r="J94" t="s">
        <v>1921</v>
      </c>
      <c r="K94" t="s">
        <v>1922</v>
      </c>
      <c r="L94" t="s">
        <v>1923</v>
      </c>
      <c r="M94" t="s">
        <v>1924</v>
      </c>
      <c r="N94" t="s">
        <v>1925</v>
      </c>
      <c r="O94" t="s">
        <v>1926</v>
      </c>
    </row>
    <row r="95" spans="1:15">
      <c r="A95" t="s">
        <v>623</v>
      </c>
      <c r="B95" t="s">
        <v>1928</v>
      </c>
      <c r="C95" t="s">
        <v>1927</v>
      </c>
      <c r="D95" t="s">
        <v>1927</v>
      </c>
      <c r="E95" t="s">
        <v>1927</v>
      </c>
      <c r="F95" t="s">
        <v>1927</v>
      </c>
      <c r="G95" t="s">
        <v>1929</v>
      </c>
      <c r="H95" t="s">
        <v>1927</v>
      </c>
      <c r="I95" t="s">
        <v>1927</v>
      </c>
      <c r="J95" t="s">
        <v>1927</v>
      </c>
      <c r="K95" t="s">
        <v>1927</v>
      </c>
      <c r="L95" t="s">
        <v>1930</v>
      </c>
      <c r="M95" t="s">
        <v>1927</v>
      </c>
      <c r="N95" t="s">
        <v>1931</v>
      </c>
      <c r="O95" t="s">
        <v>1932</v>
      </c>
    </row>
    <row r="96" spans="1:15">
      <c r="A96" t="s">
        <v>330</v>
      </c>
      <c r="B96" t="s">
        <v>1933</v>
      </c>
      <c r="C96" t="s">
        <v>623</v>
      </c>
      <c r="D96" t="s">
        <v>623</v>
      </c>
      <c r="E96" t="s">
        <v>623</v>
      </c>
      <c r="F96" t="s">
        <v>623</v>
      </c>
      <c r="G96" t="s">
        <v>1934</v>
      </c>
      <c r="H96" t="s">
        <v>1935</v>
      </c>
      <c r="I96" t="s">
        <v>623</v>
      </c>
      <c r="J96" t="s">
        <v>623</v>
      </c>
      <c r="K96" t="s">
        <v>623</v>
      </c>
      <c r="L96" t="s">
        <v>1936</v>
      </c>
      <c r="M96" t="s">
        <v>1937</v>
      </c>
      <c r="N96" t="s">
        <v>1938</v>
      </c>
      <c r="O96" t="s">
        <v>1939</v>
      </c>
    </row>
    <row r="97" spans="1:15">
      <c r="A97" t="s">
        <v>328</v>
      </c>
      <c r="B97" t="s">
        <v>1940</v>
      </c>
      <c r="C97" t="s">
        <v>330</v>
      </c>
      <c r="D97" t="s">
        <v>1941</v>
      </c>
      <c r="E97" t="s">
        <v>330</v>
      </c>
      <c r="F97" t="s">
        <v>1942</v>
      </c>
      <c r="G97" t="s">
        <v>330</v>
      </c>
      <c r="H97" t="s">
        <v>330</v>
      </c>
      <c r="I97" t="s">
        <v>330</v>
      </c>
      <c r="J97" t="s">
        <v>1943</v>
      </c>
      <c r="K97" t="s">
        <v>1941</v>
      </c>
      <c r="L97" t="s">
        <v>1944</v>
      </c>
      <c r="M97" t="s">
        <v>1945</v>
      </c>
      <c r="N97" t="s">
        <v>1946</v>
      </c>
      <c r="O97" t="s">
        <v>1947</v>
      </c>
    </row>
    <row r="98" spans="1:15">
      <c r="A98" t="s">
        <v>520</v>
      </c>
      <c r="B98" t="s">
        <v>1948</v>
      </c>
      <c r="C98" t="s">
        <v>1949</v>
      </c>
      <c r="D98" t="s">
        <v>1950</v>
      </c>
      <c r="E98" t="s">
        <v>328</v>
      </c>
      <c r="F98" t="s">
        <v>1951</v>
      </c>
      <c r="G98" t="s">
        <v>1952</v>
      </c>
      <c r="H98" t="s">
        <v>1953</v>
      </c>
      <c r="I98" t="s">
        <v>1954</v>
      </c>
      <c r="J98" t="s">
        <v>1955</v>
      </c>
      <c r="K98" t="s">
        <v>328</v>
      </c>
      <c r="L98" t="s">
        <v>1956</v>
      </c>
      <c r="M98" t="s">
        <v>1957</v>
      </c>
      <c r="N98" t="s">
        <v>1958</v>
      </c>
      <c r="O98" t="s">
        <v>1959</v>
      </c>
    </row>
    <row r="99" spans="1:15">
      <c r="A99" t="s">
        <v>517</v>
      </c>
      <c r="B99" t="s">
        <v>1960</v>
      </c>
      <c r="C99" t="s">
        <v>520</v>
      </c>
      <c r="D99" t="s">
        <v>520</v>
      </c>
      <c r="E99" t="s">
        <v>520</v>
      </c>
      <c r="F99" t="s">
        <v>520</v>
      </c>
      <c r="G99" t="s">
        <v>520</v>
      </c>
      <c r="H99" t="s">
        <v>1961</v>
      </c>
      <c r="I99" t="s">
        <v>520</v>
      </c>
      <c r="J99" t="s">
        <v>520</v>
      </c>
      <c r="K99" t="s">
        <v>520</v>
      </c>
      <c r="L99" t="s">
        <v>520</v>
      </c>
      <c r="M99" t="s">
        <v>520</v>
      </c>
      <c r="N99" t="s">
        <v>1962</v>
      </c>
      <c r="O99" t="s">
        <v>1963</v>
      </c>
    </row>
    <row r="100" spans="1:15">
      <c r="A100" t="s">
        <v>518</v>
      </c>
      <c r="B100" t="s">
        <v>1964</v>
      </c>
      <c r="C100" t="s">
        <v>1965</v>
      </c>
      <c r="D100" t="s">
        <v>1966</v>
      </c>
      <c r="E100" t="s">
        <v>1967</v>
      </c>
      <c r="F100" t="s">
        <v>1968</v>
      </c>
      <c r="G100" t="s">
        <v>1969</v>
      </c>
      <c r="H100" t="s">
        <v>1970</v>
      </c>
      <c r="I100" t="s">
        <v>1971</v>
      </c>
      <c r="J100" t="s">
        <v>1972</v>
      </c>
      <c r="K100" t="s">
        <v>1973</v>
      </c>
      <c r="L100" t="s">
        <v>1974</v>
      </c>
      <c r="M100" t="s">
        <v>517</v>
      </c>
      <c r="N100" t="s">
        <v>1975</v>
      </c>
      <c r="O100" t="s">
        <v>1976</v>
      </c>
    </row>
    <row r="101" spans="1:15">
      <c r="A101" t="s">
        <v>7</v>
      </c>
      <c r="B101" t="s">
        <v>1977</v>
      </c>
      <c r="C101" t="s">
        <v>1978</v>
      </c>
      <c r="D101" t="s">
        <v>1979</v>
      </c>
      <c r="E101" t="s">
        <v>1980</v>
      </c>
      <c r="F101" t="s">
        <v>1981</v>
      </c>
      <c r="G101" t="s">
        <v>1982</v>
      </c>
      <c r="H101" t="s">
        <v>1983</v>
      </c>
      <c r="I101" t="s">
        <v>1984</v>
      </c>
      <c r="J101" t="s">
        <v>1985</v>
      </c>
      <c r="K101" t="s">
        <v>1986</v>
      </c>
      <c r="L101" t="s">
        <v>1984</v>
      </c>
      <c r="M101" t="s">
        <v>518</v>
      </c>
      <c r="N101" t="s">
        <v>1987</v>
      </c>
      <c r="O101" t="s">
        <v>1988</v>
      </c>
    </row>
    <row r="102" spans="1:15">
      <c r="A102" t="s">
        <v>172</v>
      </c>
      <c r="B102" t="s">
        <v>839</v>
      </c>
      <c r="C102" t="s">
        <v>1989</v>
      </c>
      <c r="D102" t="s">
        <v>880</v>
      </c>
      <c r="E102" t="s">
        <v>853</v>
      </c>
      <c r="F102" t="s">
        <v>1990</v>
      </c>
      <c r="G102" t="s">
        <v>1991</v>
      </c>
      <c r="H102" t="s">
        <v>1992</v>
      </c>
      <c r="I102" t="s">
        <v>865</v>
      </c>
      <c r="J102" t="s">
        <v>1993</v>
      </c>
      <c r="K102" t="s">
        <v>1994</v>
      </c>
      <c r="L102" t="s">
        <v>1995</v>
      </c>
      <c r="M102" t="s">
        <v>1996</v>
      </c>
      <c r="N102" t="s">
        <v>1997</v>
      </c>
      <c r="O102" t="s">
        <v>1998</v>
      </c>
    </row>
    <row r="103" spans="1:15">
      <c r="A103" t="s">
        <v>442</v>
      </c>
      <c r="B103" t="s">
        <v>1999</v>
      </c>
      <c r="C103" t="s">
        <v>2000</v>
      </c>
      <c r="D103" t="s">
        <v>2001</v>
      </c>
      <c r="E103" t="s">
        <v>2002</v>
      </c>
      <c r="F103" t="s">
        <v>2003</v>
      </c>
      <c r="G103" t="s">
        <v>2004</v>
      </c>
      <c r="H103" t="s">
        <v>2005</v>
      </c>
      <c r="I103" t="s">
        <v>2006</v>
      </c>
      <c r="J103" t="s">
        <v>2007</v>
      </c>
      <c r="K103" t="s">
        <v>2008</v>
      </c>
      <c r="L103" t="s">
        <v>2009</v>
      </c>
      <c r="M103" t="s">
        <v>2010</v>
      </c>
      <c r="N103" t="s">
        <v>2011</v>
      </c>
      <c r="O103" t="s">
        <v>2011</v>
      </c>
    </row>
    <row r="104" spans="1:15">
      <c r="A104" t="s">
        <v>395</v>
      </c>
      <c r="B104" t="s">
        <v>2012</v>
      </c>
      <c r="C104" t="s">
        <v>2013</v>
      </c>
      <c r="D104" t="s">
        <v>2014</v>
      </c>
      <c r="E104" t="s">
        <v>442</v>
      </c>
      <c r="F104" t="s">
        <v>2015</v>
      </c>
      <c r="G104" t="s">
        <v>2016</v>
      </c>
      <c r="H104" t="s">
        <v>2017</v>
      </c>
      <c r="I104" t="s">
        <v>2018</v>
      </c>
      <c r="J104" t="s">
        <v>2019</v>
      </c>
      <c r="K104" t="s">
        <v>2020</v>
      </c>
      <c r="L104" t="s">
        <v>2021</v>
      </c>
      <c r="M104" t="s">
        <v>2022</v>
      </c>
      <c r="N104" t="s">
        <v>2023</v>
      </c>
      <c r="O104" t="s">
        <v>2024</v>
      </c>
    </row>
    <row r="105" spans="1:15">
      <c r="A105" t="s">
        <v>424</v>
      </c>
      <c r="B105" t="s">
        <v>2025</v>
      </c>
      <c r="C105" t="s">
        <v>2026</v>
      </c>
      <c r="D105" t="s">
        <v>395</v>
      </c>
      <c r="E105" t="s">
        <v>2027</v>
      </c>
      <c r="F105" t="s">
        <v>2028</v>
      </c>
      <c r="G105" t="s">
        <v>2029</v>
      </c>
      <c r="H105" t="s">
        <v>2030</v>
      </c>
      <c r="I105" t="s">
        <v>2031</v>
      </c>
      <c r="J105" t="s">
        <v>2032</v>
      </c>
      <c r="K105" t="s">
        <v>2033</v>
      </c>
      <c r="L105" t="s">
        <v>2034</v>
      </c>
      <c r="M105" t="s">
        <v>2035</v>
      </c>
      <c r="N105" t="s">
        <v>2036</v>
      </c>
      <c r="O105" t="s">
        <v>2037</v>
      </c>
    </row>
    <row r="106" spans="1:15">
      <c r="A106" t="s">
        <v>13</v>
      </c>
      <c r="B106" t="s">
        <v>2038</v>
      </c>
      <c r="C106" t="s">
        <v>2039</v>
      </c>
      <c r="D106" t="s">
        <v>2040</v>
      </c>
      <c r="E106" t="s">
        <v>2041</v>
      </c>
      <c r="F106" t="s">
        <v>2042</v>
      </c>
      <c r="G106" t="s">
        <v>2043</v>
      </c>
      <c r="H106" t="s">
        <v>2044</v>
      </c>
      <c r="I106" t="s">
        <v>2045</v>
      </c>
      <c r="J106" t="s">
        <v>2046</v>
      </c>
      <c r="K106" t="s">
        <v>2047</v>
      </c>
      <c r="L106" t="s">
        <v>2048</v>
      </c>
      <c r="M106" t="s">
        <v>2049</v>
      </c>
      <c r="N106" t="s">
        <v>2050</v>
      </c>
      <c r="O106" t="s">
        <v>2051</v>
      </c>
    </row>
    <row r="107" spans="1:15">
      <c r="A107" t="s">
        <v>8</v>
      </c>
      <c r="B107" t="s">
        <v>832</v>
      </c>
      <c r="C107" t="s">
        <v>860</v>
      </c>
      <c r="D107" t="s">
        <v>13</v>
      </c>
      <c r="E107" t="s">
        <v>13</v>
      </c>
      <c r="F107" t="s">
        <v>13</v>
      </c>
      <c r="G107" t="s">
        <v>2052</v>
      </c>
      <c r="H107" t="s">
        <v>832</v>
      </c>
      <c r="I107" t="s">
        <v>860</v>
      </c>
      <c r="J107" t="s">
        <v>2053</v>
      </c>
      <c r="K107" t="s">
        <v>2054</v>
      </c>
      <c r="L107" t="s">
        <v>860</v>
      </c>
      <c r="M107" t="s">
        <v>2055</v>
      </c>
      <c r="N107" t="s">
        <v>2056</v>
      </c>
      <c r="O107" t="s">
        <v>2057</v>
      </c>
    </row>
    <row r="108" spans="1:15">
      <c r="A108" t="s">
        <v>2068</v>
      </c>
      <c r="B108" t="s">
        <v>840</v>
      </c>
      <c r="C108" t="s">
        <v>2058</v>
      </c>
      <c r="D108" t="s">
        <v>882</v>
      </c>
      <c r="E108" t="s">
        <v>854</v>
      </c>
      <c r="F108" t="s">
        <v>2059</v>
      </c>
      <c r="G108" t="s">
        <v>2060</v>
      </c>
      <c r="H108" t="s">
        <v>2061</v>
      </c>
      <c r="I108" t="s">
        <v>867</v>
      </c>
      <c r="J108" t="s">
        <v>2062</v>
      </c>
      <c r="K108" t="s">
        <v>2063</v>
      </c>
      <c r="L108" t="s">
        <v>2064</v>
      </c>
      <c r="M108" t="s">
        <v>2065</v>
      </c>
      <c r="N108" t="s">
        <v>2066</v>
      </c>
      <c r="O108" t="s">
        <v>2067</v>
      </c>
    </row>
    <row r="109" spans="1:15">
      <c r="A109" t="s">
        <v>549</v>
      </c>
      <c r="B109" t="s">
        <v>840</v>
      </c>
      <c r="C109" t="s">
        <v>2058</v>
      </c>
      <c r="D109" t="s">
        <v>882</v>
      </c>
      <c r="E109" t="s">
        <v>854</v>
      </c>
      <c r="F109" t="s">
        <v>2059</v>
      </c>
      <c r="G109" t="s">
        <v>2060</v>
      </c>
      <c r="H109" t="s">
        <v>2061</v>
      </c>
      <c r="I109" t="s">
        <v>867</v>
      </c>
      <c r="J109" t="s">
        <v>2062</v>
      </c>
      <c r="K109" t="s">
        <v>2063</v>
      </c>
      <c r="L109" t="s">
        <v>2064</v>
      </c>
      <c r="M109" t="s">
        <v>2065</v>
      </c>
      <c r="N109" t="s">
        <v>2066</v>
      </c>
      <c r="O109" t="s">
        <v>2067</v>
      </c>
    </row>
    <row r="110" spans="1:15">
      <c r="A110" t="s">
        <v>9</v>
      </c>
      <c r="B110" t="s">
        <v>2069</v>
      </c>
      <c r="C110" t="s">
        <v>2070</v>
      </c>
      <c r="D110" t="s">
        <v>549</v>
      </c>
      <c r="E110" t="s">
        <v>2071</v>
      </c>
      <c r="F110" t="s">
        <v>2072</v>
      </c>
      <c r="G110" t="s">
        <v>2073</v>
      </c>
      <c r="H110" t="s">
        <v>2074</v>
      </c>
      <c r="I110" t="s">
        <v>549</v>
      </c>
      <c r="J110" t="s">
        <v>2075</v>
      </c>
      <c r="K110" t="s">
        <v>2076</v>
      </c>
      <c r="L110" t="s">
        <v>2077</v>
      </c>
      <c r="M110" t="s">
        <v>2078</v>
      </c>
      <c r="N110" t="s">
        <v>2079</v>
      </c>
      <c r="O110" t="s">
        <v>2080</v>
      </c>
    </row>
    <row r="111" spans="1:15">
      <c r="A111" t="s">
        <v>552</v>
      </c>
      <c r="B111" t="s">
        <v>2081</v>
      </c>
      <c r="C111" t="s">
        <v>2082</v>
      </c>
      <c r="D111" t="s">
        <v>2083</v>
      </c>
      <c r="E111" t="s">
        <v>2084</v>
      </c>
      <c r="F111" t="s">
        <v>2085</v>
      </c>
      <c r="G111" t="s">
        <v>2086</v>
      </c>
      <c r="H111" t="s">
        <v>2087</v>
      </c>
      <c r="I111" t="s">
        <v>2088</v>
      </c>
      <c r="J111" t="s">
        <v>2088</v>
      </c>
      <c r="K111" t="s">
        <v>2088</v>
      </c>
      <c r="L111" t="s">
        <v>2082</v>
      </c>
      <c r="M111" t="s">
        <v>2089</v>
      </c>
      <c r="N111" t="s">
        <v>2090</v>
      </c>
      <c r="O111" t="s">
        <v>2091</v>
      </c>
    </row>
    <row r="112" spans="1:15">
      <c r="A112" t="s">
        <v>313</v>
      </c>
      <c r="B112" t="s">
        <v>2092</v>
      </c>
      <c r="C112" t="s">
        <v>2093</v>
      </c>
      <c r="D112" t="s">
        <v>2094</v>
      </c>
      <c r="E112" t="s">
        <v>2095</v>
      </c>
      <c r="F112" t="s">
        <v>2096</v>
      </c>
      <c r="G112" t="s">
        <v>2097</v>
      </c>
      <c r="H112" t="s">
        <v>2098</v>
      </c>
      <c r="I112" t="s">
        <v>2093</v>
      </c>
      <c r="J112" t="s">
        <v>2099</v>
      </c>
      <c r="K112" t="s">
        <v>2099</v>
      </c>
      <c r="L112" t="s">
        <v>2093</v>
      </c>
      <c r="M112" t="s">
        <v>2100</v>
      </c>
      <c r="N112" t="s">
        <v>2101</v>
      </c>
      <c r="O112" t="s">
        <v>2102</v>
      </c>
    </row>
    <row r="113" spans="1:15">
      <c r="A113" t="s">
        <v>434</v>
      </c>
      <c r="B113" t="s">
        <v>2103</v>
      </c>
      <c r="C113" t="s">
        <v>313</v>
      </c>
      <c r="D113" t="s">
        <v>313</v>
      </c>
      <c r="E113" t="s">
        <v>313</v>
      </c>
      <c r="F113" t="s">
        <v>313</v>
      </c>
      <c r="G113" t="s">
        <v>2104</v>
      </c>
      <c r="H113" t="s">
        <v>2105</v>
      </c>
      <c r="I113" t="s">
        <v>313</v>
      </c>
      <c r="J113" t="s">
        <v>2106</v>
      </c>
      <c r="K113" t="s">
        <v>2107</v>
      </c>
      <c r="L113" t="s">
        <v>2108</v>
      </c>
      <c r="M113" t="s">
        <v>2109</v>
      </c>
      <c r="N113" t="s">
        <v>2110</v>
      </c>
      <c r="O113" t="s">
        <v>2111</v>
      </c>
    </row>
    <row r="114" spans="1:15">
      <c r="A114" t="s">
        <v>452</v>
      </c>
      <c r="B114" t="s">
        <v>2112</v>
      </c>
      <c r="C114" t="s">
        <v>2113</v>
      </c>
      <c r="D114" t="s">
        <v>2114</v>
      </c>
      <c r="E114" t="s">
        <v>434</v>
      </c>
      <c r="F114" t="s">
        <v>2115</v>
      </c>
      <c r="G114" t="s">
        <v>2116</v>
      </c>
      <c r="H114" t="s">
        <v>2117</v>
      </c>
      <c r="I114" t="s">
        <v>2118</v>
      </c>
      <c r="J114" t="s">
        <v>2119</v>
      </c>
      <c r="K114" t="s">
        <v>2120</v>
      </c>
      <c r="L114" t="s">
        <v>2121</v>
      </c>
      <c r="M114" t="s">
        <v>2122</v>
      </c>
      <c r="N114" t="s">
        <v>2123</v>
      </c>
      <c r="O114" t="s">
        <v>2124</v>
      </c>
    </row>
    <row r="115" spans="1:15">
      <c r="A115" t="s">
        <v>157</v>
      </c>
      <c r="B115" t="s">
        <v>2125</v>
      </c>
      <c r="C115" t="s">
        <v>2126</v>
      </c>
      <c r="D115" t="s">
        <v>2127</v>
      </c>
      <c r="E115" t="s">
        <v>2128</v>
      </c>
      <c r="F115" t="s">
        <v>2129</v>
      </c>
      <c r="G115" t="s">
        <v>2130</v>
      </c>
      <c r="H115" t="s">
        <v>2131</v>
      </c>
      <c r="I115" t="s">
        <v>2132</v>
      </c>
      <c r="J115" t="s">
        <v>2133</v>
      </c>
      <c r="K115" t="s">
        <v>2134</v>
      </c>
      <c r="L115" t="s">
        <v>2135</v>
      </c>
      <c r="M115" t="s">
        <v>2136</v>
      </c>
      <c r="N115" t="s">
        <v>2137</v>
      </c>
      <c r="O115" t="s">
        <v>2138</v>
      </c>
    </row>
    <row r="116" spans="1:15">
      <c r="A116" t="s">
        <v>171</v>
      </c>
      <c r="B116" t="s">
        <v>2139</v>
      </c>
      <c r="C116" t="s">
        <v>2140</v>
      </c>
      <c r="D116" t="s">
        <v>2141</v>
      </c>
      <c r="E116" t="s">
        <v>2142</v>
      </c>
      <c r="F116" t="s">
        <v>2143</v>
      </c>
      <c r="G116" t="s">
        <v>2144</v>
      </c>
      <c r="H116" t="s">
        <v>2145</v>
      </c>
      <c r="I116" t="s">
        <v>2146</v>
      </c>
      <c r="J116" t="s">
        <v>2147</v>
      </c>
      <c r="K116" t="s">
        <v>2148</v>
      </c>
      <c r="L116" t="s">
        <v>2149</v>
      </c>
      <c r="M116" t="s">
        <v>2150</v>
      </c>
      <c r="N116" t="s">
        <v>2151</v>
      </c>
      <c r="O116" t="s">
        <v>2152</v>
      </c>
    </row>
    <row r="117" spans="1:15">
      <c r="A117" t="s">
        <v>173</v>
      </c>
      <c r="B117" t="s">
        <v>2153</v>
      </c>
      <c r="C117" t="s">
        <v>171</v>
      </c>
      <c r="D117" t="s">
        <v>171</v>
      </c>
      <c r="E117" t="s">
        <v>171</v>
      </c>
      <c r="F117" t="s">
        <v>171</v>
      </c>
      <c r="G117" t="s">
        <v>2154</v>
      </c>
      <c r="H117" t="s">
        <v>2155</v>
      </c>
      <c r="I117" t="s">
        <v>171</v>
      </c>
      <c r="J117" t="s">
        <v>2156</v>
      </c>
      <c r="K117" t="s">
        <v>2157</v>
      </c>
      <c r="L117" t="s">
        <v>171</v>
      </c>
      <c r="M117" t="s">
        <v>2158</v>
      </c>
      <c r="N117" t="s">
        <v>2159</v>
      </c>
      <c r="O117" t="s">
        <v>2160</v>
      </c>
    </row>
    <row r="118" spans="1:15">
      <c r="A118" t="s">
        <v>444</v>
      </c>
      <c r="B118" t="s">
        <v>2161</v>
      </c>
      <c r="C118" t="s">
        <v>2162</v>
      </c>
      <c r="D118" t="s">
        <v>2163</v>
      </c>
      <c r="E118" t="s">
        <v>2163</v>
      </c>
      <c r="F118" t="s">
        <v>2164</v>
      </c>
      <c r="G118" t="s">
        <v>2165</v>
      </c>
      <c r="H118" t="s">
        <v>2166</v>
      </c>
      <c r="I118" t="s">
        <v>2167</v>
      </c>
      <c r="J118" t="s">
        <v>2168</v>
      </c>
      <c r="K118" t="s">
        <v>2169</v>
      </c>
      <c r="L118" t="s">
        <v>2170</v>
      </c>
      <c r="M118" t="s">
        <v>2171</v>
      </c>
      <c r="N118" t="s">
        <v>2172</v>
      </c>
      <c r="O118" t="s">
        <v>2173</v>
      </c>
    </row>
    <row r="119" spans="1:15">
      <c r="A119" t="s">
        <v>532</v>
      </c>
      <c r="B119" t="s">
        <v>2174</v>
      </c>
      <c r="C119" t="s">
        <v>2175</v>
      </c>
      <c r="D119" t="s">
        <v>2176</v>
      </c>
      <c r="E119" t="s">
        <v>2177</v>
      </c>
      <c r="F119" t="s">
        <v>2178</v>
      </c>
      <c r="G119" t="s">
        <v>2179</v>
      </c>
      <c r="H119" t="s">
        <v>2180</v>
      </c>
      <c r="I119" t="s">
        <v>2181</v>
      </c>
      <c r="J119" t="s">
        <v>2182</v>
      </c>
      <c r="K119" t="s">
        <v>2183</v>
      </c>
      <c r="L119" t="s">
        <v>2184</v>
      </c>
      <c r="M119" t="s">
        <v>2185</v>
      </c>
      <c r="N119" t="s">
        <v>2186</v>
      </c>
      <c r="O119" t="s">
        <v>2187</v>
      </c>
    </row>
    <row r="120" spans="1:15">
      <c r="A120" t="s">
        <v>397</v>
      </c>
      <c r="B120" t="s">
        <v>2188</v>
      </c>
      <c r="C120" t="s">
        <v>2189</v>
      </c>
      <c r="D120" t="s">
        <v>2190</v>
      </c>
      <c r="E120" t="s">
        <v>2191</v>
      </c>
      <c r="F120" t="s">
        <v>2192</v>
      </c>
      <c r="G120" t="s">
        <v>2193</v>
      </c>
      <c r="H120" t="s">
        <v>2194</v>
      </c>
      <c r="I120" t="s">
        <v>2195</v>
      </c>
      <c r="J120" t="s">
        <v>2196</v>
      </c>
      <c r="K120" t="s">
        <v>2197</v>
      </c>
      <c r="L120" t="s">
        <v>2198</v>
      </c>
      <c r="M120" t="s">
        <v>2199</v>
      </c>
      <c r="N120" t="s">
        <v>2200</v>
      </c>
      <c r="O120" t="s">
        <v>2201</v>
      </c>
    </row>
    <row r="121" spans="1:15">
      <c r="A121" t="s">
        <v>426</v>
      </c>
      <c r="B121" t="s">
        <v>2202</v>
      </c>
      <c r="C121" t="s">
        <v>2203</v>
      </c>
      <c r="D121" t="s">
        <v>397</v>
      </c>
      <c r="E121" t="s">
        <v>397</v>
      </c>
      <c r="F121" t="s">
        <v>2204</v>
      </c>
      <c r="G121" t="s">
        <v>2205</v>
      </c>
      <c r="H121" t="s">
        <v>2206</v>
      </c>
      <c r="I121" t="s">
        <v>2207</v>
      </c>
      <c r="J121" t="s">
        <v>397</v>
      </c>
      <c r="K121" t="s">
        <v>2208</v>
      </c>
      <c r="L121" t="s">
        <v>2209</v>
      </c>
      <c r="M121" t="s">
        <v>2210</v>
      </c>
      <c r="N121" t="s">
        <v>2211</v>
      </c>
      <c r="O121" t="s">
        <v>2212</v>
      </c>
    </row>
    <row r="122" spans="1:15">
      <c r="A122" t="s">
        <v>292</v>
      </c>
      <c r="B122" t="s">
        <v>2213</v>
      </c>
      <c r="C122" t="s">
        <v>2214</v>
      </c>
      <c r="D122" t="s">
        <v>2215</v>
      </c>
      <c r="E122" t="s">
        <v>2216</v>
      </c>
      <c r="F122" t="s">
        <v>2217</v>
      </c>
      <c r="G122" t="s">
        <v>2218</v>
      </c>
      <c r="H122" t="s">
        <v>2219</v>
      </c>
      <c r="I122" t="s">
        <v>2220</v>
      </c>
      <c r="J122" t="s">
        <v>2221</v>
      </c>
      <c r="K122" t="s">
        <v>2222</v>
      </c>
      <c r="L122" t="s">
        <v>2223</v>
      </c>
      <c r="M122" t="s">
        <v>2224</v>
      </c>
      <c r="N122" t="s">
        <v>2225</v>
      </c>
      <c r="O122" t="s">
        <v>2226</v>
      </c>
    </row>
    <row r="123" spans="1:15">
      <c r="A123" t="s">
        <v>162</v>
      </c>
      <c r="B123" t="s">
        <v>2227</v>
      </c>
      <c r="C123" t="s">
        <v>2228</v>
      </c>
      <c r="D123" t="s">
        <v>2229</v>
      </c>
      <c r="E123" t="s">
        <v>2230</v>
      </c>
      <c r="F123" t="s">
        <v>2231</v>
      </c>
      <c r="G123" t="s">
        <v>2232</v>
      </c>
      <c r="H123" t="s">
        <v>2233</v>
      </c>
      <c r="I123" t="s">
        <v>2230</v>
      </c>
      <c r="J123" t="s">
        <v>292</v>
      </c>
      <c r="K123" t="s">
        <v>2234</v>
      </c>
      <c r="L123" t="s">
        <v>2235</v>
      </c>
      <c r="M123" t="s">
        <v>292</v>
      </c>
      <c r="N123" t="s">
        <v>2236</v>
      </c>
      <c r="O123" t="s">
        <v>2237</v>
      </c>
    </row>
    <row r="124" spans="1:15">
      <c r="A124" t="s">
        <v>167</v>
      </c>
      <c r="B124" t="s">
        <v>2238</v>
      </c>
      <c r="C124" t="s">
        <v>162</v>
      </c>
      <c r="D124" t="s">
        <v>162</v>
      </c>
      <c r="E124" t="s">
        <v>162</v>
      </c>
      <c r="F124" t="s">
        <v>162</v>
      </c>
      <c r="G124" t="s">
        <v>2239</v>
      </c>
      <c r="H124" t="s">
        <v>162</v>
      </c>
      <c r="I124" t="s">
        <v>2240</v>
      </c>
      <c r="J124" t="s">
        <v>2240</v>
      </c>
      <c r="K124" t="s">
        <v>162</v>
      </c>
      <c r="L124" t="s">
        <v>2240</v>
      </c>
      <c r="M124" t="s">
        <v>2241</v>
      </c>
      <c r="N124" t="s">
        <v>2242</v>
      </c>
      <c r="O124" t="s">
        <v>162</v>
      </c>
    </row>
    <row r="125" spans="1:15">
      <c r="A125" t="s">
        <v>536</v>
      </c>
      <c r="B125" t="s">
        <v>2243</v>
      </c>
      <c r="C125" t="s">
        <v>167</v>
      </c>
      <c r="D125" t="s">
        <v>167</v>
      </c>
      <c r="E125" t="s">
        <v>167</v>
      </c>
      <c r="F125" t="s">
        <v>167</v>
      </c>
      <c r="G125" t="s">
        <v>2244</v>
      </c>
      <c r="H125" t="s">
        <v>167</v>
      </c>
      <c r="I125" t="s">
        <v>2245</v>
      </c>
      <c r="J125" t="s">
        <v>2245</v>
      </c>
      <c r="K125" t="s">
        <v>2246</v>
      </c>
      <c r="L125" t="s">
        <v>2247</v>
      </c>
      <c r="M125" t="s">
        <v>2248</v>
      </c>
      <c r="N125" t="s">
        <v>2249</v>
      </c>
      <c r="O125" t="s">
        <v>167</v>
      </c>
    </row>
    <row r="126" spans="1:15">
      <c r="A126" t="s">
        <v>619</v>
      </c>
      <c r="B126" t="s">
        <v>2250</v>
      </c>
      <c r="C126" t="s">
        <v>2251</v>
      </c>
      <c r="D126" t="s">
        <v>2252</v>
      </c>
      <c r="E126" t="s">
        <v>2253</v>
      </c>
      <c r="F126" t="s">
        <v>2254</v>
      </c>
      <c r="G126" t="s">
        <v>2255</v>
      </c>
      <c r="H126" t="s">
        <v>2256</v>
      </c>
      <c r="I126" t="s">
        <v>2257</v>
      </c>
      <c r="J126" t="s">
        <v>2258</v>
      </c>
      <c r="K126" t="s">
        <v>2259</v>
      </c>
      <c r="L126" t="s">
        <v>2260</v>
      </c>
      <c r="M126" t="s">
        <v>2261</v>
      </c>
      <c r="N126" t="s">
        <v>2262</v>
      </c>
      <c r="O126" t="s">
        <v>2263</v>
      </c>
    </row>
    <row r="127" spans="1:15">
      <c r="A127" t="s">
        <v>616</v>
      </c>
      <c r="B127" t="s">
        <v>2264</v>
      </c>
      <c r="C127" t="s">
        <v>2265</v>
      </c>
      <c r="D127" t="s">
        <v>2266</v>
      </c>
      <c r="E127" t="s">
        <v>2267</v>
      </c>
      <c r="F127" t="s">
        <v>2268</v>
      </c>
      <c r="G127" t="s">
        <v>2269</v>
      </c>
      <c r="H127" t="s">
        <v>2270</v>
      </c>
      <c r="I127" t="s">
        <v>2271</v>
      </c>
      <c r="J127" t="s">
        <v>2272</v>
      </c>
      <c r="K127" t="s">
        <v>2273</v>
      </c>
      <c r="L127" t="s">
        <v>2274</v>
      </c>
      <c r="M127" t="s">
        <v>2275</v>
      </c>
      <c r="N127" t="s">
        <v>2276</v>
      </c>
      <c r="O127" t="s">
        <v>2277</v>
      </c>
    </row>
    <row r="128" spans="1:15">
      <c r="A128" t="s">
        <v>572</v>
      </c>
      <c r="B128" t="s">
        <v>2278</v>
      </c>
      <c r="C128" t="s">
        <v>2279</v>
      </c>
      <c r="D128" t="s">
        <v>2280</v>
      </c>
      <c r="E128" t="s">
        <v>2281</v>
      </c>
      <c r="F128" t="s">
        <v>2282</v>
      </c>
      <c r="G128" t="s">
        <v>2283</v>
      </c>
      <c r="H128" t="s">
        <v>2278</v>
      </c>
      <c r="I128" t="s">
        <v>2284</v>
      </c>
      <c r="J128" t="s">
        <v>2285</v>
      </c>
      <c r="K128" t="s">
        <v>2286</v>
      </c>
      <c r="L128" t="s">
        <v>2287</v>
      </c>
      <c r="M128" t="s">
        <v>2288</v>
      </c>
      <c r="N128" t="s">
        <v>2289</v>
      </c>
      <c r="O128" t="s">
        <v>2290</v>
      </c>
    </row>
    <row r="129" spans="1:15">
      <c r="A129" t="s">
        <v>645</v>
      </c>
      <c r="B129" t="s">
        <v>2291</v>
      </c>
      <c r="C129" t="s">
        <v>2292</v>
      </c>
      <c r="D129" t="s">
        <v>2293</v>
      </c>
      <c r="E129" t="s">
        <v>2294</v>
      </c>
      <c r="F129" t="s">
        <v>2295</v>
      </c>
      <c r="G129" t="s">
        <v>2296</v>
      </c>
      <c r="H129" t="s">
        <v>2297</v>
      </c>
      <c r="I129" t="s">
        <v>572</v>
      </c>
      <c r="J129" t="s">
        <v>2298</v>
      </c>
      <c r="K129" t="s">
        <v>572</v>
      </c>
      <c r="L129" t="s">
        <v>572</v>
      </c>
      <c r="M129" t="s">
        <v>2299</v>
      </c>
      <c r="N129" t="s">
        <v>2300</v>
      </c>
      <c r="O129" t="s">
        <v>2300</v>
      </c>
    </row>
    <row r="130" spans="1:15">
      <c r="A130" t="s">
        <v>459</v>
      </c>
      <c r="B130" t="s">
        <v>828</v>
      </c>
      <c r="C130" t="s">
        <v>2301</v>
      </c>
      <c r="D130" t="s">
        <v>872</v>
      </c>
      <c r="E130" t="s">
        <v>845</v>
      </c>
      <c r="F130" t="s">
        <v>2302</v>
      </c>
      <c r="G130" t="s">
        <v>2303</v>
      </c>
      <c r="H130" t="s">
        <v>2304</v>
      </c>
      <c r="I130" t="s">
        <v>857</v>
      </c>
      <c r="J130" t="s">
        <v>2305</v>
      </c>
      <c r="K130" t="s">
        <v>2306</v>
      </c>
      <c r="L130" t="s">
        <v>2307</v>
      </c>
      <c r="M130" t="s">
        <v>2308</v>
      </c>
      <c r="N130" t="s">
        <v>2309</v>
      </c>
      <c r="O130" t="s">
        <v>2310</v>
      </c>
    </row>
    <row r="131" spans="1:15">
      <c r="A131" t="s">
        <v>259</v>
      </c>
      <c r="B131" t="s">
        <v>2311</v>
      </c>
      <c r="C131" t="s">
        <v>2312</v>
      </c>
      <c r="D131" t="s">
        <v>2313</v>
      </c>
      <c r="E131" t="s">
        <v>2314</v>
      </c>
      <c r="F131" t="s">
        <v>2315</v>
      </c>
      <c r="G131" t="s">
        <v>2316</v>
      </c>
      <c r="H131" t="s">
        <v>2317</v>
      </c>
      <c r="I131" t="s">
        <v>2318</v>
      </c>
      <c r="J131" t="s">
        <v>2319</v>
      </c>
      <c r="K131" t="s">
        <v>2320</v>
      </c>
      <c r="L131" t="s">
        <v>2321</v>
      </c>
      <c r="M131" t="s">
        <v>2322</v>
      </c>
      <c r="N131" t="s">
        <v>2323</v>
      </c>
      <c r="O131" t="s">
        <v>2324</v>
      </c>
    </row>
    <row r="132" spans="1:15">
      <c r="A132" t="s">
        <v>175</v>
      </c>
      <c r="B132" t="s">
        <v>2325</v>
      </c>
      <c r="C132" t="s">
        <v>2326</v>
      </c>
      <c r="D132" t="s">
        <v>2327</v>
      </c>
      <c r="E132" t="s">
        <v>2328</v>
      </c>
      <c r="F132" t="s">
        <v>2329</v>
      </c>
      <c r="G132" t="s">
        <v>2330</v>
      </c>
      <c r="H132" t="s">
        <v>2331</v>
      </c>
      <c r="I132" t="s">
        <v>2332</v>
      </c>
      <c r="J132" t="s">
        <v>2333</v>
      </c>
      <c r="K132" t="s">
        <v>2334</v>
      </c>
      <c r="L132" t="s">
        <v>2335</v>
      </c>
      <c r="M132" t="s">
        <v>2336</v>
      </c>
      <c r="N132" t="s">
        <v>2337</v>
      </c>
      <c r="O132" t="s">
        <v>2338</v>
      </c>
    </row>
    <row r="133" spans="1:15">
      <c r="A133" t="s">
        <v>136</v>
      </c>
      <c r="B133" t="s">
        <v>2339</v>
      </c>
      <c r="C133" t="s">
        <v>2340</v>
      </c>
      <c r="D133" t="s">
        <v>2340</v>
      </c>
      <c r="E133" t="s">
        <v>2340</v>
      </c>
      <c r="F133" t="s">
        <v>2341</v>
      </c>
      <c r="G133" t="s">
        <v>2339</v>
      </c>
      <c r="H133" t="s">
        <v>2339</v>
      </c>
      <c r="I133" t="s">
        <v>2340</v>
      </c>
      <c r="J133" t="s">
        <v>2342</v>
      </c>
      <c r="K133" t="s">
        <v>175</v>
      </c>
      <c r="L133" t="s">
        <v>2340</v>
      </c>
      <c r="M133" t="s">
        <v>2343</v>
      </c>
      <c r="N133" t="s">
        <v>2344</v>
      </c>
      <c r="O133" t="s">
        <v>2345</v>
      </c>
    </row>
    <row r="134" spans="1:15">
      <c r="A134" t="s">
        <v>479</v>
      </c>
      <c r="B134" t="s">
        <v>2346</v>
      </c>
      <c r="C134" t="s">
        <v>136</v>
      </c>
      <c r="D134" t="s">
        <v>136</v>
      </c>
      <c r="E134" t="s">
        <v>136</v>
      </c>
      <c r="F134" t="s">
        <v>136</v>
      </c>
      <c r="G134" t="s">
        <v>136</v>
      </c>
      <c r="H134" t="s">
        <v>136</v>
      </c>
      <c r="I134" t="s">
        <v>136</v>
      </c>
      <c r="J134" t="s">
        <v>2347</v>
      </c>
      <c r="K134" t="s">
        <v>136</v>
      </c>
      <c r="L134" t="s">
        <v>2348</v>
      </c>
      <c r="M134" t="s">
        <v>2349</v>
      </c>
      <c r="N134" t="s">
        <v>2350</v>
      </c>
      <c r="O134" t="s">
        <v>2351</v>
      </c>
    </row>
    <row r="135" spans="1:15">
      <c r="A135" t="s">
        <v>473</v>
      </c>
      <c r="B135" t="s">
        <v>2352</v>
      </c>
      <c r="C135" t="s">
        <v>479</v>
      </c>
      <c r="D135" t="s">
        <v>479</v>
      </c>
      <c r="E135" t="s">
        <v>479</v>
      </c>
      <c r="F135" t="s">
        <v>479</v>
      </c>
      <c r="G135" t="s">
        <v>479</v>
      </c>
      <c r="H135" t="s">
        <v>479</v>
      </c>
      <c r="I135" t="s">
        <v>2353</v>
      </c>
      <c r="J135" t="s">
        <v>2354</v>
      </c>
      <c r="K135" t="s">
        <v>479</v>
      </c>
      <c r="L135" t="s">
        <v>2355</v>
      </c>
      <c r="M135" t="s">
        <v>2356</v>
      </c>
      <c r="N135" t="s">
        <v>2357</v>
      </c>
      <c r="O135" t="s">
        <v>2358</v>
      </c>
    </row>
    <row r="136" spans="1:15">
      <c r="A136" t="s">
        <v>121</v>
      </c>
      <c r="B136" t="s">
        <v>2359</v>
      </c>
      <c r="C136" t="s">
        <v>2360</v>
      </c>
      <c r="D136" t="s">
        <v>2361</v>
      </c>
      <c r="E136" t="s">
        <v>473</v>
      </c>
      <c r="F136" t="s">
        <v>2362</v>
      </c>
      <c r="G136" t="s">
        <v>2363</v>
      </c>
      <c r="H136" t="s">
        <v>2364</v>
      </c>
      <c r="I136" t="s">
        <v>2365</v>
      </c>
      <c r="J136" t="s">
        <v>2366</v>
      </c>
      <c r="K136" t="s">
        <v>2367</v>
      </c>
      <c r="L136" t="s">
        <v>2368</v>
      </c>
      <c r="M136" t="s">
        <v>2369</v>
      </c>
      <c r="N136" t="s">
        <v>2370</v>
      </c>
      <c r="O136" t="s">
        <v>2371</v>
      </c>
    </row>
    <row r="137" spans="1:15">
      <c r="A137" t="s">
        <v>777</v>
      </c>
      <c r="B137" t="s">
        <v>2372</v>
      </c>
      <c r="C137" t="s">
        <v>2373</v>
      </c>
      <c r="D137" t="s">
        <v>2374</v>
      </c>
      <c r="E137" t="s">
        <v>121</v>
      </c>
      <c r="F137" t="s">
        <v>121</v>
      </c>
      <c r="G137" t="s">
        <v>121</v>
      </c>
      <c r="H137" t="s">
        <v>2375</v>
      </c>
      <c r="I137" t="s">
        <v>2376</v>
      </c>
      <c r="J137" t="s">
        <v>2373</v>
      </c>
      <c r="K137" t="s">
        <v>121</v>
      </c>
      <c r="L137" t="s">
        <v>2377</v>
      </c>
      <c r="M137" t="s">
        <v>2378</v>
      </c>
      <c r="N137" t="s">
        <v>2379</v>
      </c>
      <c r="O137" t="s">
        <v>2380</v>
      </c>
    </row>
    <row r="138" spans="1:15">
      <c r="A138" t="s">
        <v>417</v>
      </c>
      <c r="B138" t="s">
        <v>2381</v>
      </c>
      <c r="C138" t="s">
        <v>777</v>
      </c>
      <c r="D138" t="s">
        <v>777</v>
      </c>
      <c r="E138" t="s">
        <v>777</v>
      </c>
      <c r="F138" t="s">
        <v>777</v>
      </c>
      <c r="G138" t="s">
        <v>2381</v>
      </c>
      <c r="H138" t="s">
        <v>777</v>
      </c>
      <c r="I138" t="s">
        <v>777</v>
      </c>
      <c r="J138" t="s">
        <v>2382</v>
      </c>
      <c r="K138" t="s">
        <v>777</v>
      </c>
      <c r="L138" t="s">
        <v>2382</v>
      </c>
      <c r="M138" t="s">
        <v>777</v>
      </c>
      <c r="N138" t="s">
        <v>2383</v>
      </c>
      <c r="O138" t="s">
        <v>777</v>
      </c>
    </row>
    <row r="139" spans="1:15">
      <c r="A139" t="s">
        <v>265</v>
      </c>
      <c r="B139" t="s">
        <v>2384</v>
      </c>
      <c r="C139" t="s">
        <v>2385</v>
      </c>
      <c r="D139" t="s">
        <v>2386</v>
      </c>
      <c r="E139" t="s">
        <v>2387</v>
      </c>
      <c r="F139" t="s">
        <v>2388</v>
      </c>
      <c r="G139" t="s">
        <v>2389</v>
      </c>
      <c r="H139" t="s">
        <v>2390</v>
      </c>
      <c r="I139" t="s">
        <v>2391</v>
      </c>
      <c r="J139" t="s">
        <v>2392</v>
      </c>
      <c r="K139" t="s">
        <v>2393</v>
      </c>
      <c r="L139" t="s">
        <v>2394</v>
      </c>
      <c r="M139" t="s">
        <v>2395</v>
      </c>
      <c r="N139" t="s">
        <v>2396</v>
      </c>
      <c r="O139" t="s">
        <v>2397</v>
      </c>
    </row>
    <row r="140" spans="1:15">
      <c r="A140" t="s">
        <v>256</v>
      </c>
      <c r="B140" t="s">
        <v>2398</v>
      </c>
      <c r="C140" t="s">
        <v>2399</v>
      </c>
      <c r="D140" t="s">
        <v>2400</v>
      </c>
      <c r="E140" t="s">
        <v>2401</v>
      </c>
      <c r="F140" t="s">
        <v>2402</v>
      </c>
      <c r="G140" t="s">
        <v>2403</v>
      </c>
      <c r="H140" t="s">
        <v>2404</v>
      </c>
      <c r="I140" t="s">
        <v>2405</v>
      </c>
      <c r="J140" t="s">
        <v>2406</v>
      </c>
      <c r="K140" t="s">
        <v>2407</v>
      </c>
      <c r="L140" t="s">
        <v>2408</v>
      </c>
      <c r="M140" t="s">
        <v>2409</v>
      </c>
      <c r="N140" t="s">
        <v>2410</v>
      </c>
      <c r="O140" t="s">
        <v>2411</v>
      </c>
    </row>
    <row r="141" spans="1:15">
      <c r="A141" t="s">
        <v>257</v>
      </c>
      <c r="B141" t="s">
        <v>2412</v>
      </c>
      <c r="C141" t="s">
        <v>2413</v>
      </c>
      <c r="D141" t="s">
        <v>2414</v>
      </c>
      <c r="E141" t="s">
        <v>2415</v>
      </c>
      <c r="F141" t="s">
        <v>2416</v>
      </c>
      <c r="G141" t="s">
        <v>2417</v>
      </c>
      <c r="H141" t="s">
        <v>2418</v>
      </c>
      <c r="I141" t="s">
        <v>2419</v>
      </c>
      <c r="J141" t="s">
        <v>2420</v>
      </c>
      <c r="K141" t="s">
        <v>2421</v>
      </c>
      <c r="L141" t="s">
        <v>2422</v>
      </c>
      <c r="M141" t="s">
        <v>2423</v>
      </c>
      <c r="N141" t="s">
        <v>2424</v>
      </c>
      <c r="O141" t="s">
        <v>2425</v>
      </c>
    </row>
    <row r="142" spans="1:15">
      <c r="A142" t="s">
        <v>643</v>
      </c>
      <c r="B142" t="s">
        <v>2426</v>
      </c>
      <c r="C142" t="s">
        <v>2427</v>
      </c>
      <c r="D142" t="s">
        <v>2428</v>
      </c>
      <c r="E142" t="s">
        <v>2429</v>
      </c>
      <c r="F142" t="s">
        <v>2430</v>
      </c>
      <c r="G142" t="s">
        <v>2426</v>
      </c>
      <c r="H142" t="s">
        <v>2426</v>
      </c>
      <c r="I142" t="s">
        <v>2431</v>
      </c>
      <c r="J142" t="s">
        <v>2432</v>
      </c>
      <c r="K142" t="s">
        <v>2433</v>
      </c>
      <c r="L142" t="s">
        <v>2434</v>
      </c>
      <c r="M142" t="s">
        <v>2435</v>
      </c>
      <c r="N142" t="s">
        <v>2436</v>
      </c>
      <c r="O142" t="s">
        <v>2436</v>
      </c>
    </row>
    <row r="143" spans="1:15">
      <c r="A143" t="s">
        <v>14</v>
      </c>
      <c r="B143" t="s">
        <v>829</v>
      </c>
      <c r="C143" t="s">
        <v>2437</v>
      </c>
      <c r="D143" t="s">
        <v>873</v>
      </c>
      <c r="E143" t="s">
        <v>846</v>
      </c>
      <c r="F143" t="s">
        <v>2438</v>
      </c>
      <c r="G143" t="s">
        <v>2439</v>
      </c>
      <c r="H143" t="s">
        <v>829</v>
      </c>
      <c r="I143" t="s">
        <v>858</v>
      </c>
      <c r="J143" t="s">
        <v>2440</v>
      </c>
      <c r="K143" t="s">
        <v>2441</v>
      </c>
      <c r="L143" t="s">
        <v>2442</v>
      </c>
      <c r="M143" t="s">
        <v>2443</v>
      </c>
      <c r="N143" t="s">
        <v>2444</v>
      </c>
      <c r="O143" t="s">
        <v>2445</v>
      </c>
    </row>
    <row r="144" spans="1:15">
      <c r="A144" t="s">
        <v>15</v>
      </c>
      <c r="B144" t="s">
        <v>835</v>
      </c>
      <c r="C144" t="s">
        <v>2446</v>
      </c>
      <c r="D144" t="s">
        <v>877</v>
      </c>
      <c r="E144" t="s">
        <v>851</v>
      </c>
      <c r="F144" t="s">
        <v>2447</v>
      </c>
      <c r="G144" t="s">
        <v>2448</v>
      </c>
      <c r="H144" t="s">
        <v>2449</v>
      </c>
      <c r="I144" t="s">
        <v>14</v>
      </c>
      <c r="J144" t="s">
        <v>2450</v>
      </c>
      <c r="K144" t="s">
        <v>2451</v>
      </c>
      <c r="L144" t="s">
        <v>14</v>
      </c>
      <c r="M144" t="s">
        <v>2452</v>
      </c>
      <c r="N144" t="s">
        <v>2453</v>
      </c>
      <c r="O144" t="s">
        <v>2453</v>
      </c>
    </row>
    <row r="145" spans="1:15">
      <c r="A145" t="s">
        <v>345</v>
      </c>
      <c r="B145" t="s">
        <v>2454</v>
      </c>
      <c r="C145" t="s">
        <v>2455</v>
      </c>
      <c r="D145" t="s">
        <v>2456</v>
      </c>
      <c r="E145" t="s">
        <v>2457</v>
      </c>
      <c r="F145" t="s">
        <v>2458</v>
      </c>
      <c r="G145" t="s">
        <v>2459</v>
      </c>
      <c r="H145" t="s">
        <v>2460</v>
      </c>
      <c r="I145" t="s">
        <v>2461</v>
      </c>
      <c r="J145" t="s">
        <v>2462</v>
      </c>
      <c r="K145" t="s">
        <v>2463</v>
      </c>
      <c r="L145" t="s">
        <v>2464</v>
      </c>
      <c r="M145" t="s">
        <v>2465</v>
      </c>
      <c r="N145" t="s">
        <v>2466</v>
      </c>
      <c r="O145" t="s">
        <v>2466</v>
      </c>
    </row>
    <row r="146" spans="1:15">
      <c r="A146" t="s">
        <v>346</v>
      </c>
      <c r="B146" t="s">
        <v>2467</v>
      </c>
      <c r="C146" t="s">
        <v>2468</v>
      </c>
      <c r="D146" t="s">
        <v>881</v>
      </c>
      <c r="E146" t="s">
        <v>2469</v>
      </c>
      <c r="F146" t="s">
        <v>2470</v>
      </c>
      <c r="G146" t="s">
        <v>2471</v>
      </c>
      <c r="H146" t="s">
        <v>2472</v>
      </c>
      <c r="I146" t="s">
        <v>866</v>
      </c>
      <c r="J146" t="s">
        <v>2473</v>
      </c>
      <c r="K146" t="s">
        <v>2474</v>
      </c>
      <c r="L146" t="s">
        <v>2475</v>
      </c>
      <c r="M146" t="s">
        <v>2476</v>
      </c>
      <c r="N146" t="s">
        <v>1413</v>
      </c>
      <c r="O146" t="s">
        <v>1413</v>
      </c>
    </row>
    <row r="147" spans="1:15">
      <c r="A147" t="s">
        <v>355</v>
      </c>
      <c r="B147" t="s">
        <v>2477</v>
      </c>
      <c r="C147" t="s">
        <v>2478</v>
      </c>
      <c r="D147" t="s">
        <v>2479</v>
      </c>
      <c r="E147" t="s">
        <v>346</v>
      </c>
      <c r="F147" t="s">
        <v>346</v>
      </c>
      <c r="G147" t="s">
        <v>346</v>
      </c>
      <c r="H147" t="s">
        <v>346</v>
      </c>
      <c r="I147" t="s">
        <v>346</v>
      </c>
      <c r="J147" t="s">
        <v>2480</v>
      </c>
      <c r="K147" t="s">
        <v>2481</v>
      </c>
      <c r="L147" t="s">
        <v>2482</v>
      </c>
      <c r="M147" t="s">
        <v>2483</v>
      </c>
      <c r="N147" t="s">
        <v>2484</v>
      </c>
      <c r="O147" t="s">
        <v>2485</v>
      </c>
    </row>
    <row r="148" spans="1:15">
      <c r="A148" t="s">
        <v>533</v>
      </c>
      <c r="B148" t="s">
        <v>2486</v>
      </c>
      <c r="C148" t="s">
        <v>2487</v>
      </c>
      <c r="D148" t="s">
        <v>2488</v>
      </c>
      <c r="E148" t="s">
        <v>355</v>
      </c>
      <c r="F148" t="s">
        <v>355</v>
      </c>
      <c r="G148" t="s">
        <v>2489</v>
      </c>
      <c r="H148" t="s">
        <v>2489</v>
      </c>
      <c r="I148" t="s">
        <v>2490</v>
      </c>
      <c r="J148" t="s">
        <v>2491</v>
      </c>
      <c r="K148" t="s">
        <v>2492</v>
      </c>
      <c r="L148" t="s">
        <v>2493</v>
      </c>
      <c r="M148" t="s">
        <v>2494</v>
      </c>
      <c r="N148" t="s">
        <v>2495</v>
      </c>
      <c r="O148" t="s">
        <v>2496</v>
      </c>
    </row>
    <row r="149" spans="1:15">
      <c r="A149" t="s">
        <v>2511</v>
      </c>
      <c r="B149" t="s">
        <v>2497</v>
      </c>
      <c r="C149" t="s">
        <v>2498</v>
      </c>
      <c r="D149" t="s">
        <v>2499</v>
      </c>
      <c r="E149" t="s">
        <v>2500</v>
      </c>
      <c r="F149" t="s">
        <v>2501</v>
      </c>
      <c r="G149" t="s">
        <v>2502</v>
      </c>
      <c r="H149" t="s">
        <v>2503</v>
      </c>
      <c r="I149" t="s">
        <v>2504</v>
      </c>
      <c r="J149" t="s">
        <v>2505</v>
      </c>
      <c r="K149" t="s">
        <v>2506</v>
      </c>
      <c r="L149" t="s">
        <v>2507</v>
      </c>
      <c r="M149" t="s">
        <v>2508</v>
      </c>
      <c r="N149" t="s">
        <v>2509</v>
      </c>
      <c r="O149" t="s">
        <v>2510</v>
      </c>
    </row>
    <row r="150" spans="1:15">
      <c r="A150" t="s">
        <v>2526</v>
      </c>
      <c r="B150" t="s">
        <v>2512</v>
      </c>
      <c r="C150" t="s">
        <v>2513</v>
      </c>
      <c r="D150" t="s">
        <v>2514</v>
      </c>
      <c r="E150" t="s">
        <v>2515</v>
      </c>
      <c r="F150" t="s">
        <v>2516</v>
      </c>
      <c r="G150" t="s">
        <v>2517</v>
      </c>
      <c r="H150" t="s">
        <v>2518</v>
      </c>
      <c r="I150" t="s">
        <v>2519</v>
      </c>
      <c r="J150" t="s">
        <v>2520</v>
      </c>
      <c r="K150" t="s">
        <v>2521</v>
      </c>
      <c r="L150" t="s">
        <v>2522</v>
      </c>
      <c r="M150" t="s">
        <v>2523</v>
      </c>
      <c r="N150" t="s">
        <v>2524</v>
      </c>
      <c r="O150" t="s">
        <v>2525</v>
      </c>
    </row>
    <row r="151" spans="1:15">
      <c r="A151" t="s">
        <v>414</v>
      </c>
      <c r="B151" t="s">
        <v>2527</v>
      </c>
      <c r="C151" t="s">
        <v>2528</v>
      </c>
      <c r="D151" t="s">
        <v>2529</v>
      </c>
      <c r="E151" t="s">
        <v>2530</v>
      </c>
      <c r="F151" t="s">
        <v>2531</v>
      </c>
      <c r="G151" t="s">
        <v>2532</v>
      </c>
      <c r="H151" t="s">
        <v>2527</v>
      </c>
      <c r="I151" t="s">
        <v>2533</v>
      </c>
      <c r="J151" t="s">
        <v>2534</v>
      </c>
      <c r="K151" t="s">
        <v>2535</v>
      </c>
      <c r="L151" t="s">
        <v>2536</v>
      </c>
      <c r="M151" t="s">
        <v>2537</v>
      </c>
      <c r="N151" t="s">
        <v>2538</v>
      </c>
      <c r="O151" t="s">
        <v>2539</v>
      </c>
    </row>
    <row r="152" spans="1:15">
      <c r="A152" t="s">
        <v>261</v>
      </c>
      <c r="B152" t="s">
        <v>2540</v>
      </c>
      <c r="C152" t="s">
        <v>2541</v>
      </c>
      <c r="D152" t="s">
        <v>2542</v>
      </c>
      <c r="E152" t="s">
        <v>2543</v>
      </c>
      <c r="F152" t="s">
        <v>2544</v>
      </c>
      <c r="G152" t="s">
        <v>2545</v>
      </c>
      <c r="H152" t="s">
        <v>2546</v>
      </c>
      <c r="I152" t="s">
        <v>2547</v>
      </c>
      <c r="J152" t="s">
        <v>2548</v>
      </c>
      <c r="K152" t="s">
        <v>2549</v>
      </c>
      <c r="L152" t="s">
        <v>2550</v>
      </c>
      <c r="M152" t="s">
        <v>2551</v>
      </c>
      <c r="N152" t="s">
        <v>2552</v>
      </c>
      <c r="O152" t="s">
        <v>2553</v>
      </c>
    </row>
    <row r="153" spans="1:15">
      <c r="A153" t="s">
        <v>538</v>
      </c>
      <c r="B153" t="s">
        <v>2554</v>
      </c>
      <c r="C153" t="s">
        <v>2555</v>
      </c>
      <c r="D153" t="s">
        <v>2556</v>
      </c>
      <c r="E153" t="s">
        <v>2557</v>
      </c>
      <c r="F153" t="s">
        <v>2558</v>
      </c>
      <c r="G153" t="s">
        <v>2559</v>
      </c>
      <c r="H153" t="s">
        <v>2560</v>
      </c>
      <c r="I153" t="s">
        <v>2561</v>
      </c>
      <c r="J153" t="s">
        <v>2562</v>
      </c>
      <c r="K153" t="s">
        <v>2563</v>
      </c>
      <c r="L153" t="s">
        <v>2564</v>
      </c>
      <c r="M153" t="s">
        <v>2565</v>
      </c>
      <c r="N153" t="s">
        <v>2566</v>
      </c>
      <c r="O153" t="s">
        <v>2567</v>
      </c>
    </row>
    <row r="154" spans="1:15">
      <c r="A154" t="s">
        <v>781</v>
      </c>
      <c r="B154" t="s">
        <v>2568</v>
      </c>
      <c r="C154" t="s">
        <v>2569</v>
      </c>
      <c r="D154" t="s">
        <v>2570</v>
      </c>
      <c r="E154" t="s">
        <v>2571</v>
      </c>
      <c r="F154" t="s">
        <v>2572</v>
      </c>
      <c r="G154" t="s">
        <v>2573</v>
      </c>
      <c r="H154" t="s">
        <v>2574</v>
      </c>
      <c r="I154" t="s">
        <v>2575</v>
      </c>
      <c r="J154" t="s">
        <v>2576</v>
      </c>
      <c r="K154" t="s">
        <v>2577</v>
      </c>
      <c r="L154" t="s">
        <v>2578</v>
      </c>
      <c r="M154" t="s">
        <v>2579</v>
      </c>
      <c r="N154" t="s">
        <v>2580</v>
      </c>
      <c r="O154" t="s">
        <v>2581</v>
      </c>
    </row>
    <row r="155" spans="1:15">
      <c r="A155" t="s">
        <v>134</v>
      </c>
      <c r="B155" t="s">
        <v>2582</v>
      </c>
      <c r="C155" t="s">
        <v>2583</v>
      </c>
      <c r="D155" t="s">
        <v>2584</v>
      </c>
      <c r="E155" t="s">
        <v>2585</v>
      </c>
      <c r="F155" t="s">
        <v>2586</v>
      </c>
      <c r="G155" t="s">
        <v>781</v>
      </c>
      <c r="H155" t="s">
        <v>2587</v>
      </c>
      <c r="I155" t="s">
        <v>2588</v>
      </c>
      <c r="J155" t="s">
        <v>2589</v>
      </c>
      <c r="K155" t="s">
        <v>2590</v>
      </c>
      <c r="L155" t="s">
        <v>2591</v>
      </c>
      <c r="M155" t="s">
        <v>2592</v>
      </c>
      <c r="N155" t="s">
        <v>2593</v>
      </c>
      <c r="O155" t="s">
        <v>2594</v>
      </c>
    </row>
    <row r="156" spans="1:15">
      <c r="A156" t="s">
        <v>177</v>
      </c>
      <c r="B156" t="s">
        <v>2595</v>
      </c>
      <c r="C156" t="s">
        <v>2596</v>
      </c>
      <c r="D156" t="s">
        <v>2597</v>
      </c>
      <c r="E156" t="s">
        <v>2598</v>
      </c>
      <c r="F156" t="s">
        <v>2599</v>
      </c>
      <c r="G156" t="s">
        <v>2600</v>
      </c>
      <c r="H156" t="s">
        <v>2601</v>
      </c>
      <c r="I156" t="s">
        <v>2602</v>
      </c>
      <c r="J156" t="s">
        <v>2603</v>
      </c>
      <c r="K156" t="s">
        <v>2604</v>
      </c>
      <c r="L156" t="s">
        <v>2605</v>
      </c>
      <c r="M156" t="s">
        <v>2606</v>
      </c>
      <c r="N156" t="s">
        <v>2607</v>
      </c>
      <c r="O156" t="s">
        <v>2608</v>
      </c>
    </row>
    <row r="157" spans="1:15">
      <c r="A157" t="s">
        <v>782</v>
      </c>
      <c r="B157" t="s">
        <v>2609</v>
      </c>
      <c r="C157" t="s">
        <v>177</v>
      </c>
      <c r="D157" t="s">
        <v>177</v>
      </c>
      <c r="E157" t="s">
        <v>177</v>
      </c>
      <c r="F157" t="s">
        <v>177</v>
      </c>
      <c r="G157" t="s">
        <v>2610</v>
      </c>
      <c r="H157" t="s">
        <v>2611</v>
      </c>
      <c r="I157" t="s">
        <v>177</v>
      </c>
      <c r="J157" t="s">
        <v>2612</v>
      </c>
      <c r="K157" t="s">
        <v>2613</v>
      </c>
      <c r="L157" t="s">
        <v>2614</v>
      </c>
      <c r="M157" t="s">
        <v>2615</v>
      </c>
      <c r="N157" t="s">
        <v>2616</v>
      </c>
      <c r="O157" t="s">
        <v>2617</v>
      </c>
    </row>
    <row r="158" spans="1:15">
      <c r="A158" t="s">
        <v>141</v>
      </c>
      <c r="B158" t="s">
        <v>2618</v>
      </c>
      <c r="C158" t="s">
        <v>2619</v>
      </c>
      <c r="D158" t="s">
        <v>2620</v>
      </c>
      <c r="E158" t="s">
        <v>2621</v>
      </c>
      <c r="F158" t="s">
        <v>2622</v>
      </c>
      <c r="G158" t="s">
        <v>2623</v>
      </c>
      <c r="H158" t="s">
        <v>2624</v>
      </c>
      <c r="I158" t="s">
        <v>2625</v>
      </c>
      <c r="J158" t="s">
        <v>2626</v>
      </c>
      <c r="K158" t="s">
        <v>2627</v>
      </c>
      <c r="L158" t="s">
        <v>2628</v>
      </c>
      <c r="M158" t="s">
        <v>2629</v>
      </c>
      <c r="N158" t="s">
        <v>2630</v>
      </c>
      <c r="O158" t="s">
        <v>2631</v>
      </c>
    </row>
    <row r="159" spans="1:15">
      <c r="A159" t="s">
        <v>551</v>
      </c>
      <c r="B159" t="s">
        <v>2632</v>
      </c>
      <c r="C159" t="s">
        <v>2633</v>
      </c>
      <c r="D159" t="s">
        <v>2634</v>
      </c>
      <c r="E159" t="s">
        <v>2635</v>
      </c>
      <c r="F159" t="s">
        <v>2636</v>
      </c>
      <c r="G159" t="s">
        <v>2637</v>
      </c>
      <c r="H159" t="s">
        <v>2638</v>
      </c>
      <c r="I159" t="s">
        <v>2639</v>
      </c>
      <c r="J159" t="s">
        <v>2640</v>
      </c>
      <c r="K159" t="s">
        <v>2641</v>
      </c>
      <c r="L159" t="s">
        <v>2642</v>
      </c>
      <c r="M159" t="s">
        <v>2643</v>
      </c>
      <c r="N159" t="s">
        <v>2644</v>
      </c>
      <c r="O159" t="s">
        <v>2645</v>
      </c>
    </row>
    <row r="160" spans="1:15">
      <c r="A160" t="s">
        <v>550</v>
      </c>
      <c r="B160" t="s">
        <v>2646</v>
      </c>
      <c r="C160" t="s">
        <v>2647</v>
      </c>
      <c r="D160" t="s">
        <v>551</v>
      </c>
      <c r="E160" t="s">
        <v>551</v>
      </c>
      <c r="F160" t="s">
        <v>551</v>
      </c>
      <c r="G160" t="s">
        <v>551</v>
      </c>
      <c r="H160" t="s">
        <v>551</v>
      </c>
      <c r="I160" t="s">
        <v>551</v>
      </c>
      <c r="J160" t="s">
        <v>2648</v>
      </c>
      <c r="K160" t="s">
        <v>551</v>
      </c>
      <c r="L160" t="s">
        <v>2649</v>
      </c>
      <c r="M160" t="s">
        <v>2650</v>
      </c>
      <c r="N160" t="s">
        <v>2651</v>
      </c>
      <c r="O160" t="s">
        <v>2652</v>
      </c>
    </row>
    <row r="161" spans="1:15">
      <c r="A161" t="s">
        <v>285</v>
      </c>
      <c r="B161" t="s">
        <v>2653</v>
      </c>
      <c r="C161" t="s">
        <v>2654</v>
      </c>
      <c r="D161" t="s">
        <v>550</v>
      </c>
      <c r="E161" t="s">
        <v>550</v>
      </c>
      <c r="F161" t="s">
        <v>2655</v>
      </c>
      <c r="G161" t="s">
        <v>550</v>
      </c>
      <c r="H161" t="s">
        <v>550</v>
      </c>
      <c r="I161" t="s">
        <v>550</v>
      </c>
      <c r="J161" t="s">
        <v>550</v>
      </c>
      <c r="K161" t="s">
        <v>2656</v>
      </c>
      <c r="L161" t="s">
        <v>550</v>
      </c>
      <c r="M161" t="s">
        <v>2657</v>
      </c>
      <c r="N161" t="s">
        <v>2658</v>
      </c>
      <c r="O161" t="s">
        <v>2659</v>
      </c>
    </row>
    <row r="162" spans="1:15">
      <c r="A162" t="s">
        <v>511</v>
      </c>
      <c r="B162" t="s">
        <v>2660</v>
      </c>
      <c r="C162" t="s">
        <v>2661</v>
      </c>
      <c r="D162" t="s">
        <v>2662</v>
      </c>
      <c r="E162" t="s">
        <v>2663</v>
      </c>
      <c r="F162" t="s">
        <v>2664</v>
      </c>
      <c r="G162" t="s">
        <v>2665</v>
      </c>
      <c r="H162" t="s">
        <v>2666</v>
      </c>
      <c r="I162" t="s">
        <v>2667</v>
      </c>
      <c r="J162" t="s">
        <v>2668</v>
      </c>
      <c r="K162" t="s">
        <v>2669</v>
      </c>
      <c r="L162" t="s">
        <v>2670</v>
      </c>
      <c r="M162" t="s">
        <v>2671</v>
      </c>
      <c r="N162" t="s">
        <v>2672</v>
      </c>
      <c r="O162" t="s">
        <v>2673</v>
      </c>
    </row>
    <row r="163" spans="1:15">
      <c r="A163" t="s">
        <v>648</v>
      </c>
      <c r="B163" t="s">
        <v>2674</v>
      </c>
      <c r="C163" t="s">
        <v>2675</v>
      </c>
      <c r="D163" t="s">
        <v>2676</v>
      </c>
      <c r="E163" t="s">
        <v>511</v>
      </c>
      <c r="F163" t="s">
        <v>511</v>
      </c>
      <c r="G163" t="s">
        <v>2677</v>
      </c>
      <c r="H163" t="s">
        <v>2678</v>
      </c>
      <c r="I163" t="s">
        <v>2679</v>
      </c>
      <c r="J163" t="s">
        <v>2680</v>
      </c>
      <c r="K163" t="s">
        <v>2681</v>
      </c>
      <c r="L163" t="s">
        <v>2682</v>
      </c>
      <c r="M163" t="s">
        <v>2683</v>
      </c>
      <c r="N163" t="s">
        <v>2684</v>
      </c>
      <c r="O163" t="s">
        <v>2685</v>
      </c>
    </row>
    <row r="164" spans="1:15">
      <c r="A164" t="s">
        <v>535</v>
      </c>
      <c r="B164" t="s">
        <v>2686</v>
      </c>
      <c r="C164" t="s">
        <v>648</v>
      </c>
      <c r="D164" t="s">
        <v>648</v>
      </c>
      <c r="E164" t="s">
        <v>648</v>
      </c>
      <c r="F164" t="s">
        <v>648</v>
      </c>
      <c r="G164" t="s">
        <v>648</v>
      </c>
      <c r="H164" t="s">
        <v>648</v>
      </c>
      <c r="I164" t="s">
        <v>648</v>
      </c>
      <c r="J164" t="s">
        <v>648</v>
      </c>
      <c r="K164" t="s">
        <v>648</v>
      </c>
      <c r="L164" t="s">
        <v>648</v>
      </c>
      <c r="M164" t="s">
        <v>648</v>
      </c>
      <c r="N164" t="s">
        <v>2687</v>
      </c>
      <c r="O164" t="s">
        <v>2688</v>
      </c>
    </row>
    <row r="165" spans="1:15">
      <c r="A165" t="s">
        <v>534</v>
      </c>
      <c r="B165" t="s">
        <v>2689</v>
      </c>
      <c r="C165" t="s">
        <v>535</v>
      </c>
      <c r="D165" t="s">
        <v>535</v>
      </c>
      <c r="E165" t="s">
        <v>535</v>
      </c>
      <c r="F165" t="s">
        <v>535</v>
      </c>
      <c r="G165" t="s">
        <v>2690</v>
      </c>
      <c r="H165" t="s">
        <v>2691</v>
      </c>
      <c r="I165" t="s">
        <v>535</v>
      </c>
      <c r="J165" t="s">
        <v>535</v>
      </c>
      <c r="K165" t="s">
        <v>535</v>
      </c>
      <c r="L165" t="s">
        <v>2692</v>
      </c>
      <c r="M165" t="s">
        <v>2693</v>
      </c>
      <c r="N165" t="s">
        <v>2694</v>
      </c>
      <c r="O165" t="s">
        <v>2695</v>
      </c>
    </row>
    <row r="166" spans="1:15">
      <c r="A166" t="s">
        <v>179</v>
      </c>
      <c r="B166" t="s">
        <v>2696</v>
      </c>
      <c r="C166" t="s">
        <v>2697</v>
      </c>
      <c r="D166" t="s">
        <v>2698</v>
      </c>
      <c r="E166" t="s">
        <v>534</v>
      </c>
      <c r="F166" t="s">
        <v>2699</v>
      </c>
      <c r="G166" t="s">
        <v>2700</v>
      </c>
      <c r="H166" t="s">
        <v>2701</v>
      </c>
      <c r="I166" t="s">
        <v>2702</v>
      </c>
      <c r="J166" t="s">
        <v>2703</v>
      </c>
      <c r="K166" t="s">
        <v>2704</v>
      </c>
      <c r="L166" t="s">
        <v>2705</v>
      </c>
      <c r="M166" t="s">
        <v>2706</v>
      </c>
      <c r="N166" t="s">
        <v>2707</v>
      </c>
      <c r="O166" t="s">
        <v>2708</v>
      </c>
    </row>
    <row r="167" spans="1:15">
      <c r="A167" t="s">
        <v>446</v>
      </c>
      <c r="B167" t="s">
        <v>2709</v>
      </c>
      <c r="C167" t="s">
        <v>2710</v>
      </c>
      <c r="D167" t="s">
        <v>2711</v>
      </c>
      <c r="E167" t="s">
        <v>2712</v>
      </c>
      <c r="F167" t="s">
        <v>2713</v>
      </c>
      <c r="G167" t="s">
        <v>2714</v>
      </c>
      <c r="H167" t="s">
        <v>2715</v>
      </c>
      <c r="I167" t="s">
        <v>2716</v>
      </c>
      <c r="J167" t="s">
        <v>2717</v>
      </c>
      <c r="K167" t="s">
        <v>2718</v>
      </c>
      <c r="L167" t="s">
        <v>2719</v>
      </c>
      <c r="M167" t="s">
        <v>2720</v>
      </c>
      <c r="N167" t="s">
        <v>2721</v>
      </c>
      <c r="O167" t="s">
        <v>2722</v>
      </c>
    </row>
    <row r="168" spans="1:15">
      <c r="A168" t="s">
        <v>448</v>
      </c>
      <c r="B168" t="s">
        <v>2723</v>
      </c>
      <c r="C168" t="s">
        <v>2724</v>
      </c>
      <c r="D168" t="s">
        <v>2725</v>
      </c>
      <c r="E168" t="s">
        <v>446</v>
      </c>
      <c r="F168" t="s">
        <v>2726</v>
      </c>
      <c r="G168" t="s">
        <v>2727</v>
      </c>
      <c r="H168" t="s">
        <v>2728</v>
      </c>
      <c r="I168" t="s">
        <v>2729</v>
      </c>
      <c r="J168" t="s">
        <v>2730</v>
      </c>
      <c r="K168" t="s">
        <v>2731</v>
      </c>
      <c r="L168" t="s">
        <v>2732</v>
      </c>
      <c r="M168" t="s">
        <v>2733</v>
      </c>
      <c r="N168" t="s">
        <v>2734</v>
      </c>
      <c r="O168" t="s">
        <v>2735</v>
      </c>
    </row>
    <row r="169" spans="1:15">
      <c r="A169" t="s">
        <v>124</v>
      </c>
      <c r="B169" t="s">
        <v>2736</v>
      </c>
      <c r="C169" t="s">
        <v>2737</v>
      </c>
      <c r="D169" t="s">
        <v>2738</v>
      </c>
      <c r="E169" t="s">
        <v>2739</v>
      </c>
      <c r="F169" t="s">
        <v>2740</v>
      </c>
      <c r="G169" t="s">
        <v>2741</v>
      </c>
      <c r="H169" t="s">
        <v>2742</v>
      </c>
      <c r="I169" t="s">
        <v>2743</v>
      </c>
      <c r="J169" t="s">
        <v>2744</v>
      </c>
      <c r="K169" t="s">
        <v>2745</v>
      </c>
      <c r="L169" t="s">
        <v>2746</v>
      </c>
      <c r="M169" t="s">
        <v>2747</v>
      </c>
      <c r="N169" t="s">
        <v>2748</v>
      </c>
      <c r="O169" t="s">
        <v>2749</v>
      </c>
    </row>
    <row r="170" spans="1:15">
      <c r="A170" t="s">
        <v>201</v>
      </c>
      <c r="B170" t="s">
        <v>2750</v>
      </c>
      <c r="C170" t="s">
        <v>2751</v>
      </c>
      <c r="D170" t="s">
        <v>2752</v>
      </c>
      <c r="E170" t="s">
        <v>2753</v>
      </c>
      <c r="F170" t="s">
        <v>2754</v>
      </c>
      <c r="G170" t="s">
        <v>2755</v>
      </c>
      <c r="H170" t="s">
        <v>2756</v>
      </c>
      <c r="I170" t="s">
        <v>2757</v>
      </c>
      <c r="J170" t="s">
        <v>2758</v>
      </c>
      <c r="K170" t="s">
        <v>2759</v>
      </c>
      <c r="L170" t="s">
        <v>2760</v>
      </c>
      <c r="M170" t="s">
        <v>2761</v>
      </c>
      <c r="N170" t="s">
        <v>2762</v>
      </c>
      <c r="O170" t="s">
        <v>2763</v>
      </c>
    </row>
    <row r="171" spans="1:15">
      <c r="A171" t="s">
        <v>40</v>
      </c>
      <c r="B171" t="s">
        <v>2764</v>
      </c>
      <c r="C171" t="s">
        <v>201</v>
      </c>
      <c r="D171" t="s">
        <v>201</v>
      </c>
      <c r="E171" t="s">
        <v>201</v>
      </c>
      <c r="F171" t="s">
        <v>2765</v>
      </c>
      <c r="G171" t="s">
        <v>201</v>
      </c>
      <c r="H171" t="s">
        <v>201</v>
      </c>
      <c r="I171" t="s">
        <v>201</v>
      </c>
      <c r="J171" t="s">
        <v>201</v>
      </c>
      <c r="K171" t="s">
        <v>201</v>
      </c>
      <c r="L171" t="s">
        <v>2766</v>
      </c>
      <c r="M171" t="s">
        <v>2767</v>
      </c>
      <c r="N171" t="s">
        <v>2768</v>
      </c>
      <c r="O171" t="s">
        <v>2769</v>
      </c>
    </row>
    <row r="172" spans="1:15">
      <c r="A172" t="s">
        <v>20</v>
      </c>
      <c r="B172" t="s">
        <v>2770</v>
      </c>
      <c r="C172" t="s">
        <v>2771</v>
      </c>
      <c r="D172" t="s">
        <v>2772</v>
      </c>
      <c r="E172" t="s">
        <v>2773</v>
      </c>
      <c r="F172" t="s">
        <v>2774</v>
      </c>
      <c r="G172" t="s">
        <v>2775</v>
      </c>
      <c r="H172" t="s">
        <v>2776</v>
      </c>
      <c r="I172" t="s">
        <v>2777</v>
      </c>
      <c r="J172" t="s">
        <v>2778</v>
      </c>
      <c r="K172" t="s">
        <v>2779</v>
      </c>
      <c r="L172" t="s">
        <v>2780</v>
      </c>
      <c r="M172" t="s">
        <v>2781</v>
      </c>
      <c r="N172" t="s">
        <v>2782</v>
      </c>
      <c r="O172" t="s">
        <v>2783</v>
      </c>
    </row>
    <row r="173" spans="1:15">
      <c r="A173" t="s">
        <v>2798</v>
      </c>
      <c r="B173" t="s">
        <v>2784</v>
      </c>
      <c r="C173" t="s">
        <v>2785</v>
      </c>
      <c r="D173" t="s">
        <v>2786</v>
      </c>
      <c r="E173" t="s">
        <v>2787</v>
      </c>
      <c r="F173" t="s">
        <v>2788</v>
      </c>
      <c r="G173" t="s">
        <v>2789</v>
      </c>
      <c r="H173" t="s">
        <v>2790</v>
      </c>
      <c r="I173" t="s">
        <v>2791</v>
      </c>
      <c r="J173" t="s">
        <v>2792</v>
      </c>
      <c r="K173" t="s">
        <v>2793</v>
      </c>
      <c r="L173" t="s">
        <v>2794</v>
      </c>
      <c r="M173" t="s">
        <v>2795</v>
      </c>
      <c r="N173" t="s">
        <v>2796</v>
      </c>
      <c r="O173" t="s">
        <v>2797</v>
      </c>
    </row>
    <row r="174" spans="1:15">
      <c r="A174" t="s">
        <v>512</v>
      </c>
      <c r="B174" t="s">
        <v>2799</v>
      </c>
      <c r="C174" t="s">
        <v>2800</v>
      </c>
      <c r="D174" t="s">
        <v>2801</v>
      </c>
      <c r="E174" t="s">
        <v>2798</v>
      </c>
      <c r="F174" t="s">
        <v>2802</v>
      </c>
      <c r="G174" t="s">
        <v>2803</v>
      </c>
      <c r="H174" t="s">
        <v>2804</v>
      </c>
      <c r="I174" t="s">
        <v>2805</v>
      </c>
      <c r="J174" t="s">
        <v>2806</v>
      </c>
      <c r="K174" t="s">
        <v>2807</v>
      </c>
      <c r="L174" t="s">
        <v>2808</v>
      </c>
      <c r="M174" t="s">
        <v>2809</v>
      </c>
      <c r="N174" t="s">
        <v>2810</v>
      </c>
      <c r="O174" t="s">
        <v>2811</v>
      </c>
    </row>
    <row r="175" spans="1:15">
      <c r="A175" t="s">
        <v>16</v>
      </c>
      <c r="B175" t="s">
        <v>2812</v>
      </c>
      <c r="C175" t="s">
        <v>2813</v>
      </c>
      <c r="D175" t="s">
        <v>2814</v>
      </c>
      <c r="E175" t="s">
        <v>2815</v>
      </c>
      <c r="F175" t="s">
        <v>2816</v>
      </c>
      <c r="G175" t="s">
        <v>2817</v>
      </c>
      <c r="H175" t="s">
        <v>2818</v>
      </c>
      <c r="I175" t="s">
        <v>2819</v>
      </c>
      <c r="J175" t="s">
        <v>2820</v>
      </c>
      <c r="K175" t="s">
        <v>2821</v>
      </c>
      <c r="L175" t="s">
        <v>2822</v>
      </c>
      <c r="M175" t="s">
        <v>2823</v>
      </c>
      <c r="N175" t="s">
        <v>2824</v>
      </c>
      <c r="O175" t="s">
        <v>2825</v>
      </c>
    </row>
    <row r="176" spans="1:15">
      <c r="A176" t="s">
        <v>401</v>
      </c>
      <c r="B176" t="s">
        <v>830</v>
      </c>
      <c r="C176" t="s">
        <v>2826</v>
      </c>
      <c r="D176" t="s">
        <v>874</v>
      </c>
      <c r="E176" t="s">
        <v>847</v>
      </c>
      <c r="F176" t="s">
        <v>2827</v>
      </c>
      <c r="G176" t="s">
        <v>2828</v>
      </c>
      <c r="H176" t="s">
        <v>2829</v>
      </c>
      <c r="I176" t="s">
        <v>16</v>
      </c>
      <c r="J176" t="s">
        <v>2830</v>
      </c>
      <c r="K176" t="s">
        <v>16</v>
      </c>
      <c r="L176" t="s">
        <v>16</v>
      </c>
      <c r="M176" t="s">
        <v>2831</v>
      </c>
      <c r="N176" t="s">
        <v>2832</v>
      </c>
      <c r="O176" t="s">
        <v>2833</v>
      </c>
    </row>
    <row r="177" spans="1:15">
      <c r="A177" t="s">
        <v>428</v>
      </c>
      <c r="B177" t="s">
        <v>2834</v>
      </c>
      <c r="C177" t="s">
        <v>401</v>
      </c>
      <c r="D177" t="s">
        <v>401</v>
      </c>
      <c r="E177" t="s">
        <v>401</v>
      </c>
      <c r="F177" t="s">
        <v>401</v>
      </c>
      <c r="G177" t="s">
        <v>401</v>
      </c>
      <c r="H177" t="s">
        <v>401</v>
      </c>
      <c r="I177" t="s">
        <v>401</v>
      </c>
      <c r="J177" t="s">
        <v>2835</v>
      </c>
      <c r="K177" t="s">
        <v>2836</v>
      </c>
      <c r="L177" t="s">
        <v>2837</v>
      </c>
      <c r="M177" t="s">
        <v>2838</v>
      </c>
      <c r="N177" t="s">
        <v>2839</v>
      </c>
      <c r="O177" t="s">
        <v>2840</v>
      </c>
    </row>
    <row r="178" spans="1:15">
      <c r="A178" t="s">
        <v>403</v>
      </c>
      <c r="B178" t="s">
        <v>2841</v>
      </c>
      <c r="C178" t="s">
        <v>2842</v>
      </c>
      <c r="D178" t="s">
        <v>2843</v>
      </c>
      <c r="E178" t="s">
        <v>2844</v>
      </c>
      <c r="F178" t="s">
        <v>2845</v>
      </c>
      <c r="G178" t="s">
        <v>2846</v>
      </c>
      <c r="H178" t="s">
        <v>2847</v>
      </c>
      <c r="I178" t="s">
        <v>2848</v>
      </c>
      <c r="J178" t="s">
        <v>2849</v>
      </c>
      <c r="K178" t="s">
        <v>2850</v>
      </c>
      <c r="L178" t="s">
        <v>2851</v>
      </c>
      <c r="M178" t="s">
        <v>2852</v>
      </c>
      <c r="N178" t="s">
        <v>2853</v>
      </c>
      <c r="O178" t="s">
        <v>2854</v>
      </c>
    </row>
    <row r="179" spans="1:15">
      <c r="A179" t="s">
        <v>430</v>
      </c>
      <c r="B179" t="s">
        <v>2855</v>
      </c>
      <c r="C179" t="s">
        <v>2856</v>
      </c>
      <c r="D179" t="s">
        <v>2857</v>
      </c>
      <c r="E179" t="s">
        <v>2858</v>
      </c>
      <c r="F179" t="s">
        <v>2859</v>
      </c>
      <c r="G179" t="s">
        <v>2860</v>
      </c>
      <c r="H179" t="s">
        <v>2861</v>
      </c>
      <c r="I179" t="s">
        <v>2862</v>
      </c>
      <c r="J179" t="s">
        <v>2863</v>
      </c>
      <c r="K179" t="s">
        <v>2864</v>
      </c>
      <c r="L179" t="s">
        <v>2865</v>
      </c>
      <c r="M179" t="s">
        <v>2866</v>
      </c>
      <c r="N179" t="s">
        <v>2867</v>
      </c>
      <c r="O179" t="s">
        <v>2868</v>
      </c>
    </row>
    <row r="180" spans="1:15">
      <c r="A180" t="s">
        <v>539</v>
      </c>
      <c r="B180" t="s">
        <v>2869</v>
      </c>
      <c r="C180" t="s">
        <v>2870</v>
      </c>
      <c r="D180" t="s">
        <v>2871</v>
      </c>
      <c r="E180" t="s">
        <v>2872</v>
      </c>
      <c r="F180" t="s">
        <v>2873</v>
      </c>
      <c r="G180" t="s">
        <v>2874</v>
      </c>
      <c r="H180" t="s">
        <v>2875</v>
      </c>
      <c r="I180" t="s">
        <v>2876</v>
      </c>
      <c r="J180" t="s">
        <v>2877</v>
      </c>
      <c r="K180" t="s">
        <v>2878</v>
      </c>
      <c r="L180" t="s">
        <v>2879</v>
      </c>
      <c r="M180" t="s">
        <v>2880</v>
      </c>
      <c r="N180" t="s">
        <v>2881</v>
      </c>
      <c r="O180" t="s">
        <v>2882</v>
      </c>
    </row>
    <row r="181" spans="1:15">
      <c r="A181" t="s">
        <v>531</v>
      </c>
      <c r="B181" t="s">
        <v>2883</v>
      </c>
      <c r="C181" t="s">
        <v>2884</v>
      </c>
      <c r="D181" t="s">
        <v>2884</v>
      </c>
      <c r="E181" t="s">
        <v>539</v>
      </c>
      <c r="F181" t="s">
        <v>2885</v>
      </c>
      <c r="G181" t="s">
        <v>539</v>
      </c>
      <c r="H181" t="s">
        <v>539</v>
      </c>
      <c r="I181" t="s">
        <v>2886</v>
      </c>
      <c r="J181" t="s">
        <v>2887</v>
      </c>
      <c r="K181" t="s">
        <v>2888</v>
      </c>
      <c r="L181" t="s">
        <v>2889</v>
      </c>
      <c r="M181" t="s">
        <v>2890</v>
      </c>
      <c r="N181" t="s">
        <v>2891</v>
      </c>
      <c r="O181" t="s">
        <v>2892</v>
      </c>
    </row>
    <row r="182" spans="1:15">
      <c r="A182" t="s">
        <v>477</v>
      </c>
      <c r="B182" t="s">
        <v>2893</v>
      </c>
      <c r="C182" t="s">
        <v>2894</v>
      </c>
      <c r="D182" t="s">
        <v>2895</v>
      </c>
      <c r="E182" t="s">
        <v>531</v>
      </c>
      <c r="F182" t="s">
        <v>2896</v>
      </c>
      <c r="G182" t="s">
        <v>2897</v>
      </c>
      <c r="H182" t="s">
        <v>2898</v>
      </c>
      <c r="I182" t="s">
        <v>2899</v>
      </c>
      <c r="J182" t="s">
        <v>2900</v>
      </c>
      <c r="K182" t="s">
        <v>2901</v>
      </c>
      <c r="L182" t="s">
        <v>2902</v>
      </c>
      <c r="M182" t="s">
        <v>2903</v>
      </c>
      <c r="N182" t="s">
        <v>2904</v>
      </c>
      <c r="O182" t="s">
        <v>2905</v>
      </c>
    </row>
    <row r="183" spans="1:15">
      <c r="A183" t="s">
        <v>513</v>
      </c>
      <c r="B183" t="s">
        <v>2906</v>
      </c>
      <c r="C183" t="s">
        <v>2907</v>
      </c>
      <c r="D183" t="s">
        <v>2908</v>
      </c>
      <c r="E183" t="s">
        <v>2909</v>
      </c>
      <c r="F183" t="s">
        <v>2910</v>
      </c>
      <c r="G183" t="s">
        <v>2911</v>
      </c>
      <c r="H183" t="s">
        <v>2912</v>
      </c>
      <c r="I183" t="s">
        <v>2913</v>
      </c>
      <c r="J183" t="s">
        <v>2914</v>
      </c>
      <c r="K183" t="s">
        <v>2915</v>
      </c>
      <c r="L183" t="s">
        <v>2916</v>
      </c>
      <c r="M183" t="s">
        <v>2917</v>
      </c>
      <c r="N183" t="s">
        <v>2918</v>
      </c>
      <c r="O183" t="s">
        <v>2919</v>
      </c>
    </row>
    <row r="184" spans="1:15">
      <c r="A184" t="s">
        <v>319</v>
      </c>
      <c r="B184" t="s">
        <v>2920</v>
      </c>
      <c r="C184" t="s">
        <v>2921</v>
      </c>
      <c r="D184" t="s">
        <v>2922</v>
      </c>
      <c r="E184" t="s">
        <v>2923</v>
      </c>
      <c r="F184" t="s">
        <v>2924</v>
      </c>
      <c r="G184" t="s">
        <v>2925</v>
      </c>
      <c r="H184" t="s">
        <v>2926</v>
      </c>
      <c r="I184" t="s">
        <v>2927</v>
      </c>
      <c r="J184" t="s">
        <v>2928</v>
      </c>
      <c r="K184" t="s">
        <v>2929</v>
      </c>
      <c r="L184" t="s">
        <v>2930</v>
      </c>
      <c r="M184" t="s">
        <v>2931</v>
      </c>
      <c r="N184" t="s">
        <v>2932</v>
      </c>
      <c r="O184" t="s">
        <v>2933</v>
      </c>
    </row>
    <row r="185" spans="1:15">
      <c r="A185" t="s">
        <v>354</v>
      </c>
      <c r="B185" t="s">
        <v>2934</v>
      </c>
      <c r="C185" t="s">
        <v>2935</v>
      </c>
      <c r="D185" t="s">
        <v>2936</v>
      </c>
      <c r="E185" t="s">
        <v>319</v>
      </c>
      <c r="F185" t="s">
        <v>2937</v>
      </c>
      <c r="G185" t="s">
        <v>2938</v>
      </c>
      <c r="H185" t="s">
        <v>2939</v>
      </c>
      <c r="I185" t="s">
        <v>2940</v>
      </c>
      <c r="J185" t="s">
        <v>2941</v>
      </c>
      <c r="K185" t="s">
        <v>2942</v>
      </c>
      <c r="L185" t="s">
        <v>2943</v>
      </c>
      <c r="M185" t="s">
        <v>2944</v>
      </c>
      <c r="N185" t="s">
        <v>2945</v>
      </c>
      <c r="O185" t="s">
        <v>2946</v>
      </c>
    </row>
    <row r="186" spans="1:15">
      <c r="A186" t="s">
        <v>255</v>
      </c>
      <c r="B186" t="s">
        <v>2947</v>
      </c>
      <c r="C186" t="s">
        <v>2948</v>
      </c>
      <c r="D186" t="s">
        <v>2949</v>
      </c>
      <c r="E186" t="s">
        <v>354</v>
      </c>
      <c r="F186" t="s">
        <v>2950</v>
      </c>
      <c r="G186" t="s">
        <v>2951</v>
      </c>
      <c r="H186" t="s">
        <v>2952</v>
      </c>
      <c r="I186" t="s">
        <v>2953</v>
      </c>
      <c r="J186" t="s">
        <v>2954</v>
      </c>
      <c r="K186" t="s">
        <v>2955</v>
      </c>
      <c r="L186" t="s">
        <v>2956</v>
      </c>
      <c r="M186" t="s">
        <v>2957</v>
      </c>
      <c r="N186" t="s">
        <v>2958</v>
      </c>
      <c r="O186" t="s">
        <v>2959</v>
      </c>
    </row>
    <row r="187" spans="1:15">
      <c r="A187" t="s">
        <v>350</v>
      </c>
      <c r="B187" t="s">
        <v>2960</v>
      </c>
      <c r="C187" t="s">
        <v>2961</v>
      </c>
      <c r="D187" t="s">
        <v>2962</v>
      </c>
      <c r="E187" t="s">
        <v>2963</v>
      </c>
      <c r="F187" t="s">
        <v>2964</v>
      </c>
      <c r="G187" t="s">
        <v>2965</v>
      </c>
      <c r="H187" t="s">
        <v>2966</v>
      </c>
      <c r="I187" t="s">
        <v>255</v>
      </c>
      <c r="J187" t="s">
        <v>2967</v>
      </c>
      <c r="K187" t="s">
        <v>2968</v>
      </c>
      <c r="L187" t="s">
        <v>2969</v>
      </c>
      <c r="M187" t="s">
        <v>2970</v>
      </c>
      <c r="N187" t="s">
        <v>2971</v>
      </c>
      <c r="O187" t="s">
        <v>2971</v>
      </c>
    </row>
    <row r="188" spans="1:15">
      <c r="A188" t="s">
        <v>352</v>
      </c>
      <c r="B188" t="s">
        <v>2972</v>
      </c>
      <c r="C188" t="s">
        <v>2973</v>
      </c>
      <c r="D188" t="s">
        <v>350</v>
      </c>
      <c r="E188" t="s">
        <v>350</v>
      </c>
      <c r="F188" t="s">
        <v>2974</v>
      </c>
      <c r="G188" t="s">
        <v>2975</v>
      </c>
      <c r="H188" t="s">
        <v>2976</v>
      </c>
      <c r="I188" t="s">
        <v>350</v>
      </c>
      <c r="J188" t="s">
        <v>2977</v>
      </c>
      <c r="K188" t="s">
        <v>350</v>
      </c>
      <c r="L188" t="s">
        <v>2978</v>
      </c>
      <c r="M188" t="s">
        <v>2979</v>
      </c>
      <c r="N188" t="s">
        <v>2980</v>
      </c>
      <c r="O188" t="s">
        <v>2981</v>
      </c>
    </row>
    <row r="189" spans="1:15">
      <c r="A189" t="s">
        <v>185</v>
      </c>
      <c r="B189" t="s">
        <v>2982</v>
      </c>
      <c r="C189" t="s">
        <v>2983</v>
      </c>
      <c r="D189" t="s">
        <v>2984</v>
      </c>
      <c r="E189" t="s">
        <v>352</v>
      </c>
      <c r="F189" t="s">
        <v>352</v>
      </c>
      <c r="G189" t="s">
        <v>2985</v>
      </c>
      <c r="H189" t="s">
        <v>2986</v>
      </c>
      <c r="I189" t="s">
        <v>2987</v>
      </c>
      <c r="J189" t="s">
        <v>352</v>
      </c>
      <c r="K189" t="s">
        <v>352</v>
      </c>
      <c r="L189" t="s">
        <v>2988</v>
      </c>
      <c r="M189" t="s">
        <v>2989</v>
      </c>
      <c r="N189" t="s">
        <v>2990</v>
      </c>
      <c r="O189" t="s">
        <v>2991</v>
      </c>
    </row>
    <row r="190" spans="1:15">
      <c r="A190" t="s">
        <v>11</v>
      </c>
      <c r="B190" t="s">
        <v>2992</v>
      </c>
      <c r="C190" t="s">
        <v>2993</v>
      </c>
      <c r="D190" t="s">
        <v>1360</v>
      </c>
      <c r="E190" t="s">
        <v>2994</v>
      </c>
      <c r="F190" t="s">
        <v>2995</v>
      </c>
      <c r="G190" t="s">
        <v>2996</v>
      </c>
      <c r="H190" t="s">
        <v>2997</v>
      </c>
      <c r="I190" t="s">
        <v>2998</v>
      </c>
      <c r="J190" t="s">
        <v>2999</v>
      </c>
      <c r="K190" t="s">
        <v>3000</v>
      </c>
      <c r="L190" t="s">
        <v>3001</v>
      </c>
      <c r="M190" t="s">
        <v>3002</v>
      </c>
      <c r="N190" t="s">
        <v>3003</v>
      </c>
      <c r="O190" t="s">
        <v>3004</v>
      </c>
    </row>
    <row r="191" spans="1:15">
      <c r="A191" t="s">
        <v>258</v>
      </c>
      <c r="B191" t="s">
        <v>3005</v>
      </c>
      <c r="C191" t="s">
        <v>3006</v>
      </c>
      <c r="D191" t="s">
        <v>3007</v>
      </c>
      <c r="E191" t="s">
        <v>11</v>
      </c>
      <c r="F191" t="s">
        <v>3008</v>
      </c>
      <c r="G191" t="s">
        <v>3005</v>
      </c>
      <c r="H191" t="s">
        <v>3009</v>
      </c>
      <c r="I191" t="s">
        <v>11</v>
      </c>
      <c r="J191" t="s">
        <v>11</v>
      </c>
      <c r="K191" t="s">
        <v>11</v>
      </c>
      <c r="L191" t="s">
        <v>3010</v>
      </c>
      <c r="M191" t="s">
        <v>3011</v>
      </c>
      <c r="N191" t="s">
        <v>3012</v>
      </c>
      <c r="O191" t="s">
        <v>3013</v>
      </c>
    </row>
    <row r="192" spans="1:15">
      <c r="A192" t="s">
        <v>553</v>
      </c>
      <c r="B192" t="s">
        <v>3014</v>
      </c>
      <c r="C192" t="s">
        <v>3015</v>
      </c>
      <c r="D192" t="s">
        <v>3016</v>
      </c>
      <c r="E192" t="s">
        <v>3017</v>
      </c>
      <c r="F192" t="s">
        <v>3018</v>
      </c>
      <c r="G192" t="s">
        <v>3019</v>
      </c>
      <c r="H192" t="s">
        <v>3020</v>
      </c>
      <c r="I192" t="s">
        <v>3021</v>
      </c>
      <c r="J192" t="s">
        <v>3022</v>
      </c>
      <c r="K192" t="s">
        <v>3023</v>
      </c>
      <c r="L192" t="s">
        <v>3024</v>
      </c>
      <c r="M192" t="s">
        <v>3025</v>
      </c>
      <c r="N192" t="s">
        <v>3026</v>
      </c>
      <c r="O192" t="s">
        <v>3027</v>
      </c>
    </row>
    <row r="193" spans="1:15">
      <c r="A193" t="s">
        <v>130</v>
      </c>
      <c r="B193" t="s">
        <v>3028</v>
      </c>
      <c r="C193" t="s">
        <v>3029</v>
      </c>
      <c r="D193" t="s">
        <v>3030</v>
      </c>
      <c r="E193" t="s">
        <v>553</v>
      </c>
      <c r="F193" t="s">
        <v>3031</v>
      </c>
      <c r="G193" t="s">
        <v>3028</v>
      </c>
      <c r="H193" t="s">
        <v>3032</v>
      </c>
      <c r="I193" t="s">
        <v>553</v>
      </c>
      <c r="J193" t="s">
        <v>3033</v>
      </c>
      <c r="K193" t="s">
        <v>553</v>
      </c>
      <c r="L193" t="s">
        <v>3034</v>
      </c>
      <c r="M193" t="s">
        <v>3035</v>
      </c>
      <c r="N193" t="s">
        <v>3036</v>
      </c>
      <c r="O193" t="s">
        <v>3037</v>
      </c>
    </row>
    <row r="194" spans="1:15">
      <c r="A194" t="s">
        <v>36</v>
      </c>
      <c r="B194" t="s">
        <v>3038</v>
      </c>
      <c r="C194" t="s">
        <v>3039</v>
      </c>
      <c r="D194" t="s">
        <v>3040</v>
      </c>
      <c r="E194" t="s">
        <v>3041</v>
      </c>
      <c r="F194" t="s">
        <v>3042</v>
      </c>
      <c r="G194" t="s">
        <v>3043</v>
      </c>
      <c r="H194" t="s">
        <v>3044</v>
      </c>
      <c r="I194" t="s">
        <v>3045</v>
      </c>
      <c r="J194" t="s">
        <v>3046</v>
      </c>
      <c r="K194" t="s">
        <v>3047</v>
      </c>
      <c r="L194" t="s">
        <v>3048</v>
      </c>
      <c r="M194" t="s">
        <v>3049</v>
      </c>
      <c r="N194" t="s">
        <v>3050</v>
      </c>
      <c r="O194" t="s">
        <v>3051</v>
      </c>
    </row>
    <row r="195" spans="1:15">
      <c r="A195" t="s">
        <v>3066</v>
      </c>
      <c r="B195" t="s">
        <v>3052</v>
      </c>
      <c r="C195" t="s">
        <v>3053</v>
      </c>
      <c r="D195" t="s">
        <v>3054</v>
      </c>
      <c r="E195" t="s">
        <v>3055</v>
      </c>
      <c r="F195" t="s">
        <v>3056</v>
      </c>
      <c r="G195" t="s">
        <v>3057</v>
      </c>
      <c r="H195" t="s">
        <v>3058</v>
      </c>
      <c r="I195" t="s">
        <v>3059</v>
      </c>
      <c r="J195" t="s">
        <v>3060</v>
      </c>
      <c r="K195" t="s">
        <v>3061</v>
      </c>
      <c r="L195" t="s">
        <v>3062</v>
      </c>
      <c r="M195" t="s">
        <v>3063</v>
      </c>
      <c r="N195" t="s">
        <v>3064</v>
      </c>
      <c r="O195" t="s">
        <v>3065</v>
      </c>
    </row>
    <row r="196" spans="1:15">
      <c r="A196" t="s">
        <v>17</v>
      </c>
      <c r="B196" t="s">
        <v>3067</v>
      </c>
      <c r="C196" t="s">
        <v>3068</v>
      </c>
      <c r="D196" t="s">
        <v>3069</v>
      </c>
      <c r="E196" t="s">
        <v>3070</v>
      </c>
      <c r="F196" t="s">
        <v>3071</v>
      </c>
      <c r="G196" t="s">
        <v>3072</v>
      </c>
      <c r="H196" t="s">
        <v>3073</v>
      </c>
      <c r="I196" t="s">
        <v>3074</v>
      </c>
      <c r="J196" t="s">
        <v>3075</v>
      </c>
      <c r="K196" t="s">
        <v>3076</v>
      </c>
      <c r="L196" t="s">
        <v>3077</v>
      </c>
      <c r="M196" t="s">
        <v>3078</v>
      </c>
      <c r="N196" t="s">
        <v>3079</v>
      </c>
      <c r="O196" t="s">
        <v>3080</v>
      </c>
    </row>
    <row r="197" spans="1:15">
      <c r="B197" t="s">
        <v>831</v>
      </c>
      <c r="C197" t="s">
        <v>3081</v>
      </c>
      <c r="D197" t="s">
        <v>875</v>
      </c>
      <c r="E197" t="s">
        <v>848</v>
      </c>
      <c r="F197" t="s">
        <v>3082</v>
      </c>
      <c r="G197" t="s">
        <v>3083</v>
      </c>
      <c r="H197" t="s">
        <v>3084</v>
      </c>
      <c r="I197" t="s">
        <v>859</v>
      </c>
      <c r="J197" t="s">
        <v>3085</v>
      </c>
      <c r="K197" t="s">
        <v>17</v>
      </c>
      <c r="L197" t="s">
        <v>3086</v>
      </c>
      <c r="M197" t="s">
        <v>3087</v>
      </c>
      <c r="N197" t="s">
        <v>3088</v>
      </c>
      <c r="O197" t="s">
        <v>3089</v>
      </c>
    </row>
  </sheetData>
  <hyperlinks>
    <hyperlink ref="S1" r:id="rId1" xr:uid="{010CAB7A-9A04-445F-9309-8B3851C3C5B3}"/>
  </hyperlinks>
  <pageMargins left="0.7" right="0.7" top="0.75" bottom="0.75" header="0.3" footer="0.3"/>
  <pageSetup paperSize="9" orientation="portrait" horizontalDpi="4294967293" verticalDpi="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429891-7D93-4FAE-B305-4FD542A519A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ScenMap</vt:lpstr>
      <vt:lpstr>TS_Defs</vt:lpstr>
      <vt:lpstr>TS_Defs Sankey</vt:lpstr>
      <vt:lpstr>Steel</vt:lpstr>
      <vt:lpstr>TS_Defs repUCs</vt:lpstr>
      <vt:lpstr>TS_ratios</vt:lpstr>
      <vt:lpstr>PSET_Map</vt:lpstr>
      <vt:lpstr>CSET_Map</vt:lpstr>
      <vt:lpstr>cname_map</vt:lpstr>
      <vt:lpstr>pname_map</vt:lpstr>
      <vt:lpstr>varbl map</vt:lpstr>
      <vt:lpstr>process map</vt:lpstr>
      <vt:lpstr>commodity map</vt:lpstr>
      <vt:lpstr>UnitConv_TIAM</vt:lpstr>
      <vt:lpstr>lang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2011-02-22T06:05:52Z</dcterms:created>
  <dcterms:modified xsi:type="dcterms:W3CDTF">2025-06-21T13:24:23Z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509090602397918</vt:r8>
  </property>
  <property fmtid="{D5CDD505-2E9C-101B-9397-08002B2CF9AE}" pid="3" name="{A44787D4-0540-4523-9961-78E4036D8C6D}">
    <vt:lpwstr>{1445FEDD-6E3D-4D61-B9ED-39A5E9973A5F}</vt:lpwstr>
  </property>
</Properties>
</file>