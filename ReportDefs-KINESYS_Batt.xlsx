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\"/>
    </mc:Choice>
  </mc:AlternateContent>
  <xr:revisionPtr revIDLastSave="0" documentId="13_ncr:1_{5A53D952-B076-432A-A50D-F97E7B1DF771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ATS-WEO" sheetId="90" r:id="rId15"/>
    <sheet name="lang" sheetId="91" r:id="rId16"/>
  </sheets>
  <definedNames>
    <definedName name="_xlnm._FilterDatabase" localSheetId="14" hidden="1">'ATS-WEO'!$A$2:$M$5089</definedName>
    <definedName name="_xlnm._FilterDatabase" localSheetId="11" hidden="1">'process map'!$A$2:$F$208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4" l="1"/>
  <c r="B8" i="64"/>
  <c r="G8" i="64" s="1"/>
  <c r="B9" i="64"/>
  <c r="G9" i="64" s="1"/>
  <c r="B10" i="64"/>
  <c r="G10" i="64" s="1"/>
  <c r="B11" i="64"/>
  <c r="G11" i="64" s="1"/>
  <c r="B7" i="64"/>
  <c r="G7" i="64" s="1"/>
  <c r="C7" i="79" l="1"/>
  <c r="C6" i="79"/>
  <c r="B78" i="85"/>
  <c r="P16" i="80" l="1"/>
  <c r="P13" i="80"/>
  <c r="Q13" i="80" s="1"/>
  <c r="D29" i="38"/>
  <c r="P42" i="80" l="1"/>
  <c r="Q42" i="80" s="1"/>
  <c r="G6" i="85"/>
  <c r="H6" i="82"/>
  <c r="G70" i="85"/>
  <c r="G71" i="85" s="1"/>
  <c r="B70" i="85"/>
  <c r="B69" i="85"/>
  <c r="H28" i="58"/>
  <c r="H19" i="58"/>
  <c r="H39" i="58"/>
  <c r="H56" i="58"/>
  <c r="H96" i="58"/>
  <c r="H19" i="82"/>
  <c r="H29" i="82"/>
  <c r="P32" i="80"/>
  <c r="Q32" i="80" s="1"/>
  <c r="O67" i="80"/>
  <c r="O66" i="80"/>
  <c r="O65" i="80"/>
  <c r="O64" i="80"/>
  <c r="O63" i="80"/>
  <c r="E12" i="92"/>
  <c r="B3" i="92" s="1"/>
  <c r="B4" i="92" s="1"/>
  <c r="E38" i="92"/>
  <c r="C3" i="92" s="1"/>
  <c r="B6" i="88" l="1"/>
  <c r="B7" i="88"/>
  <c r="B8" i="88"/>
  <c r="B9" i="88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37" i="88"/>
  <c r="B38" i="88"/>
  <c r="B39" i="88"/>
  <c r="B40" i="88"/>
  <c r="B41" i="88"/>
  <c r="B42" i="88"/>
  <c r="B43" i="88"/>
  <c r="B44" i="88"/>
  <c r="B45" i="88"/>
  <c r="B46" i="88"/>
  <c r="B47" i="88"/>
  <c r="B48" i="88"/>
  <c r="B49" i="88"/>
  <c r="B50" i="88"/>
  <c r="B51" i="88"/>
  <c r="B52" i="88"/>
  <c r="B53" i="88"/>
  <c r="B54" i="88"/>
  <c r="B55" i="88"/>
  <c r="B56" i="88"/>
  <c r="B57" i="88"/>
  <c r="B58" i="88"/>
  <c r="B59" i="88"/>
  <c r="B60" i="88"/>
  <c r="B61" i="88"/>
  <c r="B62" i="88"/>
  <c r="B63" i="88"/>
  <c r="B64" i="88"/>
  <c r="B65" i="88"/>
  <c r="B66" i="88"/>
  <c r="B67" i="88"/>
  <c r="B68" i="88"/>
  <c r="B69" i="88"/>
  <c r="B70" i="88"/>
  <c r="B71" i="88"/>
  <c r="B72" i="88"/>
  <c r="B73" i="88"/>
  <c r="B74" i="88"/>
  <c r="B75" i="88"/>
  <c r="B76" i="88"/>
  <c r="B77" i="88"/>
  <c r="B78" i="88"/>
  <c r="B79" i="88"/>
  <c r="B80" i="88"/>
  <c r="B81" i="88"/>
  <c r="B82" i="88"/>
  <c r="B83" i="88"/>
  <c r="B84" i="88"/>
  <c r="B85" i="88"/>
  <c r="B86" i="88"/>
  <c r="B87" i="88"/>
  <c r="B88" i="88"/>
  <c r="B89" i="88"/>
  <c r="B90" i="88"/>
  <c r="B91" i="88"/>
  <c r="B92" i="88"/>
  <c r="B93" i="88"/>
  <c r="B94" i="88"/>
  <c r="B95" i="88"/>
  <c r="B96" i="88"/>
  <c r="B97" i="88"/>
  <c r="B98" i="88"/>
  <c r="B99" i="88"/>
  <c r="B100" i="88"/>
  <c r="B101" i="88"/>
  <c r="B102" i="88"/>
  <c r="B103" i="88"/>
  <c r="B104" i="88"/>
  <c r="B105" i="88"/>
  <c r="B106" i="88"/>
  <c r="B107" i="88"/>
  <c r="B108" i="88"/>
  <c r="B109" i="88"/>
  <c r="B110" i="88"/>
  <c r="B111" i="88"/>
  <c r="B112" i="88"/>
  <c r="B113" i="88"/>
  <c r="B114" i="88"/>
  <c r="B115" i="88"/>
  <c r="B116" i="88"/>
  <c r="B117" i="88"/>
  <c r="B118" i="88"/>
  <c r="B119" i="88"/>
  <c r="B120" i="88"/>
  <c r="B121" i="88"/>
  <c r="B122" i="88"/>
  <c r="B123" i="88"/>
  <c r="B124" i="88"/>
  <c r="B125" i="88"/>
  <c r="B126" i="88"/>
  <c r="B127" i="88"/>
  <c r="B128" i="88"/>
  <c r="B129" i="88"/>
  <c r="B130" i="88"/>
  <c r="B131" i="88"/>
  <c r="B132" i="88"/>
  <c r="B133" i="88"/>
  <c r="B134" i="88"/>
  <c r="B135" i="88"/>
  <c r="B136" i="88"/>
  <c r="B137" i="88"/>
  <c r="B138" i="88"/>
  <c r="B139" i="88"/>
  <c r="B140" i="88"/>
  <c r="B141" i="88"/>
  <c r="B142" i="88"/>
  <c r="B143" i="88"/>
  <c r="B144" i="88"/>
  <c r="B5" i="88"/>
  <c r="G12" i="85"/>
  <c r="G11" i="85"/>
  <c r="B59" i="85"/>
  <c r="B49" i="85" l="1"/>
  <c r="B50" i="85"/>
  <c r="B60" i="85"/>
  <c r="A11" i="64"/>
  <c r="A10" i="64"/>
  <c r="B53" i="58"/>
  <c r="C53" i="58" s="1"/>
  <c r="B52" i="58"/>
  <c r="C52" i="58" s="1"/>
  <c r="B51" i="58"/>
  <c r="C51" i="58" s="1"/>
  <c r="B50" i="58"/>
  <c r="C50" i="58" s="1"/>
  <c r="B49" i="58"/>
  <c r="C49" i="58" s="1"/>
  <c r="B48" i="58"/>
  <c r="C48" i="58" s="1"/>
  <c r="A9" i="64"/>
  <c r="A8" i="64"/>
  <c r="A7" i="64"/>
  <c r="A6" i="64"/>
  <c r="D30" i="38" l="1"/>
  <c r="C43" i="58" l="1"/>
  <c r="C15" i="82"/>
  <c r="O61" i="80"/>
  <c r="O60" i="80"/>
  <c r="O59" i="80"/>
  <c r="O58" i="80"/>
  <c r="P50" i="80"/>
  <c r="Q50" i="80" s="1"/>
  <c r="M9" i="85"/>
  <c r="M8" i="85"/>
  <c r="J9" i="85"/>
  <c r="C9" i="85"/>
  <c r="J8" i="85"/>
  <c r="H8" i="85"/>
  <c r="C8" i="85"/>
  <c r="A9" i="85"/>
  <c r="A8" i="85"/>
  <c r="O57" i="80"/>
  <c r="O56" i="80"/>
  <c r="P55" i="80"/>
  <c r="Q55" i="80" s="1"/>
  <c r="P54" i="80"/>
  <c r="Q54" i="80" s="1"/>
  <c r="P10" i="80"/>
  <c r="Q10" i="80" s="1"/>
  <c r="C15" i="85"/>
  <c r="C11" i="82"/>
  <c r="C19" i="82"/>
  <c r="P15" i="80"/>
  <c r="P30" i="80"/>
  <c r="Q30" i="80" s="1"/>
  <c r="C55" i="58"/>
  <c r="Q12" i="87"/>
  <c r="R12" i="87" s="1"/>
  <c r="S12" i="87" s="1"/>
  <c r="Q13" i="87"/>
  <c r="R13" i="87"/>
  <c r="S13" i="87" s="1"/>
  <c r="Q14" i="87"/>
  <c r="R14" i="87"/>
  <c r="S14" i="87"/>
  <c r="Q15" i="87"/>
  <c r="R15" i="87"/>
  <c r="S15" i="87"/>
  <c r="Q16" i="87"/>
  <c r="R16" i="87"/>
  <c r="S16" i="87" s="1"/>
  <c r="Q17" i="87"/>
  <c r="R17" i="87" s="1"/>
  <c r="S17" i="87" s="1"/>
  <c r="Q18" i="87"/>
  <c r="R18" i="87" s="1"/>
  <c r="S18" i="87" s="1"/>
  <c r="Q19" i="87"/>
  <c r="R19" i="87" s="1"/>
  <c r="S19" i="87" s="1"/>
  <c r="E22" i="86"/>
  <c r="E21" i="86"/>
  <c r="E20" i="86"/>
  <c r="E19" i="86"/>
  <c r="E18" i="86"/>
  <c r="E17" i="86"/>
  <c r="E16" i="86"/>
  <c r="E15" i="86"/>
  <c r="D23" i="38"/>
  <c r="D24" i="38"/>
  <c r="Q6" i="87"/>
  <c r="R6" i="87"/>
  <c r="S6" i="87"/>
  <c r="Q7" i="87"/>
  <c r="R7" i="87"/>
  <c r="S7" i="87"/>
  <c r="Q8" i="87"/>
  <c r="R8" i="87"/>
  <c r="S8" i="87" s="1"/>
  <c r="Q9" i="87"/>
  <c r="R9" i="87" s="1"/>
  <c r="S9" i="87" s="1"/>
  <c r="Q10" i="87"/>
  <c r="R10" i="87" s="1"/>
  <c r="S10" i="87" s="1"/>
  <c r="Q11" i="87"/>
  <c r="R11" i="87"/>
  <c r="S11" i="87" s="1"/>
  <c r="Q5" i="87"/>
  <c r="R5" i="87"/>
  <c r="S5" i="87"/>
  <c r="Q4" i="87"/>
  <c r="R4" i="87"/>
  <c r="S4" i="87"/>
  <c r="Q3" i="87"/>
  <c r="R3" i="87"/>
  <c r="S3" i="87"/>
  <c r="P48" i="80"/>
  <c r="Q48" i="80" s="1"/>
  <c r="P47" i="80"/>
  <c r="Q47" i="80" s="1"/>
  <c r="P46" i="80"/>
  <c r="Q46" i="80" s="1"/>
  <c r="P25" i="80"/>
  <c r="P14" i="80"/>
  <c r="P41" i="80"/>
  <c r="Q41" i="80" s="1"/>
  <c r="H30" i="58"/>
  <c r="C30" i="58"/>
  <c r="P23" i="80"/>
  <c r="Q23" i="80" s="1"/>
  <c r="P22" i="80"/>
  <c r="Q22" i="80" s="1"/>
  <c r="P21" i="80"/>
  <c r="Q21" i="80" s="1"/>
  <c r="P20" i="80"/>
  <c r="Q20" i="80" s="1"/>
  <c r="P11" i="80"/>
  <c r="P35" i="80"/>
  <c r="Q35" i="80" s="1"/>
  <c r="P24" i="80"/>
  <c r="P19" i="80"/>
  <c r="Q19" i="80" s="1"/>
  <c r="P18" i="80"/>
  <c r="Q18" i="80" s="1"/>
  <c r="P17" i="80"/>
  <c r="Q17" i="80" s="1"/>
  <c r="P12" i="80"/>
  <c r="Q12" i="80" s="1"/>
  <c r="P9" i="80"/>
  <c r="P7" i="80"/>
  <c r="P53" i="80"/>
  <c r="Q53" i="80" s="1"/>
  <c r="P52" i="80"/>
  <c r="Q52" i="80" s="1"/>
  <c r="P51" i="80"/>
  <c r="Q51" i="80"/>
  <c r="L51" i="80"/>
  <c r="C27" i="58"/>
  <c r="C26" i="58"/>
  <c r="C18" i="82"/>
  <c r="C13" i="82"/>
  <c r="B48" i="77"/>
  <c r="B47" i="77"/>
  <c r="B46" i="77"/>
  <c r="B45" i="77"/>
  <c r="B44" i="77"/>
  <c r="B43" i="77"/>
  <c r="B42" i="77"/>
  <c r="B41" i="77"/>
  <c r="B40" i="77"/>
  <c r="B39" i="77"/>
  <c r="B38" i="77"/>
  <c r="B37" i="77"/>
  <c r="B36" i="77"/>
  <c r="B35" i="77"/>
  <c r="B34" i="77"/>
  <c r="I30" i="77"/>
  <c r="I29" i="77"/>
  <c r="I28" i="77"/>
  <c r="I27" i="77"/>
  <c r="I26" i="77"/>
  <c r="I25" i="77"/>
  <c r="I24" i="77"/>
  <c r="I23" i="77"/>
  <c r="I22" i="77"/>
  <c r="I21" i="77"/>
  <c r="I20" i="77"/>
  <c r="I19" i="77"/>
  <c r="I18" i="77"/>
  <c r="I17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58" i="58"/>
  <c r="C58" i="58"/>
  <c r="C56" i="58"/>
  <c r="C54" i="58"/>
  <c r="C47" i="58"/>
  <c r="C46" i="58"/>
  <c r="C45" i="58"/>
  <c r="C44" i="58"/>
  <c r="C42" i="58"/>
  <c r="C41" i="58"/>
  <c r="C14" i="82"/>
  <c r="C16" i="82"/>
  <c r="C17" i="82"/>
  <c r="P49" i="80"/>
  <c r="Q49" i="80" s="1"/>
  <c r="C3" i="58"/>
  <c r="C4" i="58"/>
  <c r="C5" i="58"/>
  <c r="C6" i="58"/>
  <c r="C7" i="58"/>
  <c r="C8" i="58"/>
  <c r="C9" i="58"/>
  <c r="C10" i="58"/>
  <c r="C11" i="58"/>
  <c r="C12" i="58"/>
  <c r="C13" i="58"/>
  <c r="C14" i="58"/>
  <c r="C15" i="58"/>
  <c r="C16" i="58"/>
  <c r="C17" i="58"/>
  <c r="C18" i="58"/>
  <c r="C19" i="58"/>
  <c r="P45" i="80"/>
  <c r="Q45" i="80" s="1"/>
  <c r="P40" i="80"/>
  <c r="Q40" i="80" s="1"/>
  <c r="C24" i="58"/>
  <c r="P6" i="80"/>
  <c r="P5" i="80"/>
  <c r="P4" i="80"/>
  <c r="P3" i="80"/>
  <c r="P39" i="80"/>
  <c r="Q39" i="80" s="1"/>
  <c r="P37" i="80"/>
  <c r="Q37" i="80"/>
  <c r="P36" i="80"/>
  <c r="Q36" i="80" s="1"/>
  <c r="P34" i="80"/>
  <c r="Q34" i="80" s="1"/>
  <c r="P33" i="80"/>
  <c r="Q33" i="80" s="1"/>
  <c r="P31" i="80"/>
  <c r="Q31" i="80" s="1"/>
  <c r="C4" i="83"/>
  <c r="C5" i="83"/>
  <c r="C6" i="83"/>
  <c r="C7" i="83"/>
  <c r="C3" i="83"/>
  <c r="C4" i="82"/>
  <c r="C5" i="82"/>
  <c r="C6" i="82"/>
  <c r="C7" i="82"/>
  <c r="C8" i="82"/>
  <c r="C9" i="82"/>
  <c r="C10" i="82"/>
  <c r="C12" i="82"/>
  <c r="C3" i="82"/>
  <c r="C28" i="58"/>
  <c r="C25" i="58"/>
  <c r="C23" i="58"/>
  <c r="C22" i="58"/>
  <c r="C21" i="58"/>
  <c r="D20" i="38"/>
  <c r="P29" i="80"/>
  <c r="Q29" i="80"/>
  <c r="P28" i="80"/>
  <c r="D18" i="38"/>
  <c r="C31" i="58"/>
  <c r="C32" i="58"/>
  <c r="C33" i="58"/>
  <c r="C34" i="58"/>
  <c r="C35" i="58"/>
  <c r="C36" i="58"/>
  <c r="C37" i="58"/>
  <c r="C38" i="58"/>
  <c r="C39" i="58"/>
  <c r="D9" i="38"/>
  <c r="D17" i="38" s="1"/>
  <c r="D4" i="38"/>
  <c r="D16" i="38" s="1"/>
  <c r="H4" i="38"/>
  <c r="N10" i="38"/>
  <c r="L3" i="38"/>
  <c r="M3" i="38" s="1"/>
  <c r="B7" i="85" l="1"/>
  <c r="B9" i="85" s="1"/>
  <c r="D10" i="38"/>
  <c r="D3" i="80"/>
  <c r="B6" i="85"/>
  <c r="B8" i="85" s="1"/>
  <c r="G3" i="85"/>
  <c r="G17" i="85" l="1"/>
  <c r="G7" i="85"/>
  <c r="I5" i="80" l="1"/>
  <c r="I4" i="80"/>
  <c r="I6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1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W2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2/11/2012
Name of the aggregated Region
</t>
        </r>
      </text>
    </comment>
    <comment ref="AA2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3/29/2012
if not from EMF TS
</t>
        </r>
      </text>
    </comment>
    <comment ref="J23" authorId="0" shapeId="0" xr:uid="{D58A7D3A-D11E-42BE-A78A-C855DB4EE77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10-04-2022
energy services
</t>
        </r>
      </text>
    </comment>
    <comment ref="J24" authorId="0" shapeId="0" xr:uid="{6E4CD069-9A79-4905-AB6D-9E428AD4C5E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2C20EE6-1FD9-4CEE-BDC4-F1F2DEBF0E29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H6" authorId="0" shapeId="0" xr:uid="{28940337-96A9-4FDF-8B08-1546588F382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15-03-2022
- SUP* accounted separately
- BF and CokeOv</t>
        </r>
      </text>
    </comment>
    <comment ref="G11" authorId="0" shapeId="0" xr:uid="{6C5CE0E8-9044-4F09-ACF5-B8FF0DB7B24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  <comment ref="G12" authorId="0" shapeId="0" xr:uid="{1DDC28A0-93B4-4218-89BA-AADACFD818A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CE4F1AC7-5032-4418-836A-0EB78555CB9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F671238E-748D-4DFE-B2FA-B3C0EAAF95A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612AD-D9D8-471B-BEC2-619B1407BDB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F2" authorId="1" shapeId="0" xr:uid="{CF9ED5BA-BF0C-406D-9206-13365A247F1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B01DEEA-5276-4FA8-BF3D-4032EB211A8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8" authorId="0" shapeId="0" xr:uid="{49C8CC42-9403-44C9-9614-525CF364813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19" authorId="0" shapeId="0" xr:uid="{34513F65-0BE4-4AB9-82A4-106F48CBC21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  <comment ref="F39" authorId="0" shapeId="0" xr:uid="{3E3601C1-D3B6-44FE-B2CE-041FF159CFA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<sst xmlns="http://schemas.openxmlformats.org/spreadsheetml/2006/main" count="110140" uniqueCount="3819">
  <si>
    <t>Unit</t>
  </si>
  <si>
    <t>%</t>
  </si>
  <si>
    <t>Desc</t>
  </si>
  <si>
    <t>Name</t>
  </si>
  <si>
    <t>Bio</t>
  </si>
  <si>
    <t>Coal</t>
  </si>
  <si>
    <t>Gas</t>
  </si>
  <si>
    <t>Heat</t>
  </si>
  <si>
    <t>Hydrogen</t>
  </si>
  <si>
    <t>Industry</t>
  </si>
  <si>
    <t>Electricity</t>
  </si>
  <si>
    <t>Transport</t>
  </si>
  <si>
    <t>Russia</t>
  </si>
  <si>
    <t>Geothermal</t>
  </si>
  <si>
    <t>Hydro</t>
  </si>
  <si>
    <t>Nuclear</t>
  </si>
  <si>
    <t>Oil</t>
  </si>
  <si>
    <t>Solar</t>
  </si>
  <si>
    <t>Wind</t>
  </si>
  <si>
    <t>Varbl</t>
  </si>
  <si>
    <t>World</t>
  </si>
  <si>
    <t>Region</t>
  </si>
  <si>
    <t>China</t>
  </si>
  <si>
    <t>India</t>
  </si>
  <si>
    <t>Japan</t>
  </si>
  <si>
    <t>Commercial</t>
  </si>
  <si>
    <t>Residential</t>
  </si>
  <si>
    <t>VAR_FOUT</t>
  </si>
  <si>
    <t>TS</t>
  </si>
  <si>
    <t>EQ_COMBALM</t>
  </si>
  <si>
    <t>VAR_CAP</t>
  </si>
  <si>
    <t>GW</t>
  </si>
  <si>
    <t>*</t>
  </si>
  <si>
    <t>m$</t>
  </si>
  <si>
    <t>VAR_NCAP</t>
  </si>
  <si>
    <t>Twh</t>
  </si>
  <si>
    <t>Model</t>
  </si>
  <si>
    <t>Scen</t>
  </si>
  <si>
    <t>EJ</t>
  </si>
  <si>
    <t>$/GJ</t>
  </si>
  <si>
    <t>PJ</t>
  </si>
  <si>
    <t>Biomass</t>
  </si>
  <si>
    <t>Waste</t>
  </si>
  <si>
    <t>TIAM</t>
  </si>
  <si>
    <t>VAR_FIN</t>
  </si>
  <si>
    <t>HH2</t>
  </si>
  <si>
    <t>Renewable</t>
  </si>
  <si>
    <t>Agriculture</t>
  </si>
  <si>
    <t>TOTCO2</t>
  </si>
  <si>
    <t>Ldesc</t>
  </si>
  <si>
    <t>GEO</t>
  </si>
  <si>
    <t>HYD</t>
  </si>
  <si>
    <t>SOL</t>
  </si>
  <si>
    <t>WIN</t>
  </si>
  <si>
    <t>ProcOrd</t>
  </si>
  <si>
    <t>NRG</t>
  </si>
  <si>
    <t>million</t>
  </si>
  <si>
    <t>billion US$2005/yr</t>
  </si>
  <si>
    <t>EJ/yr</t>
  </si>
  <si>
    <t>Mt CO2/yr</t>
  </si>
  <si>
    <t>kt N2O/yr</t>
  </si>
  <si>
    <t>Mt CH4/yr</t>
  </si>
  <si>
    <t>Mt CO2-equiv/yr</t>
  </si>
  <si>
    <t>ppm</t>
  </si>
  <si>
    <t>ppb</t>
  </si>
  <si>
    <t>W/m2</t>
  </si>
  <si>
    <t>US$2005/t CO2</t>
  </si>
  <si>
    <t>US$2005/GJ</t>
  </si>
  <si>
    <t>US$2005/MWh</t>
  </si>
  <si>
    <t>$/kW</t>
  </si>
  <si>
    <t>ktU</t>
  </si>
  <si>
    <t>Mt SO2/yr</t>
  </si>
  <si>
    <t>Mt BC/yr</t>
  </si>
  <si>
    <t>Mt OC/yr</t>
  </si>
  <si>
    <t>Mt NO2/yr</t>
  </si>
  <si>
    <t>Mt CO/yr</t>
  </si>
  <si>
    <t xml:space="preserve"> °C</t>
  </si>
  <si>
    <t>million Ha/yr</t>
  </si>
  <si>
    <t>Index (2005 = 1)</t>
  </si>
  <si>
    <t>bn pkm/yr</t>
  </si>
  <si>
    <t>bn tkm/yr</t>
  </si>
  <si>
    <t>bn m2/yr</t>
  </si>
  <si>
    <t>Alt Description</t>
  </si>
  <si>
    <t>kt CO2</t>
  </si>
  <si>
    <t>kt CH4</t>
  </si>
  <si>
    <t>kt N2O</t>
  </si>
  <si>
    <t>$/t CO2</t>
  </si>
  <si>
    <t>$2000 to 2005</t>
  </si>
  <si>
    <t>EMF27 Units</t>
  </si>
  <si>
    <t>PJ-Cum</t>
  </si>
  <si>
    <t>quadrillion Btu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</si>
  <si>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</si>
  <si>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</si>
  <si>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</si>
  <si>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</si>
  <si>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</si>
  <si>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</si>
  <si>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</si>
  <si>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</si>
  <si>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</si>
  <si>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Coal (CCS)</t>
  </si>
  <si>
    <t>Gas (CCS)</t>
  </si>
  <si>
    <t>Agri</t>
  </si>
  <si>
    <t>Oname</t>
  </si>
  <si>
    <t>Crude</t>
  </si>
  <si>
    <t>Cost_INV</t>
  </si>
  <si>
    <t>IRE</t>
  </si>
  <si>
    <t>~TS_Defs</t>
  </si>
  <si>
    <t>IgnoreForRegAgg</t>
  </si>
  <si>
    <t>WAttribute</t>
  </si>
  <si>
    <t>~UnitConv</t>
  </si>
  <si>
    <t>Unit1</t>
  </si>
  <si>
    <t>Unit2</t>
  </si>
  <si>
    <t>MultFact</t>
  </si>
  <si>
    <t>VAR_NCAPR</t>
  </si>
  <si>
    <t>$/GJe</t>
  </si>
  <si>
    <t>UC_N</t>
  </si>
  <si>
    <t>$/kw</t>
  </si>
  <si>
    <t>$2000 to 2010</t>
  </si>
  <si>
    <t>DMD</t>
  </si>
  <si>
    <t>Cost_Act</t>
  </si>
  <si>
    <t>Cost_Fom</t>
  </si>
  <si>
    <t>~Pset_Map</t>
  </si>
  <si>
    <t>Pset</t>
  </si>
  <si>
    <t>$2015 to 2010</t>
  </si>
  <si>
    <t>m$npv</t>
  </si>
  <si>
    <t>$2015 to 2015</t>
  </si>
  <si>
    <t>NETs</t>
  </si>
  <si>
    <t>Snk_Avo_For</t>
  </si>
  <si>
    <t>Snk_Ref_-_T</t>
  </si>
  <si>
    <t xml:space="preserve">Reforestation </t>
  </si>
  <si>
    <t>Snk_Nat_For</t>
  </si>
  <si>
    <t>Snk_Bio_-_T</t>
  </si>
  <si>
    <t xml:space="preserve">Biochar </t>
  </si>
  <si>
    <t>Snk_Cro_Nut</t>
  </si>
  <si>
    <t>Snk_Tre_In_</t>
  </si>
  <si>
    <t xml:space="preserve">Trees in Cropland </t>
  </si>
  <si>
    <t>Snk_Avo_Pet</t>
  </si>
  <si>
    <t>Snk_Coa_Wet</t>
  </si>
  <si>
    <t>Snk_Pet_Res</t>
  </si>
  <si>
    <t xml:space="preserve">Peatland Restoration </t>
  </si>
  <si>
    <t>Avoided Forest Conv</t>
  </si>
  <si>
    <t>Nat Forest Mgmt</t>
  </si>
  <si>
    <t>Avoided Peatland</t>
  </si>
  <si>
    <t>Cstal Wetland Rstrn</t>
  </si>
  <si>
    <t>Crplnd Nutrient Mgmt</t>
  </si>
  <si>
    <t>Fuel</t>
  </si>
  <si>
    <t>Power</t>
  </si>
  <si>
    <t>Biofuels</t>
  </si>
  <si>
    <t>~varbl_map</t>
  </si>
  <si>
    <t>dimension</t>
  </si>
  <si>
    <t>name</t>
  </si>
  <si>
    <t>description</t>
  </si>
  <si>
    <t>attribute</t>
  </si>
  <si>
    <t>Final energy</t>
  </si>
  <si>
    <t>~process_map</t>
  </si>
  <si>
    <t>Cars</t>
  </si>
  <si>
    <t>Elec Generation</t>
  </si>
  <si>
    <t>Fuel Consumption</t>
  </si>
  <si>
    <t>Capacity</t>
  </si>
  <si>
    <t>Emissions</t>
  </si>
  <si>
    <t>PJe</t>
  </si>
  <si>
    <t>p</t>
  </si>
  <si>
    <t>Iron and Steel</t>
  </si>
  <si>
    <t>TRANGA</t>
  </si>
  <si>
    <t>~commodity_map</t>
  </si>
  <si>
    <t>Diesel</t>
  </si>
  <si>
    <t>Gasoline</t>
  </si>
  <si>
    <t>LNG</t>
  </si>
  <si>
    <t>CNG</t>
  </si>
  <si>
    <t>???DST</t>
  </si>
  <si>
    <t>???LNG</t>
  </si>
  <si>
    <t>???LPG</t>
  </si>
  <si>
    <t>LPG</t>
  </si>
  <si>
    <t>???JTK</t>
  </si>
  <si>
    <t>???HFO</t>
  </si>
  <si>
    <t>???KER</t>
  </si>
  <si>
    <t>Jet kero</t>
  </si>
  <si>
    <t>Heavy oil</t>
  </si>
  <si>
    <t>Kerosene</t>
  </si>
  <si>
    <t>???Nap</t>
  </si>
  <si>
    <t>Naphtha</t>
  </si>
  <si>
    <t>???PTC</t>
  </si>
  <si>
    <t>Petcoke</t>
  </si>
  <si>
    <t>Chemicals</t>
  </si>
  <si>
    <t>Pulp and Paper</t>
  </si>
  <si>
    <t>???WAS,???WHT</t>
  </si>
  <si>
    <t>*COA*</t>
  </si>
  <si>
    <t>CostType</t>
  </si>
  <si>
    <t>FixOM</t>
  </si>
  <si>
    <t>Investment</t>
  </si>
  <si>
    <t>Trade</t>
  </si>
  <si>
    <t>Variable</t>
  </si>
  <si>
    <t>Tax/Subsidy</t>
  </si>
  <si>
    <t>Act</t>
  </si>
  <si>
    <t>Deliv</t>
  </si>
  <si>
    <t>Delivery</t>
  </si>
  <si>
    <t>FOM</t>
  </si>
  <si>
    <t>c</t>
  </si>
  <si>
    <t>PJNeg</t>
  </si>
  <si>
    <t>Energy</t>
  </si>
  <si>
    <t>*BIO*</t>
  </si>
  <si>
    <t>*GAS*,*NGA*</t>
  </si>
  <si>
    <t>*ELC*</t>
  </si>
  <si>
    <t>*HET*</t>
  </si>
  <si>
    <t>*WIN*</t>
  </si>
  <si>
    <t>*HYD*</t>
  </si>
  <si>
    <t>Ren Elec</t>
  </si>
  <si>
    <t>source/use</t>
  </si>
  <si>
    <t>ENV</t>
  </si>
  <si>
    <t>kt CO2neg</t>
  </si>
  <si>
    <t>Emi/Cap</t>
  </si>
  <si>
    <t>Emi*</t>
  </si>
  <si>
    <t>Emission</t>
  </si>
  <si>
    <t>CapCO2*</t>
  </si>
  <si>
    <t>Capture</t>
  </si>
  <si>
    <t>???OVC,???COK</t>
  </si>
  <si>
    <t>Coke</t>
  </si>
  <si>
    <t>???REN</t>
  </si>
  <si>
    <t>BF gas</t>
  </si>
  <si>
    <t>???BFG,???COG</t>
  </si>
  <si>
    <t>???BDS</t>
  </si>
  <si>
    <t>Biodiesel</t>
  </si>
  <si>
    <t>???BGS</t>
  </si>
  <si>
    <t>Biogasoline</t>
  </si>
  <si>
    <t>???GSL*</t>
  </si>
  <si>
    <t>DEM</t>
  </si>
  <si>
    <t>DMD_out</t>
  </si>
  <si>
    <t>DMD_in</t>
  </si>
  <si>
    <t>Coal bro</t>
  </si>
  <si>
    <t>*COB*,*BCO*</t>
  </si>
  <si>
    <t>VAR_POUT</t>
  </si>
  <si>
    <t>PJ2gw</t>
  </si>
  <si>
    <t>Vintage</t>
  </si>
  <si>
    <t>t</t>
  </si>
  <si>
    <t>*GEO*</t>
  </si>
  <si>
    <t>Brazil</t>
  </si>
  <si>
    <t>*CO2Nc</t>
  </si>
  <si>
    <t>*CO2Ng</t>
  </si>
  <si>
    <t>*CO2No</t>
  </si>
  <si>
    <t>*CO2Nw</t>
  </si>
  <si>
    <t>SUP*</t>
  </si>
  <si>
    <t>CO2_emissions</t>
  </si>
  <si>
    <t>*CO2Nb</t>
  </si>
  <si>
    <t>TFC[_]*,*[_]FE[_]*,Fin E[_]*,-*[_]IND[_]*,-*[_]Fuels[_]*,FinE*,*[_]Fuels</t>
  </si>
  <si>
    <t>DMD_AGR</t>
  </si>
  <si>
    <t>DMD_COM</t>
  </si>
  <si>
    <t>DMD_RES</t>
  </si>
  <si>
    <t>DMD_IND</t>
  </si>
  <si>
    <t>~Cset_Map</t>
  </si>
  <si>
    <t>Cset</t>
  </si>
  <si>
    <t>ALLBIO</t>
  </si>
  <si>
    <t>ALLNUC</t>
  </si>
  <si>
    <t>ALLELC</t>
  </si>
  <si>
    <t>ALLGAS</t>
  </si>
  <si>
    <t>ALLCOAL</t>
  </si>
  <si>
    <t>ALLHEAT</t>
  </si>
  <si>
    <t>ALLH2</t>
  </si>
  <si>
    <t>show_me</t>
  </si>
  <si>
    <t>~CName_Map</t>
  </si>
  <si>
    <t>Cname</t>
  </si>
  <si>
    <t>TID</t>
  </si>
  <si>
    <t>Tidal</t>
  </si>
  <si>
    <t>Non-ferrous metals</t>
  </si>
  <si>
    <t>Non-metals</t>
  </si>
  <si>
    <t>Transport and machinery</t>
  </si>
  <si>
    <t>Mining and Construction</t>
  </si>
  <si>
    <t>Food processing</t>
  </si>
  <si>
    <t>Other non-specified</t>
  </si>
  <si>
    <t>~ScenMap</t>
  </si>
  <si>
    <t>~ScenG</t>
  </si>
  <si>
    <t>*NUC</t>
  </si>
  <si>
    <t>Non-Energy</t>
  </si>
  <si>
    <t>Fuel_Agg</t>
  </si>
  <si>
    <t>CO2_captured</t>
  </si>
  <si>
    <t>CO2ForStorage</t>
  </si>
  <si>
    <t>CO2_Stored</t>
  </si>
  <si>
    <t>Pri_Import</t>
  </si>
  <si>
    <t>Pjneg</t>
  </si>
  <si>
    <t>Pri_Export</t>
  </si>
  <si>
    <t>Pri_Prod</t>
  </si>
  <si>
    <t>SUP_TBLAST*,SUP_TCOK*</t>
  </si>
  <si>
    <t>PJneg</t>
  </si>
  <si>
    <t>-SUP*</t>
  </si>
  <si>
    <t>Eprod_ELAUTO*,Efuel_AUTO*</t>
  </si>
  <si>
    <t>Pri_Prod*,Pri_Imp*,Pri_Exp*,PE[_]*,PriE*,Pri E*</t>
  </si>
  <si>
    <t>DMD_AUTOP</t>
  </si>
  <si>
    <t>E*</t>
  </si>
  <si>
    <t>CHP</t>
  </si>
  <si>
    <t>-*WHT,-ELCC,-ELC</t>
  </si>
  <si>
    <t>VAR_COMPRD</t>
  </si>
  <si>
    <t>000$/tneg</t>
  </si>
  <si>
    <t>Prices</t>
  </si>
  <si>
    <t>Bus</t>
  </si>
  <si>
    <t>Trd_endo</t>
  </si>
  <si>
    <t>E_Bio</t>
  </si>
  <si>
    <t>E_Coal</t>
  </si>
  <si>
    <t>E_Gas</t>
  </si>
  <si>
    <t>E_Lignite</t>
  </si>
  <si>
    <t>Lignite</t>
  </si>
  <si>
    <t>E_Geothermal</t>
  </si>
  <si>
    <t>E_Nuclear</t>
  </si>
  <si>
    <t>E_Oil</t>
  </si>
  <si>
    <t>E_Crude</t>
  </si>
  <si>
    <t>E_Diesel</t>
  </si>
  <si>
    <t>E_Waste</t>
  </si>
  <si>
    <t>E_Hydro</t>
  </si>
  <si>
    <t>E_Solar</t>
  </si>
  <si>
    <t>E_Tidal</t>
  </si>
  <si>
    <t>E_Wind</t>
  </si>
  <si>
    <t>E_Bio-S</t>
  </si>
  <si>
    <t>Bio (CCS)</t>
  </si>
  <si>
    <t>E_Coal-S</t>
  </si>
  <si>
    <t>E_Gas-S</t>
  </si>
  <si>
    <t>ALLSOL</t>
  </si>
  <si>
    <t>ALLWIN</t>
  </si>
  <si>
    <t>ALLHYD</t>
  </si>
  <si>
    <t>ALLGEO</t>
  </si>
  <si>
    <t>Geotherm</t>
  </si>
  <si>
    <t>ALLELCi</t>
  </si>
  <si>
    <t>Int. Elec</t>
  </si>
  <si>
    <t>SNK</t>
  </si>
  <si>
    <t>SRC + SNK</t>
  </si>
  <si>
    <t>E_Thermal</t>
  </si>
  <si>
    <t>Thermal Elec</t>
  </si>
  <si>
    <t>E_Thermal-S</t>
  </si>
  <si>
    <t>Thermal CCS</t>
  </si>
  <si>
    <t>E_Renewable</t>
  </si>
  <si>
    <t>FossilProc</t>
  </si>
  <si>
    <t>IndProc</t>
  </si>
  <si>
    <t>BioRef</t>
  </si>
  <si>
    <t>BF and CokeOv</t>
  </si>
  <si>
    <t>Bio Ref</t>
  </si>
  <si>
    <t>Fossil proc</t>
  </si>
  <si>
    <t>H2_Thermal</t>
  </si>
  <si>
    <t>H2 Thermal</t>
  </si>
  <si>
    <t>H2_Elec</t>
  </si>
  <si>
    <t>H2 Elec</t>
  </si>
  <si>
    <t>&lt;cset&gt;_snk_&lt;pset&gt;</t>
  </si>
  <si>
    <t>&lt;cset&gt;_src_&lt;pset&gt;</t>
  </si>
  <si>
    <t>ELE,CHP</t>
  </si>
  <si>
    <t>&lt;cset&gt;_src_Renewable</t>
  </si>
  <si>
    <t>Extraction</t>
  </si>
  <si>
    <t>SRC</t>
  </si>
  <si>
    <t>Grid Elec</t>
  </si>
  <si>
    <t>ignore</t>
  </si>
  <si>
    <t>ALLCOALInd</t>
  </si>
  <si>
    <t>Coal Ind.</t>
  </si>
  <si>
    <t>&lt;cset&gt;_snk_Export</t>
  </si>
  <si>
    <t>&lt;cset&gt;_src_Import</t>
  </si>
  <si>
    <t>ALLOILCrd</t>
  </si>
  <si>
    <t>ALLOILPrd</t>
  </si>
  <si>
    <t>Oil Crude</t>
  </si>
  <si>
    <t>Oil Prod.</t>
  </si>
  <si>
    <t>MinBio*</t>
  </si>
  <si>
    <t>DMD_Non-En</t>
  </si>
  <si>
    <t>DMD_TRA-NR</t>
  </si>
  <si>
    <t>Tra Non-Road</t>
  </si>
  <si>
    <t>DMD_TRA-R</t>
  </si>
  <si>
    <t>Tra Road</t>
  </si>
  <si>
    <t>-MinRen*,-MinBio*,-MinNuc*</t>
  </si>
  <si>
    <t>Thermal Power</t>
  </si>
  <si>
    <t>Oil Ref</t>
  </si>
  <si>
    <t>BF and CokOv</t>
  </si>
  <si>
    <t>VAR_COMNET</t>
  </si>
  <si>
    <t>TOTCO2_check</t>
  </si>
  <si>
    <t>???CO2??,-*CO2Nb</t>
  </si>
  <si>
    <t>*OIL*,???RPP,???RFG</t>
  </si>
  <si>
    <t>Sto-CO2_CB1</t>
  </si>
  <si>
    <t>Sto-CO2_CB2</t>
  </si>
  <si>
    <t>Sto-CO2_DGF</t>
  </si>
  <si>
    <t>Sto-CO2_DGO</t>
  </si>
  <si>
    <t>Sto-CO2_DOF</t>
  </si>
  <si>
    <t>Sto-CO2_DOO</t>
  </si>
  <si>
    <t>Sto-CO2_DSA</t>
  </si>
  <si>
    <t>Sto-CO2_DSO</t>
  </si>
  <si>
    <t>Sto-CO2_EOF</t>
  </si>
  <si>
    <t>Sto-CO2_EOR</t>
  </si>
  <si>
    <t>EOR (offshore)</t>
  </si>
  <si>
    <t>EOR (onshore)</t>
  </si>
  <si>
    <t>DSA (onshore)</t>
  </si>
  <si>
    <t>DSA (offshore)</t>
  </si>
  <si>
    <t>Reg_Acost</t>
  </si>
  <si>
    <t>*ELS</t>
  </si>
  <si>
    <t>WelfareLoss</t>
  </si>
  <si>
    <t>*FIX</t>
  </si>
  <si>
    <t>*INV</t>
  </si>
  <si>
    <t>*IRE</t>
  </si>
  <si>
    <t>*VAR</t>
  </si>
  <si>
    <t>*VARX</t>
  </si>
  <si>
    <t>IMP*Z</t>
  </si>
  <si>
    <t>Dummy imports</t>
  </si>
  <si>
    <t>c,t</t>
  </si>
  <si>
    <t>ALLOILprd</t>
  </si>
  <si>
    <t>Oil prod.</t>
  </si>
  <si>
    <t>cset_set</t>
  </si>
  <si>
    <t>ele_chp</t>
  </si>
  <si>
    <t>pset_set</t>
  </si>
  <si>
    <t>ELE</t>
  </si>
  <si>
    <t>DMD_CCK</t>
  </si>
  <si>
    <t>Cooking-Com</t>
  </si>
  <si>
    <t>DMD_CHW</t>
  </si>
  <si>
    <t>Hot Water-Com</t>
  </si>
  <si>
    <t>DMD_CLA</t>
  </si>
  <si>
    <t>Lighting-Com</t>
  </si>
  <si>
    <t>DMD_CAP</t>
  </si>
  <si>
    <t>Appliances-Com</t>
  </si>
  <si>
    <t>DMD_CSC</t>
  </si>
  <si>
    <t>Space Cooling-Com</t>
  </si>
  <si>
    <t>DMD_CSH</t>
  </si>
  <si>
    <t>Space Heating-Com</t>
  </si>
  <si>
    <t>DMD_ICH</t>
  </si>
  <si>
    <t>DMD_ICH-fStock</t>
  </si>
  <si>
    <t>Chemical feedstock</t>
  </si>
  <si>
    <t>DMD_IFP</t>
  </si>
  <si>
    <t>DMD_IIS</t>
  </si>
  <si>
    <t>DMD_ILP</t>
  </si>
  <si>
    <t>DMD_IMC</t>
  </si>
  <si>
    <t>DMD_INF</t>
  </si>
  <si>
    <t>DMD_INM</t>
  </si>
  <si>
    <t>DMD_IOI</t>
  </si>
  <si>
    <t>Other Industry</t>
  </si>
  <si>
    <t>DMD_ITM</t>
  </si>
  <si>
    <t>DMD_NEU</t>
  </si>
  <si>
    <t>Non Energy Uses</t>
  </si>
  <si>
    <t>DMD_ONO</t>
  </si>
  <si>
    <t>DMD_RAP</t>
  </si>
  <si>
    <t>Appliances-Rsd</t>
  </si>
  <si>
    <t>DMD_RCK</t>
  </si>
  <si>
    <t>Cooking-Rsd</t>
  </si>
  <si>
    <t>DMD_RHW</t>
  </si>
  <si>
    <t>Hot Water-Rsd</t>
  </si>
  <si>
    <t>DMD_RLI</t>
  </si>
  <si>
    <t>Lighting-Rsd</t>
  </si>
  <si>
    <t>DMD_RSC</t>
  </si>
  <si>
    <t>Space Cooling-Rsd</t>
  </si>
  <si>
    <t>DMD_RSH</t>
  </si>
  <si>
    <t>Space Heating-Rsd</t>
  </si>
  <si>
    <t>DMD_TAD</t>
  </si>
  <si>
    <t>Domestic Aviation</t>
  </si>
  <si>
    <t>DMD_TAI</t>
  </si>
  <si>
    <t>International Aviation</t>
  </si>
  <si>
    <t>DMD_Trd_2w</t>
  </si>
  <si>
    <t>2-wheelers</t>
  </si>
  <si>
    <t>DMD_Trd_3w</t>
  </si>
  <si>
    <t>3-wheelers</t>
  </si>
  <si>
    <t>DMD_Trd_Bus</t>
  </si>
  <si>
    <t>DMD_Trd_Car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</si>
  <si>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</si>
  <si>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</si>
  <si>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</si>
  <si>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</si>
  <si>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</si>
  <si>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</si>
  <si>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</si>
  <si>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</si>
  <si>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</si>
  <si>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Domestic Ships</t>
  </si>
  <si>
    <t>DMD_TWI</t>
  </si>
  <si>
    <t>International Ships</t>
  </si>
  <si>
    <t>ELCCurt</t>
  </si>
  <si>
    <t>Elec_Prod</t>
  </si>
  <si>
    <t>Elec-int_Prod</t>
  </si>
  <si>
    <t>Trd[_]*</t>
  </si>
  <si>
    <t>s_Imports</t>
  </si>
  <si>
    <t>s_Mining</t>
  </si>
  <si>
    <t>Mining</t>
  </si>
  <si>
    <t>s_Trade</t>
  </si>
  <si>
    <t>s_Utility</t>
  </si>
  <si>
    <t>s_Autoprod</t>
  </si>
  <si>
    <t>s_Energy</t>
  </si>
  <si>
    <t>s_Industry</t>
  </si>
  <si>
    <t>s_Transport</t>
  </si>
  <si>
    <t>s_Commercial</t>
  </si>
  <si>
    <t>s_Residential</t>
  </si>
  <si>
    <t>s_Agriculture</t>
  </si>
  <si>
    <t>s_Hydrogen</t>
  </si>
  <si>
    <t>s_Industry_NE</t>
  </si>
  <si>
    <t>s_Transport_NE</t>
  </si>
  <si>
    <t>s_NatSinks</t>
  </si>
  <si>
    <t>Natural Sinks</t>
  </si>
  <si>
    <t>s_CO2Storage</t>
  </si>
  <si>
    <t>CO2Storage</t>
  </si>
  <si>
    <t>s_Storage</t>
  </si>
  <si>
    <t>Storage</t>
  </si>
  <si>
    <t>s_NatGrids</t>
  </si>
  <si>
    <t>Nat Grid (RE)</t>
  </si>
  <si>
    <t>Sector</t>
  </si>
  <si>
    <t>CostINV</t>
  </si>
  <si>
    <t>CostVAR</t>
  </si>
  <si>
    <t>CostFIX</t>
  </si>
  <si>
    <t>CO2_emi*,CO2_cap*</t>
  </si>
  <si>
    <t>ELE,CHP,DMD,PRE</t>
  </si>
  <si>
    <t>CO2Captured*,CO2_DAC</t>
  </si>
  <si>
    <t>s_DAC</t>
  </si>
  <si>
    <t>Direct Air Cap</t>
  </si>
  <si>
    <t>sub_sector</t>
  </si>
  <si>
    <t>-CO2Captured*</t>
  </si>
  <si>
    <t>CO2Captured*</t>
  </si>
  <si>
    <t>pset_ci</t>
  </si>
  <si>
    <t>pset_co</t>
  </si>
  <si>
    <t>???BSL,???BIO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</si>
  <si>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</si>
  <si>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</si>
  <si>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</si>
  <si>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</si>
  <si>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</si>
  <si>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</si>
  <si>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</si>
  <si>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</si>
  <si>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</si>
  <si>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</si>
  <si>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</si>
  <si>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STG</t>
  </si>
  <si>
    <t>LCOE</t>
  </si>
  <si>
    <t>Cost*</t>
  </si>
  <si>
    <t>Ann_OBJ*</t>
  </si>
  <si>
    <t>Elec*_Prod</t>
  </si>
  <si>
    <t>Primary En and Trade</t>
  </si>
  <si>
    <t>Sector Costs</t>
  </si>
  <si>
    <t>System Costs</t>
  </si>
  <si>
    <t>&lt;cset&gt;_snk_Energy Sect</t>
  </si>
  <si>
    <t>H2_Prod</t>
  </si>
  <si>
    <t>-IRE</t>
  </si>
  <si>
    <t>H2_blue</t>
  </si>
  <si>
    <t>H2_green</t>
  </si>
  <si>
    <t>*COA*,*NGA*</t>
  </si>
  <si>
    <t>H2_bio</t>
  </si>
  <si>
    <t>*ELC*,-*COA*,-*NGA*,-*BIO*</t>
  </si>
  <si>
    <t>Val_Flo</t>
  </si>
  <si>
    <t>-ELC*,-HET,-INDELC,-INDHET</t>
  </si>
  <si>
    <t>-HH2</t>
  </si>
  <si>
    <t>C*,R*,T*</t>
  </si>
  <si>
    <t>CostFue</t>
  </si>
  <si>
    <t>DMD_IND,DMD_Non-En</t>
  </si>
  <si>
    <t>-*[_]*</t>
  </si>
  <si>
    <t>*Fue*</t>
  </si>
  <si>
    <t>En_service</t>
  </si>
  <si>
    <t>Steam</t>
  </si>
  <si>
    <t>Lighting</t>
  </si>
  <si>
    <t>Other</t>
  </si>
  <si>
    <t>Proc heat</t>
  </si>
  <si>
    <t>Proc cool</t>
  </si>
  <si>
    <t>Machine dr</t>
  </si>
  <si>
    <t>Electrochem</t>
  </si>
  <si>
    <t>Other proc</t>
  </si>
  <si>
    <t>Spc cond</t>
  </si>
  <si>
    <t>I??[_]STM[_]*</t>
  </si>
  <si>
    <t>I??[_]PRH[_]*</t>
  </si>
  <si>
    <t>I??[_]PRC[_]*</t>
  </si>
  <si>
    <t>I??[_]MDR[_]*</t>
  </si>
  <si>
    <t>I??[_]ECP[_]*</t>
  </si>
  <si>
    <t>I??[_]OTP[_]*</t>
  </si>
  <si>
    <t>I??[_]SPC[_]*</t>
  </si>
  <si>
    <t>I??[_]LIG[_]*</t>
  </si>
  <si>
    <t>I??[_]OTH[_]*</t>
  </si>
  <si>
    <t>Import (exo)</t>
  </si>
  <si>
    <t>Power-util</t>
  </si>
  <si>
    <t>Power-Auto</t>
  </si>
  <si>
    <t>Industry NE</t>
  </si>
  <si>
    <t>Transport NE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</si>
  <si>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</si>
  <si>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</si>
  <si>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</si>
  <si>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</si>
  <si>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</si>
  <si>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</si>
  <si>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</si>
  <si>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</si>
  <si>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</si>
  <si>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Capacity_roadtra</t>
  </si>
  <si>
    <t>Capacity_H2</t>
  </si>
  <si>
    <t>Fuel_cons_H2</t>
  </si>
  <si>
    <t>Fuel_cons_power</t>
  </si>
  <si>
    <t>Fuel_con*</t>
  </si>
  <si>
    <t>Capacity*</t>
  </si>
  <si>
    <t>commtype</t>
  </si>
  <si>
    <t>MAT</t>
  </si>
  <si>
    <t>Demand</t>
  </si>
  <si>
    <t>Material</t>
  </si>
  <si>
    <t>cset_cd</t>
  </si>
  <si>
    <t>Dummy</t>
  </si>
  <si>
    <t>*dummy*</t>
  </si>
  <si>
    <t>$/000vkm</t>
  </si>
  <si>
    <t>IIS,ILP,INM,INF</t>
  </si>
  <si>
    <t>$/t</t>
  </si>
  <si>
    <t>-Trd[_]*,-IIS,-ILP,-INF,-INM</t>
  </si>
  <si>
    <t>CF</t>
  </si>
  <si>
    <t>kg/Mwh</t>
  </si>
  <si>
    <t>CO2 int</t>
  </si>
  <si>
    <t>PJ/GW</t>
  </si>
  <si>
    <t>t/Mwhneg</t>
  </si>
  <si>
    <t>User_con</t>
  </si>
  <si>
    <t>rep_tra_road_pass</t>
  </si>
  <si>
    <t>rep_tra_road_frt</t>
  </si>
  <si>
    <t>rep_totco2</t>
  </si>
  <si>
    <t>bvkm</t>
  </si>
  <si>
    <t>kt</t>
  </si>
  <si>
    <t>rep_GDP</t>
  </si>
  <si>
    <t>rep_GDPAGR</t>
  </si>
  <si>
    <t>rep_GDPIND</t>
  </si>
  <si>
    <t>rep_GDPSER</t>
  </si>
  <si>
    <t>rep_HOU</t>
  </si>
  <si>
    <t>rep_POP</t>
  </si>
  <si>
    <t>b$</t>
  </si>
  <si>
    <t>Road pass/Population</t>
  </si>
  <si>
    <t>Road frt/GDP</t>
  </si>
  <si>
    <t>vkm/$</t>
  </si>
  <si>
    <t>CO2 percapita</t>
  </si>
  <si>
    <t>-I??,-ONO</t>
  </si>
  <si>
    <t>-I*,-ONO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</si>
  <si>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</si>
  <si>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</si>
  <si>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</si>
  <si>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</si>
  <si>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</si>
  <si>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</si>
  <si>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</si>
  <si>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</si>
  <si>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</si>
  <si>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</si>
  <si>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</si>
  <si>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</si>
  <si>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Macro Indices</t>
  </si>
  <si>
    <t>*GDP*,*popu*,*percap*,*househo*,-rep*</t>
  </si>
  <si>
    <t>rep_hou,rep_pop,rep_gdp*</t>
  </si>
  <si>
    <t>Macro drivers</t>
  </si>
  <si>
    <t>y</t>
  </si>
  <si>
    <t>include_null</t>
  </si>
  <si>
    <t>H2_Bio</t>
  </si>
  <si>
    <t>H2 Bio</t>
  </si>
  <si>
    <t>-SUP*,-COAOVC,-COATAR,-*BFG,-ELCHH2</t>
  </si>
  <si>
    <t>T_neg_andor</t>
  </si>
  <si>
    <t>OR</t>
  </si>
  <si>
    <t>-EA_HH2*</t>
  </si>
  <si>
    <t>Power*</t>
  </si>
  <si>
    <t>include_dim</t>
  </si>
  <si>
    <t>ELE,CHP,PRE,STG</t>
  </si>
  <si>
    <t>Ann_OBJ</t>
  </si>
  <si>
    <t>u</t>
  </si>
  <si>
    <t>&lt;c&gt;</t>
  </si>
  <si>
    <t>&lt;pc&gt;</t>
  </si>
  <si>
    <t>t_neg_andor</t>
  </si>
  <si>
    <t>-TRDELC</t>
  </si>
  <si>
    <t>NewCap</t>
  </si>
  <si>
    <t>Scenario</t>
  </si>
  <si>
    <t>FinEnergy</t>
  </si>
  <si>
    <t>~ATS_Final</t>
  </si>
  <si>
    <t>ELE,CHP,STG,IRE</t>
  </si>
  <si>
    <t>Asia Pacific</t>
  </si>
  <si>
    <t>Europe</t>
  </si>
  <si>
    <t>Central and South America</t>
  </si>
  <si>
    <t>North America</t>
  </si>
  <si>
    <t>Africa</t>
  </si>
  <si>
    <t>Middle East</t>
  </si>
  <si>
    <t>Eurasia</t>
  </si>
  <si>
    <t>Capacity_Elec</t>
  </si>
  <si>
    <t>PriSup</t>
  </si>
  <si>
    <t>Buildings</t>
  </si>
  <si>
    <t>Natural gas</t>
  </si>
  <si>
    <t>Pri_Sup</t>
  </si>
  <si>
    <t>Traditional use of biomass</t>
  </si>
  <si>
    <t>Modern bioenergy</t>
  </si>
  <si>
    <t>Mt CO2</t>
  </si>
  <si>
    <t>Final</t>
  </si>
  <si>
    <t>Coal: unabated</t>
  </si>
  <si>
    <t>Natural gas: unabated</t>
  </si>
  <si>
    <t>Battery storage</t>
  </si>
  <si>
    <t>TWh</t>
  </si>
  <si>
    <t>Modern bioenergy and renewable waste</t>
  </si>
  <si>
    <t>Hydrogen and H2-based fuels</t>
  </si>
  <si>
    <t>Solar PV</t>
  </si>
  <si>
    <t>Region_WEO</t>
  </si>
  <si>
    <t>LNG[_]*</t>
  </si>
  <si>
    <t>GASNGA</t>
  </si>
  <si>
    <t>~PName_Map</t>
  </si>
  <si>
    <t>Pname</t>
  </si>
  <si>
    <t>TU_GasPip--Russia-Turkey</t>
  </si>
  <si>
    <t>TU_GasPip--Russia-Ukraine</t>
  </si>
  <si>
    <t>Elec_act</t>
  </si>
  <si>
    <t>tons per capita</t>
  </si>
  <si>
    <t>VAR_ACT</t>
  </si>
  <si>
    <t>ELE,CHP,IRE</t>
  </si>
  <si>
    <t>CO2/GDP</t>
  </si>
  <si>
    <t>kt/b$</t>
  </si>
  <si>
    <t>kg per PPP $</t>
  </si>
  <si>
    <t>IEA-STEPS</t>
  </si>
  <si>
    <t>IEA-APS</t>
  </si>
  <si>
    <t>sector_c</t>
  </si>
  <si>
    <t>R*,C*</t>
  </si>
  <si>
    <t>T*</t>
  </si>
  <si>
    <t>I*</t>
  </si>
  <si>
    <t>H*</t>
  </si>
  <si>
    <t>PRE</t>
  </si>
  <si>
    <t>GASLNG</t>
  </si>
  <si>
    <t>LNG_liquefaction</t>
  </si>
  <si>
    <t>LNG_regasification</t>
  </si>
  <si>
    <t>mt LNG</t>
  </si>
  <si>
    <t>ct</t>
  </si>
  <si>
    <t>OILDST,OILGSL,BIODST,BIOGSL,BIOBSL,COAHCO</t>
  </si>
  <si>
    <t>$/Gjo</t>
  </si>
  <si>
    <t>$/GJg</t>
  </si>
  <si>
    <t>$/bbl</t>
  </si>
  <si>
    <t>$/MMBTU</t>
  </si>
  <si>
    <t>$/GJo</t>
  </si>
  <si>
    <t>Gas_snk_Exp-LNG</t>
  </si>
  <si>
    <t>Gas_src_Imp-LNG</t>
  </si>
  <si>
    <t>price_cat</t>
  </si>
  <si>
    <t>minoil_rs_step01*</t>
  </si>
  <si>
    <t>minoil_rs_step02*</t>
  </si>
  <si>
    <t>minoil_rs_step03*</t>
  </si>
  <si>
    <t>minoil_rs_step04*</t>
  </si>
  <si>
    <t>minoil_rs_step05*</t>
  </si>
  <si>
    <t>minoil_rs_step06*</t>
  </si>
  <si>
    <t>minoil_rs_step07*</t>
  </si>
  <si>
    <t>minoil_rs_step08*</t>
  </si>
  <si>
    <t>minoil_rs_step09*</t>
  </si>
  <si>
    <t>minoil_rs_step10*</t>
  </si>
  <si>
    <t>minoil_rs_step11*</t>
  </si>
  <si>
    <t>minoil_rs_step12*</t>
  </si>
  <si>
    <t>minoil_rs_step13*</t>
  </si>
  <si>
    <t>minoil_rs_step14*</t>
  </si>
  <si>
    <t>minoil_rs_step15*</t>
  </si>
  <si>
    <t>minoil_rs_step16*</t>
  </si>
  <si>
    <t>minoil_rs_step17*</t>
  </si>
  <si>
    <t>minoil_rs_step18*</t>
  </si>
  <si>
    <t>minoil_rs_step19*</t>
  </si>
  <si>
    <t>minoil_rs_step20*</t>
  </si>
  <si>
    <t>minoil_rs_step21*</t>
  </si>
  <si>
    <t>minoil_rs_step22*</t>
  </si>
  <si>
    <t>minoil_rs_step23*</t>
  </si>
  <si>
    <t>minoil_rs_step24*</t>
  </si>
  <si>
    <t>minoil_rs_step25*</t>
  </si>
  <si>
    <t>minoil_rs_step26*</t>
  </si>
  <si>
    <t>minoil_rs_step27*</t>
  </si>
  <si>
    <t>minoil_rs_step28*</t>
  </si>
  <si>
    <t>minoil_rs_step29*</t>
  </si>
  <si>
    <t>minoil_rs_step30*</t>
  </si>
  <si>
    <t>USD/bbl 10-15</t>
  </si>
  <si>
    <t>USD/bbl 15-20</t>
  </si>
  <si>
    <t>USD/bbl 20-25</t>
  </si>
  <si>
    <t>USD/bbl 25-30</t>
  </si>
  <si>
    <t>USD/bbl 30-35</t>
  </si>
  <si>
    <t>USD/bbl 35-40</t>
  </si>
  <si>
    <t>USD/bbl 40-45</t>
  </si>
  <si>
    <t>USD/bbl 45-50</t>
  </si>
  <si>
    <t>USD/bbl 50-55</t>
  </si>
  <si>
    <t>USD/bbl 55-60</t>
  </si>
  <si>
    <t>USD/bbl 60-65</t>
  </si>
  <si>
    <t>USD/bbl 65-70</t>
  </si>
  <si>
    <t>USD/bbl 70-75</t>
  </si>
  <si>
    <t>USD/bbl 75-80</t>
  </si>
  <si>
    <t>USD/bbl 80-85</t>
  </si>
  <si>
    <t>USD/bbl 85-90</t>
  </si>
  <si>
    <t>USD/bbl 90-95</t>
  </si>
  <si>
    <t>USD/bbl 95-100</t>
  </si>
  <si>
    <t>USD/bbl 100-105</t>
  </si>
  <si>
    <t>USD/bbl 105-110</t>
  </si>
  <si>
    <t>USD/bbl 110-115</t>
  </si>
  <si>
    <t>USD/bbl 115-120</t>
  </si>
  <si>
    <t>USD/bbl 120-125</t>
  </si>
  <si>
    <t>USD/bbl 125-130</t>
  </si>
  <si>
    <t>USD/bbl 130-135</t>
  </si>
  <si>
    <t>USD/bbl 135-140</t>
  </si>
  <si>
    <t>USD/bbl 140-145</t>
  </si>
  <si>
    <t>USD/bbl 145-150</t>
  </si>
  <si>
    <t>Above USD/bbl 150</t>
  </si>
  <si>
    <t>USD/bbl 5-10</t>
  </si>
  <si>
    <t>mingas_rs_step01*</t>
  </si>
  <si>
    <t>mingas_rs_step02*</t>
  </si>
  <si>
    <t>mingas_rs_step03*</t>
  </si>
  <si>
    <t>mingas_rs_step04*</t>
  </si>
  <si>
    <t>mingas_rs_step05*</t>
  </si>
  <si>
    <t>mingas_rs_step06*</t>
  </si>
  <si>
    <t>mingas_rs_step07*</t>
  </si>
  <si>
    <t>mingas_rs_step08*</t>
  </si>
  <si>
    <t>mingas_rs_step09*</t>
  </si>
  <si>
    <t>mingas_rs_step10*</t>
  </si>
  <si>
    <t>mingas_rs_step11*</t>
  </si>
  <si>
    <t>mingas_rs_step12*</t>
  </si>
  <si>
    <t>mingas_rs_step13*</t>
  </si>
  <si>
    <t>mingas_rs_step14*</t>
  </si>
  <si>
    <t>mingas_rs_step15*</t>
  </si>
  <si>
    <t>mingas_rs_step16*</t>
  </si>
  <si>
    <t>USD/kcf 0-1</t>
  </si>
  <si>
    <t>USD/kcf 1-2</t>
  </si>
  <si>
    <t>USD/kcf 2-3</t>
  </si>
  <si>
    <t>USD/kcf 3-4</t>
  </si>
  <si>
    <t>USD/kcf 4-5</t>
  </si>
  <si>
    <t>USD/kcf 5-6</t>
  </si>
  <si>
    <t>USD/kcf 6-7</t>
  </si>
  <si>
    <t>USD/kcf 7-8</t>
  </si>
  <si>
    <t>USD/kcf 8-9</t>
  </si>
  <si>
    <t>USD/kcf 9-10</t>
  </si>
  <si>
    <t>USD/kcf 10-11</t>
  </si>
  <si>
    <t>USD/kcf 11-12</t>
  </si>
  <si>
    <t>USD/kcf 12-13</t>
  </si>
  <si>
    <t>USD/kcf 13-14</t>
  </si>
  <si>
    <t>USD/kcf 14-15</t>
  </si>
  <si>
    <t>Above USD/kcf 15</t>
  </si>
  <si>
    <t>KS</t>
  </si>
  <si>
    <t>*NGL*</t>
  </si>
  <si>
    <t>NGL</t>
  </si>
  <si>
    <t>Oil crude+NGL</t>
  </si>
  <si>
    <t>OIL[_]*</t>
  </si>
  <si>
    <t>GAS[_]*</t>
  </si>
  <si>
    <t>p-Crude Oil</t>
  </si>
  <si>
    <t>p-Natural Gas</t>
  </si>
  <si>
    <t>GASNGA,GASLNG,GAS[_]*</t>
  </si>
  <si>
    <t>ELCHH2</t>
  </si>
  <si>
    <t>Hydrogen_snk_H2-to-ThermPow</t>
  </si>
  <si>
    <t>*H2*,-[_]*</t>
  </si>
  <si>
    <t>-[_]*</t>
  </si>
  <si>
    <t>_H2-for-ThermPow_snk_Thermal Power</t>
  </si>
  <si>
    <t>Base</t>
  </si>
  <si>
    <t>-IRE,-STG</t>
  </si>
  <si>
    <t>Bio Refinery</t>
  </si>
  <si>
    <t>DAC</t>
  </si>
  <si>
    <t>*DAC*</t>
  </si>
  <si>
    <t>CBM &lt;1000 m</t>
  </si>
  <si>
    <t>CBM  &gt;1000 m</t>
  </si>
  <si>
    <t>DGF (offshore)</t>
  </si>
  <si>
    <t>DGF (onshore)</t>
  </si>
  <si>
    <t>DOF (offshore)</t>
  </si>
  <si>
    <t>DOF (onshore)</t>
  </si>
  <si>
    <t>IND_CCS</t>
  </si>
  <si>
    <t>Ind CCS</t>
  </si>
  <si>
    <t>m$/&lt;pa&gt;</t>
  </si>
  <si>
    <t>PRE,DMD</t>
  </si>
  <si>
    <t>HH2,Trd[_]*</t>
  </si>
  <si>
    <t>t,c</t>
  </si>
  <si>
    <t>p,t</t>
  </si>
  <si>
    <t>p,c,t</t>
  </si>
  <si>
    <t>stg[_]*</t>
  </si>
  <si>
    <t>Storage operation</t>
  </si>
  <si>
    <t>Vehicle Batt</t>
  </si>
  <si>
    <t>TRDELC</t>
  </si>
  <si>
    <t>US$2020/GJ</t>
  </si>
  <si>
    <t>billion US$2020/yr</t>
  </si>
  <si>
    <t>US$2020/t CO2</t>
  </si>
  <si>
    <t>US$2020/MWh</t>
  </si>
  <si>
    <t>US$2020/kW</t>
  </si>
  <si>
    <t>billion US$2020</t>
  </si>
  <si>
    <t>US$2020/vkm</t>
  </si>
  <si>
    <t>C&amp;S America</t>
  </si>
  <si>
    <t>UNIT</t>
  </si>
  <si>
    <t>YEAR</t>
  </si>
  <si>
    <t>Val</t>
  </si>
  <si>
    <t>Fuel_agg</t>
  </si>
  <si>
    <t>sector_weo</t>
  </si>
  <si>
    <t>Fuel_WEO</t>
  </si>
  <si>
    <t>WEO_regional</t>
  </si>
  <si>
    <t>WEO_global</t>
  </si>
  <si>
    <t>IEA-NZE</t>
  </si>
  <si>
    <t>Modern bioenergy: solid</t>
  </si>
  <si>
    <t>Modern bioenergy: liquid</t>
  </si>
  <si>
    <t>Modern bioenergy: gas</t>
  </si>
  <si>
    <t>Natural gas: with CCUS</t>
  </si>
  <si>
    <t>Coal: with CCUS</t>
  </si>
  <si>
    <t>Ammonia</t>
  </si>
  <si>
    <t>Biomethane</t>
  </si>
  <si>
    <t>District heat</t>
  </si>
  <si>
    <t>Bioenergy: with CCUS</t>
  </si>
  <si>
    <t>Concentrating solar power</t>
  </si>
  <si>
    <t>Marine</t>
  </si>
  <si>
    <t>https://www.loc.gov/standards/iso639-2/php/code_list.php</t>
  </si>
  <si>
    <t>HUN</t>
  </si>
  <si>
    <t>Африка</t>
  </si>
  <si>
    <t>Евроазија</t>
  </si>
  <si>
    <t>Асиа Пацифиц</t>
  </si>
  <si>
    <t>Европа</t>
  </si>
  <si>
    <t>Централна и Јужна Америка</t>
  </si>
  <si>
    <t>средњи Исток</t>
  </si>
  <si>
    <t>Северна Америка</t>
  </si>
  <si>
    <t>Соларни</t>
  </si>
  <si>
    <t>Ветар</t>
  </si>
  <si>
    <t>Хидро</t>
  </si>
  <si>
    <t>Геотерм</t>
  </si>
  <si>
    <t>Биомаса</t>
  </si>
  <si>
    <t>Нуклеарна</t>
  </si>
  <si>
    <t>Грид Елец</t>
  </si>
  <si>
    <t>Гасни</t>
  </si>
  <si>
    <t>Угаљ</t>
  </si>
  <si>
    <t>Топлота</t>
  </si>
  <si>
    <t>Водоник</t>
  </si>
  <si>
    <t>Afrika</t>
  </si>
  <si>
    <t>Evroazija</t>
  </si>
  <si>
    <t>Evropa</t>
  </si>
  <si>
    <t>Centralna i Južna Amerika</t>
  </si>
  <si>
    <t>srednji istok</t>
  </si>
  <si>
    <t>sjeverna amerika</t>
  </si>
  <si>
    <t>Solarno</t>
  </si>
  <si>
    <t>Vjetar</t>
  </si>
  <si>
    <t>Geoterm</t>
  </si>
  <si>
    <t>Biomasa</t>
  </si>
  <si>
    <t>Nuklearni</t>
  </si>
  <si>
    <t>Ugalj</t>
  </si>
  <si>
    <t>Toplota</t>
  </si>
  <si>
    <t>Vodonik</t>
  </si>
  <si>
    <t>Europa</t>
  </si>
  <si>
    <t>America Centrală și de Sud</t>
  </si>
  <si>
    <t>Orientul Mijlociu</t>
  </si>
  <si>
    <t>America de Nord</t>
  </si>
  <si>
    <t>Vânt</t>
  </si>
  <si>
    <t>Hidro</t>
  </si>
  <si>
    <t>Geotermă</t>
  </si>
  <si>
    <t>Biomasă</t>
  </si>
  <si>
    <t>Gaz</t>
  </si>
  <si>
    <t>Cărbune</t>
  </si>
  <si>
    <t>Căldură</t>
  </si>
  <si>
    <t>Petrol brut</t>
  </si>
  <si>
    <t>Hidrogen</t>
  </si>
  <si>
    <t>Eurázsia</t>
  </si>
  <si>
    <t>Ázsia csendes-óceáni</t>
  </si>
  <si>
    <t>Európa</t>
  </si>
  <si>
    <t>Közép- és Dél-Amerika</t>
  </si>
  <si>
    <t>Közel-Kelet</t>
  </si>
  <si>
    <t>Észak Amerika</t>
  </si>
  <si>
    <t>Nap</t>
  </si>
  <si>
    <t>Szél</t>
  </si>
  <si>
    <t>Biomassza</t>
  </si>
  <si>
    <t>Nukleáris</t>
  </si>
  <si>
    <t>Gáz</t>
  </si>
  <si>
    <t>Szén</t>
  </si>
  <si>
    <t>Hő</t>
  </si>
  <si>
    <t>Nyers olaj</t>
  </si>
  <si>
    <t>Hidrogén</t>
  </si>
  <si>
    <t>SRP</t>
  </si>
  <si>
    <t>BOS</t>
  </si>
  <si>
    <t>RUM</t>
  </si>
  <si>
    <t>ALLBIOFliq</t>
  </si>
  <si>
    <t>Biofuels liq</t>
  </si>
  <si>
    <t>ALLBIOFgas</t>
  </si>
  <si>
    <t>Biofuels gas</t>
  </si>
  <si>
    <t>BIOJTK,TRABJT</t>
  </si>
  <si>
    <t>Biojet</t>
  </si>
  <si>
    <t>???SNG</t>
  </si>
  <si>
    <t>Biogas syn</t>
  </si>
  <si>
    <t>ELE,CHP,HPL,-STG</t>
  </si>
  <si>
    <t>Fuel_cons_DAC</t>
  </si>
  <si>
    <t>CO2_DAC</t>
  </si>
  <si>
    <t>E_USHP</t>
  </si>
  <si>
    <t>Utility Heat Pump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</si>
  <si>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</si>
  <si>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</si>
  <si>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</si>
  <si>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</si>
  <si>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</si>
  <si>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</si>
  <si>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</si>
  <si>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</si>
  <si>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</si>
  <si>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</si>
  <si>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</si>
  <si>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</si>
  <si>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</si>
  <si>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</si>
  <si>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</si>
  <si>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</si>
  <si>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</si>
  <si>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</si>
  <si>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</si>
  <si>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</si>
  <si>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</si>
  <si>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</si>
  <si>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</si>
  <si>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</si>
  <si>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</si>
  <si>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</si>
  <si>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</si>
  <si>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</si>
  <si>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</si>
  <si>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</si>
  <si>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</si>
  <si>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</si>
  <si>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</si>
  <si>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</si>
  <si>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</si>
  <si>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</si>
  <si>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</si>
  <si>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</si>
  <si>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</si>
  <si>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</si>
  <si>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</si>
  <si>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</si>
  <si>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</si>
  <si>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</si>
  <si>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</si>
  <si>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</si>
  <si>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</si>
  <si>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</si>
  <si>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</si>
  <si>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</si>
  <si>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</si>
  <si>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</si>
  <si>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</si>
  <si>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</si>
  <si>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</si>
  <si>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</si>
  <si>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</si>
  <si>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</si>
  <si>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</si>
  <si>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</si>
  <si>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</si>
  <si>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</si>
  <si>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</si>
  <si>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</si>
  <si>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</si>
  <si>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</si>
  <si>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</si>
  <si>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</si>
  <si>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</si>
  <si>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</si>
  <si>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</si>
  <si>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</si>
  <si>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</si>
  <si>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</si>
  <si>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</si>
  <si>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</si>
  <si>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</si>
  <si>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</si>
  <si>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</si>
  <si>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</si>
  <si>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</si>
  <si>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</si>
  <si>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</si>
  <si>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</si>
  <si>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</si>
  <si>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</si>
  <si>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</si>
  <si>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Azia Paqësori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</si>
  <si>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</si>
  <si>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</si>
  <si>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</si>
  <si>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</si>
  <si>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</si>
  <si>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</si>
  <si>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</si>
  <si>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</si>
  <si>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</si>
  <si>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</si>
  <si>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</si>
  <si>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</si>
  <si>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</si>
  <si>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</si>
  <si>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</si>
  <si>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</si>
  <si>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</si>
  <si>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</si>
  <si>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</si>
  <si>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</si>
  <si>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</si>
  <si>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</si>
  <si>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</si>
  <si>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</si>
  <si>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</si>
  <si>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</si>
  <si>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</si>
  <si>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</si>
  <si>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</si>
  <si>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</si>
  <si>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</si>
  <si>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</si>
  <si>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</si>
  <si>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</si>
  <si>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</si>
  <si>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</si>
  <si>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</si>
  <si>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</si>
  <si>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</si>
  <si>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</si>
  <si>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</si>
  <si>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</si>
  <si>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</si>
  <si>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</si>
  <si>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</si>
  <si>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</si>
  <si>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</si>
  <si>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</si>
  <si>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</si>
  <si>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</si>
  <si>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</si>
  <si>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</si>
  <si>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</si>
  <si>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</si>
  <si>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</si>
  <si>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</si>
  <si>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</si>
  <si>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</si>
  <si>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</si>
  <si>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</si>
  <si>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</si>
  <si>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</si>
  <si>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</si>
  <si>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</si>
  <si>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</si>
  <si>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</si>
  <si>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</si>
  <si>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</si>
  <si>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</si>
  <si>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</si>
  <si>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</si>
  <si>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</si>
  <si>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</si>
  <si>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</si>
  <si>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</si>
  <si>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</si>
  <si>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</si>
  <si>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</si>
  <si>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</si>
  <si>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</si>
  <si>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</si>
  <si>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</si>
  <si>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</si>
  <si>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</si>
  <si>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</si>
  <si>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</si>
  <si>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</si>
  <si>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</si>
  <si>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</si>
  <si>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</si>
  <si>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</si>
  <si>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</si>
  <si>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</si>
  <si>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</si>
  <si>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</si>
  <si>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</si>
  <si>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</si>
  <si>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</si>
  <si>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</si>
  <si>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</si>
  <si>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</si>
  <si>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</si>
  <si>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</si>
  <si>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</si>
  <si>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</si>
  <si>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</si>
  <si>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</si>
  <si>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</si>
  <si>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</si>
  <si>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</si>
  <si>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</si>
  <si>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</si>
  <si>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</si>
  <si>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</si>
  <si>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</si>
  <si>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</si>
  <si>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</si>
  <si>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</si>
  <si>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</si>
  <si>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</si>
  <si>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</si>
  <si>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</si>
  <si>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</si>
  <si>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</si>
  <si>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</si>
  <si>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</si>
  <si>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</si>
  <si>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</si>
  <si>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</si>
  <si>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</si>
  <si>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</si>
  <si>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</si>
  <si>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</si>
  <si>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</si>
  <si>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</si>
  <si>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</si>
  <si>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</si>
  <si>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</si>
  <si>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</si>
  <si>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</si>
  <si>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</si>
  <si>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</si>
  <si>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</si>
  <si>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</si>
  <si>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</si>
  <si>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</si>
  <si>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</si>
  <si>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</si>
  <si>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</si>
  <si>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</si>
  <si>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</si>
  <si>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</si>
  <si>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</si>
  <si>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</si>
  <si>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</si>
  <si>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</si>
  <si>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</si>
  <si>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</si>
  <si>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</si>
  <si>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</si>
  <si>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</si>
  <si>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</si>
  <si>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</si>
  <si>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</si>
  <si>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</si>
  <si>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</si>
  <si>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Βιομάζα</t>
  </si>
  <si>
    <t>Біомаса</t>
  </si>
  <si>
    <t>биомаса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</si>
  <si>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</si>
  <si>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</si>
  <si>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</si>
  <si>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</si>
  <si>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</si>
  <si>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</si>
  <si>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</si>
  <si>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</si>
  <si>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</si>
  <si>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</si>
  <si>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</si>
  <si>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</si>
  <si>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</si>
  <si>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</si>
  <si>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</si>
  <si>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</si>
  <si>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</si>
  <si>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</si>
  <si>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</si>
  <si>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</si>
  <si>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</si>
  <si>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</si>
  <si>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</si>
  <si>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</si>
  <si>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</si>
  <si>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</si>
  <si>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</si>
  <si>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</si>
  <si>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</si>
  <si>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</si>
  <si>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</si>
  <si>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</si>
  <si>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</si>
  <si>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</si>
  <si>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</si>
  <si>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</si>
  <si>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</si>
  <si>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</si>
  <si>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</si>
  <si>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</si>
  <si>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</si>
  <si>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</si>
  <si>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</si>
  <si>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</si>
  <si>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</si>
  <si>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</si>
  <si>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</si>
  <si>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</si>
  <si>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</si>
  <si>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</si>
  <si>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</si>
  <si>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</si>
  <si>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</si>
  <si>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</si>
  <si>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</si>
  <si>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&lt;1000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</si>
  <si>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</si>
  <si>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</si>
  <si>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</si>
  <si>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</si>
  <si>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</si>
  <si>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</si>
  <si>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</si>
  <si>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</si>
  <si>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</si>
  <si>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</si>
  <si>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</si>
  <si>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CBM recov &gt;1000 m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</si>
  <si>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</si>
  <si>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</si>
  <si>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</si>
  <si>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</si>
  <si>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</si>
  <si>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</si>
  <si>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</si>
  <si>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</si>
  <si>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</si>
  <si>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</si>
  <si>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</si>
  <si>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Amerika Qendrore dhe Jugore</t>
  </si>
  <si>
    <t>Κεντρική και Νότια Αμερική</t>
  </si>
  <si>
    <t>Центральна і Південна Америка</t>
  </si>
  <si>
    <t>Централна и Южна Америка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</si>
  <si>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</si>
  <si>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</si>
  <si>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</si>
  <si>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</si>
  <si>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</si>
  <si>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</si>
  <si>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</si>
  <si>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</si>
  <si>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</si>
  <si>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</si>
  <si>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</si>
  <si>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</si>
  <si>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</si>
  <si>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</si>
  <si>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</si>
  <si>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</si>
  <si>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</si>
  <si>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</si>
  <si>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</si>
  <si>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</si>
  <si>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</si>
  <si>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</si>
  <si>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</si>
  <si>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</si>
  <si>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</si>
  <si>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</si>
  <si>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</si>
  <si>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</si>
  <si>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</si>
  <si>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</si>
  <si>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</si>
  <si>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</si>
  <si>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</si>
  <si>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</si>
  <si>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</si>
  <si>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</si>
  <si>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</si>
  <si>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</si>
  <si>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</si>
  <si>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</si>
  <si>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</si>
  <si>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</si>
  <si>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</si>
  <si>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</si>
  <si>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</si>
  <si>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</si>
  <si>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</si>
  <si>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</si>
  <si>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</si>
  <si>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</si>
  <si>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</si>
  <si>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</si>
  <si>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</si>
  <si>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</si>
  <si>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</si>
  <si>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</si>
  <si>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</si>
  <si>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Qymyri</t>
  </si>
  <si>
    <t>Κάρβουνο</t>
  </si>
  <si>
    <t>вугілля</t>
  </si>
  <si>
    <t>Въглища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</si>
  <si>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</si>
  <si>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</si>
  <si>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</si>
  <si>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</si>
  <si>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</si>
  <si>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</si>
  <si>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</si>
  <si>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</si>
  <si>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</si>
  <si>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</si>
  <si>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</si>
  <si>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</si>
  <si>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</si>
  <si>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</si>
  <si>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</si>
  <si>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</si>
  <si>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</si>
  <si>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</si>
  <si>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</si>
  <si>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</si>
  <si>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</si>
  <si>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</si>
  <si>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</si>
  <si>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</si>
  <si>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</si>
  <si>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</si>
  <si>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</si>
  <si>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</si>
  <si>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</si>
  <si>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</si>
  <si>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</si>
  <si>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</si>
  <si>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</si>
  <si>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</si>
  <si>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</si>
  <si>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</si>
  <si>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</si>
  <si>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</si>
  <si>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</si>
  <si>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</si>
  <si>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</si>
  <si>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</si>
  <si>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</si>
  <si>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</si>
  <si>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</si>
  <si>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</si>
  <si>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</si>
  <si>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</si>
  <si>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</si>
  <si>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</si>
  <si>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</si>
  <si>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</si>
  <si>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</si>
  <si>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</si>
  <si>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</si>
  <si>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</si>
  <si>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</si>
  <si>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</si>
  <si>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</si>
  <si>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</si>
  <si>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</si>
  <si>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</si>
  <si>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</si>
  <si>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</si>
  <si>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</si>
  <si>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</si>
  <si>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</si>
  <si>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</si>
  <si>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</si>
  <si>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</si>
  <si>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</si>
  <si>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</si>
  <si>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</si>
  <si>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</si>
  <si>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</si>
  <si>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</si>
  <si>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</si>
  <si>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</si>
  <si>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</si>
  <si>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</si>
  <si>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</si>
  <si>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</si>
  <si>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</si>
  <si>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</si>
  <si>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</si>
  <si>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</si>
  <si>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</si>
  <si>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</si>
  <si>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</si>
  <si>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</si>
  <si>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</si>
  <si>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</si>
  <si>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</si>
  <si>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</si>
  <si>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</si>
  <si>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</si>
  <si>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</si>
  <si>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</si>
  <si>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</si>
  <si>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</si>
  <si>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</si>
  <si>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</si>
  <si>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</si>
  <si>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</si>
  <si>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</si>
  <si>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</si>
  <si>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</si>
  <si>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</si>
  <si>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</si>
  <si>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</si>
  <si>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</si>
  <si>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</si>
  <si>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</si>
  <si>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</si>
  <si>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</si>
  <si>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</si>
  <si>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</si>
  <si>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</si>
  <si>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</si>
  <si>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</si>
  <si>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</si>
  <si>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</si>
  <si>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</si>
  <si>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</si>
  <si>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</si>
  <si>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</si>
  <si>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</si>
  <si>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</si>
  <si>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</si>
  <si>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</si>
  <si>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</si>
  <si>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</si>
  <si>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</si>
  <si>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</si>
  <si>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(offshore)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</si>
  <si>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</si>
  <si>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</si>
  <si>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</si>
  <si>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</si>
  <si>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</si>
  <si>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</si>
  <si>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</si>
  <si>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</si>
  <si>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</si>
  <si>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</si>
  <si>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Gas fld (onshore)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</si>
  <si>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</si>
  <si>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</si>
  <si>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</si>
  <si>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</si>
  <si>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</si>
  <si>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</si>
  <si>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</si>
  <si>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</si>
  <si>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</si>
  <si>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</si>
  <si>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</si>
  <si>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</si>
  <si>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(offshore)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</si>
  <si>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</si>
  <si>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</si>
  <si>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</si>
  <si>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</si>
  <si>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</si>
  <si>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</si>
  <si>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</si>
  <si>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</si>
  <si>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</si>
  <si>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</si>
  <si>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Depl Oil fld (onshore)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</si>
  <si>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</si>
  <si>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</si>
  <si>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</si>
  <si>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</si>
  <si>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</si>
  <si>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</si>
  <si>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</si>
  <si>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</si>
  <si>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</si>
  <si>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</si>
  <si>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</si>
  <si>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</si>
  <si>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</si>
  <si>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</si>
  <si>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</si>
  <si>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</si>
  <si>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</si>
  <si>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</si>
  <si>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</si>
  <si>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</si>
  <si>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</si>
  <si>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</si>
  <si>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</si>
  <si>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</si>
  <si>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</si>
  <si>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</si>
  <si>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</si>
  <si>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</si>
  <si>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</si>
  <si>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</si>
  <si>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</si>
  <si>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</si>
  <si>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</si>
  <si>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</si>
  <si>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</si>
  <si>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</si>
  <si>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</si>
  <si>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</si>
  <si>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</si>
  <si>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</si>
  <si>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</si>
  <si>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</si>
  <si>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</si>
  <si>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</si>
  <si>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</si>
  <si>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</si>
  <si>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</si>
  <si>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</si>
  <si>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</si>
  <si>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</si>
  <si>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</si>
  <si>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</si>
  <si>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</si>
  <si>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</si>
  <si>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</si>
  <si>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</si>
  <si>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</si>
  <si>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</si>
  <si>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</si>
  <si>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</si>
  <si>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</si>
  <si>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</si>
  <si>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</si>
  <si>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</si>
  <si>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</si>
  <si>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</si>
  <si>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</si>
  <si>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</si>
  <si>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</si>
  <si>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</si>
  <si>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</si>
  <si>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</si>
  <si>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</si>
  <si>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</si>
  <si>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</si>
  <si>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</si>
  <si>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</si>
  <si>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</si>
  <si>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</si>
  <si>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</si>
  <si>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</si>
  <si>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</si>
  <si>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</si>
  <si>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</si>
  <si>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Dsl Hybrid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</si>
  <si>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</si>
  <si>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</si>
  <si>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</si>
  <si>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</si>
  <si>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</si>
  <si>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</si>
  <si>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</si>
  <si>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</si>
  <si>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</si>
  <si>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Dsl Plug-in Hyb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</si>
  <si>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</si>
  <si>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</si>
  <si>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</si>
  <si>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</si>
  <si>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</si>
  <si>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</si>
  <si>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</si>
  <si>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</si>
  <si>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</si>
  <si>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</si>
  <si>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</si>
  <si>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</si>
  <si>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</si>
  <si>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</si>
  <si>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</si>
  <si>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</si>
  <si>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</si>
  <si>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</si>
  <si>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</si>
  <si>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E85</t>
  </si>
  <si>
    <t>Е85</t>
  </si>
  <si>
    <t>Ε85</t>
  </si>
  <si>
    <t>Elec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</si>
  <si>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</si>
  <si>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</si>
  <si>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</si>
  <si>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</si>
  <si>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</si>
  <si>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</si>
  <si>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</si>
  <si>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</si>
  <si>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</si>
  <si>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Elec 150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</si>
  <si>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</si>
  <si>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</si>
  <si>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</si>
  <si>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</si>
  <si>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</si>
  <si>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</si>
  <si>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</si>
  <si>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</si>
  <si>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Elec 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</si>
  <si>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</si>
  <si>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</si>
  <si>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</si>
  <si>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</si>
  <si>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</si>
  <si>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</si>
  <si>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</si>
  <si>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</si>
  <si>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</si>
  <si>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</si>
  <si>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Elec 500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</si>
  <si>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</si>
  <si>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</si>
  <si>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</si>
  <si>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</si>
  <si>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</si>
  <si>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</si>
  <si>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</si>
  <si>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</si>
  <si>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</si>
  <si>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</si>
  <si>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</si>
  <si>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</si>
  <si>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</si>
  <si>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</si>
  <si>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</si>
  <si>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</si>
  <si>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</si>
  <si>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</si>
  <si>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</si>
  <si>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</si>
  <si>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Elec vehicle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</si>
  <si>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</si>
  <si>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</si>
  <si>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</si>
  <si>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</si>
  <si>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</si>
  <si>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</si>
  <si>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</si>
  <si>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</si>
  <si>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</si>
  <si>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</si>
  <si>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</si>
  <si>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</si>
  <si>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</si>
  <si>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</si>
  <si>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</si>
  <si>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</si>
  <si>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</si>
  <si>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</si>
  <si>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</si>
  <si>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</si>
  <si>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</si>
  <si>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</si>
  <si>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</si>
  <si>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</si>
  <si>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</si>
  <si>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</si>
  <si>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</si>
  <si>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</si>
  <si>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</si>
  <si>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</si>
  <si>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</si>
  <si>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</si>
  <si>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</si>
  <si>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</si>
  <si>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</si>
  <si>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</si>
  <si>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</si>
  <si>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</si>
  <si>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</si>
  <si>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</si>
  <si>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</si>
  <si>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</si>
  <si>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</si>
  <si>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</si>
  <si>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</si>
  <si>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</si>
  <si>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</si>
  <si>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</si>
  <si>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</si>
  <si>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</si>
  <si>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</si>
  <si>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</si>
  <si>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</si>
  <si>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</si>
  <si>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</si>
  <si>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</si>
  <si>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</si>
  <si>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</si>
  <si>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</si>
  <si>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</si>
  <si>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</si>
  <si>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</si>
  <si>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</si>
  <si>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</si>
  <si>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</si>
  <si>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</si>
  <si>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EnCom_nbrs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</si>
  <si>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</si>
  <si>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</si>
  <si>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</si>
  <si>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</si>
  <si>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</si>
  <si>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</si>
  <si>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</si>
  <si>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</si>
  <si>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</si>
  <si>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</si>
  <si>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</si>
  <si>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</si>
  <si>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</si>
  <si>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</si>
  <si>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</si>
  <si>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</si>
  <si>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</si>
  <si>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</si>
  <si>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</si>
  <si>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</si>
  <si>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</si>
  <si>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</si>
  <si>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</si>
  <si>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</si>
  <si>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</si>
  <si>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</si>
  <si>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</si>
  <si>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</si>
  <si>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</si>
  <si>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</si>
  <si>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</si>
  <si>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</si>
  <si>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</si>
  <si>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</si>
  <si>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</si>
  <si>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</si>
  <si>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Euroazia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</si>
  <si>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</si>
  <si>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</si>
  <si>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</si>
  <si>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</si>
  <si>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</si>
  <si>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</si>
  <si>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</si>
  <si>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</si>
  <si>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</si>
  <si>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Evropë</t>
  </si>
  <si>
    <t>Ευρώπη</t>
  </si>
  <si>
    <t>Європа</t>
  </si>
  <si>
    <t>L'Europe </t>
  </si>
  <si>
    <t>أوروبا</t>
  </si>
  <si>
    <t>欧洲</t>
  </si>
  <si>
    <t>ヨーロッパ</t>
  </si>
  <si>
    <t>EV Battery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</si>
  <si>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</si>
  <si>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</si>
  <si>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</si>
  <si>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</si>
  <si>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</si>
  <si>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</si>
  <si>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</si>
  <si>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</si>
  <si>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</si>
  <si>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</si>
  <si>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</si>
  <si>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</si>
  <si>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</si>
  <si>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</si>
  <si>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</si>
  <si>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</si>
  <si>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</si>
  <si>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</si>
  <si>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</si>
  <si>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</si>
  <si>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</si>
  <si>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</si>
  <si>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</si>
  <si>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</si>
  <si>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</si>
  <si>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</si>
  <si>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</si>
  <si>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</si>
  <si>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</si>
  <si>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</si>
  <si>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</si>
  <si>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</si>
  <si>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</si>
  <si>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</si>
  <si>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</si>
  <si>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</si>
  <si>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</si>
  <si>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</si>
  <si>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</si>
  <si>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</si>
  <si>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</si>
  <si>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</si>
  <si>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</si>
  <si>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</si>
  <si>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</si>
  <si>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</si>
  <si>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</si>
  <si>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</si>
  <si>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</si>
  <si>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</si>
  <si>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</si>
  <si>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</si>
  <si>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</si>
  <si>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</si>
  <si>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</si>
  <si>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</si>
  <si>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</si>
  <si>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</si>
  <si>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</si>
  <si>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</si>
  <si>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</si>
  <si>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</si>
  <si>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</si>
  <si>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</si>
  <si>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</si>
  <si>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</si>
  <si>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</si>
  <si>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</si>
  <si>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Gazi</t>
  </si>
  <si>
    <t>Αέριο</t>
  </si>
  <si>
    <t>газ</t>
  </si>
  <si>
    <t>Газ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</si>
  <si>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</si>
  <si>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</si>
  <si>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</si>
  <si>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</si>
  <si>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</si>
  <si>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</si>
  <si>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</si>
  <si>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</si>
  <si>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</si>
  <si>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</si>
  <si>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</si>
  <si>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</si>
  <si>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</si>
  <si>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</si>
  <si>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</si>
  <si>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</si>
  <si>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</si>
  <si>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</si>
  <si>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</si>
  <si>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</si>
  <si>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</si>
  <si>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</si>
  <si>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</si>
  <si>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Gasoline 150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</si>
  <si>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</si>
  <si>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</si>
  <si>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</si>
  <si>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</si>
  <si>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</si>
  <si>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</si>
  <si>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</si>
  <si>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</si>
  <si>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</si>
  <si>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</si>
  <si>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Gasoline 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</si>
  <si>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</si>
  <si>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</si>
  <si>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</si>
  <si>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</si>
  <si>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</si>
  <si>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</si>
  <si>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</si>
  <si>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</si>
  <si>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</si>
  <si>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</si>
  <si>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Gasoline 500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</si>
  <si>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</si>
  <si>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</si>
  <si>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</si>
  <si>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</si>
  <si>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</si>
  <si>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</si>
  <si>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</si>
  <si>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</si>
  <si>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</si>
  <si>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</si>
  <si>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Gjeotermia</t>
  </si>
  <si>
    <t>Геотермия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</si>
  <si>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</si>
  <si>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</si>
  <si>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</si>
  <si>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</si>
  <si>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</si>
  <si>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</si>
  <si>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</si>
  <si>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</si>
  <si>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</si>
  <si>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</si>
  <si>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</si>
  <si>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</si>
  <si>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</si>
  <si>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</si>
  <si>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</si>
  <si>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</si>
  <si>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</si>
  <si>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</si>
  <si>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</si>
  <si>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</si>
  <si>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</si>
  <si>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</si>
  <si>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</si>
  <si>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</si>
  <si>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</si>
  <si>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Gsl Hybrid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</si>
  <si>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</si>
  <si>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</si>
  <si>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</si>
  <si>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</si>
  <si>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</si>
  <si>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</si>
  <si>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</si>
  <si>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</si>
  <si>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</si>
  <si>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</si>
  <si>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</si>
  <si>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Gsl Plug-in Hyb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</si>
  <si>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</si>
  <si>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</si>
  <si>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</si>
  <si>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</si>
  <si>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</si>
  <si>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</si>
  <si>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</si>
  <si>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</si>
  <si>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</si>
  <si>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</si>
  <si>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</si>
  <si>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</si>
  <si>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</si>
  <si>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</si>
  <si>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</si>
  <si>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</si>
  <si>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</si>
  <si>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</si>
  <si>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</si>
  <si>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</si>
  <si>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</si>
  <si>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</si>
  <si>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</si>
  <si>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</si>
  <si>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</si>
  <si>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</si>
  <si>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</si>
  <si>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</si>
  <si>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</si>
  <si>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</si>
  <si>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</si>
  <si>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</si>
  <si>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</si>
  <si>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</si>
  <si>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</si>
  <si>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</si>
  <si>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</si>
  <si>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</si>
  <si>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</si>
  <si>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</si>
  <si>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</si>
  <si>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</si>
  <si>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</si>
  <si>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</si>
  <si>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</si>
  <si>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</si>
  <si>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</si>
  <si>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</si>
  <si>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</si>
  <si>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</si>
  <si>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</si>
  <si>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</si>
  <si>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</si>
  <si>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</si>
  <si>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</si>
  <si>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</si>
  <si>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</si>
  <si>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</si>
  <si>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</si>
  <si>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</si>
  <si>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</si>
  <si>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Nxehtësia</t>
  </si>
  <si>
    <t>Θερμότητα</t>
  </si>
  <si>
    <t>Тепло</t>
  </si>
  <si>
    <t>Топлина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</si>
  <si>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</si>
  <si>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</si>
  <si>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</si>
  <si>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</si>
  <si>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</si>
  <si>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</si>
  <si>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</si>
  <si>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</si>
  <si>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</si>
  <si>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</si>
  <si>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</si>
  <si>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</si>
  <si>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</si>
  <si>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</si>
  <si>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</si>
  <si>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</si>
  <si>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</si>
  <si>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</si>
  <si>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</si>
  <si>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</si>
  <si>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</si>
  <si>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</si>
  <si>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</si>
  <si>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</si>
  <si>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</si>
  <si>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</si>
  <si>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</si>
  <si>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</si>
  <si>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</si>
  <si>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</si>
  <si>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</si>
  <si>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</si>
  <si>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</si>
  <si>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</si>
  <si>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</si>
  <si>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</si>
  <si>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</si>
  <si>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</si>
  <si>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</si>
  <si>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</si>
  <si>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</si>
  <si>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</si>
  <si>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</si>
  <si>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</si>
  <si>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</si>
  <si>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</si>
  <si>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</si>
  <si>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</si>
  <si>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</si>
  <si>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</si>
  <si>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</si>
  <si>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</si>
  <si>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</si>
  <si>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</si>
  <si>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</si>
  <si>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</si>
  <si>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</si>
  <si>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</si>
  <si>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</si>
  <si>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Гідро</t>
  </si>
  <si>
    <t>Hydroélectricité</t>
  </si>
  <si>
    <t>Wasserkraft</t>
  </si>
  <si>
    <t>هيدرو</t>
  </si>
  <si>
    <t>海德鲁</t>
  </si>
  <si>
    <t>ハイドロ</t>
  </si>
  <si>
    <t>Hidrogjeni</t>
  </si>
  <si>
    <t>Υδρογόνο</t>
  </si>
  <si>
    <t>водень</t>
  </si>
  <si>
    <t>Водород</t>
  </si>
  <si>
    <t>Hydrogène</t>
  </si>
  <si>
    <t>Wasserstoff</t>
  </si>
  <si>
    <t>Hidrógeno</t>
  </si>
  <si>
    <t>هيدروجين</t>
  </si>
  <si>
    <t>氢</t>
  </si>
  <si>
    <t>水素</t>
  </si>
  <si>
    <t xml:space="preserve">Hydrogen 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</si>
  <si>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</si>
  <si>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</si>
  <si>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</si>
  <si>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</si>
  <si>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</si>
  <si>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</si>
  <si>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</si>
  <si>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</si>
  <si>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</si>
  <si>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</si>
  <si>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</si>
  <si>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</si>
  <si>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</si>
  <si>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</si>
  <si>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</si>
  <si>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</si>
  <si>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</si>
  <si>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</si>
  <si>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</si>
  <si>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</si>
  <si>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</si>
  <si>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</si>
  <si>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</si>
  <si>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</si>
  <si>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</si>
  <si>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</si>
  <si>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</si>
  <si>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</si>
  <si>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</si>
  <si>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</si>
  <si>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</si>
  <si>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</si>
  <si>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</si>
  <si>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</si>
  <si>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</si>
  <si>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</si>
  <si>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</si>
  <si>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</si>
  <si>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</si>
  <si>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</si>
  <si>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</si>
  <si>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</si>
  <si>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</si>
  <si>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</si>
  <si>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</si>
  <si>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</si>
  <si>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</si>
  <si>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</si>
  <si>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</si>
  <si>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</si>
  <si>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</si>
  <si>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</si>
  <si>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</si>
  <si>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</si>
  <si>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</si>
  <si>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</si>
  <si>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</si>
  <si>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</si>
  <si>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</si>
  <si>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</si>
  <si>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</si>
  <si>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</si>
  <si>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</si>
  <si>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</si>
  <si>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</si>
  <si>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</si>
  <si>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</si>
  <si>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</si>
  <si>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</si>
  <si>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</si>
  <si>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</si>
  <si>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</si>
  <si>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</si>
  <si>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</si>
  <si>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</si>
  <si>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</si>
  <si>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</si>
  <si>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</si>
  <si>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</si>
  <si>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</si>
  <si>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</si>
  <si>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</si>
  <si>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</si>
  <si>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</si>
  <si>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</si>
  <si>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</si>
  <si>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</si>
  <si>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</si>
  <si>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</si>
  <si>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</si>
  <si>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</si>
  <si>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</si>
  <si>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</si>
  <si>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</si>
  <si>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</si>
  <si>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</si>
  <si>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</si>
  <si>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</si>
  <si>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</si>
  <si>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</si>
  <si>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</si>
  <si>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</si>
  <si>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</si>
  <si>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</si>
  <si>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</si>
  <si>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</si>
  <si>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</si>
  <si>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</si>
  <si>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</si>
  <si>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</si>
  <si>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</si>
  <si>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</si>
  <si>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</si>
  <si>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</si>
  <si>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</si>
  <si>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</si>
  <si>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</si>
  <si>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</si>
  <si>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</si>
  <si>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</si>
  <si>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</si>
  <si>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</si>
  <si>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</si>
  <si>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</si>
  <si>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</si>
  <si>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</si>
  <si>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</si>
  <si>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</si>
  <si>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</si>
  <si>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</si>
  <si>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</si>
  <si>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</si>
  <si>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</si>
  <si>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</si>
  <si>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</si>
  <si>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</si>
  <si>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</si>
  <si>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</si>
  <si>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</si>
  <si>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</si>
  <si>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</si>
  <si>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</si>
  <si>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</si>
  <si>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</si>
  <si>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</si>
  <si>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</si>
  <si>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</si>
  <si>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</si>
  <si>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</si>
  <si>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</si>
  <si>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</si>
  <si>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</si>
  <si>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</si>
  <si>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</si>
  <si>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</si>
  <si>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</si>
  <si>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</si>
  <si>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</si>
  <si>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</si>
  <si>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</si>
  <si>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</si>
  <si>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</si>
  <si>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</si>
  <si>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</si>
  <si>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</si>
  <si>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</si>
  <si>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</si>
  <si>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</si>
  <si>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</si>
  <si>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</si>
  <si>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</si>
  <si>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</si>
  <si>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</si>
  <si>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</si>
  <si>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</si>
  <si>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</si>
  <si>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</si>
  <si>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</si>
  <si>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</si>
  <si>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</si>
  <si>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</si>
  <si>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</si>
  <si>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</si>
  <si>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</si>
  <si>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</si>
  <si>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</si>
  <si>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</si>
  <si>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</si>
  <si>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</si>
  <si>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</si>
  <si>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</si>
  <si>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</si>
  <si>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</si>
  <si>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</si>
  <si>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</si>
  <si>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</si>
  <si>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</si>
  <si>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</si>
  <si>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</si>
  <si>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</si>
  <si>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</si>
  <si>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</si>
  <si>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</si>
  <si>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</si>
  <si>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</si>
  <si>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</si>
  <si>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</si>
  <si>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</si>
  <si>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</si>
  <si>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</si>
  <si>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</si>
  <si>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</si>
  <si>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</si>
  <si>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</si>
  <si>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</si>
  <si>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</si>
  <si>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</si>
  <si>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</si>
  <si>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</si>
  <si>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</si>
  <si>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</si>
  <si>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</si>
  <si>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</si>
  <si>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</si>
  <si>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</si>
  <si>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</si>
  <si>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</si>
  <si>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</si>
  <si>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</si>
  <si>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</si>
  <si>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</si>
  <si>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</si>
  <si>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Lindja e Mesme</t>
  </si>
  <si>
    <t>μέση Ανατολή</t>
  </si>
  <si>
    <t>середній Схід</t>
  </si>
  <si>
    <t>Близкия Изток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</si>
  <si>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</si>
  <si>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</si>
  <si>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</si>
  <si>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</si>
  <si>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</si>
  <si>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</si>
  <si>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</si>
  <si>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</si>
  <si>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</si>
  <si>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</si>
  <si>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</si>
  <si>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</si>
  <si>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</si>
  <si>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</si>
  <si>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</si>
  <si>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</si>
  <si>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</si>
  <si>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</si>
  <si>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</si>
  <si>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</si>
  <si>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</si>
  <si>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</si>
  <si>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</si>
  <si>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</si>
  <si>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</si>
  <si>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</si>
  <si>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</si>
  <si>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</si>
  <si>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</si>
  <si>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</si>
  <si>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</si>
  <si>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</si>
  <si>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</si>
  <si>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</si>
  <si>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</si>
  <si>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</si>
  <si>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</si>
  <si>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</si>
  <si>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</si>
  <si>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</si>
  <si>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</si>
  <si>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</si>
  <si>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</si>
  <si>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</si>
  <si>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</si>
  <si>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</si>
  <si>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</si>
  <si>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</si>
  <si>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</si>
  <si>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</si>
  <si>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</si>
  <si>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</si>
  <si>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</si>
  <si>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</si>
  <si>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</si>
  <si>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</si>
  <si>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</si>
  <si>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</si>
  <si>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</si>
  <si>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</si>
  <si>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</si>
  <si>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</si>
  <si>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</si>
  <si>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</si>
  <si>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</si>
  <si>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</si>
  <si>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</si>
  <si>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</si>
  <si>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</si>
  <si>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</si>
  <si>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</si>
  <si>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</si>
  <si>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</si>
  <si>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</si>
  <si>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</si>
  <si>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</si>
  <si>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</si>
  <si>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</si>
  <si>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</si>
  <si>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</si>
  <si>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</si>
  <si>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</si>
  <si>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</si>
  <si>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</si>
  <si>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</si>
  <si>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</si>
  <si>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</si>
  <si>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</si>
  <si>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</si>
  <si>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</si>
  <si>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</si>
  <si>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</si>
  <si>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</si>
  <si>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</si>
  <si>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</si>
  <si>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</si>
  <si>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</si>
  <si>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</si>
  <si>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</si>
  <si>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</si>
  <si>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</si>
  <si>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</si>
  <si>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</si>
  <si>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</si>
  <si>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</si>
  <si>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</si>
  <si>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</si>
  <si>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</si>
  <si>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</si>
  <si>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</si>
  <si>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</si>
  <si>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</si>
  <si>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</si>
  <si>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</si>
  <si>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</si>
  <si>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</si>
  <si>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</si>
  <si>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</si>
  <si>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</si>
  <si>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</si>
  <si>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</si>
  <si>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</si>
  <si>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</si>
  <si>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</si>
  <si>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</si>
  <si>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</si>
  <si>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</si>
  <si>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</si>
  <si>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</si>
  <si>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</si>
  <si>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</si>
  <si>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</si>
  <si>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Amerika e Veriut</t>
  </si>
  <si>
    <t>Βόρεια Αμερική</t>
  </si>
  <si>
    <t>Північна Америка</t>
  </si>
  <si>
    <t>Amérique du Nord</t>
  </si>
  <si>
    <t>Nordamerika</t>
  </si>
  <si>
    <t>América del norte</t>
  </si>
  <si>
    <t>أمريكا الشمالية</t>
  </si>
  <si>
    <t>北美</t>
  </si>
  <si>
    <t>北米</t>
  </si>
  <si>
    <t>bërthamore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</si>
  <si>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</si>
  <si>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</si>
  <si>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</si>
  <si>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</si>
  <si>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</si>
  <si>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</si>
  <si>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</si>
  <si>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</si>
  <si>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</si>
  <si>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</si>
  <si>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</si>
  <si>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</si>
  <si>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</si>
  <si>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</si>
  <si>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</si>
  <si>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</si>
  <si>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</si>
  <si>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</si>
  <si>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</si>
  <si>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</si>
  <si>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</si>
  <si>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</si>
  <si>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Nafta Sirova</t>
  </si>
  <si>
    <t>Πετρέλαιο αργό</t>
  </si>
  <si>
    <t>Сира нафта</t>
  </si>
  <si>
    <t>Суров петрол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</si>
  <si>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</si>
  <si>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</si>
  <si>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</si>
  <si>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</si>
  <si>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</si>
  <si>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</si>
  <si>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</si>
  <si>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</si>
  <si>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</si>
  <si>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</si>
  <si>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</si>
  <si>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</si>
  <si>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</si>
  <si>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</si>
  <si>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</si>
  <si>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</si>
  <si>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</si>
  <si>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</si>
  <si>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</si>
  <si>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</si>
  <si>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</si>
  <si>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</si>
  <si>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</si>
  <si>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</si>
  <si>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</si>
  <si>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</si>
  <si>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</si>
  <si>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</si>
  <si>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</si>
  <si>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</si>
  <si>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</si>
  <si>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</si>
  <si>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</si>
  <si>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</si>
  <si>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</si>
  <si>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</si>
  <si>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</si>
  <si>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</si>
  <si>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EnCom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</si>
  <si>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</si>
  <si>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</si>
  <si>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</si>
  <si>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</si>
  <si>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</si>
  <si>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</si>
  <si>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</si>
  <si>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</si>
  <si>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</si>
  <si>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</si>
  <si>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</si>
  <si>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</si>
  <si>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</si>
  <si>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</si>
  <si>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Other Europe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</si>
  <si>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</si>
  <si>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</si>
  <si>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</si>
  <si>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</si>
  <si>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</si>
  <si>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</si>
  <si>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</si>
  <si>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</si>
  <si>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</si>
  <si>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</si>
  <si>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</si>
  <si>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</si>
  <si>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</si>
  <si>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</si>
  <si>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</si>
  <si>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</si>
  <si>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</si>
  <si>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</si>
  <si>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</si>
  <si>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</si>
  <si>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</si>
  <si>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</si>
  <si>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</si>
  <si>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</si>
  <si>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</si>
  <si>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</si>
  <si>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</si>
  <si>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</si>
  <si>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</si>
  <si>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</si>
  <si>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</si>
  <si>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</si>
  <si>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</si>
  <si>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</si>
  <si>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</si>
  <si>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</si>
  <si>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</si>
  <si>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</si>
  <si>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</si>
  <si>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</si>
  <si>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</si>
  <si>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</si>
  <si>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</si>
  <si>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</si>
  <si>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</si>
  <si>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</si>
  <si>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</si>
  <si>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</si>
  <si>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</si>
  <si>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</si>
  <si>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</si>
  <si>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</si>
  <si>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</si>
  <si>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</si>
  <si>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</si>
  <si>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</si>
  <si>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</si>
  <si>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</si>
  <si>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</si>
  <si>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</si>
  <si>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</si>
  <si>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</si>
  <si>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</si>
  <si>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</si>
  <si>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</si>
  <si>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</si>
  <si>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</si>
  <si>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</si>
  <si>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</si>
  <si>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</si>
  <si>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</si>
  <si>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</si>
  <si>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</si>
  <si>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</si>
  <si>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</si>
  <si>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</si>
  <si>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</si>
  <si>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</si>
  <si>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</si>
  <si>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</si>
  <si>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</si>
  <si>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</si>
  <si>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</si>
  <si>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</si>
  <si>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</si>
  <si>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</si>
  <si>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</si>
  <si>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</si>
  <si>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</si>
  <si>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</si>
  <si>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</si>
  <si>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</si>
  <si>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</si>
  <si>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</si>
  <si>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</si>
  <si>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</si>
  <si>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</si>
  <si>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</si>
  <si>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</si>
  <si>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</si>
  <si>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</si>
  <si>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</si>
  <si>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</si>
  <si>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</si>
  <si>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</si>
  <si>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</si>
  <si>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</si>
  <si>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</si>
  <si>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</si>
  <si>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</si>
  <si>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</si>
  <si>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</si>
  <si>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</si>
  <si>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</si>
  <si>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</si>
  <si>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</si>
  <si>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</si>
  <si>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</si>
  <si>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</si>
  <si>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</si>
  <si>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</si>
  <si>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</si>
  <si>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</si>
  <si>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</si>
  <si>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</si>
  <si>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</si>
  <si>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</si>
  <si>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</si>
  <si>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</si>
  <si>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</si>
  <si>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</si>
  <si>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</si>
  <si>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</si>
  <si>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</si>
  <si>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</si>
  <si>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</si>
  <si>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</si>
  <si>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</si>
  <si>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</si>
  <si>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</si>
  <si>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</si>
  <si>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</si>
  <si>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</si>
  <si>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</si>
  <si>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</si>
  <si>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</si>
  <si>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</si>
  <si>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</si>
  <si>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</si>
  <si>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</si>
  <si>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</si>
  <si>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</si>
  <si>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</si>
  <si>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</si>
  <si>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</si>
  <si>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</si>
  <si>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</si>
  <si>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</si>
  <si>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</si>
  <si>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</si>
  <si>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</si>
  <si>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</si>
  <si>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</si>
  <si>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</si>
  <si>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</si>
  <si>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</si>
  <si>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</si>
  <si>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</si>
  <si>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</si>
  <si>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</si>
  <si>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</si>
  <si>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</si>
  <si>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</si>
  <si>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</si>
  <si>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</si>
  <si>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</si>
  <si>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</si>
  <si>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</si>
  <si>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</si>
  <si>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</si>
  <si>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</si>
  <si>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</si>
  <si>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</si>
  <si>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</si>
  <si>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</si>
  <si>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</si>
  <si>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</si>
  <si>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</si>
  <si>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</si>
  <si>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</si>
  <si>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</si>
  <si>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</si>
  <si>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</si>
  <si>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</si>
  <si>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</si>
  <si>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</si>
  <si>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</si>
  <si>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</si>
  <si>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</si>
  <si>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</si>
  <si>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</si>
  <si>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</si>
  <si>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</si>
  <si>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</si>
  <si>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</si>
  <si>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</si>
  <si>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</si>
  <si>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</si>
  <si>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</si>
  <si>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</si>
  <si>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</si>
  <si>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</si>
  <si>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</si>
  <si>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</si>
  <si>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</si>
  <si>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</si>
  <si>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</si>
  <si>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</si>
  <si>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</si>
  <si>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</si>
  <si>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</si>
  <si>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</si>
  <si>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</si>
  <si>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</si>
  <si>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</si>
  <si>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</si>
  <si>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</si>
  <si>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</si>
  <si>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</si>
  <si>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</si>
  <si>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</si>
  <si>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</si>
  <si>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</si>
  <si>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</si>
  <si>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</si>
  <si>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</si>
  <si>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</si>
  <si>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</si>
  <si>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</si>
  <si>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</si>
  <si>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</si>
  <si>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</si>
  <si>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</si>
  <si>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</si>
  <si>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</si>
  <si>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</si>
  <si>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</si>
  <si>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</si>
  <si>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</si>
  <si>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</si>
  <si>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</si>
  <si>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</si>
  <si>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</si>
  <si>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</si>
  <si>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</si>
  <si>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</si>
  <si>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</si>
  <si>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</si>
  <si>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</si>
  <si>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</si>
  <si>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</si>
  <si>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</si>
  <si>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</si>
  <si>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</si>
  <si>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</si>
  <si>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</si>
  <si>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</si>
  <si>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</si>
  <si>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</si>
  <si>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</si>
  <si>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</si>
  <si>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ROW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</si>
  <si>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</si>
  <si>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</si>
  <si>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</si>
  <si>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</si>
  <si>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</si>
  <si>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</si>
  <si>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</si>
  <si>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</si>
  <si>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</si>
  <si>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</si>
  <si>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</si>
  <si>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</si>
  <si>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</si>
  <si>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</si>
  <si>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</si>
  <si>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</si>
  <si>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</si>
  <si>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</si>
  <si>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</si>
  <si>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</si>
  <si>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</si>
  <si>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</si>
  <si>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</si>
  <si>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</si>
  <si>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</si>
  <si>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</si>
  <si>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</si>
  <si>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Diellore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</si>
  <si>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</si>
  <si>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</si>
  <si>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</si>
  <si>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</si>
  <si>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</si>
  <si>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</si>
  <si>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</si>
  <si>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</si>
  <si>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</si>
  <si>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</si>
  <si>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</si>
  <si>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</si>
  <si>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</si>
  <si>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</si>
  <si>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</si>
  <si>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</si>
  <si>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</si>
  <si>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</si>
  <si>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</si>
  <si>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</si>
  <si>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</si>
  <si>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</si>
  <si>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</si>
  <si>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</si>
  <si>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</si>
  <si>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</si>
  <si>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</si>
  <si>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</si>
  <si>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</si>
  <si>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</si>
  <si>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</si>
  <si>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</si>
  <si>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</si>
  <si>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</si>
  <si>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</si>
  <si>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</si>
  <si>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</si>
  <si>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</si>
  <si>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</si>
  <si>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</si>
  <si>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</si>
  <si>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</si>
  <si>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</si>
  <si>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</si>
  <si>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</si>
  <si>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</si>
  <si>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</si>
  <si>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</si>
  <si>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</si>
  <si>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</si>
  <si>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</si>
  <si>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</si>
  <si>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</si>
  <si>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</si>
  <si>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</si>
  <si>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</si>
  <si>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</si>
  <si>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</si>
  <si>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</si>
  <si>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</si>
  <si>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</si>
  <si>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</si>
  <si>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</si>
  <si>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</si>
  <si>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</si>
  <si>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</si>
  <si>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</si>
  <si>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</si>
  <si>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</si>
  <si>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</si>
  <si>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</si>
  <si>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</si>
  <si>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</si>
  <si>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</si>
  <si>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</si>
  <si>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</si>
  <si>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</si>
  <si>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</si>
  <si>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</si>
  <si>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</si>
  <si>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</si>
  <si>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</si>
  <si>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</si>
  <si>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</si>
  <si>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</si>
  <si>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</si>
  <si>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</si>
  <si>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</si>
  <si>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</si>
  <si>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</si>
  <si>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</si>
  <si>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</si>
  <si>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</si>
  <si>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</si>
  <si>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</si>
  <si>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</si>
  <si>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</si>
  <si>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</si>
  <si>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</si>
  <si>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</si>
  <si>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</si>
  <si>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</si>
  <si>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</si>
  <si>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</si>
  <si>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</si>
  <si>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</si>
  <si>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</si>
  <si>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</si>
  <si>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</si>
  <si>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</si>
  <si>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</si>
  <si>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</si>
  <si>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</si>
  <si>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</si>
  <si>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</si>
  <si>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</si>
  <si>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</si>
  <si>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</si>
  <si>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</si>
  <si>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</si>
  <si>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</si>
  <si>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</si>
  <si>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</si>
  <si>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</si>
  <si>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</si>
  <si>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</si>
  <si>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</si>
  <si>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</si>
  <si>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</si>
  <si>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</si>
  <si>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</si>
  <si>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</si>
  <si>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</si>
  <si>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</si>
  <si>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</si>
  <si>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</si>
  <si>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</si>
  <si>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</si>
  <si>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</si>
  <si>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</si>
  <si>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</si>
  <si>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</si>
  <si>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</si>
  <si>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</si>
  <si>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</si>
  <si>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</si>
  <si>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</si>
  <si>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</si>
  <si>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</si>
  <si>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</si>
  <si>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</si>
  <si>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</si>
  <si>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</si>
  <si>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</si>
  <si>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</si>
  <si>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</si>
  <si>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</si>
  <si>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</si>
  <si>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</si>
  <si>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</si>
  <si>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</si>
  <si>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</si>
  <si>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</si>
  <si>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</si>
  <si>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</si>
  <si>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</si>
  <si>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</si>
  <si>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</si>
  <si>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</si>
  <si>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</si>
  <si>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</si>
  <si>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</si>
  <si>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</si>
  <si>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</si>
  <si>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</si>
  <si>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</si>
  <si>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</si>
  <si>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</si>
  <si>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</si>
  <si>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</si>
  <si>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</si>
  <si>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</si>
  <si>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</si>
  <si>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</si>
  <si>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</si>
  <si>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</si>
  <si>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</si>
  <si>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</si>
  <si>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</si>
  <si>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</si>
  <si>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</si>
  <si>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</si>
  <si>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</si>
  <si>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</si>
  <si>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</si>
  <si>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</si>
  <si>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</si>
  <si>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</si>
  <si>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</si>
  <si>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</si>
  <si>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</si>
  <si>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</si>
  <si>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</si>
  <si>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</si>
  <si>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</si>
  <si>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</si>
  <si>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</si>
  <si>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</si>
  <si>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</si>
  <si>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</si>
  <si>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</si>
  <si>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</si>
  <si>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</si>
  <si>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</si>
  <si>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</si>
  <si>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</si>
  <si>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</si>
  <si>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</si>
  <si>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</si>
  <si>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</si>
  <si>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</si>
  <si>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</si>
  <si>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</si>
  <si>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</si>
  <si>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</si>
  <si>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</si>
  <si>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</si>
  <si>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</si>
  <si>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</si>
  <si>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</si>
  <si>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</si>
  <si>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</si>
  <si>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</si>
  <si>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</si>
  <si>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</si>
  <si>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</si>
  <si>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</si>
  <si>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</si>
  <si>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</si>
  <si>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Western Balkans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</si>
  <si>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</si>
  <si>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</si>
  <si>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</si>
  <si>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</si>
  <si>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</si>
  <si>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</si>
  <si>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</si>
  <si>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</si>
  <si>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</si>
  <si>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</si>
  <si>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</si>
  <si>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</si>
  <si>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</si>
  <si>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</si>
  <si>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Era</t>
  </si>
  <si>
    <t>Ανεμος</t>
  </si>
  <si>
    <t>Вітер</t>
  </si>
  <si>
    <t>Вятър</t>
  </si>
  <si>
    <t>Vent</t>
  </si>
  <si>
    <t>Viento</t>
  </si>
  <si>
    <t>رياح</t>
  </si>
  <si>
    <t>风</t>
  </si>
  <si>
    <t>風</t>
  </si>
  <si>
    <t>Tech</t>
  </si>
  <si>
    <t>TrdT_CNG</t>
  </si>
  <si>
    <t>TrdT_Diesel</t>
  </si>
  <si>
    <t>TrdT_Dsl Hybrid</t>
  </si>
  <si>
    <t>TrdT_Dsl Plug-in Hyb</t>
  </si>
  <si>
    <t>TrdT_E85</t>
  </si>
  <si>
    <t>TrdT_Elec vehicle</t>
  </si>
  <si>
    <t>TrdT_Elec 150</t>
  </si>
  <si>
    <t>TrdT_Elec 50</t>
  </si>
  <si>
    <t>TrdT_Elec 500</t>
  </si>
  <si>
    <t>TrdT_Gasoline</t>
  </si>
  <si>
    <t>TrdT_Gasoline 150</t>
  </si>
  <si>
    <t>TrdT_Gasoline 50</t>
  </si>
  <si>
    <t>TrdT_Gasoline 500</t>
  </si>
  <si>
    <t>TrdT_Gsl Hybrid</t>
  </si>
  <si>
    <t>TrdT_Gsl Plug-in Hyb</t>
  </si>
  <si>
    <t xml:space="preserve">TrdT_Hydrogen </t>
  </si>
  <si>
    <t>TrdT_LNG</t>
  </si>
  <si>
    <t>TrdT_LPG</t>
  </si>
  <si>
    <t>*bioref*,brf[_]*</t>
  </si>
  <si>
    <t>en_type</t>
  </si>
  <si>
    <t>COA*,BIO*,OIL*,GAS*,HH2</t>
  </si>
  <si>
    <t>ldesc</t>
  </si>
  <si>
    <t>for final energy view - to distinguish combustion and non-energy uses</t>
  </si>
  <si>
    <t>final</t>
  </si>
  <si>
    <t>primary</t>
  </si>
  <si>
    <t>Final energy consumption by sector and fuel</t>
  </si>
  <si>
    <t>Electricity production - including output from storage and trade</t>
  </si>
  <si>
    <t>Intermittent electricity production - this is either curtailed or used for Hydrogen production</t>
  </si>
  <si>
    <t>Hydrogen production</t>
  </si>
  <si>
    <t>Energy consumed for producing electricity and heat</t>
  </si>
  <si>
    <t>Energy consumed for producing Hydrogen</t>
  </si>
  <si>
    <t>Energy consumed in Direct Air Capture of CO2</t>
  </si>
  <si>
    <t>IRE,STG</t>
  </si>
  <si>
    <t>ELC</t>
  </si>
  <si>
    <t>PJeNeg</t>
  </si>
  <si>
    <t>KINESYS</t>
  </si>
  <si>
    <t>Road transport vehicles population</t>
  </si>
  <si>
    <t>End-use services produced - these are the exogenous demands</t>
  </si>
  <si>
    <t>MIN*,WB_sup*</t>
  </si>
  <si>
    <t>USA</t>
  </si>
  <si>
    <t>EU28</t>
  </si>
  <si>
    <t>H2_Exp_LH2</t>
  </si>
  <si>
    <t>H2_Exp_Amm</t>
  </si>
  <si>
    <t>H2_Exp_LOHC</t>
  </si>
  <si>
    <t>H2_Imp_LH2</t>
  </si>
  <si>
    <t>H2_Imp_Amm</t>
  </si>
  <si>
    <t>H2_Imp_LOHC</t>
  </si>
  <si>
    <t>sector_WEO</t>
  </si>
  <si>
    <t>WEO fuels</t>
  </si>
  <si>
    <t>Additional</t>
  </si>
  <si>
    <t>WEO region</t>
  </si>
  <si>
    <t>-TU_sup-dem*</t>
  </si>
  <si>
    <t>Dem*</t>
  </si>
  <si>
    <t>_Testdownscaling</t>
  </si>
  <si>
    <t>p,c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</si>
  <si>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</si>
  <si>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</si>
  <si>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</si>
  <si>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</si>
  <si>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</si>
  <si>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Pipeline imports</t>
  </si>
  <si>
    <t>LNG exports</t>
  </si>
  <si>
    <t>~TS_Defs: Snk_attr=SANKEY_all_sectors</t>
  </si>
  <si>
    <t>LNG imports</t>
  </si>
  <si>
    <t>~TS_Defs: Snk_attr=SANKEY_elec_trade</t>
  </si>
  <si>
    <t>Electricity-&lt;region&gt;_Snk_&lt;gen_pname&gt;</t>
  </si>
  <si>
    <t>-*sup-dem*</t>
  </si>
  <si>
    <t>L N G Exp_Src_&lt;gen_pname&gt;</t>
  </si>
  <si>
    <t>L N G Imp_Snk_&lt;gen_pname&gt;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</si>
  <si>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</si>
  <si>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</si>
  <si>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</si>
  <si>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</si>
  <si>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</si>
  <si>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</si>
  <si>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</si>
  <si>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</si>
  <si>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</si>
  <si>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</si>
  <si>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</si>
  <si>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</si>
  <si>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</si>
  <si>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</si>
  <si>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</si>
  <si>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</si>
  <si>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</si>
  <si>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</si>
  <si>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</si>
  <si>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</si>
  <si>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</si>
  <si>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</si>
  <si>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</si>
  <si>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</si>
  <si>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</si>
  <si>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</si>
  <si>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</si>
  <si>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</si>
  <si>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</si>
  <si>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For sector SANKEY</t>
  </si>
  <si>
    <t>Cooking</t>
  </si>
  <si>
    <t>Hot Water</t>
  </si>
  <si>
    <t>Appliances</t>
  </si>
  <si>
    <t>Space Cooling</t>
  </si>
  <si>
    <t>Space Heating</t>
  </si>
  <si>
    <t>Dom. Aviation</t>
  </si>
  <si>
    <t>Int. Aviation</t>
  </si>
  <si>
    <t>Dom. Ships</t>
  </si>
  <si>
    <t>Int. Ships</t>
  </si>
  <si>
    <t>TU_GasPip--Austria-Hungary</t>
  </si>
  <si>
    <t xml:space="preserve"> [0.0 km]</t>
  </si>
  <si>
    <t>TU_GasPip--Hungary-Serbia</t>
  </si>
  <si>
    <t>TU_GasPip--Lithuania-Poland</t>
  </si>
  <si>
    <t>TU_GasPip--Serbia-Bosnia_Herz</t>
  </si>
  <si>
    <t>TU_GasPip--Slovak-Poland</t>
  </si>
  <si>
    <t>TU_GasPip--Ukraine-Poland</t>
  </si>
  <si>
    <t>TU_GasPip--Uzbekistan-Tajikistan</t>
  </si>
  <si>
    <t>TU_GasPip--Moldova-Romania</t>
  </si>
  <si>
    <t>anan^iv-tiraspol-izmail [257.0 km]</t>
  </si>
  <si>
    <t>TU_GasPip--Ukraine-Moldova</t>
  </si>
  <si>
    <t>TU_GasPip--France-Switzerland</t>
  </si>
  <si>
    <t>annecy-la gabiule+etrez-vernier+morelmaison-rodersdorf [276.0 km]</t>
  </si>
  <si>
    <t>TU_GasPip--Egypt-Other_MidEast</t>
  </si>
  <si>
    <t>arab [1200.0 km]</t>
  </si>
  <si>
    <t>TU_GasPip--Romania-Hungary</t>
  </si>
  <si>
    <t>arad-szeged [109.0 km]</t>
  </si>
  <si>
    <t>TU_GasPip--Israel-Egypt</t>
  </si>
  <si>
    <t>arish–ashkelon [90.0 km]</t>
  </si>
  <si>
    <t>TU_GasPip--Austria-Slovenia</t>
  </si>
  <si>
    <t>austria–slovenia interconnector [28.0 km]</t>
  </si>
  <si>
    <t>TU_GasPip--Netherlands-UK</t>
  </si>
  <si>
    <t>balgzand–bacton line [232.0 km]</t>
  </si>
  <si>
    <t>TU_GasPip--Denmark-Sweden</t>
  </si>
  <si>
    <t>baltic pipe project [613.0 km]</t>
  </si>
  <si>
    <t>TU_GasPip--Norway-Denmark</t>
  </si>
  <si>
    <t>TU_GasPip--Sweden-Poland</t>
  </si>
  <si>
    <t>TU_GasPip--Finland-Estonia</t>
  </si>
  <si>
    <t>balticconnector [155.0 km]</t>
  </si>
  <si>
    <t>TU_GasPip--Canada-USA</t>
  </si>
  <si>
    <t>bc+gas transmission northwest+great lakestransmission+northern border+transgas+empire+vikingtransmission+alliance+maritimes and northeast [31596.0 km]</t>
  </si>
  <si>
    <t>blue stream+turkstream [2143.0 km]</t>
  </si>
  <si>
    <t>TU_GasPip--Kyrgyzstan-Kazakhstan</t>
  </si>
  <si>
    <t>bukhara-tashkent-bishkek-almaty [1585.0 km]</t>
  </si>
  <si>
    <t>TU_GasPip--Uzbekistan-Kyrgyzstan</t>
  </si>
  <si>
    <t>TU_GasPip--Turkmenistan-Kazakhstan</t>
  </si>
  <si>
    <t>bukhara-ural [2382.0 km]</t>
  </si>
  <si>
    <t>TU_GasPip--Uzbekistan-Russia</t>
  </si>
  <si>
    <t>bukhara-ural [4537.0 km]</t>
  </si>
  <si>
    <t>TU_GasPip--Uzbekistan-Turkmenistan</t>
  </si>
  <si>
    <t>TU_GasPip--Kazakhstan-Russia</t>
  </si>
  <si>
    <t>bukhara-ural+central asia–center+central asia–center+makat–north caucasus [9775.0 km]</t>
  </si>
  <si>
    <t>TU_GasPip--Germany-Netherlands</t>
  </si>
  <si>
    <t>bunde-etzel [60.0 km]</t>
  </si>
  <si>
    <t>TU_GasPip--Turkmenistan-Uzbekistan</t>
  </si>
  <si>
    <t>central asia–center+central asia–center+central asia–china [8282.0 km]</t>
  </si>
  <si>
    <t>TU_GasPip--Uzbekistan-Kazakhstan</t>
  </si>
  <si>
    <t>central asia–center+central asia–center+central asia–china+gazli-shymkent [9159.0 km]</t>
  </si>
  <si>
    <t>TU_GasPip--Kazakhstan-China</t>
  </si>
  <si>
    <t>central asia–china [1833.0 km]</t>
  </si>
  <si>
    <t>TU_GasPip--Turkmenistan-China</t>
  </si>
  <si>
    <t>central asia–china+central asia–china [3666.0 km]</t>
  </si>
  <si>
    <t>TU_GasPip--Turkmenistan-Russia</t>
  </si>
  <si>
    <t>central asia-center+central asia-center [5399.0 km]</t>
  </si>
  <si>
    <t>TU_GasPip--Qatar-UAE</t>
  </si>
  <si>
    <t>dolphin qatar–uae natural [364.0 km]</t>
  </si>
  <si>
    <t>TU_GasPip--UAE-Oman</t>
  </si>
  <si>
    <t>TU_GasPip--Croatia-Hungary</t>
  </si>
  <si>
    <t>donje mijolac-bata [73.0 km]</t>
  </si>
  <si>
    <t>TU_GasPip--France-Belgium</t>
  </si>
  <si>
    <t>dunkirk-zeebrugge+taisnieres sur hon-mons+maastricht-paris [376.0 km]</t>
  </si>
  <si>
    <t>TU_GasPip--Algeria-Tunisia</t>
  </si>
  <si>
    <t>el borma-gabes+trans-mediterranean [2769.0 km]</t>
  </si>
  <si>
    <t>TU_GasPip--Norway-France</t>
  </si>
  <si>
    <t>franpipe [840.0 km]</t>
  </si>
  <si>
    <t>TU_GasPip--Poland-Lithuania</t>
  </si>
  <si>
    <t>gas interconnection poland-lithuania+gas interconnection poland-lithuania [508.0 km]</t>
  </si>
  <si>
    <t>TU_GasPip--Greece-Bulgaria</t>
  </si>
  <si>
    <t>gas interconnector greece–bulgaria (igb) [184.0 km]</t>
  </si>
  <si>
    <t>TU_GasPip--Argentina-Chile</t>
  </si>
  <si>
    <t>gasandes+norandino+atacama+gasoducto del pacifico+gasoducto del pacifico [3440.0 km]</t>
  </si>
  <si>
    <t>TU_GasPip--Other_LatAm-Brazil</t>
  </si>
  <si>
    <t>gasbol+cuiabá [3795.0 km]</t>
  </si>
  <si>
    <t>TU_GasPip--Argentina-Other_LatAm</t>
  </si>
  <si>
    <t>gasoducto del litoral+southern cross [427.0 km]</t>
  </si>
  <si>
    <t>TU_GasPip--Czech-Germany</t>
  </si>
  <si>
    <t>gazela+kateřinský potok junction point–přimda junction point [316.0 km]</t>
  </si>
  <si>
    <t>TU_GasPip--Romania-Bulgaria</t>
  </si>
  <si>
    <t>giurgiu-ruse [26.0 km]</t>
  </si>
  <si>
    <t>TU_GasPip--Belgium-Netherlands</t>
  </si>
  <si>
    <t>gravenvoeren–bemelen+maastricht-paris [293.0 km]</t>
  </si>
  <si>
    <t>TU_GasPip--Greece-Italy</t>
  </si>
  <si>
    <t>greece-italy interconnector [800.0 km]</t>
  </si>
  <si>
    <t>TU_GasPip--Libya-Italy</t>
  </si>
  <si>
    <t>greenstream [520.0 km]</t>
  </si>
  <si>
    <t>TU_GasPip--Indonesia-Singapore</t>
  </si>
  <si>
    <t>gresik-batam-singapore [468.0 km]</t>
  </si>
  <si>
    <t>TU_GasPip--Azerbaijan-Russia</t>
  </si>
  <si>
    <t>hajigabul-shirvanovka-mozdok [680.0 km]</t>
  </si>
  <si>
    <t>TU_GasPip--Azerbaijan-Iran</t>
  </si>
  <si>
    <t>hajiqabul–astara–abadan [1475.0 km]</t>
  </si>
  <si>
    <t>TU_GasPip--Austria-Switzerland</t>
  </si>
  <si>
    <t>hoscht-st.magrethen+rankweil-lienz [14.0 km]</t>
  </si>
  <si>
    <t>TU_GasPip--Ukraine-Romania</t>
  </si>
  <si>
    <t>hust–satu mare [21.0 km]</t>
  </si>
  <si>
    <t>TU_GasPip--Iran-Armenia</t>
  </si>
  <si>
    <t>iran-armenia [141.0 km]</t>
  </si>
  <si>
    <t>TU_GasPip--Iran-Iraq</t>
  </si>
  <si>
    <t>iran-iraq [0.0 km]</t>
  </si>
  <si>
    <t>TU_GasPip--Spain-France</t>
  </si>
  <si>
    <t>irun-biriatou [4.0 km]</t>
  </si>
  <si>
    <t>TU_GasPip--Israel-Other_MidEast</t>
  </si>
  <si>
    <t>israel naturaltransmission system+israel jordan [684.0 km]</t>
  </si>
  <si>
    <t>TU_GasPip--Belarus-Ukraine</t>
  </si>
  <si>
    <t>ivatsevichy-kobryn-dolyna+ivatsevichy-kobryn-dolyna+torzhok-smolensk-mazyr-dolyna [948.0 km]</t>
  </si>
  <si>
    <t>TU_GasPip--Russia-Kazakhstan</t>
  </si>
  <si>
    <t>kartaly-rudny-kostanai [156.0 km]</t>
  </si>
  <si>
    <t>TU_GasPip--Belarus-Poland</t>
  </si>
  <si>
    <t>kobryn-brest-warsaw [263.0 km]</t>
  </si>
  <si>
    <t>TU_GasPip--Estonia-Russia</t>
  </si>
  <si>
    <t>kohtla-järve-leningrad+kohtla-järve-leningrad [317.0 km]</t>
  </si>
  <si>
    <t>TU_GasPip--Turkmenistan-Iran</t>
  </si>
  <si>
    <t>korpeje-kordkuy+dauletabad-sarakhs-khangiran [379.0 km]</t>
  </si>
  <si>
    <t>TU_GasPip--Bulgaria-Greece</t>
  </si>
  <si>
    <t>kulata-nea missivria [92.0 km]</t>
  </si>
  <si>
    <t>TU_GasPip--Austria-Slovak</t>
  </si>
  <si>
    <t>lanzhot–plavecky peter [34.0 km]</t>
  </si>
  <si>
    <t>TU_GasPip--France-Spain</t>
  </si>
  <si>
    <t>larrau–villar de arnedo [145.0 km]</t>
  </si>
  <si>
    <t>TU_GasPip--Lithuania-Latvia</t>
  </si>
  <si>
    <t>lithuania-latvia interconnection [138.0 km]</t>
  </si>
  <si>
    <t>TU_GasPip--Algeria-Spain</t>
  </si>
  <si>
    <t>medgaz+medgaz [757.0 km]</t>
  </si>
  <si>
    <t>TU_GasPip--Germany-France</t>
  </si>
  <si>
    <t>megal–france [86.0 km]</t>
  </si>
  <si>
    <t>TU_GasPip--USA-Mexico</t>
  </si>
  <si>
    <t>mier monterrey+norte crossing+sierrita+nueva era+sur de texas-tuxpan+sierrita+sierrita [1334.0 km]</t>
  </si>
  <si>
    <t>TU_GasPip--Belarus-Russia</t>
  </si>
  <si>
    <t>minsk-kaliningrad interconnection [155.0 km]</t>
  </si>
  <si>
    <t>TU_GasPip--Mozambique-SouthAfrica</t>
  </si>
  <si>
    <t>mozambique-south africa [865.0 km]</t>
  </si>
  <si>
    <t>TU_GasPip--Denmark-Netherlands</t>
  </si>
  <si>
    <t>noordgastransport (nogat)+tyra west–f3 [570.0 km]</t>
  </si>
  <si>
    <t>TU_GasPip--Norway-Germany</t>
  </si>
  <si>
    <t>norpipe+europipe ii+europipe i [1718.0 km]</t>
  </si>
  <si>
    <t>TU_GasPip--Georgia-Armenia</t>
  </si>
  <si>
    <t>north caucasus-transcaucasia [271.0 km]</t>
  </si>
  <si>
    <t>TU_GasPip--Russia-Georgia</t>
  </si>
  <si>
    <t>north caucasus-transcaucasia+north caucasus-transcaucasia [884.0 km]</t>
  </si>
  <si>
    <t>TU_GasPip--UK-Norway</t>
  </si>
  <si>
    <t>northern leg [80.0 km]</t>
  </si>
  <si>
    <t>TU_GasPip--Kazakhstan-Turkmenistan</t>
  </si>
  <si>
    <t>okarem-beyneu [999.0 km]</t>
  </si>
  <si>
    <t>TU_GasPip--Slovak-Hungary</t>
  </si>
  <si>
    <t>ozdany–nemesbikk [104.0 km]</t>
  </si>
  <si>
    <t>TU_GasPip--Argentina-Brazil</t>
  </si>
  <si>
    <t>paraná-uruguayana [437.0 km]</t>
  </si>
  <si>
    <t>TU_GasPip--Belgium-France</t>
  </si>
  <si>
    <t>pitgam–maldegem [76.0 km]</t>
  </si>
  <si>
    <t>TU_GasPip--Poland-Slovak</t>
  </si>
  <si>
    <t>poland-slovakia+poland-slovakia [165.0 km]</t>
  </si>
  <si>
    <t>TU_GasPip--Netherlands-Germany</t>
  </si>
  <si>
    <t>ravenstein-echt+zweekhorst–paffrath+laren-vreden+ommen-legden+scheemda-emden+scheemda–bunde [254.0 km]</t>
  </si>
  <si>
    <t>TU_GasPip--Slovenia-Italy</t>
  </si>
  <si>
    <t>rogatec–gorizia [101.0 km]</t>
  </si>
  <si>
    <t>TU_GasPip--Romania-Moldova</t>
  </si>
  <si>
    <t>romania-moldova [120.0 km]</t>
  </si>
  <si>
    <t>TU_GasPip--Serbia-Hungary</t>
  </si>
  <si>
    <t>serbian-hungarian+turkstream 2 [1728.0 km]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</si>
  <si>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</si>
  <si>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</si>
  <si>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sino-myanmar [2518.0 km]</t>
  </si>
  <si>
    <t>TU_GasPip--Macedonia-Bulgaria</t>
  </si>
  <si>
    <t>skopje-kriva palanka [86.0 km]</t>
  </si>
  <si>
    <t>TU_GasPip--Azerbaijan-Georgia</t>
  </si>
  <si>
    <t>south caucasus+hajigabul-gazakh-saguramo+south caucasus [1659.0 km]</t>
  </si>
  <si>
    <t>TU_GasPip--Georgia-Turkey</t>
  </si>
  <si>
    <t>south caucasus+trans-anatolian+south caucasus [2992.0 km]</t>
  </si>
  <si>
    <t>TU_GasPip--Bulgaria-Turkey</t>
  </si>
  <si>
    <t>strandja–malkoclar [16.0 km]</t>
  </si>
  <si>
    <t>TU_GasPip--Iran-Turkey</t>
  </si>
  <si>
    <t>tabriz-ankara [2577.0 km]</t>
  </si>
  <si>
    <t>TU_GasPip--Russia-Belarus</t>
  </si>
  <si>
    <t>torzhok-minsk-ivatsevichy+torzhok-minsk-ivatsevichy+torzhok-minsk-ivatsevichy+torzhok-smolensk-mazyr-dolyna [2917.0 km]</t>
  </si>
  <si>
    <t>TU_GasPip--Germany-Switzerland</t>
  </si>
  <si>
    <t>trans europa naturgas [968.0 km]</t>
  </si>
  <si>
    <t>TU_GasPip--Malaysia-Thailand</t>
  </si>
  <si>
    <t>trans thailand–malaysia (ttm) [267.0 km]</t>
  </si>
  <si>
    <t>TU_GasPip--Albania-Italy</t>
  </si>
  <si>
    <t>trans-adriatic [878.0 km]</t>
  </si>
  <si>
    <t>TU_GasPip--Greece-Albania</t>
  </si>
  <si>
    <t>TU_GasPip--Georgia-Greece</t>
  </si>
  <si>
    <t>trans-anatolian [0.0 km]</t>
  </si>
  <si>
    <t>TU_GasPip--Greece-Turkey</t>
  </si>
  <si>
    <t>TU_GasPip--Turkey-Bulgaria</t>
  </si>
  <si>
    <t>trans-balkan [638.0 km]</t>
  </si>
  <si>
    <t>TU_GasPip--Bulgaria-Romania</t>
  </si>
  <si>
    <t>trans-balkan+gas interconnector bulgaria-romania [668.0 km]</t>
  </si>
  <si>
    <t>TU_GasPip--Italy-Slovenia</t>
  </si>
  <si>
    <t>trans-mediterranean [2475.0 km]</t>
  </si>
  <si>
    <t>TU_GasPip--Tunisia-Italy</t>
  </si>
  <si>
    <t>TU_GasPip--Switzerland-France</t>
  </si>
  <si>
    <t>transitgas–laneuvelotte–obergailbach [327.0 km]</t>
  </si>
  <si>
    <t>TU_GasPip--Turkey-Greece</t>
  </si>
  <si>
    <t>turkey-greece-italy interconnector (itgi)+trans-adriatic+kipi-komotini [1261.0 km]</t>
  </si>
  <si>
    <t>TU_GasPip--Bulgaria-Serbia</t>
  </si>
  <si>
    <t>turkstream 2 [1646.0 km]</t>
  </si>
  <si>
    <t>TU_GasPip--Russia-Bulgaria</t>
  </si>
  <si>
    <t>TU_GasPip--UK-Ireland</t>
  </si>
  <si>
    <t>uk-ireland interconnector 2+uk-ireland interconnector+carrickfergus-gormansten [573.0 km]</t>
  </si>
  <si>
    <t>TU_GasPip--Slovak-Austria</t>
  </si>
  <si>
    <t>urengoy-pomary-uzhgorod [4451.0 km]</t>
  </si>
  <si>
    <t>TU_GasPip--Ukraine-Slovak</t>
  </si>
  <si>
    <t>uzhgorod–velke kapusany+urengoy-pomary-uzhgorod [4466.0 km]</t>
  </si>
  <si>
    <t>TU_GasPip--Russia-Estonia</t>
  </si>
  <si>
    <t>valdai-pskov-riga [365.0 km]</t>
  </si>
  <si>
    <t>TU_GasPip--Estonia-Latvia</t>
  </si>
  <si>
    <t>valdai-pskov-riga+estonia-latvia interconnection [645.0 km]</t>
  </si>
  <si>
    <t>TU_GasPip--USA-Canada</t>
  </si>
  <si>
    <t>vector+empire+portland naturaltransmission system (pngts)+atlantic bridge+portland naturaltransmission system (pngts) [610.0 km]</t>
  </si>
  <si>
    <t>TU_GasPip--Norway-UK</t>
  </si>
  <si>
    <t>vesterled+langeled+tampen link+gjøa [1681.0 km]</t>
  </si>
  <si>
    <t>TU_GasPip--Slovak-Ukraine</t>
  </si>
  <si>
    <t>vojany-uzhgorod [23.0 km]</t>
  </si>
  <si>
    <t>TU_GasPip--Hungary-Croatia</t>
  </si>
  <si>
    <t>városföld-slobodnica [293.0 km]</t>
  </si>
  <si>
    <t>TU_GasPip--Belgium-Luxembourg</t>
  </si>
  <si>
    <t>warnant dreye-petange+berneau-winseler [254.0 km]</t>
  </si>
  <si>
    <t>TU_GasPip--Germany-Belgium</t>
  </si>
  <si>
    <t>wedal [236.0 km]</t>
  </si>
  <si>
    <t>TU_GasPip--Nigeria-Other_Africa</t>
  </si>
  <si>
    <t>west african [678.0 km]</t>
  </si>
  <si>
    <t>TU_GasPip--Other_Africa-Ghana</t>
  </si>
  <si>
    <t>west natuna transportation system [640.0 km]</t>
  </si>
  <si>
    <t>TU_GasPip--Netherlands-Belgium</t>
  </si>
  <si>
    <t>westerschelde oost–zelzate [45.0 km]</t>
  </si>
  <si>
    <t>TU_GasPip--Other_LatAm-Argentina</t>
  </si>
  <si>
    <t>yabog+juana azurduy [493.0 km]</t>
  </si>
  <si>
    <t>yamal-europe [1660.0 km]</t>
  </si>
  <si>
    <t>TU_GasPip--Poland-Germany</t>
  </si>
  <si>
    <t>TU_GasPip--Germany-Poland</t>
  </si>
  <si>
    <t>yamal-reverse [0.0 km]</t>
  </si>
  <si>
    <t>TU_GasPip--Myanmar-Thailand</t>
  </si>
  <si>
    <t>yetagun [472.0 km]</t>
  </si>
  <si>
    <t>TU_GasPip--Belgium-UK</t>
  </si>
  <si>
    <t>zeebrugge-bacton [0.0 km]</t>
  </si>
  <si>
    <t>TU_GasPip--UK-Belgium</t>
  </si>
  <si>
    <t>zeebrugge-bacton [235.0 km]</t>
  </si>
  <si>
    <t>TU_GasPip--Norway-Belgium</t>
  </si>
  <si>
    <t>zeepipe [1445.0 km]</t>
  </si>
  <si>
    <t>TU_GasPip--Russia-Germany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</si>
  <si>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</si>
  <si>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</si>
  <si>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</si>
  <si>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</si>
  <si>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iran-pakistan [2775.0 km]</t>
  </si>
  <si>
    <t>israel–egypt onshore [79.0 km]</t>
  </si>
  <si>
    <t>lithuania-latvia interconnection [0.0 km]</t>
  </si>
  <si>
    <t>TU_GasPip--Iran-Azerbaijan</t>
  </si>
  <si>
    <t>rasht-chelavend [150.0 km]</t>
  </si>
  <si>
    <t>taganrog-melitopol-berdyansk [273.0 km]</t>
  </si>
  <si>
    <t>gp_aut-hun</t>
  </si>
  <si>
    <t>gp_hun-srb</t>
  </si>
  <si>
    <t>gp_ltu-pol</t>
  </si>
  <si>
    <t>gp_srb-bih</t>
  </si>
  <si>
    <t>gp_svk-pol</t>
  </si>
  <si>
    <t>gp_ukr-pol</t>
  </si>
  <si>
    <t>gp_uzb-tjk</t>
  </si>
  <si>
    <t>gp_mda-rou</t>
  </si>
  <si>
    <t>gp_ukr-mda</t>
  </si>
  <si>
    <t>gp_fra-che</t>
  </si>
  <si>
    <t>gp_egy-jor</t>
  </si>
  <si>
    <t>gp_rou-hun</t>
  </si>
  <si>
    <t>gp_isr-egy</t>
  </si>
  <si>
    <t>gp_aut-svn</t>
  </si>
  <si>
    <t>gp_nld-gbr</t>
  </si>
  <si>
    <t>gp_dnk-swe</t>
  </si>
  <si>
    <t>gp_nor-dnk</t>
  </si>
  <si>
    <t>gp_swe-pol</t>
  </si>
  <si>
    <t>gp_fin-est</t>
  </si>
  <si>
    <t>gp_can-usa</t>
  </si>
  <si>
    <t>gp_rus-tur</t>
  </si>
  <si>
    <t>gp_kgz-kaz</t>
  </si>
  <si>
    <t>gp_uzb-kgz</t>
  </si>
  <si>
    <t>gp_tkm-kaz</t>
  </si>
  <si>
    <t>gp_uzb-rus</t>
  </si>
  <si>
    <t>gp_uzb-tkm</t>
  </si>
  <si>
    <t>gp_kaz-rus</t>
  </si>
  <si>
    <t>gp_deu-nld</t>
  </si>
  <si>
    <t>gp_tkm-uzb</t>
  </si>
  <si>
    <t>gp_uzb-kaz</t>
  </si>
  <si>
    <t>gp_kaz-chn</t>
  </si>
  <si>
    <t>gp_tkm-chn</t>
  </si>
  <si>
    <t>gp_tkm-rus</t>
  </si>
  <si>
    <t>gp_qat-are</t>
  </si>
  <si>
    <t>gp_are-omn</t>
  </si>
  <si>
    <t>gp_hrv-hun</t>
  </si>
  <si>
    <t>gp_fra-bel</t>
  </si>
  <si>
    <t>gp_dza-tun</t>
  </si>
  <si>
    <t>gp_nor-fra</t>
  </si>
  <si>
    <t>gp_pol-ltu</t>
  </si>
  <si>
    <t>gp_grc-bgr</t>
  </si>
  <si>
    <t>gp_arg-chl</t>
  </si>
  <si>
    <t>gp_bol-bra</t>
  </si>
  <si>
    <t>gp_arg-ury</t>
  </si>
  <si>
    <t>gp_cze-deu</t>
  </si>
  <si>
    <t>gp_rou-bgr</t>
  </si>
  <si>
    <t>gp_bel-nld</t>
  </si>
  <si>
    <t>gp_grc-ita</t>
  </si>
  <si>
    <t>gp_lby-ita</t>
  </si>
  <si>
    <t>gp_idn-sgp</t>
  </si>
  <si>
    <t>gp_aze-rus</t>
  </si>
  <si>
    <t>gp_aze-irn</t>
  </si>
  <si>
    <t>gp_aut-che</t>
  </si>
  <si>
    <t>gp_ukr-rou</t>
  </si>
  <si>
    <t>gp_irn-arm</t>
  </si>
  <si>
    <t>gp_irn-irq</t>
  </si>
  <si>
    <t>gp_esp-fra</t>
  </si>
  <si>
    <t>gp_isr-jor</t>
  </si>
  <si>
    <t>gp_blr-ukr</t>
  </si>
  <si>
    <t>gp_rus-kaz</t>
  </si>
  <si>
    <t>gp_blr-pol</t>
  </si>
  <si>
    <t>gp_est-rus</t>
  </si>
  <si>
    <t>gp_tkm-irn</t>
  </si>
  <si>
    <t>gp_bgr-grc</t>
  </si>
  <si>
    <t>gp_aut-svk</t>
  </si>
  <si>
    <t>gp_fra-esp</t>
  </si>
  <si>
    <t>gp_ltu-lva</t>
  </si>
  <si>
    <t>gp_dza-esp</t>
  </si>
  <si>
    <t>gp_deu-fra</t>
  </si>
  <si>
    <t>gp_usa-mex</t>
  </si>
  <si>
    <t>gp_blr-rus</t>
  </si>
  <si>
    <t>gp_moz-zaf</t>
  </si>
  <si>
    <t>gp_dnk-nld</t>
  </si>
  <si>
    <t>gp_nor-deu</t>
  </si>
  <si>
    <t>gp_geo-arm</t>
  </si>
  <si>
    <t>gp_rus-geo</t>
  </si>
  <si>
    <t>gp_gbr-nor</t>
  </si>
  <si>
    <t>gp_kaz-tkm</t>
  </si>
  <si>
    <t>gp_svk-hun</t>
  </si>
  <si>
    <t>gp_arg-bra</t>
  </si>
  <si>
    <t>gp_bel-fra</t>
  </si>
  <si>
    <t>gp_pol-svk</t>
  </si>
  <si>
    <t>gp_nld-deu</t>
  </si>
  <si>
    <t>gp_svn-ita</t>
  </si>
  <si>
    <t>gp_rou-mda</t>
  </si>
  <si>
    <t>gp_srb-hun</t>
  </si>
  <si>
    <t>gp_rus-ukr</t>
  </si>
  <si>
    <t>gp_mmr-chn</t>
  </si>
  <si>
    <t>gp_mkd-bgr</t>
  </si>
  <si>
    <t>gp_aze-geo</t>
  </si>
  <si>
    <t>gp_geo-tur</t>
  </si>
  <si>
    <t>gp_bgr-tur</t>
  </si>
  <si>
    <t>gp_irn-tur</t>
  </si>
  <si>
    <t>gp_rus-blr</t>
  </si>
  <si>
    <t>gp_deu-che</t>
  </si>
  <si>
    <t>gp_mys-tha</t>
  </si>
  <si>
    <t>gp_alb-ita</t>
  </si>
  <si>
    <t>gp_grc-alb</t>
  </si>
  <si>
    <t>gp_geo-grc</t>
  </si>
  <si>
    <t>gp_grc-tur</t>
  </si>
  <si>
    <t>gp_tur-bgr</t>
  </si>
  <si>
    <t>gp_bgr-rou</t>
  </si>
  <si>
    <t>gp_ita-svn</t>
  </si>
  <si>
    <t>gp_tun-ita</t>
  </si>
  <si>
    <t>gp_che-fra</t>
  </si>
  <si>
    <t>gp_tur-grc</t>
  </si>
  <si>
    <t>gp_bgr-srb</t>
  </si>
  <si>
    <t>gp_rus-bgr</t>
  </si>
  <si>
    <t>gp_gbr-irl</t>
  </si>
  <si>
    <t>gp_svk-aut</t>
  </si>
  <si>
    <t>gp_ukr-svk</t>
  </si>
  <si>
    <t>gp_rus-est</t>
  </si>
  <si>
    <t>gp_est-lva</t>
  </si>
  <si>
    <t>gp_usa-can</t>
  </si>
  <si>
    <t>gp_nor-gbr</t>
  </si>
  <si>
    <t>gp_svk-ukr</t>
  </si>
  <si>
    <t>gp_hun-hrv</t>
  </si>
  <si>
    <t>gp_bel-lux</t>
  </si>
  <si>
    <t>gp_deu-bel</t>
  </si>
  <si>
    <t>gp_nga-ben</t>
  </si>
  <si>
    <t>gp_tgo-gha</t>
  </si>
  <si>
    <t>gp_nld-bel</t>
  </si>
  <si>
    <t>gp_bol-arg</t>
  </si>
  <si>
    <t>gp_pol-deu</t>
  </si>
  <si>
    <t>gp_deu-pol</t>
  </si>
  <si>
    <t>gp_mmr-tha</t>
  </si>
  <si>
    <t>gp_bel-gbr</t>
  </si>
  <si>
    <t>gp_gbr-bel</t>
  </si>
  <si>
    <t>gp_nor-bel</t>
  </si>
  <si>
    <t>gp_rus-deu</t>
  </si>
  <si>
    <t>gp_irn-pak</t>
  </si>
  <si>
    <t>gp_irn-aze</t>
  </si>
  <si>
    <t>franpipe</t>
  </si>
  <si>
    <t>bluestream</t>
  </si>
  <si>
    <t>greenstream</t>
  </si>
  <si>
    <t>yamal</t>
  </si>
  <si>
    <t>yamal-rev</t>
  </si>
  <si>
    <t>nordstream</t>
  </si>
  <si>
    <t>medgaz</t>
  </si>
  <si>
    <t>turkstream</t>
  </si>
  <si>
    <t>hotmetal,spongeiron,ironore,scrap,crudesteel</t>
  </si>
  <si>
    <t>mtneg</t>
  </si>
  <si>
    <t>mt</t>
  </si>
  <si>
    <t>BOF</t>
  </si>
  <si>
    <t>EAF</t>
  </si>
  <si>
    <t>BF</t>
  </si>
  <si>
    <t>Gas-DRI</t>
  </si>
  <si>
    <t>Coal-DRI</t>
  </si>
  <si>
    <t>Domestic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</si>
  <si>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</si>
  <si>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</si>
  <si>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</si>
  <si>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</si>
  <si>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</si>
  <si>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</si>
  <si>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</si>
  <si>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</si>
  <si>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</si>
  <si>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</si>
  <si>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</si>
  <si>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</si>
  <si>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</si>
  <si>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</si>
  <si>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</si>
  <si>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</si>
  <si>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</si>
  <si>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</si>
  <si>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</si>
  <si>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</si>
  <si>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</si>
  <si>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</si>
  <si>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</si>
  <si>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</si>
  <si>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</si>
  <si>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</si>
  <si>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</si>
  <si>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</si>
  <si>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</si>
  <si>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</si>
  <si>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</si>
  <si>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</si>
  <si>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hotmetal</t>
  </si>
  <si>
    <t>Hot Metal</t>
  </si>
  <si>
    <t>spongeiron</t>
  </si>
  <si>
    <t>Sponge Iron</t>
  </si>
  <si>
    <t>ironore</t>
  </si>
  <si>
    <t>Iron Ore</t>
  </si>
  <si>
    <t>scrap</t>
  </si>
  <si>
    <t>Scrap</t>
  </si>
  <si>
    <t>crudesteel</t>
  </si>
  <si>
    <t>Crude Steel</t>
  </si>
  <si>
    <t>Trade_endo</t>
  </si>
  <si>
    <t>~TS_Defs: Snk_attr=SANKEY_steel</t>
  </si>
  <si>
    <t>pset_pd</t>
  </si>
  <si>
    <t>Existing/New</t>
  </si>
  <si>
    <t>n[_]*</t>
  </si>
  <si>
    <t>New</t>
  </si>
  <si>
    <t>*-rf</t>
  </si>
  <si>
    <t>Retrofit</t>
  </si>
  <si>
    <t>*rf*-rf</t>
  </si>
  <si>
    <t>Retrofit of rft</t>
  </si>
  <si>
    <t>*[_]f[_]*</t>
  </si>
  <si>
    <t>Known Build</t>
  </si>
  <si>
    <t>mis_*</t>
  </si>
  <si>
    <t>zz_TFC_steelprod</t>
  </si>
  <si>
    <t>mat_prod-crudesteel</t>
  </si>
  <si>
    <t>Efficiency_steelprod</t>
  </si>
  <si>
    <t>GJ/t</t>
  </si>
  <si>
    <t>SUP_GasSupply</t>
  </si>
  <si>
    <t>OILNGL</t>
  </si>
  <si>
    <t>*SOL*,*SPV*,*STH*</t>
  </si>
  <si>
    <t>for industry sector SANKEY</t>
  </si>
  <si>
    <t>IndSer_STM</t>
  </si>
  <si>
    <t>IndSer_PRH</t>
  </si>
  <si>
    <t>Proc. heat</t>
  </si>
  <si>
    <t>IndSer_PRC</t>
  </si>
  <si>
    <t>Proc. Cool</t>
  </si>
  <si>
    <t>IndSer_MDR</t>
  </si>
  <si>
    <t>Mch drive</t>
  </si>
  <si>
    <t>IndSer_ECP</t>
  </si>
  <si>
    <t>IndSer_OTP</t>
  </si>
  <si>
    <t>Oth. Proc. Use</t>
  </si>
  <si>
    <t>IndSer_SPC</t>
  </si>
  <si>
    <t>Space cond.</t>
  </si>
  <si>
    <t>IndSer_LIG</t>
  </si>
  <si>
    <t>IndSer_OTH</t>
  </si>
  <si>
    <t>IndSerT_STM</t>
  </si>
  <si>
    <t>IndSerT_PRH</t>
  </si>
  <si>
    <t>IndSerT_PRC</t>
  </si>
  <si>
    <t>IndSerT_MDR</t>
  </si>
  <si>
    <t>IndSerT_ECP</t>
  </si>
  <si>
    <t>IndSerT_OTP</t>
  </si>
  <si>
    <t>IndSerT_SPC</t>
  </si>
  <si>
    <t>IndSerT_LIG</t>
  </si>
  <si>
    <t>IndSerT_OTH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</si>
  <si>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</si>
  <si>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</si>
  <si>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</si>
  <si>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</si>
  <si>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</si>
  <si>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-Steam</t>
  </si>
  <si>
    <t>-Proc. heat</t>
  </si>
  <si>
    <t>-Proc. Cool</t>
  </si>
  <si>
    <t>-Mch drive</t>
  </si>
  <si>
    <t>-Electrochem</t>
  </si>
  <si>
    <t>-Oth. Proc. Use</t>
  </si>
  <si>
    <t>-Space cond.</t>
  </si>
  <si>
    <t>-Lighting</t>
  </si>
  <si>
    <t>-Other</t>
  </si>
  <si>
    <t>\I:</t>
  </si>
  <si>
    <t>-TU_sup-dem*,-ElcAgg*</t>
  </si>
  <si>
    <t>ELC,INDELC,ELC_???-*</t>
  </si>
  <si>
    <t>ELC,INDELC,ELC_???-*,-TRDELC</t>
  </si>
  <si>
    <t>-ElcAgg*</t>
  </si>
  <si>
    <t>-FT[_]*-ElcAgg*</t>
  </si>
  <si>
    <t>ELC,HET,ELC_???-*</t>
  </si>
  <si>
    <t>ELE,PRE</t>
  </si>
  <si>
    <t>???SPV,???STH,ELC_Sol-*</t>
  </si>
  <si>
    <t>???WIN,ELC_Win-*</t>
  </si>
  <si>
    <t>*,-FT[_]*,-TU_sup-dem*</t>
  </si>
  <si>
    <t>zz_sprun_flows</t>
  </si>
  <si>
    <t>zz_sprun_capacity</t>
  </si>
  <si>
    <t>data to present capacities when making single-period runs to check cap mix with hourly slices</t>
  </si>
  <si>
    <t>Nat Gas-&lt;region&gt;_Src_&lt;gen_pname&gt;</t>
  </si>
  <si>
    <t>Electricity-&lt;region&gt;_Src_&lt;gen_pname&gt;</t>
  </si>
  <si>
    <t>OILCRD</t>
  </si>
  <si>
    <t>ELC,INDELC,TRAELC,COMELC</t>
  </si>
  <si>
    <t>$/GJh</t>
  </si>
  <si>
    <t>$/kg</t>
  </si>
  <si>
    <t>T?[_]ELC*</t>
  </si>
  <si>
    <t>Elec Transmission</t>
  </si>
  <si>
    <t>T?[_]GasPip*</t>
  </si>
  <si>
    <t>Gas pipelines</t>
  </si>
  <si>
    <t>ELE,CHP,DMD,PRE,IRE</t>
  </si>
  <si>
    <t>T?_ELC*</t>
  </si>
  <si>
    <t>FT_*,-*ELC*,-*H2*,-*SUP*</t>
  </si>
  <si>
    <t>data to put UP flo bounds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</si>
  <si>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</si>
  <si>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</si>
  <si>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</si>
  <si>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</si>
  <si>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</si>
  <si>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</si>
  <si>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</si>
  <si>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</si>
  <si>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zz_sprun_*</t>
  </si>
  <si>
    <t>zz_single-period run data</t>
  </si>
  <si>
    <t>Mining (En)</t>
  </si>
  <si>
    <t>Autoproduction</t>
  </si>
  <si>
    <t>Non-energy use</t>
  </si>
  <si>
    <t>ELC_???-*</t>
  </si>
  <si>
    <t>~TS_Defs: Snk_attr=SANKEY_Oil-and-Gas</t>
  </si>
  <si>
    <t>-min*_rs_*,-LNG_??p_*, -LNG_New*</t>
  </si>
  <si>
    <t>OIL*,GAS*,-OIL[_]*,-GAS[_]*</t>
  </si>
  <si>
    <t>&lt;gen_cname&gt;_Src_&lt;gen_pname&gt;</t>
  </si>
  <si>
    <t>-IRE,-FinCon*</t>
  </si>
  <si>
    <t>&lt;gen_cname&gt;_Snk_&lt;gen_pname&gt;</t>
  </si>
  <si>
    <t>&lt;gen_cname&gt;_Snk_&lt;pset&gt;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</si>
  <si>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</si>
  <si>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</si>
  <si>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</si>
  <si>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</si>
  <si>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</si>
  <si>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</si>
  <si>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</si>
  <si>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</si>
  <si>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</si>
  <si>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</si>
  <si>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FinCon_OIL</t>
  </si>
  <si>
    <t>Final OIL</t>
  </si>
  <si>
    <t>FinCon_GAS</t>
  </si>
  <si>
    <t>Final GAS</t>
  </si>
  <si>
    <t>FinCon_Power-Energy</t>
  </si>
  <si>
    <t>Power/Energy</t>
  </si>
  <si>
    <t>NetCO2*</t>
  </si>
  <si>
    <t>zz_sprun_emissions</t>
  </si>
  <si>
    <t>data to present emissions when making single-period runs to check cap mix with hourly slices</t>
  </si>
  <si>
    <t>zz_sprun_trades</t>
  </si>
  <si>
    <t>LOHC</t>
  </si>
  <si>
    <t>Hydrogen+</t>
  </si>
  <si>
    <t>TU_sup-dem*</t>
  </si>
  <si>
    <t>Trades_sup-dem</t>
  </si>
  <si>
    <t>LOHC,Ammonia,LH2</t>
  </si>
  <si>
    <t>~TS_Defs: Snk_attr=SANKEY_Battery</t>
  </si>
  <si>
    <t>m_*,mr_*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</si>
</sst>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5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7">
    <xf numFmtId="0" fontId="0" fillId="0" borderId="0"/>
    <xf numFmtId="0" fontId="14" fillId="2" borderId="0" applyNumberFormat="0" applyBorder="0" applyAlignment="0" applyProtection="0"/>
    <xf numFmtId="164" fontId="6" fillId="0" borderId="0">
      <protection locked="0"/>
    </xf>
    <xf numFmtId="167" fontId="12" fillId="0" borderId="0" applyFont="0" applyFill="0" applyBorder="0" applyAlignment="0" applyProtection="0"/>
    <xf numFmtId="165" fontId="6" fillId="0" borderId="0">
      <protection locked="0"/>
    </xf>
    <xf numFmtId="0" fontId="15" fillId="3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168" fontId="12" fillId="0" borderId="0" applyFont="0" applyFill="0" applyBorder="0" applyAlignment="0" applyProtection="0"/>
    <xf numFmtId="0" fontId="16" fillId="4" borderId="0" applyNumberFormat="0" applyBorder="0" applyAlignment="0" applyProtection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9" fontId="13" fillId="0" borderId="0" applyFont="0" applyFill="0" applyBorder="0" applyAlignment="0" applyProtection="0"/>
    <xf numFmtId="0" fontId="1" fillId="0" borderId="0"/>
    <xf numFmtId="0" fontId="21" fillId="0" borderId="1" applyNumberFormat="0" applyFill="0" applyAlignment="0" applyProtection="0"/>
    <xf numFmtId="0" fontId="22" fillId="0" borderId="2" applyNumberFormat="0" applyFill="0" applyAlignment="0" applyProtection="0"/>
    <xf numFmtId="0" fontId="23" fillId="8" borderId="3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24" fillId="0" borderId="0" applyNumberFormat="0" applyFill="0" applyBorder="0" applyAlignment="0" applyProtection="0"/>
  </cellStyleXfs>
  <cellXfs count="23">
    <xf numFmtId="0" fontId="0" fillId="0" borderId="0" xfId="0"/>
    <xf numFmtId="0" fontId="0" fillId="5" borderId="0" xfId="0" applyFill="1"/>
    <xf numFmtId="0" fontId="17" fillId="5" borderId="0" xfId="0" applyFont="1" applyFill="1"/>
    <xf numFmtId="0" fontId="18" fillId="6" borderId="0" xfId="0" applyFont="1" applyFill="1"/>
    <xf numFmtId="0" fontId="16" fillId="4" borderId="0" xfId="9" applyAlignment="1">
      <alignment horizontal="center"/>
    </xf>
    <xf numFmtId="0" fontId="15" fillId="3" borderId="0" xfId="5"/>
    <xf numFmtId="0" fontId="15" fillId="3" borderId="0" xfId="5" applyBorder="1"/>
    <xf numFmtId="0" fontId="0" fillId="0" borderId="0" xfId="0" quotePrefix="1"/>
    <xf numFmtId="0" fontId="18" fillId="0" borderId="0" xfId="0" applyFont="1"/>
    <xf numFmtId="0" fontId="19" fillId="3" borderId="0" xfId="5" applyFont="1"/>
    <xf numFmtId="0" fontId="16" fillId="4" borderId="0" xfId="9"/>
    <xf numFmtId="0" fontId="14" fillId="2" borderId="0" xfId="1"/>
    <xf numFmtId="2" fontId="0" fillId="0" borderId="0" xfId="0" applyNumberFormat="1"/>
    <xf numFmtId="2" fontId="19" fillId="3" borderId="0" xfId="5" applyNumberFormat="1" applyFont="1"/>
    <xf numFmtId="0" fontId="17" fillId="0" borderId="0" xfId="0" applyFont="1"/>
    <xf numFmtId="0" fontId="17" fillId="7" borderId="0" xfId="0" applyFont="1" applyFill="1"/>
    <xf numFmtId="0" fontId="22" fillId="0" borderId="2" xfId="42"/>
    <xf numFmtId="0" fontId="21" fillId="0" borderId="1" xfId="41"/>
    <xf numFmtId="0" fontId="23" fillId="8" borderId="3" xfId="43"/>
    <xf numFmtId="0" fontId="22" fillId="0" borderId="0" xfId="42" applyFill="1" applyBorder="1"/>
    <xf numFmtId="11" fontId="0" fillId="0" borderId="0" xfId="0" applyNumberFormat="1"/>
    <xf numFmtId="0" fontId="24" fillId="0" borderId="0" xfId="46"/>
    <xf numFmtId="0" fontId="0" fillId="0" borderId="0" xfId="0" applyAlignment="1">
      <alignment vertical="center" wrapText="1"/>
    </xf>
  </cellXfs>
  <cellStyles count="47">
    <cellStyle name="Bad" xfId="1" builtinId="27"/>
    <cellStyle name="Date" xfId="2" xr:uid="{00000000-0005-0000-0000-000001000000}"/>
    <cellStyle name="Euro" xfId="3" xr:uid="{00000000-0005-0000-0000-000002000000}"/>
    <cellStyle name="Euro 2" xfId="44" xr:uid="{29ADD77E-59C0-495A-B9FA-C1A34CF51540}"/>
    <cellStyle name="Fixed" xfId="4" xr:uid="{00000000-0005-0000-0000-000003000000}"/>
    <cellStyle name="Good" xfId="5" builtinId="26"/>
    <cellStyle name="Heading 2" xfId="41" builtinId="17"/>
    <cellStyle name="Heading 3" xfId="42" builtinId="18"/>
    <cellStyle name="Heading1" xfId="6" xr:uid="{00000000-0005-0000-0000-000005000000}"/>
    <cellStyle name="Heading2" xfId="7" xr:uid="{00000000-0005-0000-0000-000006000000}"/>
    <cellStyle name="Hyperlink" xfId="46" builtinId="8"/>
    <cellStyle name="Input" xfId="43" builtinId="20"/>
    <cellStyle name="Migliaia_Oil&amp;Gas IFE ARC POLITO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11 2" xfId="11" xr:uid="{00000000-0005-0000-0000-00000B000000}"/>
    <cellStyle name="Normal 11 3" xfId="12" xr:uid="{00000000-0005-0000-0000-00000C000000}"/>
    <cellStyle name="Normal 11 4" xfId="13" xr:uid="{00000000-0005-0000-0000-00000D000000}"/>
    <cellStyle name="Normal 12 2" xfId="14" xr:uid="{00000000-0005-0000-0000-00000E000000}"/>
    <cellStyle name="Normal 12 3" xfId="15" xr:uid="{00000000-0005-0000-0000-00000F000000}"/>
    <cellStyle name="Normal 12 4" xfId="16" xr:uid="{00000000-0005-0000-0000-000010000000}"/>
    <cellStyle name="Normal 13 2" xfId="17" xr:uid="{00000000-0005-0000-0000-000011000000}"/>
    <cellStyle name="Normal 13 3" xfId="18" xr:uid="{00000000-0005-0000-0000-000012000000}"/>
    <cellStyle name="Normal 13 4" xfId="19" xr:uid="{00000000-0005-0000-0000-000013000000}"/>
    <cellStyle name="Normal 14 2" xfId="20" xr:uid="{00000000-0005-0000-0000-000014000000}"/>
    <cellStyle name="Normal 14 3" xfId="21" xr:uid="{00000000-0005-0000-0000-000015000000}"/>
    <cellStyle name="Normal 14 4" xfId="22" xr:uid="{00000000-0005-0000-0000-000016000000}"/>
    <cellStyle name="Normal 15 2" xfId="23" xr:uid="{00000000-0005-0000-0000-000017000000}"/>
    <cellStyle name="Normal 15 3" xfId="24" xr:uid="{00000000-0005-0000-0000-000018000000}"/>
    <cellStyle name="Normal 15 4" xfId="25" xr:uid="{00000000-0005-0000-0000-000019000000}"/>
    <cellStyle name="Normal 2" xfId="26" xr:uid="{00000000-0005-0000-0000-00001A000000}"/>
    <cellStyle name="Normal 2 2" xfId="27" xr:uid="{00000000-0005-0000-0000-00001B000000}"/>
    <cellStyle name="Normal 2 3" xfId="28" xr:uid="{00000000-0005-0000-0000-00001C000000}"/>
    <cellStyle name="Normal 2 4" xfId="29" xr:uid="{00000000-0005-0000-0000-00001D000000}"/>
    <cellStyle name="Normal 2 5" xfId="30" xr:uid="{00000000-0005-0000-0000-00001E000000}"/>
    <cellStyle name="Normal 2 6" xfId="31" xr:uid="{00000000-0005-0000-0000-00001F000000}"/>
    <cellStyle name="Normal 2 7" xfId="32" xr:uid="{00000000-0005-0000-0000-000020000000}"/>
    <cellStyle name="Normal 2 8" xfId="33" xr:uid="{00000000-0005-0000-0000-000021000000}"/>
    <cellStyle name="Normal 2 9" xfId="34" xr:uid="{00000000-0005-0000-0000-000022000000}"/>
    <cellStyle name="Normal 3" xfId="35" xr:uid="{00000000-0005-0000-0000-000023000000}"/>
    <cellStyle name="Normal 3 2" xfId="36" xr:uid="{00000000-0005-0000-0000-000024000000}"/>
    <cellStyle name="Normal 4" xfId="37" xr:uid="{00000000-0005-0000-0000-000025000000}"/>
    <cellStyle name="Normal 4 2" xfId="45" xr:uid="{EC1A7A7A-CC9D-40B0-BAC5-A49E6909FE58}"/>
    <cellStyle name="Normale_DBT completo" xfId="38" xr:uid="{00000000-0005-0000-0000-000026000000}"/>
    <cellStyle name="Percent 2" xfId="39" xr:uid="{00000000-0005-0000-0000-000027000000}"/>
    <cellStyle name="Standard_Sce_D_Extraction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7"/>
  <dimension ref="A1:Q11"/>
  <sheetViews>
    <sheetView zoomScaleNormal="100" workbookViewId="0">
      <selection activeCell="L15" sqref="L15"/>
    </sheetView>
  </sheetViews>
  <sheetFormatPr defaultRowHeight="15"/>
  <cols>
    <col min="1" max="1" width="8.85546875" bestFit="1" customWidth="1"/>
    <col min="2" max="2" width="32.85546875" bestFit="1" customWidth="1"/>
    <col min="3" max="4" width="5.140625" bestFit="1" customWidth="1"/>
    <col min="5" max="5" width="3.5703125" customWidth="1"/>
    <col min="6" max="6" width="4.5703125" customWidth="1"/>
    <col min="7" max="7" width="15" bestFit="1" customWidth="1"/>
    <col min="8" max="8" width="10.5703125" bestFit="1" customWidth="1"/>
    <col min="9" max="9" width="12.28515625" bestFit="1" customWidth="1"/>
    <col min="10" max="10" width="9.7109375" bestFit="1" customWidth="1"/>
    <col min="12" max="12" width="27.140625" bestFit="1" customWidth="1"/>
  </cols>
  <sheetData>
    <row r="1" spans="1:17">
      <c r="A1" s="18" t="s">
        <v>800</v>
      </c>
      <c r="F1" s="8"/>
    </row>
    <row r="4" spans="1:17">
      <c r="A4" t="s">
        <v>269</v>
      </c>
      <c r="G4" t="s">
        <v>270</v>
      </c>
    </row>
    <row r="5" spans="1:17" ht="15.75" thickBot="1">
      <c r="A5" s="16" t="s">
        <v>103</v>
      </c>
      <c r="B5" s="16" t="s">
        <v>3</v>
      </c>
      <c r="C5" s="16" t="s">
        <v>2</v>
      </c>
      <c r="D5" s="16" t="s">
        <v>49</v>
      </c>
      <c r="G5" s="16" t="s">
        <v>37</v>
      </c>
    </row>
    <row r="6" spans="1:17">
      <c r="A6" t="str">
        <f t="shared" ref="A6:A11" si="0">$A$1&amp;"~"&amp;TEXT(O6,"0000")</f>
        <v>KS~0000</v>
      </c>
      <c r="B6" t="s">
        <v>814</v>
      </c>
      <c r="G6" t="str">
        <f>B6</f>
        <v>Base</v>
      </c>
      <c r="Q6" s="7"/>
    </row>
    <row r="7" spans="1:17">
      <c r="A7" t="str">
        <f t="shared" si="0"/>
        <v>KS~0000</v>
      </c>
      <c r="B7" t="str">
        <f>"CO2price-"&amp;ROUND(L7/10,0)*10</f>
        <v>CO2price-0</v>
      </c>
      <c r="G7" t="str">
        <f t="shared" ref="G7:G11" si="1">B7</f>
        <v>CO2price-0</v>
      </c>
      <c r="Q7" s="7"/>
    </row>
    <row r="8" spans="1:17">
      <c r="A8" t="str">
        <f t="shared" si="0"/>
        <v>KS~0000</v>
      </c>
      <c r="B8" t="str">
        <f t="shared" ref="B8:B11" si="2">"CO2price-"&amp;ROUND(L8/10,0)*10</f>
        <v>CO2price-0</v>
      </c>
      <c r="G8" t="str">
        <f t="shared" si="1"/>
        <v>CO2price-0</v>
      </c>
      <c r="Q8" s="7"/>
    </row>
    <row r="9" spans="1:17">
      <c r="A9" t="str">
        <f t="shared" si="0"/>
        <v>KS~0000</v>
      </c>
      <c r="B9" t="str">
        <f t="shared" si="2"/>
        <v>CO2price-0</v>
      </c>
      <c r="G9" t="str">
        <f t="shared" si="1"/>
        <v>CO2price-0</v>
      </c>
    </row>
    <row r="10" spans="1:17">
      <c r="A10" t="str">
        <f t="shared" si="0"/>
        <v>KS~0000</v>
      </c>
      <c r="B10" t="str">
        <f t="shared" si="2"/>
        <v>CO2price-0</v>
      </c>
      <c r="G10" t="str">
        <f t="shared" si="1"/>
        <v>CO2price-0</v>
      </c>
    </row>
    <row r="11" spans="1:17">
      <c r="A11" t="str">
        <f t="shared" si="0"/>
        <v>KS~0000</v>
      </c>
      <c r="B11" t="str">
        <f t="shared" si="2"/>
        <v>CO2price-0</v>
      </c>
      <c r="G11" t="str">
        <f t="shared" si="1"/>
        <v>CO2price-0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/>
  <dimension ref="A1:AA75"/>
  <sheetViews>
    <sheetView zoomScaleNormal="100" workbookViewId="0">
      <pane ySplit="2" topLeftCell="A66" activePane="bottomLeft" state="frozen"/>
      <selection pane="bottomLeft" activeCell="J75" sqref="J75"/>
    </sheetView>
  </sheetViews>
  <sheetFormatPr defaultRowHeight="15"/>
  <cols>
    <col min="1" max="1" width="13.85546875" bestFit="1" customWidth="1"/>
    <col min="2" max="2" width="11.140625" bestFit="1" customWidth="1"/>
    <col min="3" max="3" width="7.85546875" bestFit="1" customWidth="1"/>
    <col min="4" max="4" width="26.5703125" customWidth="1"/>
    <col min="5" max="5" width="16.85546875" bestFit="1" customWidth="1"/>
    <col min="6" max="6" width="8.5703125" bestFit="1" customWidth="1"/>
    <col min="7" max="8" width="8.7109375" bestFit="1" customWidth="1"/>
    <col min="9" max="9" width="16.7109375" bestFit="1" customWidth="1"/>
    <col min="10" max="10" width="30.85546875" bestFit="1" customWidth="1"/>
    <col min="11" max="11" width="8.5703125" bestFit="1" customWidth="1"/>
    <col min="12" max="12" width="7" bestFit="1" customWidth="1"/>
    <col min="13" max="13" width="4.28515625" bestFit="1" customWidth="1"/>
    <col min="14" max="14" width="9.28515625" bestFit="1" customWidth="1"/>
    <col min="15" max="15" width="21.42578125" bestFit="1" customWidth="1"/>
    <col min="16" max="16" width="14.5703125" bestFit="1" customWidth="1"/>
    <col min="17" max="17" width="22.42578125" bestFit="1" customWidth="1"/>
    <col min="18" max="18" width="9.28515625" bestFit="1" customWidth="1"/>
    <col min="19" max="20" width="9.28515625" customWidth="1"/>
    <col min="21" max="21" width="2" bestFit="1" customWidth="1"/>
    <col min="22" max="22" width="11.5703125" bestFit="1" customWidth="1"/>
  </cols>
  <sheetData>
    <row r="1" spans="1:27">
      <c r="A1" t="s">
        <v>107</v>
      </c>
    </row>
    <row r="2" spans="1:27">
      <c r="A2" s="2" t="s">
        <v>91</v>
      </c>
      <c r="B2" s="2" t="s">
        <v>109</v>
      </c>
      <c r="C2" s="2" t="s">
        <v>233</v>
      </c>
      <c r="D2" s="2" t="s">
        <v>92</v>
      </c>
      <c r="E2" s="2" t="s">
        <v>93</v>
      </c>
      <c r="F2" s="2" t="s">
        <v>97</v>
      </c>
      <c r="G2" s="2" t="s">
        <v>98</v>
      </c>
      <c r="H2" s="2" t="s">
        <v>99</v>
      </c>
      <c r="I2" s="2" t="s">
        <v>94</v>
      </c>
      <c r="J2" s="2" t="s">
        <v>95</v>
      </c>
      <c r="K2" s="2" t="s">
        <v>96</v>
      </c>
      <c r="L2" s="2" t="s">
        <v>0</v>
      </c>
      <c r="M2" s="2" t="s">
        <v>28</v>
      </c>
      <c r="N2" s="2" t="s">
        <v>116</v>
      </c>
      <c r="O2" s="2" t="s">
        <v>3</v>
      </c>
      <c r="P2" s="2" t="s">
        <v>2</v>
      </c>
      <c r="Q2" s="2" t="s">
        <v>49</v>
      </c>
      <c r="R2" s="2" t="s">
        <v>258</v>
      </c>
      <c r="S2" s="2" t="s">
        <v>345</v>
      </c>
      <c r="T2" s="2" t="s">
        <v>642</v>
      </c>
      <c r="V2" s="3" t="s">
        <v>43</v>
      </c>
      <c r="W2" s="4" t="s">
        <v>20</v>
      </c>
      <c r="AA2" t="s">
        <v>82</v>
      </c>
    </row>
    <row r="3" spans="1:27">
      <c r="A3" t="s">
        <v>44</v>
      </c>
      <c r="D3" t="str">
        <f>PSET_Map!H28</f>
        <v>DMD_AGR,DMD_COM,DMD_RES,DMD_AUTOP,DMD_IND,DMD_Non-En,DMD_TRA-NR,DMD_TRA-R</v>
      </c>
      <c r="I3" t="s">
        <v>55</v>
      </c>
      <c r="L3" t="s">
        <v>40</v>
      </c>
      <c r="O3" t="s">
        <v>646</v>
      </c>
      <c r="P3" t="str">
        <f>O3</f>
        <v>FinEnergy</v>
      </c>
      <c r="Q3" t="s">
        <v>3160</v>
      </c>
    </row>
    <row r="4" spans="1:27">
      <c r="A4" t="s">
        <v>44</v>
      </c>
      <c r="I4" t="str">
        <f>$I$3</f>
        <v>NRG</v>
      </c>
      <c r="J4" t="s">
        <v>241</v>
      </c>
      <c r="L4" t="s">
        <v>40</v>
      </c>
      <c r="O4" t="s">
        <v>646</v>
      </c>
      <c r="P4" t="str">
        <f>O4</f>
        <v>FinEnergy</v>
      </c>
      <c r="Q4" t="s">
        <v>3160</v>
      </c>
    </row>
    <row r="5" spans="1:27">
      <c r="A5" t="s">
        <v>3743</v>
      </c>
      <c r="E5" t="s">
        <v>281</v>
      </c>
      <c r="I5" t="str">
        <f>$I$3</f>
        <v>NRG</v>
      </c>
      <c r="J5" s="7" t="s">
        <v>283</v>
      </c>
      <c r="L5" t="s">
        <v>40</v>
      </c>
      <c r="O5" t="s">
        <v>646</v>
      </c>
      <c r="P5" t="str">
        <f t="shared" ref="P5:P6" si="0">O5</f>
        <v>FinEnergy</v>
      </c>
      <c r="Q5" t="s">
        <v>3160</v>
      </c>
    </row>
    <row r="6" spans="1:27">
      <c r="A6" t="s">
        <v>3743</v>
      </c>
      <c r="E6" t="s">
        <v>281</v>
      </c>
      <c r="I6" t="str">
        <f>$I$3</f>
        <v>NRG</v>
      </c>
      <c r="J6" s="7" t="s">
        <v>283</v>
      </c>
      <c r="L6" t="s">
        <v>282</v>
      </c>
      <c r="O6" t="s">
        <v>646</v>
      </c>
      <c r="P6" t="str">
        <f t="shared" si="0"/>
        <v>FinEnergy</v>
      </c>
      <c r="Q6" t="s">
        <v>3160</v>
      </c>
    </row>
    <row r="7" spans="1:27">
      <c r="A7" t="s">
        <v>27</v>
      </c>
      <c r="D7" t="s">
        <v>648</v>
      </c>
      <c r="E7" s="7" t="s">
        <v>3744</v>
      </c>
      <c r="J7" s="15" t="s">
        <v>3745</v>
      </c>
      <c r="L7" t="s">
        <v>161</v>
      </c>
      <c r="O7" t="s">
        <v>461</v>
      </c>
      <c r="P7" t="str">
        <f>O7</f>
        <v>Elec_Prod</v>
      </c>
      <c r="Q7" t="s">
        <v>3161</v>
      </c>
    </row>
    <row r="8" spans="1:27">
      <c r="A8" t="s">
        <v>44</v>
      </c>
      <c r="D8" t="s">
        <v>3167</v>
      </c>
      <c r="E8" s="7" t="s">
        <v>3186</v>
      </c>
      <c r="J8" s="15" t="s">
        <v>3168</v>
      </c>
      <c r="L8" t="s">
        <v>3169</v>
      </c>
      <c r="O8" t="s">
        <v>461</v>
      </c>
      <c r="Q8" t="s">
        <v>3161</v>
      </c>
    </row>
    <row r="9" spans="1:27">
      <c r="A9" t="s">
        <v>27</v>
      </c>
      <c r="D9" t="s">
        <v>3750</v>
      </c>
      <c r="J9" t="s">
        <v>460</v>
      </c>
      <c r="L9" t="s">
        <v>161</v>
      </c>
      <c r="O9" t="s">
        <v>462</v>
      </c>
      <c r="P9" t="str">
        <f t="shared" ref="P9:P11" si="1">O9</f>
        <v>Elec-int_Prod</v>
      </c>
      <c r="Q9" t="s">
        <v>3162</v>
      </c>
    </row>
    <row r="10" spans="1:27">
      <c r="A10" t="s">
        <v>681</v>
      </c>
      <c r="D10" t="s">
        <v>682</v>
      </c>
      <c r="H10" t="s">
        <v>3746</v>
      </c>
      <c r="L10" t="s">
        <v>161</v>
      </c>
      <c r="O10" t="s">
        <v>679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27</v>
      </c>
      <c r="D11" s="7" t="s">
        <v>815</v>
      </c>
      <c r="J11" t="s">
        <v>45</v>
      </c>
      <c r="L11" t="s">
        <v>40</v>
      </c>
      <c r="O11" t="s">
        <v>522</v>
      </c>
      <c r="P11" t="str">
        <f t="shared" si="1"/>
        <v>H2_Prod</v>
      </c>
      <c r="Q11" t="s">
        <v>3163</v>
      </c>
      <c r="R11" t="s">
        <v>162</v>
      </c>
    </row>
    <row r="12" spans="1:27">
      <c r="A12" t="s">
        <v>30</v>
      </c>
      <c r="D12" t="s">
        <v>637</v>
      </c>
      <c r="E12" s="7" t="s">
        <v>3747</v>
      </c>
      <c r="H12" t="s">
        <v>3746</v>
      </c>
      <c r="L12" t="s">
        <v>31</v>
      </c>
      <c r="O12" t="s">
        <v>656</v>
      </c>
      <c r="P12" t="str">
        <f t="shared" ref="P12:P15" si="4">O12</f>
        <v>Capacity_Elec</v>
      </c>
      <c r="Q12" t="str">
        <f t="shared" ref="Q12:Q20" si="5">P12</f>
        <v>Capacity_Elec</v>
      </c>
      <c r="T12" s="14" t="s">
        <v>633</v>
      </c>
    </row>
    <row r="13" spans="1:27">
      <c r="A13" t="s">
        <v>30</v>
      </c>
      <c r="D13" t="s">
        <v>106</v>
      </c>
      <c r="E13" s="7" t="s">
        <v>3768</v>
      </c>
      <c r="L13" t="s">
        <v>31</v>
      </c>
      <c r="O13" t="s">
        <v>656</v>
      </c>
      <c r="P13" t="str">
        <f t="shared" ref="P13" si="6">O13</f>
        <v>Capacity_Elec</v>
      </c>
      <c r="Q13" t="str">
        <f t="shared" ref="Q13" si="7">P13</f>
        <v>Capacity_Elec</v>
      </c>
      <c r="T13" s="14"/>
    </row>
    <row r="14" spans="1:27">
      <c r="A14" t="s">
        <v>30</v>
      </c>
      <c r="D14" s="7" t="s">
        <v>523</v>
      </c>
      <c r="H14" t="s">
        <v>45</v>
      </c>
      <c r="L14" t="s">
        <v>641</v>
      </c>
      <c r="O14" t="s">
        <v>571</v>
      </c>
      <c r="P14" t="str">
        <f t="shared" si="4"/>
        <v>Capacity_H2</v>
      </c>
      <c r="R14" t="s">
        <v>162</v>
      </c>
    </row>
    <row r="15" spans="1:27">
      <c r="A15" t="s">
        <v>34</v>
      </c>
      <c r="D15" s="7" t="s">
        <v>523</v>
      </c>
      <c r="L15" t="s">
        <v>641</v>
      </c>
      <c r="O15" t="s">
        <v>644</v>
      </c>
      <c r="P15" t="str">
        <f t="shared" si="4"/>
        <v>NewCap</v>
      </c>
    </row>
    <row r="16" spans="1:27">
      <c r="A16" t="s">
        <v>34</v>
      </c>
      <c r="D16" t="s">
        <v>106</v>
      </c>
      <c r="E16" s="7" t="s">
        <v>3768</v>
      </c>
      <c r="L16" t="s">
        <v>31</v>
      </c>
      <c r="O16" t="s">
        <v>644</v>
      </c>
      <c r="P16" t="str">
        <f t="shared" ref="P16" si="8">O16</f>
        <v>NewCap</v>
      </c>
    </row>
    <row r="17" spans="1:20">
      <c r="A17" t="s">
        <v>105</v>
      </c>
      <c r="D17" t="s">
        <v>3767</v>
      </c>
      <c r="E17" s="7" t="s">
        <v>3748</v>
      </c>
      <c r="L17" t="s">
        <v>33</v>
      </c>
      <c r="O17" t="s">
        <v>488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120</v>
      </c>
      <c r="D18" t="s">
        <v>492</v>
      </c>
      <c r="E18" s="7" t="s">
        <v>3748</v>
      </c>
      <c r="L18" t="s">
        <v>33</v>
      </c>
      <c r="O18" t="s">
        <v>489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121</v>
      </c>
      <c r="D19" t="s">
        <v>492</v>
      </c>
      <c r="E19" s="7" t="s">
        <v>3748</v>
      </c>
      <c r="L19" t="s">
        <v>33</v>
      </c>
      <c r="O19" t="s">
        <v>490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529</v>
      </c>
      <c r="D20" t="s">
        <v>340</v>
      </c>
      <c r="E20" s="7" t="s">
        <v>3748</v>
      </c>
      <c r="I20" t="s">
        <v>55</v>
      </c>
      <c r="J20" s="7" t="s">
        <v>530</v>
      </c>
      <c r="L20" t="s">
        <v>33</v>
      </c>
      <c r="O20" t="s">
        <v>533</v>
      </c>
      <c r="P20" t="str">
        <f t="shared" si="11"/>
        <v>CostFue</v>
      </c>
      <c r="Q20" t="str">
        <f t="shared" si="5"/>
        <v>CostFue</v>
      </c>
    </row>
    <row r="21" spans="1:20">
      <c r="A21" t="s">
        <v>529</v>
      </c>
      <c r="E21" s="7"/>
      <c r="H21" t="s">
        <v>45</v>
      </c>
      <c r="I21" t="s">
        <v>55</v>
      </c>
      <c r="J21" s="7" t="s">
        <v>531</v>
      </c>
      <c r="L21" t="s">
        <v>33</v>
      </c>
      <c r="O21" t="s">
        <v>533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529</v>
      </c>
      <c r="D22" t="s">
        <v>119</v>
      </c>
      <c r="E22" s="7" t="s">
        <v>532</v>
      </c>
      <c r="I22" t="s">
        <v>55</v>
      </c>
      <c r="L22" t="s">
        <v>33</v>
      </c>
      <c r="O22" t="s">
        <v>533</v>
      </c>
      <c r="P22" t="str">
        <f t="shared" si="12"/>
        <v>CostFue</v>
      </c>
      <c r="Q22" t="str">
        <f t="shared" si="13"/>
        <v>CostFue</v>
      </c>
    </row>
    <row r="23" spans="1:20">
      <c r="A23" t="s">
        <v>529</v>
      </c>
      <c r="D23" t="s">
        <v>534</v>
      </c>
      <c r="E23" s="7"/>
      <c r="I23" t="s">
        <v>55</v>
      </c>
      <c r="J23" s="7" t="s">
        <v>535</v>
      </c>
      <c r="L23" t="s">
        <v>33</v>
      </c>
      <c r="O23" t="s">
        <v>533</v>
      </c>
      <c r="P23" t="str">
        <f t="shared" si="12"/>
        <v>CostFue</v>
      </c>
      <c r="Q23" t="str">
        <f t="shared" si="13"/>
        <v>CostFue</v>
      </c>
    </row>
    <row r="24" spans="1:20">
      <c r="A24" t="s">
        <v>44</v>
      </c>
      <c r="D24" t="s">
        <v>938</v>
      </c>
      <c r="H24" t="s">
        <v>3749</v>
      </c>
      <c r="I24" t="s">
        <v>55</v>
      </c>
      <c r="J24" s="7" t="s">
        <v>289</v>
      </c>
      <c r="L24" t="s">
        <v>40</v>
      </c>
      <c r="O24" t="s">
        <v>573</v>
      </c>
      <c r="P24" t="str">
        <f t="shared" ref="P24:P25" si="14">O24</f>
        <v>Fuel_cons_power</v>
      </c>
      <c r="Q24" t="s">
        <v>3164</v>
      </c>
      <c r="T24" t="s">
        <v>633</v>
      </c>
    </row>
    <row r="25" spans="1:20">
      <c r="A25" t="s">
        <v>44</v>
      </c>
      <c r="D25" s="7" t="s">
        <v>815</v>
      </c>
      <c r="H25" t="s">
        <v>45</v>
      </c>
      <c r="I25" t="s">
        <v>55</v>
      </c>
      <c r="J25" s="7"/>
      <c r="L25" t="s">
        <v>40</v>
      </c>
      <c r="O25" t="s">
        <v>572</v>
      </c>
      <c r="P25" t="str">
        <f t="shared" si="14"/>
        <v>Fuel_cons_H2</v>
      </c>
      <c r="Q25" t="s">
        <v>3165</v>
      </c>
    </row>
    <row r="26" spans="1:20">
      <c r="A26" t="s">
        <v>44</v>
      </c>
      <c r="D26" s="7"/>
      <c r="H26" t="s">
        <v>940</v>
      </c>
      <c r="I26" t="s">
        <v>55</v>
      </c>
      <c r="J26" s="7"/>
      <c r="L26" t="s">
        <v>40</v>
      </c>
      <c r="O26" t="s">
        <v>939</v>
      </c>
      <c r="Q26" t="s">
        <v>3166</v>
      </c>
    </row>
    <row r="27" spans="1:20">
      <c r="A27" t="s">
        <v>30</v>
      </c>
      <c r="D27" t="s">
        <v>119</v>
      </c>
      <c r="H27" t="s">
        <v>463</v>
      </c>
      <c r="J27" s="7"/>
      <c r="L27" t="s">
        <v>641</v>
      </c>
      <c r="O27" t="s">
        <v>570</v>
      </c>
      <c r="Q27" t="s">
        <v>3171</v>
      </c>
    </row>
    <row r="28" spans="1:20">
      <c r="A28" t="s">
        <v>27</v>
      </c>
      <c r="D28" t="s">
        <v>119</v>
      </c>
      <c r="I28" t="s">
        <v>226</v>
      </c>
      <c r="J28" s="7" t="s">
        <v>609</v>
      </c>
      <c r="L28" t="s">
        <v>640</v>
      </c>
      <c r="O28" t="s">
        <v>227</v>
      </c>
      <c r="P28" t="str">
        <f t="shared" ref="P28:Q30" si="15">O28</f>
        <v>DMD_out</v>
      </c>
      <c r="Q28" t="s">
        <v>3172</v>
      </c>
    </row>
    <row r="29" spans="1:20">
      <c r="A29" t="s">
        <v>44</v>
      </c>
      <c r="D29" t="s">
        <v>119</v>
      </c>
      <c r="H29" s="7" t="s">
        <v>610</v>
      </c>
      <c r="I29" t="s">
        <v>55</v>
      </c>
      <c r="L29" t="s">
        <v>40</v>
      </c>
      <c r="O29" t="s">
        <v>228</v>
      </c>
      <c r="P29" t="str">
        <f t="shared" si="15"/>
        <v>DMD_in</v>
      </c>
      <c r="Q29" t="str">
        <f t="shared" si="15"/>
        <v>DMD_in</v>
      </c>
    </row>
    <row r="30" spans="1:20">
      <c r="A30" t="s">
        <v>231</v>
      </c>
      <c r="E30" s="7" t="s">
        <v>3753</v>
      </c>
      <c r="J30" s="7" t="s">
        <v>643</v>
      </c>
      <c r="L30" t="s">
        <v>232</v>
      </c>
      <c r="O30" t="s">
        <v>147</v>
      </c>
      <c r="P30" t="str">
        <f t="shared" si="15"/>
        <v>Power</v>
      </c>
      <c r="Q30" t="str">
        <f t="shared" si="15"/>
        <v>Power</v>
      </c>
      <c r="R30" t="s">
        <v>830</v>
      </c>
      <c r="T30" s="14" t="s">
        <v>633</v>
      </c>
    </row>
    <row r="31" spans="1:20">
      <c r="A31" t="s">
        <v>27</v>
      </c>
      <c r="D31" t="s">
        <v>106</v>
      </c>
      <c r="E31" t="s">
        <v>3173</v>
      </c>
      <c r="I31" t="s">
        <v>55</v>
      </c>
      <c r="L31" t="s">
        <v>40</v>
      </c>
      <c r="O31" t="s">
        <v>280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27</v>
      </c>
      <c r="E32" t="s">
        <v>3702</v>
      </c>
      <c r="J32" t="s">
        <v>3703</v>
      </c>
      <c r="L32" t="s">
        <v>40</v>
      </c>
      <c r="O32" t="s">
        <v>280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27</v>
      </c>
      <c r="I33" t="s">
        <v>209</v>
      </c>
      <c r="J33" t="s">
        <v>366</v>
      </c>
      <c r="L33" t="s">
        <v>83</v>
      </c>
      <c r="O33" t="s">
        <v>242</v>
      </c>
      <c r="P33" t="str">
        <f t="shared" si="16"/>
        <v>CO2_emissions</v>
      </c>
      <c r="Q33" t="str">
        <f t="shared" si="16"/>
        <v>CO2_emissions</v>
      </c>
      <c r="R33" t="s">
        <v>198</v>
      </c>
    </row>
    <row r="34" spans="1:18">
      <c r="A34" t="s">
        <v>27</v>
      </c>
      <c r="J34" t="s">
        <v>493</v>
      </c>
      <c r="L34" t="s">
        <v>210</v>
      </c>
      <c r="O34" t="s">
        <v>274</v>
      </c>
      <c r="P34" t="str">
        <f t="shared" si="16"/>
        <v>CO2_captured</v>
      </c>
      <c r="Q34" t="str">
        <f t="shared" si="16"/>
        <v>CO2_captured</v>
      </c>
      <c r="R34" t="s">
        <v>162</v>
      </c>
    </row>
    <row r="35" spans="1:18">
      <c r="A35" t="s">
        <v>44</v>
      </c>
      <c r="J35" t="s">
        <v>48</v>
      </c>
      <c r="L35" t="s">
        <v>210</v>
      </c>
      <c r="O35" t="s">
        <v>274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44</v>
      </c>
      <c r="J36" t="s">
        <v>275</v>
      </c>
      <c r="L36" t="s">
        <v>83</v>
      </c>
      <c r="O36" t="s">
        <v>276</v>
      </c>
      <c r="P36" t="str">
        <f t="shared" si="16"/>
        <v>CO2_Stored</v>
      </c>
      <c r="Q36" t="str">
        <f t="shared" si="16"/>
        <v>CO2_Stored</v>
      </c>
      <c r="R36" t="s">
        <v>162</v>
      </c>
    </row>
    <row r="37" spans="1:18">
      <c r="A37" t="s">
        <v>27</v>
      </c>
      <c r="D37" t="s">
        <v>294</v>
      </c>
      <c r="I37" t="s">
        <v>55</v>
      </c>
      <c r="L37" t="s">
        <v>40</v>
      </c>
      <c r="O37" t="s">
        <v>277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27</v>
      </c>
      <c r="E38" t="s">
        <v>673</v>
      </c>
      <c r="J38" t="s">
        <v>674</v>
      </c>
      <c r="L38" t="s">
        <v>40</v>
      </c>
      <c r="O38" t="s">
        <v>277</v>
      </c>
    </row>
    <row r="39" spans="1:18">
      <c r="A39" t="s">
        <v>44</v>
      </c>
      <c r="D39" t="s">
        <v>294</v>
      </c>
      <c r="I39" t="s">
        <v>55</v>
      </c>
      <c r="L39" t="s">
        <v>278</v>
      </c>
      <c r="O39" t="s">
        <v>279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29</v>
      </c>
      <c r="B40" t="s">
        <v>290</v>
      </c>
      <c r="I40" t="s">
        <v>55</v>
      </c>
      <c r="J40" t="s">
        <v>699</v>
      </c>
      <c r="L40" t="s">
        <v>39</v>
      </c>
      <c r="O40" t="s">
        <v>292</v>
      </c>
      <c r="P40" t="str">
        <f t="shared" si="16"/>
        <v>Prices</v>
      </c>
      <c r="Q40" t="str">
        <f t="shared" si="16"/>
        <v>Prices</v>
      </c>
      <c r="R40" t="s">
        <v>198</v>
      </c>
    </row>
    <row r="41" spans="1:18">
      <c r="A41" t="s">
        <v>29</v>
      </c>
      <c r="B41" t="s">
        <v>290</v>
      </c>
      <c r="I41" t="s">
        <v>55</v>
      </c>
      <c r="J41" t="s">
        <v>3760</v>
      </c>
      <c r="L41" t="s">
        <v>115</v>
      </c>
      <c r="O41" t="s">
        <v>292</v>
      </c>
      <c r="P41" t="str">
        <f t="shared" ref="P41" si="21">O41</f>
        <v>Prices</v>
      </c>
      <c r="Q41" t="str">
        <f t="shared" ref="Q41" si="22">P41</f>
        <v>Prices</v>
      </c>
      <c r="R41" t="s">
        <v>698</v>
      </c>
    </row>
    <row r="42" spans="1:18">
      <c r="A42" t="s">
        <v>29</v>
      </c>
      <c r="B42" t="s">
        <v>290</v>
      </c>
      <c r="I42" t="s">
        <v>55</v>
      </c>
      <c r="J42" t="s">
        <v>45</v>
      </c>
      <c r="L42" t="s">
        <v>3761</v>
      </c>
      <c r="O42" t="s">
        <v>292</v>
      </c>
      <c r="P42" t="str">
        <f t="shared" ref="P42" si="23">O42</f>
        <v>Prices</v>
      </c>
      <c r="Q42" t="str">
        <f t="shared" ref="Q42" si="24">P42</f>
        <v>Prices</v>
      </c>
      <c r="R42" t="s">
        <v>698</v>
      </c>
    </row>
    <row r="43" spans="1:18">
      <c r="A43" t="s">
        <v>29</v>
      </c>
      <c r="B43" t="s">
        <v>290</v>
      </c>
      <c r="I43" t="s">
        <v>55</v>
      </c>
      <c r="J43" t="s">
        <v>3759</v>
      </c>
      <c r="L43" t="s">
        <v>700</v>
      </c>
      <c r="O43" t="s">
        <v>292</v>
      </c>
    </row>
    <row r="44" spans="1:18">
      <c r="A44" t="s">
        <v>29</v>
      </c>
      <c r="B44" t="s">
        <v>290</v>
      </c>
      <c r="I44" t="s">
        <v>55</v>
      </c>
      <c r="J44" t="s">
        <v>808</v>
      </c>
      <c r="L44" t="s">
        <v>701</v>
      </c>
      <c r="O44" t="s">
        <v>292</v>
      </c>
      <c r="R44" t="s">
        <v>234</v>
      </c>
    </row>
    <row r="45" spans="1:18">
      <c r="A45" t="s">
        <v>29</v>
      </c>
      <c r="B45" t="s">
        <v>290</v>
      </c>
      <c r="I45" t="s">
        <v>209</v>
      </c>
      <c r="J45" t="s">
        <v>48</v>
      </c>
      <c r="L45" t="s">
        <v>291</v>
      </c>
      <c r="O45" t="s">
        <v>292</v>
      </c>
      <c r="P45" t="str">
        <f t="shared" ref="P45" si="25">O45</f>
        <v>Prices</v>
      </c>
      <c r="Q45" t="str">
        <f t="shared" ref="Q45" si="26">P45</f>
        <v>Prices</v>
      </c>
      <c r="R45" t="s">
        <v>198</v>
      </c>
    </row>
    <row r="46" spans="1:18">
      <c r="A46" t="s">
        <v>29</v>
      </c>
      <c r="B46" t="s">
        <v>290</v>
      </c>
      <c r="I46" t="s">
        <v>226</v>
      </c>
      <c r="J46" t="s">
        <v>463</v>
      </c>
      <c r="L46" t="s">
        <v>583</v>
      </c>
      <c r="O46" t="s">
        <v>292</v>
      </c>
      <c r="P46" t="str">
        <f t="shared" ref="P46:P48" si="27">O46</f>
        <v>Prices</v>
      </c>
      <c r="Q46" t="str">
        <f t="shared" ref="Q46:Q48" si="28">P46</f>
        <v>Prices</v>
      </c>
      <c r="R46" t="s">
        <v>198</v>
      </c>
    </row>
    <row r="47" spans="1:18">
      <c r="A47" t="s">
        <v>29</v>
      </c>
      <c r="B47" t="s">
        <v>290</v>
      </c>
      <c r="I47" t="s">
        <v>226</v>
      </c>
      <c r="J47" t="s">
        <v>584</v>
      </c>
      <c r="L47" t="s">
        <v>585</v>
      </c>
      <c r="O47" t="s">
        <v>292</v>
      </c>
      <c r="P47" t="str">
        <f t="shared" si="27"/>
        <v>Prices</v>
      </c>
      <c r="Q47" t="str">
        <f t="shared" si="28"/>
        <v>Prices</v>
      </c>
      <c r="R47" t="s">
        <v>198</v>
      </c>
    </row>
    <row r="48" spans="1:18">
      <c r="A48" t="s">
        <v>29</v>
      </c>
      <c r="B48" t="s">
        <v>290</v>
      </c>
      <c r="I48" t="s">
        <v>226</v>
      </c>
      <c r="J48" s="7" t="s">
        <v>586</v>
      </c>
      <c r="L48" t="s">
        <v>39</v>
      </c>
      <c r="O48" t="s">
        <v>292</v>
      </c>
      <c r="P48" t="str">
        <f t="shared" si="27"/>
        <v>Prices</v>
      </c>
      <c r="Q48" t="str">
        <f t="shared" si="28"/>
        <v>Prices</v>
      </c>
      <c r="R48" t="s">
        <v>198</v>
      </c>
    </row>
    <row r="49" spans="1:18">
      <c r="A49" t="s">
        <v>114</v>
      </c>
      <c r="B49" t="s">
        <v>34</v>
      </c>
      <c r="D49" t="s">
        <v>398</v>
      </c>
      <c r="L49" t="s">
        <v>39</v>
      </c>
      <c r="O49" t="s">
        <v>514</v>
      </c>
      <c r="P49" t="str">
        <f t="shared" ref="P49:P51" si="29">O49</f>
        <v>LCOE</v>
      </c>
      <c r="Q49" t="str">
        <f t="shared" ref="Q49:Q52" si="30">P49</f>
        <v>LCOE</v>
      </c>
    </row>
    <row r="50" spans="1:18">
      <c r="A50" t="s">
        <v>114</v>
      </c>
      <c r="B50" t="s">
        <v>34</v>
      </c>
      <c r="D50" t="s">
        <v>828</v>
      </c>
      <c r="H50" t="s">
        <v>829</v>
      </c>
      <c r="L50" t="s">
        <v>827</v>
      </c>
      <c r="O50" t="s">
        <v>514</v>
      </c>
      <c r="P50" t="str">
        <f t="shared" ref="P50" si="31">O50</f>
        <v>LCOE</v>
      </c>
      <c r="Q50" t="str">
        <f t="shared" ref="Q50" si="32">P50</f>
        <v>LCOE</v>
      </c>
      <c r="R50" t="s">
        <v>162</v>
      </c>
    </row>
    <row r="51" spans="1:18">
      <c r="A51" t="s">
        <v>364</v>
      </c>
      <c r="J51" t="s">
        <v>48</v>
      </c>
      <c r="L51" t="str">
        <f>L36</f>
        <v>kt CO2</v>
      </c>
      <c r="O51" t="s">
        <v>365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382</v>
      </c>
      <c r="L52" t="s">
        <v>33</v>
      </c>
      <c r="O52" t="s">
        <v>638</v>
      </c>
      <c r="P52" t="str">
        <f>O52</f>
        <v>Ann_OBJ</v>
      </c>
      <c r="Q52" t="str">
        <f t="shared" si="30"/>
        <v>Ann_OBJ</v>
      </c>
      <c r="R52" t="s">
        <v>639</v>
      </c>
    </row>
    <row r="53" spans="1:18">
      <c r="A53" t="s">
        <v>27</v>
      </c>
      <c r="D53" t="s">
        <v>106</v>
      </c>
      <c r="E53" t="s">
        <v>390</v>
      </c>
      <c r="L53" t="s">
        <v>40</v>
      </c>
      <c r="O53" t="s">
        <v>391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392</v>
      </c>
    </row>
    <row r="54" spans="1:18">
      <c r="A54" t="s">
        <v>27</v>
      </c>
      <c r="D54" t="s">
        <v>693</v>
      </c>
      <c r="H54" t="s">
        <v>694</v>
      </c>
      <c r="L54" t="s">
        <v>40</v>
      </c>
      <c r="O54" t="s">
        <v>695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44</v>
      </c>
      <c r="D55" t="s">
        <v>693</v>
      </c>
      <c r="G55" t="s">
        <v>694</v>
      </c>
      <c r="L55" t="s">
        <v>40</v>
      </c>
      <c r="O55" t="s">
        <v>696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30</v>
      </c>
      <c r="D56" t="s">
        <v>693</v>
      </c>
      <c r="H56" t="s">
        <v>694</v>
      </c>
      <c r="L56" t="s">
        <v>697</v>
      </c>
      <c r="O56" t="str">
        <f>"Cap_"&amp;LEFT(O54,9)</f>
        <v>Cap_LNG_lique</v>
      </c>
    </row>
    <row r="57" spans="1:18">
      <c r="A57" t="s">
        <v>30</v>
      </c>
      <c r="D57" t="s">
        <v>693</v>
      </c>
      <c r="G57" t="s">
        <v>694</v>
      </c>
      <c r="L57" t="s">
        <v>697</v>
      </c>
      <c r="O57" t="str">
        <f>"Cap_"&amp;LEFT(O55,9)</f>
        <v>Cap_LNG_regas</v>
      </c>
    </row>
    <row r="58" spans="1:18">
      <c r="A58" t="s">
        <v>30</v>
      </c>
      <c r="D58" t="s">
        <v>513</v>
      </c>
      <c r="L58" t="s">
        <v>31</v>
      </c>
      <c r="O58" t="str">
        <f>"Stg"&amp;MID(A58,4,10)</f>
        <v>Stg_CAP</v>
      </c>
      <c r="R58" t="s">
        <v>162</v>
      </c>
    </row>
    <row r="59" spans="1:18">
      <c r="A59" t="s">
        <v>681</v>
      </c>
      <c r="D59" t="s">
        <v>513</v>
      </c>
      <c r="L59" t="s">
        <v>40</v>
      </c>
      <c r="O59" t="str">
        <f t="shared" ref="O59:O61" si="35">"Stg"&amp;MID(A59,4,10)</f>
        <v>Stg_ACT</v>
      </c>
      <c r="R59" t="s">
        <v>831</v>
      </c>
    </row>
    <row r="60" spans="1:18">
      <c r="A60" t="s">
        <v>44</v>
      </c>
      <c r="D60" t="s">
        <v>513</v>
      </c>
      <c r="L60" t="s">
        <v>40</v>
      </c>
      <c r="O60" t="str">
        <f t="shared" si="35"/>
        <v>Stg_FIN</v>
      </c>
      <c r="R60" t="s">
        <v>832</v>
      </c>
    </row>
    <row r="61" spans="1:18">
      <c r="A61" t="s">
        <v>27</v>
      </c>
      <c r="D61" t="s">
        <v>513</v>
      </c>
      <c r="L61" t="s">
        <v>40</v>
      </c>
      <c r="O61" t="str">
        <f t="shared" si="35"/>
        <v>Stg_FOUT</v>
      </c>
      <c r="R61" t="s">
        <v>832</v>
      </c>
    </row>
    <row r="62" spans="1:18">
      <c r="A62" t="s">
        <v>44</v>
      </c>
      <c r="E62" t="s">
        <v>3187</v>
      </c>
      <c r="I62" t="s">
        <v>55</v>
      </c>
      <c r="L62" t="s">
        <v>40</v>
      </c>
      <c r="O62" t="s">
        <v>3188</v>
      </c>
      <c r="R62" t="s">
        <v>3189</v>
      </c>
    </row>
    <row r="63" spans="1:18">
      <c r="A63" t="s">
        <v>27</v>
      </c>
      <c r="I63" t="s">
        <v>3675</v>
      </c>
      <c r="L63" t="s">
        <v>3636</v>
      </c>
      <c r="O63" t="str">
        <f>"mat_prod-"&amp;I63</f>
        <v>mat_prod-hotmetal</v>
      </c>
    </row>
    <row r="64" spans="1:18">
      <c r="A64" t="s">
        <v>27</v>
      </c>
      <c r="I64" t="s">
        <v>3677</v>
      </c>
      <c r="L64" t="s">
        <v>3636</v>
      </c>
      <c r="O64" t="str">
        <f t="shared" ref="O64:O65" si="36">"mat_prod-"&amp;I64</f>
        <v>mat_prod-spongeiron</v>
      </c>
    </row>
    <row r="65" spans="1:18">
      <c r="A65" t="s">
        <v>27</v>
      </c>
      <c r="I65" t="s">
        <v>3683</v>
      </c>
      <c r="L65" t="s">
        <v>3636</v>
      </c>
      <c r="O65" t="str">
        <f t="shared" si="36"/>
        <v>mat_prod-crudesteel</v>
      </c>
    </row>
    <row r="66" spans="1:18">
      <c r="A66" t="s">
        <v>44</v>
      </c>
      <c r="I66" t="s">
        <v>3679</v>
      </c>
      <c r="L66" t="s">
        <v>3636</v>
      </c>
      <c r="O66" t="str">
        <f>"mat_cons-"&amp;I66</f>
        <v>mat_cons-ironore</v>
      </c>
    </row>
    <row r="67" spans="1:18">
      <c r="A67" t="s">
        <v>44</v>
      </c>
      <c r="I67" t="s">
        <v>3681</v>
      </c>
      <c r="L67" t="s">
        <v>3636</v>
      </c>
      <c r="O67" t="str">
        <f>"mat_cons-"&amp;I67</f>
        <v>mat_cons-scrap</v>
      </c>
    </row>
    <row r="68" spans="1:18">
      <c r="A68" t="s">
        <v>44</v>
      </c>
      <c r="D68" t="s">
        <v>415</v>
      </c>
      <c r="I68" t="s">
        <v>55</v>
      </c>
      <c r="L68" t="s">
        <v>40</v>
      </c>
      <c r="O68" t="s">
        <v>3698</v>
      </c>
    </row>
    <row r="69" spans="1:18">
      <c r="A69" t="s">
        <v>44</v>
      </c>
      <c r="E69" s="7" t="s">
        <v>3769</v>
      </c>
      <c r="I69" t="s">
        <v>55</v>
      </c>
      <c r="L69" t="s">
        <v>40</v>
      </c>
      <c r="O69" t="s">
        <v>3754</v>
      </c>
      <c r="Q69" t="s">
        <v>3770</v>
      </c>
      <c r="R69" t="s">
        <v>3189</v>
      </c>
    </row>
    <row r="70" spans="1:18">
      <c r="A70" t="s">
        <v>30</v>
      </c>
      <c r="E70" t="s">
        <v>32</v>
      </c>
      <c r="L70" t="s">
        <v>641</v>
      </c>
      <c r="O70" t="s">
        <v>3755</v>
      </c>
      <c r="Q70" t="s">
        <v>3756</v>
      </c>
      <c r="R70" t="s">
        <v>162</v>
      </c>
    </row>
    <row r="71" spans="1:18">
      <c r="A71" t="s">
        <v>364</v>
      </c>
      <c r="I71" t="s">
        <v>209</v>
      </c>
      <c r="J71" t="s">
        <v>3808</v>
      </c>
      <c r="L71" s="7" t="s">
        <v>640</v>
      </c>
      <c r="O71" t="s">
        <v>3809</v>
      </c>
      <c r="Q71" t="s">
        <v>3810</v>
      </c>
      <c r="R71" t="s">
        <v>198</v>
      </c>
    </row>
    <row r="72" spans="1:18">
      <c r="A72" t="s">
        <v>27</v>
      </c>
      <c r="D72" t="s">
        <v>3771</v>
      </c>
      <c r="I72" t="s">
        <v>226</v>
      </c>
      <c r="L72" t="s">
        <v>640</v>
      </c>
      <c r="O72" t="s">
        <v>3772</v>
      </c>
      <c r="Q72" t="s">
        <v>3773</v>
      </c>
      <c r="R72" t="s">
        <v>198</v>
      </c>
    </row>
    <row r="73" spans="1:18">
      <c r="A73" t="s">
        <v>27</v>
      </c>
      <c r="D73" t="s">
        <v>3771</v>
      </c>
      <c r="J73" s="22" t="s">
        <v>3774</v>
      </c>
      <c r="L73" t="s">
        <v>640</v>
      </c>
      <c r="O73" t="s">
        <v>3772</v>
      </c>
      <c r="Q73" t="s">
        <v>3773</v>
      </c>
      <c r="R73" t="s">
        <v>198</v>
      </c>
    </row>
    <row r="74" spans="1:18">
      <c r="A74" t="s">
        <v>3775</v>
      </c>
      <c r="C74">
        <v>2019</v>
      </c>
      <c r="E74" t="s">
        <v>3776</v>
      </c>
      <c r="L74" t="s">
        <v>40</v>
      </c>
      <c r="O74" t="s">
        <v>3777</v>
      </c>
      <c r="Q74" t="s">
        <v>3778</v>
      </c>
      <c r="R74" t="s">
        <v>162</v>
      </c>
    </row>
    <row r="75" spans="1:18">
      <c r="A75" t="s">
        <v>681</v>
      </c>
      <c r="D75" t="s">
        <v>467</v>
      </c>
      <c r="L75" t="s">
        <v>40</v>
      </c>
      <c r="O75" t="s">
        <v>3811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0CECA-D923-48D5-BB0F-24A648930476}">
  <sheetPr codeName="Sheet23"/>
  <dimension ref="A1:Y94"/>
  <sheetViews>
    <sheetView tabSelected="1" zoomScaleNormal="100" workbookViewId="0">
      <pane ySplit="2" topLeftCell="A71" activePane="bottomLeft" state="frozen"/>
      <selection pane="bottomLeft" activeCell="A111" sqref="A111"/>
    </sheetView>
  </sheetViews>
  <sheetFormatPr defaultRowHeight="15"/>
  <cols>
    <col min="1" max="1" width="13.85546875" bestFit="1" customWidth="1"/>
    <col min="2" max="2" width="40.140625" customWidth="1"/>
    <col min="3" max="3" width="16.85546875" bestFit="1" customWidth="1"/>
    <col min="4" max="4" width="8.5703125" bestFit="1" customWidth="1"/>
    <col min="5" max="6" width="8.7109375" bestFit="1" customWidth="1"/>
    <col min="7" max="7" width="24.28515625" customWidth="1"/>
    <col min="8" max="8" width="21.5703125" bestFit="1" customWidth="1"/>
    <col min="9" max="9" width="8.5703125" bestFit="1" customWidth="1"/>
    <col min="10" max="10" width="7" bestFit="1" customWidth="1"/>
    <col min="11" max="11" width="4.28515625" bestFit="1" customWidth="1"/>
    <col min="12" max="12" width="9.28515625" bestFit="1" customWidth="1"/>
    <col min="13" max="13" width="27.7109375" bestFit="1" customWidth="1"/>
    <col min="14" max="14" width="5.140625" bestFit="1" customWidth="1"/>
    <col min="15" max="15" width="18.85546875" customWidth="1"/>
    <col min="16" max="16" width="9.5703125" bestFit="1" customWidth="1"/>
    <col min="17" max="17" width="9.28515625" customWidth="1"/>
    <col min="18" max="18" width="11.28515625" bestFit="1" customWidth="1"/>
    <col min="19" max="19" width="11.5703125" bestFit="1" customWidth="1"/>
  </cols>
  <sheetData>
    <row r="1" spans="1:18">
      <c r="A1" t="s">
        <v>3197</v>
      </c>
    </row>
    <row r="2" spans="1:18">
      <c r="A2" s="2" t="s">
        <v>91</v>
      </c>
      <c r="B2" s="2" t="s">
        <v>92</v>
      </c>
      <c r="C2" s="2" t="s">
        <v>93</v>
      </c>
      <c r="D2" s="2" t="s">
        <v>97</v>
      </c>
      <c r="E2" s="2" t="s">
        <v>98</v>
      </c>
      <c r="F2" s="2" t="s">
        <v>99</v>
      </c>
      <c r="G2" s="2" t="s">
        <v>94</v>
      </c>
      <c r="H2" s="2" t="s">
        <v>95</v>
      </c>
      <c r="I2" s="2" t="s">
        <v>96</v>
      </c>
      <c r="J2" s="2" t="s">
        <v>0</v>
      </c>
      <c r="K2" s="2" t="s">
        <v>28</v>
      </c>
      <c r="L2" s="2" t="s">
        <v>116</v>
      </c>
      <c r="M2" s="2" t="s">
        <v>3</v>
      </c>
      <c r="N2" s="2" t="s">
        <v>2</v>
      </c>
      <c r="O2" s="2" t="s">
        <v>49</v>
      </c>
      <c r="P2" s="2" t="s">
        <v>258</v>
      </c>
      <c r="Q2" s="2" t="s">
        <v>345</v>
      </c>
      <c r="R2" s="2" t="s">
        <v>632</v>
      </c>
    </row>
    <row r="3" spans="1:18">
      <c r="A3" t="s">
        <v>44</v>
      </c>
      <c r="B3" t="s">
        <v>340</v>
      </c>
      <c r="G3" t="str">
        <f>CSET_Map!H6</f>
        <v>ALLSOL,ALLWIN,ALLHYD,ALLGEO</v>
      </c>
      <c r="J3" t="s">
        <v>40</v>
      </c>
      <c r="M3" t="s">
        <v>341</v>
      </c>
    </row>
    <row r="4" spans="1:18">
      <c r="A4" t="s">
        <v>27</v>
      </c>
      <c r="C4" t="s">
        <v>354</v>
      </c>
      <c r="G4" t="s">
        <v>251</v>
      </c>
      <c r="J4" t="s">
        <v>40</v>
      </c>
      <c r="M4" t="s">
        <v>341</v>
      </c>
    </row>
    <row r="5" spans="1:18">
      <c r="A5" t="s">
        <v>32</v>
      </c>
    </row>
    <row r="6" spans="1:18">
      <c r="A6" t="s">
        <v>44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7" t="s">
        <v>634</v>
      </c>
      <c r="G6" t="str">
        <f>CSET_Map!$H$19</f>
        <v>ALLSOL,ALLWIN,ALLHYD,ALLGEO,ALLBIO,ALLNUC,ALLELC,ALLELCi,ALLH2,ALLCOAL,ALLCOALInd,ALLBIOFliq,ALLBIOFgas,ALLHEAT,ALLOILCrd,ALLOILPrd,ALLGAS</v>
      </c>
      <c r="H6" s="7" t="s">
        <v>631</v>
      </c>
      <c r="J6" t="s">
        <v>278</v>
      </c>
      <c r="M6" t="s">
        <v>338</v>
      </c>
      <c r="R6" t="s">
        <v>633</v>
      </c>
    </row>
    <row r="7" spans="1:18">
      <c r="A7" t="s">
        <v>27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7" t="s">
        <v>360</v>
      </c>
      <c r="G7" t="str">
        <f>$G$6</f>
        <v>ALLSOL,ALLWIN,ALLHYD,ALLGEO,ALLBIO,ALLNUC,ALLELC,ALLELCi,ALLH2,ALLCOAL,ALLCOALInd,ALLBIOFliq,ALLBIOFgas,ALLHEAT,ALLOILCrd,ALLOILPrd,ALLGAS</v>
      </c>
      <c r="J7" t="s">
        <v>40</v>
      </c>
      <c r="M7" t="s">
        <v>339</v>
      </c>
    </row>
    <row r="8" spans="1:18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254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8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254</v>
      </c>
      <c r="J9" t="str">
        <f t="shared" si="2"/>
        <v>PJ</v>
      </c>
      <c r="M9" t="str">
        <f t="shared" ref="M9" si="3">M7</f>
        <v>&lt;cset&gt;_src_&lt;pset&gt;</v>
      </c>
    </row>
    <row r="10" spans="1:18">
      <c r="A10" t="s">
        <v>32</v>
      </c>
    </row>
    <row r="11" spans="1:18">
      <c r="A11" t="s">
        <v>44</v>
      </c>
      <c r="B11" t="s">
        <v>294</v>
      </c>
      <c r="G11" t="str">
        <f>CSET_Map!$H$19</f>
        <v>ALLSOL,ALLWIN,ALLHYD,ALLGEO,ALLBIO,ALLNUC,ALLELC,ALLELCi,ALLH2,ALLCOAL,ALLCOALInd,ALLBIOFliq,ALLBIOFgas,ALLHEAT,ALLOILCrd,ALLOILPrd,ALLGAS</v>
      </c>
      <c r="J11" t="s">
        <v>278</v>
      </c>
      <c r="M11" t="s">
        <v>348</v>
      </c>
    </row>
    <row r="12" spans="1:18">
      <c r="A12" t="s">
        <v>27</v>
      </c>
      <c r="B12" t="s">
        <v>294</v>
      </c>
      <c r="G12" t="str">
        <f>CSET_Map!$H$19</f>
        <v>ALLSOL,ALLWIN,ALLHYD,ALLGEO,ALLBIO,ALLNUC,ALLELC,ALLELCi,ALLH2,ALLCOAL,ALLCOALInd,ALLBIOFliq,ALLBIOFgas,ALLHEAT,ALLOILCrd,ALLOILPrd,ALLGAS</v>
      </c>
      <c r="J12" t="s">
        <v>40</v>
      </c>
      <c r="M12" t="s">
        <v>349</v>
      </c>
    </row>
    <row r="13" spans="1:18">
      <c r="A13" t="s">
        <v>32</v>
      </c>
    </row>
    <row r="14" spans="1:18">
      <c r="A14" t="s">
        <v>44</v>
      </c>
      <c r="C14" t="s">
        <v>673</v>
      </c>
      <c r="H14" t="s">
        <v>674</v>
      </c>
      <c r="J14" t="s">
        <v>278</v>
      </c>
      <c r="M14" t="s">
        <v>705</v>
      </c>
    </row>
    <row r="15" spans="1:18">
      <c r="A15" t="s">
        <v>27</v>
      </c>
      <c r="C15" t="str">
        <f>C14</f>
        <v>LNG[_]*</v>
      </c>
      <c r="H15" t="s">
        <v>674</v>
      </c>
      <c r="J15" t="s">
        <v>40</v>
      </c>
      <c r="M15" t="s">
        <v>706</v>
      </c>
    </row>
    <row r="16" spans="1:18">
      <c r="A16" t="s">
        <v>32</v>
      </c>
    </row>
    <row r="17" spans="1:19">
      <c r="A17" t="s">
        <v>44</v>
      </c>
      <c r="G17">
        <f>CSET_Map!$H$18</f>
        <v>0</v>
      </c>
      <c r="H17" t="s">
        <v>241</v>
      </c>
      <c r="J17" t="s">
        <v>278</v>
      </c>
      <c r="M17" t="s">
        <v>521</v>
      </c>
    </row>
    <row r="18" spans="1:19">
      <c r="A18" t="s">
        <v>44</v>
      </c>
      <c r="G18" t="s">
        <v>254</v>
      </c>
      <c r="H18" t="s">
        <v>241</v>
      </c>
      <c r="J18" t="s">
        <v>278</v>
      </c>
      <c r="M18" t="s">
        <v>521</v>
      </c>
    </row>
    <row r="19" spans="1:19">
      <c r="A19" t="s">
        <v>32</v>
      </c>
    </row>
    <row r="20" spans="1:19">
      <c r="A20" t="s">
        <v>27</v>
      </c>
      <c r="H20" t="s">
        <v>809</v>
      </c>
      <c r="J20" t="s">
        <v>278</v>
      </c>
      <c r="M20" t="s">
        <v>810</v>
      </c>
    </row>
    <row r="21" spans="1:19">
      <c r="A21" t="s">
        <v>27</v>
      </c>
      <c r="H21" t="s">
        <v>809</v>
      </c>
      <c r="J21" t="s">
        <v>278</v>
      </c>
      <c r="M21" s="7" t="s">
        <v>813</v>
      </c>
    </row>
    <row r="25" spans="1:19">
      <c r="A25" t="s">
        <v>3190</v>
      </c>
    </row>
    <row r="26" spans="1:19">
      <c r="A26" t="s">
        <v>91</v>
      </c>
      <c r="B26" t="s">
        <v>92</v>
      </c>
      <c r="C26" t="s">
        <v>93</v>
      </c>
      <c r="D26" t="s">
        <v>97</v>
      </c>
      <c r="E26" t="s">
        <v>98</v>
      </c>
      <c r="F26" t="s">
        <v>99</v>
      </c>
      <c r="G26" t="s">
        <v>94</v>
      </c>
      <c r="H26" t="s">
        <v>95</v>
      </c>
      <c r="I26" t="s">
        <v>96</v>
      </c>
      <c r="J26" t="s">
        <v>0</v>
      </c>
      <c r="K26" t="s">
        <v>28</v>
      </c>
      <c r="L26" t="s">
        <v>116</v>
      </c>
      <c r="M26" t="s">
        <v>3</v>
      </c>
      <c r="N26" t="s">
        <v>2</v>
      </c>
      <c r="O26" t="s">
        <v>49</v>
      </c>
      <c r="P26" t="s">
        <v>258</v>
      </c>
      <c r="Q26" t="s">
        <v>345</v>
      </c>
      <c r="R26" t="s">
        <v>632</v>
      </c>
      <c r="S26" t="s">
        <v>3191</v>
      </c>
    </row>
    <row r="27" spans="1:19">
      <c r="A27" t="s">
        <v>44</v>
      </c>
      <c r="B27" t="s">
        <v>106</v>
      </c>
      <c r="C27" t="s">
        <v>3192</v>
      </c>
      <c r="H27" t="s">
        <v>674</v>
      </c>
      <c r="J27" t="s">
        <v>278</v>
      </c>
      <c r="M27" t="s">
        <v>3193</v>
      </c>
      <c r="O27" t="s">
        <v>3194</v>
      </c>
      <c r="P27" t="s">
        <v>198</v>
      </c>
      <c r="S27">
        <v>-1</v>
      </c>
    </row>
    <row r="28" spans="1:19">
      <c r="A28" t="s">
        <v>27</v>
      </c>
      <c r="B28" t="s">
        <v>106</v>
      </c>
      <c r="C28" t="s">
        <v>3192</v>
      </c>
      <c r="H28" t="s">
        <v>674</v>
      </c>
      <c r="J28" t="s">
        <v>40</v>
      </c>
      <c r="M28" t="s">
        <v>3757</v>
      </c>
      <c r="O28" t="s">
        <v>3195</v>
      </c>
      <c r="P28" t="s">
        <v>198</v>
      </c>
      <c r="S28">
        <v>-1</v>
      </c>
    </row>
    <row r="29" spans="1:19">
      <c r="A29" t="s">
        <v>44</v>
      </c>
      <c r="B29" t="s">
        <v>693</v>
      </c>
      <c r="F29" t="s">
        <v>694</v>
      </c>
      <c r="H29" t="s">
        <v>674</v>
      </c>
      <c r="J29" t="s">
        <v>278</v>
      </c>
      <c r="M29" t="s">
        <v>3193</v>
      </c>
      <c r="O29" t="s">
        <v>3196</v>
      </c>
      <c r="P29" t="s">
        <v>198</v>
      </c>
      <c r="S29">
        <v>-1</v>
      </c>
    </row>
    <row r="30" spans="1:19">
      <c r="A30" t="s">
        <v>27</v>
      </c>
      <c r="B30" t="s">
        <v>693</v>
      </c>
      <c r="E30" t="s">
        <v>694</v>
      </c>
      <c r="H30" t="s">
        <v>674</v>
      </c>
      <c r="J30" t="s">
        <v>40</v>
      </c>
      <c r="M30" t="s">
        <v>3757</v>
      </c>
      <c r="O30" t="s">
        <v>3198</v>
      </c>
      <c r="P30" t="s">
        <v>198</v>
      </c>
      <c r="S30">
        <v>-1</v>
      </c>
    </row>
    <row r="31" spans="1:19">
      <c r="A31" t="s">
        <v>32</v>
      </c>
    </row>
    <row r="32" spans="1:19">
      <c r="A32" t="s">
        <v>44</v>
      </c>
      <c r="B32" t="s">
        <v>693</v>
      </c>
      <c r="H32" t="s">
        <v>694</v>
      </c>
      <c r="J32" t="s">
        <v>278</v>
      </c>
      <c r="M32" t="s">
        <v>3203</v>
      </c>
      <c r="O32" t="s">
        <v>3196</v>
      </c>
      <c r="P32" t="s">
        <v>198</v>
      </c>
      <c r="S32">
        <v>-1</v>
      </c>
    </row>
    <row r="33" spans="1:19">
      <c r="A33" t="s">
        <v>27</v>
      </c>
      <c r="B33" t="s">
        <v>693</v>
      </c>
      <c r="H33" t="s">
        <v>694</v>
      </c>
      <c r="J33" t="s">
        <v>40</v>
      </c>
      <c r="M33" t="s">
        <v>3202</v>
      </c>
      <c r="O33" t="s">
        <v>3198</v>
      </c>
      <c r="P33" t="s">
        <v>198</v>
      </c>
      <c r="S33">
        <v>-1</v>
      </c>
    </row>
    <row r="37" spans="1:19">
      <c r="A37" t="s">
        <v>3199</v>
      </c>
    </row>
    <row r="38" spans="1:19">
      <c r="A38" t="s">
        <v>91</v>
      </c>
      <c r="B38" t="s">
        <v>92</v>
      </c>
      <c r="C38" t="s">
        <v>93</v>
      </c>
      <c r="D38" t="s">
        <v>97</v>
      </c>
      <c r="E38" t="s">
        <v>98</v>
      </c>
      <c r="F38" t="s">
        <v>99</v>
      </c>
      <c r="G38" t="s">
        <v>94</v>
      </c>
      <c r="H38" t="s">
        <v>95</v>
      </c>
      <c r="I38" t="s">
        <v>96</v>
      </c>
      <c r="J38" t="s">
        <v>0</v>
      </c>
      <c r="K38" t="s">
        <v>28</v>
      </c>
      <c r="L38" t="s">
        <v>116</v>
      </c>
      <c r="M38" t="s">
        <v>3</v>
      </c>
      <c r="N38" t="s">
        <v>2</v>
      </c>
      <c r="O38" t="s">
        <v>49</v>
      </c>
      <c r="P38" t="s">
        <v>258</v>
      </c>
      <c r="Q38" t="s">
        <v>345</v>
      </c>
      <c r="R38" t="s">
        <v>632</v>
      </c>
      <c r="S38" t="s">
        <v>3191</v>
      </c>
    </row>
    <row r="39" spans="1:19">
      <c r="A39" t="s">
        <v>44</v>
      </c>
      <c r="B39" t="s">
        <v>106</v>
      </c>
      <c r="C39" s="7" t="s">
        <v>3201</v>
      </c>
      <c r="H39" t="s">
        <v>3168</v>
      </c>
      <c r="J39" t="s">
        <v>278</v>
      </c>
      <c r="M39" t="s">
        <v>3200</v>
      </c>
      <c r="S39">
        <v>-1</v>
      </c>
    </row>
    <row r="40" spans="1:19">
      <c r="A40" t="s">
        <v>27</v>
      </c>
      <c r="B40" t="s">
        <v>106</v>
      </c>
      <c r="C40" s="7" t="s">
        <v>3201</v>
      </c>
      <c r="H40" t="s">
        <v>3168</v>
      </c>
      <c r="J40" t="s">
        <v>40</v>
      </c>
      <c r="M40" t="s">
        <v>3758</v>
      </c>
      <c r="S40">
        <v>-1</v>
      </c>
    </row>
    <row r="44" spans="1:19">
      <c r="A44" t="s">
        <v>3204</v>
      </c>
    </row>
    <row r="45" spans="1:19">
      <c r="A45" t="s">
        <v>91</v>
      </c>
      <c r="B45" t="s">
        <v>92</v>
      </c>
      <c r="C45" t="s">
        <v>93</v>
      </c>
      <c r="D45" t="s">
        <v>97</v>
      </c>
      <c r="E45" t="s">
        <v>98</v>
      </c>
      <c r="F45" t="s">
        <v>99</v>
      </c>
      <c r="G45" t="s">
        <v>94</v>
      </c>
      <c r="H45" t="s">
        <v>95</v>
      </c>
      <c r="I45" t="s">
        <v>96</v>
      </c>
      <c r="J45" t="s">
        <v>0</v>
      </c>
      <c r="K45" t="s">
        <v>28</v>
      </c>
      <c r="L45" t="s">
        <v>116</v>
      </c>
      <c r="M45" t="s">
        <v>3</v>
      </c>
      <c r="N45" t="s">
        <v>2</v>
      </c>
      <c r="O45" t="s">
        <v>49</v>
      </c>
      <c r="P45" t="s">
        <v>258</v>
      </c>
      <c r="Q45" t="s">
        <v>345</v>
      </c>
      <c r="R45" t="s">
        <v>632</v>
      </c>
    </row>
    <row r="46" spans="1:19">
      <c r="A46" t="s">
        <v>32</v>
      </c>
      <c r="B46" t="s">
        <v>693</v>
      </c>
      <c r="F46" t="s">
        <v>3205</v>
      </c>
      <c r="G46" t="s">
        <v>55</v>
      </c>
      <c r="J46" t="s">
        <v>40</v>
      </c>
      <c r="M46" t="s">
        <v>3206</v>
      </c>
      <c r="O46" t="s">
        <v>3207</v>
      </c>
    </row>
    <row r="47" spans="1:19">
      <c r="A47" t="s">
        <v>32</v>
      </c>
      <c r="B47" t="s">
        <v>693</v>
      </c>
      <c r="F47" t="s">
        <v>3205</v>
      </c>
      <c r="G47" t="s">
        <v>55</v>
      </c>
      <c r="J47" t="s">
        <v>40</v>
      </c>
      <c r="M47" t="s">
        <v>3208</v>
      </c>
      <c r="O47" t="s">
        <v>3209</v>
      </c>
    </row>
    <row r="48" spans="1:19">
      <c r="A48" t="s">
        <v>32</v>
      </c>
    </row>
    <row r="49" spans="1:18">
      <c r="A49" t="s">
        <v>44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3205</v>
      </c>
      <c r="G49" t="s">
        <v>55</v>
      </c>
      <c r="J49" t="s">
        <v>40</v>
      </c>
      <c r="M49" t="s">
        <v>3210</v>
      </c>
      <c r="O49" t="s">
        <v>3211</v>
      </c>
    </row>
    <row r="50" spans="1:18">
      <c r="A50" t="s">
        <v>27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3205</v>
      </c>
      <c r="G50" t="s">
        <v>226</v>
      </c>
      <c r="J50" t="s">
        <v>40</v>
      </c>
      <c r="M50" t="s">
        <v>3212</v>
      </c>
      <c r="O50" t="s">
        <v>3213</v>
      </c>
    </row>
    <row r="53" spans="1:18">
      <c r="A53" t="s">
        <v>3214</v>
      </c>
    </row>
    <row r="54" spans="1:18">
      <c r="A54" t="s">
        <v>91</v>
      </c>
      <c r="B54" t="s">
        <v>92</v>
      </c>
      <c r="C54" t="s">
        <v>93</v>
      </c>
      <c r="D54" t="s">
        <v>97</v>
      </c>
      <c r="E54" t="s">
        <v>98</v>
      </c>
      <c r="F54" t="s">
        <v>99</v>
      </c>
      <c r="G54" t="s">
        <v>94</v>
      </c>
      <c r="H54" t="s">
        <v>95</v>
      </c>
      <c r="I54" t="s">
        <v>96</v>
      </c>
      <c r="J54" t="s">
        <v>0</v>
      </c>
      <c r="K54" t="s">
        <v>28</v>
      </c>
      <c r="L54" t="s">
        <v>116</v>
      </c>
      <c r="M54" t="s">
        <v>3</v>
      </c>
      <c r="N54" t="s">
        <v>2</v>
      </c>
      <c r="O54" t="s">
        <v>49</v>
      </c>
      <c r="P54" t="s">
        <v>258</v>
      </c>
      <c r="Q54" t="s">
        <v>345</v>
      </c>
      <c r="R54" t="s">
        <v>632</v>
      </c>
    </row>
    <row r="55" spans="1:18">
      <c r="A55" t="s">
        <v>44</v>
      </c>
      <c r="B55" t="s">
        <v>3215</v>
      </c>
      <c r="C55" t="s">
        <v>3216</v>
      </c>
      <c r="F55" t="s">
        <v>3217</v>
      </c>
      <c r="G55" t="s">
        <v>55</v>
      </c>
      <c r="J55" t="s">
        <v>40</v>
      </c>
      <c r="M55" t="s">
        <v>3206</v>
      </c>
      <c r="O55" t="s">
        <v>3207</v>
      </c>
    </row>
    <row r="56" spans="1:18">
      <c r="A56" t="s">
        <v>27</v>
      </c>
      <c r="B56" t="s">
        <v>3215</v>
      </c>
      <c r="C56" t="s">
        <v>3216</v>
      </c>
      <c r="F56" t="s">
        <v>3217</v>
      </c>
      <c r="G56" t="s">
        <v>55</v>
      </c>
      <c r="H56" t="s">
        <v>3218</v>
      </c>
      <c r="J56" t="s">
        <v>40</v>
      </c>
      <c r="M56" t="s">
        <v>3208</v>
      </c>
      <c r="O56" t="s">
        <v>3209</v>
      </c>
    </row>
    <row r="57" spans="1:18">
      <c r="A57" t="s">
        <v>27</v>
      </c>
      <c r="B57" t="s">
        <v>513</v>
      </c>
      <c r="E57" t="s">
        <v>3219</v>
      </c>
      <c r="F57" t="s">
        <v>3168</v>
      </c>
      <c r="G57" t="s">
        <v>55</v>
      </c>
      <c r="H57" t="s">
        <v>3168</v>
      </c>
      <c r="J57" t="s">
        <v>40</v>
      </c>
      <c r="M57" t="s">
        <v>3220</v>
      </c>
      <c r="O57" t="s">
        <v>3221</v>
      </c>
    </row>
    <row r="58" spans="1:18">
      <c r="A58" t="s">
        <v>32</v>
      </c>
    </row>
    <row r="59" spans="1:18">
      <c r="A59" t="s">
        <v>44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3217</v>
      </c>
      <c r="F59" t="s">
        <v>3222</v>
      </c>
      <c r="G59" t="s">
        <v>55</v>
      </c>
      <c r="J59" t="s">
        <v>40</v>
      </c>
      <c r="M59" t="s">
        <v>3210</v>
      </c>
      <c r="O59" t="s">
        <v>3223</v>
      </c>
    </row>
    <row r="60" spans="1:18">
      <c r="A60" t="s">
        <v>27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3224</v>
      </c>
      <c r="F60" t="s">
        <v>3222</v>
      </c>
      <c r="G60" t="s">
        <v>226</v>
      </c>
      <c r="J60" t="s">
        <v>3225</v>
      </c>
      <c r="M60" t="s">
        <v>3212</v>
      </c>
      <c r="O60" t="s">
        <v>3213</v>
      </c>
    </row>
    <row r="61" spans="1:18">
      <c r="A61" t="s">
        <v>32</v>
      </c>
    </row>
    <row r="62" spans="1:18">
      <c r="A62" t="s">
        <v>44</v>
      </c>
      <c r="B62" t="s">
        <v>119</v>
      </c>
      <c r="E62" t="s">
        <v>3217</v>
      </c>
      <c r="F62" t="s">
        <v>3226</v>
      </c>
      <c r="G62" t="s">
        <v>55</v>
      </c>
      <c r="J62" t="s">
        <v>40</v>
      </c>
      <c r="M62" t="s">
        <v>3227</v>
      </c>
      <c r="O62" t="s">
        <v>3228</v>
      </c>
    </row>
    <row r="63" spans="1:18">
      <c r="A63" t="s">
        <v>44</v>
      </c>
      <c r="B63" t="s">
        <v>119</v>
      </c>
      <c r="E63" t="s">
        <v>3217</v>
      </c>
      <c r="F63" t="s">
        <v>3229</v>
      </c>
      <c r="G63" t="s">
        <v>55</v>
      </c>
      <c r="J63" t="s">
        <v>40</v>
      </c>
      <c r="M63" t="s">
        <v>3230</v>
      </c>
      <c r="O63" t="s">
        <v>3228</v>
      </c>
    </row>
    <row r="64" spans="1:18">
      <c r="A64" t="s">
        <v>44</v>
      </c>
      <c r="B64" t="s">
        <v>119</v>
      </c>
      <c r="E64" t="s">
        <v>3217</v>
      </c>
      <c r="F64" t="s">
        <v>3231</v>
      </c>
      <c r="G64" t="s">
        <v>55</v>
      </c>
      <c r="J64" t="s">
        <v>40</v>
      </c>
      <c r="M64" t="s">
        <v>3232</v>
      </c>
      <c r="O64" t="s">
        <v>3228</v>
      </c>
    </row>
    <row r="67" spans="1:25">
      <c r="A67" t="s">
        <v>3729</v>
      </c>
    </row>
    <row r="68" spans="1:25">
      <c r="A68" t="s">
        <v>91</v>
      </c>
      <c r="B68" t="s">
        <v>92</v>
      </c>
      <c r="C68" t="s">
        <v>93</v>
      </c>
      <c r="D68" t="s">
        <v>97</v>
      </c>
      <c r="E68" t="s">
        <v>98</v>
      </c>
      <c r="F68" t="s">
        <v>99</v>
      </c>
      <c r="G68" t="s">
        <v>94</v>
      </c>
      <c r="H68" t="s">
        <v>95</v>
      </c>
      <c r="I68" t="s">
        <v>96</v>
      </c>
      <c r="J68" t="s">
        <v>0</v>
      </c>
      <c r="K68" t="s">
        <v>28</v>
      </c>
      <c r="L68" t="s">
        <v>116</v>
      </c>
      <c r="M68" t="s">
        <v>3</v>
      </c>
      <c r="N68" t="s">
        <v>2</v>
      </c>
      <c r="O68" t="s">
        <v>49</v>
      </c>
      <c r="P68" t="s">
        <v>258</v>
      </c>
      <c r="Q68" t="s">
        <v>345</v>
      </c>
      <c r="R68" t="s">
        <v>632</v>
      </c>
    </row>
    <row r="69" spans="1:25">
      <c r="A69" t="s">
        <v>44</v>
      </c>
      <c r="B6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9" t="s">
        <v>3730</v>
      </c>
      <c r="G69" t="s">
        <v>55</v>
      </c>
      <c r="J69" t="s">
        <v>40</v>
      </c>
      <c r="M69" t="s">
        <v>3210</v>
      </c>
      <c r="O69" t="s">
        <v>3211</v>
      </c>
    </row>
    <row r="70" spans="1:25">
      <c r="A70" t="s">
        <v>27</v>
      </c>
      <c r="B7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0" t="str">
        <f>CSET_Map!$H$29</f>
        <v>IndSer_STM,IndSer_PRH,IndSer_PRC,IndSer_MDR,IndSer_ECP,IndSer_OTP,IndSer_SPC,IndSer_LIG,IndSer_OTH</v>
      </c>
      <c r="J70" t="s">
        <v>40</v>
      </c>
      <c r="M70" t="s">
        <v>339</v>
      </c>
      <c r="O70" t="s">
        <v>3731</v>
      </c>
    </row>
    <row r="71" spans="1:25">
      <c r="A71" t="s">
        <v>44</v>
      </c>
      <c r="B71" t="s">
        <v>119</v>
      </c>
      <c r="G71" t="str">
        <f>G70</f>
        <v>IndSer_STM,IndSer_PRH,IndSer_PRC,IndSer_MDR,IndSer_ECP,IndSer_OTP,IndSer_SPC,IndSer_LIG,IndSer_OTH</v>
      </c>
      <c r="J71" t="s">
        <v>40</v>
      </c>
      <c r="M71" t="s">
        <v>3732</v>
      </c>
      <c r="O71" t="s">
        <v>3733</v>
      </c>
    </row>
    <row r="74" spans="1:25">
      <c r="A74" t="s">
        <v>3785</v>
      </c>
    </row>
    <row r="75" spans="1:25">
      <c r="A75" t="s">
        <v>91</v>
      </c>
      <c r="B75" t="s">
        <v>92</v>
      </c>
      <c r="C75" t="s">
        <v>93</v>
      </c>
      <c r="D75" t="s">
        <v>97</v>
      </c>
      <c r="E75" t="s">
        <v>98</v>
      </c>
      <c r="F75" t="s">
        <v>99</v>
      </c>
      <c r="G75" t="s">
        <v>94</v>
      </c>
      <c r="H75" t="s">
        <v>95</v>
      </c>
      <c r="I75" t="s">
        <v>96</v>
      </c>
      <c r="J75" t="s">
        <v>0</v>
      </c>
      <c r="K75" t="s">
        <v>28</v>
      </c>
      <c r="L75" t="s">
        <v>116</v>
      </c>
      <c r="M75" t="s">
        <v>3</v>
      </c>
      <c r="N75" t="s">
        <v>2</v>
      </c>
      <c r="O75" t="s">
        <v>49</v>
      </c>
      <c r="P75" t="s">
        <v>258</v>
      </c>
      <c r="Q75" t="s">
        <v>345</v>
      </c>
      <c r="R75" t="s">
        <v>632</v>
      </c>
      <c r="S75" t="s">
        <v>3191</v>
      </c>
      <c r="W75" t="s">
        <v>122</v>
      </c>
    </row>
    <row r="76" spans="1:25">
      <c r="A76" t="s">
        <v>27</v>
      </c>
      <c r="B76" s="7" t="s">
        <v>523</v>
      </c>
      <c r="C76" s="7" t="s">
        <v>3786</v>
      </c>
      <c r="G76" t="s">
        <v>55</v>
      </c>
      <c r="H76" t="s">
        <v>3787</v>
      </c>
      <c r="J76" t="s">
        <v>640</v>
      </c>
      <c r="M76" t="s">
        <v>3788</v>
      </c>
      <c r="Q76" t="s">
        <v>3189</v>
      </c>
      <c r="R76" t="s">
        <v>633</v>
      </c>
      <c r="S76">
        <v>-1</v>
      </c>
      <c r="W76" t="s">
        <v>123</v>
      </c>
      <c r="X76" t="s">
        <v>2</v>
      </c>
      <c r="Y76" t="s">
        <v>49</v>
      </c>
    </row>
    <row r="77" spans="1:25">
      <c r="A77" t="s">
        <v>44</v>
      </c>
      <c r="B77" s="7" t="s">
        <v>3789</v>
      </c>
      <c r="C77" s="7" t="s">
        <v>3786</v>
      </c>
      <c r="G77" t="s">
        <v>55</v>
      </c>
      <c r="H77" t="s">
        <v>3787</v>
      </c>
      <c r="J77" t="s">
        <v>640</v>
      </c>
      <c r="M77" t="s">
        <v>3790</v>
      </c>
      <c r="Q77" t="s">
        <v>3189</v>
      </c>
      <c r="R77" t="s">
        <v>633</v>
      </c>
      <c r="S77">
        <v>-1</v>
      </c>
      <c r="W77" t="s">
        <v>3802</v>
      </c>
      <c r="X77" t="s">
        <v>3803</v>
      </c>
    </row>
    <row r="78" spans="1:25">
      <c r="A78" t="s">
        <v>44</v>
      </c>
      <c r="B78" s="7" t="str">
        <f>_xlfn.TEXTJOIN(",",TRUE,$W$77:$W$79)</f>
        <v>FinCon_OIL,FinCon_GAS,FinCon_Power-Energy</v>
      </c>
      <c r="C78" s="7"/>
      <c r="G78" t="s">
        <v>55</v>
      </c>
      <c r="H78" t="s">
        <v>3787</v>
      </c>
      <c r="J78" t="s">
        <v>640</v>
      </c>
      <c r="M78" t="s">
        <v>3791</v>
      </c>
      <c r="Q78" t="s">
        <v>3189</v>
      </c>
      <c r="S78">
        <v>-1</v>
      </c>
      <c r="W78" t="s">
        <v>3804</v>
      </c>
      <c r="X78" t="s">
        <v>3805</v>
      </c>
    </row>
    <row r="79" spans="1:25">
      <c r="A79" t="s">
        <v>32</v>
      </c>
      <c r="B79" s="7"/>
      <c r="C79" s="7"/>
      <c r="W79" t="s">
        <v>3806</v>
      </c>
      <c r="X79" t="s">
        <v>3807</v>
      </c>
    </row>
    <row r="80" spans="1:25">
      <c r="A80" t="s">
        <v>27</v>
      </c>
      <c r="B80" s="7" t="s">
        <v>106</v>
      </c>
      <c r="C80" s="7" t="s">
        <v>3786</v>
      </c>
      <c r="G80" t="s">
        <v>55</v>
      </c>
      <c r="H80" t="s">
        <v>3787</v>
      </c>
      <c r="J80" t="s">
        <v>640</v>
      </c>
      <c r="M80" t="s">
        <v>3792</v>
      </c>
      <c r="Q80" t="s">
        <v>3189</v>
      </c>
      <c r="S80">
        <v>-1</v>
      </c>
    </row>
    <row r="81" spans="1:21">
      <c r="A81" t="s">
        <v>44</v>
      </c>
      <c r="B81" s="7" t="s">
        <v>106</v>
      </c>
      <c r="C81" s="7" t="s">
        <v>3786</v>
      </c>
      <c r="G81" t="s">
        <v>55</v>
      </c>
      <c r="H81" t="s">
        <v>3787</v>
      </c>
      <c r="J81" t="s">
        <v>640</v>
      </c>
      <c r="M81" t="s">
        <v>3793</v>
      </c>
      <c r="Q81" t="s">
        <v>3189</v>
      </c>
      <c r="S81">
        <v>-1</v>
      </c>
    </row>
    <row r="82" spans="1:21">
      <c r="A82" t="s">
        <v>32</v>
      </c>
    </row>
    <row r="83" spans="1:21">
      <c r="A83" t="s">
        <v>27</v>
      </c>
      <c r="B83" s="7" t="s">
        <v>106</v>
      </c>
      <c r="C83" s="7" t="s">
        <v>3794</v>
      </c>
      <c r="G83" t="s">
        <v>55</v>
      </c>
      <c r="H83" t="s">
        <v>3787</v>
      </c>
      <c r="J83" t="s">
        <v>640</v>
      </c>
      <c r="M83" t="s">
        <v>3795</v>
      </c>
      <c r="Q83" t="s">
        <v>3189</v>
      </c>
      <c r="S83">
        <v>-1</v>
      </c>
    </row>
    <row r="84" spans="1:21">
      <c r="A84" t="s">
        <v>32</v>
      </c>
    </row>
    <row r="85" spans="1:21">
      <c r="A85" t="s">
        <v>27</v>
      </c>
      <c r="B85" s="7"/>
      <c r="C85" s="7" t="s">
        <v>3796</v>
      </c>
      <c r="G85" t="s">
        <v>55</v>
      </c>
      <c r="H85" t="s">
        <v>3787</v>
      </c>
      <c r="J85" t="s">
        <v>640</v>
      </c>
      <c r="M85" t="s">
        <v>3797</v>
      </c>
      <c r="Q85" t="s">
        <v>3189</v>
      </c>
      <c r="S85">
        <v>-1</v>
      </c>
    </row>
    <row r="86" spans="1:21">
      <c r="A86" t="s">
        <v>44</v>
      </c>
      <c r="B86" s="7"/>
      <c r="C86" s="7" t="s">
        <v>3796</v>
      </c>
      <c r="G86" t="s">
        <v>55</v>
      </c>
      <c r="H86" t="s">
        <v>3787</v>
      </c>
      <c r="J86" t="s">
        <v>640</v>
      </c>
      <c r="M86" t="s">
        <v>3798</v>
      </c>
      <c r="Q86" t="s">
        <v>3189</v>
      </c>
      <c r="S86">
        <v>-1</v>
      </c>
    </row>
    <row r="87" spans="1:21">
      <c r="A87" t="s">
        <v>27</v>
      </c>
      <c r="B87" s="7"/>
      <c r="C87" s="7" t="s">
        <v>3799</v>
      </c>
      <c r="G87" t="s">
        <v>55</v>
      </c>
      <c r="H87" t="s">
        <v>3787</v>
      </c>
      <c r="J87" t="s">
        <v>640</v>
      </c>
      <c r="M87" t="s">
        <v>3800</v>
      </c>
      <c r="Q87" t="s">
        <v>3189</v>
      </c>
      <c r="S87">
        <v>-1</v>
      </c>
    </row>
    <row r="88" spans="1:21">
      <c r="A88" t="s">
        <v>44</v>
      </c>
      <c r="B88" s="7"/>
      <c r="C88" s="7" t="s">
        <v>3799</v>
      </c>
      <c r="G88" t="s">
        <v>55</v>
      </c>
      <c r="H88" t="s">
        <v>3787</v>
      </c>
      <c r="J88" t="s">
        <v>640</v>
      </c>
      <c r="M88" t="s">
        <v>3801</v>
      </c>
      <c r="Q88" t="s">
        <v>3189</v>
      </c>
      <c r="S88">
        <v>-1</v>
      </c>
    </row>
    <row r="91" spans="1:21">
      <c r="A91" t="s">
        <v>3817</v>
      </c>
    </row>
    <row r="92" spans="1:21">
      <c r="A92" t="s">
        <v>91</v>
      </c>
      <c r="B92" t="s">
        <v>109</v>
      </c>
      <c r="C92" t="s">
        <v>233</v>
      </c>
      <c r="D92" t="s">
        <v>92</v>
      </c>
      <c r="E92" t="s">
        <v>93</v>
      </c>
      <c r="F92" t="s">
        <v>97</v>
      </c>
      <c r="G92" t="s">
        <v>98</v>
      </c>
      <c r="H92" t="s">
        <v>99</v>
      </c>
      <c r="I92" t="s">
        <v>94</v>
      </c>
      <c r="J92" t="s">
        <v>95</v>
      </c>
      <c r="K92" t="s">
        <v>96</v>
      </c>
      <c r="L92" t="s">
        <v>0</v>
      </c>
      <c r="M92" t="s">
        <v>28</v>
      </c>
      <c r="N92" t="s">
        <v>116</v>
      </c>
      <c r="O92" t="s">
        <v>3</v>
      </c>
      <c r="P92" t="s">
        <v>2</v>
      </c>
      <c r="Q92" t="s">
        <v>49</v>
      </c>
      <c r="R92" t="s">
        <v>258</v>
      </c>
      <c r="S92" t="s">
        <v>345</v>
      </c>
      <c r="T92" t="s">
        <v>632</v>
      </c>
      <c r="U92" t="s">
        <v>3191</v>
      </c>
    </row>
    <row r="93" spans="1:21">
      <c r="A93" t="s">
        <v>44</v>
      </c>
      <c r="E93" t="s">
        <v>32</v>
      </c>
      <c r="I93" t="s">
        <v>577</v>
      </c>
      <c r="J93" s="7" t="s">
        <v>3818</v>
      </c>
      <c r="L93" t="s">
        <v>597</v>
      </c>
      <c r="O93" t="s">
        <v>3790</v>
      </c>
      <c r="R93" t="s">
        <v>3189</v>
      </c>
      <c r="U93">
        <v>-1</v>
      </c>
    </row>
    <row r="94" spans="1:21">
      <c r="A94" t="s">
        <v>27</v>
      </c>
      <c r="E94" t="s">
        <v>32</v>
      </c>
      <c r="I94" t="s">
        <v>577</v>
      </c>
      <c r="J94" s="7" t="s">
        <v>3818</v>
      </c>
      <c r="L94" t="s">
        <v>597</v>
      </c>
      <c r="O94" t="s">
        <v>3788</v>
      </c>
      <c r="R94" t="s">
        <v>3189</v>
      </c>
      <c r="U94">
        <v>-1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9138-9609-44B6-B6C6-0304A274A4E5}">
  <dimension ref="A1:R43"/>
  <sheetViews>
    <sheetView workbookViewId="0"/>
  </sheetViews>
  <sheetFormatPr defaultRowHeight="15"/>
  <cols>
    <col min="1" max="1" width="21.85546875" bestFit="1" customWidth="1"/>
    <col min="12" max="12" width="14.85546875" bestFit="1" customWidth="1"/>
    <col min="14" max="14" width="20.140625" bestFit="1" customWidth="1"/>
    <col min="15" max="15" width="21.85546875" bestFit="1" customWidth="1"/>
  </cols>
  <sheetData>
    <row r="1" spans="1:18" ht="18" thickBot="1">
      <c r="A1" s="17" t="s">
        <v>3686</v>
      </c>
    </row>
    <row r="2" spans="1:18" ht="16.5" thickTop="1" thickBot="1">
      <c r="A2" s="16" t="s">
        <v>91</v>
      </c>
      <c r="B2" s="16" t="s">
        <v>92</v>
      </c>
      <c r="C2" s="16" t="s">
        <v>94</v>
      </c>
      <c r="D2" s="16" t="s">
        <v>0</v>
      </c>
      <c r="E2" s="16" t="s">
        <v>3</v>
      </c>
      <c r="F2" s="16" t="s">
        <v>2</v>
      </c>
      <c r="G2" s="16" t="s">
        <v>49</v>
      </c>
      <c r="H2" s="16" t="s">
        <v>258</v>
      </c>
      <c r="I2" s="16" t="s">
        <v>345</v>
      </c>
      <c r="J2" s="16" t="s">
        <v>632</v>
      </c>
    </row>
    <row r="3" spans="1:18">
      <c r="A3" t="s">
        <v>44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3635</v>
      </c>
      <c r="E3" t="s">
        <v>338</v>
      </c>
      <c r="I3" t="s">
        <v>162</v>
      </c>
    </row>
    <row r="4" spans="1:18">
      <c r="A4" t="s">
        <v>27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3634</v>
      </c>
      <c r="D4" t="s">
        <v>3636</v>
      </c>
      <c r="E4" t="s">
        <v>339</v>
      </c>
      <c r="I4" t="s">
        <v>162</v>
      </c>
    </row>
    <row r="5" spans="1:18">
      <c r="A5" t="s">
        <v>44</v>
      </c>
      <c r="B5" t="s">
        <v>3685</v>
      </c>
      <c r="C5" t="s">
        <v>3634</v>
      </c>
      <c r="D5" t="s">
        <v>3635</v>
      </c>
      <c r="E5" t="s">
        <v>348</v>
      </c>
      <c r="I5" t="s">
        <v>162</v>
      </c>
    </row>
    <row r="6" spans="1:18">
      <c r="A6" t="s">
        <v>27</v>
      </c>
      <c r="B6" t="s">
        <v>3685</v>
      </c>
      <c r="C6" t="s">
        <v>3634</v>
      </c>
      <c r="D6" t="s">
        <v>3636</v>
      </c>
      <c r="E6" t="s">
        <v>349</v>
      </c>
      <c r="I6" t="s">
        <v>162</v>
      </c>
    </row>
    <row r="10" spans="1:18" ht="18" thickBot="1">
      <c r="A10" s="17" t="s">
        <v>122</v>
      </c>
    </row>
    <row r="11" spans="1:18" ht="16.5" thickTop="1" thickBot="1">
      <c r="A11" s="16" t="s">
        <v>123</v>
      </c>
      <c r="B11" s="16" t="s">
        <v>2</v>
      </c>
      <c r="C11" s="16" t="s">
        <v>49</v>
      </c>
    </row>
    <row r="12" spans="1:18">
      <c r="A12" t="s">
        <v>3637</v>
      </c>
      <c r="B12" t="s">
        <v>3637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18">
      <c r="A13" t="s">
        <v>3638</v>
      </c>
      <c r="B13" t="s">
        <v>3638</v>
      </c>
    </row>
    <row r="14" spans="1:18">
      <c r="A14" t="s">
        <v>3639</v>
      </c>
      <c r="B14" t="s">
        <v>3639</v>
      </c>
    </row>
    <row r="15" spans="1:18" ht="18" thickBot="1">
      <c r="A15" t="s">
        <v>3640</v>
      </c>
      <c r="B15" t="s">
        <v>3640</v>
      </c>
      <c r="L15" s="17" t="s">
        <v>155</v>
      </c>
    </row>
    <row r="16" spans="1:18" ht="16.5" thickTop="1" thickBot="1">
      <c r="A16" t="s">
        <v>3641</v>
      </c>
      <c r="B16" t="s">
        <v>3641</v>
      </c>
      <c r="L16" s="16" t="s">
        <v>150</v>
      </c>
      <c r="M16" s="16" t="s">
        <v>151</v>
      </c>
      <c r="N16" s="16" t="s">
        <v>152</v>
      </c>
      <c r="O16" s="16" t="s">
        <v>397</v>
      </c>
      <c r="P16" s="16" t="s">
        <v>499</v>
      </c>
      <c r="Q16" s="16" t="s">
        <v>500</v>
      </c>
      <c r="R16" s="16" t="s">
        <v>3687</v>
      </c>
    </row>
    <row r="17" spans="1:17">
      <c r="A17" t="s">
        <v>3642</v>
      </c>
      <c r="B17" t="s">
        <v>3642</v>
      </c>
      <c r="L17" t="s">
        <v>3134</v>
      </c>
      <c r="N17" t="s">
        <v>3637</v>
      </c>
      <c r="O17" t="s">
        <v>3637</v>
      </c>
      <c r="Q17" t="s">
        <v>3697</v>
      </c>
    </row>
    <row r="18" spans="1:17">
      <c r="A18" t="s">
        <v>3643</v>
      </c>
      <c r="B18" t="s">
        <v>3644</v>
      </c>
      <c r="L18" t="s">
        <v>3134</v>
      </c>
      <c r="N18" t="s">
        <v>3638</v>
      </c>
      <c r="O18" t="s">
        <v>3638</v>
      </c>
      <c r="Q18" t="s">
        <v>3697</v>
      </c>
    </row>
    <row r="19" spans="1:17">
      <c r="A19" t="s">
        <v>3645</v>
      </c>
      <c r="B19" t="s">
        <v>3646</v>
      </c>
      <c r="L19" t="s">
        <v>3134</v>
      </c>
      <c r="N19" t="s">
        <v>3639</v>
      </c>
      <c r="O19" t="s">
        <v>3639</v>
      </c>
      <c r="Q19" t="s">
        <v>3697</v>
      </c>
    </row>
    <row r="20" spans="1:17">
      <c r="A20" t="s">
        <v>3647</v>
      </c>
      <c r="B20" t="s">
        <v>3648</v>
      </c>
      <c r="L20" t="s">
        <v>3134</v>
      </c>
      <c r="N20" t="s">
        <v>3640</v>
      </c>
      <c r="O20" t="s">
        <v>3640</v>
      </c>
      <c r="Q20" t="s">
        <v>3697</v>
      </c>
    </row>
    <row r="21" spans="1:17">
      <c r="A21" t="s">
        <v>3649</v>
      </c>
      <c r="B21" t="s">
        <v>3650</v>
      </c>
      <c r="L21" t="s">
        <v>3134</v>
      </c>
      <c r="N21" t="s">
        <v>3641</v>
      </c>
      <c r="O21" t="s">
        <v>3641</v>
      </c>
      <c r="Q21" t="s">
        <v>3697</v>
      </c>
    </row>
    <row r="22" spans="1:17">
      <c r="A22" t="s">
        <v>3651</v>
      </c>
      <c r="B22" t="s">
        <v>3652</v>
      </c>
      <c r="L22" t="s">
        <v>3134</v>
      </c>
      <c r="N22" t="s">
        <v>3644</v>
      </c>
      <c r="O22" t="s">
        <v>3643</v>
      </c>
      <c r="Q22" t="s">
        <v>3697</v>
      </c>
    </row>
    <row r="23" spans="1:17">
      <c r="A23" t="s">
        <v>3653</v>
      </c>
      <c r="B23" t="s">
        <v>3654</v>
      </c>
      <c r="L23" t="s">
        <v>3134</v>
      </c>
      <c r="N23" t="s">
        <v>3646</v>
      </c>
      <c r="O23" t="s">
        <v>3645</v>
      </c>
      <c r="Q23" t="s">
        <v>3697</v>
      </c>
    </row>
    <row r="24" spans="1:17">
      <c r="A24" t="s">
        <v>3655</v>
      </c>
      <c r="B24" t="s">
        <v>3656</v>
      </c>
      <c r="L24" t="s">
        <v>3134</v>
      </c>
      <c r="N24" t="s">
        <v>3650</v>
      </c>
      <c r="O24" t="s">
        <v>3649</v>
      </c>
      <c r="Q24" t="s">
        <v>3697</v>
      </c>
    </row>
    <row r="25" spans="1:17">
      <c r="A25" t="s">
        <v>3657</v>
      </c>
      <c r="B25" t="s">
        <v>3658</v>
      </c>
      <c r="L25" t="s">
        <v>3134</v>
      </c>
      <c r="N25" t="s">
        <v>3652</v>
      </c>
      <c r="O25" t="s">
        <v>3651</v>
      </c>
      <c r="Q25" t="s">
        <v>3697</v>
      </c>
    </row>
    <row r="26" spans="1:17">
      <c r="A26" t="s">
        <v>3659</v>
      </c>
      <c r="B26" t="s">
        <v>3638</v>
      </c>
      <c r="L26" t="s">
        <v>3134</v>
      </c>
      <c r="N26" t="s">
        <v>3654</v>
      </c>
      <c r="O26" t="s">
        <v>3653</v>
      </c>
      <c r="Q26" t="s">
        <v>3697</v>
      </c>
    </row>
    <row r="27" spans="1:17">
      <c r="A27" t="s">
        <v>3660</v>
      </c>
      <c r="B27" t="s">
        <v>3661</v>
      </c>
      <c r="L27" t="s">
        <v>3134</v>
      </c>
      <c r="N27" t="s">
        <v>3656</v>
      </c>
      <c r="O27" t="s">
        <v>3655</v>
      </c>
      <c r="Q27" t="s">
        <v>3697</v>
      </c>
    </row>
    <row r="28" spans="1:17">
      <c r="A28" t="s">
        <v>3662</v>
      </c>
      <c r="B28" t="s">
        <v>3663</v>
      </c>
      <c r="L28" t="s">
        <v>3134</v>
      </c>
      <c r="N28" t="s">
        <v>3658</v>
      </c>
      <c r="O28" t="s">
        <v>3657</v>
      </c>
      <c r="Q28" t="s">
        <v>3697</v>
      </c>
    </row>
    <row r="29" spans="1:17">
      <c r="A29" t="s">
        <v>3664</v>
      </c>
      <c r="B29" t="s">
        <v>3665</v>
      </c>
      <c r="L29" t="s">
        <v>3134</v>
      </c>
      <c r="N29" t="s">
        <v>3638</v>
      </c>
      <c r="O29" t="s">
        <v>3659</v>
      </c>
      <c r="Q29" t="s">
        <v>3697</v>
      </c>
    </row>
    <row r="30" spans="1:17">
      <c r="A30" t="s">
        <v>3666</v>
      </c>
      <c r="B30" t="s">
        <v>3640</v>
      </c>
      <c r="L30" t="s">
        <v>3134</v>
      </c>
      <c r="N30" t="s">
        <v>3661</v>
      </c>
      <c r="O30" t="s">
        <v>3660</v>
      </c>
      <c r="Q30" t="s">
        <v>3697</v>
      </c>
    </row>
    <row r="31" spans="1:17">
      <c r="A31" t="s">
        <v>3667</v>
      </c>
      <c r="B31" t="s">
        <v>3668</v>
      </c>
      <c r="L31" t="s">
        <v>3134</v>
      </c>
      <c r="N31" t="s">
        <v>3663</v>
      </c>
      <c r="O31" t="s">
        <v>3662</v>
      </c>
      <c r="Q31" t="s">
        <v>3697</v>
      </c>
    </row>
    <row r="32" spans="1:17">
      <c r="A32" t="s">
        <v>3669</v>
      </c>
      <c r="B32" t="s">
        <v>3670</v>
      </c>
      <c r="L32" t="s">
        <v>3134</v>
      </c>
      <c r="N32" t="s">
        <v>3665</v>
      </c>
      <c r="O32" t="s">
        <v>3664</v>
      </c>
      <c r="Q32" t="s">
        <v>3697</v>
      </c>
    </row>
    <row r="33" spans="1:17">
      <c r="A33" t="s">
        <v>3671</v>
      </c>
      <c r="B33" t="s">
        <v>3672</v>
      </c>
      <c r="L33" t="s">
        <v>3134</v>
      </c>
      <c r="N33" t="s">
        <v>3640</v>
      </c>
      <c r="O33" t="s">
        <v>3666</v>
      </c>
      <c r="Q33" t="s">
        <v>3697</v>
      </c>
    </row>
    <row r="34" spans="1:17">
      <c r="L34" t="s">
        <v>3134</v>
      </c>
      <c r="N34" t="s">
        <v>3668</v>
      </c>
      <c r="O34" t="s">
        <v>3667</v>
      </c>
      <c r="Q34" t="s">
        <v>3697</v>
      </c>
    </row>
    <row r="35" spans="1:17">
      <c r="L35" t="s">
        <v>3134</v>
      </c>
      <c r="N35" t="s">
        <v>3670</v>
      </c>
      <c r="O35" t="s">
        <v>3669</v>
      </c>
      <c r="Q35" t="s">
        <v>3697</v>
      </c>
    </row>
    <row r="36" spans="1:17" ht="18" thickBot="1">
      <c r="A36" s="17" t="s">
        <v>3673</v>
      </c>
      <c r="L36" t="s">
        <v>3134</v>
      </c>
      <c r="N36" t="s">
        <v>3672</v>
      </c>
      <c r="O36" t="s">
        <v>3671</v>
      </c>
      <c r="Q36" t="s">
        <v>3697</v>
      </c>
    </row>
    <row r="37" spans="1:17" ht="16.5" thickTop="1" thickBot="1">
      <c r="A37" s="16" t="s">
        <v>3674</v>
      </c>
      <c r="B37" s="16" t="s">
        <v>2</v>
      </c>
      <c r="C37" s="16" t="s">
        <v>49</v>
      </c>
      <c r="L37" t="s">
        <v>3134</v>
      </c>
      <c r="N37" t="s">
        <v>191</v>
      </c>
      <c r="O37" t="s">
        <v>191</v>
      </c>
      <c r="Q37" t="s">
        <v>3697</v>
      </c>
    </row>
    <row r="38" spans="1:17">
      <c r="A38" t="s">
        <v>3675</v>
      </c>
      <c r="B38" t="s">
        <v>3676</v>
      </c>
      <c r="E38" t="str">
        <f>_xlfn.TEXTJOIN(",",TRUE,A38:A42)</f>
        <v>hotmetal,spongeiron,ironore,scrap,crudesteel</v>
      </c>
      <c r="L38" t="s">
        <v>3134</v>
      </c>
      <c r="N38" t="s">
        <v>3642</v>
      </c>
      <c r="O38" t="s">
        <v>3642</v>
      </c>
      <c r="Q38" t="s">
        <v>3697</v>
      </c>
    </row>
    <row r="39" spans="1:17">
      <c r="A39" t="s">
        <v>3677</v>
      </c>
      <c r="B39" t="s">
        <v>3678</v>
      </c>
      <c r="L39" t="s">
        <v>3134</v>
      </c>
      <c r="N39" t="s">
        <v>3648</v>
      </c>
      <c r="O39" t="s">
        <v>3647</v>
      </c>
      <c r="Q39" t="s">
        <v>3697</v>
      </c>
    </row>
    <row r="40" spans="1:17">
      <c r="A40" t="s">
        <v>3679</v>
      </c>
      <c r="B40" t="s">
        <v>3680</v>
      </c>
      <c r="L40" t="s">
        <v>3688</v>
      </c>
      <c r="M40" t="s">
        <v>3689</v>
      </c>
      <c r="N40" t="s">
        <v>3690</v>
      </c>
      <c r="Q40" t="s">
        <v>3697</v>
      </c>
    </row>
    <row r="41" spans="1:17">
      <c r="A41" t="s">
        <v>3681</v>
      </c>
      <c r="B41" t="s">
        <v>3682</v>
      </c>
      <c r="L41" t="s">
        <v>3688</v>
      </c>
      <c r="M41" t="s">
        <v>3691</v>
      </c>
      <c r="N41" t="s">
        <v>3692</v>
      </c>
      <c r="Q41" t="s">
        <v>3697</v>
      </c>
    </row>
    <row r="42" spans="1:17">
      <c r="A42" t="s">
        <v>3683</v>
      </c>
      <c r="B42" t="s">
        <v>3684</v>
      </c>
      <c r="L42" t="s">
        <v>3688</v>
      </c>
      <c r="M42" t="s">
        <v>3693</v>
      </c>
      <c r="N42" t="s">
        <v>3694</v>
      </c>
      <c r="Q42" t="s">
        <v>3697</v>
      </c>
    </row>
    <row r="43" spans="1:17">
      <c r="L43" t="s">
        <v>3688</v>
      </c>
      <c r="M43" t="s">
        <v>3695</v>
      </c>
      <c r="N43" t="s">
        <v>3696</v>
      </c>
      <c r="Q43" t="s">
        <v>3697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2219D-D945-4BDB-8E27-A49AA6A86A98}">
  <dimension ref="A1:U19"/>
  <sheetViews>
    <sheetView zoomScaleNormal="100" workbookViewId="0">
      <pane ySplit="2" topLeftCell="A3" activePane="bottomLeft" state="frozen"/>
      <selection pane="bottomLeft" activeCell="S31" sqref="S31"/>
    </sheetView>
  </sheetViews>
  <sheetFormatPr defaultRowHeight="15"/>
  <cols>
    <col min="2" max="2" width="8.140625" bestFit="1" customWidth="1"/>
    <col min="3" max="3" width="9.140625" bestFit="1" customWidth="1"/>
    <col min="4" max="13" width="3.5703125" customWidth="1"/>
    <col min="14" max="14" width="7" bestFit="1" customWidth="1"/>
    <col min="15" max="15" width="4.28515625" bestFit="1" customWidth="1"/>
    <col min="16" max="19" width="17.85546875" bestFit="1" customWidth="1"/>
    <col min="20" max="20" width="9.28515625" bestFit="1" customWidth="1"/>
    <col min="21" max="21" width="9.28515625" customWidth="1"/>
    <col min="22" max="22" width="2" bestFit="1" customWidth="1"/>
    <col min="23" max="23" width="11.5703125" bestFit="1" customWidth="1"/>
  </cols>
  <sheetData>
    <row r="1" spans="1:21">
      <c r="A1" t="s">
        <v>107</v>
      </c>
    </row>
    <row r="2" spans="1:21">
      <c r="A2" t="s">
        <v>108</v>
      </c>
      <c r="B2" s="2" t="s">
        <v>54</v>
      </c>
      <c r="C2" s="2" t="s">
        <v>91</v>
      </c>
      <c r="D2" s="2" t="s">
        <v>109</v>
      </c>
      <c r="E2" s="2" t="s">
        <v>233</v>
      </c>
      <c r="F2" s="2" t="s">
        <v>92</v>
      </c>
      <c r="G2" s="2" t="s">
        <v>93</v>
      </c>
      <c r="H2" s="2" t="s">
        <v>97</v>
      </c>
      <c r="I2" s="2" t="s">
        <v>98</v>
      </c>
      <c r="J2" s="2" t="s">
        <v>99</v>
      </c>
      <c r="K2" s="2" t="s">
        <v>94</v>
      </c>
      <c r="L2" s="2" t="s">
        <v>95</v>
      </c>
      <c r="M2" s="2" t="s">
        <v>96</v>
      </c>
      <c r="N2" s="2" t="s">
        <v>0</v>
      </c>
      <c r="O2" s="2" t="s">
        <v>28</v>
      </c>
      <c r="P2" s="2" t="s">
        <v>116</v>
      </c>
      <c r="Q2" s="2" t="s">
        <v>3</v>
      </c>
      <c r="R2" s="2" t="s">
        <v>2</v>
      </c>
      <c r="S2" s="2" t="s">
        <v>49</v>
      </c>
      <c r="T2" s="2" t="s">
        <v>258</v>
      </c>
      <c r="U2" s="2" t="s">
        <v>345</v>
      </c>
    </row>
    <row r="3" spans="1:21">
      <c r="C3" t="s">
        <v>592</v>
      </c>
      <c r="N3" t="s">
        <v>596</v>
      </c>
      <c r="P3" t="s">
        <v>593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592</v>
      </c>
      <c r="N4" t="s">
        <v>596</v>
      </c>
      <c r="P4" t="s">
        <v>594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592</v>
      </c>
      <c r="N5" t="s">
        <v>597</v>
      </c>
      <c r="P5" t="s">
        <v>595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592</v>
      </c>
      <c r="N6" t="s">
        <v>604</v>
      </c>
      <c r="P6" t="s">
        <v>598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592</v>
      </c>
      <c r="N7" t="s">
        <v>604</v>
      </c>
      <c r="P7" t="s">
        <v>599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592</v>
      </c>
      <c r="N8" t="s">
        <v>604</v>
      </c>
      <c r="P8" t="s">
        <v>600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592</v>
      </c>
      <c r="N9" t="s">
        <v>604</v>
      </c>
      <c r="P9" t="s">
        <v>601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592</v>
      </c>
      <c r="N10" t="s">
        <v>56</v>
      </c>
      <c r="P10" t="s">
        <v>602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592</v>
      </c>
      <c r="N11" t="s">
        <v>56</v>
      </c>
      <c r="P11" t="s">
        <v>603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592</v>
      </c>
      <c r="N12" t="s">
        <v>40</v>
      </c>
      <c r="P12" t="s">
        <v>613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592</v>
      </c>
      <c r="N13" t="s">
        <v>40</v>
      </c>
      <c r="P13" t="s">
        <v>614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592</v>
      </c>
      <c r="N14" t="s">
        <v>40</v>
      </c>
      <c r="P14" t="s">
        <v>615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592</v>
      </c>
      <c r="N15" t="s">
        <v>40</v>
      </c>
      <c r="P15" t="s">
        <v>616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592</v>
      </c>
      <c r="N16" t="s">
        <v>40</v>
      </c>
      <c r="P16" t="s">
        <v>617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592</v>
      </c>
      <c r="N17" t="s">
        <v>40</v>
      </c>
      <c r="P17" t="s">
        <v>618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592</v>
      </c>
      <c r="N18" t="s">
        <v>40</v>
      </c>
      <c r="P18" t="s">
        <v>619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592</v>
      </c>
      <c r="N19" t="s">
        <v>40</v>
      </c>
      <c r="P19" t="s">
        <v>620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D5C1B-B7D7-4D71-A3E0-7F712EED9413}">
  <dimension ref="C1:L36"/>
  <sheetViews>
    <sheetView zoomScaleNormal="100" workbookViewId="0"/>
  </sheetViews>
  <sheetFormatPr defaultRowHeight="15"/>
  <cols>
    <col min="3" max="3" width="17.5703125" bestFit="1" customWidth="1"/>
    <col min="4" max="4" width="17.7109375" bestFit="1" customWidth="1"/>
    <col min="5" max="5" width="24.140625" bestFit="1" customWidth="1"/>
    <col min="6" max="6" width="9" bestFit="1" customWidth="1"/>
    <col min="7" max="7" width="9.5703125" bestFit="1" customWidth="1"/>
    <col min="8" max="8" width="6.7109375" bestFit="1" customWidth="1"/>
    <col min="9" max="10" width="12" bestFit="1" customWidth="1"/>
    <col min="12" max="12" width="12.42578125" bestFit="1" customWidth="1"/>
  </cols>
  <sheetData>
    <row r="1" spans="3:12">
      <c r="C1" t="s">
        <v>565</v>
      </c>
    </row>
    <row r="2" spans="3:12">
      <c r="C2" t="s">
        <v>562</v>
      </c>
      <c r="D2" t="s">
        <v>563</v>
      </c>
      <c r="E2" s="2" t="s">
        <v>3</v>
      </c>
      <c r="F2" t="s">
        <v>0</v>
      </c>
      <c r="G2" t="s">
        <v>258</v>
      </c>
      <c r="H2" t="s">
        <v>345</v>
      </c>
      <c r="I2" t="s">
        <v>628</v>
      </c>
      <c r="J2" t="s">
        <v>636</v>
      </c>
      <c r="L2" s="11" t="s">
        <v>598</v>
      </c>
    </row>
    <row r="3" spans="3:12">
      <c r="C3" t="s">
        <v>679</v>
      </c>
      <c r="D3" t="s">
        <v>656</v>
      </c>
      <c r="E3" s="1" t="s">
        <v>561</v>
      </c>
      <c r="F3" t="s">
        <v>590</v>
      </c>
      <c r="I3" t="s">
        <v>627</v>
      </c>
      <c r="J3" t="s">
        <v>162</v>
      </c>
      <c r="L3" s="11" t="s">
        <v>599</v>
      </c>
    </row>
    <row r="4" spans="3:12">
      <c r="C4" t="s">
        <v>522</v>
      </c>
      <c r="D4" t="s">
        <v>571</v>
      </c>
      <c r="E4" s="1" t="s">
        <v>561</v>
      </c>
      <c r="F4" t="s">
        <v>590</v>
      </c>
      <c r="I4" t="s">
        <v>627</v>
      </c>
      <c r="J4" t="s">
        <v>162</v>
      </c>
      <c r="L4" s="11" t="s">
        <v>600</v>
      </c>
    </row>
    <row r="5" spans="3:12">
      <c r="C5" t="s">
        <v>461</v>
      </c>
      <c r="D5" t="s">
        <v>573</v>
      </c>
      <c r="E5" s="1" t="s">
        <v>564</v>
      </c>
      <c r="F5" t="s">
        <v>1</v>
      </c>
      <c r="I5" t="s">
        <v>627</v>
      </c>
      <c r="J5" t="s">
        <v>162</v>
      </c>
      <c r="L5" s="11" t="s">
        <v>601</v>
      </c>
    </row>
    <row r="6" spans="3:12">
      <c r="C6" t="s">
        <v>522</v>
      </c>
      <c r="D6" t="s">
        <v>572</v>
      </c>
      <c r="E6" s="1" t="s">
        <v>564</v>
      </c>
      <c r="F6" t="s">
        <v>1</v>
      </c>
      <c r="I6" t="s">
        <v>627</v>
      </c>
      <c r="J6" t="s">
        <v>162</v>
      </c>
      <c r="L6" s="11" t="s">
        <v>602</v>
      </c>
    </row>
    <row r="7" spans="3:12">
      <c r="C7" t="s">
        <v>227</v>
      </c>
      <c r="D7" t="s">
        <v>228</v>
      </c>
      <c r="E7" s="1" t="s">
        <v>564</v>
      </c>
      <c r="F7" t="s">
        <v>1</v>
      </c>
      <c r="I7" t="s">
        <v>627</v>
      </c>
      <c r="J7" t="s">
        <v>162</v>
      </c>
      <c r="L7" s="11" t="s">
        <v>603</v>
      </c>
    </row>
    <row r="8" spans="3:12">
      <c r="C8" t="s">
        <v>242</v>
      </c>
      <c r="D8" t="s">
        <v>522</v>
      </c>
      <c r="E8" s="1" t="s">
        <v>566</v>
      </c>
      <c r="F8" t="s">
        <v>567</v>
      </c>
      <c r="I8" t="s">
        <v>627</v>
      </c>
      <c r="J8" t="s">
        <v>162</v>
      </c>
    </row>
    <row r="9" spans="3:12">
      <c r="C9" t="s">
        <v>242</v>
      </c>
      <c r="D9" t="s">
        <v>461</v>
      </c>
      <c r="E9" s="1" t="s">
        <v>566</v>
      </c>
      <c r="F9" t="s">
        <v>567</v>
      </c>
      <c r="I9" t="s">
        <v>627</v>
      </c>
      <c r="J9" t="s">
        <v>162</v>
      </c>
    </row>
    <row r="10" spans="3:12">
      <c r="C10" t="s">
        <v>242</v>
      </c>
      <c r="D10" t="s">
        <v>227</v>
      </c>
      <c r="E10" s="1" t="s">
        <v>566</v>
      </c>
      <c r="F10" t="s">
        <v>569</v>
      </c>
      <c r="I10" t="s">
        <v>627</v>
      </c>
      <c r="J10" t="s">
        <v>162</v>
      </c>
    </row>
    <row r="11" spans="3:12">
      <c r="C11" t="s">
        <v>593</v>
      </c>
      <c r="D11" t="s">
        <v>603</v>
      </c>
      <c r="E11" s="1" t="s">
        <v>605</v>
      </c>
      <c r="F11" t="s">
        <v>611</v>
      </c>
    </row>
    <row r="12" spans="3:12">
      <c r="C12" t="s">
        <v>594</v>
      </c>
      <c r="D12" t="s">
        <v>598</v>
      </c>
      <c r="E12" s="1" t="s">
        <v>606</v>
      </c>
      <c r="F12" t="s">
        <v>607</v>
      </c>
    </row>
    <row r="13" spans="3:12">
      <c r="C13" t="s">
        <v>595</v>
      </c>
      <c r="D13" t="s">
        <v>603</v>
      </c>
      <c r="E13" s="1" t="s">
        <v>608</v>
      </c>
      <c r="F13" t="s">
        <v>612</v>
      </c>
    </row>
    <row r="14" spans="3:12">
      <c r="C14" t="s">
        <v>595</v>
      </c>
      <c r="D14" t="s">
        <v>598</v>
      </c>
      <c r="E14" s="1" t="s">
        <v>683</v>
      </c>
      <c r="F14" t="s">
        <v>684</v>
      </c>
    </row>
    <row r="15" spans="3:12">
      <c r="C15" t="s">
        <v>613</v>
      </c>
      <c r="D15" t="s">
        <v>601</v>
      </c>
      <c r="E15" t="str">
        <f t="shared" ref="E15:E18" si="0">MID(C15,5,22)&amp;" / GDPSER"</f>
        <v>com_cookhw / GDPSER</v>
      </c>
      <c r="F15" t="s">
        <v>621</v>
      </c>
    </row>
    <row r="16" spans="3:12">
      <c r="C16" t="s">
        <v>614</v>
      </c>
      <c r="D16" t="s">
        <v>601</v>
      </c>
      <c r="E16" t="str">
        <f t="shared" si="0"/>
        <v>com_lightappl / GDPSER</v>
      </c>
      <c r="F16" t="s">
        <v>621</v>
      </c>
    </row>
    <row r="17" spans="3:8">
      <c r="C17" t="s">
        <v>615</v>
      </c>
      <c r="D17" t="s">
        <v>601</v>
      </c>
      <c r="E17" t="str">
        <f t="shared" si="0"/>
        <v>com_spcool / GDPSER</v>
      </c>
      <c r="F17" t="s">
        <v>621</v>
      </c>
    </row>
    <row r="18" spans="3:8">
      <c r="C18" t="s">
        <v>616</v>
      </c>
      <c r="D18" t="s">
        <v>601</v>
      </c>
      <c r="E18" t="str">
        <f t="shared" si="0"/>
        <v>com_spht / GDPSER</v>
      </c>
      <c r="F18" t="s">
        <v>621</v>
      </c>
    </row>
    <row r="19" spans="3:8">
      <c r="C19" t="s">
        <v>617</v>
      </c>
      <c r="D19" t="s">
        <v>602</v>
      </c>
      <c r="E19" t="str">
        <f t="shared" ref="E19:E22" si="1">MID(C19,5,22)&amp;" / household"</f>
        <v>res_cookhw / household</v>
      </c>
      <c r="F19" t="s">
        <v>622</v>
      </c>
    </row>
    <row r="20" spans="3:8">
      <c r="C20" t="s">
        <v>618</v>
      </c>
      <c r="D20" t="s">
        <v>602</v>
      </c>
      <c r="E20" t="str">
        <f t="shared" si="1"/>
        <v>res_lightappl / household</v>
      </c>
      <c r="F20" t="s">
        <v>622</v>
      </c>
    </row>
    <row r="21" spans="3:8">
      <c r="C21" t="s">
        <v>619</v>
      </c>
      <c r="D21" t="s">
        <v>602</v>
      </c>
      <c r="E21" t="str">
        <f t="shared" si="1"/>
        <v>res_spcool / household</v>
      </c>
      <c r="F21" t="s">
        <v>622</v>
      </c>
    </row>
    <row r="22" spans="3:8">
      <c r="C22" t="s">
        <v>620</v>
      </c>
      <c r="D22" t="s">
        <v>602</v>
      </c>
      <c r="E22" t="str">
        <f t="shared" si="1"/>
        <v>res_spht / household</v>
      </c>
      <c r="F22" t="s">
        <v>622</v>
      </c>
    </row>
    <row r="23" spans="3:8">
      <c r="C23" t="s">
        <v>3698</v>
      </c>
      <c r="D23" t="s">
        <v>3699</v>
      </c>
      <c r="E23" t="s">
        <v>3700</v>
      </c>
      <c r="F23" t="s">
        <v>3701</v>
      </c>
      <c r="H23" t="s">
        <v>3189</v>
      </c>
    </row>
    <row r="35" spans="3:6">
      <c r="C35" t="s">
        <v>274</v>
      </c>
      <c r="E35" s="1" t="s">
        <v>566</v>
      </c>
      <c r="F35" t="s">
        <v>568</v>
      </c>
    </row>
    <row r="36" spans="3:6">
      <c r="C36" t="s">
        <v>274</v>
      </c>
      <c r="E36" s="1" t="s">
        <v>566</v>
      </c>
      <c r="F36" t="s">
        <v>591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H96"/>
  <sheetViews>
    <sheetView workbookViewId="0"/>
  </sheetViews>
  <sheetFormatPr defaultRowHeight="15"/>
  <cols>
    <col min="1" max="1" width="14.140625" bestFit="1" customWidth="1"/>
    <col min="2" max="3" width="13.5703125" bestFit="1" customWidth="1"/>
    <col min="7" max="7" width="10.28515625" bestFit="1" customWidth="1"/>
  </cols>
  <sheetData>
    <row r="1" spans="1:3">
      <c r="A1" t="s">
        <v>122</v>
      </c>
    </row>
    <row r="2" spans="1:3">
      <c r="A2" t="s">
        <v>123</v>
      </c>
      <c r="B2" t="s">
        <v>2</v>
      </c>
      <c r="C2" t="s">
        <v>49</v>
      </c>
    </row>
    <row r="3" spans="1:3">
      <c r="A3" t="s">
        <v>295</v>
      </c>
      <c r="B3" t="s">
        <v>4</v>
      </c>
      <c r="C3" t="str">
        <f>B3</f>
        <v>Bio</v>
      </c>
    </row>
    <row r="4" spans="1:3">
      <c r="A4" t="s">
        <v>296</v>
      </c>
      <c r="B4" t="s">
        <v>5</v>
      </c>
      <c r="C4" t="str">
        <f t="shared" ref="C4:C19" si="0">B4</f>
        <v>Coal</v>
      </c>
    </row>
    <row r="5" spans="1:3">
      <c r="A5" t="s">
        <v>297</v>
      </c>
      <c r="B5" t="s">
        <v>6</v>
      </c>
      <c r="C5" t="str">
        <f t="shared" si="0"/>
        <v>Gas</v>
      </c>
    </row>
    <row r="6" spans="1:3">
      <c r="A6" t="s">
        <v>298</v>
      </c>
      <c r="B6" t="s">
        <v>299</v>
      </c>
      <c r="C6" t="str">
        <f t="shared" si="0"/>
        <v>Lignite</v>
      </c>
    </row>
    <row r="7" spans="1:3">
      <c r="A7" t="s">
        <v>300</v>
      </c>
      <c r="B7" t="s">
        <v>13</v>
      </c>
      <c r="C7" t="str">
        <f t="shared" si="0"/>
        <v>Geothermal</v>
      </c>
    </row>
    <row r="8" spans="1:3">
      <c r="A8" t="s">
        <v>301</v>
      </c>
      <c r="B8" t="s">
        <v>15</v>
      </c>
      <c r="C8" t="str">
        <f t="shared" si="0"/>
        <v>Nuclear</v>
      </c>
    </row>
    <row r="9" spans="1:3">
      <c r="A9" t="s">
        <v>302</v>
      </c>
      <c r="B9" t="s">
        <v>16</v>
      </c>
      <c r="C9" t="str">
        <f t="shared" si="0"/>
        <v>Oil</v>
      </c>
    </row>
    <row r="10" spans="1:3">
      <c r="A10" t="s">
        <v>303</v>
      </c>
      <c r="B10" t="s">
        <v>104</v>
      </c>
      <c r="C10" t="str">
        <f t="shared" si="0"/>
        <v>Crude</v>
      </c>
    </row>
    <row r="11" spans="1:3">
      <c r="A11" t="s">
        <v>304</v>
      </c>
      <c r="B11" t="s">
        <v>166</v>
      </c>
      <c r="C11" t="str">
        <f t="shared" si="0"/>
        <v>Diesel</v>
      </c>
    </row>
    <row r="12" spans="1:3">
      <c r="A12" t="s">
        <v>305</v>
      </c>
      <c r="B12" t="s">
        <v>42</v>
      </c>
      <c r="C12" t="str">
        <f t="shared" si="0"/>
        <v>Waste</v>
      </c>
    </row>
    <row r="13" spans="1:3">
      <c r="A13" t="s">
        <v>306</v>
      </c>
      <c r="B13" t="s">
        <v>14</v>
      </c>
      <c r="C13" t="str">
        <f t="shared" si="0"/>
        <v>Hydro</v>
      </c>
    </row>
    <row r="14" spans="1:3">
      <c r="A14" t="s">
        <v>307</v>
      </c>
      <c r="B14" t="s">
        <v>17</v>
      </c>
      <c r="C14" t="str">
        <f t="shared" si="0"/>
        <v>Solar</v>
      </c>
    </row>
    <row r="15" spans="1:3">
      <c r="A15" t="s">
        <v>308</v>
      </c>
      <c r="B15" t="s">
        <v>262</v>
      </c>
      <c r="C15" t="str">
        <f t="shared" si="0"/>
        <v>Tidal</v>
      </c>
    </row>
    <row r="16" spans="1:3">
      <c r="A16" t="s">
        <v>309</v>
      </c>
      <c r="B16" t="s">
        <v>18</v>
      </c>
      <c r="C16" t="str">
        <f t="shared" si="0"/>
        <v>Wind</v>
      </c>
    </row>
    <row r="17" spans="1:8">
      <c r="A17" t="s">
        <v>310</v>
      </c>
      <c r="B17" t="s">
        <v>311</v>
      </c>
      <c r="C17" t="str">
        <f t="shared" si="0"/>
        <v>Bio (CCS)</v>
      </c>
    </row>
    <row r="18" spans="1:8">
      <c r="A18" t="s">
        <v>312</v>
      </c>
      <c r="B18" t="s">
        <v>100</v>
      </c>
      <c r="C18" t="str">
        <f t="shared" si="0"/>
        <v>Coal (CCS)</v>
      </c>
    </row>
    <row r="19" spans="1:8">
      <c r="A19" t="s">
        <v>313</v>
      </c>
      <c r="B19" t="s">
        <v>101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32</v>
      </c>
      <c r="B20" t="s">
        <v>154</v>
      </c>
    </row>
    <row r="21" spans="1:8">
      <c r="A21" t="s">
        <v>245</v>
      </c>
      <c r="B21" t="s">
        <v>102</v>
      </c>
      <c r="C21" t="str">
        <f t="shared" ref="C21:C28" si="1">B21</f>
        <v>Agri</v>
      </c>
    </row>
    <row r="22" spans="1:8">
      <c r="A22" t="s">
        <v>246</v>
      </c>
      <c r="B22" t="s">
        <v>25</v>
      </c>
      <c r="C22" t="str">
        <f t="shared" si="1"/>
        <v>Commercial</v>
      </c>
    </row>
    <row r="23" spans="1:8">
      <c r="A23" t="s">
        <v>247</v>
      </c>
      <c r="B23" t="s">
        <v>26</v>
      </c>
      <c r="C23" t="str">
        <f t="shared" si="1"/>
        <v>Residential</v>
      </c>
    </row>
    <row r="24" spans="1:8">
      <c r="A24" t="s">
        <v>286</v>
      </c>
      <c r="B24" t="s">
        <v>9</v>
      </c>
      <c r="C24" t="str">
        <f t="shared" si="1"/>
        <v>Industry</v>
      </c>
    </row>
    <row r="25" spans="1:8">
      <c r="A25" t="s">
        <v>248</v>
      </c>
      <c r="B25" t="s">
        <v>9</v>
      </c>
      <c r="C25" t="str">
        <f t="shared" si="1"/>
        <v>Industry</v>
      </c>
    </row>
    <row r="26" spans="1:8">
      <c r="A26" t="s">
        <v>355</v>
      </c>
      <c r="B26" t="s">
        <v>272</v>
      </c>
      <c r="C26" t="str">
        <f t="shared" si="1"/>
        <v>Non-Energy</v>
      </c>
    </row>
    <row r="27" spans="1:8">
      <c r="A27" t="s">
        <v>356</v>
      </c>
      <c r="B27" t="s">
        <v>357</v>
      </c>
      <c r="C27" t="str">
        <f t="shared" si="1"/>
        <v>Tra Non-Road</v>
      </c>
    </row>
    <row r="28" spans="1:8">
      <c r="A28" t="s">
        <v>358</v>
      </c>
      <c r="B28" t="s">
        <v>359</v>
      </c>
      <c r="C28" t="str">
        <f t="shared" si="1"/>
        <v>Tra Road</v>
      </c>
      <c r="G28" t="s">
        <v>321</v>
      </c>
      <c r="H28" t="str">
        <f>_xlfn.TEXTJOIN(",",TRUE,A21:A28)</f>
        <v>DMD_AGR,DMD_COM,DMD_RES,DMD_AUTOP,DMD_IND,DMD_Non-En,DMD_TRA-NR,DMD_TRA-R</v>
      </c>
    </row>
    <row r="29" spans="1:8">
      <c r="A29" t="s">
        <v>32</v>
      </c>
      <c r="B29" t="s">
        <v>127</v>
      </c>
    </row>
    <row r="30" spans="1:8">
      <c r="A30" t="s">
        <v>494</v>
      </c>
      <c r="B30" t="s">
        <v>495</v>
      </c>
      <c r="C30" t="str">
        <f>B30</f>
        <v>Direct Air Cap</v>
      </c>
      <c r="H30" t="str">
        <f>A30</f>
        <v>s_DAC</v>
      </c>
    </row>
    <row r="31" spans="1:8">
      <c r="A31" t="s">
        <v>128</v>
      </c>
      <c r="B31" t="s">
        <v>141</v>
      </c>
      <c r="C31" t="str">
        <f t="shared" ref="C31:C58" si="2">B31</f>
        <v>Avoided Forest Conv</v>
      </c>
    </row>
    <row r="32" spans="1:8">
      <c r="A32" t="s">
        <v>129</v>
      </c>
      <c r="B32" t="s">
        <v>130</v>
      </c>
      <c r="C32" t="str">
        <f t="shared" si="2"/>
        <v xml:space="preserve">Reforestation </v>
      </c>
    </row>
    <row r="33" spans="1:8">
      <c r="A33" t="s">
        <v>131</v>
      </c>
      <c r="B33" t="s">
        <v>142</v>
      </c>
      <c r="C33" t="str">
        <f t="shared" si="2"/>
        <v>Nat Forest Mgmt</v>
      </c>
    </row>
    <row r="34" spans="1:8">
      <c r="A34" t="s">
        <v>132</v>
      </c>
      <c r="B34" t="s">
        <v>133</v>
      </c>
      <c r="C34" t="str">
        <f t="shared" si="2"/>
        <v xml:space="preserve">Biochar </v>
      </c>
    </row>
    <row r="35" spans="1:8">
      <c r="A35" t="s">
        <v>134</v>
      </c>
      <c r="B35" t="s">
        <v>145</v>
      </c>
      <c r="C35" t="str">
        <f t="shared" si="2"/>
        <v>Crplnd Nutrient Mgmt</v>
      </c>
    </row>
    <row r="36" spans="1:8">
      <c r="A36" t="s">
        <v>135</v>
      </c>
      <c r="B36" t="s">
        <v>136</v>
      </c>
      <c r="C36" t="str">
        <f t="shared" si="2"/>
        <v xml:space="preserve">Trees in Cropland </v>
      </c>
    </row>
    <row r="37" spans="1:8">
      <c r="A37" t="s">
        <v>137</v>
      </c>
      <c r="B37" t="s">
        <v>143</v>
      </c>
      <c r="C37" t="str">
        <f t="shared" si="2"/>
        <v>Avoided Peatland</v>
      </c>
    </row>
    <row r="38" spans="1:8">
      <c r="A38" t="s">
        <v>138</v>
      </c>
      <c r="B38" t="s">
        <v>144</v>
      </c>
      <c r="C38" t="str">
        <f t="shared" si="2"/>
        <v>Cstal Wetland Rstrn</v>
      </c>
    </row>
    <row r="39" spans="1:8">
      <c r="A39" t="s">
        <v>139</v>
      </c>
      <c r="B39" t="s">
        <v>140</v>
      </c>
      <c r="C39" t="str">
        <f t="shared" si="2"/>
        <v xml:space="preserve">Peatland Restoration 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32</v>
      </c>
    </row>
    <row r="41" spans="1:8">
      <c r="A41" t="s">
        <v>323</v>
      </c>
      <c r="B41" t="s">
        <v>361</v>
      </c>
      <c r="C41" t="str">
        <f t="shared" si="2"/>
        <v>Thermal Power</v>
      </c>
    </row>
    <row r="42" spans="1:8">
      <c r="A42" t="s">
        <v>325</v>
      </c>
      <c r="B42" t="s">
        <v>326</v>
      </c>
      <c r="C42" t="str">
        <f t="shared" si="2"/>
        <v>Thermal CCS</v>
      </c>
    </row>
    <row r="43" spans="1:8">
      <c r="A43" t="s">
        <v>941</v>
      </c>
      <c r="B43" t="s">
        <v>942</v>
      </c>
      <c r="C43" t="str">
        <f t="shared" si="2"/>
        <v>Utility Heat Pump</v>
      </c>
    </row>
    <row r="44" spans="1:8">
      <c r="A44" t="s">
        <v>327</v>
      </c>
      <c r="B44" t="s">
        <v>207</v>
      </c>
      <c r="C44" t="str">
        <f t="shared" si="2"/>
        <v>Ren Elec</v>
      </c>
    </row>
    <row r="45" spans="1:8">
      <c r="A45" t="s">
        <v>328</v>
      </c>
      <c r="B45" t="s">
        <v>362</v>
      </c>
      <c r="C45" t="str">
        <f t="shared" si="2"/>
        <v>Oil Ref</v>
      </c>
    </row>
    <row r="46" spans="1:8">
      <c r="A46" t="s">
        <v>329</v>
      </c>
      <c r="B46" t="s">
        <v>363</v>
      </c>
      <c r="C46" t="str">
        <f t="shared" si="2"/>
        <v>BF and CokOv</v>
      </c>
    </row>
    <row r="47" spans="1:8">
      <c r="A47" t="s">
        <v>330</v>
      </c>
      <c r="B47" t="s">
        <v>332</v>
      </c>
      <c r="C47" t="str">
        <f t="shared" si="2"/>
        <v>Bio Ref</v>
      </c>
    </row>
    <row r="48" spans="1:8">
      <c r="A48" t="s">
        <v>3176</v>
      </c>
      <c r="B48" t="str">
        <f>MID(A48,4,22)</f>
        <v>Exp_LH2</v>
      </c>
      <c r="C48" t="str">
        <f t="shared" si="2"/>
        <v>Exp_LH2</v>
      </c>
    </row>
    <row r="49" spans="1:8">
      <c r="A49" t="s">
        <v>3177</v>
      </c>
      <c r="B49" t="str">
        <f>MID(A49,4,22)</f>
        <v>Exp_Amm</v>
      </c>
      <c r="C49" t="str">
        <f t="shared" si="2"/>
        <v>Exp_Amm</v>
      </c>
    </row>
    <row r="50" spans="1:8">
      <c r="A50" t="s">
        <v>3178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3179</v>
      </c>
      <c r="B51" t="str">
        <f t="shared" si="3"/>
        <v>Imp_LH2</v>
      </c>
      <c r="C51" t="str">
        <f t="shared" si="2"/>
        <v>Imp_LH2</v>
      </c>
    </row>
    <row r="52" spans="1:8">
      <c r="A52" t="s">
        <v>3180</v>
      </c>
      <c r="B52" t="str">
        <f t="shared" si="3"/>
        <v>Imp_Amm</v>
      </c>
      <c r="C52" t="str">
        <f t="shared" si="2"/>
        <v>Imp_Amm</v>
      </c>
    </row>
    <row r="53" spans="1:8">
      <c r="A53" t="s">
        <v>3181</v>
      </c>
      <c r="B53" t="str">
        <f t="shared" si="3"/>
        <v>Imp_LOHC</v>
      </c>
      <c r="C53" t="str">
        <f t="shared" si="2"/>
        <v>Imp_LOHC</v>
      </c>
    </row>
    <row r="54" spans="1:8">
      <c r="A54" t="s">
        <v>334</v>
      </c>
      <c r="B54" t="s">
        <v>335</v>
      </c>
      <c r="C54" t="str">
        <f t="shared" si="2"/>
        <v>H2 Thermal</v>
      </c>
    </row>
    <row r="55" spans="1:8">
      <c r="A55" t="s">
        <v>629</v>
      </c>
      <c r="B55" t="s">
        <v>630</v>
      </c>
      <c r="C55" t="str">
        <f t="shared" si="2"/>
        <v>H2 Bio</v>
      </c>
    </row>
    <row r="56" spans="1:8">
      <c r="A56" t="s">
        <v>336</v>
      </c>
      <c r="B56" t="s">
        <v>337</v>
      </c>
      <c r="C56" t="str">
        <f t="shared" si="2"/>
        <v>H2 Elec</v>
      </c>
      <c r="G56" t="s">
        <v>322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32</v>
      </c>
    </row>
    <row r="58" spans="1:8">
      <c r="A58" t="s">
        <v>465</v>
      </c>
      <c r="B58" t="s">
        <v>342</v>
      </c>
      <c r="C58" t="str">
        <f t="shared" si="2"/>
        <v>Extraction</v>
      </c>
      <c r="G58" t="s">
        <v>343</v>
      </c>
      <c r="H58" t="str">
        <f>A58</f>
        <v>s_Mining</v>
      </c>
    </row>
    <row r="59" spans="1:8">
      <c r="A59" t="s">
        <v>32</v>
      </c>
      <c r="B59" t="s">
        <v>3233</v>
      </c>
    </row>
    <row r="60" spans="1:8">
      <c r="A60" t="s">
        <v>245</v>
      </c>
      <c r="B60" t="s">
        <v>47</v>
      </c>
    </row>
    <row r="61" spans="1:8">
      <c r="A61" t="s">
        <v>399</v>
      </c>
      <c r="B61" t="s">
        <v>3234</v>
      </c>
    </row>
    <row r="62" spans="1:8">
      <c r="A62" t="s">
        <v>401</v>
      </c>
      <c r="B62" t="s">
        <v>3235</v>
      </c>
    </row>
    <row r="63" spans="1:8">
      <c r="A63" t="s">
        <v>403</v>
      </c>
      <c r="B63" t="s">
        <v>539</v>
      </c>
    </row>
    <row r="64" spans="1:8">
      <c r="A64" t="s">
        <v>405</v>
      </c>
      <c r="B64" t="s">
        <v>3236</v>
      </c>
    </row>
    <row r="65" spans="1:2">
      <c r="A65" t="s">
        <v>407</v>
      </c>
      <c r="B65" t="s">
        <v>3237</v>
      </c>
    </row>
    <row r="66" spans="1:2">
      <c r="A66" t="s">
        <v>409</v>
      </c>
      <c r="B66" t="s">
        <v>3238</v>
      </c>
    </row>
    <row r="67" spans="1:2">
      <c r="A67" t="s">
        <v>411</v>
      </c>
      <c r="B67" t="s">
        <v>184</v>
      </c>
    </row>
    <row r="68" spans="1:2">
      <c r="A68" t="s">
        <v>412</v>
      </c>
      <c r="B68" t="s">
        <v>413</v>
      </c>
    </row>
    <row r="69" spans="1:2">
      <c r="A69" t="s">
        <v>3720</v>
      </c>
      <c r="B69" t="s">
        <v>538</v>
      </c>
    </row>
    <row r="70" spans="1:2">
      <c r="A70" t="s">
        <v>3721</v>
      </c>
      <c r="B70" t="s">
        <v>3708</v>
      </c>
    </row>
    <row r="71" spans="1:2">
      <c r="A71" t="s">
        <v>3722</v>
      </c>
      <c r="B71" t="s">
        <v>3710</v>
      </c>
    </row>
    <row r="72" spans="1:2">
      <c r="A72" t="s">
        <v>3723</v>
      </c>
      <c r="B72" t="s">
        <v>3712</v>
      </c>
    </row>
    <row r="73" spans="1:2">
      <c r="A73" t="s">
        <v>3724</v>
      </c>
      <c r="B73" t="s">
        <v>544</v>
      </c>
    </row>
    <row r="74" spans="1:2">
      <c r="A74" t="s">
        <v>3725</v>
      </c>
      <c r="B74" t="s">
        <v>3715</v>
      </c>
    </row>
    <row r="75" spans="1:2">
      <c r="A75" t="s">
        <v>3726</v>
      </c>
      <c r="B75" t="s">
        <v>3717</v>
      </c>
    </row>
    <row r="76" spans="1:2">
      <c r="A76" t="s">
        <v>3727</v>
      </c>
      <c r="B76" t="s">
        <v>539</v>
      </c>
    </row>
    <row r="77" spans="1:2">
      <c r="A77" t="s">
        <v>3728</v>
      </c>
      <c r="B77" t="s">
        <v>540</v>
      </c>
    </row>
    <row r="78" spans="1:2">
      <c r="A78" t="s">
        <v>425</v>
      </c>
      <c r="B78" t="s">
        <v>268</v>
      </c>
    </row>
    <row r="79" spans="1:2">
      <c r="A79" t="s">
        <v>426</v>
      </c>
      <c r="B79" t="s">
        <v>3236</v>
      </c>
    </row>
    <row r="80" spans="1:2">
      <c r="A80" t="s">
        <v>428</v>
      </c>
      <c r="B80" t="s">
        <v>3234</v>
      </c>
    </row>
    <row r="81" spans="1:8">
      <c r="A81" t="s">
        <v>430</v>
      </c>
      <c r="B81" t="s">
        <v>3235</v>
      </c>
    </row>
    <row r="82" spans="1:8">
      <c r="A82" t="s">
        <v>432</v>
      </c>
      <c r="B82" t="s">
        <v>539</v>
      </c>
    </row>
    <row r="83" spans="1:8">
      <c r="A83" t="s">
        <v>434</v>
      </c>
      <c r="B83" t="s">
        <v>3237</v>
      </c>
    </row>
    <row r="84" spans="1:8">
      <c r="A84" t="s">
        <v>436</v>
      </c>
      <c r="B84" t="s">
        <v>3238</v>
      </c>
    </row>
    <row r="85" spans="1:8">
      <c r="A85" t="s">
        <v>438</v>
      </c>
      <c r="B85" t="s">
        <v>3239</v>
      </c>
    </row>
    <row r="86" spans="1:8">
      <c r="A86" t="s">
        <v>440</v>
      </c>
      <c r="B86" t="s">
        <v>3240</v>
      </c>
    </row>
    <row r="87" spans="1:8">
      <c r="A87" t="s">
        <v>442</v>
      </c>
      <c r="B87" t="s">
        <v>443</v>
      </c>
    </row>
    <row r="88" spans="1:8">
      <c r="A88" t="s">
        <v>444</v>
      </c>
      <c r="B88" t="s">
        <v>445</v>
      </c>
    </row>
    <row r="89" spans="1:8">
      <c r="A89" t="s">
        <v>446</v>
      </c>
      <c r="B89" t="s">
        <v>293</v>
      </c>
    </row>
    <row r="90" spans="1:8">
      <c r="A90" t="s">
        <v>447</v>
      </c>
      <c r="B90" t="s">
        <v>156</v>
      </c>
    </row>
    <row r="91" spans="1:8">
      <c r="A91" t="s">
        <v>448</v>
      </c>
      <c r="B91" t="s">
        <v>449</v>
      </c>
    </row>
    <row r="92" spans="1:8">
      <c r="A92" t="s">
        <v>450</v>
      </c>
      <c r="B92" t="s">
        <v>451</v>
      </c>
    </row>
    <row r="93" spans="1:8">
      <c r="A93" t="s">
        <v>452</v>
      </c>
      <c r="B93" t="s">
        <v>453</v>
      </c>
    </row>
    <row r="94" spans="1:8">
      <c r="A94" t="s">
        <v>454</v>
      </c>
      <c r="B94" t="s">
        <v>455</v>
      </c>
    </row>
    <row r="95" spans="1:8">
      <c r="A95" t="s">
        <v>456</v>
      </c>
      <c r="B95" t="s">
        <v>3241</v>
      </c>
    </row>
    <row r="96" spans="1:8">
      <c r="A96" t="s">
        <v>458</v>
      </c>
      <c r="B96" t="s">
        <v>3242</v>
      </c>
      <c r="H96" s="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41A1-D8EF-4B2D-A375-CFB98AC934ED}">
  <sheetPr codeName="Sheet5"/>
  <dimension ref="A1:H29"/>
  <sheetViews>
    <sheetView workbookViewId="0"/>
  </sheetViews>
  <sheetFormatPr defaultRowHeight="15"/>
  <cols>
    <col min="1" max="1" width="11.5703125" bestFit="1" customWidth="1"/>
    <col min="2" max="2" width="11" bestFit="1" customWidth="1"/>
  </cols>
  <sheetData>
    <row r="1" spans="1:8">
      <c r="A1" t="s">
        <v>249</v>
      </c>
    </row>
    <row r="2" spans="1:8">
      <c r="A2" t="s">
        <v>250</v>
      </c>
      <c r="B2" t="s">
        <v>2</v>
      </c>
      <c r="C2" t="s">
        <v>49</v>
      </c>
    </row>
    <row r="3" spans="1:8">
      <c r="A3" t="s">
        <v>314</v>
      </c>
      <c r="B3" t="s">
        <v>17</v>
      </c>
      <c r="C3" t="str">
        <f>B3</f>
        <v>Solar</v>
      </c>
    </row>
    <row r="4" spans="1:8">
      <c r="A4" t="s">
        <v>315</v>
      </c>
      <c r="B4" t="s">
        <v>18</v>
      </c>
      <c r="C4" t="str">
        <f t="shared" ref="C4:C18" si="0">B4</f>
        <v>Wind</v>
      </c>
    </row>
    <row r="5" spans="1:8">
      <c r="A5" t="s">
        <v>316</v>
      </c>
      <c r="B5" t="s">
        <v>14</v>
      </c>
      <c r="C5" t="str">
        <f t="shared" si="0"/>
        <v>Hydro</v>
      </c>
    </row>
    <row r="6" spans="1:8">
      <c r="A6" t="s">
        <v>317</v>
      </c>
      <c r="B6" t="s">
        <v>318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251</v>
      </c>
      <c r="B7" t="s">
        <v>41</v>
      </c>
      <c r="C7" t="str">
        <f t="shared" si="0"/>
        <v>Biomass</v>
      </c>
    </row>
    <row r="8" spans="1:8">
      <c r="A8" t="s">
        <v>252</v>
      </c>
      <c r="B8" t="s">
        <v>15</v>
      </c>
      <c r="C8" t="str">
        <f t="shared" si="0"/>
        <v>Nuclear</v>
      </c>
    </row>
    <row r="9" spans="1:8">
      <c r="A9" t="s">
        <v>253</v>
      </c>
      <c r="B9" t="s">
        <v>344</v>
      </c>
      <c r="C9" t="str">
        <f t="shared" si="0"/>
        <v>Grid Elec</v>
      </c>
    </row>
    <row r="10" spans="1:8">
      <c r="A10" t="s">
        <v>319</v>
      </c>
      <c r="B10" t="s">
        <v>320</v>
      </c>
      <c r="C10" t="str">
        <f t="shared" si="0"/>
        <v>Int. Elec</v>
      </c>
    </row>
    <row r="11" spans="1:8">
      <c r="A11" t="s">
        <v>257</v>
      </c>
      <c r="B11" t="s">
        <v>8</v>
      </c>
      <c r="C11" t="str">
        <f t="shared" si="0"/>
        <v>Hydrogen</v>
      </c>
    </row>
    <row r="12" spans="1:8">
      <c r="A12" t="s">
        <v>255</v>
      </c>
      <c r="B12" t="s">
        <v>5</v>
      </c>
      <c r="C12" t="str">
        <f t="shared" si="0"/>
        <v>Coal</v>
      </c>
    </row>
    <row r="13" spans="1:8">
      <c r="A13" t="s">
        <v>346</v>
      </c>
      <c r="B13" t="s">
        <v>347</v>
      </c>
      <c r="C13" t="str">
        <f t="shared" si="0"/>
        <v>Coal Ind.</v>
      </c>
    </row>
    <row r="14" spans="1:8">
      <c r="A14" t="s">
        <v>930</v>
      </c>
      <c r="B14" t="s">
        <v>931</v>
      </c>
      <c r="C14" t="str">
        <f t="shared" si="0"/>
        <v>Biofuels liq</v>
      </c>
    </row>
    <row r="15" spans="1:8">
      <c r="A15" t="s">
        <v>932</v>
      </c>
      <c r="B15" t="s">
        <v>933</v>
      </c>
      <c r="C15" t="str">
        <f t="shared" si="0"/>
        <v>Biofuels gas</v>
      </c>
    </row>
    <row r="16" spans="1:8">
      <c r="A16" t="s">
        <v>256</v>
      </c>
      <c r="B16" t="s">
        <v>7</v>
      </c>
      <c r="C16" t="str">
        <f t="shared" si="0"/>
        <v>Heat</v>
      </c>
    </row>
    <row r="17" spans="1:8">
      <c r="A17" t="s">
        <v>350</v>
      </c>
      <c r="B17" t="s">
        <v>352</v>
      </c>
      <c r="C17" t="str">
        <f t="shared" si="0"/>
        <v>Oil Crude</v>
      </c>
    </row>
    <row r="18" spans="1:8">
      <c r="A18" t="s">
        <v>351</v>
      </c>
      <c r="B18" t="s">
        <v>353</v>
      </c>
      <c r="C18" t="str">
        <f t="shared" si="0"/>
        <v>Oil Prod.</v>
      </c>
    </row>
    <row r="19" spans="1:8">
      <c r="A19" t="s">
        <v>254</v>
      </c>
      <c r="B19" t="s">
        <v>6</v>
      </c>
      <c r="C19" t="str">
        <f t="shared" ref="C19" si="1">B19</f>
        <v>Gas</v>
      </c>
      <c r="H19" s="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32</v>
      </c>
      <c r="B20" t="s">
        <v>3705</v>
      </c>
    </row>
    <row r="21" spans="1:8">
      <c r="A21" t="s">
        <v>3706</v>
      </c>
      <c r="B21" t="s">
        <v>3734</v>
      </c>
    </row>
    <row r="22" spans="1:8">
      <c r="A22" t="s">
        <v>3707</v>
      </c>
      <c r="B22" t="s">
        <v>3735</v>
      </c>
    </row>
    <row r="23" spans="1:8">
      <c r="A23" t="s">
        <v>3709</v>
      </c>
      <c r="B23" t="s">
        <v>3736</v>
      </c>
    </row>
    <row r="24" spans="1:8">
      <c r="A24" t="s">
        <v>3711</v>
      </c>
      <c r="B24" t="s">
        <v>3737</v>
      </c>
    </row>
    <row r="25" spans="1:8">
      <c r="A25" t="s">
        <v>3713</v>
      </c>
      <c r="B25" t="s">
        <v>3738</v>
      </c>
    </row>
    <row r="26" spans="1:8">
      <c r="A26" t="s">
        <v>3714</v>
      </c>
      <c r="B26" t="s">
        <v>3739</v>
      </c>
    </row>
    <row r="27" spans="1:8">
      <c r="A27" t="s">
        <v>3716</v>
      </c>
      <c r="B27" t="s">
        <v>3740</v>
      </c>
    </row>
    <row r="28" spans="1:8">
      <c r="A28" t="s">
        <v>3718</v>
      </c>
      <c r="B28" t="s">
        <v>3741</v>
      </c>
    </row>
    <row r="29" spans="1:8">
      <c r="A29" t="s">
        <v>3719</v>
      </c>
      <c r="B29" t="s">
        <v>3742</v>
      </c>
      <c r="H29" s="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F7E7D-F939-4FD1-8F83-19531BE9BA47}">
  <sheetPr codeName="Sheet6"/>
  <dimension ref="A1:C7"/>
  <sheetViews>
    <sheetView workbookViewId="0"/>
  </sheetViews>
  <sheetFormatPr defaultRowHeight="15"/>
  <sheetData>
    <row r="1" spans="1:3">
      <c r="A1" t="s">
        <v>259</v>
      </c>
    </row>
    <row r="2" spans="1:3">
      <c r="A2" t="s">
        <v>260</v>
      </c>
      <c r="B2" t="s">
        <v>2</v>
      </c>
      <c r="C2" t="s">
        <v>49</v>
      </c>
    </row>
    <row r="3" spans="1:3">
      <c r="A3" t="s">
        <v>51</v>
      </c>
      <c r="B3" t="s">
        <v>14</v>
      </c>
      <c r="C3" t="str">
        <f>B3</f>
        <v>Hydro</v>
      </c>
    </row>
    <row r="4" spans="1:3">
      <c r="A4" t="s">
        <v>52</v>
      </c>
      <c r="B4" t="s">
        <v>17</v>
      </c>
      <c r="C4" t="str">
        <f t="shared" ref="C4:C7" si="0">B4</f>
        <v>Solar</v>
      </c>
    </row>
    <row r="5" spans="1:3">
      <c r="A5" t="s">
        <v>53</v>
      </c>
      <c r="B5" t="s">
        <v>18</v>
      </c>
      <c r="C5" t="str">
        <f t="shared" si="0"/>
        <v>Wind</v>
      </c>
    </row>
    <row r="6" spans="1:3">
      <c r="A6" t="s">
        <v>50</v>
      </c>
      <c r="B6" t="s">
        <v>13</v>
      </c>
      <c r="C6" t="str">
        <f t="shared" si="0"/>
        <v>Geothermal</v>
      </c>
    </row>
    <row r="7" spans="1:3">
      <c r="A7" t="s">
        <v>261</v>
      </c>
      <c r="B7" t="s">
        <v>262</v>
      </c>
      <c r="C7" t="str">
        <f t="shared" si="0"/>
        <v>Tidal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5A23-CDD7-4773-91D4-CE0B0A860FFC}">
  <dimension ref="A1:H144"/>
  <sheetViews>
    <sheetView workbookViewId="0"/>
  </sheetViews>
  <sheetFormatPr defaultRowHeight="15"/>
  <cols>
    <col min="1" max="1" width="35" bestFit="1" customWidth="1"/>
    <col min="2" max="2" width="23.85546875" bestFit="1" customWidth="1"/>
    <col min="6" max="6" width="10.7109375" bestFit="1" customWidth="1"/>
    <col min="7" max="7" width="12.28515625" bestFit="1" customWidth="1"/>
  </cols>
  <sheetData>
    <row r="1" spans="1:8">
      <c r="A1" t="s">
        <v>675</v>
      </c>
    </row>
    <row r="2" spans="1:8">
      <c r="A2" t="s">
        <v>676</v>
      </c>
      <c r="B2" t="s">
        <v>2</v>
      </c>
      <c r="C2" t="s">
        <v>49</v>
      </c>
    </row>
    <row r="5" spans="1:8">
      <c r="A5" t="s">
        <v>3243</v>
      </c>
      <c r="B5" t="str">
        <f>F5&amp;IF(G5="",""," - "&amp;G5)</f>
        <v>gp_aut-hun</v>
      </c>
      <c r="F5" t="s">
        <v>3494</v>
      </c>
      <c r="H5" t="s">
        <v>3244</v>
      </c>
    </row>
    <row r="6" spans="1:8">
      <c r="A6" t="s">
        <v>3245</v>
      </c>
      <c r="B6" t="str">
        <f t="shared" ref="B6:B69" si="0">F6&amp;IF(G6="",""," - "&amp;G6)</f>
        <v>gp_hun-srb</v>
      </c>
      <c r="F6" t="s">
        <v>3495</v>
      </c>
      <c r="H6" t="s">
        <v>3244</v>
      </c>
    </row>
    <row r="7" spans="1:8">
      <c r="A7" t="s">
        <v>3246</v>
      </c>
      <c r="B7" t="str">
        <f t="shared" si="0"/>
        <v>gp_ltu-pol</v>
      </c>
      <c r="F7" t="s">
        <v>3496</v>
      </c>
      <c r="H7" t="s">
        <v>3244</v>
      </c>
    </row>
    <row r="8" spans="1:8">
      <c r="A8" t="s">
        <v>3247</v>
      </c>
      <c r="B8" t="str">
        <f t="shared" si="0"/>
        <v>gp_srb-bih</v>
      </c>
      <c r="F8" t="s">
        <v>3497</v>
      </c>
      <c r="H8" t="s">
        <v>3244</v>
      </c>
    </row>
    <row r="9" spans="1:8">
      <c r="A9" t="s">
        <v>3248</v>
      </c>
      <c r="B9" t="str">
        <f t="shared" si="0"/>
        <v>gp_svk-pol</v>
      </c>
      <c r="F9" t="s">
        <v>3498</v>
      </c>
      <c r="H9" t="s">
        <v>3244</v>
      </c>
    </row>
    <row r="10" spans="1:8">
      <c r="A10" t="s">
        <v>3249</v>
      </c>
      <c r="B10" t="str">
        <f t="shared" si="0"/>
        <v>gp_ukr-pol</v>
      </c>
      <c r="F10" t="s">
        <v>3499</v>
      </c>
      <c r="H10" t="s">
        <v>3244</v>
      </c>
    </row>
    <row r="11" spans="1:8">
      <c r="A11" t="s">
        <v>3250</v>
      </c>
      <c r="B11" t="str">
        <f t="shared" si="0"/>
        <v>gp_uzb-tjk</v>
      </c>
      <c r="F11" t="s">
        <v>3500</v>
      </c>
      <c r="H11" t="s">
        <v>3244</v>
      </c>
    </row>
    <row r="12" spans="1:8">
      <c r="A12" t="s">
        <v>3251</v>
      </c>
      <c r="B12" t="str">
        <f t="shared" si="0"/>
        <v>gp_mda-rou</v>
      </c>
      <c r="F12" t="s">
        <v>3501</v>
      </c>
      <c r="H12" t="s">
        <v>3252</v>
      </c>
    </row>
    <row r="13" spans="1:8">
      <c r="A13" t="s">
        <v>3253</v>
      </c>
      <c r="B13" t="str">
        <f t="shared" si="0"/>
        <v>gp_ukr-mda</v>
      </c>
      <c r="F13" t="s">
        <v>3502</v>
      </c>
      <c r="H13" t="s">
        <v>3252</v>
      </c>
    </row>
    <row r="14" spans="1:8">
      <c r="A14" t="s">
        <v>3254</v>
      </c>
      <c r="B14" t="str">
        <f t="shared" si="0"/>
        <v>gp_fra-che</v>
      </c>
      <c r="F14" t="s">
        <v>3503</v>
      </c>
      <c r="H14" t="s">
        <v>3255</v>
      </c>
    </row>
    <row r="15" spans="1:8">
      <c r="A15" t="s">
        <v>3256</v>
      </c>
      <c r="B15" t="str">
        <f t="shared" si="0"/>
        <v>gp_egy-jor</v>
      </c>
      <c r="F15" t="s">
        <v>3504</v>
      </c>
      <c r="H15" t="s">
        <v>3257</v>
      </c>
    </row>
    <row r="16" spans="1:8">
      <c r="A16" t="s">
        <v>3258</v>
      </c>
      <c r="B16" t="str">
        <f t="shared" si="0"/>
        <v>gp_rou-hun</v>
      </c>
      <c r="F16" t="s">
        <v>3505</v>
      </c>
      <c r="H16" t="s">
        <v>3259</v>
      </c>
    </row>
    <row r="17" spans="1:8">
      <c r="A17" t="s">
        <v>3260</v>
      </c>
      <c r="B17" t="str">
        <f t="shared" si="0"/>
        <v>gp_isr-egy</v>
      </c>
      <c r="F17" t="s">
        <v>3506</v>
      </c>
      <c r="H17" t="s">
        <v>3261</v>
      </c>
    </row>
    <row r="18" spans="1:8">
      <c r="A18" t="s">
        <v>3262</v>
      </c>
      <c r="B18" t="str">
        <f t="shared" si="0"/>
        <v>gp_aut-svn</v>
      </c>
      <c r="F18" t="s">
        <v>3507</v>
      </c>
      <c r="H18" t="s">
        <v>3263</v>
      </c>
    </row>
    <row r="19" spans="1:8">
      <c r="A19" t="s">
        <v>3264</v>
      </c>
      <c r="B19" t="str">
        <f t="shared" si="0"/>
        <v>gp_nld-gbr</v>
      </c>
      <c r="F19" t="s">
        <v>3508</v>
      </c>
      <c r="H19" t="s">
        <v>3265</v>
      </c>
    </row>
    <row r="20" spans="1:8">
      <c r="A20" t="s">
        <v>3266</v>
      </c>
      <c r="B20" t="str">
        <f t="shared" si="0"/>
        <v>gp_dnk-swe</v>
      </c>
      <c r="F20" t="s">
        <v>3509</v>
      </c>
      <c r="H20" t="s">
        <v>3267</v>
      </c>
    </row>
    <row r="21" spans="1:8">
      <c r="A21" t="s">
        <v>3268</v>
      </c>
      <c r="B21" t="str">
        <f t="shared" si="0"/>
        <v>gp_nor-dnk</v>
      </c>
      <c r="F21" t="s">
        <v>3510</v>
      </c>
      <c r="H21" t="s">
        <v>3267</v>
      </c>
    </row>
    <row r="22" spans="1:8">
      <c r="A22" t="s">
        <v>3269</v>
      </c>
      <c r="B22" t="str">
        <f t="shared" si="0"/>
        <v>gp_swe-pol</v>
      </c>
      <c r="F22" t="s">
        <v>3511</v>
      </c>
      <c r="H22" t="s">
        <v>3267</v>
      </c>
    </row>
    <row r="23" spans="1:8">
      <c r="A23" t="s">
        <v>3270</v>
      </c>
      <c r="B23" t="str">
        <f t="shared" si="0"/>
        <v>gp_fin-est</v>
      </c>
      <c r="F23" t="s">
        <v>3512</v>
      </c>
      <c r="H23" t="s">
        <v>3271</v>
      </c>
    </row>
    <row r="24" spans="1:8">
      <c r="A24" t="s">
        <v>3272</v>
      </c>
      <c r="B24" t="str">
        <f t="shared" si="0"/>
        <v>gp_can-usa</v>
      </c>
      <c r="F24" t="s">
        <v>3513</v>
      </c>
      <c r="H24" t="s">
        <v>3273</v>
      </c>
    </row>
    <row r="25" spans="1:8">
      <c r="A25" t="s">
        <v>677</v>
      </c>
      <c r="B25" t="str">
        <f t="shared" si="0"/>
        <v>gp_rus-tur - bluestream</v>
      </c>
      <c r="F25" t="s">
        <v>3514</v>
      </c>
      <c r="G25" t="s">
        <v>3627</v>
      </c>
      <c r="H25" t="s">
        <v>3274</v>
      </c>
    </row>
    <row r="26" spans="1:8">
      <c r="A26" t="s">
        <v>3275</v>
      </c>
      <c r="B26" t="str">
        <f t="shared" si="0"/>
        <v>gp_kgz-kaz</v>
      </c>
      <c r="F26" t="s">
        <v>3515</v>
      </c>
      <c r="H26" t="s">
        <v>3276</v>
      </c>
    </row>
    <row r="27" spans="1:8">
      <c r="A27" t="s">
        <v>3277</v>
      </c>
      <c r="B27" t="str">
        <f t="shared" si="0"/>
        <v>gp_uzb-kgz</v>
      </c>
      <c r="F27" t="s">
        <v>3516</v>
      </c>
      <c r="H27" t="s">
        <v>3276</v>
      </c>
    </row>
    <row r="28" spans="1:8">
      <c r="A28" t="s">
        <v>3278</v>
      </c>
      <c r="B28" t="str">
        <f t="shared" si="0"/>
        <v>gp_tkm-kaz</v>
      </c>
      <c r="F28" t="s">
        <v>3517</v>
      </c>
      <c r="H28" t="s">
        <v>3279</v>
      </c>
    </row>
    <row r="29" spans="1:8">
      <c r="A29" t="s">
        <v>3280</v>
      </c>
      <c r="B29" t="str">
        <f t="shared" si="0"/>
        <v>gp_uzb-rus</v>
      </c>
      <c r="F29" t="s">
        <v>3518</v>
      </c>
      <c r="H29" t="s">
        <v>3281</v>
      </c>
    </row>
    <row r="30" spans="1:8">
      <c r="A30" t="s">
        <v>3282</v>
      </c>
      <c r="B30" t="str">
        <f t="shared" si="0"/>
        <v>gp_uzb-tkm</v>
      </c>
      <c r="F30" t="s">
        <v>3519</v>
      </c>
      <c r="H30" t="s">
        <v>3279</v>
      </c>
    </row>
    <row r="31" spans="1:8">
      <c r="A31" t="s">
        <v>3283</v>
      </c>
      <c r="B31" t="str">
        <f t="shared" si="0"/>
        <v>gp_kaz-rus</v>
      </c>
      <c r="F31" t="s">
        <v>3520</v>
      </c>
      <c r="H31" t="s">
        <v>3284</v>
      </c>
    </row>
    <row r="32" spans="1:8">
      <c r="A32" t="s">
        <v>3285</v>
      </c>
      <c r="B32" t="str">
        <f t="shared" si="0"/>
        <v>gp_deu-nld</v>
      </c>
      <c r="F32" t="s">
        <v>3521</v>
      </c>
      <c r="H32" t="s">
        <v>3286</v>
      </c>
    </row>
    <row r="33" spans="1:8">
      <c r="A33" t="s">
        <v>3287</v>
      </c>
      <c r="B33" t="str">
        <f t="shared" si="0"/>
        <v>gp_tkm-uzb</v>
      </c>
      <c r="F33" t="s">
        <v>3522</v>
      </c>
      <c r="H33" t="s">
        <v>3288</v>
      </c>
    </row>
    <row r="34" spans="1:8">
      <c r="A34" t="s">
        <v>3289</v>
      </c>
      <c r="B34" t="str">
        <f t="shared" si="0"/>
        <v>gp_uzb-kaz</v>
      </c>
      <c r="F34" t="s">
        <v>3523</v>
      </c>
      <c r="H34" t="s">
        <v>3290</v>
      </c>
    </row>
    <row r="35" spans="1:8">
      <c r="A35" t="s">
        <v>3291</v>
      </c>
      <c r="B35" t="str">
        <f t="shared" si="0"/>
        <v>gp_kaz-chn</v>
      </c>
      <c r="F35" t="s">
        <v>3524</v>
      </c>
      <c r="H35" t="s">
        <v>3292</v>
      </c>
    </row>
    <row r="36" spans="1:8">
      <c r="A36" t="s">
        <v>3293</v>
      </c>
      <c r="B36" t="str">
        <f t="shared" si="0"/>
        <v>gp_tkm-chn</v>
      </c>
      <c r="F36" t="s">
        <v>3525</v>
      </c>
      <c r="H36" t="s">
        <v>3294</v>
      </c>
    </row>
    <row r="37" spans="1:8">
      <c r="A37" t="s">
        <v>3295</v>
      </c>
      <c r="B37" t="str">
        <f t="shared" si="0"/>
        <v>gp_tkm-rus</v>
      </c>
      <c r="F37" t="s">
        <v>3526</v>
      </c>
      <c r="H37" t="s">
        <v>3296</v>
      </c>
    </row>
    <row r="38" spans="1:8">
      <c r="A38" t="s">
        <v>3297</v>
      </c>
      <c r="B38" t="str">
        <f t="shared" si="0"/>
        <v>gp_qat-are</v>
      </c>
      <c r="F38" t="s">
        <v>3527</v>
      </c>
      <c r="H38" t="s">
        <v>3298</v>
      </c>
    </row>
    <row r="39" spans="1:8">
      <c r="A39" t="s">
        <v>3299</v>
      </c>
      <c r="B39" t="str">
        <f t="shared" si="0"/>
        <v>gp_are-omn</v>
      </c>
      <c r="F39" t="s">
        <v>3528</v>
      </c>
      <c r="H39" t="s">
        <v>3298</v>
      </c>
    </row>
    <row r="40" spans="1:8">
      <c r="A40" t="s">
        <v>3300</v>
      </c>
      <c r="B40" t="str">
        <f t="shared" si="0"/>
        <v>gp_hrv-hun</v>
      </c>
      <c r="F40" t="s">
        <v>3529</v>
      </c>
      <c r="H40" t="s">
        <v>3301</v>
      </c>
    </row>
    <row r="41" spans="1:8">
      <c r="A41" t="s">
        <v>3302</v>
      </c>
      <c r="B41" t="str">
        <f t="shared" si="0"/>
        <v>gp_fra-bel</v>
      </c>
      <c r="F41" t="s">
        <v>3530</v>
      </c>
      <c r="H41" t="s">
        <v>3303</v>
      </c>
    </row>
    <row r="42" spans="1:8">
      <c r="A42" t="s">
        <v>3304</v>
      </c>
      <c r="B42" t="str">
        <f t="shared" si="0"/>
        <v>gp_dza-tun</v>
      </c>
      <c r="F42" t="s">
        <v>3531</v>
      </c>
      <c r="H42" t="s">
        <v>3305</v>
      </c>
    </row>
    <row r="43" spans="1:8">
      <c r="A43" t="s">
        <v>3306</v>
      </c>
      <c r="B43" t="str">
        <f t="shared" si="0"/>
        <v>gp_nor-fra - franpipe</v>
      </c>
      <c r="F43" t="s">
        <v>3532</v>
      </c>
      <c r="G43" t="s">
        <v>3626</v>
      </c>
      <c r="H43" t="s">
        <v>3307</v>
      </c>
    </row>
    <row r="44" spans="1:8">
      <c r="A44" t="s">
        <v>3308</v>
      </c>
      <c r="B44" t="str">
        <f t="shared" si="0"/>
        <v>gp_pol-ltu</v>
      </c>
      <c r="F44" t="s">
        <v>3533</v>
      </c>
      <c r="H44" t="s">
        <v>3309</v>
      </c>
    </row>
    <row r="45" spans="1:8">
      <c r="A45" t="s">
        <v>3310</v>
      </c>
      <c r="B45" t="str">
        <f t="shared" si="0"/>
        <v>gp_grc-bgr</v>
      </c>
      <c r="F45" t="s">
        <v>3534</v>
      </c>
      <c r="H45" t="s">
        <v>3311</v>
      </c>
    </row>
    <row r="46" spans="1:8">
      <c r="A46" t="s">
        <v>3312</v>
      </c>
      <c r="B46" t="str">
        <f t="shared" si="0"/>
        <v>gp_arg-chl</v>
      </c>
      <c r="F46" t="s">
        <v>3535</v>
      </c>
      <c r="H46" t="s">
        <v>3313</v>
      </c>
    </row>
    <row r="47" spans="1:8">
      <c r="A47" t="s">
        <v>3314</v>
      </c>
      <c r="B47" t="str">
        <f t="shared" si="0"/>
        <v>gp_bol-bra</v>
      </c>
      <c r="F47" t="s">
        <v>3536</v>
      </c>
      <c r="H47" t="s">
        <v>3315</v>
      </c>
    </row>
    <row r="48" spans="1:8">
      <c r="A48" t="s">
        <v>3316</v>
      </c>
      <c r="B48" t="str">
        <f t="shared" si="0"/>
        <v>gp_arg-ury</v>
      </c>
      <c r="F48" t="s">
        <v>3537</v>
      </c>
      <c r="H48" t="s">
        <v>3317</v>
      </c>
    </row>
    <row r="49" spans="1:8">
      <c r="A49" t="s">
        <v>3318</v>
      </c>
      <c r="B49" t="str">
        <f t="shared" si="0"/>
        <v>gp_cze-deu</v>
      </c>
      <c r="F49" t="s">
        <v>3538</v>
      </c>
      <c r="H49" t="s">
        <v>3319</v>
      </c>
    </row>
    <row r="50" spans="1:8">
      <c r="A50" t="s">
        <v>3320</v>
      </c>
      <c r="B50" t="str">
        <f t="shared" si="0"/>
        <v>gp_rou-bgr</v>
      </c>
      <c r="F50" t="s">
        <v>3539</v>
      </c>
      <c r="H50" t="s">
        <v>3321</v>
      </c>
    </row>
    <row r="51" spans="1:8">
      <c r="A51" t="s">
        <v>3322</v>
      </c>
      <c r="B51" t="str">
        <f t="shared" si="0"/>
        <v>gp_bel-nld</v>
      </c>
      <c r="F51" t="s">
        <v>3540</v>
      </c>
      <c r="H51" t="s">
        <v>3323</v>
      </c>
    </row>
    <row r="52" spans="1:8">
      <c r="A52" t="s">
        <v>3324</v>
      </c>
      <c r="B52" t="str">
        <f t="shared" si="0"/>
        <v>gp_grc-ita</v>
      </c>
      <c r="F52" t="s">
        <v>3541</v>
      </c>
      <c r="H52" t="s">
        <v>3325</v>
      </c>
    </row>
    <row r="53" spans="1:8">
      <c r="A53" t="s">
        <v>3326</v>
      </c>
      <c r="B53" t="str">
        <f t="shared" si="0"/>
        <v>gp_lby-ita - greenstream</v>
      </c>
      <c r="F53" t="s">
        <v>3542</v>
      </c>
      <c r="G53" t="s">
        <v>3628</v>
      </c>
      <c r="H53" t="s">
        <v>3327</v>
      </c>
    </row>
    <row r="54" spans="1:8">
      <c r="A54" t="s">
        <v>3328</v>
      </c>
      <c r="B54" t="str">
        <f t="shared" si="0"/>
        <v>gp_idn-sgp</v>
      </c>
      <c r="F54" t="s">
        <v>3543</v>
      </c>
      <c r="H54" t="s">
        <v>3329</v>
      </c>
    </row>
    <row r="55" spans="1:8">
      <c r="A55" t="s">
        <v>3330</v>
      </c>
      <c r="B55" t="str">
        <f t="shared" si="0"/>
        <v>gp_aze-rus</v>
      </c>
      <c r="F55" t="s">
        <v>3544</v>
      </c>
      <c r="H55" t="s">
        <v>3331</v>
      </c>
    </row>
    <row r="56" spans="1:8">
      <c r="A56" t="s">
        <v>3332</v>
      </c>
      <c r="B56" t="str">
        <f t="shared" si="0"/>
        <v>gp_aze-irn</v>
      </c>
      <c r="F56" t="s">
        <v>3545</v>
      </c>
      <c r="H56" t="s">
        <v>3333</v>
      </c>
    </row>
    <row r="57" spans="1:8">
      <c r="A57" t="s">
        <v>3334</v>
      </c>
      <c r="B57" t="str">
        <f t="shared" si="0"/>
        <v>gp_aut-che</v>
      </c>
      <c r="F57" t="s">
        <v>3546</v>
      </c>
      <c r="H57" t="s">
        <v>3335</v>
      </c>
    </row>
    <row r="58" spans="1:8">
      <c r="A58" t="s">
        <v>3336</v>
      </c>
      <c r="B58" t="str">
        <f t="shared" si="0"/>
        <v>gp_ukr-rou</v>
      </c>
      <c r="F58" t="s">
        <v>3547</v>
      </c>
      <c r="H58" t="s">
        <v>3337</v>
      </c>
    </row>
    <row r="59" spans="1:8">
      <c r="A59" t="s">
        <v>3338</v>
      </c>
      <c r="B59" t="str">
        <f t="shared" si="0"/>
        <v>gp_irn-arm</v>
      </c>
      <c r="F59" t="s">
        <v>3548</v>
      </c>
      <c r="H59" t="s">
        <v>3339</v>
      </c>
    </row>
    <row r="60" spans="1:8">
      <c r="A60" t="s">
        <v>3340</v>
      </c>
      <c r="B60" t="str">
        <f t="shared" si="0"/>
        <v>gp_irn-irq</v>
      </c>
      <c r="F60" t="s">
        <v>3549</v>
      </c>
      <c r="H60" t="s">
        <v>3341</v>
      </c>
    </row>
    <row r="61" spans="1:8">
      <c r="A61" t="s">
        <v>3342</v>
      </c>
      <c r="B61" t="str">
        <f t="shared" si="0"/>
        <v>gp_esp-fra</v>
      </c>
      <c r="F61" t="s">
        <v>3550</v>
      </c>
      <c r="H61" t="s">
        <v>3343</v>
      </c>
    </row>
    <row r="62" spans="1:8">
      <c r="A62" t="s">
        <v>3344</v>
      </c>
      <c r="B62" t="str">
        <f t="shared" si="0"/>
        <v>gp_isr-jor</v>
      </c>
      <c r="F62" t="s">
        <v>3551</v>
      </c>
      <c r="H62" t="s">
        <v>3345</v>
      </c>
    </row>
    <row r="63" spans="1:8">
      <c r="A63" t="s">
        <v>3346</v>
      </c>
      <c r="B63" t="str">
        <f t="shared" si="0"/>
        <v>gp_blr-ukr</v>
      </c>
      <c r="F63" t="s">
        <v>3552</v>
      </c>
      <c r="H63" t="s">
        <v>3347</v>
      </c>
    </row>
    <row r="64" spans="1:8">
      <c r="A64" t="s">
        <v>3348</v>
      </c>
      <c r="B64" t="str">
        <f t="shared" si="0"/>
        <v>gp_rus-kaz</v>
      </c>
      <c r="F64" t="s">
        <v>3553</v>
      </c>
      <c r="H64" t="s">
        <v>3349</v>
      </c>
    </row>
    <row r="65" spans="1:8">
      <c r="A65" t="s">
        <v>3350</v>
      </c>
      <c r="B65" t="str">
        <f t="shared" si="0"/>
        <v>gp_blr-pol</v>
      </c>
      <c r="F65" t="s">
        <v>3554</v>
      </c>
      <c r="H65" t="s">
        <v>3351</v>
      </c>
    </row>
    <row r="66" spans="1:8">
      <c r="A66" t="s">
        <v>3352</v>
      </c>
      <c r="B66" t="str">
        <f t="shared" si="0"/>
        <v>gp_est-rus</v>
      </c>
      <c r="F66" t="s">
        <v>3555</v>
      </c>
      <c r="H66" t="s">
        <v>3353</v>
      </c>
    </row>
    <row r="67" spans="1:8">
      <c r="A67" t="s">
        <v>3354</v>
      </c>
      <c r="B67" t="str">
        <f t="shared" si="0"/>
        <v>gp_tkm-irn</v>
      </c>
      <c r="F67" t="s">
        <v>3556</v>
      </c>
      <c r="H67" t="s">
        <v>3355</v>
      </c>
    </row>
    <row r="68" spans="1:8">
      <c r="A68" t="s">
        <v>3356</v>
      </c>
      <c r="B68" t="str">
        <f t="shared" si="0"/>
        <v>gp_bgr-grc</v>
      </c>
      <c r="F68" t="s">
        <v>3557</v>
      </c>
      <c r="H68" t="s">
        <v>3357</v>
      </c>
    </row>
    <row r="69" spans="1:8">
      <c r="A69" t="s">
        <v>3358</v>
      </c>
      <c r="B69" t="str">
        <f t="shared" si="0"/>
        <v>gp_aut-svk</v>
      </c>
      <c r="F69" t="s">
        <v>3558</v>
      </c>
      <c r="H69" t="s">
        <v>3359</v>
      </c>
    </row>
    <row r="70" spans="1:8">
      <c r="A70" t="s">
        <v>3360</v>
      </c>
      <c r="B70" t="str">
        <f t="shared" ref="B70:B133" si="1">F70&amp;IF(G70="",""," - "&amp;G70)</f>
        <v>gp_fra-esp</v>
      </c>
      <c r="F70" t="s">
        <v>3559</v>
      </c>
      <c r="H70" t="s">
        <v>3361</v>
      </c>
    </row>
    <row r="71" spans="1:8">
      <c r="A71" t="s">
        <v>3362</v>
      </c>
      <c r="B71" t="str">
        <f t="shared" si="1"/>
        <v>gp_ltu-lva</v>
      </c>
      <c r="F71" t="s">
        <v>3560</v>
      </c>
      <c r="H71" t="s">
        <v>3363</v>
      </c>
    </row>
    <row r="72" spans="1:8">
      <c r="A72" t="s">
        <v>3364</v>
      </c>
      <c r="B72" t="str">
        <f t="shared" si="1"/>
        <v>gp_dza-esp - medgaz</v>
      </c>
      <c r="F72" t="s">
        <v>3561</v>
      </c>
      <c r="G72" t="s">
        <v>3632</v>
      </c>
      <c r="H72" t="s">
        <v>3365</v>
      </c>
    </row>
    <row r="73" spans="1:8">
      <c r="A73" t="s">
        <v>3366</v>
      </c>
      <c r="B73" t="str">
        <f t="shared" si="1"/>
        <v>gp_deu-fra</v>
      </c>
      <c r="F73" t="s">
        <v>3562</v>
      </c>
      <c r="H73" t="s">
        <v>3367</v>
      </c>
    </row>
    <row r="74" spans="1:8">
      <c r="A74" t="s">
        <v>3368</v>
      </c>
      <c r="B74" t="str">
        <f t="shared" si="1"/>
        <v>gp_usa-mex</v>
      </c>
      <c r="F74" t="s">
        <v>3563</v>
      </c>
      <c r="H74" t="s">
        <v>3369</v>
      </c>
    </row>
    <row r="75" spans="1:8">
      <c r="A75" t="s">
        <v>3370</v>
      </c>
      <c r="B75" t="str">
        <f t="shared" si="1"/>
        <v>gp_blr-rus</v>
      </c>
      <c r="F75" t="s">
        <v>3564</v>
      </c>
      <c r="H75" t="s">
        <v>3371</v>
      </c>
    </row>
    <row r="76" spans="1:8">
      <c r="A76" t="s">
        <v>3372</v>
      </c>
      <c r="B76" t="str">
        <f t="shared" si="1"/>
        <v>gp_moz-zaf</v>
      </c>
      <c r="F76" t="s">
        <v>3565</v>
      </c>
      <c r="H76" t="s">
        <v>3373</v>
      </c>
    </row>
    <row r="77" spans="1:8">
      <c r="A77" t="s">
        <v>3374</v>
      </c>
      <c r="B77" t="str">
        <f t="shared" si="1"/>
        <v>gp_dnk-nld</v>
      </c>
      <c r="F77" t="s">
        <v>3566</v>
      </c>
      <c r="H77" t="s">
        <v>3375</v>
      </c>
    </row>
    <row r="78" spans="1:8">
      <c r="A78" t="s">
        <v>3376</v>
      </c>
      <c r="B78" t="str">
        <f t="shared" si="1"/>
        <v>gp_nor-deu</v>
      </c>
      <c r="F78" t="s">
        <v>3567</v>
      </c>
      <c r="H78" t="s">
        <v>3377</v>
      </c>
    </row>
    <row r="79" spans="1:8">
      <c r="A79" t="s">
        <v>3378</v>
      </c>
      <c r="B79" t="str">
        <f t="shared" si="1"/>
        <v>gp_geo-arm</v>
      </c>
      <c r="F79" t="s">
        <v>3568</v>
      </c>
      <c r="H79" t="s">
        <v>3379</v>
      </c>
    </row>
    <row r="80" spans="1:8">
      <c r="A80" t="s">
        <v>3380</v>
      </c>
      <c r="B80" t="str">
        <f t="shared" si="1"/>
        <v>gp_rus-geo</v>
      </c>
      <c r="F80" t="s">
        <v>3569</v>
      </c>
      <c r="H80" t="s">
        <v>3381</v>
      </c>
    </row>
    <row r="81" spans="1:8">
      <c r="A81" t="s">
        <v>3382</v>
      </c>
      <c r="B81" t="str">
        <f t="shared" si="1"/>
        <v>gp_gbr-nor</v>
      </c>
      <c r="F81" t="s">
        <v>3570</v>
      </c>
      <c r="H81" t="s">
        <v>3383</v>
      </c>
    </row>
    <row r="82" spans="1:8">
      <c r="A82" t="s">
        <v>3384</v>
      </c>
      <c r="B82" t="str">
        <f t="shared" si="1"/>
        <v>gp_kaz-tkm</v>
      </c>
      <c r="F82" t="s">
        <v>3571</v>
      </c>
      <c r="H82" t="s">
        <v>3385</v>
      </c>
    </row>
    <row r="83" spans="1:8">
      <c r="A83" t="s">
        <v>3386</v>
      </c>
      <c r="B83" t="str">
        <f t="shared" si="1"/>
        <v>gp_svk-hun</v>
      </c>
      <c r="F83" t="s">
        <v>3572</v>
      </c>
      <c r="H83" t="s">
        <v>3387</v>
      </c>
    </row>
    <row r="84" spans="1:8">
      <c r="A84" t="s">
        <v>3388</v>
      </c>
      <c r="B84" t="str">
        <f t="shared" si="1"/>
        <v>gp_arg-bra</v>
      </c>
      <c r="F84" t="s">
        <v>3573</v>
      </c>
      <c r="H84" t="s">
        <v>3389</v>
      </c>
    </row>
    <row r="85" spans="1:8">
      <c r="A85" t="s">
        <v>3390</v>
      </c>
      <c r="B85" t="str">
        <f t="shared" si="1"/>
        <v>gp_bel-fra</v>
      </c>
      <c r="F85" t="s">
        <v>3574</v>
      </c>
      <c r="H85" t="s">
        <v>3391</v>
      </c>
    </row>
    <row r="86" spans="1:8">
      <c r="A86" t="s">
        <v>3392</v>
      </c>
      <c r="B86" t="str">
        <f t="shared" si="1"/>
        <v>gp_pol-svk</v>
      </c>
      <c r="F86" t="s">
        <v>3575</v>
      </c>
      <c r="H86" t="s">
        <v>3393</v>
      </c>
    </row>
    <row r="87" spans="1:8">
      <c r="A87" t="s">
        <v>3394</v>
      </c>
      <c r="B87" t="str">
        <f t="shared" si="1"/>
        <v>gp_nld-deu</v>
      </c>
      <c r="F87" t="s">
        <v>3576</v>
      </c>
      <c r="H87" t="s">
        <v>3395</v>
      </c>
    </row>
    <row r="88" spans="1:8">
      <c r="A88" t="s">
        <v>3396</v>
      </c>
      <c r="B88" t="str">
        <f t="shared" si="1"/>
        <v>gp_svn-ita</v>
      </c>
      <c r="F88" t="s">
        <v>3577</v>
      </c>
      <c r="H88" t="s">
        <v>3397</v>
      </c>
    </row>
    <row r="89" spans="1:8">
      <c r="A89" t="s">
        <v>3398</v>
      </c>
      <c r="B89" t="str">
        <f t="shared" si="1"/>
        <v>gp_rou-mda</v>
      </c>
      <c r="F89" t="s">
        <v>3578</v>
      </c>
      <c r="H89" t="s">
        <v>3399</v>
      </c>
    </row>
    <row r="90" spans="1:8">
      <c r="A90" t="s">
        <v>3400</v>
      </c>
      <c r="B90" t="str">
        <f t="shared" si="1"/>
        <v>gp_srb-hun</v>
      </c>
      <c r="F90" t="s">
        <v>3579</v>
      </c>
      <c r="H90" t="s">
        <v>3401</v>
      </c>
    </row>
    <row r="91" spans="1:8">
      <c r="A91" t="s">
        <v>678</v>
      </c>
      <c r="B91" t="str">
        <f t="shared" si="1"/>
        <v>gp_rus-ukr</v>
      </c>
      <c r="F91" t="s">
        <v>3580</v>
      </c>
      <c r="H91" t="s">
        <v>3402</v>
      </c>
    </row>
    <row r="92" spans="1:8">
      <c r="A92" t="s">
        <v>3403</v>
      </c>
      <c r="B92" t="str">
        <f t="shared" si="1"/>
        <v>gp_mmr-chn</v>
      </c>
      <c r="F92" t="s">
        <v>3581</v>
      </c>
      <c r="H92" t="s">
        <v>3404</v>
      </c>
    </row>
    <row r="93" spans="1:8">
      <c r="A93" t="s">
        <v>3405</v>
      </c>
      <c r="B93" t="str">
        <f t="shared" si="1"/>
        <v>gp_mkd-bgr</v>
      </c>
      <c r="F93" t="s">
        <v>3582</v>
      </c>
      <c r="H93" t="s">
        <v>3406</v>
      </c>
    </row>
    <row r="94" spans="1:8">
      <c r="A94" t="s">
        <v>3407</v>
      </c>
      <c r="B94" t="str">
        <f t="shared" si="1"/>
        <v>gp_aze-geo</v>
      </c>
      <c r="F94" t="s">
        <v>3583</v>
      </c>
      <c r="H94" t="s">
        <v>3408</v>
      </c>
    </row>
    <row r="95" spans="1:8">
      <c r="A95" t="s">
        <v>3409</v>
      </c>
      <c r="B95" t="str">
        <f t="shared" si="1"/>
        <v>gp_geo-tur</v>
      </c>
      <c r="F95" t="s">
        <v>3584</v>
      </c>
      <c r="H95" t="s">
        <v>3410</v>
      </c>
    </row>
    <row r="96" spans="1:8">
      <c r="A96" t="s">
        <v>3411</v>
      </c>
      <c r="B96" t="str">
        <f t="shared" si="1"/>
        <v>gp_bgr-tur</v>
      </c>
      <c r="F96" t="s">
        <v>3585</v>
      </c>
      <c r="H96" t="s">
        <v>3412</v>
      </c>
    </row>
    <row r="97" spans="1:8">
      <c r="A97" t="s">
        <v>3413</v>
      </c>
      <c r="B97" t="str">
        <f t="shared" si="1"/>
        <v>gp_irn-tur</v>
      </c>
      <c r="F97" t="s">
        <v>3586</v>
      </c>
      <c r="H97" t="s">
        <v>3414</v>
      </c>
    </row>
    <row r="98" spans="1:8">
      <c r="A98" t="s">
        <v>3415</v>
      </c>
      <c r="B98" t="str">
        <f t="shared" si="1"/>
        <v>gp_rus-blr</v>
      </c>
      <c r="F98" t="s">
        <v>3587</v>
      </c>
      <c r="H98" t="s">
        <v>3416</v>
      </c>
    </row>
    <row r="99" spans="1:8">
      <c r="A99" t="s">
        <v>3417</v>
      </c>
      <c r="B99" t="str">
        <f t="shared" si="1"/>
        <v>gp_deu-che</v>
      </c>
      <c r="F99" t="s">
        <v>3588</v>
      </c>
      <c r="H99" t="s">
        <v>3418</v>
      </c>
    </row>
    <row r="100" spans="1:8">
      <c r="A100" t="s">
        <v>3419</v>
      </c>
      <c r="B100" t="str">
        <f t="shared" si="1"/>
        <v>gp_mys-tha</v>
      </c>
      <c r="F100" t="s">
        <v>3589</v>
      </c>
      <c r="H100" t="s">
        <v>3420</v>
      </c>
    </row>
    <row r="101" spans="1:8">
      <c r="A101" t="s">
        <v>3421</v>
      </c>
      <c r="B101" t="str">
        <f t="shared" si="1"/>
        <v>gp_alb-ita</v>
      </c>
      <c r="F101" t="s">
        <v>3590</v>
      </c>
      <c r="H101" t="s">
        <v>3422</v>
      </c>
    </row>
    <row r="102" spans="1:8">
      <c r="A102" t="s">
        <v>3423</v>
      </c>
      <c r="B102" t="str">
        <f t="shared" si="1"/>
        <v>gp_grc-alb</v>
      </c>
      <c r="F102" t="s">
        <v>3591</v>
      </c>
      <c r="H102" t="s">
        <v>3422</v>
      </c>
    </row>
    <row r="103" spans="1:8">
      <c r="A103" t="s">
        <v>3424</v>
      </c>
      <c r="B103" t="str">
        <f t="shared" si="1"/>
        <v>gp_geo-grc</v>
      </c>
      <c r="F103" t="s">
        <v>3592</v>
      </c>
      <c r="H103" t="s">
        <v>3425</v>
      </c>
    </row>
    <row r="104" spans="1:8">
      <c r="A104" t="s">
        <v>3426</v>
      </c>
      <c r="B104" t="str">
        <f t="shared" si="1"/>
        <v>gp_grc-tur</v>
      </c>
      <c r="F104" t="s">
        <v>3593</v>
      </c>
      <c r="H104" t="s">
        <v>3425</v>
      </c>
    </row>
    <row r="105" spans="1:8">
      <c r="A105" t="s">
        <v>3427</v>
      </c>
      <c r="B105" t="str">
        <f t="shared" si="1"/>
        <v>gp_tur-bgr</v>
      </c>
      <c r="F105" t="s">
        <v>3594</v>
      </c>
      <c r="H105" t="s">
        <v>3428</v>
      </c>
    </row>
    <row r="106" spans="1:8">
      <c r="A106" t="s">
        <v>3429</v>
      </c>
      <c r="B106" t="str">
        <f t="shared" si="1"/>
        <v>gp_bgr-rou</v>
      </c>
      <c r="F106" t="s">
        <v>3595</v>
      </c>
      <c r="H106" t="s">
        <v>3430</v>
      </c>
    </row>
    <row r="107" spans="1:8">
      <c r="A107" t="s">
        <v>3431</v>
      </c>
      <c r="B107" t="str">
        <f t="shared" si="1"/>
        <v>gp_ita-svn</v>
      </c>
      <c r="F107" t="s">
        <v>3596</v>
      </c>
      <c r="H107" t="s">
        <v>3432</v>
      </c>
    </row>
    <row r="108" spans="1:8">
      <c r="A108" t="s">
        <v>3433</v>
      </c>
      <c r="B108" t="str">
        <f t="shared" si="1"/>
        <v>gp_tun-ita</v>
      </c>
      <c r="F108" t="s">
        <v>3597</v>
      </c>
      <c r="H108" t="s">
        <v>3432</v>
      </c>
    </row>
    <row r="109" spans="1:8">
      <c r="A109" t="s">
        <v>3434</v>
      </c>
      <c r="B109" t="str">
        <f t="shared" si="1"/>
        <v>gp_che-fra</v>
      </c>
      <c r="F109" t="s">
        <v>3598</v>
      </c>
      <c r="H109" t="s">
        <v>3435</v>
      </c>
    </row>
    <row r="110" spans="1:8">
      <c r="A110" t="s">
        <v>3436</v>
      </c>
      <c r="B110" t="str">
        <f t="shared" si="1"/>
        <v>gp_tur-grc</v>
      </c>
      <c r="F110" t="s">
        <v>3599</v>
      </c>
      <c r="H110" t="s">
        <v>3437</v>
      </c>
    </row>
    <row r="111" spans="1:8">
      <c r="A111" t="s">
        <v>3438</v>
      </c>
      <c r="B111" t="str">
        <f t="shared" si="1"/>
        <v>gp_bgr-srb - turkstream</v>
      </c>
      <c r="F111" t="s">
        <v>3600</v>
      </c>
      <c r="G111" t="s">
        <v>3633</v>
      </c>
      <c r="H111" t="s">
        <v>3439</v>
      </c>
    </row>
    <row r="112" spans="1:8">
      <c r="A112" t="s">
        <v>3440</v>
      </c>
      <c r="B112" t="str">
        <f t="shared" si="1"/>
        <v>gp_rus-bgr - turkstream</v>
      </c>
      <c r="F112" t="s">
        <v>3601</v>
      </c>
      <c r="G112" t="s">
        <v>3633</v>
      </c>
      <c r="H112" t="s">
        <v>3439</v>
      </c>
    </row>
    <row r="113" spans="1:8">
      <c r="A113" t="s">
        <v>3441</v>
      </c>
      <c r="B113" t="str">
        <f t="shared" si="1"/>
        <v>gp_gbr-irl</v>
      </c>
      <c r="F113" t="s">
        <v>3602</v>
      </c>
      <c r="H113" t="s">
        <v>3442</v>
      </c>
    </row>
    <row r="114" spans="1:8">
      <c r="A114" t="s">
        <v>3443</v>
      </c>
      <c r="B114" t="str">
        <f t="shared" si="1"/>
        <v>gp_svk-aut</v>
      </c>
      <c r="F114" t="s">
        <v>3603</v>
      </c>
      <c r="H114" t="s">
        <v>3444</v>
      </c>
    </row>
    <row r="115" spans="1:8">
      <c r="A115" t="s">
        <v>3445</v>
      </c>
      <c r="B115" t="str">
        <f t="shared" si="1"/>
        <v>gp_ukr-svk</v>
      </c>
      <c r="F115" t="s">
        <v>3604</v>
      </c>
      <c r="H115" t="s">
        <v>3446</v>
      </c>
    </row>
    <row r="116" spans="1:8">
      <c r="A116" t="s">
        <v>3447</v>
      </c>
      <c r="B116" t="str">
        <f t="shared" si="1"/>
        <v>gp_rus-est</v>
      </c>
      <c r="F116" t="s">
        <v>3605</v>
      </c>
      <c r="H116" t="s">
        <v>3448</v>
      </c>
    </row>
    <row r="117" spans="1:8">
      <c r="A117" t="s">
        <v>3449</v>
      </c>
      <c r="B117" t="str">
        <f t="shared" si="1"/>
        <v>gp_est-lva</v>
      </c>
      <c r="F117" t="s">
        <v>3606</v>
      </c>
      <c r="H117" t="s">
        <v>3450</v>
      </c>
    </row>
    <row r="118" spans="1:8">
      <c r="A118" t="s">
        <v>3451</v>
      </c>
      <c r="B118" t="str">
        <f t="shared" si="1"/>
        <v>gp_usa-can</v>
      </c>
      <c r="F118" t="s">
        <v>3607</v>
      </c>
      <c r="H118" t="s">
        <v>3452</v>
      </c>
    </row>
    <row r="119" spans="1:8">
      <c r="A119" t="s">
        <v>3453</v>
      </c>
      <c r="B119" t="str">
        <f t="shared" si="1"/>
        <v>gp_nor-gbr</v>
      </c>
      <c r="F119" t="s">
        <v>3608</v>
      </c>
      <c r="H119" t="s">
        <v>3454</v>
      </c>
    </row>
    <row r="120" spans="1:8">
      <c r="A120" t="s">
        <v>3455</v>
      </c>
      <c r="B120" t="str">
        <f t="shared" si="1"/>
        <v>gp_svk-ukr</v>
      </c>
      <c r="F120" t="s">
        <v>3609</v>
      </c>
      <c r="H120" t="s">
        <v>3456</v>
      </c>
    </row>
    <row r="121" spans="1:8">
      <c r="A121" t="s">
        <v>3457</v>
      </c>
      <c r="B121" t="str">
        <f t="shared" si="1"/>
        <v>gp_hun-hrv</v>
      </c>
      <c r="F121" t="s">
        <v>3610</v>
      </c>
      <c r="H121" t="s">
        <v>3458</v>
      </c>
    </row>
    <row r="122" spans="1:8">
      <c r="A122" t="s">
        <v>3459</v>
      </c>
      <c r="B122" t="str">
        <f t="shared" si="1"/>
        <v>gp_bel-lux</v>
      </c>
      <c r="F122" t="s">
        <v>3611</v>
      </c>
      <c r="H122" t="s">
        <v>3460</v>
      </c>
    </row>
    <row r="123" spans="1:8">
      <c r="A123" t="s">
        <v>3461</v>
      </c>
      <c r="B123" t="str">
        <f t="shared" si="1"/>
        <v>gp_deu-bel</v>
      </c>
      <c r="F123" t="s">
        <v>3612</v>
      </c>
      <c r="H123" t="s">
        <v>3462</v>
      </c>
    </row>
    <row r="124" spans="1:8">
      <c r="A124" t="s">
        <v>3463</v>
      </c>
      <c r="B124" t="str">
        <f t="shared" si="1"/>
        <v>gp_nga-ben</v>
      </c>
      <c r="F124" t="s">
        <v>3613</v>
      </c>
      <c r="H124" t="s">
        <v>3464</v>
      </c>
    </row>
    <row r="125" spans="1:8">
      <c r="A125" t="s">
        <v>3465</v>
      </c>
      <c r="B125" t="str">
        <f t="shared" si="1"/>
        <v>gp_tgo-gha</v>
      </c>
      <c r="F125" t="s">
        <v>3614</v>
      </c>
      <c r="H125" t="s">
        <v>3464</v>
      </c>
    </row>
    <row r="126" spans="1:8">
      <c r="A126" t="s">
        <v>3328</v>
      </c>
      <c r="B126" t="str">
        <f t="shared" si="1"/>
        <v>gp_idn-sgp</v>
      </c>
      <c r="F126" t="s">
        <v>3543</v>
      </c>
      <c r="H126" t="s">
        <v>3466</v>
      </c>
    </row>
    <row r="127" spans="1:8">
      <c r="A127" t="s">
        <v>3467</v>
      </c>
      <c r="B127" t="str">
        <f t="shared" si="1"/>
        <v>gp_nld-bel</v>
      </c>
      <c r="F127" t="s">
        <v>3615</v>
      </c>
      <c r="H127" t="s">
        <v>3468</v>
      </c>
    </row>
    <row r="128" spans="1:8">
      <c r="A128" t="s">
        <v>3469</v>
      </c>
      <c r="B128" t="str">
        <f t="shared" si="1"/>
        <v>gp_bol-arg</v>
      </c>
      <c r="F128" t="s">
        <v>3616</v>
      </c>
      <c r="H128" t="s">
        <v>3470</v>
      </c>
    </row>
    <row r="129" spans="1:8">
      <c r="A129" t="s">
        <v>3350</v>
      </c>
      <c r="B129" t="str">
        <f t="shared" si="1"/>
        <v>gp_blr-pol - yamal</v>
      </c>
      <c r="F129" t="s">
        <v>3554</v>
      </c>
      <c r="G129" t="s">
        <v>3629</v>
      </c>
      <c r="H129" t="s">
        <v>3471</v>
      </c>
    </row>
    <row r="130" spans="1:8">
      <c r="A130" t="s">
        <v>3472</v>
      </c>
      <c r="B130" t="str">
        <f t="shared" si="1"/>
        <v>gp_pol-deu - yamal</v>
      </c>
      <c r="F130" t="s">
        <v>3617</v>
      </c>
      <c r="G130" t="s">
        <v>3629</v>
      </c>
      <c r="H130" t="s">
        <v>3471</v>
      </c>
    </row>
    <row r="131" spans="1:8">
      <c r="A131" t="s">
        <v>3415</v>
      </c>
      <c r="B131" t="str">
        <f t="shared" si="1"/>
        <v>gp_rus-blr - yamal</v>
      </c>
      <c r="F131" t="s">
        <v>3587</v>
      </c>
      <c r="G131" t="s">
        <v>3629</v>
      </c>
      <c r="H131" t="s">
        <v>3471</v>
      </c>
    </row>
    <row r="132" spans="1:8">
      <c r="A132" t="s">
        <v>3473</v>
      </c>
      <c r="B132" t="str">
        <f t="shared" si="1"/>
        <v>gp_deu-pol - yamal-rev</v>
      </c>
      <c r="F132" t="s">
        <v>3618</v>
      </c>
      <c r="G132" t="s">
        <v>3630</v>
      </c>
      <c r="H132" t="s">
        <v>3474</v>
      </c>
    </row>
    <row r="133" spans="1:8">
      <c r="A133" t="s">
        <v>3475</v>
      </c>
      <c r="B133" t="str">
        <f t="shared" si="1"/>
        <v>gp_mmr-tha</v>
      </c>
      <c r="F133" t="s">
        <v>3619</v>
      </c>
      <c r="H133" t="s">
        <v>3476</v>
      </c>
    </row>
    <row r="134" spans="1:8">
      <c r="A134" t="s">
        <v>3477</v>
      </c>
      <c r="B134" t="str">
        <f t="shared" ref="B134:B144" si="2">F134&amp;IF(G134="",""," - "&amp;G134)</f>
        <v>gp_bel-gbr</v>
      </c>
      <c r="F134" t="s">
        <v>3620</v>
      </c>
      <c r="H134" t="s">
        <v>3478</v>
      </c>
    </row>
    <row r="135" spans="1:8">
      <c r="A135" t="s">
        <v>3479</v>
      </c>
      <c r="B135" t="str">
        <f t="shared" si="2"/>
        <v>gp_gbr-bel</v>
      </c>
      <c r="F135" t="s">
        <v>3621</v>
      </c>
      <c r="H135" t="s">
        <v>3480</v>
      </c>
    </row>
    <row r="136" spans="1:8">
      <c r="A136" t="s">
        <v>3481</v>
      </c>
      <c r="B136" t="str">
        <f t="shared" si="2"/>
        <v>gp_nor-bel</v>
      </c>
      <c r="F136" t="s">
        <v>3622</v>
      </c>
      <c r="H136" t="s">
        <v>3482</v>
      </c>
    </row>
    <row r="137" spans="1:8">
      <c r="A137" t="s">
        <v>3483</v>
      </c>
      <c r="B137" t="str">
        <f t="shared" si="2"/>
        <v>gp_rus-deu - nordstream</v>
      </c>
      <c r="F137" t="s">
        <v>3623</v>
      </c>
      <c r="G137" t="s">
        <v>3631</v>
      </c>
      <c r="H137" t="s">
        <v>3484</v>
      </c>
    </row>
    <row r="138" spans="1:8">
      <c r="A138" t="s">
        <v>3438</v>
      </c>
      <c r="B138" t="str">
        <f t="shared" si="2"/>
        <v>gp_bgr-srb</v>
      </c>
      <c r="F138" t="s">
        <v>3600</v>
      </c>
      <c r="H138" t="s">
        <v>3485</v>
      </c>
    </row>
    <row r="139" spans="1:8">
      <c r="A139" t="s">
        <v>3293</v>
      </c>
      <c r="B139" t="str">
        <f t="shared" si="2"/>
        <v>gp_tkm-chn</v>
      </c>
      <c r="F139" t="s">
        <v>3525</v>
      </c>
      <c r="H139" t="s">
        <v>3486</v>
      </c>
    </row>
    <row r="140" spans="1:8">
      <c r="A140" t="s">
        <v>3487</v>
      </c>
      <c r="B140" t="str">
        <f t="shared" si="2"/>
        <v>gp_irn-pak</v>
      </c>
      <c r="F140" t="s">
        <v>3624</v>
      </c>
      <c r="H140" t="s">
        <v>3488</v>
      </c>
    </row>
    <row r="141" spans="1:8">
      <c r="A141" t="s">
        <v>3260</v>
      </c>
      <c r="B141" t="str">
        <f t="shared" si="2"/>
        <v>gp_isr-egy</v>
      </c>
      <c r="F141" t="s">
        <v>3506</v>
      </c>
      <c r="H141" t="s">
        <v>3489</v>
      </c>
    </row>
    <row r="142" spans="1:8">
      <c r="A142" t="s">
        <v>3362</v>
      </c>
      <c r="B142" t="str">
        <f t="shared" si="2"/>
        <v>gp_ltu-lva</v>
      </c>
      <c r="F142" t="s">
        <v>3560</v>
      </c>
      <c r="H142" t="s">
        <v>3490</v>
      </c>
    </row>
    <row r="143" spans="1:8">
      <c r="A143" t="s">
        <v>3491</v>
      </c>
      <c r="B143" t="str">
        <f t="shared" si="2"/>
        <v>gp_irn-aze</v>
      </c>
      <c r="F143" t="s">
        <v>3625</v>
      </c>
      <c r="H143" t="s">
        <v>3492</v>
      </c>
    </row>
    <row r="144" spans="1:8">
      <c r="A144" t="s">
        <v>678</v>
      </c>
      <c r="B144" t="str">
        <f t="shared" si="2"/>
        <v>gp_rus-ukr</v>
      </c>
      <c r="F144" t="s">
        <v>3580</v>
      </c>
      <c r="H144" t="s">
        <v>3493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"/>
  <dimension ref="A1:L48"/>
  <sheetViews>
    <sheetView workbookViewId="0">
      <selection activeCell="A10" sqref="A10"/>
    </sheetView>
  </sheetViews>
  <sheetFormatPr defaultRowHeight="15"/>
  <cols>
    <col min="1" max="1" width="11.28515625" bestFit="1" customWidth="1"/>
    <col min="2" max="2" width="34.85546875" bestFit="1" customWidth="1"/>
    <col min="3" max="3" width="20.140625" bestFit="1" customWidth="1"/>
    <col min="5" max="5" width="15.85546875" bestFit="1" customWidth="1"/>
    <col min="6" max="6" width="15.42578125" bestFit="1" customWidth="1"/>
    <col min="7" max="7" width="42.85546875" bestFit="1" customWidth="1"/>
  </cols>
  <sheetData>
    <row r="1" spans="1:3">
      <c r="A1" t="s">
        <v>149</v>
      </c>
    </row>
    <row r="2" spans="1:3">
      <c r="A2" t="s">
        <v>150</v>
      </c>
      <c r="B2" t="s">
        <v>151</v>
      </c>
      <c r="C2" t="s">
        <v>152</v>
      </c>
    </row>
    <row r="3" spans="1:3">
      <c r="A3" t="s">
        <v>153</v>
      </c>
      <c r="B3" t="s">
        <v>624</v>
      </c>
      <c r="C3" t="s">
        <v>623</v>
      </c>
    </row>
    <row r="4" spans="1:3">
      <c r="A4" t="s">
        <v>153</v>
      </c>
      <c r="B4" t="s">
        <v>625</v>
      </c>
      <c r="C4" t="s">
        <v>626</v>
      </c>
    </row>
    <row r="5" spans="1:3">
      <c r="A5" t="s">
        <v>153</v>
      </c>
      <c r="B5" t="s">
        <v>244</v>
      </c>
      <c r="C5" t="s">
        <v>154</v>
      </c>
    </row>
    <row r="6" spans="1:3">
      <c r="A6" t="s">
        <v>153</v>
      </c>
      <c r="B6" t="s">
        <v>285</v>
      </c>
      <c r="C6" t="s">
        <v>518</v>
      </c>
    </row>
    <row r="7" spans="1:3">
      <c r="A7" t="s">
        <v>153</v>
      </c>
      <c r="B7" t="s">
        <v>517</v>
      </c>
      <c r="C7" t="s">
        <v>157</v>
      </c>
    </row>
    <row r="8" spans="1:3">
      <c r="A8" t="s">
        <v>153</v>
      </c>
      <c r="B8" t="s">
        <v>574</v>
      </c>
      <c r="C8" t="s">
        <v>158</v>
      </c>
    </row>
    <row r="9" spans="1:3">
      <c r="A9" t="s">
        <v>153</v>
      </c>
      <c r="B9" t="s">
        <v>575</v>
      </c>
      <c r="C9" t="s">
        <v>159</v>
      </c>
    </row>
    <row r="10" spans="1:3">
      <c r="A10" t="s">
        <v>153</v>
      </c>
      <c r="B10" t="s">
        <v>3779</v>
      </c>
      <c r="C10" t="s">
        <v>3780</v>
      </c>
    </row>
    <row r="11" spans="1:3">
      <c r="A11" t="s">
        <v>153</v>
      </c>
      <c r="B11" t="s">
        <v>491</v>
      </c>
      <c r="C11" t="s">
        <v>160</v>
      </c>
    </row>
    <row r="12" spans="1:3">
      <c r="A12" t="s">
        <v>153</v>
      </c>
      <c r="B12" t="s">
        <v>635</v>
      </c>
      <c r="C12" t="s">
        <v>147</v>
      </c>
    </row>
    <row r="13" spans="1:3">
      <c r="A13" t="s">
        <v>153</v>
      </c>
      <c r="B13" t="s">
        <v>292</v>
      </c>
      <c r="C13" t="s">
        <v>292</v>
      </c>
    </row>
    <row r="14" spans="1:3">
      <c r="A14" t="s">
        <v>153</v>
      </c>
      <c r="B14" t="s">
        <v>515</v>
      </c>
      <c r="C14" t="s">
        <v>519</v>
      </c>
    </row>
    <row r="15" spans="1:3">
      <c r="A15" t="s">
        <v>153</v>
      </c>
      <c r="B15" t="s">
        <v>516</v>
      </c>
      <c r="C15" t="s">
        <v>520</v>
      </c>
    </row>
    <row r="16" spans="1:3">
      <c r="A16" t="s">
        <v>153</v>
      </c>
      <c r="B16" t="s">
        <v>514</v>
      </c>
      <c r="C16" t="s">
        <v>514</v>
      </c>
    </row>
    <row r="17" spans="1:12">
      <c r="A17" t="s">
        <v>153</v>
      </c>
      <c r="B17" t="s">
        <v>834</v>
      </c>
      <c r="C17" t="s">
        <v>833</v>
      </c>
      <c r="G17" t="s">
        <v>153</v>
      </c>
      <c r="H17" t="str">
        <f>L17&amp;"[_]s*"</f>
        <v>Solar[_]s*</v>
      </c>
      <c r="I17" t="str">
        <f>L17&amp;" source/use"</f>
        <v>Solar source/use</v>
      </c>
      <c r="L17" s="10" t="s">
        <v>17</v>
      </c>
    </row>
    <row r="18" spans="1:12">
      <c r="A18" s="14" t="s">
        <v>153</v>
      </c>
      <c r="B18" s="14" t="s">
        <v>284</v>
      </c>
      <c r="C18" s="14" t="s">
        <v>154</v>
      </c>
      <c r="G18" t="s">
        <v>153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0" t="s">
        <v>18</v>
      </c>
    </row>
    <row r="19" spans="1:12">
      <c r="A19" t="s">
        <v>188</v>
      </c>
      <c r="B19" t="s">
        <v>383</v>
      </c>
      <c r="C19" t="s">
        <v>384</v>
      </c>
      <c r="G19" t="s">
        <v>153</v>
      </c>
      <c r="H19" t="str">
        <f t="shared" si="0"/>
        <v>Hydro[_]s*</v>
      </c>
      <c r="I19" t="str">
        <f t="shared" si="1"/>
        <v>Hydro source/use</v>
      </c>
      <c r="L19" s="10" t="s">
        <v>14</v>
      </c>
    </row>
    <row r="20" spans="1:12">
      <c r="A20" t="s">
        <v>188</v>
      </c>
      <c r="B20" t="s">
        <v>385</v>
      </c>
      <c r="C20" t="s">
        <v>189</v>
      </c>
      <c r="G20" t="s">
        <v>153</v>
      </c>
      <c r="H20" t="str">
        <f t="shared" si="0"/>
        <v>Geotherm[_]s*</v>
      </c>
      <c r="I20" t="str">
        <f t="shared" si="1"/>
        <v>Geotherm source/use</v>
      </c>
      <c r="L20" s="10" t="s">
        <v>318</v>
      </c>
    </row>
    <row r="21" spans="1:12">
      <c r="A21" t="s">
        <v>188</v>
      </c>
      <c r="B21" t="s">
        <v>386</v>
      </c>
      <c r="C21" t="s">
        <v>190</v>
      </c>
      <c r="G21" t="s">
        <v>153</v>
      </c>
      <c r="H21" t="str">
        <f t="shared" si="0"/>
        <v>Biomass[_]s*</v>
      </c>
      <c r="I21" t="str">
        <f t="shared" si="1"/>
        <v>Biomass source/use</v>
      </c>
      <c r="L21" s="10" t="s">
        <v>41</v>
      </c>
    </row>
    <row r="22" spans="1:12">
      <c r="A22" t="s">
        <v>188</v>
      </c>
      <c r="B22" t="s">
        <v>387</v>
      </c>
      <c r="C22" t="s">
        <v>191</v>
      </c>
      <c r="G22" t="s">
        <v>153</v>
      </c>
      <c r="H22" t="str">
        <f t="shared" si="0"/>
        <v>Nuclear[_]s*</v>
      </c>
      <c r="I22" t="str">
        <f t="shared" si="1"/>
        <v>Nuclear source/use</v>
      </c>
      <c r="L22" s="10" t="s">
        <v>15</v>
      </c>
    </row>
    <row r="23" spans="1:12">
      <c r="A23" t="s">
        <v>188</v>
      </c>
      <c r="B23" t="s">
        <v>388</v>
      </c>
      <c r="C23" t="s">
        <v>192</v>
      </c>
      <c r="G23" t="s">
        <v>153</v>
      </c>
      <c r="H23" t="str">
        <f t="shared" si="0"/>
        <v>Grid Elec[_]s*</v>
      </c>
      <c r="I23" t="str">
        <f t="shared" si="1"/>
        <v>Grid Elec source/use</v>
      </c>
      <c r="L23" s="10" t="s">
        <v>344</v>
      </c>
    </row>
    <row r="24" spans="1:12">
      <c r="A24" t="s">
        <v>188</v>
      </c>
      <c r="B24" t="s">
        <v>389</v>
      </c>
      <c r="C24" t="s">
        <v>193</v>
      </c>
      <c r="G24" t="s">
        <v>153</v>
      </c>
      <c r="H24" t="str">
        <f t="shared" si="0"/>
        <v>Int. Elec[_]s*</v>
      </c>
      <c r="I24" t="str">
        <f t="shared" si="1"/>
        <v>Int. Elec source/use</v>
      </c>
      <c r="L24" s="10" t="s">
        <v>320</v>
      </c>
    </row>
    <row r="25" spans="1:12">
      <c r="A25" t="s">
        <v>188</v>
      </c>
      <c r="B25" t="s">
        <v>194</v>
      </c>
      <c r="C25" t="s">
        <v>192</v>
      </c>
      <c r="G25" t="s">
        <v>153</v>
      </c>
      <c r="H25" t="str">
        <f t="shared" si="0"/>
        <v>Gas[_]s*</v>
      </c>
      <c r="I25" t="str">
        <f t="shared" si="1"/>
        <v>Gas source/use</v>
      </c>
      <c r="L25" s="10" t="s">
        <v>6</v>
      </c>
    </row>
    <row r="26" spans="1:12">
      <c r="A26" t="s">
        <v>188</v>
      </c>
      <c r="B26" t="s">
        <v>195</v>
      </c>
      <c r="C26" t="s">
        <v>196</v>
      </c>
      <c r="G26" t="s">
        <v>153</v>
      </c>
      <c r="H26" t="str">
        <f t="shared" si="0"/>
        <v>Coal[_]s*</v>
      </c>
      <c r="I26" t="str">
        <f t="shared" si="1"/>
        <v>Coal source/use</v>
      </c>
      <c r="L26" s="10" t="s">
        <v>5</v>
      </c>
    </row>
    <row r="27" spans="1:12">
      <c r="A27" t="s">
        <v>188</v>
      </c>
      <c r="B27" t="s">
        <v>197</v>
      </c>
      <c r="C27" t="s">
        <v>189</v>
      </c>
      <c r="G27" t="s">
        <v>153</v>
      </c>
      <c r="H27" t="str">
        <f t="shared" si="0"/>
        <v>Biofuels[_]s*</v>
      </c>
      <c r="I27" t="str">
        <f t="shared" si="1"/>
        <v>Biofuels source/use</v>
      </c>
      <c r="L27" s="10" t="s">
        <v>148</v>
      </c>
    </row>
    <row r="28" spans="1:12">
      <c r="A28" t="s">
        <v>188</v>
      </c>
      <c r="B28" t="s">
        <v>536</v>
      </c>
      <c r="C28" t="s">
        <v>146</v>
      </c>
      <c r="G28" t="s">
        <v>153</v>
      </c>
      <c r="H28" t="str">
        <f t="shared" si="0"/>
        <v>Heat[_]s*</v>
      </c>
      <c r="I28" t="str">
        <f t="shared" si="1"/>
        <v>Heat source/use</v>
      </c>
      <c r="L28" s="10" t="s">
        <v>7</v>
      </c>
    </row>
    <row r="29" spans="1:12">
      <c r="G29" t="s">
        <v>153</v>
      </c>
      <c r="H29" t="str">
        <f t="shared" si="0"/>
        <v>Oil[_]s*</v>
      </c>
      <c r="I29" t="str">
        <f t="shared" si="1"/>
        <v>Oil source/use</v>
      </c>
      <c r="L29" s="10" t="s">
        <v>16</v>
      </c>
    </row>
    <row r="30" spans="1:12">
      <c r="G30" t="s">
        <v>153</v>
      </c>
      <c r="H30" t="str">
        <f t="shared" si="0"/>
        <v>Hydrogen[_]s*</v>
      </c>
      <c r="I30" t="str">
        <f t="shared" si="1"/>
        <v>Hydrogen source/use</v>
      </c>
      <c r="L30" s="10" t="s">
        <v>8</v>
      </c>
    </row>
    <row r="32" spans="1:12">
      <c r="A32" t="s">
        <v>211</v>
      </c>
      <c r="B32" t="s">
        <v>212</v>
      </c>
      <c r="C32" t="s">
        <v>213</v>
      </c>
    </row>
    <row r="33" spans="1:3">
      <c r="A33" t="s">
        <v>211</v>
      </c>
      <c r="B33" t="s">
        <v>214</v>
      </c>
      <c r="C33" t="s">
        <v>215</v>
      </c>
    </row>
    <row r="34" spans="1:3">
      <c r="A34" t="s">
        <v>208</v>
      </c>
      <c r="B34" t="str">
        <f t="shared" ref="B34:B48" si="2">"*[_]"&amp;C34</f>
        <v>*[_]Agri</v>
      </c>
      <c r="C34" t="s">
        <v>102</v>
      </c>
    </row>
    <row r="35" spans="1:3">
      <c r="A35" t="s">
        <v>208</v>
      </c>
      <c r="B35" t="str">
        <f t="shared" si="2"/>
        <v>*[_]Commercial</v>
      </c>
      <c r="C35" t="s">
        <v>25</v>
      </c>
    </row>
    <row r="36" spans="1:3">
      <c r="A36" t="s">
        <v>208</v>
      </c>
      <c r="B36" t="str">
        <f t="shared" si="2"/>
        <v>*[_]Residential</v>
      </c>
      <c r="C36" t="s">
        <v>26</v>
      </c>
    </row>
    <row r="37" spans="1:3">
      <c r="A37" t="s">
        <v>208</v>
      </c>
      <c r="B37" t="str">
        <f t="shared" si="2"/>
        <v>*[_]Industry</v>
      </c>
      <c r="C37" t="s">
        <v>9</v>
      </c>
    </row>
    <row r="38" spans="1:3">
      <c r="A38" t="s">
        <v>208</v>
      </c>
      <c r="B38" t="str">
        <f t="shared" si="2"/>
        <v>*[_]Transport</v>
      </c>
      <c r="C38" t="s">
        <v>11</v>
      </c>
    </row>
    <row r="39" spans="1:3">
      <c r="A39" t="s">
        <v>208</v>
      </c>
      <c r="B39" t="str">
        <f t="shared" si="2"/>
        <v>*[_]Thermal Elec</v>
      </c>
      <c r="C39" t="s">
        <v>324</v>
      </c>
    </row>
    <row r="40" spans="1:3">
      <c r="A40" t="s">
        <v>208</v>
      </c>
      <c r="B40" t="str">
        <f t="shared" si="2"/>
        <v>*[_]Thermal CCS</v>
      </c>
      <c r="C40" t="s">
        <v>326</v>
      </c>
    </row>
    <row r="41" spans="1:3">
      <c r="A41" t="s">
        <v>208</v>
      </c>
      <c r="B41" t="str">
        <f t="shared" si="2"/>
        <v>*[_]Ren Elec</v>
      </c>
      <c r="C41" t="s">
        <v>207</v>
      </c>
    </row>
    <row r="42" spans="1:3">
      <c r="A42" t="s">
        <v>208</v>
      </c>
      <c r="B42" t="str">
        <f t="shared" si="2"/>
        <v>*[_]Fossil proc</v>
      </c>
      <c r="C42" t="s">
        <v>333</v>
      </c>
    </row>
    <row r="43" spans="1:3">
      <c r="A43" t="s">
        <v>208</v>
      </c>
      <c r="B43" t="str">
        <f t="shared" si="2"/>
        <v>*[_]BF and CokeOv</v>
      </c>
      <c r="C43" t="s">
        <v>331</v>
      </c>
    </row>
    <row r="44" spans="1:3">
      <c r="A44" t="s">
        <v>208</v>
      </c>
      <c r="B44" t="str">
        <f t="shared" si="2"/>
        <v>*[_]Bio Ref</v>
      </c>
      <c r="C44" t="s">
        <v>332</v>
      </c>
    </row>
    <row r="45" spans="1:3">
      <c r="A45" t="s">
        <v>208</v>
      </c>
      <c r="B45" t="str">
        <f t="shared" si="2"/>
        <v>*[_]Trade</v>
      </c>
      <c r="C45" t="s">
        <v>191</v>
      </c>
    </row>
    <row r="46" spans="1:3">
      <c r="A46" t="s">
        <v>208</v>
      </c>
      <c r="B46" t="str">
        <f t="shared" si="2"/>
        <v>*[_]H2 Thermal</v>
      </c>
      <c r="C46" t="s">
        <v>335</v>
      </c>
    </row>
    <row r="47" spans="1:3">
      <c r="A47" t="s">
        <v>208</v>
      </c>
      <c r="B47" t="str">
        <f t="shared" si="2"/>
        <v>*[_]H2 Elec</v>
      </c>
      <c r="C47" t="s">
        <v>337</v>
      </c>
    </row>
    <row r="48" spans="1:3">
      <c r="A48" t="s">
        <v>208</v>
      </c>
      <c r="B48" t="str">
        <f t="shared" si="2"/>
        <v>*[_]Extraction</v>
      </c>
      <c r="C48" t="s">
        <v>342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"/>
  <dimension ref="A1:F208"/>
  <sheetViews>
    <sheetView workbookViewId="0">
      <pane ySplit="2" topLeftCell="A28" activePane="bottomLeft" state="frozen"/>
      <selection pane="bottomLeft" activeCell="C44" sqref="C44"/>
    </sheetView>
  </sheetViews>
  <sheetFormatPr defaultRowHeight="15"/>
  <cols>
    <col min="1" max="1" width="13.7109375" bestFit="1" customWidth="1"/>
    <col min="2" max="2" width="17.42578125" bestFit="1" customWidth="1"/>
    <col min="3" max="3" width="28" bestFit="1" customWidth="1"/>
    <col min="4" max="4" width="17.28515625" bestFit="1" customWidth="1"/>
    <col min="5" max="5" width="13.85546875" bestFit="1" customWidth="1"/>
    <col min="7" max="7" width="5.28515625" bestFit="1" customWidth="1"/>
    <col min="8" max="8" width="11" bestFit="1" customWidth="1"/>
    <col min="11" max="11" width="16.7109375" bestFit="1" customWidth="1"/>
  </cols>
  <sheetData>
    <row r="1" spans="1:6">
      <c r="A1" t="s">
        <v>155</v>
      </c>
    </row>
    <row r="2" spans="1:6" ht="15.75" thickBot="1">
      <c r="A2" s="16" t="s">
        <v>150</v>
      </c>
      <c r="B2" s="16" t="s">
        <v>151</v>
      </c>
      <c r="C2" s="16" t="s">
        <v>152</v>
      </c>
      <c r="D2" s="16" t="s">
        <v>397</v>
      </c>
      <c r="E2" s="16" t="s">
        <v>499</v>
      </c>
      <c r="F2" s="16" t="s">
        <v>500</v>
      </c>
    </row>
    <row r="3" spans="1:6">
      <c r="A3" t="s">
        <v>849</v>
      </c>
      <c r="C3" t="s">
        <v>657</v>
      </c>
      <c r="D3" t="s">
        <v>464</v>
      </c>
    </row>
    <row r="4" spans="1:6">
      <c r="A4" t="s">
        <v>849</v>
      </c>
      <c r="C4" t="s">
        <v>657</v>
      </c>
      <c r="D4" t="s">
        <v>465</v>
      </c>
    </row>
    <row r="5" spans="1:6">
      <c r="A5" t="s">
        <v>849</v>
      </c>
      <c r="C5" t="s">
        <v>657</v>
      </c>
      <c r="D5" t="s">
        <v>467</v>
      </c>
    </row>
    <row r="6" spans="1:6">
      <c r="A6" t="s">
        <v>849</v>
      </c>
      <c r="C6" t="s">
        <v>147</v>
      </c>
      <c r="D6" t="s">
        <v>468</v>
      </c>
    </row>
    <row r="7" spans="1:6">
      <c r="A7" t="s">
        <v>849</v>
      </c>
      <c r="C7" t="s">
        <v>147</v>
      </c>
      <c r="D7" t="s">
        <v>469</v>
      </c>
    </row>
    <row r="8" spans="1:6">
      <c r="A8" t="s">
        <v>849</v>
      </c>
      <c r="C8" t="s">
        <v>200</v>
      </c>
      <c r="D8" t="s">
        <v>470</v>
      </c>
    </row>
    <row r="9" spans="1:6">
      <c r="A9" t="s">
        <v>849</v>
      </c>
      <c r="C9" t="s">
        <v>9</v>
      </c>
      <c r="D9" t="s">
        <v>471</v>
      </c>
    </row>
    <row r="10" spans="1:6">
      <c r="A10" t="s">
        <v>849</v>
      </c>
      <c r="C10" t="s">
        <v>11</v>
      </c>
      <c r="D10" t="s">
        <v>472</v>
      </c>
    </row>
    <row r="11" spans="1:6">
      <c r="A11" t="s">
        <v>849</v>
      </c>
      <c r="C11" t="s">
        <v>658</v>
      </c>
      <c r="D11" t="s">
        <v>473</v>
      </c>
    </row>
    <row r="12" spans="1:6">
      <c r="A12" t="s">
        <v>849</v>
      </c>
      <c r="C12" t="s">
        <v>658</v>
      </c>
      <c r="D12" t="s">
        <v>474</v>
      </c>
    </row>
    <row r="13" spans="1:6">
      <c r="A13" t="s">
        <v>849</v>
      </c>
      <c r="C13" t="s">
        <v>658</v>
      </c>
      <c r="D13" t="s">
        <v>475</v>
      </c>
    </row>
    <row r="14" spans="1:6">
      <c r="A14" t="s">
        <v>849</v>
      </c>
      <c r="C14" t="s">
        <v>8</v>
      </c>
      <c r="D14" t="s">
        <v>476</v>
      </c>
    </row>
    <row r="15" spans="1:6">
      <c r="A15" t="s">
        <v>849</v>
      </c>
      <c r="C15" t="s">
        <v>272</v>
      </c>
      <c r="D15" t="s">
        <v>477</v>
      </c>
    </row>
    <row r="16" spans="1:6">
      <c r="A16" t="s">
        <v>849</v>
      </c>
      <c r="C16" t="s">
        <v>272</v>
      </c>
      <c r="D16" t="s">
        <v>478</v>
      </c>
    </row>
    <row r="17" spans="1:6">
      <c r="A17" t="s">
        <v>849</v>
      </c>
      <c r="C17" t="s">
        <v>480</v>
      </c>
      <c r="D17" t="s">
        <v>479</v>
      </c>
    </row>
    <row r="18" spans="1:6">
      <c r="A18" t="s">
        <v>849</v>
      </c>
      <c r="C18" t="s">
        <v>482</v>
      </c>
      <c r="D18" t="s">
        <v>481</v>
      </c>
    </row>
    <row r="19" spans="1:6">
      <c r="A19" t="s">
        <v>849</v>
      </c>
      <c r="B19" s="7"/>
      <c r="C19" t="s">
        <v>484</v>
      </c>
      <c r="D19" t="s">
        <v>483</v>
      </c>
      <c r="F19" s="7" t="s">
        <v>643</v>
      </c>
    </row>
    <row r="20" spans="1:6">
      <c r="A20" t="s">
        <v>849</v>
      </c>
      <c r="C20" t="s">
        <v>486</v>
      </c>
      <c r="D20" t="s">
        <v>485</v>
      </c>
    </row>
    <row r="21" spans="1:6">
      <c r="A21" t="s">
        <v>849</v>
      </c>
      <c r="C21" t="s">
        <v>495</v>
      </c>
      <c r="D21" t="s">
        <v>494</v>
      </c>
    </row>
    <row r="22" spans="1:6">
      <c r="A22" t="s">
        <v>487</v>
      </c>
      <c r="C22" t="s">
        <v>556</v>
      </c>
      <c r="D22" t="s">
        <v>464</v>
      </c>
    </row>
    <row r="23" spans="1:6">
      <c r="A23" t="s">
        <v>487</v>
      </c>
      <c r="C23" s="1" t="s">
        <v>9</v>
      </c>
      <c r="D23" t="s">
        <v>465</v>
      </c>
    </row>
    <row r="24" spans="1:6">
      <c r="A24" t="s">
        <v>487</v>
      </c>
      <c r="C24" t="s">
        <v>191</v>
      </c>
      <c r="D24" t="s">
        <v>467</v>
      </c>
    </row>
    <row r="25" spans="1:6">
      <c r="A25" t="s">
        <v>487</v>
      </c>
      <c r="C25" t="s">
        <v>557</v>
      </c>
      <c r="D25" t="s">
        <v>468</v>
      </c>
    </row>
    <row r="26" spans="1:6">
      <c r="A26" t="s">
        <v>487</v>
      </c>
      <c r="C26" t="s">
        <v>557</v>
      </c>
      <c r="F26" t="s">
        <v>3784</v>
      </c>
    </row>
    <row r="27" spans="1:6">
      <c r="A27" t="s">
        <v>487</v>
      </c>
      <c r="C27" s="1" t="s">
        <v>9</v>
      </c>
      <c r="D27" t="s">
        <v>469</v>
      </c>
    </row>
    <row r="28" spans="1:6">
      <c r="A28" t="s">
        <v>487</v>
      </c>
      <c r="C28" t="s">
        <v>200</v>
      </c>
      <c r="D28" t="s">
        <v>470</v>
      </c>
    </row>
    <row r="29" spans="1:6">
      <c r="A29" t="s">
        <v>487</v>
      </c>
      <c r="C29" t="s">
        <v>9</v>
      </c>
      <c r="D29" t="s">
        <v>471</v>
      </c>
    </row>
    <row r="30" spans="1:6">
      <c r="A30" t="s">
        <v>487</v>
      </c>
      <c r="C30" t="s">
        <v>11</v>
      </c>
      <c r="D30" t="s">
        <v>472</v>
      </c>
    </row>
    <row r="31" spans="1:6">
      <c r="A31" t="s">
        <v>487</v>
      </c>
      <c r="C31" t="s">
        <v>25</v>
      </c>
      <c r="D31" t="s">
        <v>473</v>
      </c>
    </row>
    <row r="32" spans="1:6">
      <c r="A32" t="s">
        <v>487</v>
      </c>
      <c r="C32" t="s">
        <v>26</v>
      </c>
      <c r="D32" t="s">
        <v>474</v>
      </c>
    </row>
    <row r="33" spans="1:6">
      <c r="A33" t="s">
        <v>487</v>
      </c>
      <c r="C33" t="s">
        <v>47</v>
      </c>
      <c r="D33" t="s">
        <v>475</v>
      </c>
    </row>
    <row r="34" spans="1:6">
      <c r="A34" t="s">
        <v>487</v>
      </c>
      <c r="C34" t="s">
        <v>8</v>
      </c>
      <c r="D34" t="s">
        <v>476</v>
      </c>
    </row>
    <row r="35" spans="1:6">
      <c r="A35" t="s">
        <v>487</v>
      </c>
      <c r="C35" s="1" t="s">
        <v>9</v>
      </c>
      <c r="D35" t="s">
        <v>477</v>
      </c>
    </row>
    <row r="36" spans="1:6">
      <c r="A36" t="s">
        <v>487</v>
      </c>
      <c r="C36" t="s">
        <v>11</v>
      </c>
      <c r="D36" t="s">
        <v>478</v>
      </c>
    </row>
    <row r="37" spans="1:6">
      <c r="A37" t="s">
        <v>487</v>
      </c>
      <c r="C37" t="s">
        <v>480</v>
      </c>
      <c r="D37" t="s">
        <v>479</v>
      </c>
    </row>
    <row r="38" spans="1:6">
      <c r="A38" t="s">
        <v>487</v>
      </c>
      <c r="C38" t="s">
        <v>482</v>
      </c>
      <c r="D38" t="s">
        <v>481</v>
      </c>
    </row>
    <row r="39" spans="1:6">
      <c r="A39" t="s">
        <v>487</v>
      </c>
      <c r="B39" s="7"/>
      <c r="C39" t="s">
        <v>484</v>
      </c>
      <c r="D39" t="s">
        <v>483</v>
      </c>
      <c r="F39" s="7" t="s">
        <v>643</v>
      </c>
    </row>
    <row r="40" spans="1:6">
      <c r="A40" t="s">
        <v>487</v>
      </c>
      <c r="C40" t="s">
        <v>486</v>
      </c>
      <c r="D40" t="s">
        <v>485</v>
      </c>
    </row>
    <row r="41" spans="1:6">
      <c r="A41" t="s">
        <v>487</v>
      </c>
      <c r="C41" t="s">
        <v>495</v>
      </c>
      <c r="D41" t="s">
        <v>494</v>
      </c>
    </row>
    <row r="42" spans="1:6">
      <c r="A42" t="s">
        <v>487</v>
      </c>
      <c r="B42" t="s">
        <v>825</v>
      </c>
      <c r="C42" t="s">
        <v>826</v>
      </c>
    </row>
    <row r="43" spans="1:6">
      <c r="A43" t="s">
        <v>487</v>
      </c>
      <c r="B43" t="s">
        <v>3814</v>
      </c>
      <c r="C43" t="s">
        <v>3815</v>
      </c>
    </row>
    <row r="44" spans="1:6">
      <c r="A44" t="s">
        <v>496</v>
      </c>
      <c r="C44" t="s">
        <v>47</v>
      </c>
      <c r="D44" t="s">
        <v>245</v>
      </c>
    </row>
    <row r="45" spans="1:6">
      <c r="A45" t="s">
        <v>496</v>
      </c>
      <c r="C45" t="s">
        <v>400</v>
      </c>
      <c r="D45" t="s">
        <v>399</v>
      </c>
    </row>
    <row r="46" spans="1:6">
      <c r="A46" t="s">
        <v>496</v>
      </c>
      <c r="C46" t="s">
        <v>402</v>
      </c>
      <c r="D46" t="s">
        <v>401</v>
      </c>
    </row>
    <row r="47" spans="1:6">
      <c r="A47" t="s">
        <v>496</v>
      </c>
      <c r="C47" t="s">
        <v>404</v>
      </c>
      <c r="D47" t="s">
        <v>403</v>
      </c>
    </row>
    <row r="48" spans="1:6">
      <c r="A48" t="s">
        <v>496</v>
      </c>
      <c r="C48" t="s">
        <v>406</v>
      </c>
      <c r="D48" t="s">
        <v>405</v>
      </c>
    </row>
    <row r="49" spans="1:4">
      <c r="A49" t="s">
        <v>496</v>
      </c>
      <c r="C49" t="s">
        <v>408</v>
      </c>
      <c r="D49" t="s">
        <v>407</v>
      </c>
    </row>
    <row r="50" spans="1:4">
      <c r="A50" t="s">
        <v>496</v>
      </c>
      <c r="C50" t="s">
        <v>410</v>
      </c>
      <c r="D50" t="s">
        <v>409</v>
      </c>
    </row>
    <row r="51" spans="1:4">
      <c r="A51" t="s">
        <v>496</v>
      </c>
      <c r="C51" t="s">
        <v>184</v>
      </c>
      <c r="D51" t="s">
        <v>411</v>
      </c>
    </row>
    <row r="52" spans="1:4">
      <c r="A52" t="s">
        <v>496</v>
      </c>
      <c r="C52" t="s">
        <v>413</v>
      </c>
      <c r="D52" t="s">
        <v>412</v>
      </c>
    </row>
    <row r="53" spans="1:4">
      <c r="A53" t="s">
        <v>496</v>
      </c>
      <c r="C53" t="s">
        <v>267</v>
      </c>
      <c r="D53" t="s">
        <v>414</v>
      </c>
    </row>
    <row r="54" spans="1:4">
      <c r="A54" t="s">
        <v>496</v>
      </c>
      <c r="C54" t="s">
        <v>163</v>
      </c>
      <c r="D54" t="s">
        <v>415</v>
      </c>
    </row>
    <row r="55" spans="1:4">
      <c r="A55" t="s">
        <v>496</v>
      </c>
      <c r="C55" t="s">
        <v>185</v>
      </c>
      <c r="D55" t="s">
        <v>416</v>
      </c>
    </row>
    <row r="56" spans="1:4">
      <c r="A56" t="s">
        <v>496</v>
      </c>
      <c r="C56" t="s">
        <v>266</v>
      </c>
      <c r="D56" t="s">
        <v>417</v>
      </c>
    </row>
    <row r="57" spans="1:4">
      <c r="A57" t="s">
        <v>496</v>
      </c>
      <c r="C57" t="s">
        <v>263</v>
      </c>
      <c r="D57" t="s">
        <v>418</v>
      </c>
    </row>
    <row r="58" spans="1:4">
      <c r="A58" t="s">
        <v>496</v>
      </c>
      <c r="C58" t="s">
        <v>264</v>
      </c>
      <c r="D58" t="s">
        <v>419</v>
      </c>
    </row>
    <row r="59" spans="1:4">
      <c r="A59" t="s">
        <v>496</v>
      </c>
      <c r="C59" t="s">
        <v>421</v>
      </c>
      <c r="D59" t="s">
        <v>420</v>
      </c>
    </row>
    <row r="60" spans="1:4">
      <c r="A60" t="s">
        <v>496</v>
      </c>
      <c r="C60" t="s">
        <v>265</v>
      </c>
      <c r="D60" t="s">
        <v>422</v>
      </c>
    </row>
    <row r="61" spans="1:4">
      <c r="A61" t="s">
        <v>496</v>
      </c>
      <c r="C61" t="s">
        <v>424</v>
      </c>
      <c r="D61" t="s">
        <v>423</v>
      </c>
    </row>
    <row r="62" spans="1:4">
      <c r="A62" t="s">
        <v>496</v>
      </c>
      <c r="C62" t="s">
        <v>268</v>
      </c>
      <c r="D62" t="s">
        <v>425</v>
      </c>
    </row>
    <row r="63" spans="1:4">
      <c r="A63" t="s">
        <v>496</v>
      </c>
      <c r="C63" t="s">
        <v>3781</v>
      </c>
      <c r="D63" t="s">
        <v>465</v>
      </c>
    </row>
    <row r="64" spans="1:4">
      <c r="A64" t="s">
        <v>496</v>
      </c>
      <c r="C64" t="s">
        <v>3782</v>
      </c>
      <c r="D64" t="s">
        <v>469</v>
      </c>
    </row>
    <row r="65" spans="1:4">
      <c r="A65" t="s">
        <v>496</v>
      </c>
      <c r="C65" t="s">
        <v>3783</v>
      </c>
      <c r="D65" t="s">
        <v>477</v>
      </c>
    </row>
    <row r="66" spans="1:4">
      <c r="A66" t="s">
        <v>496</v>
      </c>
      <c r="C66" t="s">
        <v>427</v>
      </c>
      <c r="D66" t="s">
        <v>426</v>
      </c>
    </row>
    <row r="67" spans="1:4">
      <c r="A67" t="s">
        <v>496</v>
      </c>
      <c r="C67" t="s">
        <v>429</v>
      </c>
      <c r="D67" t="s">
        <v>428</v>
      </c>
    </row>
    <row r="68" spans="1:4">
      <c r="A68" t="s">
        <v>496</v>
      </c>
      <c r="C68" t="s">
        <v>431</v>
      </c>
      <c r="D68" t="s">
        <v>430</v>
      </c>
    </row>
    <row r="69" spans="1:4">
      <c r="A69" t="s">
        <v>496</v>
      </c>
      <c r="C69" t="s">
        <v>433</v>
      </c>
      <c r="D69" t="s">
        <v>432</v>
      </c>
    </row>
    <row r="70" spans="1:4">
      <c r="A70" t="s">
        <v>496</v>
      </c>
      <c r="C70" t="s">
        <v>435</v>
      </c>
      <c r="D70" t="s">
        <v>434</v>
      </c>
    </row>
    <row r="71" spans="1:4">
      <c r="A71" t="s">
        <v>496</v>
      </c>
      <c r="C71" t="s">
        <v>437</v>
      </c>
      <c r="D71" t="s">
        <v>436</v>
      </c>
    </row>
    <row r="72" spans="1:4">
      <c r="A72" t="s">
        <v>496</v>
      </c>
      <c r="C72" t="s">
        <v>439</v>
      </c>
      <c r="D72" t="s">
        <v>438</v>
      </c>
    </row>
    <row r="73" spans="1:4">
      <c r="A73" t="s">
        <v>496</v>
      </c>
      <c r="C73" t="s">
        <v>441</v>
      </c>
      <c r="D73" t="s">
        <v>440</v>
      </c>
    </row>
    <row r="74" spans="1:4">
      <c r="A74" t="s">
        <v>496</v>
      </c>
      <c r="C74" t="s">
        <v>443</v>
      </c>
      <c r="D74" t="s">
        <v>442</v>
      </c>
    </row>
    <row r="75" spans="1:4">
      <c r="A75" t="s">
        <v>496</v>
      </c>
      <c r="C75" t="s">
        <v>445</v>
      </c>
      <c r="D75" t="s">
        <v>444</v>
      </c>
    </row>
    <row r="76" spans="1:4">
      <c r="A76" t="s">
        <v>496</v>
      </c>
      <c r="C76" t="s">
        <v>293</v>
      </c>
      <c r="D76" t="s">
        <v>446</v>
      </c>
    </row>
    <row r="77" spans="1:4">
      <c r="A77" t="s">
        <v>496</v>
      </c>
      <c r="C77" t="s">
        <v>156</v>
      </c>
      <c r="D77" t="s">
        <v>447</v>
      </c>
    </row>
    <row r="78" spans="1:4">
      <c r="A78" t="s">
        <v>496</v>
      </c>
      <c r="C78" t="s">
        <v>449</v>
      </c>
      <c r="D78" t="s">
        <v>448</v>
      </c>
    </row>
    <row r="79" spans="1:4">
      <c r="A79" t="s">
        <v>496</v>
      </c>
      <c r="C79" t="s">
        <v>451</v>
      </c>
      <c r="D79" t="s">
        <v>450</v>
      </c>
    </row>
    <row r="80" spans="1:4">
      <c r="A80" t="s">
        <v>496</v>
      </c>
      <c r="C80" t="s">
        <v>453</v>
      </c>
      <c r="D80" t="s">
        <v>452</v>
      </c>
    </row>
    <row r="81" spans="1:4">
      <c r="A81" t="s">
        <v>496</v>
      </c>
      <c r="C81" t="s">
        <v>455</v>
      </c>
      <c r="D81" t="s">
        <v>454</v>
      </c>
    </row>
    <row r="82" spans="1:4">
      <c r="A82" t="s">
        <v>496</v>
      </c>
      <c r="C82" t="s">
        <v>457</v>
      </c>
      <c r="D82" t="s">
        <v>456</v>
      </c>
    </row>
    <row r="83" spans="1:4">
      <c r="A83" t="s">
        <v>496</v>
      </c>
      <c r="C83" t="s">
        <v>459</v>
      </c>
      <c r="D83" t="s">
        <v>458</v>
      </c>
    </row>
    <row r="84" spans="1:4">
      <c r="A84" t="s">
        <v>496</v>
      </c>
      <c r="C84" t="s">
        <v>3783</v>
      </c>
      <c r="D84" t="s">
        <v>478</v>
      </c>
    </row>
    <row r="85" spans="1:4">
      <c r="A85" t="s">
        <v>496</v>
      </c>
      <c r="B85" t="s">
        <v>3763</v>
      </c>
      <c r="C85" t="s">
        <v>3764</v>
      </c>
      <c r="D85" t="s">
        <v>106</v>
      </c>
    </row>
    <row r="86" spans="1:4">
      <c r="A86" t="s">
        <v>496</v>
      </c>
      <c r="B86" t="s">
        <v>3765</v>
      </c>
      <c r="C86" t="s">
        <v>3766</v>
      </c>
      <c r="D86" t="s">
        <v>106</v>
      </c>
    </row>
    <row r="87" spans="1:4">
      <c r="A87" t="s">
        <v>3134</v>
      </c>
      <c r="B87" t="s">
        <v>368</v>
      </c>
      <c r="C87" t="s">
        <v>819</v>
      </c>
    </row>
    <row r="88" spans="1:4">
      <c r="A88" t="s">
        <v>3134</v>
      </c>
      <c r="B88" t="s">
        <v>369</v>
      </c>
      <c r="C88" t="s">
        <v>820</v>
      </c>
    </row>
    <row r="89" spans="1:4">
      <c r="A89" t="s">
        <v>3134</v>
      </c>
      <c r="B89" t="s">
        <v>370</v>
      </c>
      <c r="C89" t="s">
        <v>821</v>
      </c>
    </row>
    <row r="90" spans="1:4">
      <c r="A90" t="s">
        <v>3134</v>
      </c>
      <c r="B90" t="s">
        <v>371</v>
      </c>
      <c r="C90" t="s">
        <v>822</v>
      </c>
    </row>
    <row r="91" spans="1:4">
      <c r="A91" t="s">
        <v>3134</v>
      </c>
      <c r="B91" t="s">
        <v>372</v>
      </c>
      <c r="C91" t="s">
        <v>823</v>
      </c>
    </row>
    <row r="92" spans="1:4">
      <c r="A92" t="s">
        <v>3134</v>
      </c>
      <c r="B92" t="s">
        <v>373</v>
      </c>
      <c r="C92" t="s">
        <v>824</v>
      </c>
    </row>
    <row r="93" spans="1:4">
      <c r="A93" t="s">
        <v>3134</v>
      </c>
      <c r="B93" t="s">
        <v>374</v>
      </c>
      <c r="C93" t="s">
        <v>380</v>
      </c>
    </row>
    <row r="94" spans="1:4">
      <c r="A94" t="s">
        <v>3134</v>
      </c>
      <c r="B94" t="s">
        <v>375</v>
      </c>
      <c r="C94" t="s">
        <v>381</v>
      </c>
    </row>
    <row r="95" spans="1:4">
      <c r="A95" t="s">
        <v>3134</v>
      </c>
      <c r="B95" t="s">
        <v>376</v>
      </c>
      <c r="C95" t="s">
        <v>378</v>
      </c>
    </row>
    <row r="96" spans="1:4">
      <c r="A96" t="s">
        <v>3134</v>
      </c>
      <c r="B96" t="s">
        <v>377</v>
      </c>
      <c r="C96" t="s">
        <v>379</v>
      </c>
    </row>
    <row r="97" spans="1:6">
      <c r="A97" t="s">
        <v>3134</v>
      </c>
      <c r="B97" t="s">
        <v>3153</v>
      </c>
      <c r="C97" t="s">
        <v>816</v>
      </c>
    </row>
    <row r="98" spans="1:6">
      <c r="A98" t="s">
        <v>3134</v>
      </c>
      <c r="B98" t="s">
        <v>818</v>
      </c>
      <c r="C98" t="s">
        <v>817</v>
      </c>
    </row>
    <row r="99" spans="1:6">
      <c r="A99" t="s">
        <v>3134</v>
      </c>
      <c r="C99" t="s">
        <v>4</v>
      </c>
      <c r="D99" t="s">
        <v>340</v>
      </c>
      <c r="E99" t="s">
        <v>501</v>
      </c>
      <c r="F99" t="s">
        <v>497</v>
      </c>
    </row>
    <row r="100" spans="1:6">
      <c r="A100" t="s">
        <v>3134</v>
      </c>
      <c r="C100" t="s">
        <v>5</v>
      </c>
      <c r="D100" t="s">
        <v>340</v>
      </c>
      <c r="E100" t="s">
        <v>502</v>
      </c>
      <c r="F100" t="s">
        <v>497</v>
      </c>
    </row>
    <row r="101" spans="1:6">
      <c r="A101" t="s">
        <v>3134</v>
      </c>
      <c r="C101" t="s">
        <v>6</v>
      </c>
      <c r="D101" t="s">
        <v>340</v>
      </c>
      <c r="E101" t="s">
        <v>503</v>
      </c>
      <c r="F101" t="s">
        <v>497</v>
      </c>
    </row>
    <row r="102" spans="1:6">
      <c r="A102" t="s">
        <v>3134</v>
      </c>
      <c r="C102" t="s">
        <v>299</v>
      </c>
      <c r="D102" t="s">
        <v>340</v>
      </c>
      <c r="E102" t="s">
        <v>504</v>
      </c>
    </row>
    <row r="103" spans="1:6">
      <c r="A103" t="s">
        <v>3134</v>
      </c>
      <c r="C103" t="s">
        <v>13</v>
      </c>
      <c r="D103" t="s">
        <v>340</v>
      </c>
      <c r="E103" t="s">
        <v>505</v>
      </c>
    </row>
    <row r="104" spans="1:6">
      <c r="A104" t="s">
        <v>3134</v>
      </c>
      <c r="C104" t="s">
        <v>15</v>
      </c>
      <c r="D104" t="s">
        <v>340</v>
      </c>
      <c r="E104" t="s">
        <v>506</v>
      </c>
    </row>
    <row r="105" spans="1:6">
      <c r="A105" t="s">
        <v>3134</v>
      </c>
      <c r="C105" t="s">
        <v>16</v>
      </c>
      <c r="D105" t="s">
        <v>340</v>
      </c>
      <c r="E105" t="s">
        <v>507</v>
      </c>
    </row>
    <row r="106" spans="1:6">
      <c r="A106" t="s">
        <v>3134</v>
      </c>
      <c r="C106" t="s">
        <v>104</v>
      </c>
      <c r="D106" t="s">
        <v>340</v>
      </c>
      <c r="E106" t="s">
        <v>508</v>
      </c>
    </row>
    <row r="107" spans="1:6">
      <c r="A107" t="s">
        <v>3134</v>
      </c>
      <c r="C107" t="s">
        <v>166</v>
      </c>
      <c r="D107" t="s">
        <v>340</v>
      </c>
      <c r="E107" t="s">
        <v>509</v>
      </c>
    </row>
    <row r="108" spans="1:6">
      <c r="A108" t="s">
        <v>3134</v>
      </c>
      <c r="C108" t="s">
        <v>42</v>
      </c>
      <c r="D108" t="s">
        <v>340</v>
      </c>
      <c r="E108" t="s">
        <v>510</v>
      </c>
    </row>
    <row r="109" spans="1:6">
      <c r="A109" t="s">
        <v>3134</v>
      </c>
      <c r="C109" t="s">
        <v>14</v>
      </c>
      <c r="D109" t="s">
        <v>340</v>
      </c>
      <c r="E109" t="s">
        <v>511</v>
      </c>
    </row>
    <row r="110" spans="1:6">
      <c r="A110" t="s">
        <v>3134</v>
      </c>
      <c r="C110" t="s">
        <v>17</v>
      </c>
      <c r="D110" t="s">
        <v>340</v>
      </c>
      <c r="E110" t="s">
        <v>3751</v>
      </c>
    </row>
    <row r="111" spans="1:6">
      <c r="A111" t="s">
        <v>3134</v>
      </c>
      <c r="C111" t="s">
        <v>262</v>
      </c>
      <c r="D111" t="s">
        <v>340</v>
      </c>
      <c r="E111" t="s">
        <v>512</v>
      </c>
    </row>
    <row r="112" spans="1:6">
      <c r="A112" t="s">
        <v>3134</v>
      </c>
      <c r="C112" t="s">
        <v>18</v>
      </c>
      <c r="D112" t="s">
        <v>340</v>
      </c>
      <c r="E112" t="s">
        <v>3752</v>
      </c>
    </row>
    <row r="113" spans="1:6">
      <c r="A113" t="s">
        <v>3134</v>
      </c>
      <c r="C113" t="s">
        <v>311</v>
      </c>
      <c r="D113" t="s">
        <v>340</v>
      </c>
      <c r="E113" t="s">
        <v>501</v>
      </c>
      <c r="F113" t="s">
        <v>498</v>
      </c>
    </row>
    <row r="114" spans="1:6">
      <c r="A114" t="s">
        <v>3134</v>
      </c>
      <c r="C114" t="s">
        <v>100</v>
      </c>
      <c r="D114" t="s">
        <v>340</v>
      </c>
      <c r="E114" t="s">
        <v>502</v>
      </c>
      <c r="F114" t="s">
        <v>498</v>
      </c>
    </row>
    <row r="115" spans="1:6">
      <c r="A115" t="s">
        <v>3134</v>
      </c>
      <c r="C115" t="s">
        <v>101</v>
      </c>
      <c r="D115" t="s">
        <v>340</v>
      </c>
      <c r="E115" t="s">
        <v>503</v>
      </c>
      <c r="F115" t="s">
        <v>498</v>
      </c>
    </row>
    <row r="116" spans="1:6">
      <c r="A116" t="s">
        <v>3134</v>
      </c>
      <c r="C116" t="s">
        <v>191</v>
      </c>
      <c r="D116" t="s">
        <v>106</v>
      </c>
    </row>
    <row r="117" spans="1:6">
      <c r="A117" t="s">
        <v>3134</v>
      </c>
      <c r="C117" t="s">
        <v>484</v>
      </c>
      <c r="D117" t="s">
        <v>513</v>
      </c>
      <c r="F117" t="s">
        <v>203</v>
      </c>
    </row>
    <row r="118" spans="1:6">
      <c r="A118" t="s">
        <v>3134</v>
      </c>
      <c r="C118" t="s">
        <v>835</v>
      </c>
      <c r="D118" t="s">
        <v>513</v>
      </c>
      <c r="F118" t="s">
        <v>836</v>
      </c>
    </row>
    <row r="119" spans="1:6">
      <c r="A119" t="s">
        <v>3134</v>
      </c>
      <c r="C119" t="s">
        <v>524</v>
      </c>
      <c r="E119" t="s">
        <v>526</v>
      </c>
      <c r="F119" t="s">
        <v>45</v>
      </c>
    </row>
    <row r="120" spans="1:6">
      <c r="A120" t="s">
        <v>3134</v>
      </c>
      <c r="C120" t="s">
        <v>525</v>
      </c>
      <c r="E120" t="s">
        <v>528</v>
      </c>
      <c r="F120" t="s">
        <v>45</v>
      </c>
    </row>
    <row r="121" spans="1:6">
      <c r="A121" t="s">
        <v>3134</v>
      </c>
      <c r="C121" t="s">
        <v>527</v>
      </c>
      <c r="E121" t="s">
        <v>201</v>
      </c>
      <c r="F121" t="s">
        <v>45</v>
      </c>
    </row>
    <row r="122" spans="1:6">
      <c r="A122" t="s">
        <v>3134</v>
      </c>
      <c r="C122" t="s">
        <v>141</v>
      </c>
      <c r="D122" t="s">
        <v>128</v>
      </c>
    </row>
    <row r="123" spans="1:6">
      <c r="A123" t="s">
        <v>3134</v>
      </c>
      <c r="C123" t="s">
        <v>130</v>
      </c>
      <c r="D123" t="s">
        <v>129</v>
      </c>
    </row>
    <row r="124" spans="1:6">
      <c r="A124" t="s">
        <v>3134</v>
      </c>
      <c r="C124" t="s">
        <v>142</v>
      </c>
      <c r="D124" t="s">
        <v>131</v>
      </c>
    </row>
    <row r="125" spans="1:6">
      <c r="A125" t="s">
        <v>3134</v>
      </c>
      <c r="C125" t="s">
        <v>133</v>
      </c>
      <c r="D125" t="s">
        <v>132</v>
      </c>
    </row>
    <row r="126" spans="1:6">
      <c r="A126" t="s">
        <v>3134</v>
      </c>
      <c r="C126" t="s">
        <v>145</v>
      </c>
      <c r="D126" t="s">
        <v>134</v>
      </c>
    </row>
    <row r="127" spans="1:6">
      <c r="A127" t="s">
        <v>3134</v>
      </c>
      <c r="C127" t="s">
        <v>136</v>
      </c>
      <c r="D127" t="s">
        <v>135</v>
      </c>
    </row>
    <row r="128" spans="1:6">
      <c r="A128" t="s">
        <v>3134</v>
      </c>
      <c r="C128" t="s">
        <v>143</v>
      </c>
      <c r="D128" t="s">
        <v>137</v>
      </c>
    </row>
    <row r="129" spans="1:4">
      <c r="A129" t="s">
        <v>3134</v>
      </c>
      <c r="C129" t="s">
        <v>144</v>
      </c>
      <c r="D129" t="s">
        <v>138</v>
      </c>
    </row>
    <row r="130" spans="1:4">
      <c r="A130" t="s">
        <v>3134</v>
      </c>
      <c r="C130" t="s">
        <v>140</v>
      </c>
      <c r="D130" t="s">
        <v>139</v>
      </c>
    </row>
    <row r="131" spans="1:4">
      <c r="A131" t="s">
        <v>3134</v>
      </c>
      <c r="B131" t="s">
        <v>825</v>
      </c>
      <c r="C131" t="s">
        <v>826</v>
      </c>
    </row>
    <row r="132" spans="1:4">
      <c r="A132" t="s">
        <v>3134</v>
      </c>
      <c r="C132" t="s">
        <v>169</v>
      </c>
      <c r="D132" t="s">
        <v>3135</v>
      </c>
    </row>
    <row r="133" spans="1:4">
      <c r="A133" t="s">
        <v>3134</v>
      </c>
      <c r="C133" t="s">
        <v>166</v>
      </c>
      <c r="D133" t="s">
        <v>3136</v>
      </c>
    </row>
    <row r="134" spans="1:4">
      <c r="A134" t="s">
        <v>3134</v>
      </c>
      <c r="C134" t="s">
        <v>1598</v>
      </c>
      <c r="D134" t="s">
        <v>3137</v>
      </c>
    </row>
    <row r="135" spans="1:4">
      <c r="A135" t="s">
        <v>3134</v>
      </c>
      <c r="C135" t="s">
        <v>1608</v>
      </c>
      <c r="D135" t="s">
        <v>3138</v>
      </c>
    </row>
    <row r="136" spans="1:4">
      <c r="A136" t="s">
        <v>3134</v>
      </c>
      <c r="C136" t="s">
        <v>1628</v>
      </c>
      <c r="D136" t="s">
        <v>3139</v>
      </c>
    </row>
    <row r="137" spans="1:4">
      <c r="A137" t="s">
        <v>3134</v>
      </c>
      <c r="C137" t="s">
        <v>1682</v>
      </c>
      <c r="D137" t="s">
        <v>3140</v>
      </c>
    </row>
    <row r="138" spans="1:4">
      <c r="A138" t="s">
        <v>3134</v>
      </c>
      <c r="C138" t="s">
        <v>1641</v>
      </c>
      <c r="D138" t="s">
        <v>3141</v>
      </c>
    </row>
    <row r="139" spans="1:4">
      <c r="A139" t="s">
        <v>3134</v>
      </c>
      <c r="C139" t="s">
        <v>1650</v>
      </c>
      <c r="D139" t="s">
        <v>3142</v>
      </c>
    </row>
    <row r="140" spans="1:4">
      <c r="A140" t="s">
        <v>3134</v>
      </c>
      <c r="C140" t="s">
        <v>1661</v>
      </c>
      <c r="D140" t="s">
        <v>3143</v>
      </c>
    </row>
    <row r="141" spans="1:4">
      <c r="A141" t="s">
        <v>3134</v>
      </c>
      <c r="C141" t="s">
        <v>167</v>
      </c>
      <c r="D141" t="s">
        <v>3144</v>
      </c>
    </row>
    <row r="142" spans="1:4">
      <c r="A142" t="s">
        <v>3134</v>
      </c>
      <c r="C142" t="s">
        <v>1899</v>
      </c>
      <c r="D142" t="s">
        <v>3145</v>
      </c>
    </row>
    <row r="143" spans="1:4">
      <c r="A143" t="s">
        <v>3134</v>
      </c>
      <c r="C143" t="s">
        <v>1910</v>
      </c>
      <c r="D143" t="s">
        <v>3146</v>
      </c>
    </row>
    <row r="144" spans="1:4">
      <c r="A144" t="s">
        <v>3134</v>
      </c>
      <c r="C144" t="s">
        <v>1921</v>
      </c>
      <c r="D144" t="s">
        <v>3147</v>
      </c>
    </row>
    <row r="145" spans="1:4">
      <c r="A145" t="s">
        <v>3134</v>
      </c>
      <c r="C145" t="s">
        <v>1959</v>
      </c>
      <c r="D145" t="s">
        <v>3148</v>
      </c>
    </row>
    <row r="146" spans="1:4">
      <c r="A146" t="s">
        <v>3134</v>
      </c>
      <c r="C146" t="s">
        <v>1971</v>
      </c>
      <c r="D146" t="s">
        <v>3149</v>
      </c>
    </row>
    <row r="147" spans="1:4">
      <c r="A147" t="s">
        <v>3134</v>
      </c>
      <c r="C147" t="s">
        <v>2112</v>
      </c>
      <c r="D147" t="s">
        <v>3150</v>
      </c>
    </row>
    <row r="148" spans="1:4">
      <c r="A148" t="s">
        <v>3134</v>
      </c>
      <c r="C148" t="s">
        <v>168</v>
      </c>
      <c r="D148" t="s">
        <v>3151</v>
      </c>
    </row>
    <row r="149" spans="1:4">
      <c r="A149" t="s">
        <v>3134</v>
      </c>
      <c r="C149" t="s">
        <v>173</v>
      </c>
      <c r="D149" t="s">
        <v>3152</v>
      </c>
    </row>
    <row r="150" spans="1:4">
      <c r="A150" t="s">
        <v>396</v>
      </c>
      <c r="C150" t="s">
        <v>1631</v>
      </c>
      <c r="D150" t="s">
        <v>398</v>
      </c>
    </row>
    <row r="151" spans="1:4">
      <c r="A151" t="s">
        <v>396</v>
      </c>
      <c r="C151" t="s">
        <v>288</v>
      </c>
      <c r="D151" t="s">
        <v>288</v>
      </c>
    </row>
    <row r="152" spans="1:4">
      <c r="A152" t="s">
        <v>537</v>
      </c>
      <c r="B152" t="s">
        <v>547</v>
      </c>
      <c r="C152" t="s">
        <v>538</v>
      </c>
    </row>
    <row r="153" spans="1:4">
      <c r="A153" t="s">
        <v>537</v>
      </c>
      <c r="B153" t="s">
        <v>548</v>
      </c>
      <c r="C153" t="s">
        <v>541</v>
      </c>
    </row>
    <row r="154" spans="1:4">
      <c r="A154" t="s">
        <v>537</v>
      </c>
      <c r="B154" t="s">
        <v>549</v>
      </c>
      <c r="C154" t="s">
        <v>542</v>
      </c>
    </row>
    <row r="155" spans="1:4">
      <c r="A155" t="s">
        <v>537</v>
      </c>
      <c r="B155" t="s">
        <v>550</v>
      </c>
      <c r="C155" t="s">
        <v>543</v>
      </c>
    </row>
    <row r="156" spans="1:4">
      <c r="A156" t="s">
        <v>537</v>
      </c>
      <c r="B156" t="s">
        <v>551</v>
      </c>
      <c r="C156" t="s">
        <v>544</v>
      </c>
    </row>
    <row r="157" spans="1:4">
      <c r="A157" t="s">
        <v>537</v>
      </c>
      <c r="B157" t="s">
        <v>552</v>
      </c>
      <c r="C157" t="s">
        <v>545</v>
      </c>
    </row>
    <row r="158" spans="1:4">
      <c r="A158" t="s">
        <v>537</v>
      </c>
      <c r="B158" t="s">
        <v>553</v>
      </c>
      <c r="C158" t="s">
        <v>546</v>
      </c>
    </row>
    <row r="159" spans="1:4">
      <c r="A159" t="s">
        <v>537</v>
      </c>
      <c r="B159" t="s">
        <v>554</v>
      </c>
      <c r="C159" t="s">
        <v>539</v>
      </c>
    </row>
    <row r="160" spans="1:4">
      <c r="A160" t="s">
        <v>537</v>
      </c>
      <c r="B160" t="s">
        <v>555</v>
      </c>
      <c r="C160" t="s">
        <v>540</v>
      </c>
    </row>
    <row r="163" spans="1:3">
      <c r="A163" t="s">
        <v>707</v>
      </c>
      <c r="B163" t="s">
        <v>708</v>
      </c>
      <c r="C163" t="s">
        <v>767</v>
      </c>
    </row>
    <row r="164" spans="1:3">
      <c r="A164" t="s">
        <v>707</v>
      </c>
      <c r="B164" t="s">
        <v>709</v>
      </c>
      <c r="C164" t="s">
        <v>738</v>
      </c>
    </row>
    <row r="165" spans="1:3">
      <c r="A165" t="s">
        <v>707</v>
      </c>
      <c r="B165" t="s">
        <v>710</v>
      </c>
      <c r="C165" t="s">
        <v>739</v>
      </c>
    </row>
    <row r="166" spans="1:3">
      <c r="A166" t="s">
        <v>707</v>
      </c>
      <c r="B166" t="s">
        <v>711</v>
      </c>
      <c r="C166" t="s">
        <v>740</v>
      </c>
    </row>
    <row r="167" spans="1:3">
      <c r="A167" t="s">
        <v>707</v>
      </c>
      <c r="B167" t="s">
        <v>712</v>
      </c>
      <c r="C167" t="s">
        <v>741</v>
      </c>
    </row>
    <row r="168" spans="1:3">
      <c r="A168" t="s">
        <v>707</v>
      </c>
      <c r="B168" t="s">
        <v>713</v>
      </c>
      <c r="C168" t="s">
        <v>742</v>
      </c>
    </row>
    <row r="169" spans="1:3">
      <c r="A169" t="s">
        <v>707</v>
      </c>
      <c r="B169" t="s">
        <v>714</v>
      </c>
      <c r="C169" t="s">
        <v>743</v>
      </c>
    </row>
    <row r="170" spans="1:3">
      <c r="A170" t="s">
        <v>707</v>
      </c>
      <c r="B170" t="s">
        <v>715</v>
      </c>
      <c r="C170" t="s">
        <v>744</v>
      </c>
    </row>
    <row r="171" spans="1:3">
      <c r="A171" t="s">
        <v>707</v>
      </c>
      <c r="B171" t="s">
        <v>716</v>
      </c>
      <c r="C171" t="s">
        <v>745</v>
      </c>
    </row>
    <row r="172" spans="1:3">
      <c r="A172" t="s">
        <v>707</v>
      </c>
      <c r="B172" t="s">
        <v>717</v>
      </c>
      <c r="C172" t="s">
        <v>746</v>
      </c>
    </row>
    <row r="173" spans="1:3">
      <c r="A173" t="s">
        <v>707</v>
      </c>
      <c r="B173" t="s">
        <v>718</v>
      </c>
      <c r="C173" t="s">
        <v>747</v>
      </c>
    </row>
    <row r="174" spans="1:3">
      <c r="A174" t="s">
        <v>707</v>
      </c>
      <c r="B174" t="s">
        <v>719</v>
      </c>
      <c r="C174" t="s">
        <v>748</v>
      </c>
    </row>
    <row r="175" spans="1:3">
      <c r="A175" t="s">
        <v>707</v>
      </c>
      <c r="B175" t="s">
        <v>720</v>
      </c>
      <c r="C175" t="s">
        <v>749</v>
      </c>
    </row>
    <row r="176" spans="1:3">
      <c r="A176" t="s">
        <v>707</v>
      </c>
      <c r="B176" t="s">
        <v>721</v>
      </c>
      <c r="C176" t="s">
        <v>750</v>
      </c>
    </row>
    <row r="177" spans="1:3">
      <c r="A177" t="s">
        <v>707</v>
      </c>
      <c r="B177" t="s">
        <v>722</v>
      </c>
      <c r="C177" t="s">
        <v>751</v>
      </c>
    </row>
    <row r="178" spans="1:3">
      <c r="A178" t="s">
        <v>707</v>
      </c>
      <c r="B178" t="s">
        <v>723</v>
      </c>
      <c r="C178" t="s">
        <v>752</v>
      </c>
    </row>
    <row r="179" spans="1:3">
      <c r="A179" t="s">
        <v>707</v>
      </c>
      <c r="B179" t="s">
        <v>724</v>
      </c>
      <c r="C179" t="s">
        <v>753</v>
      </c>
    </row>
    <row r="180" spans="1:3">
      <c r="A180" t="s">
        <v>707</v>
      </c>
      <c r="B180" t="s">
        <v>725</v>
      </c>
      <c r="C180" t="s">
        <v>754</v>
      </c>
    </row>
    <row r="181" spans="1:3">
      <c r="A181" t="s">
        <v>707</v>
      </c>
      <c r="B181" t="s">
        <v>726</v>
      </c>
      <c r="C181" t="s">
        <v>755</v>
      </c>
    </row>
    <row r="182" spans="1:3">
      <c r="A182" t="s">
        <v>707</v>
      </c>
      <c r="B182" t="s">
        <v>727</v>
      </c>
      <c r="C182" t="s">
        <v>756</v>
      </c>
    </row>
    <row r="183" spans="1:3">
      <c r="A183" t="s">
        <v>707</v>
      </c>
      <c r="B183" t="s">
        <v>728</v>
      </c>
      <c r="C183" t="s">
        <v>757</v>
      </c>
    </row>
    <row r="184" spans="1:3">
      <c r="A184" t="s">
        <v>707</v>
      </c>
      <c r="B184" t="s">
        <v>729</v>
      </c>
      <c r="C184" t="s">
        <v>758</v>
      </c>
    </row>
    <row r="185" spans="1:3">
      <c r="A185" t="s">
        <v>707</v>
      </c>
      <c r="B185" t="s">
        <v>730</v>
      </c>
      <c r="C185" t="s">
        <v>759</v>
      </c>
    </row>
    <row r="186" spans="1:3">
      <c r="A186" t="s">
        <v>707</v>
      </c>
      <c r="B186" t="s">
        <v>731</v>
      </c>
      <c r="C186" t="s">
        <v>760</v>
      </c>
    </row>
    <row r="187" spans="1:3">
      <c r="A187" t="s">
        <v>707</v>
      </c>
      <c r="B187" t="s">
        <v>732</v>
      </c>
      <c r="C187" t="s">
        <v>761</v>
      </c>
    </row>
    <row r="188" spans="1:3">
      <c r="A188" t="s">
        <v>707</v>
      </c>
      <c r="B188" t="s">
        <v>733</v>
      </c>
      <c r="C188" t="s">
        <v>762</v>
      </c>
    </row>
    <row r="189" spans="1:3">
      <c r="A189" t="s">
        <v>707</v>
      </c>
      <c r="B189" t="s">
        <v>734</v>
      </c>
      <c r="C189" t="s">
        <v>763</v>
      </c>
    </row>
    <row r="190" spans="1:3">
      <c r="A190" t="s">
        <v>707</v>
      </c>
      <c r="B190" t="s">
        <v>735</v>
      </c>
      <c r="C190" t="s">
        <v>764</v>
      </c>
    </row>
    <row r="191" spans="1:3">
      <c r="A191" t="s">
        <v>707</v>
      </c>
      <c r="B191" t="s">
        <v>736</v>
      </c>
      <c r="C191" t="s">
        <v>765</v>
      </c>
    </row>
    <row r="192" spans="1:3">
      <c r="A192" t="s">
        <v>707</v>
      </c>
      <c r="B192" t="s">
        <v>737</v>
      </c>
      <c r="C192" t="s">
        <v>766</v>
      </c>
    </row>
    <row r="193" spans="1:3">
      <c r="A193" t="s">
        <v>707</v>
      </c>
      <c r="B193" t="s">
        <v>768</v>
      </c>
      <c r="C193" t="s">
        <v>784</v>
      </c>
    </row>
    <row r="194" spans="1:3">
      <c r="A194" t="s">
        <v>707</v>
      </c>
      <c r="B194" t="s">
        <v>769</v>
      </c>
      <c r="C194" t="s">
        <v>785</v>
      </c>
    </row>
    <row r="195" spans="1:3">
      <c r="A195" t="s">
        <v>707</v>
      </c>
      <c r="B195" t="s">
        <v>770</v>
      </c>
      <c r="C195" t="s">
        <v>786</v>
      </c>
    </row>
    <row r="196" spans="1:3">
      <c r="A196" t="s">
        <v>707</v>
      </c>
      <c r="B196" t="s">
        <v>771</v>
      </c>
      <c r="C196" t="s">
        <v>787</v>
      </c>
    </row>
    <row r="197" spans="1:3">
      <c r="A197" t="s">
        <v>707</v>
      </c>
      <c r="B197" t="s">
        <v>772</v>
      </c>
      <c r="C197" t="s">
        <v>788</v>
      </c>
    </row>
    <row r="198" spans="1:3">
      <c r="A198" t="s">
        <v>707</v>
      </c>
      <c r="B198" t="s">
        <v>773</v>
      </c>
      <c r="C198" t="s">
        <v>789</v>
      </c>
    </row>
    <row r="199" spans="1:3">
      <c r="A199" t="s">
        <v>707</v>
      </c>
      <c r="B199" t="s">
        <v>774</v>
      </c>
      <c r="C199" t="s">
        <v>790</v>
      </c>
    </row>
    <row r="200" spans="1:3">
      <c r="A200" t="s">
        <v>707</v>
      </c>
      <c r="B200" t="s">
        <v>775</v>
      </c>
      <c r="C200" t="s">
        <v>791</v>
      </c>
    </row>
    <row r="201" spans="1:3">
      <c r="A201" t="s">
        <v>707</v>
      </c>
      <c r="B201" t="s">
        <v>776</v>
      </c>
      <c r="C201" t="s">
        <v>792</v>
      </c>
    </row>
    <row r="202" spans="1:3">
      <c r="A202" t="s">
        <v>707</v>
      </c>
      <c r="B202" t="s">
        <v>777</v>
      </c>
      <c r="C202" t="s">
        <v>793</v>
      </c>
    </row>
    <row r="203" spans="1:3">
      <c r="A203" t="s">
        <v>707</v>
      </c>
      <c r="B203" t="s">
        <v>778</v>
      </c>
      <c r="C203" t="s">
        <v>794</v>
      </c>
    </row>
    <row r="204" spans="1:3">
      <c r="A204" t="s">
        <v>707</v>
      </c>
      <c r="B204" t="s">
        <v>779</v>
      </c>
      <c r="C204" t="s">
        <v>795</v>
      </c>
    </row>
    <row r="205" spans="1:3">
      <c r="A205" t="s">
        <v>707</v>
      </c>
      <c r="B205" t="s">
        <v>780</v>
      </c>
      <c r="C205" t="s">
        <v>796</v>
      </c>
    </row>
    <row r="206" spans="1:3">
      <c r="A206" t="s">
        <v>707</v>
      </c>
      <c r="B206" t="s">
        <v>781</v>
      </c>
      <c r="C206" t="s">
        <v>797</v>
      </c>
    </row>
    <row r="207" spans="1:3">
      <c r="A207" t="s">
        <v>707</v>
      </c>
      <c r="B207" t="s">
        <v>782</v>
      </c>
      <c r="C207" t="s">
        <v>798</v>
      </c>
    </row>
    <row r="208" spans="1:3">
      <c r="A208" t="s">
        <v>707</v>
      </c>
      <c r="B208" t="s">
        <v>783</v>
      </c>
      <c r="C208" t="s">
        <v>799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"/>
  <dimension ref="A1:F74"/>
  <sheetViews>
    <sheetView workbookViewId="0">
      <pane ySplit="2" topLeftCell="A47" activePane="bottomLeft" state="frozen"/>
      <selection pane="bottomLeft" activeCell="B63" sqref="B63"/>
    </sheetView>
  </sheetViews>
  <sheetFormatPr defaultRowHeight="15"/>
  <cols>
    <col min="1" max="1" width="17" bestFit="1" customWidth="1"/>
    <col min="2" max="2" width="20.140625" bestFit="1" customWidth="1"/>
    <col min="3" max="3" width="13.7109375" bestFit="1" customWidth="1"/>
  </cols>
  <sheetData>
    <row r="1" spans="1:6">
      <c r="A1" t="s">
        <v>165</v>
      </c>
    </row>
    <row r="2" spans="1:6" ht="15.75" thickBot="1">
      <c r="A2" s="16" t="s">
        <v>150</v>
      </c>
      <c r="B2" s="16" t="s">
        <v>151</v>
      </c>
      <c r="C2" s="16" t="s">
        <v>152</v>
      </c>
      <c r="D2" s="16" t="s">
        <v>395</v>
      </c>
      <c r="E2" s="19" t="s">
        <v>580</v>
      </c>
      <c r="F2" s="19" t="s">
        <v>3156</v>
      </c>
    </row>
    <row r="3" spans="1:6">
      <c r="A3" t="s">
        <v>146</v>
      </c>
      <c r="B3" t="s">
        <v>203</v>
      </c>
      <c r="C3" t="s">
        <v>10</v>
      </c>
    </row>
    <row r="4" spans="1:6">
      <c r="A4" t="s">
        <v>146</v>
      </c>
      <c r="B4" t="s">
        <v>460</v>
      </c>
      <c r="C4" t="s">
        <v>320</v>
      </c>
    </row>
    <row r="5" spans="1:6">
      <c r="A5" t="s">
        <v>146</v>
      </c>
      <c r="B5" t="s">
        <v>811</v>
      </c>
      <c r="C5" t="s">
        <v>8</v>
      </c>
    </row>
    <row r="6" spans="1:6">
      <c r="A6" t="s">
        <v>146</v>
      </c>
      <c r="B6" t="s">
        <v>3812</v>
      </c>
      <c r="C6" t="str">
        <f>B6</f>
        <v>LOHC</v>
      </c>
    </row>
    <row r="7" spans="1:6">
      <c r="A7" t="s">
        <v>146</v>
      </c>
      <c r="B7" t="s">
        <v>859</v>
      </c>
      <c r="C7" t="str">
        <f>B7</f>
        <v>Ammonia</v>
      </c>
    </row>
    <row r="8" spans="1:6">
      <c r="A8" t="s">
        <v>146</v>
      </c>
      <c r="B8" t="s">
        <v>204</v>
      </c>
      <c r="C8" t="s">
        <v>7</v>
      </c>
    </row>
    <row r="9" spans="1:6">
      <c r="A9" t="s">
        <v>146</v>
      </c>
      <c r="B9" t="s">
        <v>367</v>
      </c>
      <c r="C9" t="s">
        <v>16</v>
      </c>
    </row>
    <row r="10" spans="1:6">
      <c r="A10" t="s">
        <v>146</v>
      </c>
      <c r="B10" t="s">
        <v>202</v>
      </c>
      <c r="C10" t="s">
        <v>6</v>
      </c>
    </row>
    <row r="11" spans="1:6">
      <c r="A11" t="s">
        <v>146</v>
      </c>
      <c r="B11" t="s">
        <v>187</v>
      </c>
      <c r="C11" t="s">
        <v>5</v>
      </c>
    </row>
    <row r="12" spans="1:6">
      <c r="A12" t="s">
        <v>146</v>
      </c>
      <c r="B12" t="s">
        <v>230</v>
      </c>
      <c r="C12" t="s">
        <v>229</v>
      </c>
    </row>
    <row r="13" spans="1:6">
      <c r="A13" t="s">
        <v>146</v>
      </c>
      <c r="C13" t="s">
        <v>41</v>
      </c>
      <c r="D13" t="s">
        <v>251</v>
      </c>
    </row>
    <row r="14" spans="1:6">
      <c r="A14" t="s">
        <v>146</v>
      </c>
      <c r="B14" t="s">
        <v>170</v>
      </c>
      <c r="C14" t="s">
        <v>166</v>
      </c>
    </row>
    <row r="15" spans="1:6">
      <c r="A15" t="s">
        <v>146</v>
      </c>
      <c r="B15" t="s">
        <v>225</v>
      </c>
      <c r="C15" t="s">
        <v>167</v>
      </c>
    </row>
    <row r="16" spans="1:6">
      <c r="A16" t="s">
        <v>146</v>
      </c>
      <c r="B16" t="s">
        <v>171</v>
      </c>
      <c r="C16" t="s">
        <v>168</v>
      </c>
    </row>
    <row r="17" spans="1:3">
      <c r="A17" t="s">
        <v>146</v>
      </c>
      <c r="B17" t="s">
        <v>164</v>
      </c>
      <c r="C17" t="s">
        <v>169</v>
      </c>
    </row>
    <row r="18" spans="1:3">
      <c r="A18" t="s">
        <v>146</v>
      </c>
      <c r="B18" t="s">
        <v>172</v>
      </c>
      <c r="C18" t="s">
        <v>173</v>
      </c>
    </row>
    <row r="19" spans="1:3">
      <c r="A19" t="s">
        <v>146</v>
      </c>
      <c r="B19" t="s">
        <v>3704</v>
      </c>
      <c r="C19" t="s">
        <v>17</v>
      </c>
    </row>
    <row r="20" spans="1:3">
      <c r="A20" t="s">
        <v>146</v>
      </c>
      <c r="B20" t="s">
        <v>174</v>
      </c>
      <c r="C20" t="s">
        <v>177</v>
      </c>
    </row>
    <row r="21" spans="1:3">
      <c r="A21" t="s">
        <v>146</v>
      </c>
      <c r="B21" t="s">
        <v>175</v>
      </c>
      <c r="C21" t="s">
        <v>178</v>
      </c>
    </row>
    <row r="22" spans="1:3">
      <c r="A22" t="s">
        <v>146</v>
      </c>
      <c r="B22" t="s">
        <v>176</v>
      </c>
      <c r="C22" t="s">
        <v>179</v>
      </c>
    </row>
    <row r="23" spans="1:3">
      <c r="A23" t="s">
        <v>146</v>
      </c>
      <c r="B23" t="s">
        <v>180</v>
      </c>
      <c r="C23" t="s">
        <v>181</v>
      </c>
    </row>
    <row r="24" spans="1:3">
      <c r="A24" t="s">
        <v>146</v>
      </c>
      <c r="B24" t="s">
        <v>182</v>
      </c>
      <c r="C24" t="s">
        <v>183</v>
      </c>
    </row>
    <row r="25" spans="1:3">
      <c r="A25" t="s">
        <v>146</v>
      </c>
      <c r="B25" t="s">
        <v>206</v>
      </c>
      <c r="C25" t="s">
        <v>14</v>
      </c>
    </row>
    <row r="26" spans="1:3">
      <c r="A26" t="s">
        <v>146</v>
      </c>
      <c r="B26" t="s">
        <v>186</v>
      </c>
      <c r="C26" t="s">
        <v>42</v>
      </c>
    </row>
    <row r="27" spans="1:3">
      <c r="A27" t="s">
        <v>146</v>
      </c>
      <c r="B27" t="s">
        <v>205</v>
      </c>
      <c r="C27" t="s">
        <v>18</v>
      </c>
    </row>
    <row r="28" spans="1:3">
      <c r="A28" t="s">
        <v>146</v>
      </c>
      <c r="B28" t="s">
        <v>216</v>
      </c>
      <c r="C28" t="s">
        <v>217</v>
      </c>
    </row>
    <row r="29" spans="1:3">
      <c r="A29" t="s">
        <v>146</v>
      </c>
      <c r="B29" t="s">
        <v>218</v>
      </c>
      <c r="C29" t="s">
        <v>46</v>
      </c>
    </row>
    <row r="30" spans="1:3">
      <c r="A30" t="s">
        <v>146</v>
      </c>
      <c r="B30" t="s">
        <v>220</v>
      </c>
      <c r="C30" t="s">
        <v>219</v>
      </c>
    </row>
    <row r="31" spans="1:3">
      <c r="A31" t="s">
        <v>146</v>
      </c>
      <c r="B31" t="s">
        <v>221</v>
      </c>
      <c r="C31" t="s">
        <v>222</v>
      </c>
    </row>
    <row r="32" spans="1:3">
      <c r="A32" t="s">
        <v>146</v>
      </c>
      <c r="B32" t="s">
        <v>223</v>
      </c>
      <c r="C32" t="s">
        <v>224</v>
      </c>
    </row>
    <row r="33" spans="1:4">
      <c r="A33" t="s">
        <v>146</v>
      </c>
      <c r="B33" t="s">
        <v>934</v>
      </c>
      <c r="C33" t="s">
        <v>935</v>
      </c>
    </row>
    <row r="34" spans="1:4">
      <c r="A34" t="s">
        <v>146</v>
      </c>
      <c r="B34" t="s">
        <v>936</v>
      </c>
      <c r="C34" t="s">
        <v>937</v>
      </c>
    </row>
    <row r="35" spans="1:4">
      <c r="A35" t="s">
        <v>146</v>
      </c>
      <c r="B35" t="s">
        <v>801</v>
      </c>
      <c r="C35" t="s">
        <v>802</v>
      </c>
    </row>
    <row r="36" spans="1:4">
      <c r="A36" t="s">
        <v>146</v>
      </c>
      <c r="B36" t="s">
        <v>804</v>
      </c>
      <c r="C36" t="s">
        <v>806</v>
      </c>
    </row>
    <row r="37" spans="1:4">
      <c r="A37" t="s">
        <v>146</v>
      </c>
      <c r="B37" t="s">
        <v>805</v>
      </c>
      <c r="C37" t="s">
        <v>807</v>
      </c>
    </row>
    <row r="38" spans="1:4">
      <c r="A38" t="s">
        <v>146</v>
      </c>
      <c r="B38" t="s">
        <v>235</v>
      </c>
      <c r="C38" t="s">
        <v>13</v>
      </c>
    </row>
    <row r="39" spans="1:4">
      <c r="A39" t="s">
        <v>146</v>
      </c>
      <c r="B39" t="s">
        <v>271</v>
      </c>
      <c r="C39" t="s">
        <v>15</v>
      </c>
    </row>
    <row r="40" spans="1:4">
      <c r="A40" t="s">
        <v>146</v>
      </c>
      <c r="B40" t="s">
        <v>237</v>
      </c>
      <c r="C40" t="s">
        <v>5</v>
      </c>
    </row>
    <row r="41" spans="1:4">
      <c r="A41" t="s">
        <v>146</v>
      </c>
      <c r="B41" t="s">
        <v>238</v>
      </c>
      <c r="C41" t="s">
        <v>6</v>
      </c>
    </row>
    <row r="42" spans="1:4">
      <c r="A42" t="s">
        <v>146</v>
      </c>
      <c r="B42" t="s">
        <v>239</v>
      </c>
      <c r="C42" t="s">
        <v>16</v>
      </c>
    </row>
    <row r="43" spans="1:4">
      <c r="A43" t="s">
        <v>146</v>
      </c>
      <c r="B43" t="s">
        <v>240</v>
      </c>
      <c r="C43" t="s">
        <v>42</v>
      </c>
    </row>
    <row r="44" spans="1:4">
      <c r="A44" t="s">
        <v>146</v>
      </c>
      <c r="B44" t="s">
        <v>243</v>
      </c>
      <c r="C44" t="s">
        <v>4</v>
      </c>
    </row>
    <row r="45" spans="1:4">
      <c r="A45" t="s">
        <v>273</v>
      </c>
      <c r="C45" t="s">
        <v>17</v>
      </c>
      <c r="D45" t="s">
        <v>314</v>
      </c>
    </row>
    <row r="46" spans="1:4">
      <c r="A46" t="s">
        <v>273</v>
      </c>
      <c r="C46" t="s">
        <v>18</v>
      </c>
      <c r="D46" t="s">
        <v>315</v>
      </c>
    </row>
    <row r="47" spans="1:4">
      <c r="A47" t="s">
        <v>273</v>
      </c>
      <c r="C47" t="s">
        <v>14</v>
      </c>
      <c r="D47" t="s">
        <v>316</v>
      </c>
    </row>
    <row r="48" spans="1:4">
      <c r="A48" t="s">
        <v>273</v>
      </c>
      <c r="C48" t="s">
        <v>318</v>
      </c>
      <c r="D48" t="s">
        <v>317</v>
      </c>
    </row>
    <row r="49" spans="1:4">
      <c r="A49" t="s">
        <v>273</v>
      </c>
      <c r="C49" t="s">
        <v>41</v>
      </c>
      <c r="D49" t="s">
        <v>251</v>
      </c>
    </row>
    <row r="50" spans="1:4">
      <c r="A50" t="s">
        <v>273</v>
      </c>
      <c r="C50" t="s">
        <v>15</v>
      </c>
      <c r="D50" t="s">
        <v>252</v>
      </c>
    </row>
    <row r="51" spans="1:4">
      <c r="A51" t="s">
        <v>273</v>
      </c>
      <c r="C51" t="s">
        <v>344</v>
      </c>
      <c r="D51" t="s">
        <v>253</v>
      </c>
    </row>
    <row r="52" spans="1:4">
      <c r="A52" t="s">
        <v>273</v>
      </c>
      <c r="C52" t="s">
        <v>320</v>
      </c>
      <c r="D52" t="s">
        <v>319</v>
      </c>
    </row>
    <row r="53" spans="1:4">
      <c r="A53" t="s">
        <v>273</v>
      </c>
      <c r="C53" t="s">
        <v>6</v>
      </c>
      <c r="D53" t="s">
        <v>254</v>
      </c>
    </row>
    <row r="54" spans="1:4">
      <c r="A54" t="s">
        <v>273</v>
      </c>
      <c r="C54" t="s">
        <v>5</v>
      </c>
      <c r="D54" t="s">
        <v>255</v>
      </c>
    </row>
    <row r="55" spans="1:4">
      <c r="A55" t="s">
        <v>273</v>
      </c>
      <c r="C55" t="s">
        <v>347</v>
      </c>
      <c r="D55" t="s">
        <v>346</v>
      </c>
    </row>
    <row r="56" spans="1:4">
      <c r="A56" t="s">
        <v>273</v>
      </c>
      <c r="C56" t="s">
        <v>931</v>
      </c>
      <c r="D56" t="s">
        <v>930</v>
      </c>
    </row>
    <row r="57" spans="1:4">
      <c r="A57" t="s">
        <v>273</v>
      </c>
      <c r="C57" t="s">
        <v>933</v>
      </c>
      <c r="D57" t="s">
        <v>932</v>
      </c>
    </row>
    <row r="58" spans="1:4">
      <c r="A58" t="s">
        <v>273</v>
      </c>
      <c r="C58" t="s">
        <v>7</v>
      </c>
      <c r="D58" t="s">
        <v>256</v>
      </c>
    </row>
    <row r="59" spans="1:4">
      <c r="A59" t="s">
        <v>273</v>
      </c>
      <c r="C59" t="s">
        <v>803</v>
      </c>
      <c r="D59" t="s">
        <v>350</v>
      </c>
    </row>
    <row r="60" spans="1:4">
      <c r="A60" t="s">
        <v>273</v>
      </c>
      <c r="C60" t="s">
        <v>394</v>
      </c>
      <c r="D60" t="s">
        <v>393</v>
      </c>
    </row>
    <row r="61" spans="1:4">
      <c r="A61" t="s">
        <v>273</v>
      </c>
      <c r="B61" s="7" t="s">
        <v>812</v>
      </c>
      <c r="C61" t="s">
        <v>3813</v>
      </c>
      <c r="D61" t="s">
        <v>257</v>
      </c>
    </row>
    <row r="62" spans="1:4">
      <c r="A62" t="s">
        <v>273</v>
      </c>
      <c r="B62" s="7" t="s">
        <v>3816</v>
      </c>
      <c r="C62" t="s">
        <v>3813</v>
      </c>
    </row>
    <row r="63" spans="1:4">
      <c r="A63" t="s">
        <v>576</v>
      </c>
      <c r="C63" t="s">
        <v>200</v>
      </c>
      <c r="D63" t="s">
        <v>55</v>
      </c>
    </row>
    <row r="64" spans="1:4">
      <c r="A64" t="s">
        <v>576</v>
      </c>
      <c r="C64" t="s">
        <v>578</v>
      </c>
      <c r="D64" t="s">
        <v>226</v>
      </c>
    </row>
    <row r="65" spans="1:6">
      <c r="A65" t="s">
        <v>576</v>
      </c>
      <c r="C65" t="s">
        <v>213</v>
      </c>
      <c r="D65" t="s">
        <v>209</v>
      </c>
    </row>
    <row r="66" spans="1:6">
      <c r="A66" t="s">
        <v>576</v>
      </c>
      <c r="C66" t="s">
        <v>579</v>
      </c>
      <c r="D66" t="s">
        <v>577</v>
      </c>
    </row>
    <row r="67" spans="1:6">
      <c r="A67" t="s">
        <v>576</v>
      </c>
      <c r="C67" t="s">
        <v>581</v>
      </c>
      <c r="E67" t="s">
        <v>582</v>
      </c>
    </row>
    <row r="68" spans="1:6">
      <c r="A68" t="s">
        <v>688</v>
      </c>
      <c r="B68" t="s">
        <v>689</v>
      </c>
      <c r="C68" t="s">
        <v>658</v>
      </c>
    </row>
    <row r="69" spans="1:6">
      <c r="A69" t="s">
        <v>688</v>
      </c>
      <c r="B69" t="s">
        <v>690</v>
      </c>
      <c r="C69" t="s">
        <v>11</v>
      </c>
    </row>
    <row r="70" spans="1:6">
      <c r="A70" t="s">
        <v>688</v>
      </c>
      <c r="B70" t="s">
        <v>691</v>
      </c>
      <c r="C70" t="s">
        <v>9</v>
      </c>
    </row>
    <row r="71" spans="1:6">
      <c r="A71" t="s">
        <v>688</v>
      </c>
      <c r="B71" t="s">
        <v>287</v>
      </c>
      <c r="C71" t="s">
        <v>147</v>
      </c>
    </row>
    <row r="72" spans="1:6">
      <c r="A72" t="s">
        <v>688</v>
      </c>
      <c r="B72" t="s">
        <v>692</v>
      </c>
      <c r="C72" t="s">
        <v>8</v>
      </c>
    </row>
    <row r="73" spans="1:6">
      <c r="A73" t="s">
        <v>3154</v>
      </c>
      <c r="B73" t="s">
        <v>32</v>
      </c>
      <c r="C73" t="s">
        <v>3158</v>
      </c>
      <c r="F73" t="s">
        <v>3157</v>
      </c>
    </row>
    <row r="74" spans="1:6">
      <c r="A74" t="s">
        <v>3154</v>
      </c>
      <c r="B74" t="s">
        <v>3155</v>
      </c>
      <c r="C74" t="s">
        <v>3159</v>
      </c>
      <c r="F74" t="s">
        <v>3157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/>
  <dimension ref="A1:N32"/>
  <sheetViews>
    <sheetView zoomScaleNormal="100" workbookViewId="0">
      <selection activeCell="Q2" sqref="Q2:U141"/>
    </sheetView>
  </sheetViews>
  <sheetFormatPr defaultRowHeight="15"/>
  <cols>
    <col min="1" max="1" width="9.140625" customWidth="1"/>
    <col min="2" max="2" width="10" bestFit="1" customWidth="1"/>
    <col min="3" max="3" width="17.28515625" bestFit="1" customWidth="1"/>
    <col min="4" max="4" width="8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17.28515625" bestFit="1" customWidth="1"/>
    <col min="17" max="17" width="14.7109375" bestFit="1" customWidth="1"/>
  </cols>
  <sheetData>
    <row r="1" spans="1:14">
      <c r="A1" t="s">
        <v>110</v>
      </c>
    </row>
    <row r="2" spans="1:14">
      <c r="A2" t="s">
        <v>36</v>
      </c>
      <c r="B2" s="2" t="s">
        <v>111</v>
      </c>
      <c r="C2" s="2" t="s">
        <v>112</v>
      </c>
      <c r="D2" s="2" t="s">
        <v>113</v>
      </c>
    </row>
    <row r="3" spans="1:14">
      <c r="A3" t="s">
        <v>3170</v>
      </c>
      <c r="B3" t="s">
        <v>31</v>
      </c>
      <c r="C3" t="s">
        <v>31</v>
      </c>
      <c r="D3">
        <v>1</v>
      </c>
      <c r="G3" s="5" t="s">
        <v>87</v>
      </c>
      <c r="H3" s="9">
        <v>1.1299999999999999</v>
      </c>
      <c r="J3" s="11" t="s">
        <v>88</v>
      </c>
      <c r="L3">
        <f>218/172.2</f>
        <v>1.2659698025551684</v>
      </c>
      <c r="M3">
        <f>1/L3</f>
        <v>0.78990825688073396</v>
      </c>
    </row>
    <row r="4" spans="1:14">
      <c r="A4" t="s">
        <v>3170</v>
      </c>
      <c r="B4" t="s">
        <v>39</v>
      </c>
      <c r="C4" t="s">
        <v>837</v>
      </c>
      <c r="D4" s="12">
        <f>H5</f>
        <v>1</v>
      </c>
      <c r="G4" s="5" t="s">
        <v>118</v>
      </c>
      <c r="H4" s="9">
        <f>1/0.81</f>
        <v>1.2345679012345678</v>
      </c>
      <c r="J4" s="5" t="s">
        <v>76</v>
      </c>
    </row>
    <row r="5" spans="1:14">
      <c r="A5" t="s">
        <v>3170</v>
      </c>
      <c r="B5" t="s">
        <v>84</v>
      </c>
      <c r="C5" t="s">
        <v>61</v>
      </c>
      <c r="D5">
        <v>1E-3</v>
      </c>
      <c r="G5" s="5" t="s">
        <v>126</v>
      </c>
      <c r="H5" s="13">
        <v>1</v>
      </c>
      <c r="J5" s="5" t="s">
        <v>69</v>
      </c>
    </row>
    <row r="6" spans="1:14">
      <c r="A6" t="s">
        <v>3170</v>
      </c>
      <c r="B6" t="s">
        <v>83</v>
      </c>
      <c r="C6" t="s">
        <v>59</v>
      </c>
      <c r="D6">
        <v>1E-3</v>
      </c>
      <c r="G6" s="5" t="s">
        <v>124</v>
      </c>
      <c r="H6" s="13">
        <v>0.92207697563197444</v>
      </c>
      <c r="J6" s="5" t="s">
        <v>1</v>
      </c>
    </row>
    <row r="7" spans="1:14">
      <c r="A7" t="s">
        <v>3170</v>
      </c>
      <c r="B7" t="s">
        <v>210</v>
      </c>
      <c r="C7" t="s">
        <v>59</v>
      </c>
      <c r="D7">
        <v>-1E-3</v>
      </c>
      <c r="J7" s="5" t="s">
        <v>57</v>
      </c>
    </row>
    <row r="8" spans="1:14">
      <c r="A8" t="s">
        <v>3170</v>
      </c>
      <c r="B8" t="s">
        <v>85</v>
      </c>
      <c r="C8" t="s">
        <v>60</v>
      </c>
      <c r="D8">
        <v>1</v>
      </c>
      <c r="J8" s="5" t="s">
        <v>81</v>
      </c>
    </row>
    <row r="9" spans="1:14">
      <c r="A9" t="s">
        <v>3170</v>
      </c>
      <c r="B9" t="s">
        <v>33</v>
      </c>
      <c r="C9" t="s">
        <v>838</v>
      </c>
      <c r="D9">
        <f>0.001*H5</f>
        <v>1E-3</v>
      </c>
      <c r="J9" s="5" t="s">
        <v>79</v>
      </c>
    </row>
    <row r="10" spans="1:14">
      <c r="A10" t="s">
        <v>3170</v>
      </c>
      <c r="B10" t="s">
        <v>86</v>
      </c>
      <c r="C10" t="s">
        <v>839</v>
      </c>
      <c r="D10">
        <f>D4</f>
        <v>1</v>
      </c>
      <c r="J10" s="5" t="s">
        <v>80</v>
      </c>
      <c r="L10" t="s">
        <v>40</v>
      </c>
      <c r="M10" t="s">
        <v>90</v>
      </c>
      <c r="N10">
        <f>947800*10^-9</f>
        <v>9.4780000000000005E-4</v>
      </c>
    </row>
    <row r="11" spans="1:14">
      <c r="A11" t="s">
        <v>3170</v>
      </c>
      <c r="B11" t="s">
        <v>64</v>
      </c>
      <c r="C11" t="s">
        <v>64</v>
      </c>
      <c r="D11">
        <v>1</v>
      </c>
      <c r="J11" s="5" t="s">
        <v>38</v>
      </c>
    </row>
    <row r="12" spans="1:14">
      <c r="A12" t="s">
        <v>3170</v>
      </c>
      <c r="B12" t="s">
        <v>63</v>
      </c>
      <c r="C12" t="s">
        <v>63</v>
      </c>
      <c r="D12">
        <v>1</v>
      </c>
      <c r="J12" s="5" t="s">
        <v>58</v>
      </c>
    </row>
    <row r="13" spans="1:14">
      <c r="A13" t="s">
        <v>3170</v>
      </c>
      <c r="B13" t="s">
        <v>65</v>
      </c>
      <c r="C13" t="s">
        <v>65</v>
      </c>
      <c r="D13">
        <v>1</v>
      </c>
      <c r="J13" s="6" t="s">
        <v>31</v>
      </c>
    </row>
    <row r="14" spans="1:14">
      <c r="A14" t="s">
        <v>3170</v>
      </c>
      <c r="B14" t="s">
        <v>89</v>
      </c>
      <c r="C14" t="s">
        <v>38</v>
      </c>
      <c r="D14">
        <v>1E-3</v>
      </c>
      <c r="J14" s="5" t="s">
        <v>78</v>
      </c>
    </row>
    <row r="15" spans="1:14">
      <c r="A15" t="s">
        <v>3170</v>
      </c>
      <c r="B15" t="s">
        <v>115</v>
      </c>
      <c r="C15" t="s">
        <v>840</v>
      </c>
      <c r="D15">
        <v>3.6</v>
      </c>
      <c r="J15" s="5" t="s">
        <v>60</v>
      </c>
    </row>
    <row r="16" spans="1:14">
      <c r="A16" t="s">
        <v>3170</v>
      </c>
      <c r="B16" t="s">
        <v>117</v>
      </c>
      <c r="C16" t="s">
        <v>841</v>
      </c>
      <c r="D16">
        <f>D4</f>
        <v>1</v>
      </c>
      <c r="J16" s="5" t="s">
        <v>70</v>
      </c>
    </row>
    <row r="17" spans="1:10">
      <c r="A17" t="s">
        <v>3170</v>
      </c>
      <c r="B17" t="s">
        <v>125</v>
      </c>
      <c r="C17" t="s">
        <v>842</v>
      </c>
      <c r="D17">
        <f>D9</f>
        <v>1E-3</v>
      </c>
      <c r="J17" s="5" t="s">
        <v>56</v>
      </c>
    </row>
    <row r="18" spans="1:10">
      <c r="A18" t="s">
        <v>3170</v>
      </c>
      <c r="B18" t="s">
        <v>161</v>
      </c>
      <c r="C18" t="s">
        <v>35</v>
      </c>
      <c r="D18">
        <f>1/3.6</f>
        <v>0.27777777777777779</v>
      </c>
      <c r="J18" s="5" t="s">
        <v>77</v>
      </c>
    </row>
    <row r="19" spans="1:10">
      <c r="A19" t="s">
        <v>3170</v>
      </c>
      <c r="B19" t="s">
        <v>199</v>
      </c>
      <c r="C19" t="s">
        <v>40</v>
      </c>
      <c r="D19">
        <v>-1</v>
      </c>
      <c r="J19" s="5" t="s">
        <v>72</v>
      </c>
    </row>
    <row r="20" spans="1:10">
      <c r="A20" t="s">
        <v>3170</v>
      </c>
      <c r="B20" t="s">
        <v>232</v>
      </c>
      <c r="C20" t="s">
        <v>31</v>
      </c>
      <c r="D20">
        <f>1/31.536</f>
        <v>3.1709791983764585E-2</v>
      </c>
      <c r="J20" s="5" t="s">
        <v>61</v>
      </c>
    </row>
    <row r="21" spans="1:10">
      <c r="A21" t="s">
        <v>3170</v>
      </c>
      <c r="B21" t="s">
        <v>291</v>
      </c>
      <c r="C21" t="s">
        <v>839</v>
      </c>
      <c r="D21">
        <v>-1000</v>
      </c>
      <c r="J21" s="5" t="s">
        <v>75</v>
      </c>
    </row>
    <row r="22" spans="1:10">
      <c r="A22" t="s">
        <v>3170</v>
      </c>
      <c r="B22" t="s">
        <v>583</v>
      </c>
      <c r="C22" t="s">
        <v>843</v>
      </c>
      <c r="D22">
        <v>1E-3</v>
      </c>
      <c r="J22" s="5" t="s">
        <v>59</v>
      </c>
    </row>
    <row r="23" spans="1:10">
      <c r="A23" t="s">
        <v>3170</v>
      </c>
      <c r="B23" t="s">
        <v>590</v>
      </c>
      <c r="C23" t="s">
        <v>1</v>
      </c>
      <c r="D23">
        <f>1/31.536</f>
        <v>3.1709791983764585E-2</v>
      </c>
      <c r="G23" s="14" t="s">
        <v>587</v>
      </c>
      <c r="J23" s="5" t="s">
        <v>62</v>
      </c>
    </row>
    <row r="24" spans="1:10">
      <c r="A24" t="s">
        <v>3170</v>
      </c>
      <c r="B24" t="s">
        <v>567</v>
      </c>
      <c r="C24" t="s">
        <v>588</v>
      </c>
      <c r="D24">
        <f>3.6</f>
        <v>3.6</v>
      </c>
      <c r="G24" s="14" t="s">
        <v>589</v>
      </c>
      <c r="J24" s="5" t="s">
        <v>74</v>
      </c>
    </row>
    <row r="25" spans="1:10">
      <c r="A25" t="s">
        <v>3170</v>
      </c>
      <c r="B25" t="s">
        <v>612</v>
      </c>
      <c r="C25" t="s">
        <v>680</v>
      </c>
      <c r="D25">
        <v>1E-3</v>
      </c>
      <c r="J25" s="5" t="s">
        <v>73</v>
      </c>
    </row>
    <row r="26" spans="1:10">
      <c r="A26" t="s">
        <v>3170</v>
      </c>
      <c r="B26" t="s">
        <v>684</v>
      </c>
      <c r="C26" t="s">
        <v>685</v>
      </c>
      <c r="D26">
        <v>1E-3</v>
      </c>
      <c r="J26" s="5" t="s">
        <v>71</v>
      </c>
    </row>
    <row r="27" spans="1:10">
      <c r="A27" t="s">
        <v>3170</v>
      </c>
      <c r="B27" t="s">
        <v>704</v>
      </c>
      <c r="C27" t="s">
        <v>702</v>
      </c>
      <c r="D27">
        <v>6.1</v>
      </c>
      <c r="J27" s="5" t="s">
        <v>64</v>
      </c>
    </row>
    <row r="28" spans="1:10">
      <c r="A28" t="s">
        <v>3170</v>
      </c>
      <c r="B28" t="s">
        <v>701</v>
      </c>
      <c r="C28" t="s">
        <v>703</v>
      </c>
      <c r="D28">
        <v>1.0549999999999999</v>
      </c>
      <c r="J28" s="5" t="s">
        <v>63</v>
      </c>
    </row>
    <row r="29" spans="1:10">
      <c r="A29" t="s">
        <v>3170</v>
      </c>
      <c r="B29" t="s">
        <v>3761</v>
      </c>
      <c r="C29" t="s">
        <v>3762</v>
      </c>
      <c r="D29">
        <f>120/1000</f>
        <v>0.12</v>
      </c>
      <c r="J29" s="5" t="s">
        <v>67</v>
      </c>
    </row>
    <row r="30" spans="1:10">
      <c r="A30" t="s">
        <v>3170</v>
      </c>
      <c r="B30" t="s">
        <v>3169</v>
      </c>
      <c r="C30" t="s">
        <v>35</v>
      </c>
      <c r="D30">
        <f>-1/3.6</f>
        <v>-0.27777777777777779</v>
      </c>
      <c r="J30" s="5" t="s">
        <v>68</v>
      </c>
    </row>
    <row r="31" spans="1:10">
      <c r="A31" t="s">
        <v>3170</v>
      </c>
      <c r="B31" t="s">
        <v>3635</v>
      </c>
      <c r="C31" t="s">
        <v>3636</v>
      </c>
      <c r="D31">
        <v>-1</v>
      </c>
      <c r="J31" s="5" t="s">
        <v>66</v>
      </c>
    </row>
    <row r="32" spans="1:10">
      <c r="J32" s="5" t="s">
        <v>65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AA2B-39D2-4C13-BDF6-1ACF37E337B4}">
  <dimension ref="A1:M39546"/>
  <sheetViews>
    <sheetView workbookViewId="0">
      <selection activeCell="I20" sqref="I20"/>
    </sheetView>
  </sheetViews>
  <sheetFormatPr defaultRowHeight="15"/>
  <cols>
    <col min="1" max="1" width="13.7109375" bestFit="1" customWidth="1"/>
    <col min="2" max="2" width="8.42578125" bestFit="1" customWidth="1"/>
    <col min="3" max="3" width="13.28515625" bestFit="1" customWidth="1"/>
    <col min="4" max="5" width="16.7109375" bestFit="1" customWidth="1"/>
    <col min="6" max="6" width="6.85546875" bestFit="1" customWidth="1"/>
    <col min="7" max="7" width="8.5703125" bestFit="1" customWidth="1"/>
    <col min="8" max="8" width="11.5703125" bestFit="1" customWidth="1"/>
    <col min="9" max="9" width="10" bestFit="1" customWidth="1"/>
    <col min="10" max="10" width="11.7109375" bestFit="1" customWidth="1"/>
    <col min="11" max="11" width="23.28515625" bestFit="1" customWidth="1"/>
    <col min="12" max="12" width="31.5703125" bestFit="1" customWidth="1"/>
  </cols>
  <sheetData>
    <row r="1" spans="1:13">
      <c r="A1" t="s">
        <v>647</v>
      </c>
    </row>
    <row r="2" spans="1:13">
      <c r="A2" t="s">
        <v>36</v>
      </c>
      <c r="B2" t="s">
        <v>645</v>
      </c>
      <c r="C2" t="s">
        <v>37</v>
      </c>
      <c r="D2" t="s">
        <v>21</v>
      </c>
      <c r="E2" t="s">
        <v>19</v>
      </c>
      <c r="F2" t="s">
        <v>845</v>
      </c>
      <c r="G2" t="s">
        <v>846</v>
      </c>
      <c r="H2" t="s">
        <v>847</v>
      </c>
      <c r="I2" t="s">
        <v>146</v>
      </c>
      <c r="J2" t="s">
        <v>848</v>
      </c>
      <c r="K2" t="s">
        <v>3182</v>
      </c>
      <c r="L2" t="s">
        <v>672</v>
      </c>
      <c r="M2" t="s">
        <v>850</v>
      </c>
    </row>
    <row r="3" spans="1:13">
      <c r="A3" t="s">
        <v>851</v>
      </c>
      <c r="B3" t="s">
        <v>686</v>
      </c>
      <c r="C3" t="s">
        <v>686</v>
      </c>
      <c r="D3" t="s">
        <v>24</v>
      </c>
      <c r="E3" t="s">
        <v>242</v>
      </c>
      <c r="F3" t="s">
        <v>663</v>
      </c>
      <c r="G3">
        <v>2040</v>
      </c>
      <c r="H3" s="12">
        <v>23.68</v>
      </c>
      <c r="I3" t="s">
        <v>3183</v>
      </c>
      <c r="J3" t="s">
        <v>6</v>
      </c>
      <c r="K3" t="s">
        <v>147</v>
      </c>
      <c r="L3" t="s">
        <v>3184</v>
      </c>
      <c r="M3" t="s">
        <v>659</v>
      </c>
    </row>
    <row r="4" spans="1:13">
      <c r="A4" t="s">
        <v>851</v>
      </c>
      <c r="B4" t="s">
        <v>686</v>
      </c>
      <c r="C4" t="s">
        <v>686</v>
      </c>
      <c r="D4" t="s">
        <v>24</v>
      </c>
      <c r="E4" t="s">
        <v>242</v>
      </c>
      <c r="F4" t="s">
        <v>663</v>
      </c>
      <c r="G4">
        <v>2045</v>
      </c>
      <c r="H4" s="12">
        <v>20.95</v>
      </c>
      <c r="I4" t="s">
        <v>3183</v>
      </c>
      <c r="J4" t="s">
        <v>6</v>
      </c>
      <c r="K4" t="s">
        <v>147</v>
      </c>
      <c r="L4" t="s">
        <v>3184</v>
      </c>
      <c r="M4" t="s">
        <v>659</v>
      </c>
    </row>
    <row r="5" spans="1:13">
      <c r="A5" t="s">
        <v>851</v>
      </c>
      <c r="B5" t="s">
        <v>686</v>
      </c>
      <c r="C5" t="s">
        <v>686</v>
      </c>
      <c r="D5" t="s">
        <v>24</v>
      </c>
      <c r="E5" t="s">
        <v>242</v>
      </c>
      <c r="F5" t="s">
        <v>663</v>
      </c>
      <c r="G5">
        <v>2050</v>
      </c>
      <c r="H5" s="12">
        <v>25.98</v>
      </c>
      <c r="I5" t="s">
        <v>3183</v>
      </c>
      <c r="J5" t="s">
        <v>6</v>
      </c>
      <c r="K5" t="s">
        <v>147</v>
      </c>
      <c r="L5" t="s">
        <v>3184</v>
      </c>
      <c r="M5" t="s">
        <v>659</v>
      </c>
    </row>
    <row r="6" spans="1:13">
      <c r="A6" t="s">
        <v>851</v>
      </c>
      <c r="B6" t="s">
        <v>687</v>
      </c>
      <c r="C6" t="s">
        <v>687</v>
      </c>
      <c r="D6" t="s">
        <v>24</v>
      </c>
      <c r="E6" t="s">
        <v>242</v>
      </c>
      <c r="F6" t="s">
        <v>663</v>
      </c>
      <c r="G6">
        <v>2030</v>
      </c>
      <c r="H6" s="12">
        <v>64.8</v>
      </c>
      <c r="I6" t="s">
        <v>3183</v>
      </c>
      <c r="J6" t="s">
        <v>6</v>
      </c>
      <c r="K6" t="s">
        <v>147</v>
      </c>
      <c r="L6" t="s">
        <v>3184</v>
      </c>
      <c r="M6" t="s">
        <v>659</v>
      </c>
    </row>
    <row r="7" spans="1:13">
      <c r="A7" t="s">
        <v>851</v>
      </c>
      <c r="B7" t="s">
        <v>687</v>
      </c>
      <c r="C7" t="s">
        <v>687</v>
      </c>
      <c r="D7" t="s">
        <v>24</v>
      </c>
      <c r="E7" t="s">
        <v>242</v>
      </c>
      <c r="F7" t="s">
        <v>663</v>
      </c>
      <c r="G7">
        <v>2035</v>
      </c>
      <c r="H7" s="12">
        <v>42.59</v>
      </c>
      <c r="I7" t="s">
        <v>3183</v>
      </c>
      <c r="J7" t="s">
        <v>6</v>
      </c>
      <c r="K7" t="s">
        <v>147</v>
      </c>
      <c r="L7" t="s">
        <v>3184</v>
      </c>
      <c r="M7" t="s">
        <v>659</v>
      </c>
    </row>
    <row r="8" spans="1:13">
      <c r="A8" t="s">
        <v>851</v>
      </c>
      <c r="B8" t="s">
        <v>687</v>
      </c>
      <c r="C8" t="s">
        <v>687</v>
      </c>
      <c r="D8" t="s">
        <v>24</v>
      </c>
      <c r="E8" t="s">
        <v>242</v>
      </c>
      <c r="F8" t="s">
        <v>663</v>
      </c>
      <c r="G8">
        <v>2040</v>
      </c>
      <c r="H8" s="12">
        <v>11.48</v>
      </c>
      <c r="I8" t="s">
        <v>3183</v>
      </c>
      <c r="J8" t="s">
        <v>6</v>
      </c>
      <c r="K8" t="s">
        <v>147</v>
      </c>
      <c r="L8" t="s">
        <v>3184</v>
      </c>
      <c r="M8" t="s">
        <v>659</v>
      </c>
    </row>
    <row r="9" spans="1:13">
      <c r="A9" t="s">
        <v>851</v>
      </c>
      <c r="B9" t="s">
        <v>687</v>
      </c>
      <c r="C9" t="s">
        <v>687</v>
      </c>
      <c r="D9" t="s">
        <v>24</v>
      </c>
      <c r="E9" t="s">
        <v>242</v>
      </c>
      <c r="F9" t="s">
        <v>663</v>
      </c>
      <c r="G9">
        <v>2045</v>
      </c>
      <c r="H9" s="12">
        <v>1.37</v>
      </c>
      <c r="I9" t="s">
        <v>3183</v>
      </c>
      <c r="J9" t="s">
        <v>6</v>
      </c>
      <c r="K9" t="s">
        <v>147</v>
      </c>
      <c r="L9" t="s">
        <v>3184</v>
      </c>
      <c r="M9" t="s">
        <v>659</v>
      </c>
    </row>
    <row r="10" spans="1:13">
      <c r="A10" t="s">
        <v>851</v>
      </c>
      <c r="B10" t="s">
        <v>687</v>
      </c>
      <c r="C10" t="s">
        <v>687</v>
      </c>
      <c r="D10" t="s">
        <v>24</v>
      </c>
      <c r="E10" t="s">
        <v>242</v>
      </c>
      <c r="F10" t="s">
        <v>663</v>
      </c>
      <c r="G10">
        <v>2050</v>
      </c>
      <c r="H10" s="12">
        <v>0.75</v>
      </c>
      <c r="I10" t="s">
        <v>3183</v>
      </c>
      <c r="J10" t="s">
        <v>6</v>
      </c>
      <c r="K10" t="s">
        <v>147</v>
      </c>
      <c r="L10" t="s">
        <v>3184</v>
      </c>
      <c r="M10" t="s">
        <v>659</v>
      </c>
    </row>
    <row r="11" spans="1:13">
      <c r="A11" t="s">
        <v>851</v>
      </c>
      <c r="B11" t="s">
        <v>686</v>
      </c>
      <c r="C11" t="s">
        <v>686</v>
      </c>
      <c r="D11" t="s">
        <v>24</v>
      </c>
      <c r="E11" t="s">
        <v>242</v>
      </c>
      <c r="F11" t="s">
        <v>663</v>
      </c>
      <c r="G11">
        <v>2030</v>
      </c>
      <c r="H11" s="12">
        <v>111.42</v>
      </c>
      <c r="I11" t="s">
        <v>3183</v>
      </c>
      <c r="J11" t="s">
        <v>5</v>
      </c>
      <c r="K11" t="s">
        <v>664</v>
      </c>
      <c r="L11" t="s">
        <v>3184</v>
      </c>
      <c r="M11" t="s">
        <v>5</v>
      </c>
    </row>
    <row r="12" spans="1:13">
      <c r="A12" t="s">
        <v>851</v>
      </c>
      <c r="B12" t="s">
        <v>686</v>
      </c>
      <c r="C12" t="s">
        <v>686</v>
      </c>
      <c r="D12" t="s">
        <v>24</v>
      </c>
      <c r="E12" t="s">
        <v>242</v>
      </c>
      <c r="F12" t="s">
        <v>663</v>
      </c>
      <c r="G12">
        <v>2035</v>
      </c>
      <c r="H12" s="12">
        <v>111.42</v>
      </c>
      <c r="I12" t="s">
        <v>3183</v>
      </c>
      <c r="J12" t="s">
        <v>5</v>
      </c>
      <c r="K12" t="s">
        <v>664</v>
      </c>
      <c r="L12" t="s">
        <v>3184</v>
      </c>
      <c r="M12" t="s">
        <v>5</v>
      </c>
    </row>
    <row r="13" spans="1:13">
      <c r="A13" t="s">
        <v>851</v>
      </c>
      <c r="B13" t="s">
        <v>686</v>
      </c>
      <c r="C13" t="s">
        <v>686</v>
      </c>
      <c r="D13" t="s">
        <v>24</v>
      </c>
      <c r="E13" t="s">
        <v>242</v>
      </c>
      <c r="F13" t="s">
        <v>663</v>
      </c>
      <c r="G13">
        <v>2040</v>
      </c>
      <c r="H13" s="12">
        <v>111.13</v>
      </c>
      <c r="I13" t="s">
        <v>3183</v>
      </c>
      <c r="J13" t="s">
        <v>5</v>
      </c>
      <c r="K13" t="s">
        <v>664</v>
      </c>
      <c r="L13" t="s">
        <v>3184</v>
      </c>
      <c r="M13" t="s">
        <v>5</v>
      </c>
    </row>
    <row r="14" spans="1:13">
      <c r="A14" t="s">
        <v>851</v>
      </c>
      <c r="B14" t="s">
        <v>686</v>
      </c>
      <c r="C14" t="s">
        <v>686</v>
      </c>
      <c r="D14" t="s">
        <v>24</v>
      </c>
      <c r="E14" t="s">
        <v>242</v>
      </c>
      <c r="F14" t="s">
        <v>663</v>
      </c>
      <c r="G14">
        <v>2045</v>
      </c>
      <c r="H14" s="12">
        <v>110.66</v>
      </c>
      <c r="I14" t="s">
        <v>3183</v>
      </c>
      <c r="J14" t="s">
        <v>5</v>
      </c>
      <c r="K14" t="s">
        <v>664</v>
      </c>
      <c r="L14" t="s">
        <v>3184</v>
      </c>
      <c r="M14" t="s">
        <v>5</v>
      </c>
    </row>
    <row r="15" spans="1:13">
      <c r="A15" t="s">
        <v>851</v>
      </c>
      <c r="B15" t="s">
        <v>686</v>
      </c>
      <c r="C15" t="s">
        <v>686</v>
      </c>
      <c r="D15" t="s">
        <v>24</v>
      </c>
      <c r="E15" t="s">
        <v>242</v>
      </c>
      <c r="F15" t="s">
        <v>663</v>
      </c>
      <c r="G15">
        <v>2050</v>
      </c>
      <c r="H15" s="12">
        <v>110.02</v>
      </c>
      <c r="I15" t="s">
        <v>3183</v>
      </c>
      <c r="J15" t="s">
        <v>5</v>
      </c>
      <c r="K15" t="s">
        <v>664</v>
      </c>
      <c r="L15" t="s">
        <v>3184</v>
      </c>
      <c r="M15" t="s">
        <v>5</v>
      </c>
    </row>
    <row r="16" spans="1:13">
      <c r="A16" t="s">
        <v>851</v>
      </c>
      <c r="B16" t="s">
        <v>687</v>
      </c>
      <c r="C16" t="s">
        <v>687</v>
      </c>
      <c r="D16" t="s">
        <v>24</v>
      </c>
      <c r="E16" t="s">
        <v>242</v>
      </c>
      <c r="F16" t="s">
        <v>663</v>
      </c>
      <c r="G16">
        <v>2030</v>
      </c>
      <c r="H16" s="12">
        <v>86.36</v>
      </c>
      <c r="I16" t="s">
        <v>3183</v>
      </c>
      <c r="J16" t="s">
        <v>5</v>
      </c>
      <c r="K16" t="s">
        <v>664</v>
      </c>
      <c r="L16" t="s">
        <v>3184</v>
      </c>
      <c r="M16" t="s">
        <v>5</v>
      </c>
    </row>
    <row r="17" spans="1:13">
      <c r="A17" t="s">
        <v>851</v>
      </c>
      <c r="B17" t="s">
        <v>687</v>
      </c>
      <c r="C17" t="s">
        <v>687</v>
      </c>
      <c r="D17" t="s">
        <v>24</v>
      </c>
      <c r="E17" t="s">
        <v>242</v>
      </c>
      <c r="F17" t="s">
        <v>663</v>
      </c>
      <c r="G17">
        <v>2035</v>
      </c>
      <c r="H17" s="12">
        <v>67.7</v>
      </c>
      <c r="I17" t="s">
        <v>3183</v>
      </c>
      <c r="J17" t="s">
        <v>5</v>
      </c>
      <c r="K17" t="s">
        <v>664</v>
      </c>
      <c r="L17" t="s">
        <v>3184</v>
      </c>
      <c r="M17" t="s">
        <v>5</v>
      </c>
    </row>
    <row r="18" spans="1:13">
      <c r="A18" t="s">
        <v>851</v>
      </c>
      <c r="B18" t="s">
        <v>687</v>
      </c>
      <c r="C18" t="s">
        <v>687</v>
      </c>
      <c r="D18" t="s">
        <v>24</v>
      </c>
      <c r="E18" t="s">
        <v>242</v>
      </c>
      <c r="F18" t="s">
        <v>663</v>
      </c>
      <c r="G18">
        <v>2040</v>
      </c>
      <c r="H18" s="12">
        <v>49.03</v>
      </c>
      <c r="I18" t="s">
        <v>3183</v>
      </c>
      <c r="J18" t="s">
        <v>5</v>
      </c>
      <c r="K18" t="s">
        <v>664</v>
      </c>
      <c r="L18" t="s">
        <v>3184</v>
      </c>
      <c r="M18" t="s">
        <v>5</v>
      </c>
    </row>
    <row r="19" spans="1:13">
      <c r="A19" t="s">
        <v>851</v>
      </c>
      <c r="B19" t="s">
        <v>687</v>
      </c>
      <c r="C19" t="s">
        <v>687</v>
      </c>
      <c r="D19" t="s">
        <v>24</v>
      </c>
      <c r="E19" t="s">
        <v>242</v>
      </c>
      <c r="F19" t="s">
        <v>663</v>
      </c>
      <c r="G19">
        <v>2045</v>
      </c>
      <c r="H19" s="12">
        <v>31.48</v>
      </c>
      <c r="I19" t="s">
        <v>3183</v>
      </c>
      <c r="J19" t="s">
        <v>5</v>
      </c>
      <c r="K19" t="s">
        <v>664</v>
      </c>
      <c r="L19" t="s">
        <v>3184</v>
      </c>
      <c r="M19" t="s">
        <v>5</v>
      </c>
    </row>
    <row r="20" spans="1:13">
      <c r="A20" t="s">
        <v>851</v>
      </c>
      <c r="B20" t="s">
        <v>687</v>
      </c>
      <c r="C20" t="s">
        <v>687</v>
      </c>
      <c r="D20" t="s">
        <v>24</v>
      </c>
      <c r="E20" t="s">
        <v>242</v>
      </c>
      <c r="F20" t="s">
        <v>663</v>
      </c>
      <c r="G20">
        <v>2050</v>
      </c>
      <c r="H20" s="12">
        <v>16.010000000000002</v>
      </c>
      <c r="I20" t="s">
        <v>3183</v>
      </c>
      <c r="J20" t="s">
        <v>5</v>
      </c>
      <c r="K20" t="s">
        <v>664</v>
      </c>
      <c r="L20" t="s">
        <v>3184</v>
      </c>
      <c r="M20" t="s">
        <v>5</v>
      </c>
    </row>
    <row r="21" spans="1:13">
      <c r="A21" t="s">
        <v>851</v>
      </c>
      <c r="B21" t="s">
        <v>686</v>
      </c>
      <c r="C21" t="s">
        <v>686</v>
      </c>
      <c r="D21" t="s">
        <v>24</v>
      </c>
      <c r="E21" t="s">
        <v>242</v>
      </c>
      <c r="F21" t="s">
        <v>663</v>
      </c>
      <c r="G21">
        <v>2010</v>
      </c>
      <c r="H21" s="12">
        <v>402.19</v>
      </c>
      <c r="I21" t="s">
        <v>3183</v>
      </c>
      <c r="J21" t="s">
        <v>394</v>
      </c>
      <c r="K21" t="s">
        <v>664</v>
      </c>
      <c r="L21" t="s">
        <v>3184</v>
      </c>
      <c r="M21" t="s">
        <v>16</v>
      </c>
    </row>
    <row r="22" spans="1:13">
      <c r="A22" t="s">
        <v>851</v>
      </c>
      <c r="B22" t="s">
        <v>686</v>
      </c>
      <c r="C22" t="s">
        <v>686</v>
      </c>
      <c r="D22" t="s">
        <v>24</v>
      </c>
      <c r="E22" t="s">
        <v>242</v>
      </c>
      <c r="F22" t="s">
        <v>663</v>
      </c>
      <c r="G22">
        <v>2015</v>
      </c>
      <c r="H22" s="12">
        <v>363.23</v>
      </c>
      <c r="I22" t="s">
        <v>3183</v>
      </c>
      <c r="J22" t="s">
        <v>394</v>
      </c>
      <c r="K22" t="s">
        <v>664</v>
      </c>
      <c r="L22" t="s">
        <v>3184</v>
      </c>
      <c r="M22" t="s">
        <v>16</v>
      </c>
    </row>
    <row r="23" spans="1:13">
      <c r="A23" t="s">
        <v>851</v>
      </c>
      <c r="B23" t="s">
        <v>686</v>
      </c>
      <c r="C23" t="s">
        <v>686</v>
      </c>
      <c r="D23" t="s">
        <v>24</v>
      </c>
      <c r="E23" t="s">
        <v>242</v>
      </c>
      <c r="F23" t="s">
        <v>663</v>
      </c>
      <c r="G23">
        <v>2020</v>
      </c>
      <c r="H23" s="12">
        <v>314</v>
      </c>
      <c r="I23" t="s">
        <v>3183</v>
      </c>
      <c r="J23" t="s">
        <v>394</v>
      </c>
      <c r="K23" t="s">
        <v>664</v>
      </c>
      <c r="L23" t="s">
        <v>3184</v>
      </c>
      <c r="M23" t="s">
        <v>16</v>
      </c>
    </row>
    <row r="24" spans="1:13">
      <c r="A24" t="s">
        <v>851</v>
      </c>
      <c r="B24" t="s">
        <v>686</v>
      </c>
      <c r="C24" t="s">
        <v>686</v>
      </c>
      <c r="D24" t="s">
        <v>24</v>
      </c>
      <c r="E24" t="s">
        <v>242</v>
      </c>
      <c r="F24" t="s">
        <v>663</v>
      </c>
      <c r="G24">
        <v>2030</v>
      </c>
      <c r="H24" s="12">
        <v>264.25</v>
      </c>
      <c r="I24" t="s">
        <v>3183</v>
      </c>
      <c r="J24" t="s">
        <v>394</v>
      </c>
      <c r="K24" t="s">
        <v>664</v>
      </c>
      <c r="L24" t="s">
        <v>3184</v>
      </c>
      <c r="M24" t="s">
        <v>16</v>
      </c>
    </row>
    <row r="25" spans="1:13">
      <c r="A25" t="s">
        <v>851</v>
      </c>
      <c r="B25" t="s">
        <v>686</v>
      </c>
      <c r="C25" t="s">
        <v>686</v>
      </c>
      <c r="D25" t="s">
        <v>24</v>
      </c>
      <c r="E25" t="s">
        <v>242</v>
      </c>
      <c r="F25" t="s">
        <v>663</v>
      </c>
      <c r="G25">
        <v>2035</v>
      </c>
      <c r="H25" s="12">
        <v>233.85</v>
      </c>
      <c r="I25" t="s">
        <v>3183</v>
      </c>
      <c r="J25" t="s">
        <v>394</v>
      </c>
      <c r="K25" t="s">
        <v>664</v>
      </c>
      <c r="L25" t="s">
        <v>3184</v>
      </c>
      <c r="M25" t="s">
        <v>16</v>
      </c>
    </row>
    <row r="26" spans="1:13">
      <c r="A26" t="s">
        <v>851</v>
      </c>
      <c r="B26" t="s">
        <v>686</v>
      </c>
      <c r="C26" t="s">
        <v>686</v>
      </c>
      <c r="D26" t="s">
        <v>24</v>
      </c>
      <c r="E26" t="s">
        <v>242</v>
      </c>
      <c r="F26" t="s">
        <v>663</v>
      </c>
      <c r="G26">
        <v>2040</v>
      </c>
      <c r="H26" s="12">
        <v>206.78</v>
      </c>
      <c r="I26" t="s">
        <v>3183</v>
      </c>
      <c r="J26" t="s">
        <v>394</v>
      </c>
      <c r="K26" t="s">
        <v>664</v>
      </c>
      <c r="L26" t="s">
        <v>3184</v>
      </c>
      <c r="M26" t="s">
        <v>16</v>
      </c>
    </row>
    <row r="27" spans="1:13">
      <c r="A27" t="s">
        <v>851</v>
      </c>
      <c r="B27" t="s">
        <v>686</v>
      </c>
      <c r="C27" t="s">
        <v>686</v>
      </c>
      <c r="D27" t="s">
        <v>24</v>
      </c>
      <c r="E27" t="s">
        <v>242</v>
      </c>
      <c r="F27" t="s">
        <v>663</v>
      </c>
      <c r="G27">
        <v>2045</v>
      </c>
      <c r="H27" s="12">
        <v>185.97</v>
      </c>
      <c r="I27" t="s">
        <v>3183</v>
      </c>
      <c r="J27" t="s">
        <v>394</v>
      </c>
      <c r="K27" t="s">
        <v>664</v>
      </c>
      <c r="L27" t="s">
        <v>3184</v>
      </c>
      <c r="M27" t="s">
        <v>16</v>
      </c>
    </row>
    <row r="28" spans="1:13">
      <c r="A28" t="s">
        <v>851</v>
      </c>
      <c r="B28" t="s">
        <v>686</v>
      </c>
      <c r="C28" t="s">
        <v>686</v>
      </c>
      <c r="D28" t="s">
        <v>24</v>
      </c>
      <c r="E28" t="s">
        <v>242</v>
      </c>
      <c r="F28" t="s">
        <v>663</v>
      </c>
      <c r="G28">
        <v>2050</v>
      </c>
      <c r="H28" s="12">
        <v>165.94</v>
      </c>
      <c r="I28" t="s">
        <v>3183</v>
      </c>
      <c r="J28" t="s">
        <v>394</v>
      </c>
      <c r="K28" t="s">
        <v>664</v>
      </c>
      <c r="L28" t="s">
        <v>3184</v>
      </c>
      <c r="M28" t="s">
        <v>16</v>
      </c>
    </row>
    <row r="29" spans="1:13">
      <c r="A29" t="s">
        <v>851</v>
      </c>
      <c r="B29" t="s">
        <v>687</v>
      </c>
      <c r="C29" t="s">
        <v>687</v>
      </c>
      <c r="D29" t="s">
        <v>24</v>
      </c>
      <c r="E29" t="s">
        <v>242</v>
      </c>
      <c r="F29" t="s">
        <v>663</v>
      </c>
      <c r="G29">
        <v>2030</v>
      </c>
      <c r="H29" s="12">
        <v>226.89</v>
      </c>
      <c r="I29" t="s">
        <v>3183</v>
      </c>
      <c r="J29" t="s">
        <v>394</v>
      </c>
      <c r="K29" t="s">
        <v>664</v>
      </c>
      <c r="L29" t="s">
        <v>3184</v>
      </c>
      <c r="M29" t="s">
        <v>16</v>
      </c>
    </row>
    <row r="30" spans="1:13">
      <c r="A30" t="s">
        <v>851</v>
      </c>
      <c r="B30" t="s">
        <v>687</v>
      </c>
      <c r="C30" t="s">
        <v>687</v>
      </c>
      <c r="D30" t="s">
        <v>24</v>
      </c>
      <c r="E30" t="s">
        <v>242</v>
      </c>
      <c r="F30" t="s">
        <v>663</v>
      </c>
      <c r="G30">
        <v>2035</v>
      </c>
      <c r="H30" s="12">
        <v>160.24</v>
      </c>
      <c r="I30" t="s">
        <v>3183</v>
      </c>
      <c r="J30" t="s">
        <v>394</v>
      </c>
      <c r="K30" t="s">
        <v>664</v>
      </c>
      <c r="L30" t="s">
        <v>3184</v>
      </c>
      <c r="M30" t="s">
        <v>16</v>
      </c>
    </row>
    <row r="31" spans="1:13">
      <c r="A31" t="s">
        <v>851</v>
      </c>
      <c r="B31" t="s">
        <v>687</v>
      </c>
      <c r="C31" t="s">
        <v>687</v>
      </c>
      <c r="D31" t="s">
        <v>24</v>
      </c>
      <c r="E31" t="s">
        <v>242</v>
      </c>
      <c r="F31" t="s">
        <v>663</v>
      </c>
      <c r="G31">
        <v>2040</v>
      </c>
      <c r="H31" s="12">
        <v>101.53</v>
      </c>
      <c r="I31" t="s">
        <v>3183</v>
      </c>
      <c r="J31" t="s">
        <v>394</v>
      </c>
      <c r="K31" t="s">
        <v>664</v>
      </c>
      <c r="L31" t="s">
        <v>3184</v>
      </c>
      <c r="M31" t="s">
        <v>16</v>
      </c>
    </row>
    <row r="32" spans="1:13">
      <c r="A32" t="s">
        <v>851</v>
      </c>
      <c r="B32" t="s">
        <v>687</v>
      </c>
      <c r="C32" t="s">
        <v>687</v>
      </c>
      <c r="D32" t="s">
        <v>24</v>
      </c>
      <c r="E32" t="s">
        <v>242</v>
      </c>
      <c r="F32" t="s">
        <v>663</v>
      </c>
      <c r="G32">
        <v>2045</v>
      </c>
      <c r="H32" s="12">
        <v>62.16</v>
      </c>
      <c r="I32" t="s">
        <v>3183</v>
      </c>
      <c r="J32" t="s">
        <v>394</v>
      </c>
      <c r="K32" t="s">
        <v>664</v>
      </c>
      <c r="L32" t="s">
        <v>3184</v>
      </c>
      <c r="M32" t="s">
        <v>16</v>
      </c>
    </row>
    <row r="33" spans="1:13">
      <c r="A33" t="s">
        <v>851</v>
      </c>
      <c r="B33" t="s">
        <v>687</v>
      </c>
      <c r="C33" t="s">
        <v>687</v>
      </c>
      <c r="D33" t="s">
        <v>24</v>
      </c>
      <c r="E33" t="s">
        <v>242</v>
      </c>
      <c r="F33" t="s">
        <v>663</v>
      </c>
      <c r="G33">
        <v>2050</v>
      </c>
      <c r="H33" s="12">
        <v>33.979999999999997</v>
      </c>
      <c r="I33" t="s">
        <v>3183</v>
      </c>
      <c r="J33" t="s">
        <v>394</v>
      </c>
      <c r="K33" t="s">
        <v>664</v>
      </c>
      <c r="L33" t="s">
        <v>3184</v>
      </c>
      <c r="M33" t="s">
        <v>16</v>
      </c>
    </row>
    <row r="34" spans="1:13">
      <c r="A34" t="s">
        <v>851</v>
      </c>
      <c r="B34" t="s">
        <v>686</v>
      </c>
      <c r="C34" t="s">
        <v>686</v>
      </c>
      <c r="D34" t="s">
        <v>24</v>
      </c>
      <c r="E34" t="s">
        <v>242</v>
      </c>
      <c r="F34" t="s">
        <v>663</v>
      </c>
      <c r="G34">
        <v>2010</v>
      </c>
      <c r="H34" s="12">
        <v>67.260000000000005</v>
      </c>
      <c r="I34" t="s">
        <v>3183</v>
      </c>
      <c r="J34" t="s">
        <v>6</v>
      </c>
      <c r="K34" t="s">
        <v>664</v>
      </c>
      <c r="L34" t="s">
        <v>3184</v>
      </c>
      <c r="M34" t="s">
        <v>659</v>
      </c>
    </row>
    <row r="35" spans="1:13">
      <c r="A35" t="s">
        <v>851</v>
      </c>
      <c r="B35" t="s">
        <v>686</v>
      </c>
      <c r="C35" t="s">
        <v>686</v>
      </c>
      <c r="D35" t="s">
        <v>24</v>
      </c>
      <c r="E35" t="s">
        <v>242</v>
      </c>
      <c r="F35" t="s">
        <v>663</v>
      </c>
      <c r="G35">
        <v>2015</v>
      </c>
      <c r="H35" s="12">
        <v>66.94</v>
      </c>
      <c r="I35" t="s">
        <v>3183</v>
      </c>
      <c r="J35" t="s">
        <v>6</v>
      </c>
      <c r="K35" t="s">
        <v>664</v>
      </c>
      <c r="L35" t="s">
        <v>3184</v>
      </c>
      <c r="M35" t="s">
        <v>659</v>
      </c>
    </row>
    <row r="36" spans="1:13">
      <c r="A36" t="s">
        <v>851</v>
      </c>
      <c r="B36" t="s">
        <v>686</v>
      </c>
      <c r="C36" t="s">
        <v>686</v>
      </c>
      <c r="D36" t="s">
        <v>24</v>
      </c>
      <c r="E36" t="s">
        <v>242</v>
      </c>
      <c r="F36" t="s">
        <v>663</v>
      </c>
      <c r="G36">
        <v>2020</v>
      </c>
      <c r="H36" s="12">
        <v>62.5</v>
      </c>
      <c r="I36" t="s">
        <v>3183</v>
      </c>
      <c r="J36" t="s">
        <v>6</v>
      </c>
      <c r="K36" t="s">
        <v>664</v>
      </c>
      <c r="L36" t="s">
        <v>3184</v>
      </c>
      <c r="M36" t="s">
        <v>659</v>
      </c>
    </row>
    <row r="37" spans="1:13">
      <c r="A37" t="s">
        <v>851</v>
      </c>
      <c r="B37" t="s">
        <v>686</v>
      </c>
      <c r="C37" t="s">
        <v>686</v>
      </c>
      <c r="D37" t="s">
        <v>24</v>
      </c>
      <c r="E37" t="s">
        <v>242</v>
      </c>
      <c r="F37" t="s">
        <v>663</v>
      </c>
      <c r="G37">
        <v>2030</v>
      </c>
      <c r="H37" s="12">
        <v>64.72</v>
      </c>
      <c r="I37" t="s">
        <v>3183</v>
      </c>
      <c r="J37" t="s">
        <v>6</v>
      </c>
      <c r="K37" t="s">
        <v>664</v>
      </c>
      <c r="L37" t="s">
        <v>3184</v>
      </c>
      <c r="M37" t="s">
        <v>659</v>
      </c>
    </row>
    <row r="38" spans="1:13">
      <c r="A38" t="s">
        <v>851</v>
      </c>
      <c r="B38" t="s">
        <v>686</v>
      </c>
      <c r="C38" t="s">
        <v>686</v>
      </c>
      <c r="D38" t="s">
        <v>24</v>
      </c>
      <c r="E38" t="s">
        <v>242</v>
      </c>
      <c r="F38" t="s">
        <v>663</v>
      </c>
      <c r="G38">
        <v>2035</v>
      </c>
      <c r="H38" s="12">
        <v>62.69</v>
      </c>
      <c r="I38" t="s">
        <v>3183</v>
      </c>
      <c r="J38" t="s">
        <v>6</v>
      </c>
      <c r="K38" t="s">
        <v>664</v>
      </c>
      <c r="L38" t="s">
        <v>3184</v>
      </c>
      <c r="M38" t="s">
        <v>659</v>
      </c>
    </row>
    <row r="39" spans="1:13">
      <c r="A39" t="s">
        <v>851</v>
      </c>
      <c r="B39" t="s">
        <v>686</v>
      </c>
      <c r="C39" t="s">
        <v>686</v>
      </c>
      <c r="D39" t="s">
        <v>24</v>
      </c>
      <c r="E39" t="s">
        <v>242</v>
      </c>
      <c r="F39" t="s">
        <v>663</v>
      </c>
      <c r="G39">
        <v>2040</v>
      </c>
      <c r="H39" s="12">
        <v>61.15</v>
      </c>
      <c r="I39" t="s">
        <v>3183</v>
      </c>
      <c r="J39" t="s">
        <v>6</v>
      </c>
      <c r="K39" t="s">
        <v>664</v>
      </c>
      <c r="L39" t="s">
        <v>3184</v>
      </c>
      <c r="M39" t="s">
        <v>659</v>
      </c>
    </row>
    <row r="40" spans="1:13">
      <c r="A40" t="s">
        <v>851</v>
      </c>
      <c r="B40" t="s">
        <v>686</v>
      </c>
      <c r="C40" t="s">
        <v>686</v>
      </c>
      <c r="D40" t="s">
        <v>24</v>
      </c>
      <c r="E40" t="s">
        <v>242</v>
      </c>
      <c r="F40" t="s">
        <v>663</v>
      </c>
      <c r="G40">
        <v>2045</v>
      </c>
      <c r="H40" s="12">
        <v>59.31</v>
      </c>
      <c r="I40" t="s">
        <v>3183</v>
      </c>
      <c r="J40" t="s">
        <v>6</v>
      </c>
      <c r="K40" t="s">
        <v>664</v>
      </c>
      <c r="L40" t="s">
        <v>3184</v>
      </c>
      <c r="M40" t="s">
        <v>659</v>
      </c>
    </row>
    <row r="41" spans="1:13">
      <c r="A41" t="s">
        <v>851</v>
      </c>
      <c r="B41" t="s">
        <v>686</v>
      </c>
      <c r="C41" t="s">
        <v>686</v>
      </c>
      <c r="D41" t="s">
        <v>24</v>
      </c>
      <c r="E41" t="s">
        <v>242</v>
      </c>
      <c r="F41" t="s">
        <v>663</v>
      </c>
      <c r="G41">
        <v>2050</v>
      </c>
      <c r="H41" s="12">
        <v>57.18</v>
      </c>
      <c r="I41" t="s">
        <v>3183</v>
      </c>
      <c r="J41" t="s">
        <v>6</v>
      </c>
      <c r="K41" t="s">
        <v>664</v>
      </c>
      <c r="L41" t="s">
        <v>3184</v>
      </c>
      <c r="M41" t="s">
        <v>659</v>
      </c>
    </row>
    <row r="42" spans="1:13">
      <c r="A42" t="s">
        <v>851</v>
      </c>
      <c r="B42" t="s">
        <v>687</v>
      </c>
      <c r="C42" t="s">
        <v>687</v>
      </c>
      <c r="D42" t="s">
        <v>24</v>
      </c>
      <c r="E42" t="s">
        <v>242</v>
      </c>
      <c r="F42" t="s">
        <v>663</v>
      </c>
      <c r="G42">
        <v>2030</v>
      </c>
      <c r="H42" s="12">
        <v>53.15</v>
      </c>
      <c r="I42" t="s">
        <v>3183</v>
      </c>
      <c r="J42" t="s">
        <v>6</v>
      </c>
      <c r="K42" t="s">
        <v>664</v>
      </c>
      <c r="L42" t="s">
        <v>3184</v>
      </c>
      <c r="M42" t="s">
        <v>659</v>
      </c>
    </row>
    <row r="43" spans="1:13">
      <c r="A43" t="s">
        <v>851</v>
      </c>
      <c r="B43" t="s">
        <v>687</v>
      </c>
      <c r="C43" t="s">
        <v>687</v>
      </c>
      <c r="D43" t="s">
        <v>24</v>
      </c>
      <c r="E43" t="s">
        <v>242</v>
      </c>
      <c r="F43" t="s">
        <v>663</v>
      </c>
      <c r="G43">
        <v>2035</v>
      </c>
      <c r="H43" s="12">
        <v>42.06</v>
      </c>
      <c r="I43" t="s">
        <v>3183</v>
      </c>
      <c r="J43" t="s">
        <v>6</v>
      </c>
      <c r="K43" t="s">
        <v>664</v>
      </c>
      <c r="L43" t="s">
        <v>3184</v>
      </c>
      <c r="M43" t="s">
        <v>659</v>
      </c>
    </row>
    <row r="44" spans="1:13">
      <c r="A44" t="s">
        <v>851</v>
      </c>
      <c r="B44" t="s">
        <v>687</v>
      </c>
      <c r="C44" t="s">
        <v>687</v>
      </c>
      <c r="D44" t="s">
        <v>24</v>
      </c>
      <c r="E44" t="s">
        <v>242</v>
      </c>
      <c r="F44" t="s">
        <v>663</v>
      </c>
      <c r="G44">
        <v>2040</v>
      </c>
      <c r="H44" s="12">
        <v>30.4</v>
      </c>
      <c r="I44" t="s">
        <v>3183</v>
      </c>
      <c r="J44" t="s">
        <v>6</v>
      </c>
      <c r="K44" t="s">
        <v>664</v>
      </c>
      <c r="L44" t="s">
        <v>3184</v>
      </c>
      <c r="M44" t="s">
        <v>659</v>
      </c>
    </row>
    <row r="45" spans="1:13">
      <c r="A45" t="s">
        <v>851</v>
      </c>
      <c r="B45" t="s">
        <v>687</v>
      </c>
      <c r="C45" t="s">
        <v>687</v>
      </c>
      <c r="D45" t="s">
        <v>24</v>
      </c>
      <c r="E45" t="s">
        <v>242</v>
      </c>
      <c r="F45" t="s">
        <v>663</v>
      </c>
      <c r="G45">
        <v>2045</v>
      </c>
      <c r="H45" s="12">
        <v>18.36</v>
      </c>
      <c r="I45" t="s">
        <v>3183</v>
      </c>
      <c r="J45" t="s">
        <v>6</v>
      </c>
      <c r="K45" t="s">
        <v>664</v>
      </c>
      <c r="L45" t="s">
        <v>3184</v>
      </c>
      <c r="M45" t="s">
        <v>659</v>
      </c>
    </row>
    <row r="46" spans="1:13">
      <c r="A46" t="s">
        <v>851</v>
      </c>
      <c r="B46" t="s">
        <v>687</v>
      </c>
      <c r="C46" t="s">
        <v>687</v>
      </c>
      <c r="D46" t="s">
        <v>24</v>
      </c>
      <c r="E46" t="s">
        <v>242</v>
      </c>
      <c r="F46" t="s">
        <v>663</v>
      </c>
      <c r="G46">
        <v>2050</v>
      </c>
      <c r="H46" s="12">
        <v>7.25</v>
      </c>
      <c r="I46" t="s">
        <v>3183</v>
      </c>
      <c r="J46" t="s">
        <v>6</v>
      </c>
      <c r="K46" t="s">
        <v>664</v>
      </c>
      <c r="L46" t="s">
        <v>3184</v>
      </c>
      <c r="M46" t="s">
        <v>659</v>
      </c>
    </row>
    <row r="47" spans="1:13">
      <c r="A47" t="s">
        <v>851</v>
      </c>
      <c r="B47" t="s">
        <v>686</v>
      </c>
      <c r="C47" t="s">
        <v>686</v>
      </c>
      <c r="D47" t="s">
        <v>24</v>
      </c>
      <c r="E47" t="s">
        <v>242</v>
      </c>
      <c r="F47" t="s">
        <v>663</v>
      </c>
      <c r="G47">
        <v>2010</v>
      </c>
      <c r="H47" s="12">
        <v>290.89999999999998</v>
      </c>
      <c r="I47" t="s">
        <v>3183</v>
      </c>
      <c r="J47" t="s">
        <v>5</v>
      </c>
      <c r="K47" t="s">
        <v>147</v>
      </c>
      <c r="L47" t="s">
        <v>3184</v>
      </c>
      <c r="M47" t="s">
        <v>5</v>
      </c>
    </row>
    <row r="48" spans="1:13">
      <c r="A48" t="s">
        <v>851</v>
      </c>
      <c r="B48" t="s">
        <v>686</v>
      </c>
      <c r="C48" t="s">
        <v>686</v>
      </c>
      <c r="D48" t="s">
        <v>24</v>
      </c>
      <c r="E48" t="s">
        <v>242</v>
      </c>
      <c r="F48" t="s">
        <v>663</v>
      </c>
      <c r="G48">
        <v>2015</v>
      </c>
      <c r="H48" s="12">
        <v>321.56</v>
      </c>
      <c r="I48" t="s">
        <v>3183</v>
      </c>
      <c r="J48" t="s">
        <v>5</v>
      </c>
      <c r="K48" t="s">
        <v>147</v>
      </c>
      <c r="L48" t="s">
        <v>3184</v>
      </c>
      <c r="M48" t="s">
        <v>5</v>
      </c>
    </row>
    <row r="49" spans="1:13">
      <c r="A49" t="s">
        <v>851</v>
      </c>
      <c r="B49" t="s">
        <v>686</v>
      </c>
      <c r="C49" t="s">
        <v>686</v>
      </c>
      <c r="D49" t="s">
        <v>24</v>
      </c>
      <c r="E49" t="s">
        <v>242</v>
      </c>
      <c r="F49" t="s">
        <v>663</v>
      </c>
      <c r="G49">
        <v>2020</v>
      </c>
      <c r="H49" s="12">
        <v>279.32</v>
      </c>
      <c r="I49" t="s">
        <v>3183</v>
      </c>
      <c r="J49" t="s">
        <v>5</v>
      </c>
      <c r="K49" t="s">
        <v>147</v>
      </c>
      <c r="L49" t="s">
        <v>3184</v>
      </c>
      <c r="M49" t="s">
        <v>5</v>
      </c>
    </row>
    <row r="50" spans="1:13">
      <c r="A50" t="s">
        <v>851</v>
      </c>
      <c r="B50" t="s">
        <v>686</v>
      </c>
      <c r="C50" t="s">
        <v>686</v>
      </c>
      <c r="D50" t="s">
        <v>24</v>
      </c>
      <c r="E50" t="s">
        <v>242</v>
      </c>
      <c r="F50" t="s">
        <v>663</v>
      </c>
      <c r="G50">
        <v>2030</v>
      </c>
      <c r="H50" s="12">
        <v>157.19999999999999</v>
      </c>
      <c r="I50" t="s">
        <v>3183</v>
      </c>
      <c r="J50" t="s">
        <v>5</v>
      </c>
      <c r="K50" t="s">
        <v>147</v>
      </c>
      <c r="L50" t="s">
        <v>3184</v>
      </c>
      <c r="M50" t="s">
        <v>5</v>
      </c>
    </row>
    <row r="51" spans="1:13">
      <c r="A51" t="s">
        <v>851</v>
      </c>
      <c r="B51" t="s">
        <v>686</v>
      </c>
      <c r="C51" t="s">
        <v>686</v>
      </c>
      <c r="D51" t="s">
        <v>24</v>
      </c>
      <c r="E51" t="s">
        <v>242</v>
      </c>
      <c r="F51" t="s">
        <v>663</v>
      </c>
      <c r="G51">
        <v>2035</v>
      </c>
      <c r="H51" s="12">
        <v>134.91</v>
      </c>
      <c r="I51" t="s">
        <v>3183</v>
      </c>
      <c r="J51" t="s">
        <v>5</v>
      </c>
      <c r="K51" t="s">
        <v>147</v>
      </c>
      <c r="L51" t="s">
        <v>3184</v>
      </c>
      <c r="M51" t="s">
        <v>5</v>
      </c>
    </row>
    <row r="52" spans="1:13">
      <c r="A52" t="s">
        <v>851</v>
      </c>
      <c r="B52" t="s">
        <v>686</v>
      </c>
      <c r="C52" t="s">
        <v>686</v>
      </c>
      <c r="D52" t="s">
        <v>24</v>
      </c>
      <c r="E52" t="s">
        <v>242</v>
      </c>
      <c r="F52" t="s">
        <v>663</v>
      </c>
      <c r="G52">
        <v>2040</v>
      </c>
      <c r="H52" s="12">
        <v>120.37</v>
      </c>
      <c r="I52" t="s">
        <v>3183</v>
      </c>
      <c r="J52" t="s">
        <v>5</v>
      </c>
      <c r="K52" t="s">
        <v>147</v>
      </c>
      <c r="L52" t="s">
        <v>3184</v>
      </c>
      <c r="M52" t="s">
        <v>5</v>
      </c>
    </row>
    <row r="53" spans="1:13">
      <c r="A53" t="s">
        <v>851</v>
      </c>
      <c r="B53" t="s">
        <v>686</v>
      </c>
      <c r="C53" t="s">
        <v>686</v>
      </c>
      <c r="D53" t="s">
        <v>24</v>
      </c>
      <c r="E53" t="s">
        <v>242</v>
      </c>
      <c r="F53" t="s">
        <v>663</v>
      </c>
      <c r="G53">
        <v>2045</v>
      </c>
      <c r="H53" s="12">
        <v>87.49</v>
      </c>
      <c r="I53" t="s">
        <v>3183</v>
      </c>
      <c r="J53" t="s">
        <v>5</v>
      </c>
      <c r="K53" t="s">
        <v>147</v>
      </c>
      <c r="L53" t="s">
        <v>3184</v>
      </c>
      <c r="M53" t="s">
        <v>5</v>
      </c>
    </row>
    <row r="54" spans="1:13">
      <c r="A54" t="s">
        <v>851</v>
      </c>
      <c r="B54" t="s">
        <v>686</v>
      </c>
      <c r="C54" t="s">
        <v>686</v>
      </c>
      <c r="D54" t="s">
        <v>24</v>
      </c>
      <c r="E54" t="s">
        <v>242</v>
      </c>
      <c r="F54" t="s">
        <v>663</v>
      </c>
      <c r="G54">
        <v>2050</v>
      </c>
      <c r="H54" s="12">
        <v>51.33</v>
      </c>
      <c r="I54" t="s">
        <v>3183</v>
      </c>
      <c r="J54" t="s">
        <v>5</v>
      </c>
      <c r="K54" t="s">
        <v>147</v>
      </c>
      <c r="L54" t="s">
        <v>3184</v>
      </c>
      <c r="M54" t="s">
        <v>5</v>
      </c>
    </row>
    <row r="55" spans="1:13">
      <c r="A55" t="s">
        <v>851</v>
      </c>
      <c r="B55" t="s">
        <v>687</v>
      </c>
      <c r="C55" t="s">
        <v>687</v>
      </c>
      <c r="D55" t="s">
        <v>24</v>
      </c>
      <c r="E55" t="s">
        <v>242</v>
      </c>
      <c r="F55" t="s">
        <v>663</v>
      </c>
      <c r="G55">
        <v>2030</v>
      </c>
      <c r="H55" s="12">
        <v>154.03</v>
      </c>
      <c r="I55" t="s">
        <v>3183</v>
      </c>
      <c r="J55" t="s">
        <v>5</v>
      </c>
      <c r="K55" t="s">
        <v>147</v>
      </c>
      <c r="L55" t="s">
        <v>3184</v>
      </c>
      <c r="M55" t="s">
        <v>5</v>
      </c>
    </row>
    <row r="56" spans="1:13">
      <c r="A56" t="s">
        <v>851</v>
      </c>
      <c r="B56" t="s">
        <v>687</v>
      </c>
      <c r="C56" t="s">
        <v>687</v>
      </c>
      <c r="D56" t="s">
        <v>24</v>
      </c>
      <c r="E56" t="s">
        <v>242</v>
      </c>
      <c r="F56" t="s">
        <v>663</v>
      </c>
      <c r="G56">
        <v>2035</v>
      </c>
      <c r="H56" s="12">
        <v>86.09</v>
      </c>
      <c r="I56" t="s">
        <v>3183</v>
      </c>
      <c r="J56" t="s">
        <v>5</v>
      </c>
      <c r="K56" t="s">
        <v>147</v>
      </c>
      <c r="L56" t="s">
        <v>3184</v>
      </c>
      <c r="M56" t="s">
        <v>5</v>
      </c>
    </row>
    <row r="57" spans="1:13">
      <c r="A57" t="s">
        <v>851</v>
      </c>
      <c r="B57" t="s">
        <v>687</v>
      </c>
      <c r="C57" t="s">
        <v>687</v>
      </c>
      <c r="D57" t="s">
        <v>24</v>
      </c>
      <c r="E57" t="s">
        <v>242</v>
      </c>
      <c r="F57" t="s">
        <v>663</v>
      </c>
      <c r="G57">
        <v>2040</v>
      </c>
      <c r="H57" s="12">
        <v>50.53</v>
      </c>
      <c r="I57" t="s">
        <v>3183</v>
      </c>
      <c r="J57" t="s">
        <v>5</v>
      </c>
      <c r="K57" t="s">
        <v>147</v>
      </c>
      <c r="L57" t="s">
        <v>3184</v>
      </c>
      <c r="M57" t="s">
        <v>5</v>
      </c>
    </row>
    <row r="58" spans="1:13">
      <c r="A58" t="s">
        <v>851</v>
      </c>
      <c r="B58" t="s">
        <v>687</v>
      </c>
      <c r="C58" t="s">
        <v>687</v>
      </c>
      <c r="D58" t="s">
        <v>24</v>
      </c>
      <c r="E58" t="s">
        <v>242</v>
      </c>
      <c r="F58" t="s">
        <v>663</v>
      </c>
      <c r="G58">
        <v>2045</v>
      </c>
      <c r="H58" s="12">
        <v>25.14</v>
      </c>
      <c r="I58" t="s">
        <v>3183</v>
      </c>
      <c r="J58" t="s">
        <v>5</v>
      </c>
      <c r="K58" t="s">
        <v>147</v>
      </c>
      <c r="L58" t="s">
        <v>3184</v>
      </c>
      <c r="M58" t="s">
        <v>5</v>
      </c>
    </row>
    <row r="59" spans="1:13">
      <c r="A59" t="s">
        <v>851</v>
      </c>
      <c r="B59" t="s">
        <v>687</v>
      </c>
      <c r="C59" t="s">
        <v>687</v>
      </c>
      <c r="D59" t="s">
        <v>24</v>
      </c>
      <c r="E59" t="s">
        <v>242</v>
      </c>
      <c r="F59" t="s">
        <v>663</v>
      </c>
      <c r="G59">
        <v>2050</v>
      </c>
      <c r="H59" s="12">
        <v>1.44</v>
      </c>
      <c r="I59" t="s">
        <v>3183</v>
      </c>
      <c r="J59" t="s">
        <v>5</v>
      </c>
      <c r="K59" t="s">
        <v>147</v>
      </c>
      <c r="L59" t="s">
        <v>3184</v>
      </c>
      <c r="M59" t="s">
        <v>5</v>
      </c>
    </row>
    <row r="60" spans="1:13">
      <c r="A60" t="s">
        <v>851</v>
      </c>
      <c r="B60" t="s">
        <v>686</v>
      </c>
      <c r="C60" t="s">
        <v>686</v>
      </c>
      <c r="D60" t="s">
        <v>24</v>
      </c>
      <c r="E60" t="s">
        <v>242</v>
      </c>
      <c r="F60" t="s">
        <v>663</v>
      </c>
      <c r="G60">
        <v>2010</v>
      </c>
      <c r="H60" s="12">
        <v>61.55</v>
      </c>
      <c r="I60" t="s">
        <v>3183</v>
      </c>
      <c r="J60" t="s">
        <v>394</v>
      </c>
      <c r="K60" t="s">
        <v>147</v>
      </c>
      <c r="L60" t="s">
        <v>3184</v>
      </c>
      <c r="M60" t="s">
        <v>16</v>
      </c>
    </row>
    <row r="61" spans="1:13">
      <c r="A61" t="s">
        <v>851</v>
      </c>
      <c r="B61" t="s">
        <v>686</v>
      </c>
      <c r="C61" t="s">
        <v>686</v>
      </c>
      <c r="D61" t="s">
        <v>24</v>
      </c>
      <c r="E61" t="s">
        <v>242</v>
      </c>
      <c r="F61" t="s">
        <v>663</v>
      </c>
      <c r="G61">
        <v>2015</v>
      </c>
      <c r="H61" s="12">
        <v>60.4</v>
      </c>
      <c r="I61" t="s">
        <v>3183</v>
      </c>
      <c r="J61" t="s">
        <v>394</v>
      </c>
      <c r="K61" t="s">
        <v>147</v>
      </c>
      <c r="L61" t="s">
        <v>3184</v>
      </c>
      <c r="M61" t="s">
        <v>16</v>
      </c>
    </row>
    <row r="62" spans="1:13">
      <c r="A62" t="s">
        <v>851</v>
      </c>
      <c r="B62" t="s">
        <v>686</v>
      </c>
      <c r="C62" t="s">
        <v>686</v>
      </c>
      <c r="D62" t="s">
        <v>24</v>
      </c>
      <c r="E62" t="s">
        <v>242</v>
      </c>
      <c r="F62" t="s">
        <v>663</v>
      </c>
      <c r="G62">
        <v>2020</v>
      </c>
      <c r="H62" s="12">
        <v>26.71</v>
      </c>
      <c r="I62" t="s">
        <v>3183</v>
      </c>
      <c r="J62" t="s">
        <v>394</v>
      </c>
      <c r="K62" t="s">
        <v>147</v>
      </c>
      <c r="L62" t="s">
        <v>3184</v>
      </c>
      <c r="M62" t="s">
        <v>16</v>
      </c>
    </row>
    <row r="63" spans="1:13">
      <c r="A63" t="s">
        <v>851</v>
      </c>
      <c r="B63" t="s">
        <v>686</v>
      </c>
      <c r="C63" t="s">
        <v>686</v>
      </c>
      <c r="D63" t="s">
        <v>24</v>
      </c>
      <c r="E63" t="s">
        <v>242</v>
      </c>
      <c r="F63" t="s">
        <v>663</v>
      </c>
      <c r="G63">
        <v>2030</v>
      </c>
      <c r="H63" s="12">
        <v>8.14</v>
      </c>
      <c r="I63" t="s">
        <v>3183</v>
      </c>
      <c r="J63" t="s">
        <v>394</v>
      </c>
      <c r="K63" t="s">
        <v>147</v>
      </c>
      <c r="L63" t="s">
        <v>3184</v>
      </c>
      <c r="M63" t="s">
        <v>16</v>
      </c>
    </row>
    <row r="64" spans="1:13">
      <c r="A64" t="s">
        <v>851</v>
      </c>
      <c r="B64" t="s">
        <v>686</v>
      </c>
      <c r="C64" t="s">
        <v>686</v>
      </c>
      <c r="D64" t="s">
        <v>24</v>
      </c>
      <c r="E64" t="s">
        <v>242</v>
      </c>
      <c r="F64" t="s">
        <v>663</v>
      </c>
      <c r="G64">
        <v>2035</v>
      </c>
      <c r="H64" s="12">
        <v>3.9</v>
      </c>
      <c r="I64" t="s">
        <v>3183</v>
      </c>
      <c r="J64" t="s">
        <v>394</v>
      </c>
      <c r="K64" t="s">
        <v>147</v>
      </c>
      <c r="L64" t="s">
        <v>3184</v>
      </c>
      <c r="M64" t="s">
        <v>16</v>
      </c>
    </row>
    <row r="65" spans="1:13">
      <c r="A65" t="s">
        <v>851</v>
      </c>
      <c r="B65" t="s">
        <v>686</v>
      </c>
      <c r="C65" t="s">
        <v>686</v>
      </c>
      <c r="D65" t="s">
        <v>24</v>
      </c>
      <c r="E65" t="s">
        <v>242</v>
      </c>
      <c r="F65" t="s">
        <v>663</v>
      </c>
      <c r="G65">
        <v>2040</v>
      </c>
      <c r="H65" s="12">
        <v>2.27</v>
      </c>
      <c r="I65" t="s">
        <v>3183</v>
      </c>
      <c r="J65" t="s">
        <v>394</v>
      </c>
      <c r="K65" t="s">
        <v>147</v>
      </c>
      <c r="L65" t="s">
        <v>3184</v>
      </c>
      <c r="M65" t="s">
        <v>16</v>
      </c>
    </row>
    <row r="66" spans="1:13">
      <c r="A66" t="s">
        <v>851</v>
      </c>
      <c r="B66" t="s">
        <v>686</v>
      </c>
      <c r="C66" t="s">
        <v>686</v>
      </c>
      <c r="D66" t="s">
        <v>24</v>
      </c>
      <c r="E66" t="s">
        <v>242</v>
      </c>
      <c r="F66" t="s">
        <v>663</v>
      </c>
      <c r="G66">
        <v>2045</v>
      </c>
      <c r="H66" s="12">
        <v>1.3</v>
      </c>
      <c r="I66" t="s">
        <v>3183</v>
      </c>
      <c r="J66" t="s">
        <v>394</v>
      </c>
      <c r="K66" t="s">
        <v>147</v>
      </c>
      <c r="L66" t="s">
        <v>3184</v>
      </c>
      <c r="M66" t="s">
        <v>16</v>
      </c>
    </row>
    <row r="67" spans="1:13">
      <c r="A67" t="s">
        <v>851</v>
      </c>
      <c r="B67" t="s">
        <v>686</v>
      </c>
      <c r="C67" t="s">
        <v>686</v>
      </c>
      <c r="D67" t="s">
        <v>24</v>
      </c>
      <c r="E67" t="s">
        <v>242</v>
      </c>
      <c r="F67" t="s">
        <v>663</v>
      </c>
      <c r="G67">
        <v>2050</v>
      </c>
      <c r="H67" s="12">
        <v>0.32</v>
      </c>
      <c r="I67" t="s">
        <v>3183</v>
      </c>
      <c r="J67" t="s">
        <v>394</v>
      </c>
      <c r="K67" t="s">
        <v>147</v>
      </c>
      <c r="L67" t="s">
        <v>3184</v>
      </c>
      <c r="M67" t="s">
        <v>16</v>
      </c>
    </row>
    <row r="68" spans="1:13">
      <c r="A68" t="s">
        <v>851</v>
      </c>
      <c r="B68" t="s">
        <v>687</v>
      </c>
      <c r="C68" t="s">
        <v>687</v>
      </c>
      <c r="D68" t="s">
        <v>24</v>
      </c>
      <c r="E68" t="s">
        <v>242</v>
      </c>
      <c r="F68" t="s">
        <v>663</v>
      </c>
      <c r="G68">
        <v>2030</v>
      </c>
      <c r="H68" s="12">
        <v>7.75</v>
      </c>
      <c r="I68" t="s">
        <v>3183</v>
      </c>
      <c r="J68" t="s">
        <v>394</v>
      </c>
      <c r="K68" t="s">
        <v>147</v>
      </c>
      <c r="L68" t="s">
        <v>3184</v>
      </c>
      <c r="M68" t="s">
        <v>16</v>
      </c>
    </row>
    <row r="69" spans="1:13">
      <c r="A69" t="s">
        <v>851</v>
      </c>
      <c r="B69" t="s">
        <v>687</v>
      </c>
      <c r="C69" t="s">
        <v>687</v>
      </c>
      <c r="D69" t="s">
        <v>24</v>
      </c>
      <c r="E69" t="s">
        <v>242</v>
      </c>
      <c r="F69" t="s">
        <v>663</v>
      </c>
      <c r="G69">
        <v>2035</v>
      </c>
      <c r="H69" s="12">
        <v>0</v>
      </c>
      <c r="I69" t="s">
        <v>3183</v>
      </c>
      <c r="J69" t="s">
        <v>394</v>
      </c>
      <c r="K69" t="s">
        <v>147</v>
      </c>
      <c r="L69" t="s">
        <v>3184</v>
      </c>
      <c r="M69" t="s">
        <v>16</v>
      </c>
    </row>
    <row r="70" spans="1:13">
      <c r="A70" t="s">
        <v>851</v>
      </c>
      <c r="B70" t="s">
        <v>687</v>
      </c>
      <c r="C70" t="s">
        <v>687</v>
      </c>
      <c r="D70" t="s">
        <v>24</v>
      </c>
      <c r="E70" t="s">
        <v>242</v>
      </c>
      <c r="F70" t="s">
        <v>663</v>
      </c>
      <c r="G70">
        <v>2040</v>
      </c>
      <c r="H70" s="12">
        <v>0</v>
      </c>
      <c r="I70" t="s">
        <v>3183</v>
      </c>
      <c r="J70" t="s">
        <v>394</v>
      </c>
      <c r="K70" t="s">
        <v>147</v>
      </c>
      <c r="L70" t="s">
        <v>3184</v>
      </c>
      <c r="M70" t="s">
        <v>16</v>
      </c>
    </row>
    <row r="71" spans="1:13">
      <c r="A71" t="s">
        <v>851</v>
      </c>
      <c r="B71" t="s">
        <v>687</v>
      </c>
      <c r="C71" t="s">
        <v>687</v>
      </c>
      <c r="D71" t="s">
        <v>24</v>
      </c>
      <c r="E71" t="s">
        <v>242</v>
      </c>
      <c r="F71" t="s">
        <v>663</v>
      </c>
      <c r="G71">
        <v>2045</v>
      </c>
      <c r="H71" s="12">
        <v>0</v>
      </c>
      <c r="I71" t="s">
        <v>3183</v>
      </c>
      <c r="J71" t="s">
        <v>394</v>
      </c>
      <c r="K71" t="s">
        <v>147</v>
      </c>
      <c r="L71" t="s">
        <v>3184</v>
      </c>
      <c r="M71" t="s">
        <v>16</v>
      </c>
    </row>
    <row r="72" spans="1:13">
      <c r="A72" t="s">
        <v>851</v>
      </c>
      <c r="B72" t="s">
        <v>687</v>
      </c>
      <c r="C72" t="s">
        <v>687</v>
      </c>
      <c r="D72" t="s">
        <v>24</v>
      </c>
      <c r="E72" t="s">
        <v>242</v>
      </c>
      <c r="F72" t="s">
        <v>663</v>
      </c>
      <c r="G72">
        <v>2050</v>
      </c>
      <c r="H72" s="12">
        <v>0</v>
      </c>
      <c r="I72" t="s">
        <v>3183</v>
      </c>
      <c r="J72" t="s">
        <v>394</v>
      </c>
      <c r="K72" t="s">
        <v>147</v>
      </c>
      <c r="L72" t="s">
        <v>3184</v>
      </c>
      <c r="M72" t="s">
        <v>16</v>
      </c>
    </row>
    <row r="73" spans="1:13">
      <c r="A73" t="s">
        <v>851</v>
      </c>
      <c r="B73" t="s">
        <v>686</v>
      </c>
      <c r="C73" t="s">
        <v>686</v>
      </c>
      <c r="D73" t="s">
        <v>24</v>
      </c>
      <c r="E73" t="s">
        <v>242</v>
      </c>
      <c r="F73" t="s">
        <v>663</v>
      </c>
      <c r="G73">
        <v>2010</v>
      </c>
      <c r="H73" s="12">
        <v>136.46</v>
      </c>
      <c r="I73" t="s">
        <v>3183</v>
      </c>
      <c r="J73" t="s">
        <v>6</v>
      </c>
      <c r="K73" t="s">
        <v>147</v>
      </c>
      <c r="L73" t="s">
        <v>3184</v>
      </c>
      <c r="M73" t="s">
        <v>659</v>
      </c>
    </row>
    <row r="74" spans="1:13">
      <c r="A74" t="s">
        <v>851</v>
      </c>
      <c r="B74" t="s">
        <v>686</v>
      </c>
      <c r="C74" t="s">
        <v>686</v>
      </c>
      <c r="D74" t="s">
        <v>24</v>
      </c>
      <c r="E74" t="s">
        <v>242</v>
      </c>
      <c r="F74" t="s">
        <v>663</v>
      </c>
      <c r="G74">
        <v>2015</v>
      </c>
      <c r="H74" s="12">
        <v>169.59</v>
      </c>
      <c r="I74" t="s">
        <v>3183</v>
      </c>
      <c r="J74" t="s">
        <v>6</v>
      </c>
      <c r="K74" t="s">
        <v>147</v>
      </c>
      <c r="L74" t="s">
        <v>3184</v>
      </c>
      <c r="M74" t="s">
        <v>659</v>
      </c>
    </row>
    <row r="75" spans="1:13">
      <c r="A75" t="s">
        <v>851</v>
      </c>
      <c r="B75" t="s">
        <v>686</v>
      </c>
      <c r="C75" t="s">
        <v>686</v>
      </c>
      <c r="D75" t="s">
        <v>24</v>
      </c>
      <c r="E75" t="s">
        <v>242</v>
      </c>
      <c r="F75" t="s">
        <v>663</v>
      </c>
      <c r="G75">
        <v>2010</v>
      </c>
      <c r="H75" s="12">
        <v>132.37</v>
      </c>
      <c r="I75" t="s">
        <v>3183</v>
      </c>
      <c r="J75" t="s">
        <v>5</v>
      </c>
      <c r="K75" t="s">
        <v>664</v>
      </c>
      <c r="L75" t="s">
        <v>3184</v>
      </c>
      <c r="M75" t="s">
        <v>5</v>
      </c>
    </row>
    <row r="76" spans="1:13">
      <c r="A76" t="s">
        <v>851</v>
      </c>
      <c r="B76" t="s">
        <v>686</v>
      </c>
      <c r="C76" t="s">
        <v>686</v>
      </c>
      <c r="D76" t="s">
        <v>24</v>
      </c>
      <c r="E76" t="s">
        <v>242</v>
      </c>
      <c r="F76" t="s">
        <v>663</v>
      </c>
      <c r="G76">
        <v>2015</v>
      </c>
      <c r="H76" s="12">
        <v>126.79</v>
      </c>
      <c r="I76" t="s">
        <v>3183</v>
      </c>
      <c r="J76" t="s">
        <v>5</v>
      </c>
      <c r="K76" t="s">
        <v>664</v>
      </c>
      <c r="L76" t="s">
        <v>3184</v>
      </c>
      <c r="M76" t="s">
        <v>5</v>
      </c>
    </row>
    <row r="77" spans="1:13">
      <c r="A77" t="s">
        <v>851</v>
      </c>
      <c r="B77" t="s">
        <v>686</v>
      </c>
      <c r="C77" t="s">
        <v>686</v>
      </c>
      <c r="D77" t="s">
        <v>24</v>
      </c>
      <c r="E77" t="s">
        <v>242</v>
      </c>
      <c r="F77" t="s">
        <v>663</v>
      </c>
      <c r="G77">
        <v>2020</v>
      </c>
      <c r="H77" s="12">
        <v>106.64</v>
      </c>
      <c r="I77" t="s">
        <v>3183</v>
      </c>
      <c r="J77" t="s">
        <v>5</v>
      </c>
      <c r="K77" t="s">
        <v>664</v>
      </c>
      <c r="L77" t="s">
        <v>3184</v>
      </c>
      <c r="M77" t="s">
        <v>5</v>
      </c>
    </row>
    <row r="78" spans="1:13">
      <c r="A78" t="s">
        <v>851</v>
      </c>
      <c r="B78" t="s">
        <v>686</v>
      </c>
      <c r="C78" t="s">
        <v>686</v>
      </c>
      <c r="D78" t="s">
        <v>24</v>
      </c>
      <c r="E78" t="s">
        <v>656</v>
      </c>
      <c r="F78" t="s">
        <v>31</v>
      </c>
      <c r="G78">
        <v>2015</v>
      </c>
      <c r="H78" s="12">
        <v>79.349999999999994</v>
      </c>
      <c r="I78" t="s">
        <v>3183</v>
      </c>
      <c r="J78" t="s">
        <v>6</v>
      </c>
      <c r="K78" t="s">
        <v>147</v>
      </c>
      <c r="L78" t="s">
        <v>3184</v>
      </c>
      <c r="M78" t="s">
        <v>666</v>
      </c>
    </row>
    <row r="79" spans="1:13">
      <c r="A79" t="s">
        <v>851</v>
      </c>
      <c r="B79" t="s">
        <v>686</v>
      </c>
      <c r="C79" t="s">
        <v>686</v>
      </c>
      <c r="D79" t="s">
        <v>24</v>
      </c>
      <c r="E79" t="s">
        <v>656</v>
      </c>
      <c r="F79" t="s">
        <v>31</v>
      </c>
      <c r="G79">
        <v>2020</v>
      </c>
      <c r="H79" s="12">
        <v>86.41</v>
      </c>
      <c r="I79" t="s">
        <v>3183</v>
      </c>
      <c r="J79" t="s">
        <v>6</v>
      </c>
      <c r="K79" t="s">
        <v>147</v>
      </c>
      <c r="L79" t="s">
        <v>3184</v>
      </c>
      <c r="M79" t="s">
        <v>666</v>
      </c>
    </row>
    <row r="80" spans="1:13">
      <c r="A80" t="s">
        <v>851</v>
      </c>
      <c r="B80" t="s">
        <v>686</v>
      </c>
      <c r="C80" t="s">
        <v>686</v>
      </c>
      <c r="D80" t="s">
        <v>24</v>
      </c>
      <c r="E80" t="s">
        <v>656</v>
      </c>
      <c r="F80" t="s">
        <v>31</v>
      </c>
      <c r="G80">
        <v>2030</v>
      </c>
      <c r="H80" s="12">
        <v>75.03</v>
      </c>
      <c r="I80" t="s">
        <v>3183</v>
      </c>
      <c r="J80" t="s">
        <v>6</v>
      </c>
      <c r="K80" t="s">
        <v>147</v>
      </c>
      <c r="L80" t="s">
        <v>3184</v>
      </c>
      <c r="M80" t="s">
        <v>666</v>
      </c>
    </row>
    <row r="81" spans="1:13">
      <c r="A81" t="s">
        <v>851</v>
      </c>
      <c r="B81" t="s">
        <v>686</v>
      </c>
      <c r="C81" t="s">
        <v>686</v>
      </c>
      <c r="D81" t="s">
        <v>24</v>
      </c>
      <c r="E81" t="s">
        <v>656</v>
      </c>
      <c r="F81" t="s">
        <v>31</v>
      </c>
      <c r="G81">
        <v>2035</v>
      </c>
      <c r="H81" s="12">
        <v>70.37</v>
      </c>
      <c r="I81" t="s">
        <v>3183</v>
      </c>
      <c r="J81" t="s">
        <v>6</v>
      </c>
      <c r="K81" t="s">
        <v>147</v>
      </c>
      <c r="L81" t="s">
        <v>3184</v>
      </c>
      <c r="M81" t="s">
        <v>666</v>
      </c>
    </row>
    <row r="82" spans="1:13">
      <c r="A82" t="s">
        <v>851</v>
      </c>
      <c r="B82" t="s">
        <v>686</v>
      </c>
      <c r="C82" t="s">
        <v>686</v>
      </c>
      <c r="D82" t="s">
        <v>24</v>
      </c>
      <c r="E82" t="s">
        <v>656</v>
      </c>
      <c r="F82" t="s">
        <v>31</v>
      </c>
      <c r="G82">
        <v>2040</v>
      </c>
      <c r="H82" s="12">
        <v>63.1</v>
      </c>
      <c r="I82" t="s">
        <v>3183</v>
      </c>
      <c r="J82" t="s">
        <v>6</v>
      </c>
      <c r="K82" t="s">
        <v>147</v>
      </c>
      <c r="L82" t="s">
        <v>3184</v>
      </c>
      <c r="M82" t="s">
        <v>666</v>
      </c>
    </row>
    <row r="83" spans="1:13">
      <c r="A83" t="s">
        <v>851</v>
      </c>
      <c r="B83" t="s">
        <v>686</v>
      </c>
      <c r="C83" t="s">
        <v>686</v>
      </c>
      <c r="D83" t="s">
        <v>24</v>
      </c>
      <c r="E83" t="s">
        <v>656</v>
      </c>
      <c r="F83" t="s">
        <v>31</v>
      </c>
      <c r="G83">
        <v>2045</v>
      </c>
      <c r="H83" s="12">
        <v>60.18</v>
      </c>
      <c r="I83" t="s">
        <v>3183</v>
      </c>
      <c r="J83" t="s">
        <v>6</v>
      </c>
      <c r="K83" t="s">
        <v>147</v>
      </c>
      <c r="L83" t="s">
        <v>3184</v>
      </c>
      <c r="M83" t="s">
        <v>666</v>
      </c>
    </row>
    <row r="84" spans="1:13">
      <c r="A84" t="s">
        <v>851</v>
      </c>
      <c r="B84" t="s">
        <v>686</v>
      </c>
      <c r="C84" t="s">
        <v>686</v>
      </c>
      <c r="D84" t="s">
        <v>24</v>
      </c>
      <c r="E84" t="s">
        <v>656</v>
      </c>
      <c r="F84" t="s">
        <v>31</v>
      </c>
      <c r="G84">
        <v>2050</v>
      </c>
      <c r="H84" s="12">
        <v>68.819999999999993</v>
      </c>
      <c r="I84" t="s">
        <v>3183</v>
      </c>
      <c r="J84" t="s">
        <v>6</v>
      </c>
      <c r="K84" t="s">
        <v>147</v>
      </c>
      <c r="L84" t="s">
        <v>3184</v>
      </c>
      <c r="M84" t="s">
        <v>666</v>
      </c>
    </row>
    <row r="85" spans="1:13">
      <c r="A85" t="s">
        <v>851</v>
      </c>
      <c r="B85" t="s">
        <v>687</v>
      </c>
      <c r="C85" t="s">
        <v>687</v>
      </c>
      <c r="D85" t="s">
        <v>24</v>
      </c>
      <c r="E85" t="s">
        <v>656</v>
      </c>
      <c r="F85" t="s">
        <v>31</v>
      </c>
      <c r="G85">
        <v>2030</v>
      </c>
      <c r="H85" s="12">
        <v>66.400000000000006</v>
      </c>
      <c r="I85" t="s">
        <v>3183</v>
      </c>
      <c r="J85" t="s">
        <v>6</v>
      </c>
      <c r="K85" t="s">
        <v>147</v>
      </c>
      <c r="L85" t="s">
        <v>3184</v>
      </c>
      <c r="M85" t="s">
        <v>666</v>
      </c>
    </row>
    <row r="86" spans="1:13">
      <c r="A86" t="s">
        <v>851</v>
      </c>
      <c r="B86" t="s">
        <v>687</v>
      </c>
      <c r="C86" t="s">
        <v>687</v>
      </c>
      <c r="D86" t="s">
        <v>24</v>
      </c>
      <c r="E86" t="s">
        <v>656</v>
      </c>
      <c r="F86" t="s">
        <v>31</v>
      </c>
      <c r="G86">
        <v>2035</v>
      </c>
      <c r="H86" s="12">
        <v>52.21</v>
      </c>
      <c r="I86" t="s">
        <v>3183</v>
      </c>
      <c r="J86" t="s">
        <v>6</v>
      </c>
      <c r="K86" t="s">
        <v>147</v>
      </c>
      <c r="L86" t="s">
        <v>3184</v>
      </c>
      <c r="M86" t="s">
        <v>666</v>
      </c>
    </row>
    <row r="87" spans="1:13">
      <c r="A87" t="s">
        <v>851</v>
      </c>
      <c r="B87" t="s">
        <v>687</v>
      </c>
      <c r="C87" t="s">
        <v>687</v>
      </c>
      <c r="D87" t="s">
        <v>24</v>
      </c>
      <c r="E87" t="s">
        <v>656</v>
      </c>
      <c r="F87" t="s">
        <v>31</v>
      </c>
      <c r="G87">
        <v>2040</v>
      </c>
      <c r="H87" s="12">
        <v>33.29</v>
      </c>
      <c r="I87" t="s">
        <v>3183</v>
      </c>
      <c r="J87" t="s">
        <v>6</v>
      </c>
      <c r="K87" t="s">
        <v>147</v>
      </c>
      <c r="L87" t="s">
        <v>3184</v>
      </c>
      <c r="M87" t="s">
        <v>666</v>
      </c>
    </row>
    <row r="88" spans="1:13">
      <c r="A88" t="s">
        <v>851</v>
      </c>
      <c r="B88" t="s">
        <v>687</v>
      </c>
      <c r="C88" t="s">
        <v>687</v>
      </c>
      <c r="D88" t="s">
        <v>24</v>
      </c>
      <c r="E88" t="s">
        <v>656</v>
      </c>
      <c r="F88" t="s">
        <v>31</v>
      </c>
      <c r="G88">
        <v>2045</v>
      </c>
      <c r="H88" s="12">
        <v>18.420000000000002</v>
      </c>
      <c r="I88" t="s">
        <v>3183</v>
      </c>
      <c r="J88" t="s">
        <v>6</v>
      </c>
      <c r="K88" t="s">
        <v>147</v>
      </c>
      <c r="L88" t="s">
        <v>3184</v>
      </c>
      <c r="M88" t="s">
        <v>666</v>
      </c>
    </row>
    <row r="89" spans="1:13">
      <c r="A89" t="s">
        <v>851</v>
      </c>
      <c r="B89" t="s">
        <v>687</v>
      </c>
      <c r="C89" t="s">
        <v>687</v>
      </c>
      <c r="D89" t="s">
        <v>24</v>
      </c>
      <c r="E89" t="s">
        <v>656</v>
      </c>
      <c r="F89" t="s">
        <v>31</v>
      </c>
      <c r="G89">
        <v>2050</v>
      </c>
      <c r="H89" s="12">
        <v>19.07</v>
      </c>
      <c r="I89" t="s">
        <v>3183</v>
      </c>
      <c r="J89" t="s">
        <v>6</v>
      </c>
      <c r="K89" t="s">
        <v>147</v>
      </c>
      <c r="L89" t="s">
        <v>3184</v>
      </c>
      <c r="M89" t="s">
        <v>666</v>
      </c>
    </row>
    <row r="90" spans="1:13">
      <c r="A90" t="s">
        <v>851</v>
      </c>
      <c r="B90" t="s">
        <v>686</v>
      </c>
      <c r="C90" t="s">
        <v>686</v>
      </c>
      <c r="D90" t="s">
        <v>24</v>
      </c>
      <c r="E90" t="s">
        <v>656</v>
      </c>
      <c r="F90" t="s">
        <v>31</v>
      </c>
      <c r="G90">
        <v>2010</v>
      </c>
      <c r="H90" s="12">
        <v>54.95</v>
      </c>
      <c r="I90" t="s">
        <v>3183</v>
      </c>
      <c r="J90" t="s">
        <v>394</v>
      </c>
      <c r="K90" t="s">
        <v>147</v>
      </c>
      <c r="L90" t="s">
        <v>3184</v>
      </c>
      <c r="M90" t="s">
        <v>16</v>
      </c>
    </row>
    <row r="91" spans="1:13">
      <c r="A91" t="s">
        <v>851</v>
      </c>
      <c r="B91" t="s">
        <v>686</v>
      </c>
      <c r="C91" t="s">
        <v>686</v>
      </c>
      <c r="D91" t="s">
        <v>24</v>
      </c>
      <c r="E91" t="s">
        <v>656</v>
      </c>
      <c r="F91" t="s">
        <v>31</v>
      </c>
      <c r="G91">
        <v>2015</v>
      </c>
      <c r="H91" s="12">
        <v>42.99</v>
      </c>
      <c r="I91" t="s">
        <v>3183</v>
      </c>
      <c r="J91" t="s">
        <v>394</v>
      </c>
      <c r="K91" t="s">
        <v>147</v>
      </c>
      <c r="L91" t="s">
        <v>3184</v>
      </c>
      <c r="M91" t="s">
        <v>16</v>
      </c>
    </row>
    <row r="92" spans="1:13">
      <c r="A92" t="s">
        <v>851</v>
      </c>
      <c r="B92" t="s">
        <v>686</v>
      </c>
      <c r="C92" t="s">
        <v>686</v>
      </c>
      <c r="D92" t="s">
        <v>24</v>
      </c>
      <c r="E92" t="s">
        <v>656</v>
      </c>
      <c r="F92" t="s">
        <v>31</v>
      </c>
      <c r="G92">
        <v>2020</v>
      </c>
      <c r="H92" s="12">
        <v>35.28</v>
      </c>
      <c r="I92" t="s">
        <v>3183</v>
      </c>
      <c r="J92" t="s">
        <v>394</v>
      </c>
      <c r="K92" t="s">
        <v>147</v>
      </c>
      <c r="L92" t="s">
        <v>3184</v>
      </c>
      <c r="M92" t="s">
        <v>16</v>
      </c>
    </row>
    <row r="93" spans="1:13">
      <c r="A93" t="s">
        <v>851</v>
      </c>
      <c r="B93" t="s">
        <v>686</v>
      </c>
      <c r="C93" t="s">
        <v>686</v>
      </c>
      <c r="D93" t="s">
        <v>24</v>
      </c>
      <c r="E93" t="s">
        <v>656</v>
      </c>
      <c r="F93" t="s">
        <v>31</v>
      </c>
      <c r="G93">
        <v>2030</v>
      </c>
      <c r="H93" s="12">
        <v>13.43</v>
      </c>
      <c r="I93" t="s">
        <v>3183</v>
      </c>
      <c r="J93" t="s">
        <v>394</v>
      </c>
      <c r="K93" t="s">
        <v>147</v>
      </c>
      <c r="L93" t="s">
        <v>3184</v>
      </c>
      <c r="M93" t="s">
        <v>16</v>
      </c>
    </row>
    <row r="94" spans="1:13">
      <c r="A94" t="s">
        <v>851</v>
      </c>
      <c r="B94" t="s">
        <v>686</v>
      </c>
      <c r="C94" t="s">
        <v>686</v>
      </c>
      <c r="D94" t="s">
        <v>24</v>
      </c>
      <c r="E94" t="s">
        <v>656</v>
      </c>
      <c r="F94" t="s">
        <v>31</v>
      </c>
      <c r="G94">
        <v>2035</v>
      </c>
      <c r="H94" s="12">
        <v>7.11</v>
      </c>
      <c r="I94" t="s">
        <v>3183</v>
      </c>
      <c r="J94" t="s">
        <v>394</v>
      </c>
      <c r="K94" t="s">
        <v>147</v>
      </c>
      <c r="L94" t="s">
        <v>3184</v>
      </c>
      <c r="M94" t="s">
        <v>16</v>
      </c>
    </row>
    <row r="95" spans="1:13">
      <c r="A95" t="s">
        <v>851</v>
      </c>
      <c r="B95" t="s">
        <v>686</v>
      </c>
      <c r="C95" t="s">
        <v>686</v>
      </c>
      <c r="D95" t="s">
        <v>24</v>
      </c>
      <c r="E95" t="s">
        <v>656</v>
      </c>
      <c r="F95" t="s">
        <v>31</v>
      </c>
      <c r="G95">
        <v>2040</v>
      </c>
      <c r="H95" s="12">
        <v>4.16</v>
      </c>
      <c r="I95" t="s">
        <v>3183</v>
      </c>
      <c r="J95" t="s">
        <v>394</v>
      </c>
      <c r="K95" t="s">
        <v>147</v>
      </c>
      <c r="L95" t="s">
        <v>3184</v>
      </c>
      <c r="M95" t="s">
        <v>16</v>
      </c>
    </row>
    <row r="96" spans="1:13">
      <c r="A96" t="s">
        <v>851</v>
      </c>
      <c r="B96" t="s">
        <v>686</v>
      </c>
      <c r="C96" t="s">
        <v>686</v>
      </c>
      <c r="D96" t="s">
        <v>24</v>
      </c>
      <c r="E96" t="s">
        <v>656</v>
      </c>
      <c r="F96" t="s">
        <v>31</v>
      </c>
      <c r="G96">
        <v>2045</v>
      </c>
      <c r="H96" s="12">
        <v>2.42</v>
      </c>
      <c r="I96" t="s">
        <v>3183</v>
      </c>
      <c r="J96" t="s">
        <v>394</v>
      </c>
      <c r="K96" t="s">
        <v>147</v>
      </c>
      <c r="L96" t="s">
        <v>3184</v>
      </c>
      <c r="M96" t="s">
        <v>16</v>
      </c>
    </row>
    <row r="97" spans="1:13">
      <c r="A97" t="s">
        <v>851</v>
      </c>
      <c r="B97" t="s">
        <v>686</v>
      </c>
      <c r="C97" t="s">
        <v>686</v>
      </c>
      <c r="D97" t="s">
        <v>24</v>
      </c>
      <c r="E97" t="s">
        <v>656</v>
      </c>
      <c r="F97" t="s">
        <v>31</v>
      </c>
      <c r="G97">
        <v>2050</v>
      </c>
      <c r="H97" s="12">
        <v>0.68</v>
      </c>
      <c r="I97" t="s">
        <v>3183</v>
      </c>
      <c r="J97" t="s">
        <v>394</v>
      </c>
      <c r="K97" t="s">
        <v>147</v>
      </c>
      <c r="L97" t="s">
        <v>3184</v>
      </c>
      <c r="M97" t="s">
        <v>16</v>
      </c>
    </row>
    <row r="98" spans="1:13">
      <c r="A98" t="s">
        <v>851</v>
      </c>
      <c r="B98" t="s">
        <v>687</v>
      </c>
      <c r="C98" t="s">
        <v>687</v>
      </c>
      <c r="D98" t="s">
        <v>24</v>
      </c>
      <c r="E98" t="s">
        <v>656</v>
      </c>
      <c r="F98" t="s">
        <v>31</v>
      </c>
      <c r="G98">
        <v>2030</v>
      </c>
      <c r="H98" s="12">
        <v>13.43</v>
      </c>
      <c r="I98" t="s">
        <v>3183</v>
      </c>
      <c r="J98" t="s">
        <v>394</v>
      </c>
      <c r="K98" t="s">
        <v>147</v>
      </c>
      <c r="L98" t="s">
        <v>3184</v>
      </c>
      <c r="M98" t="s">
        <v>16</v>
      </c>
    </row>
    <row r="99" spans="1:13">
      <c r="A99" t="s">
        <v>851</v>
      </c>
      <c r="B99" t="s">
        <v>687</v>
      </c>
      <c r="C99" t="s">
        <v>687</v>
      </c>
      <c r="D99" t="s">
        <v>24</v>
      </c>
      <c r="E99" t="s">
        <v>656</v>
      </c>
      <c r="F99" t="s">
        <v>31</v>
      </c>
      <c r="G99">
        <v>2035</v>
      </c>
      <c r="H99" s="12">
        <v>0.01</v>
      </c>
      <c r="I99" t="s">
        <v>3183</v>
      </c>
      <c r="J99" t="s">
        <v>394</v>
      </c>
      <c r="K99" t="s">
        <v>147</v>
      </c>
      <c r="L99" t="s">
        <v>3184</v>
      </c>
      <c r="M99" t="s">
        <v>16</v>
      </c>
    </row>
    <row r="100" spans="1:13">
      <c r="A100" t="s">
        <v>851</v>
      </c>
      <c r="B100" t="s">
        <v>687</v>
      </c>
      <c r="C100" t="s">
        <v>687</v>
      </c>
      <c r="D100" t="s">
        <v>24</v>
      </c>
      <c r="E100" t="s">
        <v>656</v>
      </c>
      <c r="F100" t="s">
        <v>31</v>
      </c>
      <c r="G100">
        <v>2040</v>
      </c>
      <c r="H100" s="12">
        <v>0.01</v>
      </c>
      <c r="I100" t="s">
        <v>3183</v>
      </c>
      <c r="J100" t="s">
        <v>394</v>
      </c>
      <c r="K100" t="s">
        <v>147</v>
      </c>
      <c r="L100" t="s">
        <v>3184</v>
      </c>
      <c r="M100" t="s">
        <v>16</v>
      </c>
    </row>
    <row r="101" spans="1:13">
      <c r="A101" t="s">
        <v>851</v>
      </c>
      <c r="B101" t="s">
        <v>687</v>
      </c>
      <c r="C101" t="s">
        <v>687</v>
      </c>
      <c r="D101" t="s">
        <v>24</v>
      </c>
      <c r="E101" t="s">
        <v>656</v>
      </c>
      <c r="F101" t="s">
        <v>31</v>
      </c>
      <c r="G101">
        <v>2045</v>
      </c>
      <c r="H101" s="12">
        <v>0.01</v>
      </c>
      <c r="I101" t="s">
        <v>3183</v>
      </c>
      <c r="J101" t="s">
        <v>394</v>
      </c>
      <c r="K101" t="s">
        <v>147</v>
      </c>
      <c r="L101" t="s">
        <v>3184</v>
      </c>
      <c r="M101" t="s">
        <v>16</v>
      </c>
    </row>
    <row r="102" spans="1:13">
      <c r="A102" t="s">
        <v>851</v>
      </c>
      <c r="B102" t="s">
        <v>687</v>
      </c>
      <c r="C102" t="s">
        <v>687</v>
      </c>
      <c r="D102" t="s">
        <v>24</v>
      </c>
      <c r="E102" t="s">
        <v>656</v>
      </c>
      <c r="F102" t="s">
        <v>31</v>
      </c>
      <c r="G102">
        <v>2050</v>
      </c>
      <c r="H102" s="12">
        <v>0.01</v>
      </c>
      <c r="I102" t="s">
        <v>3183</v>
      </c>
      <c r="J102" t="s">
        <v>394</v>
      </c>
      <c r="K102" t="s">
        <v>147</v>
      </c>
      <c r="L102" t="s">
        <v>3184</v>
      </c>
      <c r="M102" t="s">
        <v>16</v>
      </c>
    </row>
    <row r="103" spans="1:13">
      <c r="A103" t="s">
        <v>851</v>
      </c>
      <c r="B103" t="s">
        <v>686</v>
      </c>
      <c r="C103" t="s">
        <v>686</v>
      </c>
      <c r="D103" t="s">
        <v>24</v>
      </c>
      <c r="E103" t="s">
        <v>656</v>
      </c>
      <c r="F103" t="s">
        <v>31</v>
      </c>
      <c r="G103">
        <v>2010</v>
      </c>
      <c r="H103" s="12">
        <v>0.1</v>
      </c>
      <c r="I103" t="s">
        <v>3183</v>
      </c>
      <c r="J103" t="s">
        <v>484</v>
      </c>
      <c r="K103" t="s">
        <v>147</v>
      </c>
      <c r="L103" t="s">
        <v>3184</v>
      </c>
      <c r="M103" t="s">
        <v>667</v>
      </c>
    </row>
    <row r="104" spans="1:13">
      <c r="A104" t="s">
        <v>851</v>
      </c>
      <c r="B104" t="s">
        <v>686</v>
      </c>
      <c r="C104" t="s">
        <v>686</v>
      </c>
      <c r="D104" t="s">
        <v>24</v>
      </c>
      <c r="E104" t="s">
        <v>656</v>
      </c>
      <c r="F104" t="s">
        <v>31</v>
      </c>
      <c r="G104">
        <v>2015</v>
      </c>
      <c r="H104" s="12">
        <v>0.5</v>
      </c>
      <c r="I104" t="s">
        <v>3183</v>
      </c>
      <c r="J104" t="s">
        <v>484</v>
      </c>
      <c r="K104" t="s">
        <v>147</v>
      </c>
      <c r="L104" t="s">
        <v>3184</v>
      </c>
      <c r="M104" t="s">
        <v>667</v>
      </c>
    </row>
    <row r="105" spans="1:13">
      <c r="A105" t="s">
        <v>851</v>
      </c>
      <c r="B105" t="s">
        <v>686</v>
      </c>
      <c r="C105" t="s">
        <v>686</v>
      </c>
      <c r="D105" t="s">
        <v>24</v>
      </c>
      <c r="E105" t="s">
        <v>656</v>
      </c>
      <c r="F105" t="s">
        <v>31</v>
      </c>
      <c r="G105">
        <v>2020</v>
      </c>
      <c r="H105" s="12">
        <v>1.7</v>
      </c>
      <c r="I105" t="s">
        <v>3183</v>
      </c>
      <c r="J105" t="s">
        <v>484</v>
      </c>
      <c r="K105" t="s">
        <v>147</v>
      </c>
      <c r="L105" t="s">
        <v>3184</v>
      </c>
      <c r="M105" t="s">
        <v>667</v>
      </c>
    </row>
    <row r="106" spans="1:13">
      <c r="A106" t="s">
        <v>851</v>
      </c>
      <c r="B106" t="s">
        <v>686</v>
      </c>
      <c r="C106" t="s">
        <v>686</v>
      </c>
      <c r="D106" t="s">
        <v>24</v>
      </c>
      <c r="E106" t="s">
        <v>656</v>
      </c>
      <c r="F106" t="s">
        <v>31</v>
      </c>
      <c r="G106">
        <v>2030</v>
      </c>
      <c r="H106" s="12">
        <v>3.66</v>
      </c>
      <c r="I106" t="s">
        <v>3183</v>
      </c>
      <c r="J106" t="s">
        <v>484</v>
      </c>
      <c r="K106" t="s">
        <v>147</v>
      </c>
      <c r="L106" t="s">
        <v>3184</v>
      </c>
      <c r="M106" t="s">
        <v>667</v>
      </c>
    </row>
    <row r="107" spans="1:13">
      <c r="A107" t="s">
        <v>851</v>
      </c>
      <c r="B107" t="s">
        <v>686</v>
      </c>
      <c r="C107" t="s">
        <v>686</v>
      </c>
      <c r="D107" t="s">
        <v>24</v>
      </c>
      <c r="E107" t="s">
        <v>656</v>
      </c>
      <c r="F107" t="s">
        <v>31</v>
      </c>
      <c r="G107">
        <v>2035</v>
      </c>
      <c r="H107" s="12">
        <v>5.52</v>
      </c>
      <c r="I107" t="s">
        <v>3183</v>
      </c>
      <c r="J107" t="s">
        <v>484</v>
      </c>
      <c r="K107" t="s">
        <v>147</v>
      </c>
      <c r="L107" t="s">
        <v>3184</v>
      </c>
      <c r="M107" t="s">
        <v>667</v>
      </c>
    </row>
    <row r="108" spans="1:13">
      <c r="A108" t="s">
        <v>851</v>
      </c>
      <c r="B108" t="s">
        <v>686</v>
      </c>
      <c r="C108" t="s">
        <v>686</v>
      </c>
      <c r="D108" t="s">
        <v>24</v>
      </c>
      <c r="E108" t="s">
        <v>656</v>
      </c>
      <c r="F108" t="s">
        <v>31</v>
      </c>
      <c r="G108">
        <v>2040</v>
      </c>
      <c r="H108" s="12">
        <v>7.04</v>
      </c>
      <c r="I108" t="s">
        <v>3183</v>
      </c>
      <c r="J108" t="s">
        <v>484</v>
      </c>
      <c r="K108" t="s">
        <v>147</v>
      </c>
      <c r="L108" t="s">
        <v>3184</v>
      </c>
      <c r="M108" t="s">
        <v>667</v>
      </c>
    </row>
    <row r="109" spans="1:13">
      <c r="A109" t="s">
        <v>851</v>
      </c>
      <c r="B109" t="s">
        <v>686</v>
      </c>
      <c r="C109" t="s">
        <v>686</v>
      </c>
      <c r="D109" t="s">
        <v>24</v>
      </c>
      <c r="E109" t="s">
        <v>656</v>
      </c>
      <c r="F109" t="s">
        <v>31</v>
      </c>
      <c r="G109">
        <v>2045</v>
      </c>
      <c r="H109" s="12">
        <v>9.1</v>
      </c>
      <c r="I109" t="s">
        <v>3183</v>
      </c>
      <c r="J109" t="s">
        <v>484</v>
      </c>
      <c r="K109" t="s">
        <v>147</v>
      </c>
      <c r="L109" t="s">
        <v>3184</v>
      </c>
      <c r="M109" t="s">
        <v>667</v>
      </c>
    </row>
    <row r="110" spans="1:13">
      <c r="A110" t="s">
        <v>851</v>
      </c>
      <c r="B110" t="s">
        <v>686</v>
      </c>
      <c r="C110" t="s">
        <v>686</v>
      </c>
      <c r="D110" t="s">
        <v>24</v>
      </c>
      <c r="E110" t="s">
        <v>656</v>
      </c>
      <c r="F110" t="s">
        <v>31</v>
      </c>
      <c r="G110">
        <v>2050</v>
      </c>
      <c r="H110" s="12">
        <v>10.24</v>
      </c>
      <c r="I110" t="s">
        <v>3183</v>
      </c>
      <c r="J110" t="s">
        <v>484</v>
      </c>
      <c r="K110" t="s">
        <v>147</v>
      </c>
      <c r="L110" t="s">
        <v>3184</v>
      </c>
      <c r="M110" t="s">
        <v>667</v>
      </c>
    </row>
    <row r="111" spans="1:13">
      <c r="A111" t="s">
        <v>851</v>
      </c>
      <c r="B111" t="s">
        <v>687</v>
      </c>
      <c r="C111" t="s">
        <v>687</v>
      </c>
      <c r="D111" t="s">
        <v>24</v>
      </c>
      <c r="E111" t="s">
        <v>656</v>
      </c>
      <c r="F111" t="s">
        <v>31</v>
      </c>
      <c r="G111">
        <v>2030</v>
      </c>
      <c r="H111" s="12">
        <v>3.71</v>
      </c>
      <c r="I111" t="s">
        <v>3183</v>
      </c>
      <c r="J111" t="s">
        <v>484</v>
      </c>
      <c r="K111" t="s">
        <v>147</v>
      </c>
      <c r="L111" t="s">
        <v>3184</v>
      </c>
      <c r="M111" t="s">
        <v>667</v>
      </c>
    </row>
    <row r="112" spans="1:13">
      <c r="A112" t="s">
        <v>851</v>
      </c>
      <c r="B112" t="s">
        <v>687</v>
      </c>
      <c r="C112" t="s">
        <v>687</v>
      </c>
      <c r="D112" t="s">
        <v>24</v>
      </c>
      <c r="E112" t="s">
        <v>656</v>
      </c>
      <c r="F112" t="s">
        <v>31</v>
      </c>
      <c r="G112">
        <v>2035</v>
      </c>
      <c r="H112" s="12">
        <v>6.2</v>
      </c>
      <c r="I112" t="s">
        <v>3183</v>
      </c>
      <c r="J112" t="s">
        <v>484</v>
      </c>
      <c r="K112" t="s">
        <v>147</v>
      </c>
      <c r="L112" t="s">
        <v>3184</v>
      </c>
      <c r="M112" t="s">
        <v>667</v>
      </c>
    </row>
    <row r="113" spans="1:13">
      <c r="A113" t="s">
        <v>851</v>
      </c>
      <c r="B113" t="s">
        <v>686</v>
      </c>
      <c r="C113" t="s">
        <v>686</v>
      </c>
      <c r="D113" t="s">
        <v>24</v>
      </c>
      <c r="E113" t="s">
        <v>242</v>
      </c>
      <c r="F113" t="s">
        <v>663</v>
      </c>
      <c r="G113">
        <v>2020</v>
      </c>
      <c r="H113" s="12">
        <v>153.76</v>
      </c>
      <c r="I113" t="s">
        <v>3183</v>
      </c>
      <c r="J113" t="s">
        <v>6</v>
      </c>
      <c r="K113" t="s">
        <v>147</v>
      </c>
      <c r="L113" t="s">
        <v>3184</v>
      </c>
      <c r="M113" t="s">
        <v>659</v>
      </c>
    </row>
    <row r="114" spans="1:13">
      <c r="A114" t="s">
        <v>851</v>
      </c>
      <c r="B114" t="s">
        <v>686</v>
      </c>
      <c r="C114" t="s">
        <v>686</v>
      </c>
      <c r="D114" t="s">
        <v>24</v>
      </c>
      <c r="E114" t="s">
        <v>242</v>
      </c>
      <c r="F114" t="s">
        <v>663</v>
      </c>
      <c r="G114">
        <v>2030</v>
      </c>
      <c r="H114" s="12">
        <v>69.38</v>
      </c>
      <c r="I114" t="s">
        <v>3183</v>
      </c>
      <c r="J114" t="s">
        <v>6</v>
      </c>
      <c r="K114" t="s">
        <v>147</v>
      </c>
      <c r="L114" t="s">
        <v>3184</v>
      </c>
      <c r="M114" t="s">
        <v>659</v>
      </c>
    </row>
    <row r="115" spans="1:13">
      <c r="A115" t="s">
        <v>851</v>
      </c>
      <c r="B115" t="s">
        <v>686</v>
      </c>
      <c r="C115" t="s">
        <v>686</v>
      </c>
      <c r="D115" t="s">
        <v>24</v>
      </c>
      <c r="E115" t="s">
        <v>242</v>
      </c>
      <c r="F115" t="s">
        <v>663</v>
      </c>
      <c r="G115">
        <v>2035</v>
      </c>
      <c r="H115" s="12">
        <v>43.72</v>
      </c>
      <c r="I115" t="s">
        <v>3183</v>
      </c>
      <c r="J115" t="s">
        <v>6</v>
      </c>
      <c r="K115" t="s">
        <v>147</v>
      </c>
      <c r="L115" t="s">
        <v>3184</v>
      </c>
      <c r="M115" t="s">
        <v>659</v>
      </c>
    </row>
    <row r="116" spans="1:13">
      <c r="A116" t="s">
        <v>851</v>
      </c>
      <c r="B116" t="s">
        <v>686</v>
      </c>
      <c r="C116" t="s">
        <v>686</v>
      </c>
      <c r="D116" t="s">
        <v>24</v>
      </c>
      <c r="E116" t="s">
        <v>656</v>
      </c>
      <c r="F116" t="s">
        <v>31</v>
      </c>
      <c r="G116">
        <v>2035</v>
      </c>
      <c r="H116" s="12">
        <v>150.62</v>
      </c>
      <c r="I116" t="s">
        <v>3183</v>
      </c>
      <c r="J116" t="s">
        <v>17</v>
      </c>
      <c r="K116" t="s">
        <v>147</v>
      </c>
      <c r="L116" t="s">
        <v>3184</v>
      </c>
      <c r="M116" t="s">
        <v>671</v>
      </c>
    </row>
    <row r="117" spans="1:13">
      <c r="A117" t="s">
        <v>851</v>
      </c>
      <c r="B117" t="s">
        <v>686</v>
      </c>
      <c r="C117" t="s">
        <v>686</v>
      </c>
      <c r="D117" t="s">
        <v>24</v>
      </c>
      <c r="E117" t="s">
        <v>656</v>
      </c>
      <c r="F117" t="s">
        <v>31</v>
      </c>
      <c r="G117">
        <v>2040</v>
      </c>
      <c r="H117" s="12">
        <v>161.47999999999999</v>
      </c>
      <c r="I117" t="s">
        <v>3183</v>
      </c>
      <c r="J117" t="s">
        <v>17</v>
      </c>
      <c r="K117" t="s">
        <v>147</v>
      </c>
      <c r="L117" t="s">
        <v>3184</v>
      </c>
      <c r="M117" t="s">
        <v>671</v>
      </c>
    </row>
    <row r="118" spans="1:13">
      <c r="A118" t="s">
        <v>851</v>
      </c>
      <c r="B118" t="s">
        <v>686</v>
      </c>
      <c r="C118" t="s">
        <v>686</v>
      </c>
      <c r="D118" t="s">
        <v>24</v>
      </c>
      <c r="E118" t="s">
        <v>656</v>
      </c>
      <c r="F118" t="s">
        <v>31</v>
      </c>
      <c r="G118">
        <v>2045</v>
      </c>
      <c r="H118" s="12">
        <v>167.95</v>
      </c>
      <c r="I118" t="s">
        <v>3183</v>
      </c>
      <c r="J118" t="s">
        <v>17</v>
      </c>
      <c r="K118" t="s">
        <v>147</v>
      </c>
      <c r="L118" t="s">
        <v>3184</v>
      </c>
      <c r="M118" t="s">
        <v>671</v>
      </c>
    </row>
    <row r="119" spans="1:13">
      <c r="A119" t="s">
        <v>851</v>
      </c>
      <c r="B119" t="s">
        <v>686</v>
      </c>
      <c r="C119" t="s">
        <v>686</v>
      </c>
      <c r="D119" t="s">
        <v>24</v>
      </c>
      <c r="E119" t="s">
        <v>656</v>
      </c>
      <c r="F119" t="s">
        <v>31</v>
      </c>
      <c r="G119">
        <v>2050</v>
      </c>
      <c r="H119" s="12">
        <v>171.64</v>
      </c>
      <c r="I119" t="s">
        <v>3183</v>
      </c>
      <c r="J119" t="s">
        <v>17</v>
      </c>
      <c r="K119" t="s">
        <v>147</v>
      </c>
      <c r="L119" t="s">
        <v>3184</v>
      </c>
      <c r="M119" t="s">
        <v>671</v>
      </c>
    </row>
    <row r="120" spans="1:13">
      <c r="A120" t="s">
        <v>851</v>
      </c>
      <c r="B120" t="s">
        <v>687</v>
      </c>
      <c r="C120" t="s">
        <v>687</v>
      </c>
      <c r="D120" t="s">
        <v>24</v>
      </c>
      <c r="E120" t="s">
        <v>656</v>
      </c>
      <c r="F120" t="s">
        <v>31</v>
      </c>
      <c r="G120">
        <v>2030</v>
      </c>
      <c r="H120" s="12">
        <v>137.44</v>
      </c>
      <c r="I120" t="s">
        <v>3183</v>
      </c>
      <c r="J120" t="s">
        <v>17</v>
      </c>
      <c r="K120" t="s">
        <v>147</v>
      </c>
      <c r="L120" t="s">
        <v>3184</v>
      </c>
      <c r="M120" t="s">
        <v>671</v>
      </c>
    </row>
    <row r="121" spans="1:13">
      <c r="A121" t="s">
        <v>851</v>
      </c>
      <c r="B121" t="s">
        <v>687</v>
      </c>
      <c r="C121" t="s">
        <v>687</v>
      </c>
      <c r="D121" t="s">
        <v>24</v>
      </c>
      <c r="E121" t="s">
        <v>656</v>
      </c>
      <c r="F121" t="s">
        <v>31</v>
      </c>
      <c r="G121">
        <v>2035</v>
      </c>
      <c r="H121" s="12">
        <v>161.5</v>
      </c>
      <c r="I121" t="s">
        <v>3183</v>
      </c>
      <c r="J121" t="s">
        <v>17</v>
      </c>
      <c r="K121" t="s">
        <v>147</v>
      </c>
      <c r="L121" t="s">
        <v>3184</v>
      </c>
      <c r="M121" t="s">
        <v>671</v>
      </c>
    </row>
    <row r="122" spans="1:13">
      <c r="A122" t="s">
        <v>851</v>
      </c>
      <c r="B122" t="s">
        <v>687</v>
      </c>
      <c r="C122" t="s">
        <v>687</v>
      </c>
      <c r="D122" t="s">
        <v>24</v>
      </c>
      <c r="E122" t="s">
        <v>656</v>
      </c>
      <c r="F122" t="s">
        <v>31</v>
      </c>
      <c r="G122">
        <v>2040</v>
      </c>
      <c r="H122" s="12">
        <v>172.11</v>
      </c>
      <c r="I122" t="s">
        <v>3183</v>
      </c>
      <c r="J122" t="s">
        <v>17</v>
      </c>
      <c r="K122" t="s">
        <v>147</v>
      </c>
      <c r="L122" t="s">
        <v>3184</v>
      </c>
      <c r="M122" t="s">
        <v>671</v>
      </c>
    </row>
    <row r="123" spans="1:13">
      <c r="A123" t="s">
        <v>851</v>
      </c>
      <c r="B123" t="s">
        <v>687</v>
      </c>
      <c r="C123" t="s">
        <v>687</v>
      </c>
      <c r="D123" t="s">
        <v>24</v>
      </c>
      <c r="E123" t="s">
        <v>656</v>
      </c>
      <c r="F123" t="s">
        <v>31</v>
      </c>
      <c r="G123">
        <v>2045</v>
      </c>
      <c r="H123" s="12">
        <v>173.65</v>
      </c>
      <c r="I123" t="s">
        <v>3183</v>
      </c>
      <c r="J123" t="s">
        <v>17</v>
      </c>
      <c r="K123" t="s">
        <v>147</v>
      </c>
      <c r="L123" t="s">
        <v>3184</v>
      </c>
      <c r="M123" t="s">
        <v>671</v>
      </c>
    </row>
    <row r="124" spans="1:13">
      <c r="A124" t="s">
        <v>851</v>
      </c>
      <c r="B124" t="s">
        <v>687</v>
      </c>
      <c r="C124" t="s">
        <v>687</v>
      </c>
      <c r="D124" t="s">
        <v>24</v>
      </c>
      <c r="E124" t="s">
        <v>656</v>
      </c>
      <c r="F124" t="s">
        <v>31</v>
      </c>
      <c r="G124">
        <v>2050</v>
      </c>
      <c r="H124" s="12">
        <v>173.65</v>
      </c>
      <c r="I124" t="s">
        <v>3183</v>
      </c>
      <c r="J124" t="s">
        <v>17</v>
      </c>
      <c r="K124" t="s">
        <v>147</v>
      </c>
      <c r="L124" t="s">
        <v>3184</v>
      </c>
      <c r="M124" t="s">
        <v>671</v>
      </c>
    </row>
    <row r="125" spans="1:13">
      <c r="A125" t="s">
        <v>851</v>
      </c>
      <c r="B125" t="s">
        <v>686</v>
      </c>
      <c r="C125" t="s">
        <v>686</v>
      </c>
      <c r="D125" t="s">
        <v>24</v>
      </c>
      <c r="E125" t="s">
        <v>656</v>
      </c>
      <c r="F125" t="s">
        <v>31</v>
      </c>
      <c r="G125">
        <v>2010</v>
      </c>
      <c r="H125" s="12">
        <v>2.29</v>
      </c>
      <c r="I125" t="s">
        <v>3183</v>
      </c>
      <c r="J125" t="s">
        <v>18</v>
      </c>
      <c r="K125" t="s">
        <v>147</v>
      </c>
      <c r="L125" t="s">
        <v>3184</v>
      </c>
      <c r="M125" t="s">
        <v>18</v>
      </c>
    </row>
    <row r="126" spans="1:13">
      <c r="A126" t="s">
        <v>851</v>
      </c>
      <c r="B126" t="s">
        <v>686</v>
      </c>
      <c r="C126" t="s">
        <v>686</v>
      </c>
      <c r="D126" t="s">
        <v>24</v>
      </c>
      <c r="E126" t="s">
        <v>656</v>
      </c>
      <c r="F126" t="s">
        <v>31</v>
      </c>
      <c r="G126">
        <v>2015</v>
      </c>
      <c r="H126" s="12">
        <v>2.81</v>
      </c>
      <c r="I126" t="s">
        <v>3183</v>
      </c>
      <c r="J126" t="s">
        <v>18</v>
      </c>
      <c r="K126" t="s">
        <v>147</v>
      </c>
      <c r="L126" t="s">
        <v>3184</v>
      </c>
      <c r="M126" t="s">
        <v>18</v>
      </c>
    </row>
    <row r="127" spans="1:13">
      <c r="A127" t="s">
        <v>851</v>
      </c>
      <c r="B127" t="s">
        <v>686</v>
      </c>
      <c r="C127" t="s">
        <v>686</v>
      </c>
      <c r="D127" t="s">
        <v>24</v>
      </c>
      <c r="E127" t="s">
        <v>656</v>
      </c>
      <c r="F127" t="s">
        <v>31</v>
      </c>
      <c r="G127">
        <v>2020</v>
      </c>
      <c r="H127" s="12">
        <v>4.53</v>
      </c>
      <c r="I127" t="s">
        <v>3183</v>
      </c>
      <c r="J127" t="s">
        <v>18</v>
      </c>
      <c r="K127" t="s">
        <v>147</v>
      </c>
      <c r="L127" t="s">
        <v>3184</v>
      </c>
      <c r="M127" t="s">
        <v>18</v>
      </c>
    </row>
    <row r="128" spans="1:13">
      <c r="A128" t="s">
        <v>851</v>
      </c>
      <c r="B128" t="s">
        <v>686</v>
      </c>
      <c r="C128" t="s">
        <v>686</v>
      </c>
      <c r="D128" t="s">
        <v>24</v>
      </c>
      <c r="E128" t="s">
        <v>656</v>
      </c>
      <c r="F128" t="s">
        <v>31</v>
      </c>
      <c r="G128">
        <v>2030</v>
      </c>
      <c r="H128" s="12">
        <v>24.49</v>
      </c>
      <c r="I128" t="s">
        <v>3183</v>
      </c>
      <c r="J128" t="s">
        <v>18</v>
      </c>
      <c r="K128" t="s">
        <v>147</v>
      </c>
      <c r="L128" t="s">
        <v>3184</v>
      </c>
      <c r="M128" t="s">
        <v>18</v>
      </c>
    </row>
    <row r="129" spans="1:13">
      <c r="A129" t="s">
        <v>851</v>
      </c>
      <c r="B129" t="s">
        <v>686</v>
      </c>
      <c r="C129" t="s">
        <v>686</v>
      </c>
      <c r="D129" t="s">
        <v>24</v>
      </c>
      <c r="E129" t="s">
        <v>656</v>
      </c>
      <c r="F129" t="s">
        <v>31</v>
      </c>
      <c r="G129">
        <v>2035</v>
      </c>
      <c r="H129" s="12">
        <v>38.770000000000003</v>
      </c>
      <c r="I129" t="s">
        <v>3183</v>
      </c>
      <c r="J129" t="s">
        <v>18</v>
      </c>
      <c r="K129" t="s">
        <v>147</v>
      </c>
      <c r="L129" t="s">
        <v>3184</v>
      </c>
      <c r="M129" t="s">
        <v>18</v>
      </c>
    </row>
    <row r="130" spans="1:13">
      <c r="A130" t="s">
        <v>851</v>
      </c>
      <c r="B130" t="s">
        <v>686</v>
      </c>
      <c r="C130" t="s">
        <v>686</v>
      </c>
      <c r="D130" t="s">
        <v>24</v>
      </c>
      <c r="E130" t="s">
        <v>656</v>
      </c>
      <c r="F130" t="s">
        <v>31</v>
      </c>
      <c r="G130">
        <v>2040</v>
      </c>
      <c r="H130" s="12">
        <v>49.11</v>
      </c>
      <c r="I130" t="s">
        <v>3183</v>
      </c>
      <c r="J130" t="s">
        <v>18</v>
      </c>
      <c r="K130" t="s">
        <v>147</v>
      </c>
      <c r="L130" t="s">
        <v>3184</v>
      </c>
      <c r="M130" t="s">
        <v>18</v>
      </c>
    </row>
    <row r="131" spans="1:13">
      <c r="A131" t="s">
        <v>851</v>
      </c>
      <c r="B131" t="s">
        <v>686</v>
      </c>
      <c r="C131" t="s">
        <v>686</v>
      </c>
      <c r="D131" t="s">
        <v>24</v>
      </c>
      <c r="E131" t="s">
        <v>656</v>
      </c>
      <c r="F131" t="s">
        <v>31</v>
      </c>
      <c r="G131">
        <v>2045</v>
      </c>
      <c r="H131" s="12">
        <v>55.42</v>
      </c>
      <c r="I131" t="s">
        <v>3183</v>
      </c>
      <c r="J131" t="s">
        <v>18</v>
      </c>
      <c r="K131" t="s">
        <v>147</v>
      </c>
      <c r="L131" t="s">
        <v>3184</v>
      </c>
      <c r="M131" t="s">
        <v>18</v>
      </c>
    </row>
    <row r="132" spans="1:13">
      <c r="A132" t="s">
        <v>851</v>
      </c>
      <c r="B132" t="s">
        <v>686</v>
      </c>
      <c r="C132" t="s">
        <v>686</v>
      </c>
      <c r="D132" t="s">
        <v>24</v>
      </c>
      <c r="E132" t="s">
        <v>656</v>
      </c>
      <c r="F132" t="s">
        <v>31</v>
      </c>
      <c r="G132">
        <v>2050</v>
      </c>
      <c r="H132" s="12">
        <v>59.28</v>
      </c>
      <c r="I132" t="s">
        <v>3183</v>
      </c>
      <c r="J132" t="s">
        <v>18</v>
      </c>
      <c r="K132" t="s">
        <v>147</v>
      </c>
      <c r="L132" t="s">
        <v>3184</v>
      </c>
      <c r="M132" t="s">
        <v>18</v>
      </c>
    </row>
    <row r="133" spans="1:13">
      <c r="A133" t="s">
        <v>851</v>
      </c>
      <c r="B133" t="s">
        <v>687</v>
      </c>
      <c r="C133" t="s">
        <v>687</v>
      </c>
      <c r="D133" t="s">
        <v>24</v>
      </c>
      <c r="E133" t="s">
        <v>656</v>
      </c>
      <c r="F133" t="s">
        <v>31</v>
      </c>
      <c r="G133">
        <v>2030</v>
      </c>
      <c r="H133" s="12">
        <v>28.21</v>
      </c>
      <c r="I133" t="s">
        <v>3183</v>
      </c>
      <c r="J133" t="s">
        <v>18</v>
      </c>
      <c r="K133" t="s">
        <v>147</v>
      </c>
      <c r="L133" t="s">
        <v>3184</v>
      </c>
      <c r="M133" t="s">
        <v>18</v>
      </c>
    </row>
    <row r="134" spans="1:13">
      <c r="A134" t="s">
        <v>851</v>
      </c>
      <c r="B134" t="s">
        <v>687</v>
      </c>
      <c r="C134" t="s">
        <v>687</v>
      </c>
      <c r="D134" t="s">
        <v>24</v>
      </c>
      <c r="E134" t="s">
        <v>656</v>
      </c>
      <c r="F134" t="s">
        <v>31</v>
      </c>
      <c r="G134">
        <v>2035</v>
      </c>
      <c r="H134" s="12">
        <v>43.6</v>
      </c>
      <c r="I134" t="s">
        <v>3183</v>
      </c>
      <c r="J134" t="s">
        <v>18</v>
      </c>
      <c r="K134" t="s">
        <v>147</v>
      </c>
      <c r="L134" t="s">
        <v>3184</v>
      </c>
      <c r="M134" t="s">
        <v>18</v>
      </c>
    </row>
    <row r="135" spans="1:13">
      <c r="A135" t="s">
        <v>851</v>
      </c>
      <c r="B135" t="s">
        <v>687</v>
      </c>
      <c r="C135" t="s">
        <v>687</v>
      </c>
      <c r="D135" t="s">
        <v>24</v>
      </c>
      <c r="E135" t="s">
        <v>656</v>
      </c>
      <c r="F135" t="s">
        <v>31</v>
      </c>
      <c r="G135">
        <v>2040</v>
      </c>
      <c r="H135" s="12">
        <v>66.97</v>
      </c>
      <c r="I135" t="s">
        <v>3183</v>
      </c>
      <c r="J135" t="s">
        <v>18</v>
      </c>
      <c r="K135" t="s">
        <v>147</v>
      </c>
      <c r="L135" t="s">
        <v>3184</v>
      </c>
      <c r="M135" t="s">
        <v>18</v>
      </c>
    </row>
    <row r="136" spans="1:13">
      <c r="A136" t="s">
        <v>851</v>
      </c>
      <c r="B136" t="s">
        <v>687</v>
      </c>
      <c r="C136" t="s">
        <v>687</v>
      </c>
      <c r="D136" t="s">
        <v>24</v>
      </c>
      <c r="E136" t="s">
        <v>656</v>
      </c>
      <c r="F136" t="s">
        <v>31</v>
      </c>
      <c r="G136">
        <v>2045</v>
      </c>
      <c r="H136" s="12">
        <v>82.29</v>
      </c>
      <c r="I136" t="s">
        <v>3183</v>
      </c>
      <c r="J136" t="s">
        <v>18</v>
      </c>
      <c r="K136" t="s">
        <v>147</v>
      </c>
      <c r="L136" t="s">
        <v>3184</v>
      </c>
      <c r="M136" t="s">
        <v>18</v>
      </c>
    </row>
    <row r="137" spans="1:13">
      <c r="A137" t="s">
        <v>851</v>
      </c>
      <c r="B137" t="s">
        <v>687</v>
      </c>
      <c r="C137" t="s">
        <v>687</v>
      </c>
      <c r="D137" t="s">
        <v>24</v>
      </c>
      <c r="E137" t="s">
        <v>656</v>
      </c>
      <c r="F137" t="s">
        <v>31</v>
      </c>
      <c r="G137">
        <v>2050</v>
      </c>
      <c r="H137" s="12">
        <v>90.17</v>
      </c>
      <c r="I137" t="s">
        <v>3183</v>
      </c>
      <c r="J137" t="s">
        <v>18</v>
      </c>
      <c r="K137" t="s">
        <v>147</v>
      </c>
      <c r="L137" t="s">
        <v>3184</v>
      </c>
      <c r="M137" t="s">
        <v>18</v>
      </c>
    </row>
    <row r="138" spans="1:13">
      <c r="A138" t="s">
        <v>851</v>
      </c>
      <c r="B138" t="s">
        <v>686</v>
      </c>
      <c r="C138" t="s">
        <v>686</v>
      </c>
      <c r="D138" t="s">
        <v>24</v>
      </c>
      <c r="E138" t="s">
        <v>656</v>
      </c>
      <c r="F138" t="s">
        <v>31</v>
      </c>
      <c r="G138">
        <v>2010</v>
      </c>
      <c r="H138" s="12">
        <v>47.74</v>
      </c>
      <c r="I138" t="s">
        <v>3183</v>
      </c>
      <c r="J138" t="s">
        <v>14</v>
      </c>
      <c r="K138" t="s">
        <v>147</v>
      </c>
      <c r="L138" t="s">
        <v>3184</v>
      </c>
      <c r="M138" t="s">
        <v>14</v>
      </c>
    </row>
    <row r="139" spans="1:13">
      <c r="A139" t="s">
        <v>851</v>
      </c>
      <c r="B139" t="s">
        <v>686</v>
      </c>
      <c r="C139" t="s">
        <v>686</v>
      </c>
      <c r="D139" t="s">
        <v>24</v>
      </c>
      <c r="E139" t="s">
        <v>656</v>
      </c>
      <c r="F139" t="s">
        <v>31</v>
      </c>
      <c r="G139">
        <v>2015</v>
      </c>
      <c r="H139" s="12">
        <v>50.03</v>
      </c>
      <c r="I139" t="s">
        <v>3183</v>
      </c>
      <c r="J139" t="s">
        <v>14</v>
      </c>
      <c r="K139" t="s">
        <v>147</v>
      </c>
      <c r="L139" t="s">
        <v>3184</v>
      </c>
      <c r="M139" t="s">
        <v>14</v>
      </c>
    </row>
    <row r="140" spans="1:13">
      <c r="A140" t="s">
        <v>851</v>
      </c>
      <c r="B140" t="s">
        <v>686</v>
      </c>
      <c r="C140" t="s">
        <v>686</v>
      </c>
      <c r="D140" t="s">
        <v>24</v>
      </c>
      <c r="E140" t="s">
        <v>656</v>
      </c>
      <c r="F140" t="s">
        <v>31</v>
      </c>
      <c r="G140">
        <v>2020</v>
      </c>
      <c r="H140" s="12">
        <v>50.03</v>
      </c>
      <c r="I140" t="s">
        <v>3183</v>
      </c>
      <c r="J140" t="s">
        <v>14</v>
      </c>
      <c r="K140" t="s">
        <v>147</v>
      </c>
      <c r="L140" t="s">
        <v>3184</v>
      </c>
      <c r="M140" t="s">
        <v>14</v>
      </c>
    </row>
    <row r="141" spans="1:13">
      <c r="A141" t="s">
        <v>851</v>
      </c>
      <c r="B141" t="s">
        <v>686</v>
      </c>
      <c r="C141" t="s">
        <v>686</v>
      </c>
      <c r="D141" t="s">
        <v>24</v>
      </c>
      <c r="E141" t="s">
        <v>656</v>
      </c>
      <c r="F141" t="s">
        <v>31</v>
      </c>
      <c r="G141">
        <v>2030</v>
      </c>
      <c r="H141" s="12">
        <v>50.36</v>
      </c>
      <c r="I141" t="s">
        <v>3183</v>
      </c>
      <c r="J141" t="s">
        <v>14</v>
      </c>
      <c r="K141" t="s">
        <v>147</v>
      </c>
      <c r="L141" t="s">
        <v>3184</v>
      </c>
      <c r="M141" t="s">
        <v>14</v>
      </c>
    </row>
    <row r="142" spans="1:13">
      <c r="A142" t="s">
        <v>851</v>
      </c>
      <c r="B142" t="s">
        <v>686</v>
      </c>
      <c r="C142" t="s">
        <v>686</v>
      </c>
      <c r="D142" t="s">
        <v>24</v>
      </c>
      <c r="E142" t="s">
        <v>656</v>
      </c>
      <c r="F142" t="s">
        <v>31</v>
      </c>
      <c r="G142">
        <v>2030</v>
      </c>
      <c r="H142" s="12">
        <v>29.91</v>
      </c>
      <c r="I142" t="s">
        <v>3183</v>
      </c>
      <c r="J142" t="s">
        <v>15</v>
      </c>
      <c r="K142" t="s">
        <v>147</v>
      </c>
      <c r="L142" t="s">
        <v>3184</v>
      </c>
      <c r="M142" t="s">
        <v>15</v>
      </c>
    </row>
    <row r="143" spans="1:13">
      <c r="A143" t="s">
        <v>851</v>
      </c>
      <c r="B143" t="s">
        <v>686</v>
      </c>
      <c r="C143" t="s">
        <v>686</v>
      </c>
      <c r="D143" t="s">
        <v>24</v>
      </c>
      <c r="E143" t="s">
        <v>656</v>
      </c>
      <c r="F143" t="s">
        <v>31</v>
      </c>
      <c r="G143">
        <v>2035</v>
      </c>
      <c r="H143" s="12">
        <v>27.11</v>
      </c>
      <c r="I143" t="s">
        <v>3183</v>
      </c>
      <c r="J143" t="s">
        <v>15</v>
      </c>
      <c r="K143" t="s">
        <v>147</v>
      </c>
      <c r="L143" t="s">
        <v>3184</v>
      </c>
      <c r="M143" t="s">
        <v>15</v>
      </c>
    </row>
    <row r="144" spans="1:13">
      <c r="A144" t="s">
        <v>851</v>
      </c>
      <c r="B144" t="s">
        <v>686</v>
      </c>
      <c r="C144" t="s">
        <v>686</v>
      </c>
      <c r="D144" t="s">
        <v>24</v>
      </c>
      <c r="E144" t="s">
        <v>656</v>
      </c>
      <c r="F144" t="s">
        <v>31</v>
      </c>
      <c r="G144">
        <v>2040</v>
      </c>
      <c r="H144" s="12">
        <v>27.95</v>
      </c>
      <c r="I144" t="s">
        <v>3183</v>
      </c>
      <c r="J144" t="s">
        <v>15</v>
      </c>
      <c r="K144" t="s">
        <v>147</v>
      </c>
      <c r="L144" t="s">
        <v>3184</v>
      </c>
      <c r="M144" t="s">
        <v>15</v>
      </c>
    </row>
    <row r="145" spans="1:13">
      <c r="A145" t="s">
        <v>851</v>
      </c>
      <c r="B145" t="s">
        <v>686</v>
      </c>
      <c r="C145" t="s">
        <v>686</v>
      </c>
      <c r="D145" t="s">
        <v>24</v>
      </c>
      <c r="E145" t="s">
        <v>656</v>
      </c>
      <c r="F145" t="s">
        <v>31</v>
      </c>
      <c r="G145">
        <v>2045</v>
      </c>
      <c r="H145" s="12">
        <v>27.95</v>
      </c>
      <c r="I145" t="s">
        <v>3183</v>
      </c>
      <c r="J145" t="s">
        <v>15</v>
      </c>
      <c r="K145" t="s">
        <v>147</v>
      </c>
      <c r="L145" t="s">
        <v>3184</v>
      </c>
      <c r="M145" t="s">
        <v>15</v>
      </c>
    </row>
    <row r="146" spans="1:13">
      <c r="A146" t="s">
        <v>851</v>
      </c>
      <c r="B146" t="s">
        <v>686</v>
      </c>
      <c r="C146" t="s">
        <v>686</v>
      </c>
      <c r="D146" t="s">
        <v>24</v>
      </c>
      <c r="E146" t="s">
        <v>656</v>
      </c>
      <c r="F146" t="s">
        <v>31</v>
      </c>
      <c r="G146">
        <v>2050</v>
      </c>
      <c r="H146" s="12">
        <v>27.95</v>
      </c>
      <c r="I146" t="s">
        <v>3183</v>
      </c>
      <c r="J146" t="s">
        <v>15</v>
      </c>
      <c r="K146" t="s">
        <v>147</v>
      </c>
      <c r="L146" t="s">
        <v>3184</v>
      </c>
      <c r="M146" t="s">
        <v>15</v>
      </c>
    </row>
    <row r="147" spans="1:13">
      <c r="A147" t="s">
        <v>851</v>
      </c>
      <c r="B147" t="s">
        <v>687</v>
      </c>
      <c r="C147" t="s">
        <v>687</v>
      </c>
      <c r="D147" t="s">
        <v>24</v>
      </c>
      <c r="E147" t="s">
        <v>656</v>
      </c>
      <c r="F147" t="s">
        <v>31</v>
      </c>
      <c r="G147">
        <v>2030</v>
      </c>
      <c r="H147" s="12">
        <v>32.69</v>
      </c>
      <c r="I147" t="s">
        <v>3183</v>
      </c>
      <c r="J147" t="s">
        <v>15</v>
      </c>
      <c r="K147" t="s">
        <v>147</v>
      </c>
      <c r="L147" t="s">
        <v>3184</v>
      </c>
      <c r="M147" t="s">
        <v>15</v>
      </c>
    </row>
    <row r="148" spans="1:13">
      <c r="A148" t="s">
        <v>851</v>
      </c>
      <c r="B148" t="s">
        <v>687</v>
      </c>
      <c r="C148" t="s">
        <v>687</v>
      </c>
      <c r="D148" t="s">
        <v>24</v>
      </c>
      <c r="E148" t="s">
        <v>656</v>
      </c>
      <c r="F148" t="s">
        <v>31</v>
      </c>
      <c r="G148">
        <v>2035</v>
      </c>
      <c r="H148" s="12">
        <v>32.549999999999997</v>
      </c>
      <c r="I148" t="s">
        <v>3183</v>
      </c>
      <c r="J148" t="s">
        <v>15</v>
      </c>
      <c r="K148" t="s">
        <v>147</v>
      </c>
      <c r="L148" t="s">
        <v>3184</v>
      </c>
      <c r="M148" t="s">
        <v>15</v>
      </c>
    </row>
    <row r="149" spans="1:13">
      <c r="A149" t="s">
        <v>851</v>
      </c>
      <c r="B149" t="s">
        <v>687</v>
      </c>
      <c r="C149" t="s">
        <v>687</v>
      </c>
      <c r="D149" t="s">
        <v>24</v>
      </c>
      <c r="E149" t="s">
        <v>656</v>
      </c>
      <c r="F149" t="s">
        <v>31</v>
      </c>
      <c r="G149">
        <v>2040</v>
      </c>
      <c r="H149" s="12">
        <v>34.22</v>
      </c>
      <c r="I149" t="s">
        <v>3183</v>
      </c>
      <c r="J149" t="s">
        <v>15</v>
      </c>
      <c r="K149" t="s">
        <v>147</v>
      </c>
      <c r="L149" t="s">
        <v>3184</v>
      </c>
      <c r="M149" t="s">
        <v>15</v>
      </c>
    </row>
    <row r="150" spans="1:13">
      <c r="A150" t="s">
        <v>851</v>
      </c>
      <c r="B150" t="s">
        <v>687</v>
      </c>
      <c r="C150" t="s">
        <v>687</v>
      </c>
      <c r="D150" t="s">
        <v>24</v>
      </c>
      <c r="E150" t="s">
        <v>656</v>
      </c>
      <c r="F150" t="s">
        <v>31</v>
      </c>
      <c r="G150">
        <v>2045</v>
      </c>
      <c r="H150" s="12">
        <v>32.25</v>
      </c>
      <c r="I150" t="s">
        <v>3183</v>
      </c>
      <c r="J150" t="s">
        <v>15</v>
      </c>
      <c r="K150" t="s">
        <v>147</v>
      </c>
      <c r="L150" t="s">
        <v>3184</v>
      </c>
      <c r="M150" t="s">
        <v>15</v>
      </c>
    </row>
    <row r="151" spans="1:13">
      <c r="A151" t="s">
        <v>851</v>
      </c>
      <c r="B151" t="s">
        <v>687</v>
      </c>
      <c r="C151" t="s">
        <v>687</v>
      </c>
      <c r="D151" t="s">
        <v>24</v>
      </c>
      <c r="E151" t="s">
        <v>656</v>
      </c>
      <c r="F151" t="s">
        <v>31</v>
      </c>
      <c r="G151">
        <v>2050</v>
      </c>
      <c r="H151" s="12">
        <v>35.869999999999997</v>
      </c>
      <c r="I151" t="s">
        <v>3183</v>
      </c>
      <c r="J151" t="s">
        <v>15</v>
      </c>
      <c r="K151" t="s">
        <v>147</v>
      </c>
      <c r="L151" t="s">
        <v>3184</v>
      </c>
      <c r="M151" t="s">
        <v>15</v>
      </c>
    </row>
    <row r="152" spans="1:13">
      <c r="A152" t="s">
        <v>851</v>
      </c>
      <c r="B152" t="s">
        <v>686</v>
      </c>
      <c r="C152" t="s">
        <v>686</v>
      </c>
      <c r="D152" t="s">
        <v>24</v>
      </c>
      <c r="E152" t="s">
        <v>656</v>
      </c>
      <c r="F152" t="s">
        <v>31</v>
      </c>
      <c r="G152">
        <v>2010</v>
      </c>
      <c r="H152" s="12">
        <v>0</v>
      </c>
      <c r="I152" t="s">
        <v>3183</v>
      </c>
      <c r="J152" t="s">
        <v>8</v>
      </c>
      <c r="K152" t="s">
        <v>147</v>
      </c>
      <c r="L152" t="s">
        <v>3184</v>
      </c>
      <c r="M152" t="s">
        <v>670</v>
      </c>
    </row>
    <row r="153" spans="1:13">
      <c r="A153" t="s">
        <v>851</v>
      </c>
      <c r="B153" t="s">
        <v>686</v>
      </c>
      <c r="C153" t="s">
        <v>686</v>
      </c>
      <c r="D153" t="s">
        <v>24</v>
      </c>
      <c r="E153" t="s">
        <v>656</v>
      </c>
      <c r="F153" t="s">
        <v>31</v>
      </c>
      <c r="G153">
        <v>2015</v>
      </c>
      <c r="H153" s="12">
        <v>0</v>
      </c>
      <c r="I153" t="s">
        <v>3183</v>
      </c>
      <c r="J153" t="s">
        <v>8</v>
      </c>
      <c r="K153" t="s">
        <v>147</v>
      </c>
      <c r="L153" t="s">
        <v>3184</v>
      </c>
      <c r="M153" t="s">
        <v>670</v>
      </c>
    </row>
    <row r="154" spans="1:13">
      <c r="A154" t="s">
        <v>851</v>
      </c>
      <c r="B154" t="s">
        <v>686</v>
      </c>
      <c r="C154" t="s">
        <v>686</v>
      </c>
      <c r="D154" t="s">
        <v>24</v>
      </c>
      <c r="E154" t="s">
        <v>656</v>
      </c>
      <c r="F154" t="s">
        <v>31</v>
      </c>
      <c r="G154">
        <v>2020</v>
      </c>
      <c r="H154" s="12">
        <v>0</v>
      </c>
      <c r="I154" t="s">
        <v>3183</v>
      </c>
      <c r="J154" t="s">
        <v>8</v>
      </c>
      <c r="K154" t="s">
        <v>147</v>
      </c>
      <c r="L154" t="s">
        <v>3184</v>
      </c>
      <c r="M154" t="s">
        <v>670</v>
      </c>
    </row>
    <row r="155" spans="1:13">
      <c r="A155" t="s">
        <v>851</v>
      </c>
      <c r="B155" t="s">
        <v>686</v>
      </c>
      <c r="C155" t="s">
        <v>686</v>
      </c>
      <c r="D155" t="s">
        <v>24</v>
      </c>
      <c r="E155" t="s">
        <v>656</v>
      </c>
      <c r="F155" t="s">
        <v>31</v>
      </c>
      <c r="G155">
        <v>2030</v>
      </c>
      <c r="H155" s="12">
        <v>2.42</v>
      </c>
      <c r="I155" t="s">
        <v>3183</v>
      </c>
      <c r="J155" t="s">
        <v>8</v>
      </c>
      <c r="K155" t="s">
        <v>147</v>
      </c>
      <c r="L155" t="s">
        <v>3184</v>
      </c>
      <c r="M155" t="s">
        <v>670</v>
      </c>
    </row>
    <row r="156" spans="1:13">
      <c r="A156" t="s">
        <v>851</v>
      </c>
      <c r="B156" t="s">
        <v>686</v>
      </c>
      <c r="C156" t="s">
        <v>686</v>
      </c>
      <c r="D156" t="s">
        <v>24</v>
      </c>
      <c r="E156" t="s">
        <v>656</v>
      </c>
      <c r="F156" t="s">
        <v>31</v>
      </c>
      <c r="G156">
        <v>2035</v>
      </c>
      <c r="H156" s="12">
        <v>6.52</v>
      </c>
      <c r="I156" t="s">
        <v>3183</v>
      </c>
      <c r="J156" t="s">
        <v>8</v>
      </c>
      <c r="K156" t="s">
        <v>147</v>
      </c>
      <c r="L156" t="s">
        <v>3184</v>
      </c>
      <c r="M156" t="s">
        <v>670</v>
      </c>
    </row>
    <row r="157" spans="1:13">
      <c r="A157" t="s">
        <v>851</v>
      </c>
      <c r="B157" t="s">
        <v>686</v>
      </c>
      <c r="C157" t="s">
        <v>686</v>
      </c>
      <c r="D157" t="s">
        <v>24</v>
      </c>
      <c r="E157" t="s">
        <v>656</v>
      </c>
      <c r="F157" t="s">
        <v>31</v>
      </c>
      <c r="G157">
        <v>2040</v>
      </c>
      <c r="H157" s="12">
        <v>12.62</v>
      </c>
      <c r="I157" t="s">
        <v>3183</v>
      </c>
      <c r="J157" t="s">
        <v>8</v>
      </c>
      <c r="K157" t="s">
        <v>147</v>
      </c>
      <c r="L157" t="s">
        <v>3184</v>
      </c>
      <c r="M157" t="s">
        <v>670</v>
      </c>
    </row>
    <row r="158" spans="1:13">
      <c r="A158" t="s">
        <v>851</v>
      </c>
      <c r="B158" t="s">
        <v>686</v>
      </c>
      <c r="C158" t="s">
        <v>686</v>
      </c>
      <c r="D158" t="s">
        <v>24</v>
      </c>
      <c r="E158" t="s">
        <v>656</v>
      </c>
      <c r="F158" t="s">
        <v>31</v>
      </c>
      <c r="G158">
        <v>2045</v>
      </c>
      <c r="H158" s="12">
        <v>15.62</v>
      </c>
      <c r="I158" t="s">
        <v>3183</v>
      </c>
      <c r="J158" t="s">
        <v>8</v>
      </c>
      <c r="K158" t="s">
        <v>147</v>
      </c>
      <c r="L158" t="s">
        <v>3184</v>
      </c>
      <c r="M158" t="s">
        <v>670</v>
      </c>
    </row>
    <row r="159" spans="1:13">
      <c r="A159" t="s">
        <v>851</v>
      </c>
      <c r="B159" t="s">
        <v>686</v>
      </c>
      <c r="C159" t="s">
        <v>686</v>
      </c>
      <c r="D159" t="s">
        <v>24</v>
      </c>
      <c r="E159" t="s">
        <v>656</v>
      </c>
      <c r="F159" t="s">
        <v>31</v>
      </c>
      <c r="G159">
        <v>2050</v>
      </c>
      <c r="H159" s="12">
        <v>12.95</v>
      </c>
      <c r="I159" t="s">
        <v>3183</v>
      </c>
      <c r="J159" t="s">
        <v>8</v>
      </c>
      <c r="K159" t="s">
        <v>147</v>
      </c>
      <c r="L159" t="s">
        <v>3184</v>
      </c>
      <c r="M159" t="s">
        <v>670</v>
      </c>
    </row>
    <row r="160" spans="1:13">
      <c r="A160" t="s">
        <v>851</v>
      </c>
      <c r="B160" t="s">
        <v>687</v>
      </c>
      <c r="C160" t="s">
        <v>687</v>
      </c>
      <c r="D160" t="s">
        <v>24</v>
      </c>
      <c r="E160" t="s">
        <v>656</v>
      </c>
      <c r="F160" t="s">
        <v>31</v>
      </c>
      <c r="G160">
        <v>2030</v>
      </c>
      <c r="H160" s="12">
        <v>3.85</v>
      </c>
      <c r="I160" t="s">
        <v>3183</v>
      </c>
      <c r="J160" t="s">
        <v>8</v>
      </c>
      <c r="K160" t="s">
        <v>147</v>
      </c>
      <c r="L160" t="s">
        <v>3184</v>
      </c>
      <c r="M160" t="s">
        <v>670</v>
      </c>
    </row>
    <row r="161" spans="1:13">
      <c r="A161" t="s">
        <v>851</v>
      </c>
      <c r="B161" t="s">
        <v>687</v>
      </c>
      <c r="C161" t="s">
        <v>687</v>
      </c>
      <c r="D161" t="s">
        <v>24</v>
      </c>
      <c r="E161" t="s">
        <v>656</v>
      </c>
      <c r="F161" t="s">
        <v>31</v>
      </c>
      <c r="G161">
        <v>2035</v>
      </c>
      <c r="H161" s="12">
        <v>14.11</v>
      </c>
      <c r="I161" t="s">
        <v>3183</v>
      </c>
      <c r="J161" t="s">
        <v>8</v>
      </c>
      <c r="K161" t="s">
        <v>147</v>
      </c>
      <c r="L161" t="s">
        <v>3184</v>
      </c>
      <c r="M161" t="s">
        <v>670</v>
      </c>
    </row>
    <row r="162" spans="1:13">
      <c r="A162" t="s">
        <v>851</v>
      </c>
      <c r="B162" t="s">
        <v>687</v>
      </c>
      <c r="C162" t="s">
        <v>687</v>
      </c>
      <c r="D162" t="s">
        <v>24</v>
      </c>
      <c r="E162" t="s">
        <v>656</v>
      </c>
      <c r="F162" t="s">
        <v>31</v>
      </c>
      <c r="G162">
        <v>2040</v>
      </c>
      <c r="H162" s="12">
        <v>27.91</v>
      </c>
      <c r="I162" t="s">
        <v>3183</v>
      </c>
      <c r="J162" t="s">
        <v>8</v>
      </c>
      <c r="K162" t="s">
        <v>147</v>
      </c>
      <c r="L162" t="s">
        <v>3184</v>
      </c>
      <c r="M162" t="s">
        <v>670</v>
      </c>
    </row>
    <row r="163" spans="1:13">
      <c r="A163" t="s">
        <v>851</v>
      </c>
      <c r="B163" t="s">
        <v>687</v>
      </c>
      <c r="C163" t="s">
        <v>687</v>
      </c>
      <c r="D163" t="s">
        <v>24</v>
      </c>
      <c r="E163" t="s">
        <v>656</v>
      </c>
      <c r="F163" t="s">
        <v>31</v>
      </c>
      <c r="G163">
        <v>2045</v>
      </c>
      <c r="H163" s="12">
        <v>36.33</v>
      </c>
      <c r="I163" t="s">
        <v>3183</v>
      </c>
      <c r="J163" t="s">
        <v>8</v>
      </c>
      <c r="K163" t="s">
        <v>147</v>
      </c>
      <c r="L163" t="s">
        <v>3184</v>
      </c>
      <c r="M163" t="s">
        <v>670</v>
      </c>
    </row>
    <row r="164" spans="1:13">
      <c r="A164" t="s">
        <v>851</v>
      </c>
      <c r="B164" t="s">
        <v>687</v>
      </c>
      <c r="C164" t="s">
        <v>687</v>
      </c>
      <c r="D164" t="s">
        <v>24</v>
      </c>
      <c r="E164" t="s">
        <v>656</v>
      </c>
      <c r="F164" t="s">
        <v>31</v>
      </c>
      <c r="G164">
        <v>2050</v>
      </c>
      <c r="H164" s="12">
        <v>35.24</v>
      </c>
      <c r="I164" t="s">
        <v>3183</v>
      </c>
      <c r="J164" t="s">
        <v>8</v>
      </c>
      <c r="K164" t="s">
        <v>147</v>
      </c>
      <c r="L164" t="s">
        <v>3184</v>
      </c>
      <c r="M164" t="s">
        <v>670</v>
      </c>
    </row>
    <row r="165" spans="1:13">
      <c r="A165" t="s">
        <v>851</v>
      </c>
      <c r="B165" t="s">
        <v>686</v>
      </c>
      <c r="C165" t="s">
        <v>686</v>
      </c>
      <c r="D165" t="s">
        <v>24</v>
      </c>
      <c r="E165" t="s">
        <v>656</v>
      </c>
      <c r="F165" t="s">
        <v>31</v>
      </c>
      <c r="G165">
        <v>2010</v>
      </c>
      <c r="H165" s="12">
        <v>48.67</v>
      </c>
      <c r="I165" t="s">
        <v>3183</v>
      </c>
      <c r="J165" t="s">
        <v>5</v>
      </c>
      <c r="K165" t="s">
        <v>147</v>
      </c>
      <c r="L165" t="s">
        <v>3184</v>
      </c>
      <c r="M165" t="s">
        <v>665</v>
      </c>
    </row>
    <row r="166" spans="1:13">
      <c r="A166" t="s">
        <v>851</v>
      </c>
      <c r="B166" t="s">
        <v>686</v>
      </c>
      <c r="C166" t="s">
        <v>686</v>
      </c>
      <c r="D166" t="s">
        <v>24</v>
      </c>
      <c r="E166" t="s">
        <v>656</v>
      </c>
      <c r="F166" t="s">
        <v>31</v>
      </c>
      <c r="G166">
        <v>2015</v>
      </c>
      <c r="H166" s="12">
        <v>50.68</v>
      </c>
      <c r="I166" t="s">
        <v>3183</v>
      </c>
      <c r="J166" t="s">
        <v>5</v>
      </c>
      <c r="K166" t="s">
        <v>147</v>
      </c>
      <c r="L166" t="s">
        <v>3184</v>
      </c>
      <c r="M166" t="s">
        <v>665</v>
      </c>
    </row>
    <row r="167" spans="1:13">
      <c r="A167" t="s">
        <v>851</v>
      </c>
      <c r="B167" t="s">
        <v>686</v>
      </c>
      <c r="C167" t="s">
        <v>686</v>
      </c>
      <c r="D167" t="s">
        <v>24</v>
      </c>
      <c r="E167" t="s">
        <v>656</v>
      </c>
      <c r="F167" t="s">
        <v>31</v>
      </c>
      <c r="G167">
        <v>2020</v>
      </c>
      <c r="H167" s="12">
        <v>53.13</v>
      </c>
      <c r="I167" t="s">
        <v>3183</v>
      </c>
      <c r="J167" t="s">
        <v>5</v>
      </c>
      <c r="K167" t="s">
        <v>147</v>
      </c>
      <c r="L167" t="s">
        <v>3184</v>
      </c>
      <c r="M167" t="s">
        <v>665</v>
      </c>
    </row>
    <row r="168" spans="1:13">
      <c r="A168" t="s">
        <v>851</v>
      </c>
      <c r="B168" t="s">
        <v>686</v>
      </c>
      <c r="C168" t="s">
        <v>686</v>
      </c>
      <c r="D168" t="s">
        <v>24</v>
      </c>
      <c r="E168" t="s">
        <v>656</v>
      </c>
      <c r="F168" t="s">
        <v>31</v>
      </c>
      <c r="G168">
        <v>2030</v>
      </c>
      <c r="H168" s="12">
        <v>37.89</v>
      </c>
      <c r="I168" t="s">
        <v>3183</v>
      </c>
      <c r="J168" t="s">
        <v>5</v>
      </c>
      <c r="K168" t="s">
        <v>147</v>
      </c>
      <c r="L168" t="s">
        <v>3184</v>
      </c>
      <c r="M168" t="s">
        <v>665</v>
      </c>
    </row>
    <row r="169" spans="1:13">
      <c r="A169" t="s">
        <v>851</v>
      </c>
      <c r="B169" t="s">
        <v>686</v>
      </c>
      <c r="C169" t="s">
        <v>686</v>
      </c>
      <c r="D169" t="s">
        <v>24</v>
      </c>
      <c r="E169" t="s">
        <v>656</v>
      </c>
      <c r="F169" t="s">
        <v>31</v>
      </c>
      <c r="G169">
        <v>2035</v>
      </c>
      <c r="H169" s="12">
        <v>33.07</v>
      </c>
      <c r="I169" t="s">
        <v>3183</v>
      </c>
      <c r="J169" t="s">
        <v>5</v>
      </c>
      <c r="K169" t="s">
        <v>147</v>
      </c>
      <c r="L169" t="s">
        <v>3184</v>
      </c>
      <c r="M169" t="s">
        <v>665</v>
      </c>
    </row>
    <row r="170" spans="1:13">
      <c r="A170" t="s">
        <v>851</v>
      </c>
      <c r="B170" t="s">
        <v>686</v>
      </c>
      <c r="C170" t="s">
        <v>686</v>
      </c>
      <c r="D170" t="s">
        <v>24</v>
      </c>
      <c r="E170" t="s">
        <v>656</v>
      </c>
      <c r="F170" t="s">
        <v>31</v>
      </c>
      <c r="G170">
        <v>2040</v>
      </c>
      <c r="H170" s="12">
        <v>29.62</v>
      </c>
      <c r="I170" t="s">
        <v>3183</v>
      </c>
      <c r="J170" t="s">
        <v>5</v>
      </c>
      <c r="K170" t="s">
        <v>147</v>
      </c>
      <c r="L170" t="s">
        <v>3184</v>
      </c>
      <c r="M170" t="s">
        <v>665</v>
      </c>
    </row>
    <row r="171" spans="1:13">
      <c r="A171" t="s">
        <v>851</v>
      </c>
      <c r="B171" t="s">
        <v>686</v>
      </c>
      <c r="C171" t="s">
        <v>686</v>
      </c>
      <c r="D171" t="s">
        <v>24</v>
      </c>
      <c r="E171" t="s">
        <v>656</v>
      </c>
      <c r="F171" t="s">
        <v>31</v>
      </c>
      <c r="G171">
        <v>2045</v>
      </c>
      <c r="H171" s="12">
        <v>24.76</v>
      </c>
      <c r="I171" t="s">
        <v>3183</v>
      </c>
      <c r="J171" t="s">
        <v>5</v>
      </c>
      <c r="K171" t="s">
        <v>147</v>
      </c>
      <c r="L171" t="s">
        <v>3184</v>
      </c>
      <c r="M171" t="s">
        <v>665</v>
      </c>
    </row>
    <row r="172" spans="1:13">
      <c r="A172" t="s">
        <v>851</v>
      </c>
      <c r="B172" t="s">
        <v>686</v>
      </c>
      <c r="C172" t="s">
        <v>686</v>
      </c>
      <c r="D172" t="s">
        <v>24</v>
      </c>
      <c r="E172" t="s">
        <v>656</v>
      </c>
      <c r="F172" t="s">
        <v>31</v>
      </c>
      <c r="G172">
        <v>2050</v>
      </c>
      <c r="H172" s="12">
        <v>15.67</v>
      </c>
      <c r="I172" t="s">
        <v>3183</v>
      </c>
      <c r="J172" t="s">
        <v>5</v>
      </c>
      <c r="K172" t="s">
        <v>147</v>
      </c>
      <c r="L172" t="s">
        <v>3184</v>
      </c>
      <c r="M172" t="s">
        <v>665</v>
      </c>
    </row>
    <row r="173" spans="1:13">
      <c r="A173" t="s">
        <v>851</v>
      </c>
      <c r="B173" t="s">
        <v>687</v>
      </c>
      <c r="C173" t="s">
        <v>687</v>
      </c>
      <c r="D173" t="s">
        <v>24</v>
      </c>
      <c r="E173" t="s">
        <v>656</v>
      </c>
      <c r="F173" t="s">
        <v>31</v>
      </c>
      <c r="G173">
        <v>2030</v>
      </c>
      <c r="H173" s="12">
        <v>34.04</v>
      </c>
      <c r="I173" t="s">
        <v>3183</v>
      </c>
      <c r="J173" t="s">
        <v>5</v>
      </c>
      <c r="K173" t="s">
        <v>147</v>
      </c>
      <c r="L173" t="s">
        <v>3184</v>
      </c>
      <c r="M173" t="s">
        <v>665</v>
      </c>
    </row>
    <row r="174" spans="1:13">
      <c r="A174" t="s">
        <v>851</v>
      </c>
      <c r="B174" t="s">
        <v>687</v>
      </c>
      <c r="C174" t="s">
        <v>687</v>
      </c>
      <c r="D174" t="s">
        <v>24</v>
      </c>
      <c r="E174" t="s">
        <v>656</v>
      </c>
      <c r="F174" t="s">
        <v>31</v>
      </c>
      <c r="G174">
        <v>2035</v>
      </c>
      <c r="H174" s="12">
        <v>21.74</v>
      </c>
      <c r="I174" t="s">
        <v>3183</v>
      </c>
      <c r="J174" t="s">
        <v>5</v>
      </c>
      <c r="K174" t="s">
        <v>147</v>
      </c>
      <c r="L174" t="s">
        <v>3184</v>
      </c>
      <c r="M174" t="s">
        <v>665</v>
      </c>
    </row>
    <row r="175" spans="1:13">
      <c r="A175" t="s">
        <v>851</v>
      </c>
      <c r="B175" t="s">
        <v>687</v>
      </c>
      <c r="C175" t="s">
        <v>687</v>
      </c>
      <c r="D175" t="s">
        <v>24</v>
      </c>
      <c r="E175" t="s">
        <v>656</v>
      </c>
      <c r="F175" t="s">
        <v>31</v>
      </c>
      <c r="G175">
        <v>2040</v>
      </c>
      <c r="H175" s="12">
        <v>14.23</v>
      </c>
      <c r="I175" t="s">
        <v>3183</v>
      </c>
      <c r="J175" t="s">
        <v>5</v>
      </c>
      <c r="K175" t="s">
        <v>147</v>
      </c>
      <c r="L175" t="s">
        <v>3184</v>
      </c>
      <c r="M175" t="s">
        <v>665</v>
      </c>
    </row>
    <row r="176" spans="1:13">
      <c r="A176" t="s">
        <v>851</v>
      </c>
      <c r="B176" t="s">
        <v>687</v>
      </c>
      <c r="C176" t="s">
        <v>687</v>
      </c>
      <c r="D176" t="s">
        <v>24</v>
      </c>
      <c r="E176" t="s">
        <v>656</v>
      </c>
      <c r="F176" t="s">
        <v>31</v>
      </c>
      <c r="G176">
        <v>2045</v>
      </c>
      <c r="H176" s="12">
        <v>5.94</v>
      </c>
      <c r="I176" t="s">
        <v>3183</v>
      </c>
      <c r="J176" t="s">
        <v>5</v>
      </c>
      <c r="K176" t="s">
        <v>147</v>
      </c>
      <c r="L176" t="s">
        <v>3184</v>
      </c>
      <c r="M176" t="s">
        <v>665</v>
      </c>
    </row>
    <row r="177" spans="1:13">
      <c r="A177" t="s">
        <v>851</v>
      </c>
      <c r="B177" t="s">
        <v>687</v>
      </c>
      <c r="C177" t="s">
        <v>687</v>
      </c>
      <c r="D177" t="s">
        <v>24</v>
      </c>
      <c r="E177" t="s">
        <v>656</v>
      </c>
      <c r="F177" t="s">
        <v>31</v>
      </c>
      <c r="G177">
        <v>2050</v>
      </c>
      <c r="H177" s="12">
        <v>1.88</v>
      </c>
      <c r="I177" t="s">
        <v>3183</v>
      </c>
      <c r="J177" t="s">
        <v>5</v>
      </c>
      <c r="K177" t="s">
        <v>147</v>
      </c>
      <c r="L177" t="s">
        <v>3184</v>
      </c>
      <c r="M177" t="s">
        <v>665</v>
      </c>
    </row>
    <row r="178" spans="1:13">
      <c r="A178" t="s">
        <v>851</v>
      </c>
      <c r="B178" t="s">
        <v>686</v>
      </c>
      <c r="C178" t="s">
        <v>686</v>
      </c>
      <c r="D178" t="s">
        <v>24</v>
      </c>
      <c r="E178" t="s">
        <v>656</v>
      </c>
      <c r="F178" t="s">
        <v>31</v>
      </c>
      <c r="G178">
        <v>2010</v>
      </c>
      <c r="H178" s="12">
        <v>69.28</v>
      </c>
      <c r="I178" t="s">
        <v>3183</v>
      </c>
      <c r="J178" t="s">
        <v>6</v>
      </c>
      <c r="K178" t="s">
        <v>147</v>
      </c>
      <c r="L178" t="s">
        <v>3184</v>
      </c>
      <c r="M178" t="s">
        <v>666</v>
      </c>
    </row>
    <row r="179" spans="1:13">
      <c r="A179" t="s">
        <v>851</v>
      </c>
      <c r="B179" t="s">
        <v>687</v>
      </c>
      <c r="C179" t="s">
        <v>687</v>
      </c>
      <c r="D179" t="s">
        <v>24</v>
      </c>
      <c r="E179" t="s">
        <v>656</v>
      </c>
      <c r="F179" t="s">
        <v>31</v>
      </c>
      <c r="G179">
        <v>2040</v>
      </c>
      <c r="H179" s="12">
        <v>9.4499999999999993</v>
      </c>
      <c r="I179" t="s">
        <v>3183</v>
      </c>
      <c r="J179" t="s">
        <v>484</v>
      </c>
      <c r="K179" t="s">
        <v>147</v>
      </c>
      <c r="L179" t="s">
        <v>3184</v>
      </c>
      <c r="M179" t="s">
        <v>667</v>
      </c>
    </row>
    <row r="180" spans="1:13">
      <c r="A180" t="s">
        <v>851</v>
      </c>
      <c r="B180" t="s">
        <v>687</v>
      </c>
      <c r="C180" t="s">
        <v>687</v>
      </c>
      <c r="D180" t="s">
        <v>24</v>
      </c>
      <c r="E180" t="s">
        <v>656</v>
      </c>
      <c r="F180" t="s">
        <v>31</v>
      </c>
      <c r="G180">
        <v>2045</v>
      </c>
      <c r="H180" s="12">
        <v>13.43</v>
      </c>
      <c r="I180" t="s">
        <v>3183</v>
      </c>
      <c r="J180" t="s">
        <v>484</v>
      </c>
      <c r="K180" t="s">
        <v>147</v>
      </c>
      <c r="L180" t="s">
        <v>3184</v>
      </c>
      <c r="M180" t="s">
        <v>667</v>
      </c>
    </row>
    <row r="181" spans="1:13">
      <c r="A181" t="s">
        <v>851</v>
      </c>
      <c r="B181" t="s">
        <v>687</v>
      </c>
      <c r="C181" t="s">
        <v>687</v>
      </c>
      <c r="D181" t="s">
        <v>24</v>
      </c>
      <c r="E181" t="s">
        <v>656</v>
      </c>
      <c r="F181" t="s">
        <v>31</v>
      </c>
      <c r="G181">
        <v>2050</v>
      </c>
      <c r="H181" s="12">
        <v>18.579999999999998</v>
      </c>
      <c r="I181" t="s">
        <v>3183</v>
      </c>
      <c r="J181" t="s">
        <v>484</v>
      </c>
      <c r="K181" t="s">
        <v>147</v>
      </c>
      <c r="L181" t="s">
        <v>3184</v>
      </c>
      <c r="M181" t="s">
        <v>667</v>
      </c>
    </row>
    <row r="182" spans="1:13">
      <c r="A182" t="s">
        <v>851</v>
      </c>
      <c r="B182" t="s">
        <v>686</v>
      </c>
      <c r="C182" t="s">
        <v>686</v>
      </c>
      <c r="D182" t="s">
        <v>24</v>
      </c>
      <c r="E182" t="s">
        <v>656</v>
      </c>
      <c r="F182" t="s">
        <v>31</v>
      </c>
      <c r="G182">
        <v>2035</v>
      </c>
      <c r="H182" s="12">
        <v>50.64</v>
      </c>
      <c r="I182" t="s">
        <v>3183</v>
      </c>
      <c r="J182" t="s">
        <v>14</v>
      </c>
      <c r="K182" t="s">
        <v>147</v>
      </c>
      <c r="L182" t="s">
        <v>3184</v>
      </c>
      <c r="M182" t="s">
        <v>14</v>
      </c>
    </row>
    <row r="183" spans="1:13">
      <c r="A183" t="s">
        <v>851</v>
      </c>
      <c r="B183" t="s">
        <v>686</v>
      </c>
      <c r="C183" t="s">
        <v>686</v>
      </c>
      <c r="D183" t="s">
        <v>24</v>
      </c>
      <c r="E183" t="s">
        <v>656</v>
      </c>
      <c r="F183" t="s">
        <v>31</v>
      </c>
      <c r="G183">
        <v>2040</v>
      </c>
      <c r="H183" s="12">
        <v>50.84</v>
      </c>
      <c r="I183" t="s">
        <v>3183</v>
      </c>
      <c r="J183" t="s">
        <v>14</v>
      </c>
      <c r="K183" t="s">
        <v>147</v>
      </c>
      <c r="L183" t="s">
        <v>3184</v>
      </c>
      <c r="M183" t="s">
        <v>14</v>
      </c>
    </row>
    <row r="184" spans="1:13">
      <c r="A184" t="s">
        <v>851</v>
      </c>
      <c r="B184" t="s">
        <v>686</v>
      </c>
      <c r="C184" t="s">
        <v>686</v>
      </c>
      <c r="D184" t="s">
        <v>24</v>
      </c>
      <c r="E184" t="s">
        <v>656</v>
      </c>
      <c r="F184" t="s">
        <v>31</v>
      </c>
      <c r="G184">
        <v>2045</v>
      </c>
      <c r="H184" s="12">
        <v>50.98</v>
      </c>
      <c r="I184" t="s">
        <v>3183</v>
      </c>
      <c r="J184" t="s">
        <v>14</v>
      </c>
      <c r="K184" t="s">
        <v>147</v>
      </c>
      <c r="L184" t="s">
        <v>3184</v>
      </c>
      <c r="M184" t="s">
        <v>14</v>
      </c>
    </row>
    <row r="185" spans="1:13">
      <c r="A185" t="s">
        <v>851</v>
      </c>
      <c r="B185" t="s">
        <v>686</v>
      </c>
      <c r="C185" t="s">
        <v>686</v>
      </c>
      <c r="D185" t="s">
        <v>24</v>
      </c>
      <c r="E185" t="s">
        <v>656</v>
      </c>
      <c r="F185" t="s">
        <v>31</v>
      </c>
      <c r="G185">
        <v>2050</v>
      </c>
      <c r="H185" s="12">
        <v>51.07</v>
      </c>
      <c r="I185" t="s">
        <v>3183</v>
      </c>
      <c r="J185" t="s">
        <v>14</v>
      </c>
      <c r="K185" t="s">
        <v>147</v>
      </c>
      <c r="L185" t="s">
        <v>3184</v>
      </c>
      <c r="M185" t="s">
        <v>14</v>
      </c>
    </row>
    <row r="186" spans="1:13">
      <c r="A186" t="s">
        <v>851</v>
      </c>
      <c r="B186" t="s">
        <v>687</v>
      </c>
      <c r="C186" t="s">
        <v>687</v>
      </c>
      <c r="D186" t="s">
        <v>24</v>
      </c>
      <c r="E186" t="s">
        <v>656</v>
      </c>
      <c r="F186" t="s">
        <v>31</v>
      </c>
      <c r="G186">
        <v>2030</v>
      </c>
      <c r="H186" s="12">
        <v>51.66</v>
      </c>
      <c r="I186" t="s">
        <v>3183</v>
      </c>
      <c r="J186" t="s">
        <v>14</v>
      </c>
      <c r="K186" t="s">
        <v>147</v>
      </c>
      <c r="L186" t="s">
        <v>3184</v>
      </c>
      <c r="M186" t="s">
        <v>14</v>
      </c>
    </row>
    <row r="187" spans="1:13">
      <c r="A187" t="s">
        <v>851</v>
      </c>
      <c r="B187" t="s">
        <v>687</v>
      </c>
      <c r="C187" t="s">
        <v>687</v>
      </c>
      <c r="D187" t="s">
        <v>24</v>
      </c>
      <c r="E187" t="s">
        <v>656</v>
      </c>
      <c r="F187" t="s">
        <v>31</v>
      </c>
      <c r="G187">
        <v>2035</v>
      </c>
      <c r="H187" s="12">
        <v>55.24</v>
      </c>
      <c r="I187" t="s">
        <v>3183</v>
      </c>
      <c r="J187" t="s">
        <v>14</v>
      </c>
      <c r="K187" t="s">
        <v>147</v>
      </c>
      <c r="L187" t="s">
        <v>3184</v>
      </c>
      <c r="M187" t="s">
        <v>14</v>
      </c>
    </row>
    <row r="188" spans="1:13">
      <c r="A188" t="s">
        <v>851</v>
      </c>
      <c r="B188" t="s">
        <v>687</v>
      </c>
      <c r="C188" t="s">
        <v>687</v>
      </c>
      <c r="D188" t="s">
        <v>24</v>
      </c>
      <c r="E188" t="s">
        <v>656</v>
      </c>
      <c r="F188" t="s">
        <v>31</v>
      </c>
      <c r="G188">
        <v>2040</v>
      </c>
      <c r="H188" s="12">
        <v>59.4</v>
      </c>
      <c r="I188" t="s">
        <v>3183</v>
      </c>
      <c r="J188" t="s">
        <v>14</v>
      </c>
      <c r="K188" t="s">
        <v>147</v>
      </c>
      <c r="L188" t="s">
        <v>3184</v>
      </c>
      <c r="M188" t="s">
        <v>14</v>
      </c>
    </row>
    <row r="189" spans="1:13">
      <c r="A189" t="s">
        <v>851</v>
      </c>
      <c r="B189" t="s">
        <v>687</v>
      </c>
      <c r="C189" t="s">
        <v>687</v>
      </c>
      <c r="D189" t="s">
        <v>24</v>
      </c>
      <c r="E189" t="s">
        <v>656</v>
      </c>
      <c r="F189" t="s">
        <v>31</v>
      </c>
      <c r="G189">
        <v>2045</v>
      </c>
      <c r="H189" s="12">
        <v>61.02</v>
      </c>
      <c r="I189" t="s">
        <v>3183</v>
      </c>
      <c r="J189" t="s">
        <v>14</v>
      </c>
      <c r="K189" t="s">
        <v>147</v>
      </c>
      <c r="L189" t="s">
        <v>3184</v>
      </c>
      <c r="M189" t="s">
        <v>14</v>
      </c>
    </row>
    <row r="190" spans="1:13">
      <c r="A190" t="s">
        <v>851</v>
      </c>
      <c r="B190" t="s">
        <v>687</v>
      </c>
      <c r="C190" t="s">
        <v>687</v>
      </c>
      <c r="D190" t="s">
        <v>24</v>
      </c>
      <c r="E190" t="s">
        <v>656</v>
      </c>
      <c r="F190" t="s">
        <v>31</v>
      </c>
      <c r="G190">
        <v>2050</v>
      </c>
      <c r="H190" s="12">
        <v>61.23</v>
      </c>
      <c r="I190" t="s">
        <v>3183</v>
      </c>
      <c r="J190" t="s">
        <v>14</v>
      </c>
      <c r="K190" t="s">
        <v>147</v>
      </c>
      <c r="L190" t="s">
        <v>3184</v>
      </c>
      <c r="M190" t="s">
        <v>14</v>
      </c>
    </row>
    <row r="191" spans="1:13">
      <c r="A191" t="s">
        <v>851</v>
      </c>
      <c r="B191" t="s">
        <v>686</v>
      </c>
      <c r="C191" t="s">
        <v>686</v>
      </c>
      <c r="D191" t="s">
        <v>24</v>
      </c>
      <c r="E191" t="s">
        <v>656</v>
      </c>
      <c r="F191" t="s">
        <v>31</v>
      </c>
      <c r="G191">
        <v>2010</v>
      </c>
      <c r="H191" s="12">
        <v>5.74</v>
      </c>
      <c r="I191" t="s">
        <v>3183</v>
      </c>
      <c r="J191" t="s">
        <v>41</v>
      </c>
      <c r="K191" t="s">
        <v>147</v>
      </c>
      <c r="L191" t="s">
        <v>3184</v>
      </c>
      <c r="M191" t="s">
        <v>669</v>
      </c>
    </row>
    <row r="192" spans="1:13">
      <c r="A192" t="s">
        <v>851</v>
      </c>
      <c r="B192" t="s">
        <v>686</v>
      </c>
      <c r="C192" t="s">
        <v>686</v>
      </c>
      <c r="D192" t="s">
        <v>24</v>
      </c>
      <c r="E192" t="s">
        <v>656</v>
      </c>
      <c r="F192" t="s">
        <v>31</v>
      </c>
      <c r="G192">
        <v>2015</v>
      </c>
      <c r="H192" s="12">
        <v>6.78</v>
      </c>
      <c r="I192" t="s">
        <v>3183</v>
      </c>
      <c r="J192" t="s">
        <v>41</v>
      </c>
      <c r="K192" t="s">
        <v>147</v>
      </c>
      <c r="L192" t="s">
        <v>3184</v>
      </c>
      <c r="M192" t="s">
        <v>669</v>
      </c>
    </row>
    <row r="193" spans="1:13">
      <c r="A193" t="s">
        <v>851</v>
      </c>
      <c r="B193" t="s">
        <v>686</v>
      </c>
      <c r="C193" t="s">
        <v>686</v>
      </c>
      <c r="D193" t="s">
        <v>24</v>
      </c>
      <c r="E193" t="s">
        <v>656</v>
      </c>
      <c r="F193" t="s">
        <v>31</v>
      </c>
      <c r="G193">
        <v>2020</v>
      </c>
      <c r="H193" s="12">
        <v>9.07</v>
      </c>
      <c r="I193" t="s">
        <v>3183</v>
      </c>
      <c r="J193" t="s">
        <v>41</v>
      </c>
      <c r="K193" t="s">
        <v>147</v>
      </c>
      <c r="L193" t="s">
        <v>3184</v>
      </c>
      <c r="M193" t="s">
        <v>669</v>
      </c>
    </row>
    <row r="194" spans="1:13">
      <c r="A194" t="s">
        <v>851</v>
      </c>
      <c r="B194" t="s">
        <v>686</v>
      </c>
      <c r="C194" t="s">
        <v>686</v>
      </c>
      <c r="D194" t="s">
        <v>24</v>
      </c>
      <c r="E194" t="s">
        <v>656</v>
      </c>
      <c r="F194" t="s">
        <v>31</v>
      </c>
      <c r="G194">
        <v>2030</v>
      </c>
      <c r="H194" s="12">
        <v>11.63</v>
      </c>
      <c r="I194" t="s">
        <v>3183</v>
      </c>
      <c r="J194" t="s">
        <v>41</v>
      </c>
      <c r="K194" t="s">
        <v>147</v>
      </c>
      <c r="L194" t="s">
        <v>3184</v>
      </c>
      <c r="M194" t="s">
        <v>669</v>
      </c>
    </row>
    <row r="195" spans="1:13">
      <c r="A195" t="s">
        <v>851</v>
      </c>
      <c r="B195" t="s">
        <v>686</v>
      </c>
      <c r="C195" t="s">
        <v>686</v>
      </c>
      <c r="D195" t="s">
        <v>24</v>
      </c>
      <c r="E195" t="s">
        <v>656</v>
      </c>
      <c r="F195" t="s">
        <v>31</v>
      </c>
      <c r="G195">
        <v>2035</v>
      </c>
      <c r="H195" s="12">
        <v>12.59</v>
      </c>
      <c r="I195" t="s">
        <v>3183</v>
      </c>
      <c r="J195" t="s">
        <v>41</v>
      </c>
      <c r="K195" t="s">
        <v>147</v>
      </c>
      <c r="L195" t="s">
        <v>3184</v>
      </c>
      <c r="M195" t="s">
        <v>669</v>
      </c>
    </row>
    <row r="196" spans="1:13">
      <c r="A196" t="s">
        <v>851</v>
      </c>
      <c r="B196" t="s">
        <v>686</v>
      </c>
      <c r="C196" t="s">
        <v>686</v>
      </c>
      <c r="D196" t="s">
        <v>24</v>
      </c>
      <c r="E196" t="s">
        <v>656</v>
      </c>
      <c r="F196" t="s">
        <v>31</v>
      </c>
      <c r="G196">
        <v>2040</v>
      </c>
      <c r="H196" s="12">
        <v>13.83</v>
      </c>
      <c r="I196" t="s">
        <v>3183</v>
      </c>
      <c r="J196" t="s">
        <v>41</v>
      </c>
      <c r="K196" t="s">
        <v>147</v>
      </c>
      <c r="L196" t="s">
        <v>3184</v>
      </c>
      <c r="M196" t="s">
        <v>669</v>
      </c>
    </row>
    <row r="197" spans="1:13">
      <c r="A197" t="s">
        <v>851</v>
      </c>
      <c r="B197" t="s">
        <v>686</v>
      </c>
      <c r="C197" t="s">
        <v>686</v>
      </c>
      <c r="D197" t="s">
        <v>24</v>
      </c>
      <c r="E197" t="s">
        <v>656</v>
      </c>
      <c r="F197" t="s">
        <v>31</v>
      </c>
      <c r="G197">
        <v>2045</v>
      </c>
      <c r="H197" s="12">
        <v>14.78</v>
      </c>
      <c r="I197" t="s">
        <v>3183</v>
      </c>
      <c r="J197" t="s">
        <v>41</v>
      </c>
      <c r="K197" t="s">
        <v>147</v>
      </c>
      <c r="L197" t="s">
        <v>3184</v>
      </c>
      <c r="M197" t="s">
        <v>669</v>
      </c>
    </row>
    <row r="198" spans="1:13">
      <c r="A198" t="s">
        <v>851</v>
      </c>
      <c r="B198" t="s">
        <v>686</v>
      </c>
      <c r="C198" t="s">
        <v>686</v>
      </c>
      <c r="D198" t="s">
        <v>24</v>
      </c>
      <c r="E198" t="s">
        <v>656</v>
      </c>
      <c r="F198" t="s">
        <v>31</v>
      </c>
      <c r="G198">
        <v>2050</v>
      </c>
      <c r="H198" s="12">
        <v>15.35</v>
      </c>
      <c r="I198" t="s">
        <v>3183</v>
      </c>
      <c r="J198" t="s">
        <v>41</v>
      </c>
      <c r="K198" t="s">
        <v>147</v>
      </c>
      <c r="L198" t="s">
        <v>3184</v>
      </c>
      <c r="M198" t="s">
        <v>669</v>
      </c>
    </row>
    <row r="199" spans="1:13">
      <c r="A199" t="s">
        <v>851</v>
      </c>
      <c r="B199" t="s">
        <v>687</v>
      </c>
      <c r="C199" t="s">
        <v>687</v>
      </c>
      <c r="D199" t="s">
        <v>24</v>
      </c>
      <c r="E199" t="s">
        <v>656</v>
      </c>
      <c r="F199" t="s">
        <v>31</v>
      </c>
      <c r="G199">
        <v>2030</v>
      </c>
      <c r="H199" s="12">
        <v>12.81</v>
      </c>
      <c r="I199" t="s">
        <v>3183</v>
      </c>
      <c r="J199" t="s">
        <v>41</v>
      </c>
      <c r="K199" t="s">
        <v>147</v>
      </c>
      <c r="L199" t="s">
        <v>3184</v>
      </c>
      <c r="M199" t="s">
        <v>669</v>
      </c>
    </row>
    <row r="200" spans="1:13">
      <c r="A200" t="s">
        <v>851</v>
      </c>
      <c r="B200" t="s">
        <v>687</v>
      </c>
      <c r="C200" t="s">
        <v>687</v>
      </c>
      <c r="D200" t="s">
        <v>24</v>
      </c>
      <c r="E200" t="s">
        <v>656</v>
      </c>
      <c r="F200" t="s">
        <v>31</v>
      </c>
      <c r="G200">
        <v>2035</v>
      </c>
      <c r="H200" s="12">
        <v>15.86</v>
      </c>
      <c r="I200" t="s">
        <v>3183</v>
      </c>
      <c r="J200" t="s">
        <v>41</v>
      </c>
      <c r="K200" t="s">
        <v>147</v>
      </c>
      <c r="L200" t="s">
        <v>3184</v>
      </c>
      <c r="M200" t="s">
        <v>669</v>
      </c>
    </row>
    <row r="201" spans="1:13">
      <c r="A201" t="s">
        <v>851</v>
      </c>
      <c r="B201" t="s">
        <v>687</v>
      </c>
      <c r="C201" t="s">
        <v>687</v>
      </c>
      <c r="D201" t="s">
        <v>24</v>
      </c>
      <c r="E201" t="s">
        <v>656</v>
      </c>
      <c r="F201" t="s">
        <v>31</v>
      </c>
      <c r="G201">
        <v>2040</v>
      </c>
      <c r="H201" s="12">
        <v>17.21</v>
      </c>
      <c r="I201" t="s">
        <v>3183</v>
      </c>
      <c r="J201" t="s">
        <v>41</v>
      </c>
      <c r="K201" t="s">
        <v>147</v>
      </c>
      <c r="L201" t="s">
        <v>3184</v>
      </c>
      <c r="M201" t="s">
        <v>669</v>
      </c>
    </row>
    <row r="202" spans="1:13">
      <c r="A202" t="s">
        <v>851</v>
      </c>
      <c r="B202" t="s">
        <v>687</v>
      </c>
      <c r="C202" t="s">
        <v>687</v>
      </c>
      <c r="D202" t="s">
        <v>24</v>
      </c>
      <c r="E202" t="s">
        <v>656</v>
      </c>
      <c r="F202" t="s">
        <v>31</v>
      </c>
      <c r="G202">
        <v>2045</v>
      </c>
      <c r="H202" s="12">
        <v>17.399999999999999</v>
      </c>
      <c r="I202" t="s">
        <v>3183</v>
      </c>
      <c r="J202" t="s">
        <v>41</v>
      </c>
      <c r="K202" t="s">
        <v>147</v>
      </c>
      <c r="L202" t="s">
        <v>3184</v>
      </c>
      <c r="M202" t="s">
        <v>669</v>
      </c>
    </row>
    <row r="203" spans="1:13">
      <c r="A203" t="s">
        <v>851</v>
      </c>
      <c r="B203" t="s">
        <v>687</v>
      </c>
      <c r="C203" t="s">
        <v>687</v>
      </c>
      <c r="D203" t="s">
        <v>24</v>
      </c>
      <c r="E203" t="s">
        <v>656</v>
      </c>
      <c r="F203" t="s">
        <v>31</v>
      </c>
      <c r="G203">
        <v>2050</v>
      </c>
      <c r="H203" s="12">
        <v>17.420000000000002</v>
      </c>
      <c r="I203" t="s">
        <v>3183</v>
      </c>
      <c r="J203" t="s">
        <v>41</v>
      </c>
      <c r="K203" t="s">
        <v>147</v>
      </c>
      <c r="L203" t="s">
        <v>3184</v>
      </c>
      <c r="M203" t="s">
        <v>669</v>
      </c>
    </row>
    <row r="204" spans="1:13">
      <c r="A204" t="s">
        <v>851</v>
      </c>
      <c r="B204" t="s">
        <v>686</v>
      </c>
      <c r="C204" t="s">
        <v>686</v>
      </c>
      <c r="D204" t="s">
        <v>24</v>
      </c>
      <c r="E204" t="s">
        <v>656</v>
      </c>
      <c r="F204" t="s">
        <v>31</v>
      </c>
      <c r="G204">
        <v>2010</v>
      </c>
      <c r="H204" s="12">
        <v>48.9</v>
      </c>
      <c r="I204" t="s">
        <v>3183</v>
      </c>
      <c r="J204" t="s">
        <v>15</v>
      </c>
      <c r="K204" t="s">
        <v>147</v>
      </c>
      <c r="L204" t="s">
        <v>3184</v>
      </c>
      <c r="M204" t="s">
        <v>15</v>
      </c>
    </row>
    <row r="205" spans="1:13">
      <c r="A205" t="s">
        <v>851</v>
      </c>
      <c r="B205" t="s">
        <v>686</v>
      </c>
      <c r="C205" t="s">
        <v>686</v>
      </c>
      <c r="D205" t="s">
        <v>24</v>
      </c>
      <c r="E205" t="s">
        <v>656</v>
      </c>
      <c r="F205" t="s">
        <v>31</v>
      </c>
      <c r="G205">
        <v>2015</v>
      </c>
      <c r="H205" s="12">
        <v>42.33</v>
      </c>
      <c r="I205" t="s">
        <v>3183</v>
      </c>
      <c r="J205" t="s">
        <v>15</v>
      </c>
      <c r="K205" t="s">
        <v>147</v>
      </c>
      <c r="L205" t="s">
        <v>3184</v>
      </c>
      <c r="M205" t="s">
        <v>15</v>
      </c>
    </row>
    <row r="206" spans="1:13">
      <c r="A206" t="s">
        <v>851</v>
      </c>
      <c r="B206" t="s">
        <v>686</v>
      </c>
      <c r="C206" t="s">
        <v>686</v>
      </c>
      <c r="D206" t="s">
        <v>24</v>
      </c>
      <c r="E206" t="s">
        <v>656</v>
      </c>
      <c r="F206" t="s">
        <v>31</v>
      </c>
      <c r="G206">
        <v>2020</v>
      </c>
      <c r="H206" s="12">
        <v>33.08</v>
      </c>
      <c r="I206" t="s">
        <v>3183</v>
      </c>
      <c r="J206" t="s">
        <v>15</v>
      </c>
      <c r="K206" t="s">
        <v>147</v>
      </c>
      <c r="L206" t="s">
        <v>3184</v>
      </c>
      <c r="M206" t="s">
        <v>15</v>
      </c>
    </row>
    <row r="207" spans="1:13">
      <c r="A207" t="s">
        <v>851</v>
      </c>
      <c r="B207" t="s">
        <v>686</v>
      </c>
      <c r="C207" t="s">
        <v>686</v>
      </c>
      <c r="D207" t="s">
        <v>24</v>
      </c>
      <c r="E207" t="s">
        <v>461</v>
      </c>
      <c r="F207" t="s">
        <v>668</v>
      </c>
      <c r="G207">
        <v>2035</v>
      </c>
      <c r="H207" s="12">
        <v>86.74</v>
      </c>
      <c r="I207" t="s">
        <v>3183</v>
      </c>
      <c r="J207" t="s">
        <v>14</v>
      </c>
      <c r="K207" t="s">
        <v>147</v>
      </c>
      <c r="L207" t="s">
        <v>3184</v>
      </c>
      <c r="M207" t="s">
        <v>14</v>
      </c>
    </row>
    <row r="208" spans="1:13">
      <c r="A208" t="s">
        <v>851</v>
      </c>
      <c r="B208" t="s">
        <v>686</v>
      </c>
      <c r="C208" t="s">
        <v>686</v>
      </c>
      <c r="D208" t="s">
        <v>24</v>
      </c>
      <c r="E208" t="s">
        <v>461</v>
      </c>
      <c r="F208" t="s">
        <v>668</v>
      </c>
      <c r="G208">
        <v>2040</v>
      </c>
      <c r="H208" s="12">
        <v>88.95</v>
      </c>
      <c r="I208" t="s">
        <v>3183</v>
      </c>
      <c r="J208" t="s">
        <v>14</v>
      </c>
      <c r="K208" t="s">
        <v>147</v>
      </c>
      <c r="L208" t="s">
        <v>3184</v>
      </c>
      <c r="M208" t="s">
        <v>14</v>
      </c>
    </row>
    <row r="209" spans="1:13">
      <c r="A209" t="s">
        <v>851</v>
      </c>
      <c r="B209" t="s">
        <v>686</v>
      </c>
      <c r="C209" t="s">
        <v>686</v>
      </c>
      <c r="D209" t="s">
        <v>24</v>
      </c>
      <c r="E209" t="s">
        <v>461</v>
      </c>
      <c r="F209" t="s">
        <v>668</v>
      </c>
      <c r="G209">
        <v>2045</v>
      </c>
      <c r="H209" s="12">
        <v>94.2</v>
      </c>
      <c r="I209" t="s">
        <v>3183</v>
      </c>
      <c r="J209" t="s">
        <v>14</v>
      </c>
      <c r="K209" t="s">
        <v>147</v>
      </c>
      <c r="L209" t="s">
        <v>3184</v>
      </c>
      <c r="M209" t="s">
        <v>14</v>
      </c>
    </row>
    <row r="210" spans="1:13">
      <c r="A210" t="s">
        <v>851</v>
      </c>
      <c r="B210" t="s">
        <v>686</v>
      </c>
      <c r="C210" t="s">
        <v>686</v>
      </c>
      <c r="D210" t="s">
        <v>24</v>
      </c>
      <c r="E210" t="s">
        <v>461</v>
      </c>
      <c r="F210" t="s">
        <v>668</v>
      </c>
      <c r="G210">
        <v>2050</v>
      </c>
      <c r="H210" s="12">
        <v>99.67</v>
      </c>
      <c r="I210" t="s">
        <v>3183</v>
      </c>
      <c r="J210" t="s">
        <v>14</v>
      </c>
      <c r="K210" t="s">
        <v>147</v>
      </c>
      <c r="L210" t="s">
        <v>3184</v>
      </c>
      <c r="M210" t="s">
        <v>14</v>
      </c>
    </row>
    <row r="211" spans="1:13">
      <c r="A211" t="s">
        <v>851</v>
      </c>
      <c r="B211" t="s">
        <v>687</v>
      </c>
      <c r="C211" t="s">
        <v>687</v>
      </c>
      <c r="D211" t="s">
        <v>24</v>
      </c>
      <c r="E211" t="s">
        <v>461</v>
      </c>
      <c r="F211" t="s">
        <v>668</v>
      </c>
      <c r="G211">
        <v>2030</v>
      </c>
      <c r="H211" s="12">
        <v>84.78</v>
      </c>
      <c r="I211" t="s">
        <v>3183</v>
      </c>
      <c r="J211" t="s">
        <v>14</v>
      </c>
      <c r="K211" t="s">
        <v>147</v>
      </c>
      <c r="L211" t="s">
        <v>3184</v>
      </c>
      <c r="M211" t="s">
        <v>14</v>
      </c>
    </row>
    <row r="212" spans="1:13">
      <c r="A212" t="s">
        <v>851</v>
      </c>
      <c r="B212" t="s">
        <v>687</v>
      </c>
      <c r="C212" t="s">
        <v>687</v>
      </c>
      <c r="D212" t="s">
        <v>24</v>
      </c>
      <c r="E212" t="s">
        <v>461</v>
      </c>
      <c r="F212" t="s">
        <v>668</v>
      </c>
      <c r="G212">
        <v>2035</v>
      </c>
      <c r="H212" s="12">
        <v>94.23</v>
      </c>
      <c r="I212" t="s">
        <v>3183</v>
      </c>
      <c r="J212" t="s">
        <v>14</v>
      </c>
      <c r="K212" t="s">
        <v>147</v>
      </c>
      <c r="L212" t="s">
        <v>3184</v>
      </c>
      <c r="M212" t="s">
        <v>14</v>
      </c>
    </row>
    <row r="213" spans="1:13">
      <c r="A213" t="s">
        <v>851</v>
      </c>
      <c r="B213" t="s">
        <v>687</v>
      </c>
      <c r="C213" t="s">
        <v>687</v>
      </c>
      <c r="D213" t="s">
        <v>24</v>
      </c>
      <c r="E213" t="s">
        <v>461</v>
      </c>
      <c r="F213" t="s">
        <v>668</v>
      </c>
      <c r="G213">
        <v>2040</v>
      </c>
      <c r="H213" s="12">
        <v>106.82</v>
      </c>
      <c r="I213" t="s">
        <v>3183</v>
      </c>
      <c r="J213" t="s">
        <v>14</v>
      </c>
      <c r="K213" t="s">
        <v>147</v>
      </c>
      <c r="L213" t="s">
        <v>3184</v>
      </c>
      <c r="M213" t="s">
        <v>14</v>
      </c>
    </row>
    <row r="214" spans="1:13">
      <c r="A214" t="s">
        <v>851</v>
      </c>
      <c r="B214" t="s">
        <v>687</v>
      </c>
      <c r="C214" t="s">
        <v>687</v>
      </c>
      <c r="D214" t="s">
        <v>24</v>
      </c>
      <c r="E214" t="s">
        <v>461</v>
      </c>
      <c r="F214" t="s">
        <v>668</v>
      </c>
      <c r="G214">
        <v>2045</v>
      </c>
      <c r="H214" s="12">
        <v>116.6</v>
      </c>
      <c r="I214" t="s">
        <v>3183</v>
      </c>
      <c r="J214" t="s">
        <v>14</v>
      </c>
      <c r="K214" t="s">
        <v>147</v>
      </c>
      <c r="L214" t="s">
        <v>3184</v>
      </c>
      <c r="M214" t="s">
        <v>14</v>
      </c>
    </row>
    <row r="215" spans="1:13">
      <c r="A215" t="s">
        <v>851</v>
      </c>
      <c r="B215" t="s">
        <v>687</v>
      </c>
      <c r="C215" t="s">
        <v>687</v>
      </c>
      <c r="D215" t="s">
        <v>24</v>
      </c>
      <c r="E215" t="s">
        <v>461</v>
      </c>
      <c r="F215" t="s">
        <v>668</v>
      </c>
      <c r="G215">
        <v>2050</v>
      </c>
      <c r="H215" s="12">
        <v>122.87</v>
      </c>
      <c r="I215" t="s">
        <v>3183</v>
      </c>
      <c r="J215" t="s">
        <v>14</v>
      </c>
      <c r="K215" t="s">
        <v>147</v>
      </c>
      <c r="L215" t="s">
        <v>3184</v>
      </c>
      <c r="M215" t="s">
        <v>14</v>
      </c>
    </row>
    <row r="216" spans="1:13">
      <c r="A216" t="s">
        <v>851</v>
      </c>
      <c r="B216" t="s">
        <v>686</v>
      </c>
      <c r="C216" t="s">
        <v>686</v>
      </c>
      <c r="D216" t="s">
        <v>24</v>
      </c>
      <c r="E216" t="s">
        <v>461</v>
      </c>
      <c r="F216" t="s">
        <v>668</v>
      </c>
      <c r="G216">
        <v>2010</v>
      </c>
      <c r="H216" s="12">
        <v>20.61</v>
      </c>
      <c r="I216" t="s">
        <v>3183</v>
      </c>
      <c r="J216" t="s">
        <v>41</v>
      </c>
      <c r="K216" t="s">
        <v>147</v>
      </c>
      <c r="L216" t="s">
        <v>3184</v>
      </c>
      <c r="M216" t="s">
        <v>669</v>
      </c>
    </row>
    <row r="217" spans="1:13">
      <c r="A217" t="s">
        <v>851</v>
      </c>
      <c r="B217" t="s">
        <v>686</v>
      </c>
      <c r="C217" t="s">
        <v>686</v>
      </c>
      <c r="D217" t="s">
        <v>24</v>
      </c>
      <c r="E217" t="s">
        <v>461</v>
      </c>
      <c r="F217" t="s">
        <v>668</v>
      </c>
      <c r="G217">
        <v>2015</v>
      </c>
      <c r="H217" s="12">
        <v>25.15</v>
      </c>
      <c r="I217" t="s">
        <v>3183</v>
      </c>
      <c r="J217" t="s">
        <v>41</v>
      </c>
      <c r="K217" t="s">
        <v>147</v>
      </c>
      <c r="L217" t="s">
        <v>3184</v>
      </c>
      <c r="M217" t="s">
        <v>669</v>
      </c>
    </row>
    <row r="218" spans="1:13">
      <c r="A218" t="s">
        <v>851</v>
      </c>
      <c r="B218" t="s">
        <v>686</v>
      </c>
      <c r="C218" t="s">
        <v>686</v>
      </c>
      <c r="D218" t="s">
        <v>24</v>
      </c>
      <c r="E218" t="s">
        <v>461</v>
      </c>
      <c r="F218" t="s">
        <v>668</v>
      </c>
      <c r="G218">
        <v>2020</v>
      </c>
      <c r="H218" s="12">
        <v>45.87</v>
      </c>
      <c r="I218" t="s">
        <v>3183</v>
      </c>
      <c r="J218" t="s">
        <v>41</v>
      </c>
      <c r="K218" t="s">
        <v>147</v>
      </c>
      <c r="L218" t="s">
        <v>3184</v>
      </c>
      <c r="M218" t="s">
        <v>669</v>
      </c>
    </row>
    <row r="219" spans="1:13">
      <c r="A219" t="s">
        <v>851</v>
      </c>
      <c r="B219" t="s">
        <v>686</v>
      </c>
      <c r="C219" t="s">
        <v>686</v>
      </c>
      <c r="D219" t="s">
        <v>24</v>
      </c>
      <c r="E219" t="s">
        <v>461</v>
      </c>
      <c r="F219" t="s">
        <v>668</v>
      </c>
      <c r="G219">
        <v>2030</v>
      </c>
      <c r="H219" s="12">
        <v>58.04</v>
      </c>
      <c r="I219" t="s">
        <v>3183</v>
      </c>
      <c r="J219" t="s">
        <v>41</v>
      </c>
      <c r="K219" t="s">
        <v>147</v>
      </c>
      <c r="L219" t="s">
        <v>3184</v>
      </c>
      <c r="M219" t="s">
        <v>669</v>
      </c>
    </row>
    <row r="220" spans="1:13">
      <c r="A220" t="s">
        <v>851</v>
      </c>
      <c r="B220" t="s">
        <v>686</v>
      </c>
      <c r="C220" t="s">
        <v>686</v>
      </c>
      <c r="D220" t="s">
        <v>24</v>
      </c>
      <c r="E220" t="s">
        <v>461</v>
      </c>
      <c r="F220" t="s">
        <v>668</v>
      </c>
      <c r="G220">
        <v>2035</v>
      </c>
      <c r="H220" s="12">
        <v>61.09</v>
      </c>
      <c r="I220" t="s">
        <v>3183</v>
      </c>
      <c r="J220" t="s">
        <v>41</v>
      </c>
      <c r="K220" t="s">
        <v>147</v>
      </c>
      <c r="L220" t="s">
        <v>3184</v>
      </c>
      <c r="M220" t="s">
        <v>669</v>
      </c>
    </row>
    <row r="221" spans="1:13">
      <c r="A221" t="s">
        <v>851</v>
      </c>
      <c r="B221" t="s">
        <v>686</v>
      </c>
      <c r="C221" t="s">
        <v>686</v>
      </c>
      <c r="D221" t="s">
        <v>24</v>
      </c>
      <c r="E221" t="s">
        <v>461</v>
      </c>
      <c r="F221" t="s">
        <v>668</v>
      </c>
      <c r="G221">
        <v>2040</v>
      </c>
      <c r="H221" s="12">
        <v>64.12</v>
      </c>
      <c r="I221" t="s">
        <v>3183</v>
      </c>
      <c r="J221" t="s">
        <v>41</v>
      </c>
      <c r="K221" t="s">
        <v>147</v>
      </c>
      <c r="L221" t="s">
        <v>3184</v>
      </c>
      <c r="M221" t="s">
        <v>669</v>
      </c>
    </row>
    <row r="222" spans="1:13">
      <c r="A222" t="s">
        <v>851</v>
      </c>
      <c r="B222" t="s">
        <v>686</v>
      </c>
      <c r="C222" t="s">
        <v>686</v>
      </c>
      <c r="D222" t="s">
        <v>24</v>
      </c>
      <c r="E222" t="s">
        <v>461</v>
      </c>
      <c r="F222" t="s">
        <v>668</v>
      </c>
      <c r="G222">
        <v>2045</v>
      </c>
      <c r="H222" s="12">
        <v>66.77</v>
      </c>
      <c r="I222" t="s">
        <v>3183</v>
      </c>
      <c r="J222" t="s">
        <v>41</v>
      </c>
      <c r="K222" t="s">
        <v>147</v>
      </c>
      <c r="L222" t="s">
        <v>3184</v>
      </c>
      <c r="M222" t="s">
        <v>669</v>
      </c>
    </row>
    <row r="223" spans="1:13">
      <c r="A223" t="s">
        <v>851</v>
      </c>
      <c r="B223" t="s">
        <v>686</v>
      </c>
      <c r="C223" t="s">
        <v>686</v>
      </c>
      <c r="D223" t="s">
        <v>24</v>
      </c>
      <c r="E223" t="s">
        <v>461</v>
      </c>
      <c r="F223" t="s">
        <v>668</v>
      </c>
      <c r="G223">
        <v>2050</v>
      </c>
      <c r="H223" s="12">
        <v>69.47</v>
      </c>
      <c r="I223" t="s">
        <v>3183</v>
      </c>
      <c r="J223" t="s">
        <v>41</v>
      </c>
      <c r="K223" t="s">
        <v>147</v>
      </c>
      <c r="L223" t="s">
        <v>3184</v>
      </c>
      <c r="M223" t="s">
        <v>669</v>
      </c>
    </row>
    <row r="224" spans="1:13">
      <c r="A224" t="s">
        <v>851</v>
      </c>
      <c r="B224" t="s">
        <v>687</v>
      </c>
      <c r="C224" t="s">
        <v>687</v>
      </c>
      <c r="D224" t="s">
        <v>24</v>
      </c>
      <c r="E224" t="s">
        <v>461</v>
      </c>
      <c r="F224" t="s">
        <v>668</v>
      </c>
      <c r="G224">
        <v>2030</v>
      </c>
      <c r="H224" s="12">
        <v>65.95</v>
      </c>
      <c r="I224" t="s">
        <v>3183</v>
      </c>
      <c r="J224" t="s">
        <v>41</v>
      </c>
      <c r="K224" t="s">
        <v>147</v>
      </c>
      <c r="L224" t="s">
        <v>3184</v>
      </c>
      <c r="M224" t="s">
        <v>669</v>
      </c>
    </row>
    <row r="225" spans="1:13">
      <c r="A225" t="s">
        <v>851</v>
      </c>
      <c r="B225" t="s">
        <v>687</v>
      </c>
      <c r="C225" t="s">
        <v>687</v>
      </c>
      <c r="D225" t="s">
        <v>24</v>
      </c>
      <c r="E225" t="s">
        <v>461</v>
      </c>
      <c r="F225" t="s">
        <v>668</v>
      </c>
      <c r="G225">
        <v>2035</v>
      </c>
      <c r="H225" s="12">
        <v>82.64</v>
      </c>
      <c r="I225" t="s">
        <v>3183</v>
      </c>
      <c r="J225" t="s">
        <v>41</v>
      </c>
      <c r="K225" t="s">
        <v>147</v>
      </c>
      <c r="L225" t="s">
        <v>3184</v>
      </c>
      <c r="M225" t="s">
        <v>669</v>
      </c>
    </row>
    <row r="226" spans="1:13">
      <c r="A226" t="s">
        <v>851</v>
      </c>
      <c r="B226" t="s">
        <v>687</v>
      </c>
      <c r="C226" t="s">
        <v>687</v>
      </c>
      <c r="D226" t="s">
        <v>24</v>
      </c>
      <c r="E226" t="s">
        <v>461</v>
      </c>
      <c r="F226" t="s">
        <v>668</v>
      </c>
      <c r="G226">
        <v>2040</v>
      </c>
      <c r="H226" s="12">
        <v>91.76</v>
      </c>
      <c r="I226" t="s">
        <v>3183</v>
      </c>
      <c r="J226" t="s">
        <v>41</v>
      </c>
      <c r="K226" t="s">
        <v>147</v>
      </c>
      <c r="L226" t="s">
        <v>3184</v>
      </c>
      <c r="M226" t="s">
        <v>669</v>
      </c>
    </row>
    <row r="227" spans="1:13">
      <c r="A227" t="s">
        <v>851</v>
      </c>
      <c r="B227" t="s">
        <v>687</v>
      </c>
      <c r="C227" t="s">
        <v>687</v>
      </c>
      <c r="D227" t="s">
        <v>24</v>
      </c>
      <c r="E227" t="s">
        <v>461</v>
      </c>
      <c r="F227" t="s">
        <v>668</v>
      </c>
      <c r="G227">
        <v>2045</v>
      </c>
      <c r="H227" s="12">
        <v>94.18</v>
      </c>
      <c r="I227" t="s">
        <v>3183</v>
      </c>
      <c r="J227" t="s">
        <v>41</v>
      </c>
      <c r="K227" t="s">
        <v>147</v>
      </c>
      <c r="L227" t="s">
        <v>3184</v>
      </c>
      <c r="M227" t="s">
        <v>669</v>
      </c>
    </row>
    <row r="228" spans="1:13">
      <c r="A228" t="s">
        <v>851</v>
      </c>
      <c r="B228" t="s">
        <v>687</v>
      </c>
      <c r="C228" t="s">
        <v>687</v>
      </c>
      <c r="D228" t="s">
        <v>24</v>
      </c>
      <c r="E228" t="s">
        <v>461</v>
      </c>
      <c r="F228" t="s">
        <v>668</v>
      </c>
      <c r="G228">
        <v>2050</v>
      </c>
      <c r="H228" s="12">
        <v>97.39</v>
      </c>
      <c r="I228" t="s">
        <v>3183</v>
      </c>
      <c r="J228" t="s">
        <v>41</v>
      </c>
      <c r="K228" t="s">
        <v>147</v>
      </c>
      <c r="L228" t="s">
        <v>3184</v>
      </c>
      <c r="M228" t="s">
        <v>669</v>
      </c>
    </row>
    <row r="229" spans="1:13">
      <c r="A229" t="s">
        <v>851</v>
      </c>
      <c r="B229" t="s">
        <v>686</v>
      </c>
      <c r="C229" t="s">
        <v>686</v>
      </c>
      <c r="D229" t="s">
        <v>24</v>
      </c>
      <c r="E229" t="s">
        <v>461</v>
      </c>
      <c r="F229" t="s">
        <v>668</v>
      </c>
      <c r="G229">
        <v>2010</v>
      </c>
      <c r="H229" s="12">
        <v>288.23</v>
      </c>
      <c r="I229" t="s">
        <v>3183</v>
      </c>
      <c r="J229" t="s">
        <v>15</v>
      </c>
      <c r="K229" t="s">
        <v>147</v>
      </c>
      <c r="L229" t="s">
        <v>3184</v>
      </c>
      <c r="M229" t="s">
        <v>15</v>
      </c>
    </row>
    <row r="230" spans="1:13">
      <c r="A230" t="s">
        <v>851</v>
      </c>
      <c r="B230" t="s">
        <v>686</v>
      </c>
      <c r="C230" t="s">
        <v>686</v>
      </c>
      <c r="D230" t="s">
        <v>24</v>
      </c>
      <c r="E230" t="s">
        <v>461</v>
      </c>
      <c r="F230" t="s">
        <v>668</v>
      </c>
      <c r="G230">
        <v>2015</v>
      </c>
      <c r="H230" s="12">
        <v>9.44</v>
      </c>
      <c r="I230" t="s">
        <v>3183</v>
      </c>
      <c r="J230" t="s">
        <v>15</v>
      </c>
      <c r="K230" t="s">
        <v>147</v>
      </c>
      <c r="L230" t="s">
        <v>3184</v>
      </c>
      <c r="M230" t="s">
        <v>15</v>
      </c>
    </row>
    <row r="231" spans="1:13">
      <c r="A231" t="s">
        <v>851</v>
      </c>
      <c r="B231" t="s">
        <v>686</v>
      </c>
      <c r="C231" t="s">
        <v>686</v>
      </c>
      <c r="D231" t="s">
        <v>24</v>
      </c>
      <c r="E231" t="s">
        <v>461</v>
      </c>
      <c r="F231" t="s">
        <v>668</v>
      </c>
      <c r="G231">
        <v>2020</v>
      </c>
      <c r="H231" s="12">
        <v>38.75</v>
      </c>
      <c r="I231" t="s">
        <v>3183</v>
      </c>
      <c r="J231" t="s">
        <v>15</v>
      </c>
      <c r="K231" t="s">
        <v>147</v>
      </c>
      <c r="L231" t="s">
        <v>3184</v>
      </c>
      <c r="M231" t="s">
        <v>15</v>
      </c>
    </row>
    <row r="232" spans="1:13">
      <c r="A232" t="s">
        <v>851</v>
      </c>
      <c r="B232" t="s">
        <v>686</v>
      </c>
      <c r="C232" t="s">
        <v>686</v>
      </c>
      <c r="D232" t="s">
        <v>24</v>
      </c>
      <c r="E232" t="s">
        <v>461</v>
      </c>
      <c r="F232" t="s">
        <v>668</v>
      </c>
      <c r="G232">
        <v>2010</v>
      </c>
      <c r="H232" s="12">
        <v>317.24</v>
      </c>
      <c r="I232" t="s">
        <v>3183</v>
      </c>
      <c r="J232" t="s">
        <v>5</v>
      </c>
      <c r="K232" t="s">
        <v>147</v>
      </c>
      <c r="L232" t="s">
        <v>3184</v>
      </c>
      <c r="M232" t="s">
        <v>665</v>
      </c>
    </row>
    <row r="233" spans="1:13">
      <c r="A233" t="s">
        <v>851</v>
      </c>
      <c r="B233" t="s">
        <v>686</v>
      </c>
      <c r="C233" t="s">
        <v>686</v>
      </c>
      <c r="D233" t="s">
        <v>24</v>
      </c>
      <c r="E233" t="s">
        <v>461</v>
      </c>
      <c r="F233" t="s">
        <v>668</v>
      </c>
      <c r="G233">
        <v>2015</v>
      </c>
      <c r="H233" s="12">
        <v>353.15</v>
      </c>
      <c r="I233" t="s">
        <v>3183</v>
      </c>
      <c r="J233" t="s">
        <v>5</v>
      </c>
      <c r="K233" t="s">
        <v>147</v>
      </c>
      <c r="L233" t="s">
        <v>3184</v>
      </c>
      <c r="M233" t="s">
        <v>665</v>
      </c>
    </row>
    <row r="234" spans="1:13">
      <c r="A234" t="s">
        <v>851</v>
      </c>
      <c r="B234" t="s">
        <v>686</v>
      </c>
      <c r="C234" t="s">
        <v>686</v>
      </c>
      <c r="D234" t="s">
        <v>24</v>
      </c>
      <c r="E234" t="s">
        <v>461</v>
      </c>
      <c r="F234" t="s">
        <v>668</v>
      </c>
      <c r="G234">
        <v>2020</v>
      </c>
      <c r="H234" s="12">
        <v>310.95999999999998</v>
      </c>
      <c r="I234" t="s">
        <v>3183</v>
      </c>
      <c r="J234" t="s">
        <v>5</v>
      </c>
      <c r="K234" t="s">
        <v>147</v>
      </c>
      <c r="L234" t="s">
        <v>3184</v>
      </c>
      <c r="M234" t="s">
        <v>665</v>
      </c>
    </row>
    <row r="235" spans="1:13">
      <c r="A235" t="s">
        <v>851</v>
      </c>
      <c r="B235" t="s">
        <v>686</v>
      </c>
      <c r="C235" t="s">
        <v>686</v>
      </c>
      <c r="D235" t="s">
        <v>24</v>
      </c>
      <c r="E235" t="s">
        <v>461</v>
      </c>
      <c r="F235" t="s">
        <v>668</v>
      </c>
      <c r="G235">
        <v>2030</v>
      </c>
      <c r="H235" s="12">
        <v>187.29</v>
      </c>
      <c r="I235" t="s">
        <v>3183</v>
      </c>
      <c r="J235" t="s">
        <v>5</v>
      </c>
      <c r="K235" t="s">
        <v>147</v>
      </c>
      <c r="L235" t="s">
        <v>3184</v>
      </c>
      <c r="M235" t="s">
        <v>665</v>
      </c>
    </row>
    <row r="236" spans="1:13">
      <c r="A236" t="s">
        <v>851</v>
      </c>
      <c r="B236" t="s">
        <v>686</v>
      </c>
      <c r="C236" t="s">
        <v>686</v>
      </c>
      <c r="D236" t="s">
        <v>24</v>
      </c>
      <c r="E236" t="s">
        <v>461</v>
      </c>
      <c r="F236" t="s">
        <v>668</v>
      </c>
      <c r="G236">
        <v>2035</v>
      </c>
      <c r="H236" s="12">
        <v>163.22999999999999</v>
      </c>
      <c r="I236" t="s">
        <v>3183</v>
      </c>
      <c r="J236" t="s">
        <v>5</v>
      </c>
      <c r="K236" t="s">
        <v>147</v>
      </c>
      <c r="L236" t="s">
        <v>3184</v>
      </c>
      <c r="M236" t="s">
        <v>665</v>
      </c>
    </row>
    <row r="237" spans="1:13">
      <c r="A237" t="s">
        <v>851</v>
      </c>
      <c r="B237" t="s">
        <v>686</v>
      </c>
      <c r="C237" t="s">
        <v>686</v>
      </c>
      <c r="D237" t="s">
        <v>24</v>
      </c>
      <c r="E237" t="s">
        <v>461</v>
      </c>
      <c r="F237" t="s">
        <v>668</v>
      </c>
      <c r="G237">
        <v>2040</v>
      </c>
      <c r="H237" s="12">
        <v>146.52000000000001</v>
      </c>
      <c r="I237" t="s">
        <v>3183</v>
      </c>
      <c r="J237" t="s">
        <v>5</v>
      </c>
      <c r="K237" t="s">
        <v>147</v>
      </c>
      <c r="L237" t="s">
        <v>3184</v>
      </c>
      <c r="M237" t="s">
        <v>665</v>
      </c>
    </row>
    <row r="238" spans="1:13">
      <c r="A238" t="s">
        <v>851</v>
      </c>
      <c r="B238" t="s">
        <v>686</v>
      </c>
      <c r="C238" t="s">
        <v>686</v>
      </c>
      <c r="D238" t="s">
        <v>24</v>
      </c>
      <c r="E238" t="s">
        <v>461</v>
      </c>
      <c r="F238" t="s">
        <v>668</v>
      </c>
      <c r="G238">
        <v>2045</v>
      </c>
      <c r="H238" s="12">
        <v>107.58</v>
      </c>
      <c r="I238" t="s">
        <v>3183</v>
      </c>
      <c r="J238" t="s">
        <v>5</v>
      </c>
      <c r="K238" t="s">
        <v>147</v>
      </c>
      <c r="L238" t="s">
        <v>3184</v>
      </c>
      <c r="M238" t="s">
        <v>665</v>
      </c>
    </row>
    <row r="239" spans="1:13">
      <c r="A239" t="s">
        <v>851</v>
      </c>
      <c r="B239" t="s">
        <v>686</v>
      </c>
      <c r="C239" t="s">
        <v>686</v>
      </c>
      <c r="D239" t="s">
        <v>24</v>
      </c>
      <c r="E239" t="s">
        <v>461</v>
      </c>
      <c r="F239" t="s">
        <v>668</v>
      </c>
      <c r="G239">
        <v>2050</v>
      </c>
      <c r="H239" s="12">
        <v>62.9</v>
      </c>
      <c r="I239" t="s">
        <v>3183</v>
      </c>
      <c r="J239" t="s">
        <v>5</v>
      </c>
      <c r="K239" t="s">
        <v>147</v>
      </c>
      <c r="L239" t="s">
        <v>3184</v>
      </c>
      <c r="M239" t="s">
        <v>665</v>
      </c>
    </row>
    <row r="240" spans="1:13">
      <c r="A240" t="s">
        <v>851</v>
      </c>
      <c r="B240" t="s">
        <v>687</v>
      </c>
      <c r="C240" t="s">
        <v>687</v>
      </c>
      <c r="D240" t="s">
        <v>24</v>
      </c>
      <c r="E240" t="s">
        <v>461</v>
      </c>
      <c r="F240" t="s">
        <v>668</v>
      </c>
      <c r="G240">
        <v>2030</v>
      </c>
      <c r="H240" s="12">
        <v>185.81</v>
      </c>
      <c r="I240" t="s">
        <v>3183</v>
      </c>
      <c r="J240" t="s">
        <v>5</v>
      </c>
      <c r="K240" t="s">
        <v>147</v>
      </c>
      <c r="L240" t="s">
        <v>3184</v>
      </c>
      <c r="M240" t="s">
        <v>665</v>
      </c>
    </row>
    <row r="241" spans="1:13">
      <c r="A241" t="s">
        <v>851</v>
      </c>
      <c r="B241" t="s">
        <v>687</v>
      </c>
      <c r="C241" t="s">
        <v>687</v>
      </c>
      <c r="D241" t="s">
        <v>24</v>
      </c>
      <c r="E241" t="s">
        <v>461</v>
      </c>
      <c r="F241" t="s">
        <v>668</v>
      </c>
      <c r="G241">
        <v>2035</v>
      </c>
      <c r="H241" s="12">
        <v>106.79</v>
      </c>
      <c r="I241" t="s">
        <v>3183</v>
      </c>
      <c r="J241" t="s">
        <v>5</v>
      </c>
      <c r="K241" t="s">
        <v>147</v>
      </c>
      <c r="L241" t="s">
        <v>3184</v>
      </c>
      <c r="M241" t="s">
        <v>665</v>
      </c>
    </row>
    <row r="242" spans="1:13">
      <c r="A242" t="s">
        <v>851</v>
      </c>
      <c r="B242" t="s">
        <v>687</v>
      </c>
      <c r="C242" t="s">
        <v>687</v>
      </c>
      <c r="D242" t="s">
        <v>24</v>
      </c>
      <c r="E242" t="s">
        <v>461</v>
      </c>
      <c r="F242" t="s">
        <v>668</v>
      </c>
      <c r="G242">
        <v>2040</v>
      </c>
      <c r="H242" s="12">
        <v>61.84</v>
      </c>
      <c r="I242" t="s">
        <v>3183</v>
      </c>
      <c r="J242" t="s">
        <v>5</v>
      </c>
      <c r="K242" t="s">
        <v>147</v>
      </c>
      <c r="L242" t="s">
        <v>3184</v>
      </c>
      <c r="M242" t="s">
        <v>665</v>
      </c>
    </row>
    <row r="243" spans="1:13">
      <c r="A243" t="s">
        <v>851</v>
      </c>
      <c r="B243" t="s">
        <v>687</v>
      </c>
      <c r="C243" t="s">
        <v>687</v>
      </c>
      <c r="D243" t="s">
        <v>24</v>
      </c>
      <c r="E243" t="s">
        <v>461</v>
      </c>
      <c r="F243" t="s">
        <v>668</v>
      </c>
      <c r="G243">
        <v>2045</v>
      </c>
      <c r="H243" s="12">
        <v>29.96</v>
      </c>
      <c r="I243" t="s">
        <v>3183</v>
      </c>
      <c r="J243" t="s">
        <v>5</v>
      </c>
      <c r="K243" t="s">
        <v>147</v>
      </c>
      <c r="L243" t="s">
        <v>3184</v>
      </c>
      <c r="M243" t="s">
        <v>665</v>
      </c>
    </row>
    <row r="244" spans="1:13">
      <c r="A244" t="s">
        <v>851</v>
      </c>
      <c r="B244" t="s">
        <v>687</v>
      </c>
      <c r="C244" t="s">
        <v>687</v>
      </c>
      <c r="D244" t="s">
        <v>24</v>
      </c>
      <c r="E244" t="s">
        <v>461</v>
      </c>
      <c r="F244" t="s">
        <v>668</v>
      </c>
      <c r="G244">
        <v>2050</v>
      </c>
      <c r="H244" s="12">
        <v>0</v>
      </c>
      <c r="I244" t="s">
        <v>3183</v>
      </c>
      <c r="J244" t="s">
        <v>5</v>
      </c>
      <c r="K244" t="s">
        <v>147</v>
      </c>
      <c r="L244" t="s">
        <v>3184</v>
      </c>
      <c r="M244" t="s">
        <v>665</v>
      </c>
    </row>
    <row r="245" spans="1:13">
      <c r="A245" t="s">
        <v>851</v>
      </c>
      <c r="B245" t="s">
        <v>686</v>
      </c>
      <c r="C245" t="s">
        <v>686</v>
      </c>
      <c r="D245" t="s">
        <v>24</v>
      </c>
      <c r="E245" t="s">
        <v>461</v>
      </c>
      <c r="F245" t="s">
        <v>668</v>
      </c>
      <c r="G245">
        <v>2010</v>
      </c>
      <c r="H245" s="12">
        <v>332.28</v>
      </c>
      <c r="I245" t="s">
        <v>3183</v>
      </c>
      <c r="J245" t="s">
        <v>6</v>
      </c>
      <c r="K245" t="s">
        <v>147</v>
      </c>
      <c r="L245" t="s">
        <v>3184</v>
      </c>
      <c r="M245" t="s">
        <v>666</v>
      </c>
    </row>
    <row r="246" spans="1:13">
      <c r="A246" t="s">
        <v>851</v>
      </c>
      <c r="B246" t="s">
        <v>686</v>
      </c>
      <c r="C246" t="s">
        <v>686</v>
      </c>
      <c r="D246" t="s">
        <v>24</v>
      </c>
      <c r="E246" t="s">
        <v>461</v>
      </c>
      <c r="F246" t="s">
        <v>668</v>
      </c>
      <c r="G246">
        <v>2015</v>
      </c>
      <c r="H246" s="12">
        <v>424.3</v>
      </c>
      <c r="I246" t="s">
        <v>3183</v>
      </c>
      <c r="J246" t="s">
        <v>6</v>
      </c>
      <c r="K246" t="s">
        <v>147</v>
      </c>
      <c r="L246" t="s">
        <v>3184</v>
      </c>
      <c r="M246" t="s">
        <v>666</v>
      </c>
    </row>
    <row r="247" spans="1:13">
      <c r="A247" t="s">
        <v>851</v>
      </c>
      <c r="B247" t="s">
        <v>686</v>
      </c>
      <c r="C247" t="s">
        <v>686</v>
      </c>
      <c r="D247" t="s">
        <v>24</v>
      </c>
      <c r="E247" t="s">
        <v>461</v>
      </c>
      <c r="F247" t="s">
        <v>668</v>
      </c>
      <c r="G247">
        <v>2020</v>
      </c>
      <c r="H247" s="12">
        <v>394.81</v>
      </c>
      <c r="I247" t="s">
        <v>3183</v>
      </c>
      <c r="J247" t="s">
        <v>6</v>
      </c>
      <c r="K247" t="s">
        <v>147</v>
      </c>
      <c r="L247" t="s">
        <v>3184</v>
      </c>
      <c r="M247" t="s">
        <v>666</v>
      </c>
    </row>
    <row r="248" spans="1:13">
      <c r="A248" t="s">
        <v>851</v>
      </c>
      <c r="B248" t="s">
        <v>686</v>
      </c>
      <c r="C248" t="s">
        <v>686</v>
      </c>
      <c r="D248" t="s">
        <v>24</v>
      </c>
      <c r="E248" t="s">
        <v>461</v>
      </c>
      <c r="F248" t="s">
        <v>668</v>
      </c>
      <c r="G248">
        <v>2030</v>
      </c>
      <c r="H248" s="12">
        <v>197.6</v>
      </c>
      <c r="I248" t="s">
        <v>3183</v>
      </c>
      <c r="J248" t="s">
        <v>6</v>
      </c>
      <c r="K248" t="s">
        <v>147</v>
      </c>
      <c r="L248" t="s">
        <v>3184</v>
      </c>
      <c r="M248" t="s">
        <v>666</v>
      </c>
    </row>
    <row r="249" spans="1:13">
      <c r="A249" t="s">
        <v>851</v>
      </c>
      <c r="B249" t="s">
        <v>686</v>
      </c>
      <c r="C249" t="s">
        <v>686</v>
      </c>
      <c r="D249" t="s">
        <v>24</v>
      </c>
      <c r="E249" t="s">
        <v>461</v>
      </c>
      <c r="F249" t="s">
        <v>668</v>
      </c>
      <c r="G249">
        <v>2035</v>
      </c>
      <c r="H249" s="12">
        <v>124.79</v>
      </c>
      <c r="I249" t="s">
        <v>3183</v>
      </c>
      <c r="J249" t="s">
        <v>6</v>
      </c>
      <c r="K249" t="s">
        <v>147</v>
      </c>
      <c r="L249" t="s">
        <v>3184</v>
      </c>
      <c r="M249" t="s">
        <v>666</v>
      </c>
    </row>
    <row r="250" spans="1:13">
      <c r="A250" t="s">
        <v>851</v>
      </c>
      <c r="B250" t="s">
        <v>686</v>
      </c>
      <c r="C250" t="s">
        <v>686</v>
      </c>
      <c r="D250" t="s">
        <v>24</v>
      </c>
      <c r="E250" t="s">
        <v>461</v>
      </c>
      <c r="F250" t="s">
        <v>668</v>
      </c>
      <c r="G250">
        <v>2040</v>
      </c>
      <c r="H250" s="12">
        <v>66.91</v>
      </c>
      <c r="I250" t="s">
        <v>3183</v>
      </c>
      <c r="J250" t="s">
        <v>6</v>
      </c>
      <c r="K250" t="s">
        <v>147</v>
      </c>
      <c r="L250" t="s">
        <v>3184</v>
      </c>
      <c r="M250" t="s">
        <v>666</v>
      </c>
    </row>
    <row r="251" spans="1:13">
      <c r="A251" t="s">
        <v>851</v>
      </c>
      <c r="B251" t="s">
        <v>686</v>
      </c>
      <c r="C251" t="s">
        <v>686</v>
      </c>
      <c r="D251" t="s">
        <v>24</v>
      </c>
      <c r="E251" t="s">
        <v>461</v>
      </c>
      <c r="F251" t="s">
        <v>668</v>
      </c>
      <c r="G251">
        <v>2045</v>
      </c>
      <c r="H251" s="12">
        <v>59.13</v>
      </c>
      <c r="I251" t="s">
        <v>3183</v>
      </c>
      <c r="J251" t="s">
        <v>6</v>
      </c>
      <c r="K251" t="s">
        <v>147</v>
      </c>
      <c r="L251" t="s">
        <v>3184</v>
      </c>
      <c r="M251" t="s">
        <v>666</v>
      </c>
    </row>
    <row r="252" spans="1:13">
      <c r="A252" t="s">
        <v>851</v>
      </c>
      <c r="B252" t="s">
        <v>686</v>
      </c>
      <c r="C252" t="s">
        <v>686</v>
      </c>
      <c r="D252" t="s">
        <v>24</v>
      </c>
      <c r="E252" t="s">
        <v>461</v>
      </c>
      <c r="F252" t="s">
        <v>668</v>
      </c>
      <c r="G252">
        <v>2050</v>
      </c>
      <c r="H252" s="12">
        <v>74.25</v>
      </c>
      <c r="I252" t="s">
        <v>3183</v>
      </c>
      <c r="J252" t="s">
        <v>6</v>
      </c>
      <c r="K252" t="s">
        <v>147</v>
      </c>
      <c r="L252" t="s">
        <v>3184</v>
      </c>
      <c r="M252" t="s">
        <v>666</v>
      </c>
    </row>
    <row r="253" spans="1:13">
      <c r="A253" t="s">
        <v>851</v>
      </c>
      <c r="B253" t="s">
        <v>687</v>
      </c>
      <c r="C253" t="s">
        <v>687</v>
      </c>
      <c r="D253" t="s">
        <v>24</v>
      </c>
      <c r="E253" t="s">
        <v>461</v>
      </c>
      <c r="F253" t="s">
        <v>668</v>
      </c>
      <c r="G253">
        <v>2030</v>
      </c>
      <c r="H253" s="12">
        <v>189.55</v>
      </c>
      <c r="I253" t="s">
        <v>3183</v>
      </c>
      <c r="J253" t="s">
        <v>6</v>
      </c>
      <c r="K253" t="s">
        <v>147</v>
      </c>
      <c r="L253" t="s">
        <v>3184</v>
      </c>
      <c r="M253" t="s">
        <v>666</v>
      </c>
    </row>
    <row r="254" spans="1:13">
      <c r="A254" t="s">
        <v>851</v>
      </c>
      <c r="B254" t="s">
        <v>687</v>
      </c>
      <c r="C254" t="s">
        <v>687</v>
      </c>
      <c r="D254" t="s">
        <v>24</v>
      </c>
      <c r="E254" t="s">
        <v>461</v>
      </c>
      <c r="F254" t="s">
        <v>668</v>
      </c>
      <c r="G254">
        <v>2035</v>
      </c>
      <c r="H254" s="12">
        <v>123.57</v>
      </c>
      <c r="I254" t="s">
        <v>3183</v>
      </c>
      <c r="J254" t="s">
        <v>6</v>
      </c>
      <c r="K254" t="s">
        <v>147</v>
      </c>
      <c r="L254" t="s">
        <v>3184</v>
      </c>
      <c r="M254" t="s">
        <v>666</v>
      </c>
    </row>
    <row r="255" spans="1:13">
      <c r="A255" t="s">
        <v>851</v>
      </c>
      <c r="B255" t="s">
        <v>687</v>
      </c>
      <c r="C255" t="s">
        <v>687</v>
      </c>
      <c r="D255" t="s">
        <v>24</v>
      </c>
      <c r="E255" t="s">
        <v>461</v>
      </c>
      <c r="F255" t="s">
        <v>668</v>
      </c>
      <c r="G255">
        <v>2040</v>
      </c>
      <c r="H255" s="12">
        <v>31.35</v>
      </c>
      <c r="I255" t="s">
        <v>3183</v>
      </c>
      <c r="J255" t="s">
        <v>6</v>
      </c>
      <c r="K255" t="s">
        <v>147</v>
      </c>
      <c r="L255" t="s">
        <v>3184</v>
      </c>
      <c r="M255" t="s">
        <v>666</v>
      </c>
    </row>
    <row r="256" spans="1:13">
      <c r="A256" t="s">
        <v>851</v>
      </c>
      <c r="B256" t="s">
        <v>687</v>
      </c>
      <c r="C256" t="s">
        <v>687</v>
      </c>
      <c r="D256" t="s">
        <v>24</v>
      </c>
      <c r="E256" t="s">
        <v>461</v>
      </c>
      <c r="F256" t="s">
        <v>668</v>
      </c>
      <c r="G256">
        <v>2045</v>
      </c>
      <c r="H256" s="12">
        <v>1.84</v>
      </c>
      <c r="I256" t="s">
        <v>3183</v>
      </c>
      <c r="J256" t="s">
        <v>6</v>
      </c>
      <c r="K256" t="s">
        <v>147</v>
      </c>
      <c r="L256" t="s">
        <v>3184</v>
      </c>
      <c r="M256" t="s">
        <v>666</v>
      </c>
    </row>
    <row r="257" spans="1:13">
      <c r="A257" t="s">
        <v>851</v>
      </c>
      <c r="B257" t="s">
        <v>687</v>
      </c>
      <c r="C257" t="s">
        <v>687</v>
      </c>
      <c r="D257" t="s">
        <v>24</v>
      </c>
      <c r="E257" t="s">
        <v>461</v>
      </c>
      <c r="F257" t="s">
        <v>668</v>
      </c>
      <c r="G257">
        <v>2050</v>
      </c>
      <c r="H257" s="12">
        <v>0</v>
      </c>
      <c r="I257" t="s">
        <v>3183</v>
      </c>
      <c r="J257" t="s">
        <v>6</v>
      </c>
      <c r="K257" t="s">
        <v>147</v>
      </c>
      <c r="L257" t="s">
        <v>3184</v>
      </c>
      <c r="M257" t="s">
        <v>666</v>
      </c>
    </row>
    <row r="258" spans="1:13">
      <c r="A258" t="s">
        <v>851</v>
      </c>
      <c r="B258" t="s">
        <v>686</v>
      </c>
      <c r="C258" t="s">
        <v>686</v>
      </c>
      <c r="D258" t="s">
        <v>24</v>
      </c>
      <c r="E258" t="s">
        <v>461</v>
      </c>
      <c r="F258" t="s">
        <v>668</v>
      </c>
      <c r="G258">
        <v>2010</v>
      </c>
      <c r="H258" s="12">
        <v>90.81</v>
      </c>
      <c r="I258" t="s">
        <v>3183</v>
      </c>
      <c r="J258" t="s">
        <v>394</v>
      </c>
      <c r="K258" t="s">
        <v>147</v>
      </c>
      <c r="L258" t="s">
        <v>3184</v>
      </c>
      <c r="M258" t="s">
        <v>16</v>
      </c>
    </row>
    <row r="259" spans="1:13">
      <c r="A259" t="s">
        <v>851</v>
      </c>
      <c r="B259" t="s">
        <v>686</v>
      </c>
      <c r="C259" t="s">
        <v>686</v>
      </c>
      <c r="D259" t="s">
        <v>24</v>
      </c>
      <c r="E259" t="s">
        <v>461</v>
      </c>
      <c r="F259" t="s">
        <v>668</v>
      </c>
      <c r="G259">
        <v>2015</v>
      </c>
      <c r="H259" s="12">
        <v>91.46</v>
      </c>
      <c r="I259" t="s">
        <v>3183</v>
      </c>
      <c r="J259" t="s">
        <v>394</v>
      </c>
      <c r="K259" t="s">
        <v>147</v>
      </c>
      <c r="L259" t="s">
        <v>3184</v>
      </c>
      <c r="M259" t="s">
        <v>16</v>
      </c>
    </row>
    <row r="260" spans="1:13">
      <c r="A260" t="s">
        <v>851</v>
      </c>
      <c r="B260" t="s">
        <v>686</v>
      </c>
      <c r="C260" t="s">
        <v>686</v>
      </c>
      <c r="D260" t="s">
        <v>24</v>
      </c>
      <c r="E260" t="s">
        <v>461</v>
      </c>
      <c r="F260" t="s">
        <v>668</v>
      </c>
      <c r="G260">
        <v>2020</v>
      </c>
      <c r="H260" s="12">
        <v>31.88</v>
      </c>
      <c r="I260" t="s">
        <v>3183</v>
      </c>
      <c r="J260" t="s">
        <v>394</v>
      </c>
      <c r="K260" t="s">
        <v>147</v>
      </c>
      <c r="L260" t="s">
        <v>3184</v>
      </c>
      <c r="M260" t="s">
        <v>16</v>
      </c>
    </row>
    <row r="261" spans="1:13">
      <c r="A261" t="s">
        <v>851</v>
      </c>
      <c r="B261" t="s">
        <v>686</v>
      </c>
      <c r="C261" t="s">
        <v>686</v>
      </c>
      <c r="D261" t="s">
        <v>24</v>
      </c>
      <c r="E261" t="s">
        <v>461</v>
      </c>
      <c r="F261" t="s">
        <v>668</v>
      </c>
      <c r="G261">
        <v>2030</v>
      </c>
      <c r="H261" s="12">
        <v>10.039999999999999</v>
      </c>
      <c r="I261" t="s">
        <v>3183</v>
      </c>
      <c r="J261" t="s">
        <v>394</v>
      </c>
      <c r="K261" t="s">
        <v>147</v>
      </c>
      <c r="L261" t="s">
        <v>3184</v>
      </c>
      <c r="M261" t="s">
        <v>16</v>
      </c>
    </row>
    <row r="262" spans="1:13">
      <c r="A262" t="s">
        <v>851</v>
      </c>
      <c r="B262" t="s">
        <v>686</v>
      </c>
      <c r="C262" t="s">
        <v>686</v>
      </c>
      <c r="D262" t="s">
        <v>24</v>
      </c>
      <c r="E262" t="s">
        <v>461</v>
      </c>
      <c r="F262" t="s">
        <v>668</v>
      </c>
      <c r="G262">
        <v>2035</v>
      </c>
      <c r="H262" s="12">
        <v>4.78</v>
      </c>
      <c r="I262" t="s">
        <v>3183</v>
      </c>
      <c r="J262" t="s">
        <v>394</v>
      </c>
      <c r="K262" t="s">
        <v>147</v>
      </c>
      <c r="L262" t="s">
        <v>3184</v>
      </c>
      <c r="M262" t="s">
        <v>16</v>
      </c>
    </row>
    <row r="263" spans="1:13">
      <c r="A263" t="s">
        <v>851</v>
      </c>
      <c r="B263" t="s">
        <v>686</v>
      </c>
      <c r="C263" t="s">
        <v>686</v>
      </c>
      <c r="D263" t="s">
        <v>24</v>
      </c>
      <c r="E263" t="s">
        <v>461</v>
      </c>
      <c r="F263" t="s">
        <v>668</v>
      </c>
      <c r="G263">
        <v>2040</v>
      </c>
      <c r="H263" s="12">
        <v>2.78</v>
      </c>
      <c r="I263" t="s">
        <v>3183</v>
      </c>
      <c r="J263" t="s">
        <v>394</v>
      </c>
      <c r="K263" t="s">
        <v>147</v>
      </c>
      <c r="L263" t="s">
        <v>3184</v>
      </c>
      <c r="M263" t="s">
        <v>16</v>
      </c>
    </row>
    <row r="264" spans="1:13">
      <c r="A264" t="s">
        <v>851</v>
      </c>
      <c r="B264" t="s">
        <v>686</v>
      </c>
      <c r="C264" t="s">
        <v>686</v>
      </c>
      <c r="D264" t="s">
        <v>24</v>
      </c>
      <c r="E264" t="s">
        <v>461</v>
      </c>
      <c r="F264" t="s">
        <v>668</v>
      </c>
      <c r="G264">
        <v>2045</v>
      </c>
      <c r="H264" s="12">
        <v>1.59</v>
      </c>
      <c r="I264" t="s">
        <v>3183</v>
      </c>
      <c r="J264" t="s">
        <v>394</v>
      </c>
      <c r="K264" t="s">
        <v>147</v>
      </c>
      <c r="L264" t="s">
        <v>3184</v>
      </c>
      <c r="M264" t="s">
        <v>16</v>
      </c>
    </row>
    <row r="265" spans="1:13">
      <c r="A265" t="s">
        <v>851</v>
      </c>
      <c r="B265" t="s">
        <v>686</v>
      </c>
      <c r="C265" t="s">
        <v>686</v>
      </c>
      <c r="D265" t="s">
        <v>24</v>
      </c>
      <c r="E265" t="s">
        <v>461</v>
      </c>
      <c r="F265" t="s">
        <v>668</v>
      </c>
      <c r="G265">
        <v>2050</v>
      </c>
      <c r="H265" s="12">
        <v>0.39</v>
      </c>
      <c r="I265" t="s">
        <v>3183</v>
      </c>
      <c r="J265" t="s">
        <v>394</v>
      </c>
      <c r="K265" t="s">
        <v>147</v>
      </c>
      <c r="L265" t="s">
        <v>3184</v>
      </c>
      <c r="M265" t="s">
        <v>16</v>
      </c>
    </row>
    <row r="266" spans="1:13">
      <c r="A266" t="s">
        <v>851</v>
      </c>
      <c r="B266" t="s">
        <v>687</v>
      </c>
      <c r="C266" t="s">
        <v>687</v>
      </c>
      <c r="D266" t="s">
        <v>24</v>
      </c>
      <c r="E266" t="s">
        <v>461</v>
      </c>
      <c r="F266" t="s">
        <v>668</v>
      </c>
      <c r="G266">
        <v>2030</v>
      </c>
      <c r="H266" s="12">
        <v>9.5399999999999991</v>
      </c>
      <c r="I266" t="s">
        <v>3183</v>
      </c>
      <c r="J266" t="s">
        <v>394</v>
      </c>
      <c r="K266" t="s">
        <v>147</v>
      </c>
      <c r="L266" t="s">
        <v>3184</v>
      </c>
      <c r="M266" t="s">
        <v>16</v>
      </c>
    </row>
    <row r="267" spans="1:13">
      <c r="A267" t="s">
        <v>851</v>
      </c>
      <c r="B267" t="s">
        <v>687</v>
      </c>
      <c r="C267" t="s">
        <v>687</v>
      </c>
      <c r="D267" t="s">
        <v>24</v>
      </c>
      <c r="E267" t="s">
        <v>461</v>
      </c>
      <c r="F267" t="s">
        <v>668</v>
      </c>
      <c r="G267">
        <v>2035</v>
      </c>
      <c r="H267" s="12">
        <v>0</v>
      </c>
      <c r="I267" t="s">
        <v>3183</v>
      </c>
      <c r="J267" t="s">
        <v>394</v>
      </c>
      <c r="K267" t="s">
        <v>147</v>
      </c>
      <c r="L267" t="s">
        <v>3184</v>
      </c>
      <c r="M267" t="s">
        <v>16</v>
      </c>
    </row>
    <row r="268" spans="1:13">
      <c r="A268" t="s">
        <v>851</v>
      </c>
      <c r="B268" t="s">
        <v>687</v>
      </c>
      <c r="C268" t="s">
        <v>687</v>
      </c>
      <c r="D268" t="s">
        <v>24</v>
      </c>
      <c r="E268" t="s">
        <v>461</v>
      </c>
      <c r="F268" t="s">
        <v>668</v>
      </c>
      <c r="G268">
        <v>2040</v>
      </c>
      <c r="H268" s="12">
        <v>0</v>
      </c>
      <c r="I268" t="s">
        <v>3183</v>
      </c>
      <c r="J268" t="s">
        <v>394</v>
      </c>
      <c r="K268" t="s">
        <v>147</v>
      </c>
      <c r="L268" t="s">
        <v>3184</v>
      </c>
      <c r="M268" t="s">
        <v>16</v>
      </c>
    </row>
    <row r="269" spans="1:13">
      <c r="A269" t="s">
        <v>851</v>
      </c>
      <c r="B269" t="s">
        <v>687</v>
      </c>
      <c r="C269" t="s">
        <v>687</v>
      </c>
      <c r="D269" t="s">
        <v>24</v>
      </c>
      <c r="E269" t="s">
        <v>461</v>
      </c>
      <c r="F269" t="s">
        <v>668</v>
      </c>
      <c r="G269">
        <v>2045</v>
      </c>
      <c r="H269" s="12">
        <v>0</v>
      </c>
      <c r="I269" t="s">
        <v>3183</v>
      </c>
      <c r="J269" t="s">
        <v>394</v>
      </c>
      <c r="K269" t="s">
        <v>147</v>
      </c>
      <c r="L269" t="s">
        <v>3184</v>
      </c>
      <c r="M269" t="s">
        <v>16</v>
      </c>
    </row>
    <row r="270" spans="1:13">
      <c r="A270" t="s">
        <v>851</v>
      </c>
      <c r="B270" t="s">
        <v>687</v>
      </c>
      <c r="C270" t="s">
        <v>687</v>
      </c>
      <c r="D270" t="s">
        <v>24</v>
      </c>
      <c r="E270" t="s">
        <v>461</v>
      </c>
      <c r="F270" t="s">
        <v>668</v>
      </c>
      <c r="G270">
        <v>2050</v>
      </c>
      <c r="H270" s="12">
        <v>0</v>
      </c>
      <c r="I270" t="s">
        <v>3183</v>
      </c>
      <c r="J270" t="s">
        <v>394</v>
      </c>
      <c r="K270" t="s">
        <v>147</v>
      </c>
      <c r="L270" t="s">
        <v>3184</v>
      </c>
      <c r="M270" t="s">
        <v>16</v>
      </c>
    </row>
    <row r="271" spans="1:13">
      <c r="A271" t="s">
        <v>851</v>
      </c>
      <c r="B271" t="s">
        <v>686</v>
      </c>
      <c r="C271" t="s">
        <v>686</v>
      </c>
      <c r="D271" t="s">
        <v>24</v>
      </c>
      <c r="E271" t="s">
        <v>656</v>
      </c>
      <c r="F271" t="s">
        <v>31</v>
      </c>
      <c r="G271">
        <v>2010</v>
      </c>
      <c r="H271" s="12">
        <v>3.62</v>
      </c>
      <c r="I271" t="s">
        <v>3183</v>
      </c>
      <c r="J271" t="s">
        <v>17</v>
      </c>
      <c r="K271" t="s">
        <v>147</v>
      </c>
      <c r="L271" t="s">
        <v>3184</v>
      </c>
      <c r="M271" t="s">
        <v>671</v>
      </c>
    </row>
    <row r="272" spans="1:13">
      <c r="A272" t="s">
        <v>851</v>
      </c>
      <c r="B272" t="s">
        <v>686</v>
      </c>
      <c r="C272" t="s">
        <v>686</v>
      </c>
      <c r="D272" t="s">
        <v>24</v>
      </c>
      <c r="E272" t="s">
        <v>656</v>
      </c>
      <c r="F272" t="s">
        <v>31</v>
      </c>
      <c r="G272">
        <v>2015</v>
      </c>
      <c r="H272" s="12">
        <v>34.15</v>
      </c>
      <c r="I272" t="s">
        <v>3183</v>
      </c>
      <c r="J272" t="s">
        <v>17</v>
      </c>
      <c r="K272" t="s">
        <v>147</v>
      </c>
      <c r="L272" t="s">
        <v>3184</v>
      </c>
      <c r="M272" t="s">
        <v>671</v>
      </c>
    </row>
    <row r="273" spans="1:13">
      <c r="A273" t="s">
        <v>851</v>
      </c>
      <c r="B273" t="s">
        <v>686</v>
      </c>
      <c r="C273" t="s">
        <v>686</v>
      </c>
      <c r="D273" t="s">
        <v>24</v>
      </c>
      <c r="E273" t="s">
        <v>656</v>
      </c>
      <c r="F273" t="s">
        <v>31</v>
      </c>
      <c r="G273">
        <v>2020</v>
      </c>
      <c r="H273" s="12">
        <v>71.87</v>
      </c>
      <c r="I273" t="s">
        <v>3183</v>
      </c>
      <c r="J273" t="s">
        <v>17</v>
      </c>
      <c r="K273" t="s">
        <v>147</v>
      </c>
      <c r="L273" t="s">
        <v>3184</v>
      </c>
      <c r="M273" t="s">
        <v>671</v>
      </c>
    </row>
    <row r="274" spans="1:13">
      <c r="A274" t="s">
        <v>851</v>
      </c>
      <c r="B274" t="s">
        <v>686</v>
      </c>
      <c r="C274" t="s">
        <v>686</v>
      </c>
      <c r="D274" t="s">
        <v>24</v>
      </c>
      <c r="E274" t="s">
        <v>656</v>
      </c>
      <c r="F274" t="s">
        <v>31</v>
      </c>
      <c r="G274">
        <v>2030</v>
      </c>
      <c r="H274" s="12">
        <v>131.88</v>
      </c>
      <c r="I274" t="s">
        <v>3183</v>
      </c>
      <c r="J274" t="s">
        <v>17</v>
      </c>
      <c r="K274" t="s">
        <v>147</v>
      </c>
      <c r="L274" t="s">
        <v>3184</v>
      </c>
      <c r="M274" t="s">
        <v>671</v>
      </c>
    </row>
    <row r="275" spans="1:13">
      <c r="A275" t="s">
        <v>851</v>
      </c>
      <c r="B275" t="s">
        <v>686</v>
      </c>
      <c r="C275" t="s">
        <v>686</v>
      </c>
      <c r="D275" t="s">
        <v>24</v>
      </c>
      <c r="E275" t="s">
        <v>461</v>
      </c>
      <c r="F275" t="s">
        <v>668</v>
      </c>
      <c r="G275">
        <v>2010</v>
      </c>
      <c r="H275" s="12">
        <v>3.54</v>
      </c>
      <c r="I275" t="s">
        <v>3183</v>
      </c>
      <c r="J275" t="s">
        <v>17</v>
      </c>
      <c r="K275" t="s">
        <v>147</v>
      </c>
      <c r="L275" t="s">
        <v>3184</v>
      </c>
      <c r="M275" t="s">
        <v>671</v>
      </c>
    </row>
    <row r="276" spans="1:13">
      <c r="A276" t="s">
        <v>851</v>
      </c>
      <c r="B276" t="s">
        <v>686</v>
      </c>
      <c r="C276" t="s">
        <v>686</v>
      </c>
      <c r="D276" t="s">
        <v>24</v>
      </c>
      <c r="E276" t="s">
        <v>461</v>
      </c>
      <c r="F276" t="s">
        <v>668</v>
      </c>
      <c r="G276">
        <v>2015</v>
      </c>
      <c r="H276" s="12">
        <v>34.799999999999997</v>
      </c>
      <c r="I276" t="s">
        <v>3183</v>
      </c>
      <c r="J276" t="s">
        <v>17</v>
      </c>
      <c r="K276" t="s">
        <v>147</v>
      </c>
      <c r="L276" t="s">
        <v>3184</v>
      </c>
      <c r="M276" t="s">
        <v>671</v>
      </c>
    </row>
    <row r="277" spans="1:13">
      <c r="A277" t="s">
        <v>851</v>
      </c>
      <c r="B277" t="s">
        <v>686</v>
      </c>
      <c r="C277" t="s">
        <v>686</v>
      </c>
      <c r="D277" t="s">
        <v>24</v>
      </c>
      <c r="E277" t="s">
        <v>461</v>
      </c>
      <c r="F277" t="s">
        <v>668</v>
      </c>
      <c r="G277">
        <v>2020</v>
      </c>
      <c r="H277" s="12">
        <v>79.09</v>
      </c>
      <c r="I277" t="s">
        <v>3183</v>
      </c>
      <c r="J277" t="s">
        <v>17</v>
      </c>
      <c r="K277" t="s">
        <v>147</v>
      </c>
      <c r="L277" t="s">
        <v>3184</v>
      </c>
      <c r="M277" t="s">
        <v>671</v>
      </c>
    </row>
    <row r="278" spans="1:13">
      <c r="A278" t="s">
        <v>851</v>
      </c>
      <c r="B278" t="s">
        <v>686</v>
      </c>
      <c r="C278" t="s">
        <v>686</v>
      </c>
      <c r="D278" t="s">
        <v>24</v>
      </c>
      <c r="E278" t="s">
        <v>461</v>
      </c>
      <c r="F278" t="s">
        <v>668</v>
      </c>
      <c r="G278">
        <v>2030</v>
      </c>
      <c r="H278" s="12">
        <v>147.33000000000001</v>
      </c>
      <c r="I278" t="s">
        <v>3183</v>
      </c>
      <c r="J278" t="s">
        <v>17</v>
      </c>
      <c r="K278" t="s">
        <v>147</v>
      </c>
      <c r="L278" t="s">
        <v>3184</v>
      </c>
      <c r="M278" t="s">
        <v>671</v>
      </c>
    </row>
    <row r="279" spans="1:13">
      <c r="A279" t="s">
        <v>851</v>
      </c>
      <c r="B279" t="s">
        <v>686</v>
      </c>
      <c r="C279" t="s">
        <v>686</v>
      </c>
      <c r="D279" t="s">
        <v>24</v>
      </c>
      <c r="E279" t="s">
        <v>461</v>
      </c>
      <c r="F279" t="s">
        <v>668</v>
      </c>
      <c r="G279">
        <v>2035</v>
      </c>
      <c r="H279" s="12">
        <v>170.77</v>
      </c>
      <c r="I279" t="s">
        <v>3183</v>
      </c>
      <c r="J279" t="s">
        <v>17</v>
      </c>
      <c r="K279" t="s">
        <v>147</v>
      </c>
      <c r="L279" t="s">
        <v>3184</v>
      </c>
      <c r="M279" t="s">
        <v>671</v>
      </c>
    </row>
    <row r="280" spans="1:13">
      <c r="A280" t="s">
        <v>851</v>
      </c>
      <c r="B280" t="s">
        <v>686</v>
      </c>
      <c r="C280" t="s">
        <v>686</v>
      </c>
      <c r="D280" t="s">
        <v>24</v>
      </c>
      <c r="E280" t="s">
        <v>461</v>
      </c>
      <c r="F280" t="s">
        <v>668</v>
      </c>
      <c r="G280">
        <v>2040</v>
      </c>
      <c r="H280" s="12">
        <v>186.31</v>
      </c>
      <c r="I280" t="s">
        <v>3183</v>
      </c>
      <c r="J280" t="s">
        <v>17</v>
      </c>
      <c r="K280" t="s">
        <v>147</v>
      </c>
      <c r="L280" t="s">
        <v>3184</v>
      </c>
      <c r="M280" t="s">
        <v>671</v>
      </c>
    </row>
    <row r="281" spans="1:13">
      <c r="A281" t="s">
        <v>851</v>
      </c>
      <c r="B281" t="s">
        <v>686</v>
      </c>
      <c r="C281" t="s">
        <v>686</v>
      </c>
      <c r="D281" t="s">
        <v>24</v>
      </c>
      <c r="E281" t="s">
        <v>461</v>
      </c>
      <c r="F281" t="s">
        <v>668</v>
      </c>
      <c r="G281">
        <v>2045</v>
      </c>
      <c r="H281" s="12">
        <v>197.21</v>
      </c>
      <c r="I281" t="s">
        <v>3183</v>
      </c>
      <c r="J281" t="s">
        <v>17</v>
      </c>
      <c r="K281" t="s">
        <v>147</v>
      </c>
      <c r="L281" t="s">
        <v>3184</v>
      </c>
      <c r="M281" t="s">
        <v>671</v>
      </c>
    </row>
    <row r="282" spans="1:13">
      <c r="A282" t="s">
        <v>851</v>
      </c>
      <c r="B282" t="s">
        <v>686</v>
      </c>
      <c r="C282" t="s">
        <v>686</v>
      </c>
      <c r="D282" t="s">
        <v>24</v>
      </c>
      <c r="E282" t="s">
        <v>461</v>
      </c>
      <c r="F282" t="s">
        <v>668</v>
      </c>
      <c r="G282">
        <v>2050</v>
      </c>
      <c r="H282" s="12">
        <v>203.03</v>
      </c>
      <c r="I282" t="s">
        <v>3183</v>
      </c>
      <c r="J282" t="s">
        <v>17</v>
      </c>
      <c r="K282" t="s">
        <v>147</v>
      </c>
      <c r="L282" t="s">
        <v>3184</v>
      </c>
      <c r="M282" t="s">
        <v>671</v>
      </c>
    </row>
    <row r="283" spans="1:13">
      <c r="A283" t="s">
        <v>851</v>
      </c>
      <c r="B283" t="s">
        <v>687</v>
      </c>
      <c r="C283" t="s">
        <v>687</v>
      </c>
      <c r="D283" t="s">
        <v>24</v>
      </c>
      <c r="E283" t="s">
        <v>461</v>
      </c>
      <c r="F283" t="s">
        <v>668</v>
      </c>
      <c r="G283">
        <v>2030</v>
      </c>
      <c r="H283" s="12">
        <v>153.69</v>
      </c>
      <c r="I283" t="s">
        <v>3183</v>
      </c>
      <c r="J283" t="s">
        <v>17</v>
      </c>
      <c r="K283" t="s">
        <v>147</v>
      </c>
      <c r="L283" t="s">
        <v>3184</v>
      </c>
      <c r="M283" t="s">
        <v>671</v>
      </c>
    </row>
    <row r="284" spans="1:13">
      <c r="A284" t="s">
        <v>851</v>
      </c>
      <c r="B284" t="s">
        <v>687</v>
      </c>
      <c r="C284" t="s">
        <v>687</v>
      </c>
      <c r="D284" t="s">
        <v>24</v>
      </c>
      <c r="E284" t="s">
        <v>461</v>
      </c>
      <c r="F284" t="s">
        <v>668</v>
      </c>
      <c r="G284">
        <v>2035</v>
      </c>
      <c r="H284" s="12">
        <v>183.3</v>
      </c>
      <c r="I284" t="s">
        <v>3183</v>
      </c>
      <c r="J284" t="s">
        <v>17</v>
      </c>
      <c r="K284" t="s">
        <v>147</v>
      </c>
      <c r="L284" t="s">
        <v>3184</v>
      </c>
      <c r="M284" t="s">
        <v>671</v>
      </c>
    </row>
    <row r="285" spans="1:13">
      <c r="A285" t="s">
        <v>851</v>
      </c>
      <c r="B285" t="s">
        <v>687</v>
      </c>
      <c r="C285" t="s">
        <v>687</v>
      </c>
      <c r="D285" t="s">
        <v>24</v>
      </c>
      <c r="E285" t="s">
        <v>461</v>
      </c>
      <c r="F285" t="s">
        <v>668</v>
      </c>
      <c r="G285">
        <v>2040</v>
      </c>
      <c r="H285" s="12">
        <v>198.82</v>
      </c>
      <c r="I285" t="s">
        <v>3183</v>
      </c>
      <c r="J285" t="s">
        <v>17</v>
      </c>
      <c r="K285" t="s">
        <v>147</v>
      </c>
      <c r="L285" t="s">
        <v>3184</v>
      </c>
      <c r="M285" t="s">
        <v>671</v>
      </c>
    </row>
    <row r="286" spans="1:13">
      <c r="A286" t="s">
        <v>851</v>
      </c>
      <c r="B286" t="s">
        <v>687</v>
      </c>
      <c r="C286" t="s">
        <v>687</v>
      </c>
      <c r="D286" t="s">
        <v>24</v>
      </c>
      <c r="E286" t="s">
        <v>461</v>
      </c>
      <c r="F286" t="s">
        <v>668</v>
      </c>
      <c r="G286">
        <v>2045</v>
      </c>
      <c r="H286" s="12">
        <v>204.16</v>
      </c>
      <c r="I286" t="s">
        <v>3183</v>
      </c>
      <c r="J286" t="s">
        <v>17</v>
      </c>
      <c r="K286" t="s">
        <v>147</v>
      </c>
      <c r="L286" t="s">
        <v>3184</v>
      </c>
      <c r="M286" t="s">
        <v>671</v>
      </c>
    </row>
    <row r="287" spans="1:13">
      <c r="A287" t="s">
        <v>851</v>
      </c>
      <c r="B287" t="s">
        <v>687</v>
      </c>
      <c r="C287" t="s">
        <v>687</v>
      </c>
      <c r="D287" t="s">
        <v>24</v>
      </c>
      <c r="E287" t="s">
        <v>461</v>
      </c>
      <c r="F287" t="s">
        <v>668</v>
      </c>
      <c r="G287">
        <v>2050</v>
      </c>
      <c r="H287" s="12">
        <v>205.31</v>
      </c>
      <c r="I287" t="s">
        <v>3183</v>
      </c>
      <c r="J287" t="s">
        <v>17</v>
      </c>
      <c r="K287" t="s">
        <v>147</v>
      </c>
      <c r="L287" t="s">
        <v>3184</v>
      </c>
      <c r="M287" t="s">
        <v>671</v>
      </c>
    </row>
    <row r="288" spans="1:13">
      <c r="A288" t="s">
        <v>851</v>
      </c>
      <c r="B288" t="s">
        <v>686</v>
      </c>
      <c r="C288" t="s">
        <v>686</v>
      </c>
      <c r="D288" t="s">
        <v>24</v>
      </c>
      <c r="E288" t="s">
        <v>461</v>
      </c>
      <c r="F288" t="s">
        <v>668</v>
      </c>
      <c r="G288">
        <v>2010</v>
      </c>
      <c r="H288" s="12">
        <v>4.0199999999999996</v>
      </c>
      <c r="I288" t="s">
        <v>3183</v>
      </c>
      <c r="J288" t="s">
        <v>18</v>
      </c>
      <c r="K288" t="s">
        <v>147</v>
      </c>
      <c r="L288" t="s">
        <v>3184</v>
      </c>
      <c r="M288" t="s">
        <v>18</v>
      </c>
    </row>
    <row r="289" spans="1:13">
      <c r="A289" t="s">
        <v>851</v>
      </c>
      <c r="B289" t="s">
        <v>686</v>
      </c>
      <c r="C289" t="s">
        <v>686</v>
      </c>
      <c r="D289" t="s">
        <v>24</v>
      </c>
      <c r="E289" t="s">
        <v>461</v>
      </c>
      <c r="F289" t="s">
        <v>668</v>
      </c>
      <c r="G289">
        <v>2015</v>
      </c>
      <c r="H289" s="12">
        <v>5.58</v>
      </c>
      <c r="I289" t="s">
        <v>3183</v>
      </c>
      <c r="J289" t="s">
        <v>18</v>
      </c>
      <c r="K289" t="s">
        <v>147</v>
      </c>
      <c r="L289" t="s">
        <v>3184</v>
      </c>
      <c r="M289" t="s">
        <v>18</v>
      </c>
    </row>
    <row r="290" spans="1:13">
      <c r="A290" t="s">
        <v>851</v>
      </c>
      <c r="B290" t="s">
        <v>686</v>
      </c>
      <c r="C290" t="s">
        <v>686</v>
      </c>
      <c r="D290" t="s">
        <v>24</v>
      </c>
      <c r="E290" t="s">
        <v>461</v>
      </c>
      <c r="F290" t="s">
        <v>668</v>
      </c>
      <c r="G290">
        <v>2020</v>
      </c>
      <c r="H290" s="12">
        <v>8.9700000000000006</v>
      </c>
      <c r="I290" t="s">
        <v>3183</v>
      </c>
      <c r="J290" t="s">
        <v>18</v>
      </c>
      <c r="K290" t="s">
        <v>147</v>
      </c>
      <c r="L290" t="s">
        <v>3184</v>
      </c>
      <c r="M290" t="s">
        <v>18</v>
      </c>
    </row>
    <row r="291" spans="1:13">
      <c r="A291" t="s">
        <v>851</v>
      </c>
      <c r="B291" t="s">
        <v>686</v>
      </c>
      <c r="C291" t="s">
        <v>686</v>
      </c>
      <c r="D291" t="s">
        <v>24</v>
      </c>
      <c r="E291" t="s">
        <v>461</v>
      </c>
      <c r="F291" t="s">
        <v>668</v>
      </c>
      <c r="G291">
        <v>2030</v>
      </c>
      <c r="H291" s="12">
        <v>59.41</v>
      </c>
      <c r="I291" t="s">
        <v>3183</v>
      </c>
      <c r="J291" t="s">
        <v>18</v>
      </c>
      <c r="K291" t="s">
        <v>147</v>
      </c>
      <c r="L291" t="s">
        <v>3184</v>
      </c>
      <c r="M291" t="s">
        <v>18</v>
      </c>
    </row>
    <row r="292" spans="1:13">
      <c r="A292" t="s">
        <v>851</v>
      </c>
      <c r="B292" t="s">
        <v>686</v>
      </c>
      <c r="C292" t="s">
        <v>686</v>
      </c>
      <c r="D292" t="s">
        <v>24</v>
      </c>
      <c r="E292" t="s">
        <v>461</v>
      </c>
      <c r="F292" t="s">
        <v>668</v>
      </c>
      <c r="G292">
        <v>2035</v>
      </c>
      <c r="H292" s="12">
        <v>106.3</v>
      </c>
      <c r="I292" t="s">
        <v>3183</v>
      </c>
      <c r="J292" t="s">
        <v>18</v>
      </c>
      <c r="K292" t="s">
        <v>147</v>
      </c>
      <c r="L292" t="s">
        <v>3184</v>
      </c>
      <c r="M292" t="s">
        <v>18</v>
      </c>
    </row>
    <row r="293" spans="1:13">
      <c r="A293" t="s">
        <v>851</v>
      </c>
      <c r="B293" t="s">
        <v>686</v>
      </c>
      <c r="C293" t="s">
        <v>686</v>
      </c>
      <c r="D293" t="s">
        <v>24</v>
      </c>
      <c r="E293" t="s">
        <v>461</v>
      </c>
      <c r="F293" t="s">
        <v>668</v>
      </c>
      <c r="G293">
        <v>2040</v>
      </c>
      <c r="H293" s="12">
        <v>143.86000000000001</v>
      </c>
      <c r="I293" t="s">
        <v>3183</v>
      </c>
      <c r="J293" t="s">
        <v>18</v>
      </c>
      <c r="K293" t="s">
        <v>147</v>
      </c>
      <c r="L293" t="s">
        <v>3184</v>
      </c>
      <c r="M293" t="s">
        <v>18</v>
      </c>
    </row>
    <row r="294" spans="1:13">
      <c r="A294" t="s">
        <v>851</v>
      </c>
      <c r="B294" t="s">
        <v>686</v>
      </c>
      <c r="C294" t="s">
        <v>686</v>
      </c>
      <c r="D294" t="s">
        <v>24</v>
      </c>
      <c r="E294" t="s">
        <v>461</v>
      </c>
      <c r="F294" t="s">
        <v>668</v>
      </c>
      <c r="G294">
        <v>2045</v>
      </c>
      <c r="H294" s="12">
        <v>168.69</v>
      </c>
      <c r="I294" t="s">
        <v>3183</v>
      </c>
      <c r="J294" t="s">
        <v>18</v>
      </c>
      <c r="K294" t="s">
        <v>147</v>
      </c>
      <c r="L294" t="s">
        <v>3184</v>
      </c>
      <c r="M294" t="s">
        <v>18</v>
      </c>
    </row>
    <row r="295" spans="1:13">
      <c r="A295" t="s">
        <v>851</v>
      </c>
      <c r="B295" t="s">
        <v>686</v>
      </c>
      <c r="C295" t="s">
        <v>686</v>
      </c>
      <c r="D295" t="s">
        <v>24</v>
      </c>
      <c r="E295" t="s">
        <v>461</v>
      </c>
      <c r="F295" t="s">
        <v>668</v>
      </c>
      <c r="G295">
        <v>2050</v>
      </c>
      <c r="H295" s="12">
        <v>185.5</v>
      </c>
      <c r="I295" t="s">
        <v>3183</v>
      </c>
      <c r="J295" t="s">
        <v>18</v>
      </c>
      <c r="K295" t="s">
        <v>147</v>
      </c>
      <c r="L295" t="s">
        <v>3184</v>
      </c>
      <c r="M295" t="s">
        <v>18</v>
      </c>
    </row>
    <row r="296" spans="1:13">
      <c r="A296" t="s">
        <v>851</v>
      </c>
      <c r="B296" t="s">
        <v>687</v>
      </c>
      <c r="C296" t="s">
        <v>687</v>
      </c>
      <c r="D296" t="s">
        <v>24</v>
      </c>
      <c r="E296" t="s">
        <v>461</v>
      </c>
      <c r="F296" t="s">
        <v>668</v>
      </c>
      <c r="G296">
        <v>2030</v>
      </c>
      <c r="H296" s="12">
        <v>74.56</v>
      </c>
      <c r="I296" t="s">
        <v>3183</v>
      </c>
      <c r="J296" t="s">
        <v>18</v>
      </c>
      <c r="K296" t="s">
        <v>147</v>
      </c>
      <c r="L296" t="s">
        <v>3184</v>
      </c>
      <c r="M296" t="s">
        <v>18</v>
      </c>
    </row>
    <row r="297" spans="1:13">
      <c r="A297" t="s">
        <v>851</v>
      </c>
      <c r="B297" t="s">
        <v>687</v>
      </c>
      <c r="C297" t="s">
        <v>687</v>
      </c>
      <c r="D297" t="s">
        <v>24</v>
      </c>
      <c r="E297" t="s">
        <v>461</v>
      </c>
      <c r="F297" t="s">
        <v>668</v>
      </c>
      <c r="G297">
        <v>2035</v>
      </c>
      <c r="H297" s="12">
        <v>119.1</v>
      </c>
      <c r="I297" t="s">
        <v>3183</v>
      </c>
      <c r="J297" t="s">
        <v>18</v>
      </c>
      <c r="K297" t="s">
        <v>147</v>
      </c>
      <c r="L297" t="s">
        <v>3184</v>
      </c>
      <c r="M297" t="s">
        <v>18</v>
      </c>
    </row>
    <row r="298" spans="1:13">
      <c r="A298" t="s">
        <v>851</v>
      </c>
      <c r="B298" t="s">
        <v>687</v>
      </c>
      <c r="C298" t="s">
        <v>687</v>
      </c>
      <c r="D298" t="s">
        <v>24</v>
      </c>
      <c r="E298" t="s">
        <v>461</v>
      </c>
      <c r="F298" t="s">
        <v>668</v>
      </c>
      <c r="G298">
        <v>2040</v>
      </c>
      <c r="H298" s="12">
        <v>198.14</v>
      </c>
      <c r="I298" t="s">
        <v>3183</v>
      </c>
      <c r="J298" t="s">
        <v>18</v>
      </c>
      <c r="K298" t="s">
        <v>147</v>
      </c>
      <c r="L298" t="s">
        <v>3184</v>
      </c>
      <c r="M298" t="s">
        <v>18</v>
      </c>
    </row>
    <row r="299" spans="1:13">
      <c r="A299" t="s">
        <v>851</v>
      </c>
      <c r="B299" t="s">
        <v>687</v>
      </c>
      <c r="C299" t="s">
        <v>687</v>
      </c>
      <c r="D299" t="s">
        <v>24</v>
      </c>
      <c r="E299" t="s">
        <v>461</v>
      </c>
      <c r="F299" t="s">
        <v>668</v>
      </c>
      <c r="G299">
        <v>2045</v>
      </c>
      <c r="H299" s="12">
        <v>262.47000000000003</v>
      </c>
      <c r="I299" t="s">
        <v>3183</v>
      </c>
      <c r="J299" t="s">
        <v>18</v>
      </c>
      <c r="K299" t="s">
        <v>147</v>
      </c>
      <c r="L299" t="s">
        <v>3184</v>
      </c>
      <c r="M299" t="s">
        <v>18</v>
      </c>
    </row>
    <row r="300" spans="1:13">
      <c r="A300" t="s">
        <v>851</v>
      </c>
      <c r="B300" t="s">
        <v>687</v>
      </c>
      <c r="C300" t="s">
        <v>687</v>
      </c>
      <c r="D300" t="s">
        <v>24</v>
      </c>
      <c r="E300" t="s">
        <v>461</v>
      </c>
      <c r="F300" t="s">
        <v>668</v>
      </c>
      <c r="G300">
        <v>2050</v>
      </c>
      <c r="H300" s="12">
        <v>299.07</v>
      </c>
      <c r="I300" t="s">
        <v>3183</v>
      </c>
      <c r="J300" t="s">
        <v>18</v>
      </c>
      <c r="K300" t="s">
        <v>147</v>
      </c>
      <c r="L300" t="s">
        <v>3184</v>
      </c>
      <c r="M300" t="s">
        <v>18</v>
      </c>
    </row>
    <row r="301" spans="1:13">
      <c r="A301" t="s">
        <v>851</v>
      </c>
      <c r="B301" t="s">
        <v>686</v>
      </c>
      <c r="C301" t="s">
        <v>686</v>
      </c>
      <c r="D301" t="s">
        <v>24</v>
      </c>
      <c r="E301" t="s">
        <v>461</v>
      </c>
      <c r="F301" t="s">
        <v>668</v>
      </c>
      <c r="G301">
        <v>2010</v>
      </c>
      <c r="H301" s="12">
        <v>83.8</v>
      </c>
      <c r="I301" t="s">
        <v>3183</v>
      </c>
      <c r="J301" t="s">
        <v>14</v>
      </c>
      <c r="K301" t="s">
        <v>147</v>
      </c>
      <c r="L301" t="s">
        <v>3184</v>
      </c>
      <c r="M301" t="s">
        <v>14</v>
      </c>
    </row>
    <row r="302" spans="1:13">
      <c r="A302" t="s">
        <v>851</v>
      </c>
      <c r="B302" t="s">
        <v>686</v>
      </c>
      <c r="C302" t="s">
        <v>686</v>
      </c>
      <c r="D302" t="s">
        <v>24</v>
      </c>
      <c r="E302" t="s">
        <v>461</v>
      </c>
      <c r="F302" t="s">
        <v>668</v>
      </c>
      <c r="G302">
        <v>2015</v>
      </c>
      <c r="H302" s="12">
        <v>87.12</v>
      </c>
      <c r="I302" t="s">
        <v>3183</v>
      </c>
      <c r="J302" t="s">
        <v>14</v>
      </c>
      <c r="K302" t="s">
        <v>147</v>
      </c>
      <c r="L302" t="s">
        <v>3184</v>
      </c>
      <c r="M302" t="s">
        <v>14</v>
      </c>
    </row>
    <row r="303" spans="1:13">
      <c r="A303" t="s">
        <v>851</v>
      </c>
      <c r="B303" t="s">
        <v>686</v>
      </c>
      <c r="C303" t="s">
        <v>686</v>
      </c>
      <c r="D303" t="s">
        <v>24</v>
      </c>
      <c r="E303" t="s">
        <v>461</v>
      </c>
      <c r="F303" t="s">
        <v>668</v>
      </c>
      <c r="G303">
        <v>2020</v>
      </c>
      <c r="H303" s="12">
        <v>78.81</v>
      </c>
      <c r="I303" t="s">
        <v>3183</v>
      </c>
      <c r="J303" t="s">
        <v>14</v>
      </c>
      <c r="K303" t="s">
        <v>147</v>
      </c>
      <c r="L303" t="s">
        <v>3184</v>
      </c>
      <c r="M303" t="s">
        <v>14</v>
      </c>
    </row>
    <row r="304" spans="1:13">
      <c r="A304" t="s">
        <v>851</v>
      </c>
      <c r="B304" t="s">
        <v>686</v>
      </c>
      <c r="C304" t="s">
        <v>686</v>
      </c>
      <c r="D304" t="s">
        <v>24</v>
      </c>
      <c r="E304" t="s">
        <v>461</v>
      </c>
      <c r="F304" t="s">
        <v>668</v>
      </c>
      <c r="G304">
        <v>2030</v>
      </c>
      <c r="H304" s="12">
        <v>84.73</v>
      </c>
      <c r="I304" t="s">
        <v>3183</v>
      </c>
      <c r="J304" t="s">
        <v>14</v>
      </c>
      <c r="K304" t="s">
        <v>147</v>
      </c>
      <c r="L304" t="s">
        <v>3184</v>
      </c>
      <c r="M304" t="s">
        <v>14</v>
      </c>
    </row>
    <row r="305" spans="1:13">
      <c r="A305" t="s">
        <v>851</v>
      </c>
      <c r="B305" t="s">
        <v>686</v>
      </c>
      <c r="C305" t="s">
        <v>686</v>
      </c>
      <c r="D305" t="s">
        <v>24</v>
      </c>
      <c r="E305" t="s">
        <v>461</v>
      </c>
      <c r="F305" t="s">
        <v>668</v>
      </c>
      <c r="G305">
        <v>2030</v>
      </c>
      <c r="H305" s="12">
        <v>190.46</v>
      </c>
      <c r="I305" t="s">
        <v>3183</v>
      </c>
      <c r="J305" t="s">
        <v>15</v>
      </c>
      <c r="K305" t="s">
        <v>147</v>
      </c>
      <c r="L305" t="s">
        <v>3184</v>
      </c>
      <c r="M305" t="s">
        <v>15</v>
      </c>
    </row>
    <row r="306" spans="1:13">
      <c r="A306" t="s">
        <v>851</v>
      </c>
      <c r="B306" t="s">
        <v>686</v>
      </c>
      <c r="C306" t="s">
        <v>686</v>
      </c>
      <c r="D306" t="s">
        <v>24</v>
      </c>
      <c r="E306" t="s">
        <v>461</v>
      </c>
      <c r="F306" t="s">
        <v>668</v>
      </c>
      <c r="G306">
        <v>2035</v>
      </c>
      <c r="H306" s="12">
        <v>201.9</v>
      </c>
      <c r="I306" t="s">
        <v>3183</v>
      </c>
      <c r="J306" t="s">
        <v>15</v>
      </c>
      <c r="K306" t="s">
        <v>147</v>
      </c>
      <c r="L306" t="s">
        <v>3184</v>
      </c>
      <c r="M306" t="s">
        <v>15</v>
      </c>
    </row>
    <row r="307" spans="1:13">
      <c r="A307" t="s">
        <v>851</v>
      </c>
      <c r="B307" t="s">
        <v>686</v>
      </c>
      <c r="C307" t="s">
        <v>686</v>
      </c>
      <c r="D307" t="s">
        <v>24</v>
      </c>
      <c r="E307" t="s">
        <v>461</v>
      </c>
      <c r="F307" t="s">
        <v>668</v>
      </c>
      <c r="G307">
        <v>2040</v>
      </c>
      <c r="H307" s="12">
        <v>208.08</v>
      </c>
      <c r="I307" t="s">
        <v>3183</v>
      </c>
      <c r="J307" t="s">
        <v>15</v>
      </c>
      <c r="K307" t="s">
        <v>147</v>
      </c>
      <c r="L307" t="s">
        <v>3184</v>
      </c>
      <c r="M307" t="s">
        <v>15</v>
      </c>
    </row>
    <row r="308" spans="1:13">
      <c r="A308" t="s">
        <v>851</v>
      </c>
      <c r="B308" t="s">
        <v>686</v>
      </c>
      <c r="C308" t="s">
        <v>686</v>
      </c>
      <c r="D308" t="s">
        <v>24</v>
      </c>
      <c r="E308" t="s">
        <v>461</v>
      </c>
      <c r="F308" t="s">
        <v>668</v>
      </c>
      <c r="G308">
        <v>2045</v>
      </c>
      <c r="H308" s="12">
        <v>204.76</v>
      </c>
      <c r="I308" t="s">
        <v>3183</v>
      </c>
      <c r="J308" t="s">
        <v>15</v>
      </c>
      <c r="K308" t="s">
        <v>147</v>
      </c>
      <c r="L308" t="s">
        <v>3184</v>
      </c>
      <c r="M308" t="s">
        <v>15</v>
      </c>
    </row>
    <row r="309" spans="1:13">
      <c r="A309" t="s">
        <v>851</v>
      </c>
      <c r="B309" t="s">
        <v>686</v>
      </c>
      <c r="C309" t="s">
        <v>686</v>
      </c>
      <c r="D309" t="s">
        <v>24</v>
      </c>
      <c r="E309" t="s">
        <v>461</v>
      </c>
      <c r="F309" t="s">
        <v>668</v>
      </c>
      <c r="G309">
        <v>2050</v>
      </c>
      <c r="H309" s="12">
        <v>205.92</v>
      </c>
      <c r="I309" t="s">
        <v>3183</v>
      </c>
      <c r="J309" t="s">
        <v>15</v>
      </c>
      <c r="K309" t="s">
        <v>147</v>
      </c>
      <c r="L309" t="s">
        <v>3184</v>
      </c>
      <c r="M309" t="s">
        <v>15</v>
      </c>
    </row>
    <row r="310" spans="1:13">
      <c r="A310" t="s">
        <v>851</v>
      </c>
      <c r="B310" t="s">
        <v>687</v>
      </c>
      <c r="C310" t="s">
        <v>687</v>
      </c>
      <c r="D310" t="s">
        <v>24</v>
      </c>
      <c r="E310" t="s">
        <v>461</v>
      </c>
      <c r="F310" t="s">
        <v>668</v>
      </c>
      <c r="G310">
        <v>2030</v>
      </c>
      <c r="H310" s="12">
        <v>218.86</v>
      </c>
      <c r="I310" t="s">
        <v>3183</v>
      </c>
      <c r="J310" t="s">
        <v>15</v>
      </c>
      <c r="K310" t="s">
        <v>147</v>
      </c>
      <c r="L310" t="s">
        <v>3184</v>
      </c>
      <c r="M310" t="s">
        <v>15</v>
      </c>
    </row>
    <row r="311" spans="1:13">
      <c r="A311" t="s">
        <v>851</v>
      </c>
      <c r="B311" t="s">
        <v>687</v>
      </c>
      <c r="C311" t="s">
        <v>687</v>
      </c>
      <c r="D311" t="s">
        <v>24</v>
      </c>
      <c r="E311" t="s">
        <v>461</v>
      </c>
      <c r="F311" t="s">
        <v>668</v>
      </c>
      <c r="G311">
        <v>2035</v>
      </c>
      <c r="H311" s="12">
        <v>242.4</v>
      </c>
      <c r="I311" t="s">
        <v>3183</v>
      </c>
      <c r="J311" t="s">
        <v>15</v>
      </c>
      <c r="K311" t="s">
        <v>147</v>
      </c>
      <c r="L311" t="s">
        <v>3184</v>
      </c>
      <c r="M311" t="s">
        <v>15</v>
      </c>
    </row>
    <row r="312" spans="1:13">
      <c r="A312" t="s">
        <v>851</v>
      </c>
      <c r="B312" t="s">
        <v>687</v>
      </c>
      <c r="C312" t="s">
        <v>687</v>
      </c>
      <c r="D312" t="s">
        <v>24</v>
      </c>
      <c r="E312" t="s">
        <v>461</v>
      </c>
      <c r="F312" t="s">
        <v>668</v>
      </c>
      <c r="G312">
        <v>2040</v>
      </c>
      <c r="H312" s="12">
        <v>249.34</v>
      </c>
      <c r="I312" t="s">
        <v>3183</v>
      </c>
      <c r="J312" t="s">
        <v>15</v>
      </c>
      <c r="K312" t="s">
        <v>147</v>
      </c>
      <c r="L312" t="s">
        <v>3184</v>
      </c>
      <c r="M312" t="s">
        <v>15</v>
      </c>
    </row>
    <row r="313" spans="1:13">
      <c r="A313" t="s">
        <v>851</v>
      </c>
      <c r="B313" t="s">
        <v>687</v>
      </c>
      <c r="C313" t="s">
        <v>687</v>
      </c>
      <c r="D313" t="s">
        <v>24</v>
      </c>
      <c r="E313" t="s">
        <v>461</v>
      </c>
      <c r="F313" t="s">
        <v>668</v>
      </c>
      <c r="G313">
        <v>2045</v>
      </c>
      <c r="H313" s="12">
        <v>240.16</v>
      </c>
      <c r="I313" t="s">
        <v>3183</v>
      </c>
      <c r="J313" t="s">
        <v>15</v>
      </c>
      <c r="K313" t="s">
        <v>147</v>
      </c>
      <c r="L313" t="s">
        <v>3184</v>
      </c>
      <c r="M313" t="s">
        <v>15</v>
      </c>
    </row>
    <row r="314" spans="1:13">
      <c r="A314" t="s">
        <v>851</v>
      </c>
      <c r="B314" t="s">
        <v>687</v>
      </c>
      <c r="C314" t="s">
        <v>687</v>
      </c>
      <c r="D314" t="s">
        <v>24</v>
      </c>
      <c r="E314" t="s">
        <v>461</v>
      </c>
      <c r="F314" t="s">
        <v>668</v>
      </c>
      <c r="G314">
        <v>2050</v>
      </c>
      <c r="H314" s="12">
        <v>270.69</v>
      </c>
      <c r="I314" t="s">
        <v>3183</v>
      </c>
      <c r="J314" t="s">
        <v>15</v>
      </c>
      <c r="K314" t="s">
        <v>147</v>
      </c>
      <c r="L314" t="s">
        <v>3184</v>
      </c>
      <c r="M314" t="s">
        <v>15</v>
      </c>
    </row>
    <row r="315" spans="1:13">
      <c r="A315" t="s">
        <v>851</v>
      </c>
      <c r="B315" t="s">
        <v>686</v>
      </c>
      <c r="C315" t="s">
        <v>686</v>
      </c>
      <c r="D315" t="s">
        <v>24</v>
      </c>
      <c r="E315" t="s">
        <v>461</v>
      </c>
      <c r="F315" t="s">
        <v>668</v>
      </c>
      <c r="G315">
        <v>2010</v>
      </c>
      <c r="H315" s="12">
        <v>0</v>
      </c>
      <c r="I315" t="s">
        <v>3183</v>
      </c>
      <c r="J315" t="s">
        <v>8</v>
      </c>
      <c r="K315" t="s">
        <v>147</v>
      </c>
      <c r="L315" t="s">
        <v>3184</v>
      </c>
      <c r="M315" t="s">
        <v>670</v>
      </c>
    </row>
    <row r="316" spans="1:13">
      <c r="A316" t="s">
        <v>851</v>
      </c>
      <c r="B316" t="s">
        <v>686</v>
      </c>
      <c r="C316" t="s">
        <v>686</v>
      </c>
      <c r="D316" t="s">
        <v>24</v>
      </c>
      <c r="E316" t="s">
        <v>461</v>
      </c>
      <c r="F316" t="s">
        <v>668</v>
      </c>
      <c r="G316">
        <v>2015</v>
      </c>
      <c r="H316" s="12">
        <v>0</v>
      </c>
      <c r="I316" t="s">
        <v>3183</v>
      </c>
      <c r="J316" t="s">
        <v>8</v>
      </c>
      <c r="K316" t="s">
        <v>147</v>
      </c>
      <c r="L316" t="s">
        <v>3184</v>
      </c>
      <c r="M316" t="s">
        <v>670</v>
      </c>
    </row>
    <row r="317" spans="1:13">
      <c r="A317" t="s">
        <v>851</v>
      </c>
      <c r="B317" t="s">
        <v>686</v>
      </c>
      <c r="C317" t="s">
        <v>686</v>
      </c>
      <c r="D317" t="s">
        <v>24</v>
      </c>
      <c r="E317" t="s">
        <v>461</v>
      </c>
      <c r="F317" t="s">
        <v>668</v>
      </c>
      <c r="G317">
        <v>2020</v>
      </c>
      <c r="H317" s="12">
        <v>0</v>
      </c>
      <c r="I317" t="s">
        <v>3183</v>
      </c>
      <c r="J317" t="s">
        <v>8</v>
      </c>
      <c r="K317" t="s">
        <v>147</v>
      </c>
      <c r="L317" t="s">
        <v>3184</v>
      </c>
      <c r="M317" t="s">
        <v>670</v>
      </c>
    </row>
    <row r="318" spans="1:13">
      <c r="A318" t="s">
        <v>851</v>
      </c>
      <c r="B318" t="s">
        <v>686</v>
      </c>
      <c r="C318" t="s">
        <v>686</v>
      </c>
      <c r="D318" t="s">
        <v>24</v>
      </c>
      <c r="E318" t="s">
        <v>461</v>
      </c>
      <c r="F318" t="s">
        <v>668</v>
      </c>
      <c r="G318">
        <v>2030</v>
      </c>
      <c r="H318" s="12">
        <v>8.6</v>
      </c>
      <c r="I318" t="s">
        <v>3183</v>
      </c>
      <c r="J318" t="s">
        <v>8</v>
      </c>
      <c r="K318" t="s">
        <v>147</v>
      </c>
      <c r="L318" t="s">
        <v>3184</v>
      </c>
      <c r="M318" t="s">
        <v>670</v>
      </c>
    </row>
    <row r="319" spans="1:13">
      <c r="A319" t="s">
        <v>851</v>
      </c>
      <c r="B319" t="s">
        <v>686</v>
      </c>
      <c r="C319" t="s">
        <v>686</v>
      </c>
      <c r="D319" t="s">
        <v>24</v>
      </c>
      <c r="E319" t="s">
        <v>461</v>
      </c>
      <c r="F319" t="s">
        <v>668</v>
      </c>
      <c r="G319">
        <v>2035</v>
      </c>
      <c r="H319" s="12">
        <v>19.010000000000002</v>
      </c>
      <c r="I319" t="s">
        <v>3183</v>
      </c>
      <c r="J319" t="s">
        <v>8</v>
      </c>
      <c r="K319" t="s">
        <v>147</v>
      </c>
      <c r="L319" t="s">
        <v>3184</v>
      </c>
      <c r="M319" t="s">
        <v>670</v>
      </c>
    </row>
    <row r="320" spans="1:13">
      <c r="A320" t="s">
        <v>851</v>
      </c>
      <c r="B320" t="s">
        <v>686</v>
      </c>
      <c r="C320" t="s">
        <v>686</v>
      </c>
      <c r="D320" t="s">
        <v>24</v>
      </c>
      <c r="E320" t="s">
        <v>461</v>
      </c>
      <c r="F320" t="s">
        <v>668</v>
      </c>
      <c r="G320">
        <v>2040</v>
      </c>
      <c r="H320" s="12">
        <v>31.49</v>
      </c>
      <c r="I320" t="s">
        <v>3183</v>
      </c>
      <c r="J320" t="s">
        <v>8</v>
      </c>
      <c r="K320" t="s">
        <v>147</v>
      </c>
      <c r="L320" t="s">
        <v>3184</v>
      </c>
      <c r="M320" t="s">
        <v>670</v>
      </c>
    </row>
    <row r="321" spans="1:13">
      <c r="A321" t="s">
        <v>851</v>
      </c>
      <c r="B321" t="s">
        <v>686</v>
      </c>
      <c r="C321" t="s">
        <v>686</v>
      </c>
      <c r="D321" t="s">
        <v>24</v>
      </c>
      <c r="E321" t="s">
        <v>461</v>
      </c>
      <c r="F321" t="s">
        <v>668</v>
      </c>
      <c r="G321">
        <v>2045</v>
      </c>
      <c r="H321" s="12">
        <v>41.48</v>
      </c>
      <c r="I321" t="s">
        <v>3183</v>
      </c>
      <c r="J321" t="s">
        <v>8</v>
      </c>
      <c r="K321" t="s">
        <v>147</v>
      </c>
      <c r="L321" t="s">
        <v>3184</v>
      </c>
      <c r="M321" t="s">
        <v>670</v>
      </c>
    </row>
    <row r="322" spans="1:13">
      <c r="A322" t="s">
        <v>851</v>
      </c>
      <c r="B322" t="s">
        <v>686</v>
      </c>
      <c r="C322" t="s">
        <v>686</v>
      </c>
      <c r="D322" t="s">
        <v>24</v>
      </c>
      <c r="E322" t="s">
        <v>461</v>
      </c>
      <c r="F322" t="s">
        <v>668</v>
      </c>
      <c r="G322">
        <v>2050</v>
      </c>
      <c r="H322" s="12">
        <v>43.47</v>
      </c>
      <c r="I322" t="s">
        <v>3183</v>
      </c>
      <c r="J322" t="s">
        <v>8</v>
      </c>
      <c r="K322" t="s">
        <v>147</v>
      </c>
      <c r="L322" t="s">
        <v>3184</v>
      </c>
      <c r="M322" t="s">
        <v>670</v>
      </c>
    </row>
    <row r="323" spans="1:13">
      <c r="A323" t="s">
        <v>851</v>
      </c>
      <c r="B323" t="s">
        <v>687</v>
      </c>
      <c r="C323" t="s">
        <v>687</v>
      </c>
      <c r="D323" t="s">
        <v>24</v>
      </c>
      <c r="E323" t="s">
        <v>461</v>
      </c>
      <c r="F323" t="s">
        <v>668</v>
      </c>
      <c r="G323">
        <v>2030</v>
      </c>
      <c r="H323" s="12">
        <v>13.79</v>
      </c>
      <c r="I323" t="s">
        <v>3183</v>
      </c>
      <c r="J323" t="s">
        <v>8</v>
      </c>
      <c r="K323" t="s">
        <v>147</v>
      </c>
      <c r="L323" t="s">
        <v>3184</v>
      </c>
      <c r="M323" t="s">
        <v>670</v>
      </c>
    </row>
    <row r="324" spans="1:13">
      <c r="A324" t="s">
        <v>851</v>
      </c>
      <c r="B324" t="s">
        <v>687</v>
      </c>
      <c r="C324" t="s">
        <v>687</v>
      </c>
      <c r="D324" t="s">
        <v>24</v>
      </c>
      <c r="E324" t="s">
        <v>461</v>
      </c>
      <c r="F324" t="s">
        <v>668</v>
      </c>
      <c r="G324">
        <v>2035</v>
      </c>
      <c r="H324" s="12">
        <v>43.42</v>
      </c>
      <c r="I324" t="s">
        <v>3183</v>
      </c>
      <c r="J324" t="s">
        <v>8</v>
      </c>
      <c r="K324" t="s">
        <v>147</v>
      </c>
      <c r="L324" t="s">
        <v>3184</v>
      </c>
      <c r="M324" t="s">
        <v>670</v>
      </c>
    </row>
    <row r="325" spans="1:13">
      <c r="A325" t="s">
        <v>851</v>
      </c>
      <c r="B325" t="s">
        <v>687</v>
      </c>
      <c r="C325" t="s">
        <v>687</v>
      </c>
      <c r="D325" t="s">
        <v>24</v>
      </c>
      <c r="E325" t="s">
        <v>461</v>
      </c>
      <c r="F325" t="s">
        <v>668</v>
      </c>
      <c r="G325">
        <v>2040</v>
      </c>
      <c r="H325" s="12">
        <v>89.94</v>
      </c>
      <c r="I325" t="s">
        <v>3183</v>
      </c>
      <c r="J325" t="s">
        <v>8</v>
      </c>
      <c r="K325" t="s">
        <v>147</v>
      </c>
      <c r="L325" t="s">
        <v>3184</v>
      </c>
      <c r="M325" t="s">
        <v>670</v>
      </c>
    </row>
    <row r="326" spans="1:13">
      <c r="A326" t="s">
        <v>851</v>
      </c>
      <c r="B326" t="s">
        <v>687</v>
      </c>
      <c r="C326" t="s">
        <v>687</v>
      </c>
      <c r="D326" t="s">
        <v>24</v>
      </c>
      <c r="E326" t="s">
        <v>461</v>
      </c>
      <c r="F326" t="s">
        <v>668</v>
      </c>
      <c r="G326">
        <v>2045</v>
      </c>
      <c r="H326" s="12">
        <v>121.99</v>
      </c>
      <c r="I326" t="s">
        <v>3183</v>
      </c>
      <c r="J326" t="s">
        <v>8</v>
      </c>
      <c r="K326" t="s">
        <v>147</v>
      </c>
      <c r="L326" t="s">
        <v>3184</v>
      </c>
      <c r="M326" t="s">
        <v>670</v>
      </c>
    </row>
    <row r="327" spans="1:13">
      <c r="A327" t="s">
        <v>851</v>
      </c>
      <c r="B327" t="s">
        <v>687</v>
      </c>
      <c r="C327" t="s">
        <v>687</v>
      </c>
      <c r="D327" t="s">
        <v>24</v>
      </c>
      <c r="E327" t="s">
        <v>461</v>
      </c>
      <c r="F327" t="s">
        <v>668</v>
      </c>
      <c r="G327">
        <v>2050</v>
      </c>
      <c r="H327" s="12">
        <v>126.87</v>
      </c>
      <c r="I327" t="s">
        <v>3183</v>
      </c>
      <c r="J327" t="s">
        <v>8</v>
      </c>
      <c r="K327" t="s">
        <v>147</v>
      </c>
      <c r="L327" t="s">
        <v>3184</v>
      </c>
      <c r="M327" t="s">
        <v>670</v>
      </c>
    </row>
    <row r="328" spans="1:13">
      <c r="A328" t="s">
        <v>851</v>
      </c>
      <c r="B328" t="s">
        <v>686</v>
      </c>
      <c r="C328" t="s">
        <v>686</v>
      </c>
      <c r="D328" t="s">
        <v>24</v>
      </c>
      <c r="E328" t="s">
        <v>646</v>
      </c>
      <c r="F328" t="s">
        <v>40</v>
      </c>
      <c r="G328">
        <v>2010</v>
      </c>
      <c r="H328" s="12">
        <v>4</v>
      </c>
      <c r="I328" t="s">
        <v>3183</v>
      </c>
      <c r="J328" t="s">
        <v>6</v>
      </c>
      <c r="K328" t="s">
        <v>11</v>
      </c>
      <c r="L328" t="s">
        <v>3184</v>
      </c>
      <c r="M328" t="s">
        <v>659</v>
      </c>
    </row>
    <row r="329" spans="1:13">
      <c r="A329" t="s">
        <v>851</v>
      </c>
      <c r="B329" t="s">
        <v>686</v>
      </c>
      <c r="C329" t="s">
        <v>686</v>
      </c>
      <c r="D329" t="s">
        <v>24</v>
      </c>
      <c r="E329" t="s">
        <v>646</v>
      </c>
      <c r="F329" t="s">
        <v>40</v>
      </c>
      <c r="G329">
        <v>2015</v>
      </c>
      <c r="H329" s="12">
        <v>3</v>
      </c>
      <c r="I329" t="s">
        <v>3183</v>
      </c>
      <c r="J329" t="s">
        <v>6</v>
      </c>
      <c r="K329" t="s">
        <v>11</v>
      </c>
      <c r="L329" t="s">
        <v>3184</v>
      </c>
      <c r="M329" t="s">
        <v>659</v>
      </c>
    </row>
    <row r="330" spans="1:13">
      <c r="A330" t="s">
        <v>851</v>
      </c>
      <c r="B330" t="s">
        <v>686</v>
      </c>
      <c r="C330" t="s">
        <v>686</v>
      </c>
      <c r="D330" t="s">
        <v>24</v>
      </c>
      <c r="E330" t="s">
        <v>646</v>
      </c>
      <c r="F330" t="s">
        <v>40</v>
      </c>
      <c r="G330">
        <v>2020</v>
      </c>
      <c r="H330" s="12">
        <v>1</v>
      </c>
      <c r="I330" t="s">
        <v>3183</v>
      </c>
      <c r="J330" t="s">
        <v>6</v>
      </c>
      <c r="K330" t="s">
        <v>11</v>
      </c>
      <c r="L330" t="s">
        <v>3184</v>
      </c>
      <c r="M330" t="s">
        <v>659</v>
      </c>
    </row>
    <row r="331" spans="1:13">
      <c r="A331" t="s">
        <v>851</v>
      </c>
      <c r="B331" t="s">
        <v>686</v>
      </c>
      <c r="C331" t="s">
        <v>686</v>
      </c>
      <c r="D331" t="s">
        <v>24</v>
      </c>
      <c r="E331" t="s">
        <v>646</v>
      </c>
      <c r="F331" t="s">
        <v>40</v>
      </c>
      <c r="G331">
        <v>2030</v>
      </c>
      <c r="H331" s="12">
        <v>3</v>
      </c>
      <c r="I331" t="s">
        <v>3183</v>
      </c>
      <c r="J331" t="s">
        <v>6</v>
      </c>
      <c r="K331" t="s">
        <v>11</v>
      </c>
      <c r="L331" t="s">
        <v>3184</v>
      </c>
      <c r="M331" t="s">
        <v>659</v>
      </c>
    </row>
    <row r="332" spans="1:13">
      <c r="A332" t="s">
        <v>851</v>
      </c>
      <c r="B332" t="s">
        <v>686</v>
      </c>
      <c r="C332" t="s">
        <v>686</v>
      </c>
      <c r="D332" t="s">
        <v>24</v>
      </c>
      <c r="E332" t="s">
        <v>646</v>
      </c>
      <c r="F332" t="s">
        <v>40</v>
      </c>
      <c r="G332">
        <v>2035</v>
      </c>
      <c r="H332" s="12">
        <v>4</v>
      </c>
      <c r="I332" t="s">
        <v>3183</v>
      </c>
      <c r="J332" t="s">
        <v>6</v>
      </c>
      <c r="K332" t="s">
        <v>11</v>
      </c>
      <c r="L332" t="s">
        <v>3184</v>
      </c>
      <c r="M332" t="s">
        <v>659</v>
      </c>
    </row>
    <row r="333" spans="1:13">
      <c r="A333" t="s">
        <v>851</v>
      </c>
      <c r="B333" t="s">
        <v>686</v>
      </c>
      <c r="C333" t="s">
        <v>686</v>
      </c>
      <c r="D333" t="s">
        <v>24</v>
      </c>
      <c r="E333" t="s">
        <v>646</v>
      </c>
      <c r="F333" t="s">
        <v>40</v>
      </c>
      <c r="G333">
        <v>2040</v>
      </c>
      <c r="H333" s="12">
        <v>5</v>
      </c>
      <c r="I333" t="s">
        <v>3183</v>
      </c>
      <c r="J333" t="s">
        <v>6</v>
      </c>
      <c r="K333" t="s">
        <v>11</v>
      </c>
      <c r="L333" t="s">
        <v>3184</v>
      </c>
      <c r="M333" t="s">
        <v>659</v>
      </c>
    </row>
    <row r="334" spans="1:13">
      <c r="A334" t="s">
        <v>851</v>
      </c>
      <c r="B334" t="s">
        <v>686</v>
      </c>
      <c r="C334" t="s">
        <v>686</v>
      </c>
      <c r="D334" t="s">
        <v>24</v>
      </c>
      <c r="E334" t="s">
        <v>646</v>
      </c>
      <c r="F334" t="s">
        <v>40</v>
      </c>
      <c r="G334">
        <v>2045</v>
      </c>
      <c r="H334" s="12">
        <v>6</v>
      </c>
      <c r="I334" t="s">
        <v>3183</v>
      </c>
      <c r="J334" t="s">
        <v>6</v>
      </c>
      <c r="K334" t="s">
        <v>11</v>
      </c>
      <c r="L334" t="s">
        <v>3184</v>
      </c>
      <c r="M334" t="s">
        <v>659</v>
      </c>
    </row>
    <row r="335" spans="1:13">
      <c r="A335" t="s">
        <v>851</v>
      </c>
      <c r="B335" t="s">
        <v>686</v>
      </c>
      <c r="C335" t="s">
        <v>686</v>
      </c>
      <c r="D335" t="s">
        <v>24</v>
      </c>
      <c r="E335" t="s">
        <v>646</v>
      </c>
      <c r="F335" t="s">
        <v>40</v>
      </c>
      <c r="G335">
        <v>2050</v>
      </c>
      <c r="H335" s="12">
        <v>6</v>
      </c>
      <c r="I335" t="s">
        <v>3183</v>
      </c>
      <c r="J335" t="s">
        <v>6</v>
      </c>
      <c r="K335" t="s">
        <v>11</v>
      </c>
      <c r="L335" t="s">
        <v>3184</v>
      </c>
      <c r="M335" t="s">
        <v>659</v>
      </c>
    </row>
    <row r="336" spans="1:13">
      <c r="A336" t="s">
        <v>851</v>
      </c>
      <c r="B336" t="s">
        <v>687</v>
      </c>
      <c r="C336" t="s">
        <v>687</v>
      </c>
      <c r="D336" t="s">
        <v>24</v>
      </c>
      <c r="E336" t="s">
        <v>646</v>
      </c>
      <c r="F336" t="s">
        <v>40</v>
      </c>
      <c r="G336">
        <v>2030</v>
      </c>
      <c r="H336" s="12">
        <v>3</v>
      </c>
      <c r="I336" t="s">
        <v>3183</v>
      </c>
      <c r="J336" t="s">
        <v>6</v>
      </c>
      <c r="K336" t="s">
        <v>11</v>
      </c>
      <c r="L336" t="s">
        <v>3184</v>
      </c>
      <c r="M336" t="s">
        <v>659</v>
      </c>
    </row>
    <row r="337" spans="1:13">
      <c r="A337" t="s">
        <v>851</v>
      </c>
      <c r="B337" t="s">
        <v>687</v>
      </c>
      <c r="C337" t="s">
        <v>687</v>
      </c>
      <c r="D337" t="s">
        <v>24</v>
      </c>
      <c r="E337" t="s">
        <v>646</v>
      </c>
      <c r="F337" t="s">
        <v>40</v>
      </c>
      <c r="G337">
        <v>2035</v>
      </c>
      <c r="H337" s="12">
        <v>4</v>
      </c>
      <c r="I337" t="s">
        <v>3183</v>
      </c>
      <c r="J337" t="s">
        <v>6</v>
      </c>
      <c r="K337" t="s">
        <v>11</v>
      </c>
      <c r="L337" t="s">
        <v>3184</v>
      </c>
      <c r="M337" t="s">
        <v>659</v>
      </c>
    </row>
    <row r="338" spans="1:13">
      <c r="A338" t="s">
        <v>851</v>
      </c>
      <c r="B338" t="s">
        <v>687</v>
      </c>
      <c r="C338" t="s">
        <v>687</v>
      </c>
      <c r="D338" t="s">
        <v>24</v>
      </c>
      <c r="E338" t="s">
        <v>646</v>
      </c>
      <c r="F338" t="s">
        <v>40</v>
      </c>
      <c r="G338">
        <v>2040</v>
      </c>
      <c r="H338" s="12">
        <v>3</v>
      </c>
      <c r="I338" t="s">
        <v>3183</v>
      </c>
      <c r="J338" t="s">
        <v>6</v>
      </c>
      <c r="K338" t="s">
        <v>11</v>
      </c>
      <c r="L338" t="s">
        <v>3184</v>
      </c>
      <c r="M338" t="s">
        <v>659</v>
      </c>
    </row>
    <row r="339" spans="1:13">
      <c r="A339" t="s">
        <v>851</v>
      </c>
      <c r="B339" t="s">
        <v>687</v>
      </c>
      <c r="C339" t="s">
        <v>687</v>
      </c>
      <c r="D339" t="s">
        <v>24</v>
      </c>
      <c r="E339" t="s">
        <v>646</v>
      </c>
      <c r="F339" t="s">
        <v>40</v>
      </c>
      <c r="G339">
        <v>2045</v>
      </c>
      <c r="H339" s="12">
        <v>1</v>
      </c>
      <c r="I339" t="s">
        <v>3183</v>
      </c>
      <c r="J339" t="s">
        <v>6</v>
      </c>
      <c r="K339" t="s">
        <v>11</v>
      </c>
      <c r="L339" t="s">
        <v>3184</v>
      </c>
      <c r="M339" t="s">
        <v>659</v>
      </c>
    </row>
    <row r="340" spans="1:13">
      <c r="A340" t="s">
        <v>851</v>
      </c>
      <c r="B340" t="s">
        <v>687</v>
      </c>
      <c r="C340" t="s">
        <v>687</v>
      </c>
      <c r="D340" t="s">
        <v>24</v>
      </c>
      <c r="E340" t="s">
        <v>646</v>
      </c>
      <c r="F340" t="s">
        <v>40</v>
      </c>
      <c r="G340">
        <v>2050</v>
      </c>
      <c r="H340" s="12">
        <v>0</v>
      </c>
      <c r="I340" t="s">
        <v>3183</v>
      </c>
      <c r="J340" t="s">
        <v>6</v>
      </c>
      <c r="K340" t="s">
        <v>11</v>
      </c>
      <c r="L340" t="s">
        <v>3184</v>
      </c>
      <c r="M340" t="s">
        <v>659</v>
      </c>
    </row>
    <row r="341" spans="1:13">
      <c r="A341" t="s">
        <v>851</v>
      </c>
      <c r="B341" t="s">
        <v>686</v>
      </c>
      <c r="C341" t="s">
        <v>686</v>
      </c>
      <c r="D341" t="s">
        <v>24</v>
      </c>
      <c r="E341" t="s">
        <v>646</v>
      </c>
      <c r="F341" t="s">
        <v>40</v>
      </c>
      <c r="G341">
        <v>2010</v>
      </c>
      <c r="H341" s="12">
        <v>2286</v>
      </c>
      <c r="I341" t="s">
        <v>3183</v>
      </c>
      <c r="J341" t="s">
        <v>344</v>
      </c>
      <c r="K341" t="s">
        <v>658</v>
      </c>
      <c r="L341" t="s">
        <v>3184</v>
      </c>
      <c r="M341" t="s">
        <v>10</v>
      </c>
    </row>
    <row r="342" spans="1:13">
      <c r="A342" t="s">
        <v>851</v>
      </c>
      <c r="B342" t="s">
        <v>686</v>
      </c>
      <c r="C342" t="s">
        <v>686</v>
      </c>
      <c r="D342" t="s">
        <v>24</v>
      </c>
      <c r="E342" t="s">
        <v>646</v>
      </c>
      <c r="F342" t="s">
        <v>40</v>
      </c>
      <c r="G342">
        <v>2015</v>
      </c>
      <c r="H342" s="12">
        <v>2102</v>
      </c>
      <c r="I342" t="s">
        <v>3183</v>
      </c>
      <c r="J342" t="s">
        <v>344</v>
      </c>
      <c r="K342" t="s">
        <v>658</v>
      </c>
      <c r="L342" t="s">
        <v>3184</v>
      </c>
      <c r="M342" t="s">
        <v>10</v>
      </c>
    </row>
    <row r="343" spans="1:13">
      <c r="A343" t="s">
        <v>851</v>
      </c>
      <c r="B343" t="s">
        <v>686</v>
      </c>
      <c r="C343" t="s">
        <v>686</v>
      </c>
      <c r="D343" t="s">
        <v>24</v>
      </c>
      <c r="E343" t="s">
        <v>646</v>
      </c>
      <c r="F343" t="s">
        <v>40</v>
      </c>
      <c r="G343">
        <v>2020</v>
      </c>
      <c r="H343" s="12">
        <v>2047</v>
      </c>
      <c r="I343" t="s">
        <v>3183</v>
      </c>
      <c r="J343" t="s">
        <v>344</v>
      </c>
      <c r="K343" t="s">
        <v>658</v>
      </c>
      <c r="L343" t="s">
        <v>3184</v>
      </c>
      <c r="M343" t="s">
        <v>10</v>
      </c>
    </row>
    <row r="344" spans="1:13">
      <c r="A344" t="s">
        <v>851</v>
      </c>
      <c r="B344" t="s">
        <v>686</v>
      </c>
      <c r="C344" t="s">
        <v>686</v>
      </c>
      <c r="D344" t="s">
        <v>24</v>
      </c>
      <c r="E344" t="s">
        <v>646</v>
      </c>
      <c r="F344" t="s">
        <v>40</v>
      </c>
      <c r="G344">
        <v>2010</v>
      </c>
      <c r="H344" s="12">
        <v>741</v>
      </c>
      <c r="I344" t="s">
        <v>3183</v>
      </c>
      <c r="J344" t="s">
        <v>6</v>
      </c>
      <c r="K344" t="s">
        <v>658</v>
      </c>
      <c r="L344" t="s">
        <v>3184</v>
      </c>
      <c r="M344" t="s">
        <v>659</v>
      </c>
    </row>
    <row r="345" spans="1:13">
      <c r="A345" t="s">
        <v>851</v>
      </c>
      <c r="B345" t="s">
        <v>686</v>
      </c>
      <c r="C345" t="s">
        <v>686</v>
      </c>
      <c r="D345" t="s">
        <v>24</v>
      </c>
      <c r="E345" t="s">
        <v>646</v>
      </c>
      <c r="F345" t="s">
        <v>40</v>
      </c>
      <c r="G345">
        <v>2015</v>
      </c>
      <c r="H345" s="12">
        <v>751</v>
      </c>
      <c r="I345" t="s">
        <v>3183</v>
      </c>
      <c r="J345" t="s">
        <v>6</v>
      </c>
      <c r="K345" t="s">
        <v>658</v>
      </c>
      <c r="L345" t="s">
        <v>3184</v>
      </c>
      <c r="M345" t="s">
        <v>659</v>
      </c>
    </row>
    <row r="346" spans="1:13">
      <c r="A346" t="s">
        <v>851</v>
      </c>
      <c r="B346" t="s">
        <v>686</v>
      </c>
      <c r="C346" t="s">
        <v>686</v>
      </c>
      <c r="D346" t="s">
        <v>24</v>
      </c>
      <c r="E346" t="s">
        <v>646</v>
      </c>
      <c r="F346" t="s">
        <v>40</v>
      </c>
      <c r="G346">
        <v>2020</v>
      </c>
      <c r="H346" s="12">
        <v>688</v>
      </c>
      <c r="I346" t="s">
        <v>3183</v>
      </c>
      <c r="J346" t="s">
        <v>6</v>
      </c>
      <c r="K346" t="s">
        <v>658</v>
      </c>
      <c r="L346" t="s">
        <v>3184</v>
      </c>
      <c r="M346" t="s">
        <v>659</v>
      </c>
    </row>
    <row r="347" spans="1:13">
      <c r="A347" t="s">
        <v>851</v>
      </c>
      <c r="B347" t="s">
        <v>686</v>
      </c>
      <c r="C347" t="s">
        <v>686</v>
      </c>
      <c r="D347" t="s">
        <v>24</v>
      </c>
      <c r="E347" t="s">
        <v>646</v>
      </c>
      <c r="F347" t="s">
        <v>40</v>
      </c>
      <c r="G347">
        <v>2030</v>
      </c>
      <c r="H347" s="12">
        <v>695</v>
      </c>
      <c r="I347" t="s">
        <v>3183</v>
      </c>
      <c r="J347" t="s">
        <v>6</v>
      </c>
      <c r="K347" t="s">
        <v>658</v>
      </c>
      <c r="L347" t="s">
        <v>3184</v>
      </c>
      <c r="M347" t="s">
        <v>659</v>
      </c>
    </row>
    <row r="348" spans="1:13">
      <c r="A348" t="s">
        <v>851</v>
      </c>
      <c r="B348" t="s">
        <v>686</v>
      </c>
      <c r="C348" t="s">
        <v>686</v>
      </c>
      <c r="D348" t="s">
        <v>24</v>
      </c>
      <c r="E348" t="s">
        <v>646</v>
      </c>
      <c r="F348" t="s">
        <v>40</v>
      </c>
      <c r="G348">
        <v>2035</v>
      </c>
      <c r="H348" s="12">
        <v>658</v>
      </c>
      <c r="I348" t="s">
        <v>3183</v>
      </c>
      <c r="J348" t="s">
        <v>6</v>
      </c>
      <c r="K348" t="s">
        <v>658</v>
      </c>
      <c r="L348" t="s">
        <v>3184</v>
      </c>
      <c r="M348" t="s">
        <v>659</v>
      </c>
    </row>
    <row r="349" spans="1:13">
      <c r="A349" t="s">
        <v>851</v>
      </c>
      <c r="B349" t="s">
        <v>686</v>
      </c>
      <c r="C349" t="s">
        <v>686</v>
      </c>
      <c r="D349" t="s">
        <v>24</v>
      </c>
      <c r="E349" t="s">
        <v>646</v>
      </c>
      <c r="F349" t="s">
        <v>40</v>
      </c>
      <c r="G349">
        <v>2040</v>
      </c>
      <c r="H349" s="12">
        <v>631</v>
      </c>
      <c r="I349" t="s">
        <v>3183</v>
      </c>
      <c r="J349" t="s">
        <v>6</v>
      </c>
      <c r="K349" t="s">
        <v>658</v>
      </c>
      <c r="L349" t="s">
        <v>3184</v>
      </c>
      <c r="M349" t="s">
        <v>659</v>
      </c>
    </row>
    <row r="350" spans="1:13">
      <c r="A350" t="s">
        <v>851</v>
      </c>
      <c r="B350" t="s">
        <v>686</v>
      </c>
      <c r="C350" t="s">
        <v>686</v>
      </c>
      <c r="D350" t="s">
        <v>24</v>
      </c>
      <c r="E350" t="s">
        <v>646</v>
      </c>
      <c r="F350" t="s">
        <v>40</v>
      </c>
      <c r="G350">
        <v>2045</v>
      </c>
      <c r="H350" s="12">
        <v>601</v>
      </c>
      <c r="I350" t="s">
        <v>3183</v>
      </c>
      <c r="J350" t="s">
        <v>6</v>
      </c>
      <c r="K350" t="s">
        <v>658</v>
      </c>
      <c r="L350" t="s">
        <v>3184</v>
      </c>
      <c r="M350" t="s">
        <v>659</v>
      </c>
    </row>
    <row r="351" spans="1:13">
      <c r="A351" t="s">
        <v>851</v>
      </c>
      <c r="B351" t="s">
        <v>686</v>
      </c>
      <c r="C351" t="s">
        <v>686</v>
      </c>
      <c r="D351" t="s">
        <v>24</v>
      </c>
      <c r="E351" t="s">
        <v>646</v>
      </c>
      <c r="F351" t="s">
        <v>40</v>
      </c>
      <c r="G351">
        <v>2050</v>
      </c>
      <c r="H351" s="12">
        <v>565</v>
      </c>
      <c r="I351" t="s">
        <v>3183</v>
      </c>
      <c r="J351" t="s">
        <v>6</v>
      </c>
      <c r="K351" t="s">
        <v>658</v>
      </c>
      <c r="L351" t="s">
        <v>3184</v>
      </c>
      <c r="M351" t="s">
        <v>659</v>
      </c>
    </row>
    <row r="352" spans="1:13">
      <c r="A352" t="s">
        <v>851</v>
      </c>
      <c r="B352" t="s">
        <v>687</v>
      </c>
      <c r="C352" t="s">
        <v>687</v>
      </c>
      <c r="D352" t="s">
        <v>24</v>
      </c>
      <c r="E352" t="s">
        <v>646</v>
      </c>
      <c r="F352" t="s">
        <v>40</v>
      </c>
      <c r="G352">
        <v>2030</v>
      </c>
      <c r="H352" s="12">
        <v>549</v>
      </c>
      <c r="I352" t="s">
        <v>3183</v>
      </c>
      <c r="J352" t="s">
        <v>6</v>
      </c>
      <c r="K352" t="s">
        <v>658</v>
      </c>
      <c r="L352" t="s">
        <v>3184</v>
      </c>
      <c r="M352" t="s">
        <v>659</v>
      </c>
    </row>
    <row r="353" spans="1:13">
      <c r="A353" t="s">
        <v>851</v>
      </c>
      <c r="B353" t="s">
        <v>687</v>
      </c>
      <c r="C353" t="s">
        <v>687</v>
      </c>
      <c r="D353" t="s">
        <v>24</v>
      </c>
      <c r="E353" t="s">
        <v>646</v>
      </c>
      <c r="F353" t="s">
        <v>40</v>
      </c>
      <c r="G353">
        <v>2035</v>
      </c>
      <c r="H353" s="12">
        <v>412</v>
      </c>
      <c r="I353" t="s">
        <v>3183</v>
      </c>
      <c r="J353" t="s">
        <v>6</v>
      </c>
      <c r="K353" t="s">
        <v>658</v>
      </c>
      <c r="L353" t="s">
        <v>3184</v>
      </c>
      <c r="M353" t="s">
        <v>659</v>
      </c>
    </row>
    <row r="354" spans="1:13">
      <c r="A354" t="s">
        <v>851</v>
      </c>
      <c r="B354" t="s">
        <v>687</v>
      </c>
      <c r="C354" t="s">
        <v>687</v>
      </c>
      <c r="D354" t="s">
        <v>24</v>
      </c>
      <c r="E354" t="s">
        <v>646</v>
      </c>
      <c r="F354" t="s">
        <v>40</v>
      </c>
      <c r="G354">
        <v>2040</v>
      </c>
      <c r="H354" s="12">
        <v>266</v>
      </c>
      <c r="I354" t="s">
        <v>3183</v>
      </c>
      <c r="J354" t="s">
        <v>6</v>
      </c>
      <c r="K354" t="s">
        <v>658</v>
      </c>
      <c r="L354" t="s">
        <v>3184</v>
      </c>
      <c r="M354" t="s">
        <v>659</v>
      </c>
    </row>
    <row r="355" spans="1:13">
      <c r="A355" t="s">
        <v>851</v>
      </c>
      <c r="B355" t="s">
        <v>687</v>
      </c>
      <c r="C355" t="s">
        <v>687</v>
      </c>
      <c r="D355" t="s">
        <v>24</v>
      </c>
      <c r="E355" t="s">
        <v>646</v>
      </c>
      <c r="F355" t="s">
        <v>40</v>
      </c>
      <c r="G355">
        <v>2045</v>
      </c>
      <c r="H355" s="12">
        <v>127</v>
      </c>
      <c r="I355" t="s">
        <v>3183</v>
      </c>
      <c r="J355" t="s">
        <v>6</v>
      </c>
      <c r="K355" t="s">
        <v>658</v>
      </c>
      <c r="L355" t="s">
        <v>3184</v>
      </c>
      <c r="M355" t="s">
        <v>659</v>
      </c>
    </row>
    <row r="356" spans="1:13">
      <c r="A356" t="s">
        <v>851</v>
      </c>
      <c r="B356" t="s">
        <v>687</v>
      </c>
      <c r="C356" t="s">
        <v>687</v>
      </c>
      <c r="D356" t="s">
        <v>24</v>
      </c>
      <c r="E356" t="s">
        <v>646</v>
      </c>
      <c r="F356" t="s">
        <v>40</v>
      </c>
      <c r="G356">
        <v>2050</v>
      </c>
      <c r="H356" s="12">
        <v>0</v>
      </c>
      <c r="I356" t="s">
        <v>3183</v>
      </c>
      <c r="J356" t="s">
        <v>6</v>
      </c>
      <c r="K356" t="s">
        <v>658</v>
      </c>
      <c r="L356" t="s">
        <v>3184</v>
      </c>
      <c r="M356" t="s">
        <v>659</v>
      </c>
    </row>
    <row r="357" spans="1:13">
      <c r="A357" t="s">
        <v>851</v>
      </c>
      <c r="B357" t="s">
        <v>686</v>
      </c>
      <c r="C357" t="s">
        <v>686</v>
      </c>
      <c r="D357" t="s">
        <v>24</v>
      </c>
      <c r="E357" t="s">
        <v>646</v>
      </c>
      <c r="F357" t="s">
        <v>40</v>
      </c>
      <c r="G357">
        <v>2010</v>
      </c>
      <c r="H357" s="12">
        <v>10</v>
      </c>
      <c r="I357" t="s">
        <v>3183</v>
      </c>
      <c r="J357" t="s">
        <v>5</v>
      </c>
      <c r="K357" t="s">
        <v>658</v>
      </c>
      <c r="L357" t="s">
        <v>3184</v>
      </c>
      <c r="M357" t="s">
        <v>5</v>
      </c>
    </row>
    <row r="358" spans="1:13">
      <c r="A358" t="s">
        <v>851</v>
      </c>
      <c r="B358" t="s">
        <v>686</v>
      </c>
      <c r="C358" t="s">
        <v>686</v>
      </c>
      <c r="D358" t="s">
        <v>24</v>
      </c>
      <c r="E358" t="s">
        <v>646</v>
      </c>
      <c r="F358" t="s">
        <v>40</v>
      </c>
      <c r="G358">
        <v>2015</v>
      </c>
      <c r="H358" s="12">
        <v>8</v>
      </c>
      <c r="I358" t="s">
        <v>3183</v>
      </c>
      <c r="J358" t="s">
        <v>5</v>
      </c>
      <c r="K358" t="s">
        <v>658</v>
      </c>
      <c r="L358" t="s">
        <v>3184</v>
      </c>
      <c r="M358" t="s">
        <v>5</v>
      </c>
    </row>
    <row r="359" spans="1:13">
      <c r="A359" t="s">
        <v>851</v>
      </c>
      <c r="B359" t="s">
        <v>686</v>
      </c>
      <c r="C359" t="s">
        <v>686</v>
      </c>
      <c r="D359" t="s">
        <v>24</v>
      </c>
      <c r="E359" t="s">
        <v>646</v>
      </c>
      <c r="F359" t="s">
        <v>40</v>
      </c>
      <c r="G359">
        <v>2020</v>
      </c>
      <c r="H359" s="12">
        <v>5</v>
      </c>
      <c r="I359" t="s">
        <v>3183</v>
      </c>
      <c r="J359" t="s">
        <v>5</v>
      </c>
      <c r="K359" t="s">
        <v>658</v>
      </c>
      <c r="L359" t="s">
        <v>3184</v>
      </c>
      <c r="M359" t="s">
        <v>5</v>
      </c>
    </row>
    <row r="360" spans="1:13">
      <c r="A360" t="s">
        <v>851</v>
      </c>
      <c r="B360" t="s">
        <v>686</v>
      </c>
      <c r="C360" t="s">
        <v>686</v>
      </c>
      <c r="D360" t="s">
        <v>24</v>
      </c>
      <c r="E360" t="s">
        <v>646</v>
      </c>
      <c r="F360" t="s">
        <v>40</v>
      </c>
      <c r="G360">
        <v>2030</v>
      </c>
      <c r="H360" s="12">
        <v>0</v>
      </c>
      <c r="I360" t="s">
        <v>3183</v>
      </c>
      <c r="J360" t="s">
        <v>5</v>
      </c>
      <c r="K360" t="s">
        <v>658</v>
      </c>
      <c r="L360" t="s">
        <v>3184</v>
      </c>
      <c r="M360" t="s">
        <v>5</v>
      </c>
    </row>
    <row r="361" spans="1:13">
      <c r="A361" t="s">
        <v>851</v>
      </c>
      <c r="B361" t="s">
        <v>686</v>
      </c>
      <c r="C361" t="s">
        <v>686</v>
      </c>
      <c r="D361" t="s">
        <v>24</v>
      </c>
      <c r="E361" t="s">
        <v>646</v>
      </c>
      <c r="F361" t="s">
        <v>40</v>
      </c>
      <c r="G361">
        <v>2035</v>
      </c>
      <c r="H361" s="12">
        <v>0</v>
      </c>
      <c r="I361" t="s">
        <v>3183</v>
      </c>
      <c r="J361" t="s">
        <v>5</v>
      </c>
      <c r="K361" t="s">
        <v>658</v>
      </c>
      <c r="L361" t="s">
        <v>3184</v>
      </c>
      <c r="M361" t="s">
        <v>5</v>
      </c>
    </row>
    <row r="362" spans="1:13">
      <c r="A362" t="s">
        <v>851</v>
      </c>
      <c r="B362" t="s">
        <v>686</v>
      </c>
      <c r="C362" t="s">
        <v>686</v>
      </c>
      <c r="D362" t="s">
        <v>24</v>
      </c>
      <c r="E362" t="s">
        <v>646</v>
      </c>
      <c r="F362" t="s">
        <v>40</v>
      </c>
      <c r="G362">
        <v>2040</v>
      </c>
      <c r="H362" s="12">
        <v>0</v>
      </c>
      <c r="I362" t="s">
        <v>3183</v>
      </c>
      <c r="J362" t="s">
        <v>5</v>
      </c>
      <c r="K362" t="s">
        <v>658</v>
      </c>
      <c r="L362" t="s">
        <v>3184</v>
      </c>
      <c r="M362" t="s">
        <v>5</v>
      </c>
    </row>
    <row r="363" spans="1:13">
      <c r="A363" t="s">
        <v>851</v>
      </c>
      <c r="B363" t="s">
        <v>686</v>
      </c>
      <c r="C363" t="s">
        <v>686</v>
      </c>
      <c r="D363" t="s">
        <v>24</v>
      </c>
      <c r="E363" t="s">
        <v>646</v>
      </c>
      <c r="F363" t="s">
        <v>40</v>
      </c>
      <c r="G363">
        <v>2045</v>
      </c>
      <c r="H363" s="12">
        <v>0</v>
      </c>
      <c r="I363" t="s">
        <v>3183</v>
      </c>
      <c r="J363" t="s">
        <v>5</v>
      </c>
      <c r="K363" t="s">
        <v>658</v>
      </c>
      <c r="L363" t="s">
        <v>3184</v>
      </c>
      <c r="M363" t="s">
        <v>5</v>
      </c>
    </row>
    <row r="364" spans="1:13">
      <c r="A364" t="s">
        <v>851</v>
      </c>
      <c r="B364" t="s">
        <v>686</v>
      </c>
      <c r="C364" t="s">
        <v>686</v>
      </c>
      <c r="D364" t="s">
        <v>24</v>
      </c>
      <c r="E364" t="s">
        <v>646</v>
      </c>
      <c r="F364" t="s">
        <v>40</v>
      </c>
      <c r="G364">
        <v>2050</v>
      </c>
      <c r="H364" s="12">
        <v>0</v>
      </c>
      <c r="I364" t="s">
        <v>3183</v>
      </c>
      <c r="J364" t="s">
        <v>5</v>
      </c>
      <c r="K364" t="s">
        <v>658</v>
      </c>
      <c r="L364" t="s">
        <v>3184</v>
      </c>
      <c r="M364" t="s">
        <v>5</v>
      </c>
    </row>
    <row r="365" spans="1:13">
      <c r="A365" t="s">
        <v>851</v>
      </c>
      <c r="B365" t="s">
        <v>687</v>
      </c>
      <c r="C365" t="s">
        <v>687</v>
      </c>
      <c r="D365" t="s">
        <v>24</v>
      </c>
      <c r="E365" t="s">
        <v>646</v>
      </c>
      <c r="F365" t="s">
        <v>40</v>
      </c>
      <c r="G365">
        <v>2030</v>
      </c>
      <c r="H365" s="12">
        <v>0</v>
      </c>
      <c r="I365" t="s">
        <v>3183</v>
      </c>
      <c r="J365" t="s">
        <v>5</v>
      </c>
      <c r="K365" t="s">
        <v>658</v>
      </c>
      <c r="L365" t="s">
        <v>3184</v>
      </c>
      <c r="M365" t="s">
        <v>5</v>
      </c>
    </row>
    <row r="366" spans="1:13">
      <c r="A366" t="s">
        <v>851</v>
      </c>
      <c r="B366" t="s">
        <v>687</v>
      </c>
      <c r="C366" t="s">
        <v>687</v>
      </c>
      <c r="D366" t="s">
        <v>24</v>
      </c>
      <c r="E366" t="s">
        <v>646</v>
      </c>
      <c r="F366" t="s">
        <v>40</v>
      </c>
      <c r="G366">
        <v>2035</v>
      </c>
      <c r="H366" s="12">
        <v>0</v>
      </c>
      <c r="I366" t="s">
        <v>3183</v>
      </c>
      <c r="J366" t="s">
        <v>5</v>
      </c>
      <c r="K366" t="s">
        <v>658</v>
      </c>
      <c r="L366" t="s">
        <v>3184</v>
      </c>
      <c r="M366" t="s">
        <v>5</v>
      </c>
    </row>
    <row r="367" spans="1:13">
      <c r="A367" t="s">
        <v>851</v>
      </c>
      <c r="B367" t="s">
        <v>687</v>
      </c>
      <c r="C367" t="s">
        <v>687</v>
      </c>
      <c r="D367" t="s">
        <v>24</v>
      </c>
      <c r="E367" t="s">
        <v>646</v>
      </c>
      <c r="F367" t="s">
        <v>40</v>
      </c>
      <c r="G367">
        <v>2040</v>
      </c>
      <c r="H367" s="12">
        <v>0</v>
      </c>
      <c r="I367" t="s">
        <v>3183</v>
      </c>
      <c r="J367" t="s">
        <v>5</v>
      </c>
      <c r="K367" t="s">
        <v>658</v>
      </c>
      <c r="L367" t="s">
        <v>3184</v>
      </c>
      <c r="M367" t="s">
        <v>5</v>
      </c>
    </row>
    <row r="368" spans="1:13">
      <c r="A368" t="s">
        <v>851</v>
      </c>
      <c r="B368" t="s">
        <v>687</v>
      </c>
      <c r="C368" t="s">
        <v>687</v>
      </c>
      <c r="D368" t="s">
        <v>24</v>
      </c>
      <c r="E368" t="s">
        <v>646</v>
      </c>
      <c r="F368" t="s">
        <v>40</v>
      </c>
      <c r="G368">
        <v>2045</v>
      </c>
      <c r="H368" s="12">
        <v>0</v>
      </c>
      <c r="I368" t="s">
        <v>3183</v>
      </c>
      <c r="J368" t="s">
        <v>5</v>
      </c>
      <c r="K368" t="s">
        <v>658</v>
      </c>
      <c r="L368" t="s">
        <v>3184</v>
      </c>
      <c r="M368" t="s">
        <v>5</v>
      </c>
    </row>
    <row r="369" spans="1:13">
      <c r="A369" t="s">
        <v>851</v>
      </c>
      <c r="B369" t="s">
        <v>687</v>
      </c>
      <c r="C369" t="s">
        <v>687</v>
      </c>
      <c r="D369" t="s">
        <v>24</v>
      </c>
      <c r="E369" t="s">
        <v>646</v>
      </c>
      <c r="F369" t="s">
        <v>40</v>
      </c>
      <c r="G369">
        <v>2050</v>
      </c>
      <c r="H369" s="12">
        <v>0</v>
      </c>
      <c r="I369" t="s">
        <v>3183</v>
      </c>
      <c r="J369" t="s">
        <v>5</v>
      </c>
      <c r="K369" t="s">
        <v>658</v>
      </c>
      <c r="L369" t="s">
        <v>3184</v>
      </c>
      <c r="M369" t="s">
        <v>5</v>
      </c>
    </row>
    <row r="370" spans="1:13">
      <c r="A370" t="s">
        <v>851</v>
      </c>
      <c r="B370" t="s">
        <v>687</v>
      </c>
      <c r="C370" t="s">
        <v>687</v>
      </c>
      <c r="D370" t="s">
        <v>24</v>
      </c>
      <c r="E370" t="s">
        <v>646</v>
      </c>
      <c r="F370" t="s">
        <v>40</v>
      </c>
      <c r="G370">
        <v>2040</v>
      </c>
      <c r="H370" s="12">
        <v>1548</v>
      </c>
      <c r="I370" t="s">
        <v>3183</v>
      </c>
      <c r="J370" t="s">
        <v>344</v>
      </c>
      <c r="K370" t="s">
        <v>9</v>
      </c>
      <c r="L370" t="s">
        <v>3184</v>
      </c>
      <c r="M370" t="s">
        <v>10</v>
      </c>
    </row>
    <row r="371" spans="1:13">
      <c r="A371" t="s">
        <v>851</v>
      </c>
      <c r="B371" t="s">
        <v>687</v>
      </c>
      <c r="C371" t="s">
        <v>687</v>
      </c>
      <c r="D371" t="s">
        <v>24</v>
      </c>
      <c r="E371" t="s">
        <v>646</v>
      </c>
      <c r="F371" t="s">
        <v>40</v>
      </c>
      <c r="G371">
        <v>2045</v>
      </c>
      <c r="H371" s="12">
        <v>1650</v>
      </c>
      <c r="I371" t="s">
        <v>3183</v>
      </c>
      <c r="J371" t="s">
        <v>344</v>
      </c>
      <c r="K371" t="s">
        <v>9</v>
      </c>
      <c r="L371" t="s">
        <v>3184</v>
      </c>
      <c r="M371" t="s">
        <v>10</v>
      </c>
    </row>
    <row r="372" spans="1:13">
      <c r="A372" t="s">
        <v>851</v>
      </c>
      <c r="B372" t="s">
        <v>687</v>
      </c>
      <c r="C372" t="s">
        <v>687</v>
      </c>
      <c r="D372" t="s">
        <v>24</v>
      </c>
      <c r="E372" t="s">
        <v>646</v>
      </c>
      <c r="F372" t="s">
        <v>40</v>
      </c>
      <c r="G372">
        <v>2050</v>
      </c>
      <c r="H372" s="12">
        <v>1706</v>
      </c>
      <c r="I372" t="s">
        <v>3183</v>
      </c>
      <c r="J372" t="s">
        <v>344</v>
      </c>
      <c r="K372" t="s">
        <v>9</v>
      </c>
      <c r="L372" t="s">
        <v>3184</v>
      </c>
      <c r="M372" t="s">
        <v>10</v>
      </c>
    </row>
    <row r="373" spans="1:13">
      <c r="A373" t="s">
        <v>851</v>
      </c>
      <c r="B373" t="s">
        <v>686</v>
      </c>
      <c r="C373" t="s">
        <v>686</v>
      </c>
      <c r="D373" t="s">
        <v>24</v>
      </c>
      <c r="E373" t="s">
        <v>646</v>
      </c>
      <c r="F373" t="s">
        <v>40</v>
      </c>
      <c r="G373">
        <v>2040</v>
      </c>
      <c r="H373" s="12">
        <v>1371</v>
      </c>
      <c r="I373" t="s">
        <v>3183</v>
      </c>
      <c r="J373" t="s">
        <v>5</v>
      </c>
      <c r="K373" t="s">
        <v>9</v>
      </c>
      <c r="L373" t="s">
        <v>3184</v>
      </c>
      <c r="M373" t="s">
        <v>665</v>
      </c>
    </row>
    <row r="374" spans="1:13">
      <c r="A374" t="s">
        <v>851</v>
      </c>
      <c r="B374" t="s">
        <v>686</v>
      </c>
      <c r="C374" t="s">
        <v>686</v>
      </c>
      <c r="D374" t="s">
        <v>24</v>
      </c>
      <c r="E374" t="s">
        <v>646</v>
      </c>
      <c r="F374" t="s">
        <v>40</v>
      </c>
      <c r="G374">
        <v>2045</v>
      </c>
      <c r="H374" s="12">
        <v>1327</v>
      </c>
      <c r="I374" t="s">
        <v>3183</v>
      </c>
      <c r="J374" t="s">
        <v>5</v>
      </c>
      <c r="K374" t="s">
        <v>9</v>
      </c>
      <c r="L374" t="s">
        <v>3184</v>
      </c>
      <c r="M374" t="s">
        <v>665</v>
      </c>
    </row>
    <row r="375" spans="1:13">
      <c r="A375" t="s">
        <v>851</v>
      </c>
      <c r="B375" t="s">
        <v>686</v>
      </c>
      <c r="C375" t="s">
        <v>686</v>
      </c>
      <c r="D375" t="s">
        <v>24</v>
      </c>
      <c r="E375" t="s">
        <v>646</v>
      </c>
      <c r="F375" t="s">
        <v>40</v>
      </c>
      <c r="G375">
        <v>2050</v>
      </c>
      <c r="H375" s="12">
        <v>1283</v>
      </c>
      <c r="I375" t="s">
        <v>3183</v>
      </c>
      <c r="J375" t="s">
        <v>5</v>
      </c>
      <c r="K375" t="s">
        <v>9</v>
      </c>
      <c r="L375" t="s">
        <v>3184</v>
      </c>
      <c r="M375" t="s">
        <v>665</v>
      </c>
    </row>
    <row r="376" spans="1:13">
      <c r="A376" t="s">
        <v>851</v>
      </c>
      <c r="B376" t="s">
        <v>687</v>
      </c>
      <c r="C376" t="s">
        <v>687</v>
      </c>
      <c r="D376" t="s">
        <v>24</v>
      </c>
      <c r="E376" t="s">
        <v>646</v>
      </c>
      <c r="F376" t="s">
        <v>40</v>
      </c>
      <c r="G376">
        <v>2030</v>
      </c>
      <c r="H376" s="12">
        <v>1240</v>
      </c>
      <c r="I376" t="s">
        <v>3183</v>
      </c>
      <c r="J376" t="s">
        <v>5</v>
      </c>
      <c r="K376" t="s">
        <v>9</v>
      </c>
      <c r="L376" t="s">
        <v>3184</v>
      </c>
      <c r="M376" t="s">
        <v>665</v>
      </c>
    </row>
    <row r="377" spans="1:13">
      <c r="A377" t="s">
        <v>851</v>
      </c>
      <c r="B377" t="s">
        <v>687</v>
      </c>
      <c r="C377" t="s">
        <v>687</v>
      </c>
      <c r="D377" t="s">
        <v>24</v>
      </c>
      <c r="E377" t="s">
        <v>646</v>
      </c>
      <c r="F377" t="s">
        <v>40</v>
      </c>
      <c r="G377">
        <v>2035</v>
      </c>
      <c r="H377" s="12">
        <v>922</v>
      </c>
      <c r="I377" t="s">
        <v>3183</v>
      </c>
      <c r="J377" t="s">
        <v>5</v>
      </c>
      <c r="K377" t="s">
        <v>9</v>
      </c>
      <c r="L377" t="s">
        <v>3184</v>
      </c>
      <c r="M377" t="s">
        <v>665</v>
      </c>
    </row>
    <row r="378" spans="1:13">
      <c r="A378" t="s">
        <v>851</v>
      </c>
      <c r="B378" t="s">
        <v>687</v>
      </c>
      <c r="C378" t="s">
        <v>687</v>
      </c>
      <c r="D378" t="s">
        <v>24</v>
      </c>
      <c r="E378" t="s">
        <v>646</v>
      </c>
      <c r="F378" t="s">
        <v>40</v>
      </c>
      <c r="G378">
        <v>2040</v>
      </c>
      <c r="H378" s="12">
        <v>622</v>
      </c>
      <c r="I378" t="s">
        <v>3183</v>
      </c>
      <c r="J378" t="s">
        <v>5</v>
      </c>
      <c r="K378" t="s">
        <v>9</v>
      </c>
      <c r="L378" t="s">
        <v>3184</v>
      </c>
      <c r="M378" t="s">
        <v>665</v>
      </c>
    </row>
    <row r="379" spans="1:13">
      <c r="A379" t="s">
        <v>851</v>
      </c>
      <c r="B379" t="s">
        <v>687</v>
      </c>
      <c r="C379" t="s">
        <v>687</v>
      </c>
      <c r="D379" t="s">
        <v>24</v>
      </c>
      <c r="E379" t="s">
        <v>646</v>
      </c>
      <c r="F379" t="s">
        <v>40</v>
      </c>
      <c r="G379">
        <v>2045</v>
      </c>
      <c r="H379" s="12">
        <v>370</v>
      </c>
      <c r="I379" t="s">
        <v>3183</v>
      </c>
      <c r="J379" t="s">
        <v>5</v>
      </c>
      <c r="K379" t="s">
        <v>9</v>
      </c>
      <c r="L379" t="s">
        <v>3184</v>
      </c>
      <c r="M379" t="s">
        <v>665</v>
      </c>
    </row>
    <row r="380" spans="1:13">
      <c r="A380" t="s">
        <v>851</v>
      </c>
      <c r="B380" t="s">
        <v>687</v>
      </c>
      <c r="C380" t="s">
        <v>687</v>
      </c>
      <c r="D380" t="s">
        <v>24</v>
      </c>
      <c r="E380" t="s">
        <v>646</v>
      </c>
      <c r="F380" t="s">
        <v>40</v>
      </c>
      <c r="G380">
        <v>2050</v>
      </c>
      <c r="H380" s="12">
        <v>181</v>
      </c>
      <c r="I380" t="s">
        <v>3183</v>
      </c>
      <c r="J380" t="s">
        <v>5</v>
      </c>
      <c r="K380" t="s">
        <v>9</v>
      </c>
      <c r="L380" t="s">
        <v>3184</v>
      </c>
      <c r="M380" t="s">
        <v>665</v>
      </c>
    </row>
    <row r="381" spans="1:13">
      <c r="A381" t="s">
        <v>851</v>
      </c>
      <c r="B381" t="s">
        <v>686</v>
      </c>
      <c r="C381" t="s">
        <v>686</v>
      </c>
      <c r="D381" t="s">
        <v>24</v>
      </c>
      <c r="E381" t="s">
        <v>646</v>
      </c>
      <c r="F381" t="s">
        <v>40</v>
      </c>
      <c r="G381">
        <v>2010</v>
      </c>
      <c r="H381" s="12">
        <v>66</v>
      </c>
      <c r="I381" t="s">
        <v>3183</v>
      </c>
      <c r="J381" t="s">
        <v>344</v>
      </c>
      <c r="K381" t="s">
        <v>11</v>
      </c>
      <c r="L381" t="s">
        <v>3184</v>
      </c>
      <c r="M381" t="s">
        <v>10</v>
      </c>
    </row>
    <row r="382" spans="1:13">
      <c r="A382" t="s">
        <v>851</v>
      </c>
      <c r="B382" t="s">
        <v>686</v>
      </c>
      <c r="C382" t="s">
        <v>686</v>
      </c>
      <c r="D382" t="s">
        <v>24</v>
      </c>
      <c r="E382" t="s">
        <v>646</v>
      </c>
      <c r="F382" t="s">
        <v>40</v>
      </c>
      <c r="G382">
        <v>2015</v>
      </c>
      <c r="H382" s="12">
        <v>63</v>
      </c>
      <c r="I382" t="s">
        <v>3183</v>
      </c>
      <c r="J382" t="s">
        <v>344</v>
      </c>
      <c r="K382" t="s">
        <v>11</v>
      </c>
      <c r="L382" t="s">
        <v>3184</v>
      </c>
      <c r="M382" t="s">
        <v>10</v>
      </c>
    </row>
    <row r="383" spans="1:13">
      <c r="A383" t="s">
        <v>851</v>
      </c>
      <c r="B383" t="s">
        <v>686</v>
      </c>
      <c r="C383" t="s">
        <v>686</v>
      </c>
      <c r="D383" t="s">
        <v>24</v>
      </c>
      <c r="E383" t="s">
        <v>646</v>
      </c>
      <c r="F383" t="s">
        <v>40</v>
      </c>
      <c r="G383">
        <v>2020</v>
      </c>
      <c r="H383" s="12">
        <v>62</v>
      </c>
      <c r="I383" t="s">
        <v>3183</v>
      </c>
      <c r="J383" t="s">
        <v>344</v>
      </c>
      <c r="K383" t="s">
        <v>11</v>
      </c>
      <c r="L383" t="s">
        <v>3184</v>
      </c>
      <c r="M383" t="s">
        <v>10</v>
      </c>
    </row>
    <row r="384" spans="1:13">
      <c r="A384" t="s">
        <v>851</v>
      </c>
      <c r="B384" t="s">
        <v>686</v>
      </c>
      <c r="C384" t="s">
        <v>686</v>
      </c>
      <c r="D384" t="s">
        <v>24</v>
      </c>
      <c r="E384" t="s">
        <v>646</v>
      </c>
      <c r="F384" t="s">
        <v>40</v>
      </c>
      <c r="G384">
        <v>2030</v>
      </c>
      <c r="H384" s="12">
        <v>110</v>
      </c>
      <c r="I384" t="s">
        <v>3183</v>
      </c>
      <c r="J384" t="s">
        <v>344</v>
      </c>
      <c r="K384" t="s">
        <v>11</v>
      </c>
      <c r="L384" t="s">
        <v>3184</v>
      </c>
      <c r="M384" t="s">
        <v>10</v>
      </c>
    </row>
    <row r="385" spans="1:13">
      <c r="A385" t="s">
        <v>851</v>
      </c>
      <c r="B385" t="s">
        <v>686</v>
      </c>
      <c r="C385" t="s">
        <v>686</v>
      </c>
      <c r="D385" t="s">
        <v>24</v>
      </c>
      <c r="E385" t="s">
        <v>646</v>
      </c>
      <c r="F385" t="s">
        <v>40</v>
      </c>
      <c r="G385">
        <v>2035</v>
      </c>
      <c r="H385" s="12">
        <v>161</v>
      </c>
      <c r="I385" t="s">
        <v>3183</v>
      </c>
      <c r="J385" t="s">
        <v>344</v>
      </c>
      <c r="K385" t="s">
        <v>11</v>
      </c>
      <c r="L385" t="s">
        <v>3184</v>
      </c>
      <c r="M385" t="s">
        <v>10</v>
      </c>
    </row>
    <row r="386" spans="1:13">
      <c r="A386" t="s">
        <v>851</v>
      </c>
      <c r="B386" t="s">
        <v>686</v>
      </c>
      <c r="C386" t="s">
        <v>686</v>
      </c>
      <c r="D386" t="s">
        <v>24</v>
      </c>
      <c r="E386" t="s">
        <v>646</v>
      </c>
      <c r="F386" t="s">
        <v>40</v>
      </c>
      <c r="G386">
        <v>2040</v>
      </c>
      <c r="H386" s="12">
        <v>204</v>
      </c>
      <c r="I386" t="s">
        <v>3183</v>
      </c>
      <c r="J386" t="s">
        <v>344</v>
      </c>
      <c r="K386" t="s">
        <v>11</v>
      </c>
      <c r="L386" t="s">
        <v>3184</v>
      </c>
      <c r="M386" t="s">
        <v>10</v>
      </c>
    </row>
    <row r="387" spans="1:13">
      <c r="A387" t="s">
        <v>851</v>
      </c>
      <c r="B387" t="s">
        <v>686</v>
      </c>
      <c r="C387" t="s">
        <v>686</v>
      </c>
      <c r="D387" t="s">
        <v>24</v>
      </c>
      <c r="E387" t="s">
        <v>646</v>
      </c>
      <c r="F387" t="s">
        <v>40</v>
      </c>
      <c r="G387">
        <v>2045</v>
      </c>
      <c r="H387" s="12">
        <v>240</v>
      </c>
      <c r="I387" t="s">
        <v>3183</v>
      </c>
      <c r="J387" t="s">
        <v>344</v>
      </c>
      <c r="K387" t="s">
        <v>11</v>
      </c>
      <c r="L387" t="s">
        <v>3184</v>
      </c>
      <c r="M387" t="s">
        <v>10</v>
      </c>
    </row>
    <row r="388" spans="1:13">
      <c r="A388" t="s">
        <v>851</v>
      </c>
      <c r="B388" t="s">
        <v>686</v>
      </c>
      <c r="C388" t="s">
        <v>686</v>
      </c>
      <c r="D388" t="s">
        <v>24</v>
      </c>
      <c r="E388" t="s">
        <v>646</v>
      </c>
      <c r="F388" t="s">
        <v>40</v>
      </c>
      <c r="G388">
        <v>2050</v>
      </c>
      <c r="H388" s="12">
        <v>261</v>
      </c>
      <c r="I388" t="s">
        <v>3183</v>
      </c>
      <c r="J388" t="s">
        <v>344</v>
      </c>
      <c r="K388" t="s">
        <v>11</v>
      </c>
      <c r="L388" t="s">
        <v>3184</v>
      </c>
      <c r="M388" t="s">
        <v>10</v>
      </c>
    </row>
    <row r="389" spans="1:13">
      <c r="A389" t="s">
        <v>851</v>
      </c>
      <c r="B389" t="s">
        <v>687</v>
      </c>
      <c r="C389" t="s">
        <v>687</v>
      </c>
      <c r="D389" t="s">
        <v>24</v>
      </c>
      <c r="E389" t="s">
        <v>646</v>
      </c>
      <c r="F389" t="s">
        <v>40</v>
      </c>
      <c r="G389">
        <v>2030</v>
      </c>
      <c r="H389" s="12">
        <v>150</v>
      </c>
      <c r="I389" t="s">
        <v>3183</v>
      </c>
      <c r="J389" t="s">
        <v>344</v>
      </c>
      <c r="K389" t="s">
        <v>11</v>
      </c>
      <c r="L389" t="s">
        <v>3184</v>
      </c>
      <c r="M389" t="s">
        <v>10</v>
      </c>
    </row>
    <row r="390" spans="1:13">
      <c r="A390" t="s">
        <v>851</v>
      </c>
      <c r="B390" t="s">
        <v>687</v>
      </c>
      <c r="C390" t="s">
        <v>687</v>
      </c>
      <c r="D390" t="s">
        <v>24</v>
      </c>
      <c r="E390" t="s">
        <v>646</v>
      </c>
      <c r="F390" t="s">
        <v>40</v>
      </c>
      <c r="G390">
        <v>2035</v>
      </c>
      <c r="H390" s="12">
        <v>246</v>
      </c>
      <c r="I390" t="s">
        <v>3183</v>
      </c>
      <c r="J390" t="s">
        <v>344</v>
      </c>
      <c r="K390" t="s">
        <v>11</v>
      </c>
      <c r="L390" t="s">
        <v>3184</v>
      </c>
      <c r="M390" t="s">
        <v>10</v>
      </c>
    </row>
    <row r="391" spans="1:13">
      <c r="A391" t="s">
        <v>851</v>
      </c>
      <c r="B391" t="s">
        <v>687</v>
      </c>
      <c r="C391" t="s">
        <v>687</v>
      </c>
      <c r="D391" t="s">
        <v>24</v>
      </c>
      <c r="E391" t="s">
        <v>646</v>
      </c>
      <c r="F391" t="s">
        <v>40</v>
      </c>
      <c r="G391">
        <v>2040</v>
      </c>
      <c r="H391" s="12">
        <v>347</v>
      </c>
      <c r="I391" t="s">
        <v>3183</v>
      </c>
      <c r="J391" t="s">
        <v>344</v>
      </c>
      <c r="K391" t="s">
        <v>11</v>
      </c>
      <c r="L391" t="s">
        <v>3184</v>
      </c>
      <c r="M391" t="s">
        <v>10</v>
      </c>
    </row>
    <row r="392" spans="1:13">
      <c r="A392" t="s">
        <v>851</v>
      </c>
      <c r="B392" t="s">
        <v>687</v>
      </c>
      <c r="C392" t="s">
        <v>687</v>
      </c>
      <c r="D392" t="s">
        <v>24</v>
      </c>
      <c r="E392" t="s">
        <v>646</v>
      </c>
      <c r="F392" t="s">
        <v>40</v>
      </c>
      <c r="G392">
        <v>2045</v>
      </c>
      <c r="H392" s="12">
        <v>440</v>
      </c>
      <c r="I392" t="s">
        <v>3183</v>
      </c>
      <c r="J392" t="s">
        <v>344</v>
      </c>
      <c r="K392" t="s">
        <v>11</v>
      </c>
      <c r="L392" t="s">
        <v>3184</v>
      </c>
      <c r="M392" t="s">
        <v>10</v>
      </c>
    </row>
    <row r="393" spans="1:13">
      <c r="A393" t="s">
        <v>851</v>
      </c>
      <c r="B393" t="s">
        <v>687</v>
      </c>
      <c r="C393" t="s">
        <v>687</v>
      </c>
      <c r="D393" t="s">
        <v>24</v>
      </c>
      <c r="E393" t="s">
        <v>646</v>
      </c>
      <c r="F393" t="s">
        <v>40</v>
      </c>
      <c r="G393">
        <v>2050</v>
      </c>
      <c r="H393" s="12">
        <v>493</v>
      </c>
      <c r="I393" t="s">
        <v>3183</v>
      </c>
      <c r="J393" t="s">
        <v>344</v>
      </c>
      <c r="K393" t="s">
        <v>11</v>
      </c>
      <c r="L393" t="s">
        <v>3184</v>
      </c>
      <c r="M393" t="s">
        <v>10</v>
      </c>
    </row>
    <row r="394" spans="1:13">
      <c r="A394" t="s">
        <v>851</v>
      </c>
      <c r="B394" t="s">
        <v>686</v>
      </c>
      <c r="C394" t="s">
        <v>686</v>
      </c>
      <c r="D394" t="s">
        <v>24</v>
      </c>
      <c r="E394" t="s">
        <v>646</v>
      </c>
      <c r="F394" t="s">
        <v>40</v>
      </c>
      <c r="G394">
        <v>2010</v>
      </c>
      <c r="H394" s="12">
        <v>3214</v>
      </c>
      <c r="I394" t="s">
        <v>3183</v>
      </c>
      <c r="J394" t="s">
        <v>394</v>
      </c>
      <c r="K394" t="s">
        <v>11</v>
      </c>
      <c r="L394" t="s">
        <v>3184</v>
      </c>
      <c r="M394" t="s">
        <v>16</v>
      </c>
    </row>
    <row r="395" spans="1:13">
      <c r="A395" t="s">
        <v>851</v>
      </c>
      <c r="B395" t="s">
        <v>686</v>
      </c>
      <c r="C395" t="s">
        <v>686</v>
      </c>
      <c r="D395" t="s">
        <v>24</v>
      </c>
      <c r="E395" t="s">
        <v>646</v>
      </c>
      <c r="F395" t="s">
        <v>40</v>
      </c>
      <c r="G395">
        <v>2015</v>
      </c>
      <c r="H395" s="12">
        <v>2968</v>
      </c>
      <c r="I395" t="s">
        <v>3183</v>
      </c>
      <c r="J395" t="s">
        <v>394</v>
      </c>
      <c r="K395" t="s">
        <v>11</v>
      </c>
      <c r="L395" t="s">
        <v>3184</v>
      </c>
      <c r="M395" t="s">
        <v>16</v>
      </c>
    </row>
    <row r="396" spans="1:13">
      <c r="A396" t="s">
        <v>851</v>
      </c>
      <c r="B396" t="s">
        <v>686</v>
      </c>
      <c r="C396" t="s">
        <v>686</v>
      </c>
      <c r="D396" t="s">
        <v>24</v>
      </c>
      <c r="E396" t="s">
        <v>646</v>
      </c>
      <c r="F396" t="s">
        <v>40</v>
      </c>
      <c r="G396">
        <v>2020</v>
      </c>
      <c r="H396" s="12">
        <v>2533</v>
      </c>
      <c r="I396" t="s">
        <v>3183</v>
      </c>
      <c r="J396" t="s">
        <v>394</v>
      </c>
      <c r="K396" t="s">
        <v>11</v>
      </c>
      <c r="L396" t="s">
        <v>3184</v>
      </c>
      <c r="M396" t="s">
        <v>16</v>
      </c>
    </row>
    <row r="397" spans="1:13">
      <c r="A397" t="s">
        <v>851</v>
      </c>
      <c r="B397" t="s">
        <v>686</v>
      </c>
      <c r="C397" t="s">
        <v>686</v>
      </c>
      <c r="D397" t="s">
        <v>24</v>
      </c>
      <c r="E397" t="s">
        <v>646</v>
      </c>
      <c r="F397" t="s">
        <v>40</v>
      </c>
      <c r="G397">
        <v>2030</v>
      </c>
      <c r="H397" s="12">
        <v>2048</v>
      </c>
      <c r="I397" t="s">
        <v>3183</v>
      </c>
      <c r="J397" t="s">
        <v>394</v>
      </c>
      <c r="K397" t="s">
        <v>11</v>
      </c>
      <c r="L397" t="s">
        <v>3184</v>
      </c>
      <c r="M397" t="s">
        <v>16</v>
      </c>
    </row>
    <row r="398" spans="1:13">
      <c r="A398" t="s">
        <v>851</v>
      </c>
      <c r="B398" t="s">
        <v>686</v>
      </c>
      <c r="C398" t="s">
        <v>686</v>
      </c>
      <c r="D398" t="s">
        <v>24</v>
      </c>
      <c r="E398" t="s">
        <v>646</v>
      </c>
      <c r="F398" t="s">
        <v>40</v>
      </c>
      <c r="G398">
        <v>2035</v>
      </c>
      <c r="H398" s="12">
        <v>1800</v>
      </c>
      <c r="I398" t="s">
        <v>3183</v>
      </c>
      <c r="J398" t="s">
        <v>394</v>
      </c>
      <c r="K398" t="s">
        <v>11</v>
      </c>
      <c r="L398" t="s">
        <v>3184</v>
      </c>
      <c r="M398" t="s">
        <v>16</v>
      </c>
    </row>
    <row r="399" spans="1:13">
      <c r="A399" t="s">
        <v>851</v>
      </c>
      <c r="B399" t="s">
        <v>686</v>
      </c>
      <c r="C399" t="s">
        <v>686</v>
      </c>
      <c r="D399" t="s">
        <v>24</v>
      </c>
      <c r="E399" t="s">
        <v>646</v>
      </c>
      <c r="F399" t="s">
        <v>40</v>
      </c>
      <c r="G399">
        <v>2040</v>
      </c>
      <c r="H399" s="12">
        <v>1593</v>
      </c>
      <c r="I399" t="s">
        <v>3183</v>
      </c>
      <c r="J399" t="s">
        <v>394</v>
      </c>
      <c r="K399" t="s">
        <v>11</v>
      </c>
      <c r="L399" t="s">
        <v>3184</v>
      </c>
      <c r="M399" t="s">
        <v>16</v>
      </c>
    </row>
    <row r="400" spans="1:13">
      <c r="A400" t="s">
        <v>851</v>
      </c>
      <c r="B400" t="s">
        <v>686</v>
      </c>
      <c r="C400" t="s">
        <v>686</v>
      </c>
      <c r="D400" t="s">
        <v>24</v>
      </c>
      <c r="E400" t="s">
        <v>646</v>
      </c>
      <c r="F400" t="s">
        <v>40</v>
      </c>
      <c r="G400">
        <v>2045</v>
      </c>
      <c r="H400" s="12">
        <v>1450</v>
      </c>
      <c r="I400" t="s">
        <v>3183</v>
      </c>
      <c r="J400" t="s">
        <v>394</v>
      </c>
      <c r="K400" t="s">
        <v>11</v>
      </c>
      <c r="L400" t="s">
        <v>3184</v>
      </c>
      <c r="M400" t="s">
        <v>16</v>
      </c>
    </row>
    <row r="401" spans="1:13">
      <c r="A401" t="s">
        <v>851</v>
      </c>
      <c r="B401" t="s">
        <v>686</v>
      </c>
      <c r="C401" t="s">
        <v>686</v>
      </c>
      <c r="D401" t="s">
        <v>24</v>
      </c>
      <c r="E401" t="s">
        <v>646</v>
      </c>
      <c r="F401" t="s">
        <v>40</v>
      </c>
      <c r="G401">
        <v>2050</v>
      </c>
      <c r="H401" s="12">
        <v>1310</v>
      </c>
      <c r="I401" t="s">
        <v>3183</v>
      </c>
      <c r="J401" t="s">
        <v>394</v>
      </c>
      <c r="K401" t="s">
        <v>11</v>
      </c>
      <c r="L401" t="s">
        <v>3184</v>
      </c>
      <c r="M401" t="s">
        <v>16</v>
      </c>
    </row>
    <row r="402" spans="1:13">
      <c r="A402" t="s">
        <v>851</v>
      </c>
      <c r="B402" t="s">
        <v>687</v>
      </c>
      <c r="C402" t="s">
        <v>687</v>
      </c>
      <c r="D402" t="s">
        <v>24</v>
      </c>
      <c r="E402" t="s">
        <v>646</v>
      </c>
      <c r="F402" t="s">
        <v>40</v>
      </c>
      <c r="G402">
        <v>2030</v>
      </c>
      <c r="H402" s="12">
        <v>1871</v>
      </c>
      <c r="I402" t="s">
        <v>3183</v>
      </c>
      <c r="J402" t="s">
        <v>394</v>
      </c>
      <c r="K402" t="s">
        <v>11</v>
      </c>
      <c r="L402" t="s">
        <v>3184</v>
      </c>
      <c r="M402" t="s">
        <v>16</v>
      </c>
    </row>
    <row r="403" spans="1:13">
      <c r="A403" t="s">
        <v>851</v>
      </c>
      <c r="B403" t="s">
        <v>687</v>
      </c>
      <c r="C403" t="s">
        <v>687</v>
      </c>
      <c r="D403" t="s">
        <v>24</v>
      </c>
      <c r="E403" t="s">
        <v>646</v>
      </c>
      <c r="F403" t="s">
        <v>40</v>
      </c>
      <c r="G403">
        <v>2035</v>
      </c>
      <c r="H403" s="12">
        <v>1382</v>
      </c>
      <c r="I403" t="s">
        <v>3183</v>
      </c>
      <c r="J403" t="s">
        <v>394</v>
      </c>
      <c r="K403" t="s">
        <v>11</v>
      </c>
      <c r="L403" t="s">
        <v>3184</v>
      </c>
      <c r="M403" t="s">
        <v>16</v>
      </c>
    </row>
    <row r="404" spans="1:13">
      <c r="A404" t="s">
        <v>851</v>
      </c>
      <c r="B404" t="s">
        <v>687</v>
      </c>
      <c r="C404" t="s">
        <v>687</v>
      </c>
      <c r="D404" t="s">
        <v>24</v>
      </c>
      <c r="E404" t="s">
        <v>646</v>
      </c>
      <c r="F404" t="s">
        <v>40</v>
      </c>
      <c r="G404">
        <v>2040</v>
      </c>
      <c r="H404" s="12">
        <v>910</v>
      </c>
      <c r="I404" t="s">
        <v>3183</v>
      </c>
      <c r="J404" t="s">
        <v>394</v>
      </c>
      <c r="K404" t="s">
        <v>11</v>
      </c>
      <c r="L404" t="s">
        <v>3184</v>
      </c>
      <c r="M404" t="s">
        <v>16</v>
      </c>
    </row>
    <row r="405" spans="1:13">
      <c r="A405" t="s">
        <v>851</v>
      </c>
      <c r="B405" t="s">
        <v>687</v>
      </c>
      <c r="C405" t="s">
        <v>687</v>
      </c>
      <c r="D405" t="s">
        <v>24</v>
      </c>
      <c r="E405" t="s">
        <v>646</v>
      </c>
      <c r="F405" t="s">
        <v>40</v>
      </c>
      <c r="G405">
        <v>2045</v>
      </c>
      <c r="H405" s="12">
        <v>579</v>
      </c>
      <c r="I405" t="s">
        <v>3183</v>
      </c>
      <c r="J405" t="s">
        <v>394</v>
      </c>
      <c r="K405" t="s">
        <v>11</v>
      </c>
      <c r="L405" t="s">
        <v>3184</v>
      </c>
      <c r="M405" t="s">
        <v>16</v>
      </c>
    </row>
    <row r="406" spans="1:13">
      <c r="A406" t="s">
        <v>851</v>
      </c>
      <c r="B406" t="s">
        <v>687</v>
      </c>
      <c r="C406" t="s">
        <v>687</v>
      </c>
      <c r="D406" t="s">
        <v>24</v>
      </c>
      <c r="E406" t="s">
        <v>646</v>
      </c>
      <c r="F406" t="s">
        <v>40</v>
      </c>
      <c r="G406">
        <v>2050</v>
      </c>
      <c r="H406" s="12">
        <v>338</v>
      </c>
      <c r="I406" t="s">
        <v>3183</v>
      </c>
      <c r="J406" t="s">
        <v>394</v>
      </c>
      <c r="K406" t="s">
        <v>11</v>
      </c>
      <c r="L406" t="s">
        <v>3184</v>
      </c>
      <c r="M406" t="s">
        <v>16</v>
      </c>
    </row>
    <row r="407" spans="1:13">
      <c r="A407" t="s">
        <v>851</v>
      </c>
      <c r="B407" t="s">
        <v>686</v>
      </c>
      <c r="C407" t="s">
        <v>686</v>
      </c>
      <c r="D407" t="s">
        <v>24</v>
      </c>
      <c r="E407" t="s">
        <v>646</v>
      </c>
      <c r="F407" t="s">
        <v>40</v>
      </c>
      <c r="G407">
        <v>2030</v>
      </c>
      <c r="H407" s="12">
        <v>1849</v>
      </c>
      <c r="I407" t="s">
        <v>3183</v>
      </c>
      <c r="J407" t="s">
        <v>344</v>
      </c>
      <c r="K407" t="s">
        <v>658</v>
      </c>
      <c r="L407" t="s">
        <v>3184</v>
      </c>
      <c r="M407" t="s">
        <v>10</v>
      </c>
    </row>
    <row r="408" spans="1:13">
      <c r="A408" t="s">
        <v>851</v>
      </c>
      <c r="B408" t="s">
        <v>686</v>
      </c>
      <c r="C408" t="s">
        <v>686</v>
      </c>
      <c r="D408" t="s">
        <v>24</v>
      </c>
      <c r="E408" t="s">
        <v>646</v>
      </c>
      <c r="F408" t="s">
        <v>40</v>
      </c>
      <c r="G408">
        <v>2035</v>
      </c>
      <c r="H408" s="12">
        <v>1817</v>
      </c>
      <c r="I408" t="s">
        <v>3183</v>
      </c>
      <c r="J408" t="s">
        <v>344</v>
      </c>
      <c r="K408" t="s">
        <v>658</v>
      </c>
      <c r="L408" t="s">
        <v>3184</v>
      </c>
      <c r="M408" t="s">
        <v>10</v>
      </c>
    </row>
    <row r="409" spans="1:13">
      <c r="A409" t="s">
        <v>851</v>
      </c>
      <c r="B409" t="s">
        <v>686</v>
      </c>
      <c r="C409" t="s">
        <v>686</v>
      </c>
      <c r="D409" t="s">
        <v>24</v>
      </c>
      <c r="E409" t="s">
        <v>646</v>
      </c>
      <c r="F409" t="s">
        <v>40</v>
      </c>
      <c r="G409">
        <v>2040</v>
      </c>
      <c r="H409" s="12">
        <v>1813</v>
      </c>
      <c r="I409" t="s">
        <v>3183</v>
      </c>
      <c r="J409" t="s">
        <v>344</v>
      </c>
      <c r="K409" t="s">
        <v>658</v>
      </c>
      <c r="L409" t="s">
        <v>3184</v>
      </c>
      <c r="M409" t="s">
        <v>10</v>
      </c>
    </row>
    <row r="410" spans="1:13">
      <c r="A410" t="s">
        <v>851</v>
      </c>
      <c r="B410" t="s">
        <v>686</v>
      </c>
      <c r="C410" t="s">
        <v>686</v>
      </c>
      <c r="D410" t="s">
        <v>24</v>
      </c>
      <c r="E410" t="s">
        <v>646</v>
      </c>
      <c r="F410" t="s">
        <v>40</v>
      </c>
      <c r="G410">
        <v>2045</v>
      </c>
      <c r="H410" s="12">
        <v>1814</v>
      </c>
      <c r="I410" t="s">
        <v>3183</v>
      </c>
      <c r="J410" t="s">
        <v>344</v>
      </c>
      <c r="K410" t="s">
        <v>658</v>
      </c>
      <c r="L410" t="s">
        <v>3184</v>
      </c>
      <c r="M410" t="s">
        <v>10</v>
      </c>
    </row>
    <row r="411" spans="1:13">
      <c r="A411" t="s">
        <v>851</v>
      </c>
      <c r="B411" t="s">
        <v>686</v>
      </c>
      <c r="C411" t="s">
        <v>686</v>
      </c>
      <c r="D411" t="s">
        <v>24</v>
      </c>
      <c r="E411" t="s">
        <v>646</v>
      </c>
      <c r="F411" t="s">
        <v>40</v>
      </c>
      <c r="G411">
        <v>2050</v>
      </c>
      <c r="H411" s="12">
        <v>1810</v>
      </c>
      <c r="I411" t="s">
        <v>3183</v>
      </c>
      <c r="J411" t="s">
        <v>344</v>
      </c>
      <c r="K411" t="s">
        <v>658</v>
      </c>
      <c r="L411" t="s">
        <v>3184</v>
      </c>
      <c r="M411" t="s">
        <v>10</v>
      </c>
    </row>
    <row r="412" spans="1:13">
      <c r="A412" t="s">
        <v>851</v>
      </c>
      <c r="B412" t="s">
        <v>687</v>
      </c>
      <c r="C412" t="s">
        <v>687</v>
      </c>
      <c r="D412" t="s">
        <v>24</v>
      </c>
      <c r="E412" t="s">
        <v>646</v>
      </c>
      <c r="F412" t="s">
        <v>40</v>
      </c>
      <c r="G412">
        <v>2030</v>
      </c>
      <c r="H412" s="12">
        <v>1850</v>
      </c>
      <c r="I412" t="s">
        <v>3183</v>
      </c>
      <c r="J412" t="s">
        <v>344</v>
      </c>
      <c r="K412" t="s">
        <v>658</v>
      </c>
      <c r="L412" t="s">
        <v>3184</v>
      </c>
      <c r="M412" t="s">
        <v>10</v>
      </c>
    </row>
    <row r="413" spans="1:13">
      <c r="A413" t="s">
        <v>851</v>
      </c>
      <c r="B413" t="s">
        <v>687</v>
      </c>
      <c r="C413" t="s">
        <v>687</v>
      </c>
      <c r="D413" t="s">
        <v>24</v>
      </c>
      <c r="E413" t="s">
        <v>646</v>
      </c>
      <c r="F413" t="s">
        <v>40</v>
      </c>
      <c r="G413">
        <v>2035</v>
      </c>
      <c r="H413" s="12">
        <v>1817</v>
      </c>
      <c r="I413" t="s">
        <v>3183</v>
      </c>
      <c r="J413" t="s">
        <v>344</v>
      </c>
      <c r="K413" t="s">
        <v>658</v>
      </c>
      <c r="L413" t="s">
        <v>3184</v>
      </c>
      <c r="M413" t="s">
        <v>10</v>
      </c>
    </row>
    <row r="414" spans="1:13">
      <c r="A414" t="s">
        <v>851</v>
      </c>
      <c r="B414" t="s">
        <v>687</v>
      </c>
      <c r="C414" t="s">
        <v>687</v>
      </c>
      <c r="D414" t="s">
        <v>24</v>
      </c>
      <c r="E414" t="s">
        <v>646</v>
      </c>
      <c r="F414" t="s">
        <v>40</v>
      </c>
      <c r="G414">
        <v>2040</v>
      </c>
      <c r="H414" s="12">
        <v>1785</v>
      </c>
      <c r="I414" t="s">
        <v>3183</v>
      </c>
      <c r="J414" t="s">
        <v>344</v>
      </c>
      <c r="K414" t="s">
        <v>658</v>
      </c>
      <c r="L414" t="s">
        <v>3184</v>
      </c>
      <c r="M414" t="s">
        <v>10</v>
      </c>
    </row>
    <row r="415" spans="1:13">
      <c r="A415" t="s">
        <v>851</v>
      </c>
      <c r="B415" t="s">
        <v>687</v>
      </c>
      <c r="C415" t="s">
        <v>687</v>
      </c>
      <c r="D415" t="s">
        <v>24</v>
      </c>
      <c r="E415" t="s">
        <v>646</v>
      </c>
      <c r="F415" t="s">
        <v>40</v>
      </c>
      <c r="G415">
        <v>2045</v>
      </c>
      <c r="H415" s="12">
        <v>1779</v>
      </c>
      <c r="I415" t="s">
        <v>3183</v>
      </c>
      <c r="J415" t="s">
        <v>344</v>
      </c>
      <c r="K415" t="s">
        <v>658</v>
      </c>
      <c r="L415" t="s">
        <v>3184</v>
      </c>
      <c r="M415" t="s">
        <v>10</v>
      </c>
    </row>
    <row r="416" spans="1:13">
      <c r="A416" t="s">
        <v>851</v>
      </c>
      <c r="B416" t="s">
        <v>687</v>
      </c>
      <c r="C416" t="s">
        <v>687</v>
      </c>
      <c r="D416" t="s">
        <v>24</v>
      </c>
      <c r="E416" t="s">
        <v>646</v>
      </c>
      <c r="F416" t="s">
        <v>40</v>
      </c>
      <c r="G416">
        <v>2050</v>
      </c>
      <c r="H416" s="12">
        <v>1787</v>
      </c>
      <c r="I416" t="s">
        <v>3183</v>
      </c>
      <c r="J416" t="s">
        <v>344</v>
      </c>
      <c r="K416" t="s">
        <v>658</v>
      </c>
      <c r="L416" t="s">
        <v>3184</v>
      </c>
      <c r="M416" t="s">
        <v>10</v>
      </c>
    </row>
    <row r="417" spans="1:13">
      <c r="A417" t="s">
        <v>851</v>
      </c>
      <c r="B417" t="s">
        <v>686</v>
      </c>
      <c r="C417" t="s">
        <v>686</v>
      </c>
      <c r="D417" t="s">
        <v>24</v>
      </c>
      <c r="E417" t="s">
        <v>646</v>
      </c>
      <c r="F417" t="s">
        <v>40</v>
      </c>
      <c r="G417">
        <v>2010</v>
      </c>
      <c r="H417" s="12">
        <v>463</v>
      </c>
      <c r="I417" t="s">
        <v>3183</v>
      </c>
      <c r="J417" t="s">
        <v>6</v>
      </c>
      <c r="K417" t="s">
        <v>9</v>
      </c>
      <c r="L417" t="s">
        <v>3184</v>
      </c>
      <c r="M417" t="s">
        <v>666</v>
      </c>
    </row>
    <row r="418" spans="1:13">
      <c r="A418" t="s">
        <v>851</v>
      </c>
      <c r="B418" t="s">
        <v>686</v>
      </c>
      <c r="C418" t="s">
        <v>686</v>
      </c>
      <c r="D418" t="s">
        <v>24</v>
      </c>
      <c r="E418" t="s">
        <v>646</v>
      </c>
      <c r="F418" t="s">
        <v>40</v>
      </c>
      <c r="G418">
        <v>2015</v>
      </c>
      <c r="H418" s="12">
        <v>448</v>
      </c>
      <c r="I418" t="s">
        <v>3183</v>
      </c>
      <c r="J418" t="s">
        <v>6</v>
      </c>
      <c r="K418" t="s">
        <v>9</v>
      </c>
      <c r="L418" t="s">
        <v>3184</v>
      </c>
      <c r="M418" t="s">
        <v>666</v>
      </c>
    </row>
    <row r="419" spans="1:13">
      <c r="A419" t="s">
        <v>851</v>
      </c>
      <c r="B419" t="s">
        <v>686</v>
      </c>
      <c r="C419" t="s">
        <v>686</v>
      </c>
      <c r="D419" t="s">
        <v>24</v>
      </c>
      <c r="E419" t="s">
        <v>646</v>
      </c>
      <c r="F419" t="s">
        <v>40</v>
      </c>
      <c r="G419">
        <v>2020</v>
      </c>
      <c r="H419" s="12">
        <v>430</v>
      </c>
      <c r="I419" t="s">
        <v>3183</v>
      </c>
      <c r="J419" t="s">
        <v>6</v>
      </c>
      <c r="K419" t="s">
        <v>9</v>
      </c>
      <c r="L419" t="s">
        <v>3184</v>
      </c>
      <c r="M419" t="s">
        <v>666</v>
      </c>
    </row>
    <row r="420" spans="1:13">
      <c r="A420" t="s">
        <v>851</v>
      </c>
      <c r="B420" t="s">
        <v>686</v>
      </c>
      <c r="C420" t="s">
        <v>686</v>
      </c>
      <c r="D420" t="s">
        <v>24</v>
      </c>
      <c r="E420" t="s">
        <v>646</v>
      </c>
      <c r="F420" t="s">
        <v>40</v>
      </c>
      <c r="G420">
        <v>2030</v>
      </c>
      <c r="H420" s="12">
        <v>461</v>
      </c>
      <c r="I420" t="s">
        <v>3183</v>
      </c>
      <c r="J420" t="s">
        <v>6</v>
      </c>
      <c r="K420" t="s">
        <v>9</v>
      </c>
      <c r="L420" t="s">
        <v>3184</v>
      </c>
      <c r="M420" t="s">
        <v>666</v>
      </c>
    </row>
    <row r="421" spans="1:13">
      <c r="A421" t="s">
        <v>851</v>
      </c>
      <c r="B421" t="s">
        <v>686</v>
      </c>
      <c r="C421" t="s">
        <v>686</v>
      </c>
      <c r="D421" t="s">
        <v>24</v>
      </c>
      <c r="E421" t="s">
        <v>646</v>
      </c>
      <c r="F421" t="s">
        <v>40</v>
      </c>
      <c r="G421">
        <v>2035</v>
      </c>
      <c r="H421" s="12">
        <v>460</v>
      </c>
      <c r="I421" t="s">
        <v>3183</v>
      </c>
      <c r="J421" t="s">
        <v>6</v>
      </c>
      <c r="K421" t="s">
        <v>9</v>
      </c>
      <c r="L421" t="s">
        <v>3184</v>
      </c>
      <c r="M421" t="s">
        <v>666</v>
      </c>
    </row>
    <row r="422" spans="1:13">
      <c r="A422" t="s">
        <v>851</v>
      </c>
      <c r="B422" t="s">
        <v>686</v>
      </c>
      <c r="C422" t="s">
        <v>686</v>
      </c>
      <c r="D422" t="s">
        <v>24</v>
      </c>
      <c r="E422" t="s">
        <v>646</v>
      </c>
      <c r="F422" t="s">
        <v>40</v>
      </c>
      <c r="G422">
        <v>2040</v>
      </c>
      <c r="H422" s="12">
        <v>459</v>
      </c>
      <c r="I422" t="s">
        <v>3183</v>
      </c>
      <c r="J422" t="s">
        <v>6</v>
      </c>
      <c r="K422" t="s">
        <v>9</v>
      </c>
      <c r="L422" t="s">
        <v>3184</v>
      </c>
      <c r="M422" t="s">
        <v>666</v>
      </c>
    </row>
    <row r="423" spans="1:13">
      <c r="A423" t="s">
        <v>851</v>
      </c>
      <c r="B423" t="s">
        <v>686</v>
      </c>
      <c r="C423" t="s">
        <v>686</v>
      </c>
      <c r="D423" t="s">
        <v>24</v>
      </c>
      <c r="E423" t="s">
        <v>646</v>
      </c>
      <c r="F423" t="s">
        <v>40</v>
      </c>
      <c r="G423">
        <v>2045</v>
      </c>
      <c r="H423" s="12">
        <v>455</v>
      </c>
      <c r="I423" t="s">
        <v>3183</v>
      </c>
      <c r="J423" t="s">
        <v>6</v>
      </c>
      <c r="K423" t="s">
        <v>9</v>
      </c>
      <c r="L423" t="s">
        <v>3184</v>
      </c>
      <c r="M423" t="s">
        <v>666</v>
      </c>
    </row>
    <row r="424" spans="1:13">
      <c r="A424" t="s">
        <v>851</v>
      </c>
      <c r="B424" t="s">
        <v>686</v>
      </c>
      <c r="C424" t="s">
        <v>686</v>
      </c>
      <c r="D424" t="s">
        <v>24</v>
      </c>
      <c r="E424" t="s">
        <v>646</v>
      </c>
      <c r="F424" t="s">
        <v>40</v>
      </c>
      <c r="G424">
        <v>2050</v>
      </c>
      <c r="H424" s="12">
        <v>452</v>
      </c>
      <c r="I424" t="s">
        <v>3183</v>
      </c>
      <c r="J424" t="s">
        <v>6</v>
      </c>
      <c r="K424" t="s">
        <v>9</v>
      </c>
      <c r="L424" t="s">
        <v>3184</v>
      </c>
      <c r="M424" t="s">
        <v>666</v>
      </c>
    </row>
    <row r="425" spans="1:13">
      <c r="A425" t="s">
        <v>851</v>
      </c>
      <c r="B425" t="s">
        <v>687</v>
      </c>
      <c r="C425" t="s">
        <v>687</v>
      </c>
      <c r="D425" t="s">
        <v>24</v>
      </c>
      <c r="E425" t="s">
        <v>646</v>
      </c>
      <c r="F425" t="s">
        <v>40</v>
      </c>
      <c r="G425">
        <v>2030</v>
      </c>
      <c r="H425" s="12">
        <v>403</v>
      </c>
      <c r="I425" t="s">
        <v>3183</v>
      </c>
      <c r="J425" t="s">
        <v>6</v>
      </c>
      <c r="K425" t="s">
        <v>9</v>
      </c>
      <c r="L425" t="s">
        <v>3184</v>
      </c>
      <c r="M425" t="s">
        <v>666</v>
      </c>
    </row>
    <row r="426" spans="1:13">
      <c r="A426" t="s">
        <v>851</v>
      </c>
      <c r="B426" t="s">
        <v>687</v>
      </c>
      <c r="C426" t="s">
        <v>687</v>
      </c>
      <c r="D426" t="s">
        <v>24</v>
      </c>
      <c r="E426" t="s">
        <v>646</v>
      </c>
      <c r="F426" t="s">
        <v>40</v>
      </c>
      <c r="G426">
        <v>2035</v>
      </c>
      <c r="H426" s="12">
        <v>344</v>
      </c>
      <c r="I426" t="s">
        <v>3183</v>
      </c>
      <c r="J426" t="s">
        <v>6</v>
      </c>
      <c r="K426" t="s">
        <v>9</v>
      </c>
      <c r="L426" t="s">
        <v>3184</v>
      </c>
      <c r="M426" t="s">
        <v>666</v>
      </c>
    </row>
    <row r="427" spans="1:13">
      <c r="A427" t="s">
        <v>851</v>
      </c>
      <c r="B427" t="s">
        <v>687</v>
      </c>
      <c r="C427" t="s">
        <v>687</v>
      </c>
      <c r="D427" t="s">
        <v>24</v>
      </c>
      <c r="E427" t="s">
        <v>646</v>
      </c>
      <c r="F427" t="s">
        <v>40</v>
      </c>
      <c r="G427">
        <v>2040</v>
      </c>
      <c r="H427" s="12">
        <v>284</v>
      </c>
      <c r="I427" t="s">
        <v>3183</v>
      </c>
      <c r="J427" t="s">
        <v>6</v>
      </c>
      <c r="K427" t="s">
        <v>9</v>
      </c>
      <c r="L427" t="s">
        <v>3184</v>
      </c>
      <c r="M427" t="s">
        <v>666</v>
      </c>
    </row>
    <row r="428" spans="1:13">
      <c r="A428" t="s">
        <v>851</v>
      </c>
      <c r="B428" t="s">
        <v>687</v>
      </c>
      <c r="C428" t="s">
        <v>687</v>
      </c>
      <c r="D428" t="s">
        <v>24</v>
      </c>
      <c r="E428" t="s">
        <v>646</v>
      </c>
      <c r="F428" t="s">
        <v>40</v>
      </c>
      <c r="G428">
        <v>2045</v>
      </c>
      <c r="H428" s="12">
        <v>210</v>
      </c>
      <c r="I428" t="s">
        <v>3183</v>
      </c>
      <c r="J428" t="s">
        <v>6</v>
      </c>
      <c r="K428" t="s">
        <v>9</v>
      </c>
      <c r="L428" t="s">
        <v>3184</v>
      </c>
      <c r="M428" t="s">
        <v>666</v>
      </c>
    </row>
    <row r="429" spans="1:13">
      <c r="A429" t="s">
        <v>851</v>
      </c>
      <c r="B429" t="s">
        <v>687</v>
      </c>
      <c r="C429" t="s">
        <v>687</v>
      </c>
      <c r="D429" t="s">
        <v>24</v>
      </c>
      <c r="E429" t="s">
        <v>646</v>
      </c>
      <c r="F429" t="s">
        <v>40</v>
      </c>
      <c r="G429">
        <v>2050</v>
      </c>
      <c r="H429" s="12">
        <v>138</v>
      </c>
      <c r="I429" t="s">
        <v>3183</v>
      </c>
      <c r="J429" t="s">
        <v>6</v>
      </c>
      <c r="K429" t="s">
        <v>9</v>
      </c>
      <c r="L429" t="s">
        <v>3184</v>
      </c>
      <c r="M429" t="s">
        <v>666</v>
      </c>
    </row>
    <row r="430" spans="1:13">
      <c r="A430" t="s">
        <v>851</v>
      </c>
      <c r="B430" t="s">
        <v>686</v>
      </c>
      <c r="C430" t="s">
        <v>686</v>
      </c>
      <c r="D430" t="s">
        <v>24</v>
      </c>
      <c r="E430" t="s">
        <v>646</v>
      </c>
      <c r="F430" t="s">
        <v>40</v>
      </c>
      <c r="G430">
        <v>2010</v>
      </c>
      <c r="H430" s="12">
        <v>1896</v>
      </c>
      <c r="I430" t="s">
        <v>3183</v>
      </c>
      <c r="J430" t="s">
        <v>5</v>
      </c>
      <c r="K430" t="s">
        <v>9</v>
      </c>
      <c r="L430" t="s">
        <v>3184</v>
      </c>
      <c r="M430" t="s">
        <v>665</v>
      </c>
    </row>
    <row r="431" spans="1:13">
      <c r="A431" t="s">
        <v>851</v>
      </c>
      <c r="B431" t="s">
        <v>686</v>
      </c>
      <c r="C431" t="s">
        <v>686</v>
      </c>
      <c r="D431" t="s">
        <v>24</v>
      </c>
      <c r="E431" t="s">
        <v>646</v>
      </c>
      <c r="F431" t="s">
        <v>40</v>
      </c>
      <c r="G431">
        <v>2015</v>
      </c>
      <c r="H431" s="12">
        <v>1810</v>
      </c>
      <c r="I431" t="s">
        <v>3183</v>
      </c>
      <c r="J431" t="s">
        <v>5</v>
      </c>
      <c r="K431" t="s">
        <v>9</v>
      </c>
      <c r="L431" t="s">
        <v>3184</v>
      </c>
      <c r="M431" t="s">
        <v>665</v>
      </c>
    </row>
    <row r="432" spans="1:13">
      <c r="A432" t="s">
        <v>851</v>
      </c>
      <c r="B432" t="s">
        <v>686</v>
      </c>
      <c r="C432" t="s">
        <v>686</v>
      </c>
      <c r="D432" t="s">
        <v>24</v>
      </c>
      <c r="E432" t="s">
        <v>646</v>
      </c>
      <c r="F432" t="s">
        <v>40</v>
      </c>
      <c r="G432">
        <v>2020</v>
      </c>
      <c r="H432" s="12">
        <v>1488</v>
      </c>
      <c r="I432" t="s">
        <v>3183</v>
      </c>
      <c r="J432" t="s">
        <v>5</v>
      </c>
      <c r="K432" t="s">
        <v>9</v>
      </c>
      <c r="L432" t="s">
        <v>3184</v>
      </c>
      <c r="M432" t="s">
        <v>665</v>
      </c>
    </row>
    <row r="433" spans="1:13">
      <c r="A433" t="s">
        <v>851</v>
      </c>
      <c r="B433" t="s">
        <v>686</v>
      </c>
      <c r="C433" t="s">
        <v>686</v>
      </c>
      <c r="D433" t="s">
        <v>24</v>
      </c>
      <c r="E433" t="s">
        <v>646</v>
      </c>
      <c r="F433" t="s">
        <v>40</v>
      </c>
      <c r="G433">
        <v>2030</v>
      </c>
      <c r="H433" s="12">
        <v>1458</v>
      </c>
      <c r="I433" t="s">
        <v>3183</v>
      </c>
      <c r="J433" t="s">
        <v>5</v>
      </c>
      <c r="K433" t="s">
        <v>9</v>
      </c>
      <c r="L433" t="s">
        <v>3184</v>
      </c>
      <c r="M433" t="s">
        <v>665</v>
      </c>
    </row>
    <row r="434" spans="1:13">
      <c r="A434" t="s">
        <v>851</v>
      </c>
      <c r="B434" t="s">
        <v>686</v>
      </c>
      <c r="C434" t="s">
        <v>686</v>
      </c>
      <c r="D434" t="s">
        <v>24</v>
      </c>
      <c r="E434" t="s">
        <v>646</v>
      </c>
      <c r="F434" t="s">
        <v>40</v>
      </c>
      <c r="G434">
        <v>2035</v>
      </c>
      <c r="H434" s="12">
        <v>1415</v>
      </c>
      <c r="I434" t="s">
        <v>3183</v>
      </c>
      <c r="J434" t="s">
        <v>5</v>
      </c>
      <c r="K434" t="s">
        <v>9</v>
      </c>
      <c r="L434" t="s">
        <v>3184</v>
      </c>
      <c r="M434" t="s">
        <v>665</v>
      </c>
    </row>
    <row r="435" spans="1:13">
      <c r="A435" t="s">
        <v>851</v>
      </c>
      <c r="B435" t="s">
        <v>686</v>
      </c>
      <c r="C435" t="s">
        <v>686</v>
      </c>
      <c r="D435" t="s">
        <v>24</v>
      </c>
      <c r="E435" t="s">
        <v>646</v>
      </c>
      <c r="F435" t="s">
        <v>40</v>
      </c>
      <c r="G435">
        <v>2010</v>
      </c>
      <c r="H435" s="12">
        <v>1373</v>
      </c>
      <c r="I435" t="s">
        <v>3183</v>
      </c>
      <c r="J435" t="s">
        <v>344</v>
      </c>
      <c r="K435" t="s">
        <v>9</v>
      </c>
      <c r="L435" t="s">
        <v>3184</v>
      </c>
      <c r="M435" t="s">
        <v>10</v>
      </c>
    </row>
    <row r="436" spans="1:13">
      <c r="A436" t="s">
        <v>851</v>
      </c>
      <c r="B436" t="s">
        <v>686</v>
      </c>
      <c r="C436" t="s">
        <v>686</v>
      </c>
      <c r="D436" t="s">
        <v>24</v>
      </c>
      <c r="E436" t="s">
        <v>646</v>
      </c>
      <c r="F436" t="s">
        <v>40</v>
      </c>
      <c r="G436">
        <v>2015</v>
      </c>
      <c r="H436" s="12">
        <v>1250</v>
      </c>
      <c r="I436" t="s">
        <v>3183</v>
      </c>
      <c r="J436" t="s">
        <v>344</v>
      </c>
      <c r="K436" t="s">
        <v>9</v>
      </c>
      <c r="L436" t="s">
        <v>3184</v>
      </c>
      <c r="M436" t="s">
        <v>10</v>
      </c>
    </row>
    <row r="437" spans="1:13">
      <c r="A437" t="s">
        <v>851</v>
      </c>
      <c r="B437" t="s">
        <v>686</v>
      </c>
      <c r="C437" t="s">
        <v>686</v>
      </c>
      <c r="D437" t="s">
        <v>24</v>
      </c>
      <c r="E437" t="s">
        <v>646</v>
      </c>
      <c r="F437" t="s">
        <v>40</v>
      </c>
      <c r="G437">
        <v>2020</v>
      </c>
      <c r="H437" s="12">
        <v>1155</v>
      </c>
      <c r="I437" t="s">
        <v>3183</v>
      </c>
      <c r="J437" t="s">
        <v>344</v>
      </c>
      <c r="K437" t="s">
        <v>9</v>
      </c>
      <c r="L437" t="s">
        <v>3184</v>
      </c>
      <c r="M437" t="s">
        <v>10</v>
      </c>
    </row>
    <row r="438" spans="1:13">
      <c r="A438" t="s">
        <v>851</v>
      </c>
      <c r="B438" t="s">
        <v>686</v>
      </c>
      <c r="C438" t="s">
        <v>686</v>
      </c>
      <c r="D438" t="s">
        <v>24</v>
      </c>
      <c r="E438" t="s">
        <v>646</v>
      </c>
      <c r="F438" t="s">
        <v>40</v>
      </c>
      <c r="G438">
        <v>2030</v>
      </c>
      <c r="H438" s="12">
        <v>1179</v>
      </c>
      <c r="I438" t="s">
        <v>3183</v>
      </c>
      <c r="J438" t="s">
        <v>344</v>
      </c>
      <c r="K438" t="s">
        <v>9</v>
      </c>
      <c r="L438" t="s">
        <v>3184</v>
      </c>
      <c r="M438" t="s">
        <v>10</v>
      </c>
    </row>
    <row r="439" spans="1:13">
      <c r="A439" t="s">
        <v>851</v>
      </c>
      <c r="B439" t="s">
        <v>686</v>
      </c>
      <c r="C439" t="s">
        <v>686</v>
      </c>
      <c r="D439" t="s">
        <v>24</v>
      </c>
      <c r="E439" t="s">
        <v>646</v>
      </c>
      <c r="F439" t="s">
        <v>40</v>
      </c>
      <c r="G439">
        <v>2035</v>
      </c>
      <c r="H439" s="12">
        <v>1165</v>
      </c>
      <c r="I439" t="s">
        <v>3183</v>
      </c>
      <c r="J439" t="s">
        <v>344</v>
      </c>
      <c r="K439" t="s">
        <v>9</v>
      </c>
      <c r="L439" t="s">
        <v>3184</v>
      </c>
      <c r="M439" t="s">
        <v>10</v>
      </c>
    </row>
    <row r="440" spans="1:13">
      <c r="A440" t="s">
        <v>851</v>
      </c>
      <c r="B440" t="s">
        <v>686</v>
      </c>
      <c r="C440" t="s">
        <v>686</v>
      </c>
      <c r="D440" t="s">
        <v>24</v>
      </c>
      <c r="E440" t="s">
        <v>646</v>
      </c>
      <c r="F440" t="s">
        <v>40</v>
      </c>
      <c r="G440">
        <v>2040</v>
      </c>
      <c r="H440" s="12">
        <v>1149</v>
      </c>
      <c r="I440" t="s">
        <v>3183</v>
      </c>
      <c r="J440" t="s">
        <v>344</v>
      </c>
      <c r="K440" t="s">
        <v>9</v>
      </c>
      <c r="L440" t="s">
        <v>3184</v>
      </c>
      <c r="M440" t="s">
        <v>10</v>
      </c>
    </row>
    <row r="441" spans="1:13">
      <c r="A441" t="s">
        <v>851</v>
      </c>
      <c r="B441" t="s">
        <v>686</v>
      </c>
      <c r="C441" t="s">
        <v>686</v>
      </c>
      <c r="D441" t="s">
        <v>24</v>
      </c>
      <c r="E441" t="s">
        <v>646</v>
      </c>
      <c r="F441" t="s">
        <v>40</v>
      </c>
      <c r="G441">
        <v>2045</v>
      </c>
      <c r="H441" s="12">
        <v>1134</v>
      </c>
      <c r="I441" t="s">
        <v>3183</v>
      </c>
      <c r="J441" t="s">
        <v>344</v>
      </c>
      <c r="K441" t="s">
        <v>9</v>
      </c>
      <c r="L441" t="s">
        <v>3184</v>
      </c>
      <c r="M441" t="s">
        <v>10</v>
      </c>
    </row>
    <row r="442" spans="1:13">
      <c r="A442" t="s">
        <v>851</v>
      </c>
      <c r="B442" t="s">
        <v>686</v>
      </c>
      <c r="C442" t="s">
        <v>686</v>
      </c>
      <c r="D442" t="s">
        <v>24</v>
      </c>
      <c r="E442" t="s">
        <v>646</v>
      </c>
      <c r="F442" t="s">
        <v>40</v>
      </c>
      <c r="G442">
        <v>2050</v>
      </c>
      <c r="H442" s="12">
        <v>1119</v>
      </c>
      <c r="I442" t="s">
        <v>3183</v>
      </c>
      <c r="J442" t="s">
        <v>344</v>
      </c>
      <c r="K442" t="s">
        <v>9</v>
      </c>
      <c r="L442" t="s">
        <v>3184</v>
      </c>
      <c r="M442" t="s">
        <v>10</v>
      </c>
    </row>
    <row r="443" spans="1:13">
      <c r="A443" t="s">
        <v>851</v>
      </c>
      <c r="B443" t="s">
        <v>687</v>
      </c>
      <c r="C443" t="s">
        <v>687</v>
      </c>
      <c r="D443" t="s">
        <v>24</v>
      </c>
      <c r="E443" t="s">
        <v>646</v>
      </c>
      <c r="F443" t="s">
        <v>40</v>
      </c>
      <c r="G443">
        <v>2030</v>
      </c>
      <c r="H443" s="12">
        <v>1304</v>
      </c>
      <c r="I443" t="s">
        <v>3183</v>
      </c>
      <c r="J443" t="s">
        <v>344</v>
      </c>
      <c r="K443" t="s">
        <v>9</v>
      </c>
      <c r="L443" t="s">
        <v>3184</v>
      </c>
      <c r="M443" t="s">
        <v>10</v>
      </c>
    </row>
    <row r="444" spans="1:13">
      <c r="A444" t="s">
        <v>851</v>
      </c>
      <c r="B444" t="s">
        <v>687</v>
      </c>
      <c r="C444" t="s">
        <v>687</v>
      </c>
      <c r="D444" t="s">
        <v>24</v>
      </c>
      <c r="E444" t="s">
        <v>646</v>
      </c>
      <c r="F444" t="s">
        <v>40</v>
      </c>
      <c r="G444">
        <v>2035</v>
      </c>
      <c r="H444" s="12">
        <v>1402</v>
      </c>
      <c r="I444" t="s">
        <v>3183</v>
      </c>
      <c r="J444" t="s">
        <v>344</v>
      </c>
      <c r="K444" t="s">
        <v>9</v>
      </c>
      <c r="L444" t="s">
        <v>3184</v>
      </c>
      <c r="M444" t="s">
        <v>10</v>
      </c>
    </row>
    <row r="445" spans="1:13">
      <c r="A445" t="s">
        <v>851</v>
      </c>
      <c r="B445" t="s">
        <v>686</v>
      </c>
      <c r="C445" t="s">
        <v>686</v>
      </c>
      <c r="D445" t="s">
        <v>24</v>
      </c>
      <c r="E445" t="s">
        <v>573</v>
      </c>
      <c r="F445" t="s">
        <v>40</v>
      </c>
      <c r="G445">
        <v>2035</v>
      </c>
      <c r="H445" s="12">
        <v>2203</v>
      </c>
      <c r="I445" t="s">
        <v>3183</v>
      </c>
      <c r="J445" t="s">
        <v>15</v>
      </c>
      <c r="K445" t="s">
        <v>147</v>
      </c>
      <c r="L445" t="s">
        <v>3184</v>
      </c>
      <c r="M445" t="s">
        <v>15</v>
      </c>
    </row>
    <row r="446" spans="1:13">
      <c r="A446" t="s">
        <v>851</v>
      </c>
      <c r="B446" t="s">
        <v>686</v>
      </c>
      <c r="C446" t="s">
        <v>686</v>
      </c>
      <c r="D446" t="s">
        <v>24</v>
      </c>
      <c r="E446" t="s">
        <v>573</v>
      </c>
      <c r="F446" t="s">
        <v>40</v>
      </c>
      <c r="G446">
        <v>2040</v>
      </c>
      <c r="H446" s="12">
        <v>2270</v>
      </c>
      <c r="I446" t="s">
        <v>3183</v>
      </c>
      <c r="J446" t="s">
        <v>15</v>
      </c>
      <c r="K446" t="s">
        <v>147</v>
      </c>
      <c r="L446" t="s">
        <v>3184</v>
      </c>
      <c r="M446" t="s">
        <v>15</v>
      </c>
    </row>
    <row r="447" spans="1:13">
      <c r="A447" t="s">
        <v>851</v>
      </c>
      <c r="B447" t="s">
        <v>686</v>
      </c>
      <c r="C447" t="s">
        <v>686</v>
      </c>
      <c r="D447" t="s">
        <v>24</v>
      </c>
      <c r="E447" t="s">
        <v>573</v>
      </c>
      <c r="F447" t="s">
        <v>40</v>
      </c>
      <c r="G447">
        <v>2045</v>
      </c>
      <c r="H447" s="12">
        <v>2234</v>
      </c>
      <c r="I447" t="s">
        <v>3183</v>
      </c>
      <c r="J447" t="s">
        <v>15</v>
      </c>
      <c r="K447" t="s">
        <v>147</v>
      </c>
      <c r="L447" t="s">
        <v>3184</v>
      </c>
      <c r="M447" t="s">
        <v>15</v>
      </c>
    </row>
    <row r="448" spans="1:13">
      <c r="A448" t="s">
        <v>851</v>
      </c>
      <c r="B448" t="s">
        <v>686</v>
      </c>
      <c r="C448" t="s">
        <v>686</v>
      </c>
      <c r="D448" t="s">
        <v>24</v>
      </c>
      <c r="E448" t="s">
        <v>573</v>
      </c>
      <c r="F448" t="s">
        <v>40</v>
      </c>
      <c r="G448">
        <v>2050</v>
      </c>
      <c r="H448" s="12">
        <v>2246</v>
      </c>
      <c r="I448" t="s">
        <v>3183</v>
      </c>
      <c r="J448" t="s">
        <v>15</v>
      </c>
      <c r="K448" t="s">
        <v>147</v>
      </c>
      <c r="L448" t="s">
        <v>3184</v>
      </c>
      <c r="M448" t="s">
        <v>15</v>
      </c>
    </row>
    <row r="449" spans="1:13">
      <c r="A449" t="s">
        <v>851</v>
      </c>
      <c r="B449" t="s">
        <v>687</v>
      </c>
      <c r="C449" t="s">
        <v>687</v>
      </c>
      <c r="D449" t="s">
        <v>24</v>
      </c>
      <c r="E449" t="s">
        <v>573</v>
      </c>
      <c r="F449" t="s">
        <v>40</v>
      </c>
      <c r="G449">
        <v>2030</v>
      </c>
      <c r="H449" s="12">
        <v>2388</v>
      </c>
      <c r="I449" t="s">
        <v>3183</v>
      </c>
      <c r="J449" t="s">
        <v>15</v>
      </c>
      <c r="K449" t="s">
        <v>147</v>
      </c>
      <c r="L449" t="s">
        <v>3184</v>
      </c>
      <c r="M449" t="s">
        <v>15</v>
      </c>
    </row>
    <row r="450" spans="1:13">
      <c r="A450" t="s">
        <v>851</v>
      </c>
      <c r="B450" t="s">
        <v>687</v>
      </c>
      <c r="C450" t="s">
        <v>687</v>
      </c>
      <c r="D450" t="s">
        <v>24</v>
      </c>
      <c r="E450" t="s">
        <v>573</v>
      </c>
      <c r="F450" t="s">
        <v>40</v>
      </c>
      <c r="G450">
        <v>2035</v>
      </c>
      <c r="H450" s="12">
        <v>2644</v>
      </c>
      <c r="I450" t="s">
        <v>3183</v>
      </c>
      <c r="J450" t="s">
        <v>15</v>
      </c>
      <c r="K450" t="s">
        <v>147</v>
      </c>
      <c r="L450" t="s">
        <v>3184</v>
      </c>
      <c r="M450" t="s">
        <v>15</v>
      </c>
    </row>
    <row r="451" spans="1:13">
      <c r="A451" t="s">
        <v>851</v>
      </c>
      <c r="B451" t="s">
        <v>687</v>
      </c>
      <c r="C451" t="s">
        <v>687</v>
      </c>
      <c r="D451" t="s">
        <v>24</v>
      </c>
      <c r="E451" t="s">
        <v>573</v>
      </c>
      <c r="F451" t="s">
        <v>40</v>
      </c>
      <c r="G451">
        <v>2040</v>
      </c>
      <c r="H451" s="12">
        <v>2720</v>
      </c>
      <c r="I451" t="s">
        <v>3183</v>
      </c>
      <c r="J451" t="s">
        <v>15</v>
      </c>
      <c r="K451" t="s">
        <v>147</v>
      </c>
      <c r="L451" t="s">
        <v>3184</v>
      </c>
      <c r="M451" t="s">
        <v>15</v>
      </c>
    </row>
    <row r="452" spans="1:13">
      <c r="A452" t="s">
        <v>851</v>
      </c>
      <c r="B452" t="s">
        <v>687</v>
      </c>
      <c r="C452" t="s">
        <v>687</v>
      </c>
      <c r="D452" t="s">
        <v>24</v>
      </c>
      <c r="E452" t="s">
        <v>573</v>
      </c>
      <c r="F452" t="s">
        <v>40</v>
      </c>
      <c r="G452">
        <v>2045</v>
      </c>
      <c r="H452" s="12">
        <v>2620</v>
      </c>
      <c r="I452" t="s">
        <v>3183</v>
      </c>
      <c r="J452" t="s">
        <v>15</v>
      </c>
      <c r="K452" t="s">
        <v>147</v>
      </c>
      <c r="L452" t="s">
        <v>3184</v>
      </c>
      <c r="M452" t="s">
        <v>15</v>
      </c>
    </row>
    <row r="453" spans="1:13">
      <c r="A453" t="s">
        <v>851</v>
      </c>
      <c r="B453" t="s">
        <v>687</v>
      </c>
      <c r="C453" t="s">
        <v>687</v>
      </c>
      <c r="D453" t="s">
        <v>24</v>
      </c>
      <c r="E453" t="s">
        <v>573</v>
      </c>
      <c r="F453" t="s">
        <v>40</v>
      </c>
      <c r="G453">
        <v>2050</v>
      </c>
      <c r="H453" s="12">
        <v>2953</v>
      </c>
      <c r="I453" t="s">
        <v>3183</v>
      </c>
      <c r="J453" t="s">
        <v>15</v>
      </c>
      <c r="K453" t="s">
        <v>147</v>
      </c>
      <c r="L453" t="s">
        <v>3184</v>
      </c>
      <c r="M453" t="s">
        <v>15</v>
      </c>
    </row>
    <row r="454" spans="1:13">
      <c r="A454" t="s">
        <v>851</v>
      </c>
      <c r="B454" t="s">
        <v>686</v>
      </c>
      <c r="C454" t="s">
        <v>686</v>
      </c>
      <c r="D454" t="s">
        <v>24</v>
      </c>
      <c r="E454" t="s">
        <v>573</v>
      </c>
      <c r="F454" t="s">
        <v>40</v>
      </c>
      <c r="G454">
        <v>2010</v>
      </c>
      <c r="H454" s="12">
        <v>2432</v>
      </c>
      <c r="I454" t="s">
        <v>3183</v>
      </c>
      <c r="J454" t="s">
        <v>6</v>
      </c>
      <c r="K454" t="s">
        <v>147</v>
      </c>
      <c r="L454" t="s">
        <v>3184</v>
      </c>
      <c r="M454" t="s">
        <v>659</v>
      </c>
    </row>
    <row r="455" spans="1:13">
      <c r="A455" t="s">
        <v>851</v>
      </c>
      <c r="B455" t="s">
        <v>686</v>
      </c>
      <c r="C455" t="s">
        <v>686</v>
      </c>
      <c r="D455" t="s">
        <v>24</v>
      </c>
      <c r="E455" t="s">
        <v>573</v>
      </c>
      <c r="F455" t="s">
        <v>40</v>
      </c>
      <c r="G455">
        <v>2015</v>
      </c>
      <c r="H455" s="12">
        <v>3021</v>
      </c>
      <c r="I455" t="s">
        <v>3183</v>
      </c>
      <c r="J455" t="s">
        <v>6</v>
      </c>
      <c r="K455" t="s">
        <v>147</v>
      </c>
      <c r="L455" t="s">
        <v>3184</v>
      </c>
      <c r="M455" t="s">
        <v>659</v>
      </c>
    </row>
    <row r="456" spans="1:13">
      <c r="A456" t="s">
        <v>851</v>
      </c>
      <c r="B456" t="s">
        <v>686</v>
      </c>
      <c r="C456" t="s">
        <v>686</v>
      </c>
      <c r="D456" t="s">
        <v>24</v>
      </c>
      <c r="E456" t="s">
        <v>573</v>
      </c>
      <c r="F456" t="s">
        <v>40</v>
      </c>
      <c r="G456">
        <v>2020</v>
      </c>
      <c r="H456" s="12">
        <v>2738</v>
      </c>
      <c r="I456" t="s">
        <v>3183</v>
      </c>
      <c r="J456" t="s">
        <v>6</v>
      </c>
      <c r="K456" t="s">
        <v>147</v>
      </c>
      <c r="L456" t="s">
        <v>3184</v>
      </c>
      <c r="M456" t="s">
        <v>659</v>
      </c>
    </row>
    <row r="457" spans="1:13">
      <c r="A457" t="s">
        <v>851</v>
      </c>
      <c r="B457" t="s">
        <v>686</v>
      </c>
      <c r="C457" t="s">
        <v>686</v>
      </c>
      <c r="D457" t="s">
        <v>24</v>
      </c>
      <c r="E457" t="s">
        <v>573</v>
      </c>
      <c r="F457" t="s">
        <v>40</v>
      </c>
      <c r="G457">
        <v>2030</v>
      </c>
      <c r="H457" s="12">
        <v>1235</v>
      </c>
      <c r="I457" t="s">
        <v>3183</v>
      </c>
      <c r="J457" t="s">
        <v>6</v>
      </c>
      <c r="K457" t="s">
        <v>147</v>
      </c>
      <c r="L457" t="s">
        <v>3184</v>
      </c>
      <c r="M457" t="s">
        <v>659</v>
      </c>
    </row>
    <row r="458" spans="1:13">
      <c r="A458" t="s">
        <v>851</v>
      </c>
      <c r="B458" t="s">
        <v>686</v>
      </c>
      <c r="C458" t="s">
        <v>686</v>
      </c>
      <c r="D458" t="s">
        <v>24</v>
      </c>
      <c r="E458" t="s">
        <v>573</v>
      </c>
      <c r="F458" t="s">
        <v>40</v>
      </c>
      <c r="G458">
        <v>2035</v>
      </c>
      <c r="H458" s="12">
        <v>779</v>
      </c>
      <c r="I458" t="s">
        <v>3183</v>
      </c>
      <c r="J458" t="s">
        <v>6</v>
      </c>
      <c r="K458" t="s">
        <v>147</v>
      </c>
      <c r="L458" t="s">
        <v>3184</v>
      </c>
      <c r="M458" t="s">
        <v>659</v>
      </c>
    </row>
    <row r="459" spans="1:13">
      <c r="A459" t="s">
        <v>851</v>
      </c>
      <c r="B459" t="s">
        <v>686</v>
      </c>
      <c r="C459" t="s">
        <v>686</v>
      </c>
      <c r="D459" t="s">
        <v>24</v>
      </c>
      <c r="E459" t="s">
        <v>573</v>
      </c>
      <c r="F459" t="s">
        <v>40</v>
      </c>
      <c r="G459">
        <v>2040</v>
      </c>
      <c r="H459" s="12">
        <v>422</v>
      </c>
      <c r="I459" t="s">
        <v>3183</v>
      </c>
      <c r="J459" t="s">
        <v>6</v>
      </c>
      <c r="K459" t="s">
        <v>147</v>
      </c>
      <c r="L459" t="s">
        <v>3184</v>
      </c>
      <c r="M459" t="s">
        <v>659</v>
      </c>
    </row>
    <row r="460" spans="1:13">
      <c r="A460" t="s">
        <v>851</v>
      </c>
      <c r="B460" t="s">
        <v>686</v>
      </c>
      <c r="C460" t="s">
        <v>686</v>
      </c>
      <c r="D460" t="s">
        <v>24</v>
      </c>
      <c r="E460" t="s">
        <v>573</v>
      </c>
      <c r="F460" t="s">
        <v>40</v>
      </c>
      <c r="G460">
        <v>2045</v>
      </c>
      <c r="H460" s="12">
        <v>373</v>
      </c>
      <c r="I460" t="s">
        <v>3183</v>
      </c>
      <c r="J460" t="s">
        <v>6</v>
      </c>
      <c r="K460" t="s">
        <v>147</v>
      </c>
      <c r="L460" t="s">
        <v>3184</v>
      </c>
      <c r="M460" t="s">
        <v>659</v>
      </c>
    </row>
    <row r="461" spans="1:13">
      <c r="A461" t="s">
        <v>851</v>
      </c>
      <c r="B461" t="s">
        <v>686</v>
      </c>
      <c r="C461" t="s">
        <v>686</v>
      </c>
      <c r="D461" t="s">
        <v>24</v>
      </c>
      <c r="E461" t="s">
        <v>573</v>
      </c>
      <c r="F461" t="s">
        <v>40</v>
      </c>
      <c r="G461">
        <v>2050</v>
      </c>
      <c r="H461" s="12">
        <v>463</v>
      </c>
      <c r="I461" t="s">
        <v>3183</v>
      </c>
      <c r="J461" t="s">
        <v>6</v>
      </c>
      <c r="K461" t="s">
        <v>147</v>
      </c>
      <c r="L461" t="s">
        <v>3184</v>
      </c>
      <c r="M461" t="s">
        <v>659</v>
      </c>
    </row>
    <row r="462" spans="1:13">
      <c r="A462" t="s">
        <v>851</v>
      </c>
      <c r="B462" t="s">
        <v>687</v>
      </c>
      <c r="C462" t="s">
        <v>687</v>
      </c>
      <c r="D462" t="s">
        <v>24</v>
      </c>
      <c r="E462" t="s">
        <v>573</v>
      </c>
      <c r="F462" t="s">
        <v>40</v>
      </c>
      <c r="G462">
        <v>2030</v>
      </c>
      <c r="H462" s="12">
        <v>1172</v>
      </c>
      <c r="I462" t="s">
        <v>3183</v>
      </c>
      <c r="J462" t="s">
        <v>6</v>
      </c>
      <c r="K462" t="s">
        <v>147</v>
      </c>
      <c r="L462" t="s">
        <v>3184</v>
      </c>
      <c r="M462" t="s">
        <v>659</v>
      </c>
    </row>
    <row r="463" spans="1:13">
      <c r="A463" t="s">
        <v>851</v>
      </c>
      <c r="B463" t="s">
        <v>687</v>
      </c>
      <c r="C463" t="s">
        <v>687</v>
      </c>
      <c r="D463" t="s">
        <v>24</v>
      </c>
      <c r="E463" t="s">
        <v>573</v>
      </c>
      <c r="F463" t="s">
        <v>40</v>
      </c>
      <c r="G463">
        <v>2035</v>
      </c>
      <c r="H463" s="12">
        <v>922</v>
      </c>
      <c r="I463" t="s">
        <v>3183</v>
      </c>
      <c r="J463" t="s">
        <v>6</v>
      </c>
      <c r="K463" t="s">
        <v>147</v>
      </c>
      <c r="L463" t="s">
        <v>3184</v>
      </c>
      <c r="M463" t="s">
        <v>659</v>
      </c>
    </row>
    <row r="464" spans="1:13">
      <c r="A464" t="s">
        <v>851</v>
      </c>
      <c r="B464" t="s">
        <v>687</v>
      </c>
      <c r="C464" t="s">
        <v>687</v>
      </c>
      <c r="D464" t="s">
        <v>24</v>
      </c>
      <c r="E464" t="s">
        <v>573</v>
      </c>
      <c r="F464" t="s">
        <v>40</v>
      </c>
      <c r="G464">
        <v>2040</v>
      </c>
      <c r="H464" s="12">
        <v>608</v>
      </c>
      <c r="I464" t="s">
        <v>3183</v>
      </c>
      <c r="J464" t="s">
        <v>6</v>
      </c>
      <c r="K464" t="s">
        <v>147</v>
      </c>
      <c r="L464" t="s">
        <v>3184</v>
      </c>
      <c r="M464" t="s">
        <v>659</v>
      </c>
    </row>
    <row r="465" spans="1:13">
      <c r="A465" t="s">
        <v>851</v>
      </c>
      <c r="B465" t="s">
        <v>687</v>
      </c>
      <c r="C465" t="s">
        <v>687</v>
      </c>
      <c r="D465" t="s">
        <v>24</v>
      </c>
      <c r="E465" t="s">
        <v>573</v>
      </c>
      <c r="F465" t="s">
        <v>40</v>
      </c>
      <c r="G465">
        <v>2045</v>
      </c>
      <c r="H465" s="12">
        <v>459</v>
      </c>
      <c r="I465" t="s">
        <v>3183</v>
      </c>
      <c r="J465" t="s">
        <v>6</v>
      </c>
      <c r="K465" t="s">
        <v>147</v>
      </c>
      <c r="L465" t="s">
        <v>3184</v>
      </c>
      <c r="M465" t="s">
        <v>659</v>
      </c>
    </row>
    <row r="466" spans="1:13">
      <c r="A466" t="s">
        <v>851</v>
      </c>
      <c r="B466" t="s">
        <v>687</v>
      </c>
      <c r="C466" t="s">
        <v>687</v>
      </c>
      <c r="D466" t="s">
        <v>24</v>
      </c>
      <c r="E466" t="s">
        <v>573</v>
      </c>
      <c r="F466" t="s">
        <v>40</v>
      </c>
      <c r="G466">
        <v>2050</v>
      </c>
      <c r="H466" s="12">
        <v>470</v>
      </c>
      <c r="I466" t="s">
        <v>3183</v>
      </c>
      <c r="J466" t="s">
        <v>6</v>
      </c>
      <c r="K466" t="s">
        <v>147</v>
      </c>
      <c r="L466" t="s">
        <v>3184</v>
      </c>
      <c r="M466" t="s">
        <v>659</v>
      </c>
    </row>
    <row r="467" spans="1:13">
      <c r="A467" t="s">
        <v>851</v>
      </c>
      <c r="B467" t="s">
        <v>686</v>
      </c>
      <c r="C467" t="s">
        <v>686</v>
      </c>
      <c r="D467" t="s">
        <v>24</v>
      </c>
      <c r="E467" t="s">
        <v>573</v>
      </c>
      <c r="F467" t="s">
        <v>40</v>
      </c>
      <c r="G467">
        <v>2010</v>
      </c>
      <c r="H467" s="12">
        <v>822</v>
      </c>
      <c r="I467" t="s">
        <v>3183</v>
      </c>
      <c r="J467" t="s">
        <v>394</v>
      </c>
      <c r="K467" t="s">
        <v>147</v>
      </c>
      <c r="L467" t="s">
        <v>3184</v>
      </c>
      <c r="M467" t="s">
        <v>16</v>
      </c>
    </row>
    <row r="468" spans="1:13">
      <c r="A468" t="s">
        <v>851</v>
      </c>
      <c r="B468" t="s">
        <v>686</v>
      </c>
      <c r="C468" t="s">
        <v>686</v>
      </c>
      <c r="D468" t="s">
        <v>24</v>
      </c>
      <c r="E468" t="s">
        <v>573</v>
      </c>
      <c r="F468" t="s">
        <v>40</v>
      </c>
      <c r="G468">
        <v>2015</v>
      </c>
      <c r="H468" s="12">
        <v>803</v>
      </c>
      <c r="I468" t="s">
        <v>3183</v>
      </c>
      <c r="J468" t="s">
        <v>394</v>
      </c>
      <c r="K468" t="s">
        <v>147</v>
      </c>
      <c r="L468" t="s">
        <v>3184</v>
      </c>
      <c r="M468" t="s">
        <v>16</v>
      </c>
    </row>
    <row r="469" spans="1:13">
      <c r="A469" t="s">
        <v>851</v>
      </c>
      <c r="B469" t="s">
        <v>686</v>
      </c>
      <c r="C469" t="s">
        <v>686</v>
      </c>
      <c r="D469" t="s">
        <v>24</v>
      </c>
      <c r="E469" t="s">
        <v>573</v>
      </c>
      <c r="F469" t="s">
        <v>40</v>
      </c>
      <c r="G469">
        <v>2020</v>
      </c>
      <c r="H469" s="12">
        <v>362</v>
      </c>
      <c r="I469" t="s">
        <v>3183</v>
      </c>
      <c r="J469" t="s">
        <v>394</v>
      </c>
      <c r="K469" t="s">
        <v>147</v>
      </c>
      <c r="L469" t="s">
        <v>3184</v>
      </c>
      <c r="M469" t="s">
        <v>16</v>
      </c>
    </row>
    <row r="470" spans="1:13">
      <c r="A470" t="s">
        <v>851</v>
      </c>
      <c r="B470" t="s">
        <v>686</v>
      </c>
      <c r="C470" t="s">
        <v>686</v>
      </c>
      <c r="D470" t="s">
        <v>24</v>
      </c>
      <c r="E470" t="s">
        <v>573</v>
      </c>
      <c r="F470" t="s">
        <v>40</v>
      </c>
      <c r="G470">
        <v>2030</v>
      </c>
      <c r="H470" s="12">
        <v>108</v>
      </c>
      <c r="I470" t="s">
        <v>3183</v>
      </c>
      <c r="J470" t="s">
        <v>394</v>
      </c>
      <c r="K470" t="s">
        <v>147</v>
      </c>
      <c r="L470" t="s">
        <v>3184</v>
      </c>
      <c r="M470" t="s">
        <v>16</v>
      </c>
    </row>
    <row r="471" spans="1:13">
      <c r="A471" t="s">
        <v>851</v>
      </c>
      <c r="B471" t="s">
        <v>686</v>
      </c>
      <c r="C471" t="s">
        <v>686</v>
      </c>
      <c r="D471" t="s">
        <v>24</v>
      </c>
      <c r="E471" t="s">
        <v>573</v>
      </c>
      <c r="F471" t="s">
        <v>40</v>
      </c>
      <c r="G471">
        <v>2035</v>
      </c>
      <c r="H471" s="12">
        <v>52</v>
      </c>
      <c r="I471" t="s">
        <v>3183</v>
      </c>
      <c r="J471" t="s">
        <v>394</v>
      </c>
      <c r="K471" t="s">
        <v>147</v>
      </c>
      <c r="L471" t="s">
        <v>3184</v>
      </c>
      <c r="M471" t="s">
        <v>16</v>
      </c>
    </row>
    <row r="472" spans="1:13">
      <c r="A472" t="s">
        <v>851</v>
      </c>
      <c r="B472" t="s">
        <v>686</v>
      </c>
      <c r="C472" t="s">
        <v>686</v>
      </c>
      <c r="D472" t="s">
        <v>24</v>
      </c>
      <c r="E472" t="s">
        <v>573</v>
      </c>
      <c r="F472" t="s">
        <v>40</v>
      </c>
      <c r="G472">
        <v>2040</v>
      </c>
      <c r="H472" s="12">
        <v>30</v>
      </c>
      <c r="I472" t="s">
        <v>3183</v>
      </c>
      <c r="J472" t="s">
        <v>394</v>
      </c>
      <c r="K472" t="s">
        <v>147</v>
      </c>
      <c r="L472" t="s">
        <v>3184</v>
      </c>
      <c r="M472" t="s">
        <v>16</v>
      </c>
    </row>
    <row r="473" spans="1:13">
      <c r="A473" t="s">
        <v>851</v>
      </c>
      <c r="B473" t="s">
        <v>686</v>
      </c>
      <c r="C473" t="s">
        <v>686</v>
      </c>
      <c r="D473" t="s">
        <v>24</v>
      </c>
      <c r="E473" t="s">
        <v>573</v>
      </c>
      <c r="F473" t="s">
        <v>40</v>
      </c>
      <c r="G473">
        <v>2045</v>
      </c>
      <c r="H473" s="12">
        <v>17</v>
      </c>
      <c r="I473" t="s">
        <v>3183</v>
      </c>
      <c r="J473" t="s">
        <v>394</v>
      </c>
      <c r="K473" t="s">
        <v>147</v>
      </c>
      <c r="L473" t="s">
        <v>3184</v>
      </c>
      <c r="M473" t="s">
        <v>16</v>
      </c>
    </row>
    <row r="474" spans="1:13">
      <c r="A474" t="s">
        <v>851</v>
      </c>
      <c r="B474" t="s">
        <v>686</v>
      </c>
      <c r="C474" t="s">
        <v>686</v>
      </c>
      <c r="D474" t="s">
        <v>24</v>
      </c>
      <c r="E474" t="s">
        <v>573</v>
      </c>
      <c r="F474" t="s">
        <v>40</v>
      </c>
      <c r="G474">
        <v>2050</v>
      </c>
      <c r="H474" s="12">
        <v>4</v>
      </c>
      <c r="I474" t="s">
        <v>3183</v>
      </c>
      <c r="J474" t="s">
        <v>394</v>
      </c>
      <c r="K474" t="s">
        <v>147</v>
      </c>
      <c r="L474" t="s">
        <v>3184</v>
      </c>
      <c r="M474" t="s">
        <v>16</v>
      </c>
    </row>
    <row r="475" spans="1:13">
      <c r="A475" t="s">
        <v>851</v>
      </c>
      <c r="B475" t="s">
        <v>687</v>
      </c>
      <c r="C475" t="s">
        <v>687</v>
      </c>
      <c r="D475" t="s">
        <v>24</v>
      </c>
      <c r="E475" t="s">
        <v>573</v>
      </c>
      <c r="F475" t="s">
        <v>40</v>
      </c>
      <c r="G475">
        <v>2030</v>
      </c>
      <c r="H475" s="12">
        <v>103</v>
      </c>
      <c r="I475" t="s">
        <v>3183</v>
      </c>
      <c r="J475" t="s">
        <v>394</v>
      </c>
      <c r="K475" t="s">
        <v>147</v>
      </c>
      <c r="L475" t="s">
        <v>3184</v>
      </c>
      <c r="M475" t="s">
        <v>16</v>
      </c>
    </row>
    <row r="476" spans="1:13">
      <c r="A476" t="s">
        <v>851</v>
      </c>
      <c r="B476" t="s">
        <v>687</v>
      </c>
      <c r="C476" t="s">
        <v>687</v>
      </c>
      <c r="D476" t="s">
        <v>24</v>
      </c>
      <c r="E476" t="s">
        <v>573</v>
      </c>
      <c r="F476" t="s">
        <v>40</v>
      </c>
      <c r="G476">
        <v>2035</v>
      </c>
      <c r="H476" s="12">
        <v>0</v>
      </c>
      <c r="I476" t="s">
        <v>3183</v>
      </c>
      <c r="J476" t="s">
        <v>394</v>
      </c>
      <c r="K476" t="s">
        <v>147</v>
      </c>
      <c r="L476" t="s">
        <v>3184</v>
      </c>
      <c r="M476" t="s">
        <v>16</v>
      </c>
    </row>
    <row r="477" spans="1:13">
      <c r="A477" t="s">
        <v>851</v>
      </c>
      <c r="B477" t="s">
        <v>687</v>
      </c>
      <c r="C477" t="s">
        <v>687</v>
      </c>
      <c r="D477" t="s">
        <v>24</v>
      </c>
      <c r="E477" t="s">
        <v>573</v>
      </c>
      <c r="F477" t="s">
        <v>40</v>
      </c>
      <c r="G477">
        <v>2040</v>
      </c>
      <c r="H477" s="12">
        <v>0</v>
      </c>
      <c r="I477" t="s">
        <v>3183</v>
      </c>
      <c r="J477" t="s">
        <v>394</v>
      </c>
      <c r="K477" t="s">
        <v>147</v>
      </c>
      <c r="L477" t="s">
        <v>3184</v>
      </c>
      <c r="M477" t="s">
        <v>16</v>
      </c>
    </row>
    <row r="478" spans="1:13">
      <c r="A478" t="s">
        <v>851</v>
      </c>
      <c r="B478" t="s">
        <v>687</v>
      </c>
      <c r="C478" t="s">
        <v>687</v>
      </c>
      <c r="D478" t="s">
        <v>24</v>
      </c>
      <c r="E478" t="s">
        <v>573</v>
      </c>
      <c r="F478" t="s">
        <v>40</v>
      </c>
      <c r="G478">
        <v>2045</v>
      </c>
      <c r="H478" s="12">
        <v>0</v>
      </c>
      <c r="I478" t="s">
        <v>3183</v>
      </c>
      <c r="J478" t="s">
        <v>394</v>
      </c>
      <c r="K478" t="s">
        <v>147</v>
      </c>
      <c r="L478" t="s">
        <v>3184</v>
      </c>
      <c r="M478" t="s">
        <v>16</v>
      </c>
    </row>
    <row r="479" spans="1:13">
      <c r="A479" t="s">
        <v>851</v>
      </c>
      <c r="B479" t="s">
        <v>687</v>
      </c>
      <c r="C479" t="s">
        <v>687</v>
      </c>
      <c r="D479" t="s">
        <v>24</v>
      </c>
      <c r="E479" t="s">
        <v>573</v>
      </c>
      <c r="F479" t="s">
        <v>40</v>
      </c>
      <c r="G479">
        <v>2050</v>
      </c>
      <c r="H479" s="12">
        <v>0</v>
      </c>
      <c r="I479" t="s">
        <v>3183</v>
      </c>
      <c r="J479" t="s">
        <v>394</v>
      </c>
      <c r="K479" t="s">
        <v>147</v>
      </c>
      <c r="L479" t="s">
        <v>3184</v>
      </c>
      <c r="M479" t="s">
        <v>16</v>
      </c>
    </row>
    <row r="480" spans="1:13">
      <c r="A480" t="s">
        <v>851</v>
      </c>
      <c r="B480" t="s">
        <v>686</v>
      </c>
      <c r="C480" t="s">
        <v>686</v>
      </c>
      <c r="D480" t="s">
        <v>24</v>
      </c>
      <c r="E480" t="s">
        <v>573</v>
      </c>
      <c r="F480" t="s">
        <v>40</v>
      </c>
      <c r="G480">
        <v>2010</v>
      </c>
      <c r="H480" s="12">
        <v>2706</v>
      </c>
      <c r="I480" t="s">
        <v>3183</v>
      </c>
      <c r="J480" t="s">
        <v>5</v>
      </c>
      <c r="K480" t="s">
        <v>147</v>
      </c>
      <c r="L480" t="s">
        <v>3184</v>
      </c>
      <c r="M480" t="s">
        <v>5</v>
      </c>
    </row>
    <row r="481" spans="1:13">
      <c r="A481" t="s">
        <v>851</v>
      </c>
      <c r="B481" t="s">
        <v>686</v>
      </c>
      <c r="C481" t="s">
        <v>686</v>
      </c>
      <c r="D481" t="s">
        <v>24</v>
      </c>
      <c r="E481" t="s">
        <v>573</v>
      </c>
      <c r="F481" t="s">
        <v>40</v>
      </c>
      <c r="G481">
        <v>2015</v>
      </c>
      <c r="H481" s="12">
        <v>3030</v>
      </c>
      <c r="I481" t="s">
        <v>3183</v>
      </c>
      <c r="J481" t="s">
        <v>5</v>
      </c>
      <c r="K481" t="s">
        <v>147</v>
      </c>
      <c r="L481" t="s">
        <v>3184</v>
      </c>
      <c r="M481" t="s">
        <v>5</v>
      </c>
    </row>
    <row r="482" spans="1:13">
      <c r="A482" t="s">
        <v>851</v>
      </c>
      <c r="B482" t="s">
        <v>686</v>
      </c>
      <c r="C482" t="s">
        <v>686</v>
      </c>
      <c r="D482" t="s">
        <v>24</v>
      </c>
      <c r="E482" t="s">
        <v>573</v>
      </c>
      <c r="F482" t="s">
        <v>40</v>
      </c>
      <c r="G482">
        <v>2020</v>
      </c>
      <c r="H482" s="12">
        <v>2705</v>
      </c>
      <c r="I482" t="s">
        <v>3183</v>
      </c>
      <c r="J482" t="s">
        <v>5</v>
      </c>
      <c r="K482" t="s">
        <v>147</v>
      </c>
      <c r="L482" t="s">
        <v>3184</v>
      </c>
      <c r="M482" t="s">
        <v>5</v>
      </c>
    </row>
    <row r="483" spans="1:13">
      <c r="A483" t="s">
        <v>851</v>
      </c>
      <c r="B483" t="s">
        <v>686</v>
      </c>
      <c r="C483" t="s">
        <v>686</v>
      </c>
      <c r="D483" t="s">
        <v>24</v>
      </c>
      <c r="E483" t="s">
        <v>573</v>
      </c>
      <c r="F483" t="s">
        <v>40</v>
      </c>
      <c r="G483">
        <v>2030</v>
      </c>
      <c r="H483" s="12">
        <v>1505</v>
      </c>
      <c r="I483" t="s">
        <v>3183</v>
      </c>
      <c r="J483" t="s">
        <v>5</v>
      </c>
      <c r="K483" t="s">
        <v>147</v>
      </c>
      <c r="L483" t="s">
        <v>3184</v>
      </c>
      <c r="M483" t="s">
        <v>5</v>
      </c>
    </row>
    <row r="484" spans="1:13">
      <c r="A484" t="s">
        <v>851</v>
      </c>
      <c r="B484" t="s">
        <v>686</v>
      </c>
      <c r="C484" t="s">
        <v>686</v>
      </c>
      <c r="D484" t="s">
        <v>24</v>
      </c>
      <c r="E484" t="s">
        <v>573</v>
      </c>
      <c r="F484" t="s">
        <v>40</v>
      </c>
      <c r="G484">
        <v>2035</v>
      </c>
      <c r="H484" s="12">
        <v>1291</v>
      </c>
      <c r="I484" t="s">
        <v>3183</v>
      </c>
      <c r="J484" t="s">
        <v>5</v>
      </c>
      <c r="K484" t="s">
        <v>147</v>
      </c>
      <c r="L484" t="s">
        <v>3184</v>
      </c>
      <c r="M484" t="s">
        <v>5</v>
      </c>
    </row>
    <row r="485" spans="1:13">
      <c r="A485" t="s">
        <v>851</v>
      </c>
      <c r="B485" t="s">
        <v>686</v>
      </c>
      <c r="C485" t="s">
        <v>686</v>
      </c>
      <c r="D485" t="s">
        <v>24</v>
      </c>
      <c r="E485" t="s">
        <v>573</v>
      </c>
      <c r="F485" t="s">
        <v>40</v>
      </c>
      <c r="G485">
        <v>2040</v>
      </c>
      <c r="H485" s="12">
        <v>1152</v>
      </c>
      <c r="I485" t="s">
        <v>3183</v>
      </c>
      <c r="J485" t="s">
        <v>5</v>
      </c>
      <c r="K485" t="s">
        <v>147</v>
      </c>
      <c r="L485" t="s">
        <v>3184</v>
      </c>
      <c r="M485" t="s">
        <v>5</v>
      </c>
    </row>
    <row r="486" spans="1:13">
      <c r="A486" t="s">
        <v>851</v>
      </c>
      <c r="B486" t="s">
        <v>686</v>
      </c>
      <c r="C486" t="s">
        <v>686</v>
      </c>
      <c r="D486" t="s">
        <v>24</v>
      </c>
      <c r="E486" t="s">
        <v>573</v>
      </c>
      <c r="F486" t="s">
        <v>40</v>
      </c>
      <c r="G486">
        <v>2045</v>
      </c>
      <c r="H486" s="12">
        <v>837</v>
      </c>
      <c r="I486" t="s">
        <v>3183</v>
      </c>
      <c r="J486" t="s">
        <v>5</v>
      </c>
      <c r="K486" t="s">
        <v>147</v>
      </c>
      <c r="L486" t="s">
        <v>3184</v>
      </c>
      <c r="M486" t="s">
        <v>5</v>
      </c>
    </row>
    <row r="487" spans="1:13">
      <c r="A487" t="s">
        <v>851</v>
      </c>
      <c r="B487" t="s">
        <v>686</v>
      </c>
      <c r="C487" t="s">
        <v>686</v>
      </c>
      <c r="D487" t="s">
        <v>24</v>
      </c>
      <c r="E487" t="s">
        <v>573</v>
      </c>
      <c r="F487" t="s">
        <v>40</v>
      </c>
      <c r="G487">
        <v>2050</v>
      </c>
      <c r="H487" s="12">
        <v>491</v>
      </c>
      <c r="I487" t="s">
        <v>3183</v>
      </c>
      <c r="J487" t="s">
        <v>5</v>
      </c>
      <c r="K487" t="s">
        <v>147</v>
      </c>
      <c r="L487" t="s">
        <v>3184</v>
      </c>
      <c r="M487" t="s">
        <v>5</v>
      </c>
    </row>
    <row r="488" spans="1:13">
      <c r="A488" t="s">
        <v>851</v>
      </c>
      <c r="B488" t="s">
        <v>687</v>
      </c>
      <c r="C488" t="s">
        <v>687</v>
      </c>
      <c r="D488" t="s">
        <v>24</v>
      </c>
      <c r="E488" t="s">
        <v>573</v>
      </c>
      <c r="F488" t="s">
        <v>40</v>
      </c>
      <c r="G488">
        <v>2030</v>
      </c>
      <c r="H488" s="12">
        <v>1528</v>
      </c>
      <c r="I488" t="s">
        <v>3183</v>
      </c>
      <c r="J488" t="s">
        <v>5</v>
      </c>
      <c r="K488" t="s">
        <v>147</v>
      </c>
      <c r="L488" t="s">
        <v>3184</v>
      </c>
      <c r="M488" t="s">
        <v>5</v>
      </c>
    </row>
    <row r="489" spans="1:13">
      <c r="A489" t="s">
        <v>851</v>
      </c>
      <c r="B489" t="s">
        <v>687</v>
      </c>
      <c r="C489" t="s">
        <v>687</v>
      </c>
      <c r="D489" t="s">
        <v>24</v>
      </c>
      <c r="E489" t="s">
        <v>573</v>
      </c>
      <c r="F489" t="s">
        <v>40</v>
      </c>
      <c r="G489">
        <v>2035</v>
      </c>
      <c r="H489" s="12">
        <v>1029</v>
      </c>
      <c r="I489" t="s">
        <v>3183</v>
      </c>
      <c r="J489" t="s">
        <v>5</v>
      </c>
      <c r="K489" t="s">
        <v>147</v>
      </c>
      <c r="L489" t="s">
        <v>3184</v>
      </c>
      <c r="M489" t="s">
        <v>5</v>
      </c>
    </row>
    <row r="490" spans="1:13">
      <c r="A490" t="s">
        <v>851</v>
      </c>
      <c r="B490" t="s">
        <v>687</v>
      </c>
      <c r="C490" t="s">
        <v>687</v>
      </c>
      <c r="D490" t="s">
        <v>24</v>
      </c>
      <c r="E490" t="s">
        <v>573</v>
      </c>
      <c r="F490" t="s">
        <v>40</v>
      </c>
      <c r="G490">
        <v>2040</v>
      </c>
      <c r="H490" s="12">
        <v>848</v>
      </c>
      <c r="I490" t="s">
        <v>3183</v>
      </c>
      <c r="J490" t="s">
        <v>5</v>
      </c>
      <c r="K490" t="s">
        <v>147</v>
      </c>
      <c r="L490" t="s">
        <v>3184</v>
      </c>
      <c r="M490" t="s">
        <v>5</v>
      </c>
    </row>
    <row r="491" spans="1:13">
      <c r="A491" t="s">
        <v>851</v>
      </c>
      <c r="B491" t="s">
        <v>687</v>
      </c>
      <c r="C491" t="s">
        <v>687</v>
      </c>
      <c r="D491" t="s">
        <v>24</v>
      </c>
      <c r="E491" t="s">
        <v>573</v>
      </c>
      <c r="F491" t="s">
        <v>40</v>
      </c>
      <c r="G491">
        <v>2045</v>
      </c>
      <c r="H491" s="12">
        <v>661</v>
      </c>
      <c r="I491" t="s">
        <v>3183</v>
      </c>
      <c r="J491" t="s">
        <v>5</v>
      </c>
      <c r="K491" t="s">
        <v>147</v>
      </c>
      <c r="L491" t="s">
        <v>3184</v>
      </c>
      <c r="M491" t="s">
        <v>5</v>
      </c>
    </row>
    <row r="492" spans="1:13">
      <c r="A492" t="s">
        <v>851</v>
      </c>
      <c r="B492" t="s">
        <v>687</v>
      </c>
      <c r="C492" t="s">
        <v>687</v>
      </c>
      <c r="D492" t="s">
        <v>24</v>
      </c>
      <c r="E492" t="s">
        <v>573</v>
      </c>
      <c r="F492" t="s">
        <v>40</v>
      </c>
      <c r="G492">
        <v>2050</v>
      </c>
      <c r="H492" s="12">
        <v>458</v>
      </c>
      <c r="I492" t="s">
        <v>3183</v>
      </c>
      <c r="J492" t="s">
        <v>5</v>
      </c>
      <c r="K492" t="s">
        <v>147</v>
      </c>
      <c r="L492" t="s">
        <v>3184</v>
      </c>
      <c r="M492" t="s">
        <v>5</v>
      </c>
    </row>
    <row r="493" spans="1:13">
      <c r="A493" t="s">
        <v>851</v>
      </c>
      <c r="B493" t="s">
        <v>686</v>
      </c>
      <c r="C493" t="s">
        <v>686</v>
      </c>
      <c r="D493" t="s">
        <v>24</v>
      </c>
      <c r="E493" t="s">
        <v>660</v>
      </c>
      <c r="F493" t="s">
        <v>40</v>
      </c>
      <c r="G493">
        <v>2035</v>
      </c>
      <c r="H493" s="12">
        <v>878</v>
      </c>
      <c r="I493" t="s">
        <v>3183</v>
      </c>
      <c r="J493" t="s">
        <v>41</v>
      </c>
      <c r="K493" t="s">
        <v>657</v>
      </c>
      <c r="L493" t="s">
        <v>3184</v>
      </c>
      <c r="M493" t="s">
        <v>662</v>
      </c>
    </row>
    <row r="494" spans="1:13">
      <c r="A494" t="s">
        <v>851</v>
      </c>
      <c r="B494" t="s">
        <v>686</v>
      </c>
      <c r="C494" t="s">
        <v>686</v>
      </c>
      <c r="D494" t="s">
        <v>24</v>
      </c>
      <c r="E494" t="s">
        <v>660</v>
      </c>
      <c r="F494" t="s">
        <v>40</v>
      </c>
      <c r="G494">
        <v>2040</v>
      </c>
      <c r="H494" s="12">
        <v>912</v>
      </c>
      <c r="I494" t="s">
        <v>3183</v>
      </c>
      <c r="J494" t="s">
        <v>41</v>
      </c>
      <c r="K494" t="s">
        <v>657</v>
      </c>
      <c r="L494" t="s">
        <v>3184</v>
      </c>
      <c r="M494" t="s">
        <v>662</v>
      </c>
    </row>
    <row r="495" spans="1:13">
      <c r="A495" t="s">
        <v>851</v>
      </c>
      <c r="B495" t="s">
        <v>686</v>
      </c>
      <c r="C495" t="s">
        <v>686</v>
      </c>
      <c r="D495" t="s">
        <v>24</v>
      </c>
      <c r="E495" t="s">
        <v>660</v>
      </c>
      <c r="F495" t="s">
        <v>40</v>
      </c>
      <c r="G495">
        <v>2045</v>
      </c>
      <c r="H495" s="12">
        <v>947</v>
      </c>
      <c r="I495" t="s">
        <v>3183</v>
      </c>
      <c r="J495" t="s">
        <v>41</v>
      </c>
      <c r="K495" t="s">
        <v>657</v>
      </c>
      <c r="L495" t="s">
        <v>3184</v>
      </c>
      <c r="M495" t="s">
        <v>662</v>
      </c>
    </row>
    <row r="496" spans="1:13">
      <c r="A496" t="s">
        <v>851</v>
      </c>
      <c r="B496" t="s">
        <v>686</v>
      </c>
      <c r="C496" t="s">
        <v>686</v>
      </c>
      <c r="D496" t="s">
        <v>24</v>
      </c>
      <c r="E496" t="s">
        <v>660</v>
      </c>
      <c r="F496" t="s">
        <v>40</v>
      </c>
      <c r="G496">
        <v>2050</v>
      </c>
      <c r="H496" s="12">
        <v>991</v>
      </c>
      <c r="I496" t="s">
        <v>3183</v>
      </c>
      <c r="J496" t="s">
        <v>41</v>
      </c>
      <c r="K496" t="s">
        <v>657</v>
      </c>
      <c r="L496" t="s">
        <v>3184</v>
      </c>
      <c r="M496" t="s">
        <v>662</v>
      </c>
    </row>
    <row r="497" spans="1:13">
      <c r="A497" t="s">
        <v>851</v>
      </c>
      <c r="B497" t="s">
        <v>687</v>
      </c>
      <c r="C497" t="s">
        <v>687</v>
      </c>
      <c r="D497" t="s">
        <v>24</v>
      </c>
      <c r="E497" t="s">
        <v>660</v>
      </c>
      <c r="F497" t="s">
        <v>40</v>
      </c>
      <c r="G497">
        <v>2030</v>
      </c>
      <c r="H497" s="12">
        <v>1004</v>
      </c>
      <c r="I497" t="s">
        <v>3183</v>
      </c>
      <c r="J497" t="s">
        <v>41</v>
      </c>
      <c r="K497" t="s">
        <v>657</v>
      </c>
      <c r="L497" t="s">
        <v>3184</v>
      </c>
      <c r="M497" t="s">
        <v>662</v>
      </c>
    </row>
    <row r="498" spans="1:13">
      <c r="A498" t="s">
        <v>851</v>
      </c>
      <c r="B498" t="s">
        <v>687</v>
      </c>
      <c r="C498" t="s">
        <v>687</v>
      </c>
      <c r="D498" t="s">
        <v>24</v>
      </c>
      <c r="E498" t="s">
        <v>660</v>
      </c>
      <c r="F498" t="s">
        <v>40</v>
      </c>
      <c r="G498">
        <v>2035</v>
      </c>
      <c r="H498" s="12">
        <v>1268</v>
      </c>
      <c r="I498" t="s">
        <v>3183</v>
      </c>
      <c r="J498" t="s">
        <v>41</v>
      </c>
      <c r="K498" t="s">
        <v>657</v>
      </c>
      <c r="L498" t="s">
        <v>3184</v>
      </c>
      <c r="M498" t="s">
        <v>662</v>
      </c>
    </row>
    <row r="499" spans="1:13">
      <c r="A499" t="s">
        <v>851</v>
      </c>
      <c r="B499" t="s">
        <v>687</v>
      </c>
      <c r="C499" t="s">
        <v>687</v>
      </c>
      <c r="D499" t="s">
        <v>24</v>
      </c>
      <c r="E499" t="s">
        <v>660</v>
      </c>
      <c r="F499" t="s">
        <v>40</v>
      </c>
      <c r="G499">
        <v>2040</v>
      </c>
      <c r="H499" s="12">
        <v>1437</v>
      </c>
      <c r="I499" t="s">
        <v>3183</v>
      </c>
      <c r="J499" t="s">
        <v>41</v>
      </c>
      <c r="K499" t="s">
        <v>657</v>
      </c>
      <c r="L499" t="s">
        <v>3184</v>
      </c>
      <c r="M499" t="s">
        <v>662</v>
      </c>
    </row>
    <row r="500" spans="1:13">
      <c r="A500" t="s">
        <v>851</v>
      </c>
      <c r="B500" t="s">
        <v>687</v>
      </c>
      <c r="C500" t="s">
        <v>687</v>
      </c>
      <c r="D500" t="s">
        <v>24</v>
      </c>
      <c r="E500" t="s">
        <v>660</v>
      </c>
      <c r="F500" t="s">
        <v>40</v>
      </c>
      <c r="G500">
        <v>2045</v>
      </c>
      <c r="H500" s="12">
        <v>1531</v>
      </c>
      <c r="I500" t="s">
        <v>3183</v>
      </c>
      <c r="J500" t="s">
        <v>41</v>
      </c>
      <c r="K500" t="s">
        <v>657</v>
      </c>
      <c r="L500" t="s">
        <v>3184</v>
      </c>
      <c r="M500" t="s">
        <v>662</v>
      </c>
    </row>
    <row r="501" spans="1:13">
      <c r="A501" t="s">
        <v>851</v>
      </c>
      <c r="B501" t="s">
        <v>687</v>
      </c>
      <c r="C501" t="s">
        <v>687</v>
      </c>
      <c r="D501" t="s">
        <v>24</v>
      </c>
      <c r="E501" t="s">
        <v>660</v>
      </c>
      <c r="F501" t="s">
        <v>40</v>
      </c>
      <c r="G501">
        <v>2050</v>
      </c>
      <c r="H501" s="12">
        <v>1638</v>
      </c>
      <c r="I501" t="s">
        <v>3183</v>
      </c>
      <c r="J501" t="s">
        <v>41</v>
      </c>
      <c r="K501" t="s">
        <v>657</v>
      </c>
      <c r="L501" t="s">
        <v>3184</v>
      </c>
      <c r="M501" t="s">
        <v>662</v>
      </c>
    </row>
    <row r="502" spans="1:13">
      <c r="A502" t="s">
        <v>851</v>
      </c>
      <c r="B502" t="s">
        <v>686</v>
      </c>
      <c r="C502" t="s">
        <v>686</v>
      </c>
      <c r="D502" t="s">
        <v>24</v>
      </c>
      <c r="E502" t="s">
        <v>660</v>
      </c>
      <c r="F502" t="s">
        <v>40</v>
      </c>
      <c r="G502">
        <v>2010</v>
      </c>
      <c r="H502" s="12">
        <v>0</v>
      </c>
      <c r="I502" t="s">
        <v>3183</v>
      </c>
      <c r="J502" t="s">
        <v>41</v>
      </c>
      <c r="K502" t="s">
        <v>657</v>
      </c>
      <c r="L502" t="s">
        <v>3184</v>
      </c>
      <c r="M502" t="s">
        <v>661</v>
      </c>
    </row>
    <row r="503" spans="1:13">
      <c r="A503" t="s">
        <v>851</v>
      </c>
      <c r="B503" t="s">
        <v>686</v>
      </c>
      <c r="C503" t="s">
        <v>686</v>
      </c>
      <c r="D503" t="s">
        <v>24</v>
      </c>
      <c r="E503" t="s">
        <v>660</v>
      </c>
      <c r="F503" t="s">
        <v>40</v>
      </c>
      <c r="G503">
        <v>2015</v>
      </c>
      <c r="H503" s="12">
        <v>0</v>
      </c>
      <c r="I503" t="s">
        <v>3183</v>
      </c>
      <c r="J503" t="s">
        <v>41</v>
      </c>
      <c r="K503" t="s">
        <v>657</v>
      </c>
      <c r="L503" t="s">
        <v>3184</v>
      </c>
      <c r="M503" t="s">
        <v>661</v>
      </c>
    </row>
    <row r="504" spans="1:13">
      <c r="A504" t="s">
        <v>851</v>
      </c>
      <c r="B504" t="s">
        <v>686</v>
      </c>
      <c r="C504" t="s">
        <v>686</v>
      </c>
      <c r="D504" t="s">
        <v>24</v>
      </c>
      <c r="E504" t="s">
        <v>660</v>
      </c>
      <c r="F504" t="s">
        <v>40</v>
      </c>
      <c r="G504">
        <v>2020</v>
      </c>
      <c r="H504" s="12">
        <v>0</v>
      </c>
      <c r="I504" t="s">
        <v>3183</v>
      </c>
      <c r="J504" t="s">
        <v>41</v>
      </c>
      <c r="K504" t="s">
        <v>657</v>
      </c>
      <c r="L504" t="s">
        <v>3184</v>
      </c>
      <c r="M504" t="s">
        <v>661</v>
      </c>
    </row>
    <row r="505" spans="1:13">
      <c r="A505" t="s">
        <v>851</v>
      </c>
      <c r="B505" t="s">
        <v>686</v>
      </c>
      <c r="C505" t="s">
        <v>686</v>
      </c>
      <c r="D505" t="s">
        <v>24</v>
      </c>
      <c r="E505" t="s">
        <v>660</v>
      </c>
      <c r="F505" t="s">
        <v>40</v>
      </c>
      <c r="G505">
        <v>2030</v>
      </c>
      <c r="H505" s="12">
        <v>0</v>
      </c>
      <c r="I505" t="s">
        <v>3183</v>
      </c>
      <c r="J505" t="s">
        <v>41</v>
      </c>
      <c r="K505" t="s">
        <v>657</v>
      </c>
      <c r="L505" t="s">
        <v>3184</v>
      </c>
      <c r="M505" t="s">
        <v>661</v>
      </c>
    </row>
    <row r="506" spans="1:13">
      <c r="A506" t="s">
        <v>851</v>
      </c>
      <c r="B506" t="s">
        <v>686</v>
      </c>
      <c r="C506" t="s">
        <v>686</v>
      </c>
      <c r="D506" t="s">
        <v>24</v>
      </c>
      <c r="E506" t="s">
        <v>660</v>
      </c>
      <c r="F506" t="s">
        <v>40</v>
      </c>
      <c r="G506">
        <v>2035</v>
      </c>
      <c r="H506" s="12">
        <v>0</v>
      </c>
      <c r="I506" t="s">
        <v>3183</v>
      </c>
      <c r="J506" t="s">
        <v>41</v>
      </c>
      <c r="K506" t="s">
        <v>657</v>
      </c>
      <c r="L506" t="s">
        <v>3184</v>
      </c>
      <c r="M506" t="s">
        <v>661</v>
      </c>
    </row>
    <row r="507" spans="1:13">
      <c r="A507" t="s">
        <v>851</v>
      </c>
      <c r="B507" t="s">
        <v>686</v>
      </c>
      <c r="C507" t="s">
        <v>686</v>
      </c>
      <c r="D507" t="s">
        <v>24</v>
      </c>
      <c r="E507" t="s">
        <v>660</v>
      </c>
      <c r="F507" t="s">
        <v>40</v>
      </c>
      <c r="G507">
        <v>2040</v>
      </c>
      <c r="H507" s="12">
        <v>0</v>
      </c>
      <c r="I507" t="s">
        <v>3183</v>
      </c>
      <c r="J507" t="s">
        <v>41</v>
      </c>
      <c r="K507" t="s">
        <v>657</v>
      </c>
      <c r="L507" t="s">
        <v>3184</v>
      </c>
      <c r="M507" t="s">
        <v>661</v>
      </c>
    </row>
    <row r="508" spans="1:13">
      <c r="A508" t="s">
        <v>851</v>
      </c>
      <c r="B508" t="s">
        <v>686</v>
      </c>
      <c r="C508" t="s">
        <v>686</v>
      </c>
      <c r="D508" t="s">
        <v>24</v>
      </c>
      <c r="E508" t="s">
        <v>660</v>
      </c>
      <c r="F508" t="s">
        <v>40</v>
      </c>
      <c r="G508">
        <v>2045</v>
      </c>
      <c r="H508" s="12">
        <v>0</v>
      </c>
      <c r="I508" t="s">
        <v>3183</v>
      </c>
      <c r="J508" t="s">
        <v>41</v>
      </c>
      <c r="K508" t="s">
        <v>657</v>
      </c>
      <c r="L508" t="s">
        <v>3184</v>
      </c>
      <c r="M508" t="s">
        <v>661</v>
      </c>
    </row>
    <row r="509" spans="1:13">
      <c r="A509" t="s">
        <v>851</v>
      </c>
      <c r="B509" t="s">
        <v>686</v>
      </c>
      <c r="C509" t="s">
        <v>686</v>
      </c>
      <c r="D509" t="s">
        <v>24</v>
      </c>
      <c r="E509" t="s">
        <v>660</v>
      </c>
      <c r="F509" t="s">
        <v>40</v>
      </c>
      <c r="G509">
        <v>2050</v>
      </c>
      <c r="H509" s="12">
        <v>0</v>
      </c>
      <c r="I509" t="s">
        <v>3183</v>
      </c>
      <c r="J509" t="s">
        <v>41</v>
      </c>
      <c r="K509" t="s">
        <v>657</v>
      </c>
      <c r="L509" t="s">
        <v>3184</v>
      </c>
      <c r="M509" t="s">
        <v>661</v>
      </c>
    </row>
    <row r="510" spans="1:13">
      <c r="A510" t="s">
        <v>851</v>
      </c>
      <c r="B510" t="s">
        <v>687</v>
      </c>
      <c r="C510" t="s">
        <v>687</v>
      </c>
      <c r="D510" t="s">
        <v>24</v>
      </c>
      <c r="E510" t="s">
        <v>660</v>
      </c>
      <c r="F510" t="s">
        <v>40</v>
      </c>
      <c r="G510">
        <v>2030</v>
      </c>
      <c r="H510" s="12">
        <v>0</v>
      </c>
      <c r="I510" t="s">
        <v>3183</v>
      </c>
      <c r="J510" t="s">
        <v>41</v>
      </c>
      <c r="K510" t="s">
        <v>657</v>
      </c>
      <c r="L510" t="s">
        <v>3184</v>
      </c>
      <c r="M510" t="s">
        <v>661</v>
      </c>
    </row>
    <row r="511" spans="1:13">
      <c r="A511" t="s">
        <v>851</v>
      </c>
      <c r="B511" t="s">
        <v>687</v>
      </c>
      <c r="C511" t="s">
        <v>687</v>
      </c>
      <c r="D511" t="s">
        <v>24</v>
      </c>
      <c r="E511" t="s">
        <v>660</v>
      </c>
      <c r="F511" t="s">
        <v>40</v>
      </c>
      <c r="G511">
        <v>2035</v>
      </c>
      <c r="H511" s="12">
        <v>0</v>
      </c>
      <c r="I511" t="s">
        <v>3183</v>
      </c>
      <c r="J511" t="s">
        <v>41</v>
      </c>
      <c r="K511" t="s">
        <v>657</v>
      </c>
      <c r="L511" t="s">
        <v>3184</v>
      </c>
      <c r="M511" t="s">
        <v>661</v>
      </c>
    </row>
    <row r="512" spans="1:13">
      <c r="A512" t="s">
        <v>851</v>
      </c>
      <c r="B512" t="s">
        <v>687</v>
      </c>
      <c r="C512" t="s">
        <v>687</v>
      </c>
      <c r="D512" t="s">
        <v>24</v>
      </c>
      <c r="E512" t="s">
        <v>660</v>
      </c>
      <c r="F512" t="s">
        <v>40</v>
      </c>
      <c r="G512">
        <v>2040</v>
      </c>
      <c r="H512" s="12">
        <v>0</v>
      </c>
      <c r="I512" t="s">
        <v>3183</v>
      </c>
      <c r="J512" t="s">
        <v>41</v>
      </c>
      <c r="K512" t="s">
        <v>657</v>
      </c>
      <c r="L512" t="s">
        <v>3184</v>
      </c>
      <c r="M512" t="s">
        <v>661</v>
      </c>
    </row>
    <row r="513" spans="1:13">
      <c r="A513" t="s">
        <v>851</v>
      </c>
      <c r="B513" t="s">
        <v>687</v>
      </c>
      <c r="C513" t="s">
        <v>687</v>
      </c>
      <c r="D513" t="s">
        <v>24</v>
      </c>
      <c r="E513" t="s">
        <v>660</v>
      </c>
      <c r="F513" t="s">
        <v>40</v>
      </c>
      <c r="G513">
        <v>2045</v>
      </c>
      <c r="H513" s="12">
        <v>0</v>
      </c>
      <c r="I513" t="s">
        <v>3183</v>
      </c>
      <c r="J513" t="s">
        <v>41</v>
      </c>
      <c r="K513" t="s">
        <v>657</v>
      </c>
      <c r="L513" t="s">
        <v>3184</v>
      </c>
      <c r="M513" t="s">
        <v>661</v>
      </c>
    </row>
    <row r="514" spans="1:13">
      <c r="A514" t="s">
        <v>851</v>
      </c>
      <c r="B514" t="s">
        <v>687</v>
      </c>
      <c r="C514" t="s">
        <v>687</v>
      </c>
      <c r="D514" t="s">
        <v>24</v>
      </c>
      <c r="E514" t="s">
        <v>660</v>
      </c>
      <c r="F514" t="s">
        <v>40</v>
      </c>
      <c r="G514">
        <v>2050</v>
      </c>
      <c r="H514" s="12">
        <v>0</v>
      </c>
      <c r="I514" t="s">
        <v>3183</v>
      </c>
      <c r="J514" t="s">
        <v>41</v>
      </c>
      <c r="K514" t="s">
        <v>657</v>
      </c>
      <c r="L514" t="s">
        <v>3184</v>
      </c>
      <c r="M514" t="s">
        <v>661</v>
      </c>
    </row>
    <row r="515" spans="1:13">
      <c r="A515" t="s">
        <v>851</v>
      </c>
      <c r="B515" t="s">
        <v>686</v>
      </c>
      <c r="C515" t="s">
        <v>686</v>
      </c>
      <c r="D515" t="s">
        <v>24</v>
      </c>
      <c r="E515" t="s">
        <v>660</v>
      </c>
      <c r="F515" t="s">
        <v>40</v>
      </c>
      <c r="G515">
        <v>2010</v>
      </c>
      <c r="H515" s="12">
        <v>3144</v>
      </c>
      <c r="I515" t="s">
        <v>3183</v>
      </c>
      <c r="J515" t="s">
        <v>15</v>
      </c>
      <c r="K515" t="s">
        <v>657</v>
      </c>
      <c r="L515" t="s">
        <v>3184</v>
      </c>
      <c r="M515" t="s">
        <v>15</v>
      </c>
    </row>
    <row r="516" spans="1:13">
      <c r="A516" t="s">
        <v>851</v>
      </c>
      <c r="B516" t="s">
        <v>686</v>
      </c>
      <c r="C516" t="s">
        <v>686</v>
      </c>
      <c r="D516" t="s">
        <v>24</v>
      </c>
      <c r="E516" t="s">
        <v>660</v>
      </c>
      <c r="F516" t="s">
        <v>40</v>
      </c>
      <c r="G516">
        <v>2015</v>
      </c>
      <c r="H516" s="12">
        <v>103</v>
      </c>
      <c r="I516" t="s">
        <v>3183</v>
      </c>
      <c r="J516" t="s">
        <v>15</v>
      </c>
      <c r="K516" t="s">
        <v>657</v>
      </c>
      <c r="L516" t="s">
        <v>3184</v>
      </c>
      <c r="M516" t="s">
        <v>15</v>
      </c>
    </row>
    <row r="517" spans="1:13">
      <c r="A517" t="s">
        <v>851</v>
      </c>
      <c r="B517" t="s">
        <v>686</v>
      </c>
      <c r="C517" t="s">
        <v>686</v>
      </c>
      <c r="D517" t="s">
        <v>24</v>
      </c>
      <c r="E517" t="s">
        <v>660</v>
      </c>
      <c r="F517" t="s">
        <v>40</v>
      </c>
      <c r="G517">
        <v>2020</v>
      </c>
      <c r="H517" s="12">
        <v>423</v>
      </c>
      <c r="I517" t="s">
        <v>3183</v>
      </c>
      <c r="J517" t="s">
        <v>15</v>
      </c>
      <c r="K517" t="s">
        <v>657</v>
      </c>
      <c r="L517" t="s">
        <v>3184</v>
      </c>
      <c r="M517" t="s">
        <v>15</v>
      </c>
    </row>
    <row r="518" spans="1:13">
      <c r="A518" t="s">
        <v>851</v>
      </c>
      <c r="B518" t="s">
        <v>686</v>
      </c>
      <c r="C518" t="s">
        <v>686</v>
      </c>
      <c r="D518" t="s">
        <v>24</v>
      </c>
      <c r="E518" t="s">
        <v>660</v>
      </c>
      <c r="F518" t="s">
        <v>40</v>
      </c>
      <c r="G518">
        <v>2030</v>
      </c>
      <c r="H518" s="12">
        <v>2078</v>
      </c>
      <c r="I518" t="s">
        <v>3183</v>
      </c>
      <c r="J518" t="s">
        <v>15</v>
      </c>
      <c r="K518" t="s">
        <v>657</v>
      </c>
      <c r="L518" t="s">
        <v>3184</v>
      </c>
      <c r="M518" t="s">
        <v>15</v>
      </c>
    </row>
    <row r="519" spans="1:13">
      <c r="A519" t="s">
        <v>851</v>
      </c>
      <c r="B519" t="s">
        <v>686</v>
      </c>
      <c r="C519" t="s">
        <v>686</v>
      </c>
      <c r="D519" t="s">
        <v>24</v>
      </c>
      <c r="E519" t="s">
        <v>660</v>
      </c>
      <c r="F519" t="s">
        <v>40</v>
      </c>
      <c r="G519">
        <v>2035</v>
      </c>
      <c r="H519" s="12">
        <v>2203</v>
      </c>
      <c r="I519" t="s">
        <v>3183</v>
      </c>
      <c r="J519" t="s">
        <v>15</v>
      </c>
      <c r="K519" t="s">
        <v>657</v>
      </c>
      <c r="L519" t="s">
        <v>3184</v>
      </c>
      <c r="M519" t="s">
        <v>15</v>
      </c>
    </row>
    <row r="520" spans="1:13">
      <c r="A520" t="s">
        <v>851</v>
      </c>
      <c r="B520" t="s">
        <v>686</v>
      </c>
      <c r="C520" t="s">
        <v>686</v>
      </c>
      <c r="D520" t="s">
        <v>24</v>
      </c>
      <c r="E520" t="s">
        <v>660</v>
      </c>
      <c r="F520" t="s">
        <v>40</v>
      </c>
      <c r="G520">
        <v>2040</v>
      </c>
      <c r="H520" s="12">
        <v>2270</v>
      </c>
      <c r="I520" t="s">
        <v>3183</v>
      </c>
      <c r="J520" t="s">
        <v>15</v>
      </c>
      <c r="K520" t="s">
        <v>657</v>
      </c>
      <c r="L520" t="s">
        <v>3184</v>
      </c>
      <c r="M520" t="s">
        <v>15</v>
      </c>
    </row>
    <row r="521" spans="1:13">
      <c r="A521" t="s">
        <v>851</v>
      </c>
      <c r="B521" t="s">
        <v>686</v>
      </c>
      <c r="C521" t="s">
        <v>686</v>
      </c>
      <c r="D521" t="s">
        <v>24</v>
      </c>
      <c r="E521" t="s">
        <v>660</v>
      </c>
      <c r="F521" t="s">
        <v>40</v>
      </c>
      <c r="G521">
        <v>2045</v>
      </c>
      <c r="H521" s="12">
        <v>2234</v>
      </c>
      <c r="I521" t="s">
        <v>3183</v>
      </c>
      <c r="J521" t="s">
        <v>15</v>
      </c>
      <c r="K521" t="s">
        <v>657</v>
      </c>
      <c r="L521" t="s">
        <v>3184</v>
      </c>
      <c r="M521" t="s">
        <v>15</v>
      </c>
    </row>
    <row r="522" spans="1:13">
      <c r="A522" t="s">
        <v>851</v>
      </c>
      <c r="B522" t="s">
        <v>686</v>
      </c>
      <c r="C522" t="s">
        <v>686</v>
      </c>
      <c r="D522" t="s">
        <v>24</v>
      </c>
      <c r="E522" t="s">
        <v>660</v>
      </c>
      <c r="F522" t="s">
        <v>40</v>
      </c>
      <c r="G522">
        <v>2050</v>
      </c>
      <c r="H522" s="12">
        <v>2246</v>
      </c>
      <c r="I522" t="s">
        <v>3183</v>
      </c>
      <c r="J522" t="s">
        <v>15</v>
      </c>
      <c r="K522" t="s">
        <v>657</v>
      </c>
      <c r="L522" t="s">
        <v>3184</v>
      </c>
      <c r="M522" t="s">
        <v>15</v>
      </c>
    </row>
    <row r="523" spans="1:13">
      <c r="A523" t="s">
        <v>851</v>
      </c>
      <c r="B523" t="s">
        <v>687</v>
      </c>
      <c r="C523" t="s">
        <v>687</v>
      </c>
      <c r="D523" t="s">
        <v>24</v>
      </c>
      <c r="E523" t="s">
        <v>660</v>
      </c>
      <c r="F523" t="s">
        <v>40</v>
      </c>
      <c r="G523">
        <v>2035</v>
      </c>
      <c r="H523" s="12">
        <v>3449</v>
      </c>
      <c r="I523" t="s">
        <v>3183</v>
      </c>
      <c r="J523" t="s">
        <v>394</v>
      </c>
      <c r="K523" t="s">
        <v>657</v>
      </c>
      <c r="L523" t="s">
        <v>3184</v>
      </c>
      <c r="M523" t="s">
        <v>16</v>
      </c>
    </row>
    <row r="524" spans="1:13">
      <c r="A524" t="s">
        <v>851</v>
      </c>
      <c r="B524" t="s">
        <v>687</v>
      </c>
      <c r="C524" t="s">
        <v>687</v>
      </c>
      <c r="D524" t="s">
        <v>24</v>
      </c>
      <c r="E524" t="s">
        <v>660</v>
      </c>
      <c r="F524" t="s">
        <v>40</v>
      </c>
      <c r="G524">
        <v>2040</v>
      </c>
      <c r="H524" s="12">
        <v>2479</v>
      </c>
      <c r="I524" t="s">
        <v>3183</v>
      </c>
      <c r="J524" t="s">
        <v>394</v>
      </c>
      <c r="K524" t="s">
        <v>657</v>
      </c>
      <c r="L524" t="s">
        <v>3184</v>
      </c>
      <c r="M524" t="s">
        <v>16</v>
      </c>
    </row>
    <row r="525" spans="1:13">
      <c r="A525" t="s">
        <v>851</v>
      </c>
      <c r="B525" t="s">
        <v>687</v>
      </c>
      <c r="C525" t="s">
        <v>687</v>
      </c>
      <c r="D525" t="s">
        <v>24</v>
      </c>
      <c r="E525" t="s">
        <v>660</v>
      </c>
      <c r="F525" t="s">
        <v>40</v>
      </c>
      <c r="G525">
        <v>2045</v>
      </c>
      <c r="H525" s="12">
        <v>1807</v>
      </c>
      <c r="I525" t="s">
        <v>3183</v>
      </c>
      <c r="J525" t="s">
        <v>394</v>
      </c>
      <c r="K525" t="s">
        <v>657</v>
      </c>
      <c r="L525" t="s">
        <v>3184</v>
      </c>
      <c r="M525" t="s">
        <v>16</v>
      </c>
    </row>
    <row r="526" spans="1:13">
      <c r="A526" t="s">
        <v>851</v>
      </c>
      <c r="B526" t="s">
        <v>687</v>
      </c>
      <c r="C526" t="s">
        <v>687</v>
      </c>
      <c r="D526" t="s">
        <v>24</v>
      </c>
      <c r="E526" t="s">
        <v>660</v>
      </c>
      <c r="F526" t="s">
        <v>40</v>
      </c>
      <c r="G526">
        <v>2050</v>
      </c>
      <c r="H526" s="12">
        <v>1302</v>
      </c>
      <c r="I526" t="s">
        <v>3183</v>
      </c>
      <c r="J526" t="s">
        <v>394</v>
      </c>
      <c r="K526" t="s">
        <v>657</v>
      </c>
      <c r="L526" t="s">
        <v>3184</v>
      </c>
      <c r="M526" t="s">
        <v>16</v>
      </c>
    </row>
    <row r="527" spans="1:13">
      <c r="A527" t="s">
        <v>851</v>
      </c>
      <c r="B527" t="s">
        <v>686</v>
      </c>
      <c r="C527" t="s">
        <v>686</v>
      </c>
      <c r="D527" t="s">
        <v>24</v>
      </c>
      <c r="E527" t="s">
        <v>646</v>
      </c>
      <c r="F527" t="s">
        <v>40</v>
      </c>
      <c r="G527">
        <v>2010</v>
      </c>
      <c r="H527" s="12">
        <v>1389</v>
      </c>
      <c r="I527" t="s">
        <v>3183</v>
      </c>
      <c r="J527" t="s">
        <v>394</v>
      </c>
      <c r="K527" t="s">
        <v>272</v>
      </c>
      <c r="L527" t="s">
        <v>3184</v>
      </c>
      <c r="M527" t="s">
        <v>16</v>
      </c>
    </row>
    <row r="528" spans="1:13">
      <c r="A528" t="s">
        <v>851</v>
      </c>
      <c r="B528" t="s">
        <v>686</v>
      </c>
      <c r="C528" t="s">
        <v>686</v>
      </c>
      <c r="D528" t="s">
        <v>24</v>
      </c>
      <c r="E528" t="s">
        <v>646</v>
      </c>
      <c r="F528" t="s">
        <v>40</v>
      </c>
      <c r="G528">
        <v>2015</v>
      </c>
      <c r="H528" s="12">
        <v>1423</v>
      </c>
      <c r="I528" t="s">
        <v>3183</v>
      </c>
      <c r="J528" t="s">
        <v>394</v>
      </c>
      <c r="K528" t="s">
        <v>272</v>
      </c>
      <c r="L528" t="s">
        <v>3184</v>
      </c>
      <c r="M528" t="s">
        <v>16</v>
      </c>
    </row>
    <row r="529" spans="1:13">
      <c r="A529" t="s">
        <v>851</v>
      </c>
      <c r="B529" t="s">
        <v>686</v>
      </c>
      <c r="C529" t="s">
        <v>686</v>
      </c>
      <c r="D529" t="s">
        <v>24</v>
      </c>
      <c r="E529" t="s">
        <v>646</v>
      </c>
      <c r="F529" t="s">
        <v>40</v>
      </c>
      <c r="G529">
        <v>2020</v>
      </c>
      <c r="H529" s="12">
        <v>1184</v>
      </c>
      <c r="I529" t="s">
        <v>3183</v>
      </c>
      <c r="J529" t="s">
        <v>394</v>
      </c>
      <c r="K529" t="s">
        <v>272</v>
      </c>
      <c r="L529" t="s">
        <v>3184</v>
      </c>
      <c r="M529" t="s">
        <v>16</v>
      </c>
    </row>
    <row r="530" spans="1:13">
      <c r="A530" t="s">
        <v>851</v>
      </c>
      <c r="B530" t="s">
        <v>686</v>
      </c>
      <c r="C530" t="s">
        <v>686</v>
      </c>
      <c r="D530" t="s">
        <v>24</v>
      </c>
      <c r="E530" t="s">
        <v>646</v>
      </c>
      <c r="F530" t="s">
        <v>40</v>
      </c>
      <c r="G530">
        <v>2030</v>
      </c>
      <c r="H530" s="12">
        <v>1190</v>
      </c>
      <c r="I530" t="s">
        <v>3183</v>
      </c>
      <c r="J530" t="s">
        <v>394</v>
      </c>
      <c r="K530" t="s">
        <v>272</v>
      </c>
      <c r="L530" t="s">
        <v>3184</v>
      </c>
      <c r="M530" t="s">
        <v>16</v>
      </c>
    </row>
    <row r="531" spans="1:13">
      <c r="A531" t="s">
        <v>851</v>
      </c>
      <c r="B531" t="s">
        <v>686</v>
      </c>
      <c r="C531" t="s">
        <v>686</v>
      </c>
      <c r="D531" t="s">
        <v>24</v>
      </c>
      <c r="E531" t="s">
        <v>646</v>
      </c>
      <c r="F531" t="s">
        <v>40</v>
      </c>
      <c r="G531">
        <v>2035</v>
      </c>
      <c r="H531" s="12">
        <v>1135</v>
      </c>
      <c r="I531" t="s">
        <v>3183</v>
      </c>
      <c r="J531" t="s">
        <v>394</v>
      </c>
      <c r="K531" t="s">
        <v>272</v>
      </c>
      <c r="L531" t="s">
        <v>3184</v>
      </c>
      <c r="M531" t="s">
        <v>16</v>
      </c>
    </row>
    <row r="532" spans="1:13">
      <c r="A532" t="s">
        <v>851</v>
      </c>
      <c r="B532" t="s">
        <v>686</v>
      </c>
      <c r="C532" t="s">
        <v>686</v>
      </c>
      <c r="D532" t="s">
        <v>24</v>
      </c>
      <c r="E532" t="s">
        <v>646</v>
      </c>
      <c r="F532" t="s">
        <v>40</v>
      </c>
      <c r="G532">
        <v>2040</v>
      </c>
      <c r="H532" s="12">
        <v>1060</v>
      </c>
      <c r="I532" t="s">
        <v>3183</v>
      </c>
      <c r="J532" t="s">
        <v>394</v>
      </c>
      <c r="K532" t="s">
        <v>272</v>
      </c>
      <c r="L532" t="s">
        <v>3184</v>
      </c>
      <c r="M532" t="s">
        <v>16</v>
      </c>
    </row>
    <row r="533" spans="1:13">
      <c r="A533" t="s">
        <v>851</v>
      </c>
      <c r="B533" t="s">
        <v>686</v>
      </c>
      <c r="C533" t="s">
        <v>686</v>
      </c>
      <c r="D533" t="s">
        <v>24</v>
      </c>
      <c r="E533" t="s">
        <v>646</v>
      </c>
      <c r="F533" t="s">
        <v>40</v>
      </c>
      <c r="G533">
        <v>2045</v>
      </c>
      <c r="H533" s="12">
        <v>976</v>
      </c>
      <c r="I533" t="s">
        <v>3183</v>
      </c>
      <c r="J533" t="s">
        <v>394</v>
      </c>
      <c r="K533" t="s">
        <v>272</v>
      </c>
      <c r="L533" t="s">
        <v>3184</v>
      </c>
      <c r="M533" t="s">
        <v>16</v>
      </c>
    </row>
    <row r="534" spans="1:13">
      <c r="A534" t="s">
        <v>851</v>
      </c>
      <c r="B534" t="s">
        <v>686</v>
      </c>
      <c r="C534" t="s">
        <v>686</v>
      </c>
      <c r="D534" t="s">
        <v>24</v>
      </c>
      <c r="E534" t="s">
        <v>646</v>
      </c>
      <c r="F534" t="s">
        <v>40</v>
      </c>
      <c r="G534">
        <v>2050</v>
      </c>
      <c r="H534" s="12">
        <v>889</v>
      </c>
      <c r="I534" t="s">
        <v>3183</v>
      </c>
      <c r="J534" t="s">
        <v>394</v>
      </c>
      <c r="K534" t="s">
        <v>272</v>
      </c>
      <c r="L534" t="s">
        <v>3184</v>
      </c>
      <c r="M534" t="s">
        <v>16</v>
      </c>
    </row>
    <row r="535" spans="1:13">
      <c r="A535" t="s">
        <v>851</v>
      </c>
      <c r="B535" t="s">
        <v>687</v>
      </c>
      <c r="C535" t="s">
        <v>687</v>
      </c>
      <c r="D535" t="s">
        <v>24</v>
      </c>
      <c r="E535" t="s">
        <v>646</v>
      </c>
      <c r="F535" t="s">
        <v>40</v>
      </c>
      <c r="G535">
        <v>2030</v>
      </c>
      <c r="H535" s="12">
        <v>1151</v>
      </c>
      <c r="I535" t="s">
        <v>3183</v>
      </c>
      <c r="J535" t="s">
        <v>394</v>
      </c>
      <c r="K535" t="s">
        <v>272</v>
      </c>
      <c r="L535" t="s">
        <v>3184</v>
      </c>
      <c r="M535" t="s">
        <v>16</v>
      </c>
    </row>
    <row r="536" spans="1:13">
      <c r="A536" t="s">
        <v>851</v>
      </c>
      <c r="B536" t="s">
        <v>687</v>
      </c>
      <c r="C536" t="s">
        <v>687</v>
      </c>
      <c r="D536" t="s">
        <v>24</v>
      </c>
      <c r="E536" t="s">
        <v>646</v>
      </c>
      <c r="F536" t="s">
        <v>40</v>
      </c>
      <c r="G536">
        <v>2035</v>
      </c>
      <c r="H536" s="12">
        <v>1070</v>
      </c>
      <c r="I536" t="s">
        <v>3183</v>
      </c>
      <c r="J536" t="s">
        <v>394</v>
      </c>
      <c r="K536" t="s">
        <v>272</v>
      </c>
      <c r="L536" t="s">
        <v>3184</v>
      </c>
      <c r="M536" t="s">
        <v>16</v>
      </c>
    </row>
    <row r="537" spans="1:13">
      <c r="A537" t="s">
        <v>851</v>
      </c>
      <c r="B537" t="s">
        <v>687</v>
      </c>
      <c r="C537" t="s">
        <v>687</v>
      </c>
      <c r="D537" t="s">
        <v>24</v>
      </c>
      <c r="E537" t="s">
        <v>646</v>
      </c>
      <c r="F537" t="s">
        <v>40</v>
      </c>
      <c r="G537">
        <v>2040</v>
      </c>
      <c r="H537" s="12">
        <v>974</v>
      </c>
      <c r="I537" t="s">
        <v>3183</v>
      </c>
      <c r="J537" t="s">
        <v>394</v>
      </c>
      <c r="K537" t="s">
        <v>272</v>
      </c>
      <c r="L537" t="s">
        <v>3184</v>
      </c>
      <c r="M537" t="s">
        <v>16</v>
      </c>
    </row>
    <row r="538" spans="1:13">
      <c r="A538" t="s">
        <v>851</v>
      </c>
      <c r="B538" t="s">
        <v>687</v>
      </c>
      <c r="C538" t="s">
        <v>687</v>
      </c>
      <c r="D538" t="s">
        <v>24</v>
      </c>
      <c r="E538" t="s">
        <v>646</v>
      </c>
      <c r="F538" t="s">
        <v>40</v>
      </c>
      <c r="G538">
        <v>2045</v>
      </c>
      <c r="H538" s="12">
        <v>868</v>
      </c>
      <c r="I538" t="s">
        <v>3183</v>
      </c>
      <c r="J538" t="s">
        <v>394</v>
      </c>
      <c r="K538" t="s">
        <v>272</v>
      </c>
      <c r="L538" t="s">
        <v>3184</v>
      </c>
      <c r="M538" t="s">
        <v>16</v>
      </c>
    </row>
    <row r="539" spans="1:13">
      <c r="A539" t="s">
        <v>851</v>
      </c>
      <c r="B539" t="s">
        <v>687</v>
      </c>
      <c r="C539" t="s">
        <v>687</v>
      </c>
      <c r="D539" t="s">
        <v>24</v>
      </c>
      <c r="E539" t="s">
        <v>646</v>
      </c>
      <c r="F539" t="s">
        <v>40</v>
      </c>
      <c r="G539">
        <v>2050</v>
      </c>
      <c r="H539" s="12">
        <v>764</v>
      </c>
      <c r="I539" t="s">
        <v>3183</v>
      </c>
      <c r="J539" t="s">
        <v>394</v>
      </c>
      <c r="K539" t="s">
        <v>272</v>
      </c>
      <c r="L539" t="s">
        <v>3184</v>
      </c>
      <c r="M539" t="s">
        <v>16</v>
      </c>
    </row>
    <row r="540" spans="1:13">
      <c r="A540" t="s">
        <v>851</v>
      </c>
      <c r="B540" t="s">
        <v>686</v>
      </c>
      <c r="C540" t="s">
        <v>686</v>
      </c>
      <c r="D540" t="s">
        <v>24</v>
      </c>
      <c r="E540" t="s">
        <v>660</v>
      </c>
      <c r="F540" t="s">
        <v>40</v>
      </c>
      <c r="G540">
        <v>2010</v>
      </c>
      <c r="H540" s="12">
        <v>4833</v>
      </c>
      <c r="I540" t="s">
        <v>3183</v>
      </c>
      <c r="J540" t="s">
        <v>5</v>
      </c>
      <c r="K540" t="s">
        <v>657</v>
      </c>
      <c r="L540" t="s">
        <v>3184</v>
      </c>
      <c r="M540" t="s">
        <v>5</v>
      </c>
    </row>
    <row r="541" spans="1:13">
      <c r="A541" t="s">
        <v>851</v>
      </c>
      <c r="B541" t="s">
        <v>686</v>
      </c>
      <c r="C541" t="s">
        <v>686</v>
      </c>
      <c r="D541" t="s">
        <v>24</v>
      </c>
      <c r="E541" t="s">
        <v>660</v>
      </c>
      <c r="F541" t="s">
        <v>40</v>
      </c>
      <c r="G541">
        <v>2015</v>
      </c>
      <c r="H541" s="12">
        <v>4985</v>
      </c>
      <c r="I541" t="s">
        <v>3183</v>
      </c>
      <c r="J541" t="s">
        <v>5</v>
      </c>
      <c r="K541" t="s">
        <v>657</v>
      </c>
      <c r="L541" t="s">
        <v>3184</v>
      </c>
      <c r="M541" t="s">
        <v>5</v>
      </c>
    </row>
    <row r="542" spans="1:13">
      <c r="A542" t="s">
        <v>851</v>
      </c>
      <c r="B542" t="s">
        <v>686</v>
      </c>
      <c r="C542" t="s">
        <v>686</v>
      </c>
      <c r="D542" t="s">
        <v>24</v>
      </c>
      <c r="E542" t="s">
        <v>660</v>
      </c>
      <c r="F542" t="s">
        <v>40</v>
      </c>
      <c r="G542">
        <v>2020</v>
      </c>
      <c r="H542" s="12">
        <v>4274</v>
      </c>
      <c r="I542" t="s">
        <v>3183</v>
      </c>
      <c r="J542" t="s">
        <v>5</v>
      </c>
      <c r="K542" t="s">
        <v>657</v>
      </c>
      <c r="L542" t="s">
        <v>3184</v>
      </c>
      <c r="M542" t="s">
        <v>5</v>
      </c>
    </row>
    <row r="543" spans="1:13">
      <c r="A543" t="s">
        <v>851</v>
      </c>
      <c r="B543" t="s">
        <v>686</v>
      </c>
      <c r="C543" t="s">
        <v>686</v>
      </c>
      <c r="D543" t="s">
        <v>24</v>
      </c>
      <c r="E543" t="s">
        <v>660</v>
      </c>
      <c r="F543" t="s">
        <v>40</v>
      </c>
      <c r="G543">
        <v>2030</v>
      </c>
      <c r="H543" s="12">
        <v>3025</v>
      </c>
      <c r="I543" t="s">
        <v>3183</v>
      </c>
      <c r="J543" t="s">
        <v>5</v>
      </c>
      <c r="K543" t="s">
        <v>657</v>
      </c>
      <c r="L543" t="s">
        <v>3184</v>
      </c>
      <c r="M543" t="s">
        <v>5</v>
      </c>
    </row>
    <row r="544" spans="1:13">
      <c r="A544" t="s">
        <v>851</v>
      </c>
      <c r="B544" t="s">
        <v>686</v>
      </c>
      <c r="C544" t="s">
        <v>686</v>
      </c>
      <c r="D544" t="s">
        <v>24</v>
      </c>
      <c r="E544" t="s">
        <v>660</v>
      </c>
      <c r="F544" t="s">
        <v>40</v>
      </c>
      <c r="G544">
        <v>2035</v>
      </c>
      <c r="H544" s="12">
        <v>2757</v>
      </c>
      <c r="I544" t="s">
        <v>3183</v>
      </c>
      <c r="J544" t="s">
        <v>5</v>
      </c>
      <c r="K544" t="s">
        <v>657</v>
      </c>
      <c r="L544" t="s">
        <v>3184</v>
      </c>
      <c r="M544" t="s">
        <v>5</v>
      </c>
    </row>
    <row r="545" spans="1:13">
      <c r="A545" t="s">
        <v>851</v>
      </c>
      <c r="B545" t="s">
        <v>686</v>
      </c>
      <c r="C545" t="s">
        <v>686</v>
      </c>
      <c r="D545" t="s">
        <v>24</v>
      </c>
      <c r="E545" t="s">
        <v>660</v>
      </c>
      <c r="F545" t="s">
        <v>40</v>
      </c>
      <c r="G545">
        <v>2040</v>
      </c>
      <c r="H545" s="12">
        <v>2562</v>
      </c>
      <c r="I545" t="s">
        <v>3183</v>
      </c>
      <c r="J545" t="s">
        <v>5</v>
      </c>
      <c r="K545" t="s">
        <v>657</v>
      </c>
      <c r="L545" t="s">
        <v>3184</v>
      </c>
      <c r="M545" t="s">
        <v>5</v>
      </c>
    </row>
    <row r="546" spans="1:13">
      <c r="A546" t="s">
        <v>851</v>
      </c>
      <c r="B546" t="s">
        <v>686</v>
      </c>
      <c r="C546" t="s">
        <v>686</v>
      </c>
      <c r="D546" t="s">
        <v>24</v>
      </c>
      <c r="E546" t="s">
        <v>660</v>
      </c>
      <c r="F546" t="s">
        <v>40</v>
      </c>
      <c r="G546">
        <v>2045</v>
      </c>
      <c r="H546" s="12">
        <v>2201</v>
      </c>
      <c r="I546" t="s">
        <v>3183</v>
      </c>
      <c r="J546" t="s">
        <v>5</v>
      </c>
      <c r="K546" t="s">
        <v>657</v>
      </c>
      <c r="L546" t="s">
        <v>3184</v>
      </c>
      <c r="M546" t="s">
        <v>5</v>
      </c>
    </row>
    <row r="547" spans="1:13">
      <c r="A547" t="s">
        <v>851</v>
      </c>
      <c r="B547" t="s">
        <v>686</v>
      </c>
      <c r="C547" t="s">
        <v>686</v>
      </c>
      <c r="D547" t="s">
        <v>24</v>
      </c>
      <c r="E547" t="s">
        <v>660</v>
      </c>
      <c r="F547" t="s">
        <v>40</v>
      </c>
      <c r="G547">
        <v>2050</v>
      </c>
      <c r="H547" s="12">
        <v>1808</v>
      </c>
      <c r="I547" t="s">
        <v>3183</v>
      </c>
      <c r="J547" t="s">
        <v>5</v>
      </c>
      <c r="K547" t="s">
        <v>657</v>
      </c>
      <c r="L547" t="s">
        <v>3184</v>
      </c>
      <c r="M547" t="s">
        <v>5</v>
      </c>
    </row>
    <row r="548" spans="1:13">
      <c r="A548" t="s">
        <v>851</v>
      </c>
      <c r="B548" t="s">
        <v>687</v>
      </c>
      <c r="C548" t="s">
        <v>687</v>
      </c>
      <c r="D548" t="s">
        <v>24</v>
      </c>
      <c r="E548" t="s">
        <v>660</v>
      </c>
      <c r="F548" t="s">
        <v>40</v>
      </c>
      <c r="G548">
        <v>2030</v>
      </c>
      <c r="H548" s="12">
        <v>2841</v>
      </c>
      <c r="I548" t="s">
        <v>3183</v>
      </c>
      <c r="J548" t="s">
        <v>5</v>
      </c>
      <c r="K548" t="s">
        <v>657</v>
      </c>
      <c r="L548" t="s">
        <v>3184</v>
      </c>
      <c r="M548" t="s">
        <v>5</v>
      </c>
    </row>
    <row r="549" spans="1:13">
      <c r="A549" t="s">
        <v>851</v>
      </c>
      <c r="B549" t="s">
        <v>687</v>
      </c>
      <c r="C549" t="s">
        <v>687</v>
      </c>
      <c r="D549" t="s">
        <v>24</v>
      </c>
      <c r="E549" t="s">
        <v>660</v>
      </c>
      <c r="F549" t="s">
        <v>40</v>
      </c>
      <c r="G549">
        <v>2035</v>
      </c>
      <c r="H549" s="12">
        <v>2129</v>
      </c>
      <c r="I549" t="s">
        <v>3183</v>
      </c>
      <c r="J549" t="s">
        <v>5</v>
      </c>
      <c r="K549" t="s">
        <v>657</v>
      </c>
      <c r="L549" t="s">
        <v>3184</v>
      </c>
      <c r="M549" t="s">
        <v>5</v>
      </c>
    </row>
    <row r="550" spans="1:13">
      <c r="A550" t="s">
        <v>851</v>
      </c>
      <c r="B550" t="s">
        <v>687</v>
      </c>
      <c r="C550" t="s">
        <v>687</v>
      </c>
      <c r="D550" t="s">
        <v>24</v>
      </c>
      <c r="E550" t="s">
        <v>660</v>
      </c>
      <c r="F550" t="s">
        <v>40</v>
      </c>
      <c r="G550">
        <v>2040</v>
      </c>
      <c r="H550" s="12">
        <v>1703</v>
      </c>
      <c r="I550" t="s">
        <v>3183</v>
      </c>
      <c r="J550" t="s">
        <v>5</v>
      </c>
      <c r="K550" t="s">
        <v>657</v>
      </c>
      <c r="L550" t="s">
        <v>3184</v>
      </c>
      <c r="M550" t="s">
        <v>5</v>
      </c>
    </row>
    <row r="551" spans="1:13">
      <c r="A551" t="s">
        <v>851</v>
      </c>
      <c r="B551" t="s">
        <v>687</v>
      </c>
      <c r="C551" t="s">
        <v>687</v>
      </c>
      <c r="D551" t="s">
        <v>24</v>
      </c>
      <c r="E551" t="s">
        <v>660</v>
      </c>
      <c r="F551" t="s">
        <v>40</v>
      </c>
      <c r="G551">
        <v>2045</v>
      </c>
      <c r="H551" s="12">
        <v>1335</v>
      </c>
      <c r="I551" t="s">
        <v>3183</v>
      </c>
      <c r="J551" t="s">
        <v>5</v>
      </c>
      <c r="K551" t="s">
        <v>657</v>
      </c>
      <c r="L551" t="s">
        <v>3184</v>
      </c>
      <c r="M551" t="s">
        <v>5</v>
      </c>
    </row>
    <row r="552" spans="1:13">
      <c r="A552" t="s">
        <v>851</v>
      </c>
      <c r="B552" t="s">
        <v>687</v>
      </c>
      <c r="C552" t="s">
        <v>687</v>
      </c>
      <c r="D552" t="s">
        <v>24</v>
      </c>
      <c r="E552" t="s">
        <v>660</v>
      </c>
      <c r="F552" t="s">
        <v>40</v>
      </c>
      <c r="G552">
        <v>2050</v>
      </c>
      <c r="H552" s="12">
        <v>1029</v>
      </c>
      <c r="I552" t="s">
        <v>3183</v>
      </c>
      <c r="J552" t="s">
        <v>5</v>
      </c>
      <c r="K552" t="s">
        <v>657</v>
      </c>
      <c r="L552" t="s">
        <v>3184</v>
      </c>
      <c r="M552" t="s">
        <v>5</v>
      </c>
    </row>
    <row r="553" spans="1:13">
      <c r="A553" t="s">
        <v>851</v>
      </c>
      <c r="B553" t="s">
        <v>686</v>
      </c>
      <c r="C553" t="s">
        <v>686</v>
      </c>
      <c r="D553" t="s">
        <v>24</v>
      </c>
      <c r="E553" t="s">
        <v>573</v>
      </c>
      <c r="F553" t="s">
        <v>40</v>
      </c>
      <c r="G553">
        <v>2010</v>
      </c>
      <c r="H553" s="12">
        <v>3144</v>
      </c>
      <c r="I553" t="s">
        <v>3183</v>
      </c>
      <c r="J553" t="s">
        <v>15</v>
      </c>
      <c r="K553" t="s">
        <v>147</v>
      </c>
      <c r="L553" t="s">
        <v>3184</v>
      </c>
      <c r="M553" t="s">
        <v>15</v>
      </c>
    </row>
    <row r="554" spans="1:13">
      <c r="A554" t="s">
        <v>851</v>
      </c>
      <c r="B554" t="s">
        <v>686</v>
      </c>
      <c r="C554" t="s">
        <v>686</v>
      </c>
      <c r="D554" t="s">
        <v>24</v>
      </c>
      <c r="E554" t="s">
        <v>573</v>
      </c>
      <c r="F554" t="s">
        <v>40</v>
      </c>
      <c r="G554">
        <v>2015</v>
      </c>
      <c r="H554" s="12">
        <v>103</v>
      </c>
      <c r="I554" t="s">
        <v>3183</v>
      </c>
      <c r="J554" t="s">
        <v>15</v>
      </c>
      <c r="K554" t="s">
        <v>147</v>
      </c>
      <c r="L554" t="s">
        <v>3184</v>
      </c>
      <c r="M554" t="s">
        <v>15</v>
      </c>
    </row>
    <row r="555" spans="1:13">
      <c r="A555" t="s">
        <v>851</v>
      </c>
      <c r="B555" t="s">
        <v>686</v>
      </c>
      <c r="C555" t="s">
        <v>686</v>
      </c>
      <c r="D555" t="s">
        <v>24</v>
      </c>
      <c r="E555" t="s">
        <v>573</v>
      </c>
      <c r="F555" t="s">
        <v>40</v>
      </c>
      <c r="G555">
        <v>2020</v>
      </c>
      <c r="H555" s="12">
        <v>423</v>
      </c>
      <c r="I555" t="s">
        <v>3183</v>
      </c>
      <c r="J555" t="s">
        <v>15</v>
      </c>
      <c r="K555" t="s">
        <v>147</v>
      </c>
      <c r="L555" t="s">
        <v>3184</v>
      </c>
      <c r="M555" t="s">
        <v>15</v>
      </c>
    </row>
    <row r="556" spans="1:13">
      <c r="A556" t="s">
        <v>851</v>
      </c>
      <c r="B556" t="s">
        <v>686</v>
      </c>
      <c r="C556" t="s">
        <v>686</v>
      </c>
      <c r="D556" t="s">
        <v>24</v>
      </c>
      <c r="E556" t="s">
        <v>573</v>
      </c>
      <c r="F556" t="s">
        <v>40</v>
      </c>
      <c r="G556">
        <v>2030</v>
      </c>
      <c r="H556" s="12">
        <v>2078</v>
      </c>
      <c r="I556" t="s">
        <v>3183</v>
      </c>
      <c r="J556" t="s">
        <v>15</v>
      </c>
      <c r="K556" t="s">
        <v>147</v>
      </c>
      <c r="L556" t="s">
        <v>3184</v>
      </c>
      <c r="M556" t="s">
        <v>15</v>
      </c>
    </row>
    <row r="557" spans="1:13">
      <c r="A557" t="s">
        <v>851</v>
      </c>
      <c r="B557" t="s">
        <v>686</v>
      </c>
      <c r="C557" t="s">
        <v>686</v>
      </c>
      <c r="D557" t="s">
        <v>24</v>
      </c>
      <c r="E557" t="s">
        <v>660</v>
      </c>
      <c r="F557" t="s">
        <v>40</v>
      </c>
      <c r="G557">
        <v>2010</v>
      </c>
      <c r="H557" s="12">
        <v>30</v>
      </c>
      <c r="I557" t="s">
        <v>3183</v>
      </c>
      <c r="J557" t="s">
        <v>17</v>
      </c>
      <c r="K557" t="s">
        <v>657</v>
      </c>
      <c r="L557" t="s">
        <v>3184</v>
      </c>
      <c r="M557" t="s">
        <v>17</v>
      </c>
    </row>
    <row r="558" spans="1:13">
      <c r="A558" t="s">
        <v>851</v>
      </c>
      <c r="B558" t="s">
        <v>686</v>
      </c>
      <c r="C558" t="s">
        <v>686</v>
      </c>
      <c r="D558" t="s">
        <v>24</v>
      </c>
      <c r="E558" t="s">
        <v>660</v>
      </c>
      <c r="F558" t="s">
        <v>40</v>
      </c>
      <c r="G558">
        <v>2015</v>
      </c>
      <c r="H558" s="12">
        <v>136</v>
      </c>
      <c r="I558" t="s">
        <v>3183</v>
      </c>
      <c r="J558" t="s">
        <v>17</v>
      </c>
      <c r="K558" t="s">
        <v>657</v>
      </c>
      <c r="L558" t="s">
        <v>3184</v>
      </c>
      <c r="M558" t="s">
        <v>17</v>
      </c>
    </row>
    <row r="559" spans="1:13">
      <c r="A559" t="s">
        <v>851</v>
      </c>
      <c r="B559" t="s">
        <v>686</v>
      </c>
      <c r="C559" t="s">
        <v>686</v>
      </c>
      <c r="D559" t="s">
        <v>24</v>
      </c>
      <c r="E559" t="s">
        <v>660</v>
      </c>
      <c r="F559" t="s">
        <v>40</v>
      </c>
      <c r="G559">
        <v>2020</v>
      </c>
      <c r="H559" s="12">
        <v>292</v>
      </c>
      <c r="I559" t="s">
        <v>3183</v>
      </c>
      <c r="J559" t="s">
        <v>17</v>
      </c>
      <c r="K559" t="s">
        <v>657</v>
      </c>
      <c r="L559" t="s">
        <v>3184</v>
      </c>
      <c r="M559" t="s">
        <v>17</v>
      </c>
    </row>
    <row r="560" spans="1:13">
      <c r="A560" t="s">
        <v>851</v>
      </c>
      <c r="B560" t="s">
        <v>686</v>
      </c>
      <c r="C560" t="s">
        <v>686</v>
      </c>
      <c r="D560" t="s">
        <v>24</v>
      </c>
      <c r="E560" t="s">
        <v>660</v>
      </c>
      <c r="F560" t="s">
        <v>40</v>
      </c>
      <c r="G560">
        <v>2030</v>
      </c>
      <c r="H560" s="12">
        <v>543</v>
      </c>
      <c r="I560" t="s">
        <v>3183</v>
      </c>
      <c r="J560" t="s">
        <v>17</v>
      </c>
      <c r="K560" t="s">
        <v>657</v>
      </c>
      <c r="L560" t="s">
        <v>3184</v>
      </c>
      <c r="M560" t="s">
        <v>17</v>
      </c>
    </row>
    <row r="561" spans="1:13">
      <c r="A561" t="s">
        <v>851</v>
      </c>
      <c r="B561" t="s">
        <v>686</v>
      </c>
      <c r="C561" t="s">
        <v>686</v>
      </c>
      <c r="D561" t="s">
        <v>24</v>
      </c>
      <c r="E561" t="s">
        <v>660</v>
      </c>
      <c r="F561" t="s">
        <v>40</v>
      </c>
      <c r="G561">
        <v>2035</v>
      </c>
      <c r="H561" s="12">
        <v>631</v>
      </c>
      <c r="I561" t="s">
        <v>3183</v>
      </c>
      <c r="J561" t="s">
        <v>17</v>
      </c>
      <c r="K561" t="s">
        <v>657</v>
      </c>
      <c r="L561" t="s">
        <v>3184</v>
      </c>
      <c r="M561" t="s">
        <v>17</v>
      </c>
    </row>
    <row r="562" spans="1:13">
      <c r="A562" t="s">
        <v>851</v>
      </c>
      <c r="B562" t="s">
        <v>686</v>
      </c>
      <c r="C562" t="s">
        <v>686</v>
      </c>
      <c r="D562" t="s">
        <v>24</v>
      </c>
      <c r="E562" t="s">
        <v>660</v>
      </c>
      <c r="F562" t="s">
        <v>40</v>
      </c>
      <c r="G562">
        <v>2040</v>
      </c>
      <c r="H562" s="12">
        <v>690</v>
      </c>
      <c r="I562" t="s">
        <v>3183</v>
      </c>
      <c r="J562" t="s">
        <v>17</v>
      </c>
      <c r="K562" t="s">
        <v>657</v>
      </c>
      <c r="L562" t="s">
        <v>3184</v>
      </c>
      <c r="M562" t="s">
        <v>17</v>
      </c>
    </row>
    <row r="563" spans="1:13">
      <c r="A563" t="s">
        <v>851</v>
      </c>
      <c r="B563" t="s">
        <v>686</v>
      </c>
      <c r="C563" t="s">
        <v>686</v>
      </c>
      <c r="D563" t="s">
        <v>24</v>
      </c>
      <c r="E563" t="s">
        <v>660</v>
      </c>
      <c r="F563" t="s">
        <v>40</v>
      </c>
      <c r="G563">
        <v>2045</v>
      </c>
      <c r="H563" s="12">
        <v>734</v>
      </c>
      <c r="I563" t="s">
        <v>3183</v>
      </c>
      <c r="J563" t="s">
        <v>17</v>
      </c>
      <c r="K563" t="s">
        <v>657</v>
      </c>
      <c r="L563" t="s">
        <v>3184</v>
      </c>
      <c r="M563" t="s">
        <v>17</v>
      </c>
    </row>
    <row r="564" spans="1:13">
      <c r="A564" t="s">
        <v>851</v>
      </c>
      <c r="B564" t="s">
        <v>686</v>
      </c>
      <c r="C564" t="s">
        <v>686</v>
      </c>
      <c r="D564" t="s">
        <v>24</v>
      </c>
      <c r="E564" t="s">
        <v>660</v>
      </c>
      <c r="F564" t="s">
        <v>40</v>
      </c>
      <c r="G564">
        <v>2050</v>
      </c>
      <c r="H564" s="12">
        <v>758</v>
      </c>
      <c r="I564" t="s">
        <v>3183</v>
      </c>
      <c r="J564" t="s">
        <v>17</v>
      </c>
      <c r="K564" t="s">
        <v>657</v>
      </c>
      <c r="L564" t="s">
        <v>3184</v>
      </c>
      <c r="M564" t="s">
        <v>17</v>
      </c>
    </row>
    <row r="565" spans="1:13">
      <c r="A565" t="s">
        <v>851</v>
      </c>
      <c r="B565" t="s">
        <v>687</v>
      </c>
      <c r="C565" t="s">
        <v>687</v>
      </c>
      <c r="D565" t="s">
        <v>24</v>
      </c>
      <c r="E565" t="s">
        <v>660</v>
      </c>
      <c r="F565" t="s">
        <v>40</v>
      </c>
      <c r="G565">
        <v>2030</v>
      </c>
      <c r="H565" s="12">
        <v>580</v>
      </c>
      <c r="I565" t="s">
        <v>3183</v>
      </c>
      <c r="J565" t="s">
        <v>17</v>
      </c>
      <c r="K565" t="s">
        <v>657</v>
      </c>
      <c r="L565" t="s">
        <v>3184</v>
      </c>
      <c r="M565" t="s">
        <v>17</v>
      </c>
    </row>
    <row r="566" spans="1:13">
      <c r="A566" t="s">
        <v>851</v>
      </c>
      <c r="B566" t="s">
        <v>687</v>
      </c>
      <c r="C566" t="s">
        <v>687</v>
      </c>
      <c r="D566" t="s">
        <v>24</v>
      </c>
      <c r="E566" t="s">
        <v>660</v>
      </c>
      <c r="F566" t="s">
        <v>40</v>
      </c>
      <c r="G566">
        <v>2035</v>
      </c>
      <c r="H566" s="12">
        <v>699</v>
      </c>
      <c r="I566" t="s">
        <v>3183</v>
      </c>
      <c r="J566" t="s">
        <v>17</v>
      </c>
      <c r="K566" t="s">
        <v>657</v>
      </c>
      <c r="L566" t="s">
        <v>3184</v>
      </c>
      <c r="M566" t="s">
        <v>17</v>
      </c>
    </row>
    <row r="567" spans="1:13">
      <c r="A567" t="s">
        <v>851</v>
      </c>
      <c r="B567" t="s">
        <v>687</v>
      </c>
      <c r="C567" t="s">
        <v>687</v>
      </c>
      <c r="D567" t="s">
        <v>24</v>
      </c>
      <c r="E567" t="s">
        <v>660</v>
      </c>
      <c r="F567" t="s">
        <v>40</v>
      </c>
      <c r="G567">
        <v>2040</v>
      </c>
      <c r="H567" s="12">
        <v>765</v>
      </c>
      <c r="I567" t="s">
        <v>3183</v>
      </c>
      <c r="J567" t="s">
        <v>17</v>
      </c>
      <c r="K567" t="s">
        <v>657</v>
      </c>
      <c r="L567" t="s">
        <v>3184</v>
      </c>
      <c r="M567" t="s">
        <v>17</v>
      </c>
    </row>
    <row r="568" spans="1:13">
      <c r="A568" t="s">
        <v>851</v>
      </c>
      <c r="B568" t="s">
        <v>687</v>
      </c>
      <c r="C568" t="s">
        <v>687</v>
      </c>
      <c r="D568" t="s">
        <v>24</v>
      </c>
      <c r="E568" t="s">
        <v>660</v>
      </c>
      <c r="F568" t="s">
        <v>40</v>
      </c>
      <c r="G568">
        <v>2045</v>
      </c>
      <c r="H568" s="12">
        <v>791</v>
      </c>
      <c r="I568" t="s">
        <v>3183</v>
      </c>
      <c r="J568" t="s">
        <v>17</v>
      </c>
      <c r="K568" t="s">
        <v>657</v>
      </c>
      <c r="L568" t="s">
        <v>3184</v>
      </c>
      <c r="M568" t="s">
        <v>17</v>
      </c>
    </row>
    <row r="569" spans="1:13">
      <c r="A569" t="s">
        <v>851</v>
      </c>
      <c r="B569" t="s">
        <v>687</v>
      </c>
      <c r="C569" t="s">
        <v>687</v>
      </c>
      <c r="D569" t="s">
        <v>24</v>
      </c>
      <c r="E569" t="s">
        <v>660</v>
      </c>
      <c r="F569" t="s">
        <v>40</v>
      </c>
      <c r="G569">
        <v>2050</v>
      </c>
      <c r="H569" s="12">
        <v>799</v>
      </c>
      <c r="I569" t="s">
        <v>3183</v>
      </c>
      <c r="J569" t="s">
        <v>17</v>
      </c>
      <c r="K569" t="s">
        <v>657</v>
      </c>
      <c r="L569" t="s">
        <v>3184</v>
      </c>
      <c r="M569" t="s">
        <v>17</v>
      </c>
    </row>
    <row r="570" spans="1:13">
      <c r="A570" t="s">
        <v>851</v>
      </c>
      <c r="B570" t="s">
        <v>686</v>
      </c>
      <c r="C570" t="s">
        <v>686</v>
      </c>
      <c r="D570" t="s">
        <v>24</v>
      </c>
      <c r="E570" t="s">
        <v>660</v>
      </c>
      <c r="F570" t="s">
        <v>40</v>
      </c>
      <c r="G570">
        <v>2010</v>
      </c>
      <c r="H570" s="12">
        <v>14</v>
      </c>
      <c r="I570" t="s">
        <v>3183</v>
      </c>
      <c r="J570" t="s">
        <v>18</v>
      </c>
      <c r="K570" t="s">
        <v>657</v>
      </c>
      <c r="L570" t="s">
        <v>3184</v>
      </c>
      <c r="M570" t="s">
        <v>18</v>
      </c>
    </row>
    <row r="571" spans="1:13">
      <c r="A571" t="s">
        <v>851</v>
      </c>
      <c r="B571" t="s">
        <v>686</v>
      </c>
      <c r="C571" t="s">
        <v>686</v>
      </c>
      <c r="D571" t="s">
        <v>24</v>
      </c>
      <c r="E571" t="s">
        <v>660</v>
      </c>
      <c r="F571" t="s">
        <v>40</v>
      </c>
      <c r="G571">
        <v>2015</v>
      </c>
      <c r="H571" s="12">
        <v>20</v>
      </c>
      <c r="I571" t="s">
        <v>3183</v>
      </c>
      <c r="J571" t="s">
        <v>18</v>
      </c>
      <c r="K571" t="s">
        <v>657</v>
      </c>
      <c r="L571" t="s">
        <v>3184</v>
      </c>
      <c r="M571" t="s">
        <v>18</v>
      </c>
    </row>
    <row r="572" spans="1:13">
      <c r="A572" t="s">
        <v>851</v>
      </c>
      <c r="B572" t="s">
        <v>686</v>
      </c>
      <c r="C572" t="s">
        <v>686</v>
      </c>
      <c r="D572" t="s">
        <v>24</v>
      </c>
      <c r="E572" t="s">
        <v>660</v>
      </c>
      <c r="F572" t="s">
        <v>40</v>
      </c>
      <c r="G572">
        <v>2020</v>
      </c>
      <c r="H572" s="12">
        <v>32</v>
      </c>
      <c r="I572" t="s">
        <v>3183</v>
      </c>
      <c r="J572" t="s">
        <v>18</v>
      </c>
      <c r="K572" t="s">
        <v>657</v>
      </c>
      <c r="L572" t="s">
        <v>3184</v>
      </c>
      <c r="M572" t="s">
        <v>18</v>
      </c>
    </row>
    <row r="573" spans="1:13">
      <c r="A573" t="s">
        <v>851</v>
      </c>
      <c r="B573" t="s">
        <v>686</v>
      </c>
      <c r="C573" t="s">
        <v>686</v>
      </c>
      <c r="D573" t="s">
        <v>24</v>
      </c>
      <c r="E573" t="s">
        <v>660</v>
      </c>
      <c r="F573" t="s">
        <v>40</v>
      </c>
      <c r="G573">
        <v>2030</v>
      </c>
      <c r="H573" s="12">
        <v>214</v>
      </c>
      <c r="I573" t="s">
        <v>3183</v>
      </c>
      <c r="J573" t="s">
        <v>18</v>
      </c>
      <c r="K573" t="s">
        <v>657</v>
      </c>
      <c r="L573" t="s">
        <v>3184</v>
      </c>
      <c r="M573" t="s">
        <v>18</v>
      </c>
    </row>
    <row r="574" spans="1:13">
      <c r="A574" t="s">
        <v>851</v>
      </c>
      <c r="B574" t="s">
        <v>686</v>
      </c>
      <c r="C574" t="s">
        <v>686</v>
      </c>
      <c r="D574" t="s">
        <v>24</v>
      </c>
      <c r="E574" t="s">
        <v>660</v>
      </c>
      <c r="F574" t="s">
        <v>40</v>
      </c>
      <c r="G574">
        <v>2035</v>
      </c>
      <c r="H574" s="12">
        <v>383</v>
      </c>
      <c r="I574" t="s">
        <v>3183</v>
      </c>
      <c r="J574" t="s">
        <v>18</v>
      </c>
      <c r="K574" t="s">
        <v>657</v>
      </c>
      <c r="L574" t="s">
        <v>3184</v>
      </c>
      <c r="M574" t="s">
        <v>18</v>
      </c>
    </row>
    <row r="575" spans="1:13">
      <c r="A575" t="s">
        <v>851</v>
      </c>
      <c r="B575" t="s">
        <v>686</v>
      </c>
      <c r="C575" t="s">
        <v>686</v>
      </c>
      <c r="D575" t="s">
        <v>24</v>
      </c>
      <c r="E575" t="s">
        <v>660</v>
      </c>
      <c r="F575" t="s">
        <v>40</v>
      </c>
      <c r="G575">
        <v>2040</v>
      </c>
      <c r="H575" s="12">
        <v>518</v>
      </c>
      <c r="I575" t="s">
        <v>3183</v>
      </c>
      <c r="J575" t="s">
        <v>18</v>
      </c>
      <c r="K575" t="s">
        <v>657</v>
      </c>
      <c r="L575" t="s">
        <v>3184</v>
      </c>
      <c r="M575" t="s">
        <v>18</v>
      </c>
    </row>
    <row r="576" spans="1:13">
      <c r="A576" t="s">
        <v>851</v>
      </c>
      <c r="B576" t="s">
        <v>686</v>
      </c>
      <c r="C576" t="s">
        <v>686</v>
      </c>
      <c r="D576" t="s">
        <v>24</v>
      </c>
      <c r="E576" t="s">
        <v>660</v>
      </c>
      <c r="F576" t="s">
        <v>40</v>
      </c>
      <c r="G576">
        <v>2045</v>
      </c>
      <c r="H576" s="12">
        <v>607</v>
      </c>
      <c r="I576" t="s">
        <v>3183</v>
      </c>
      <c r="J576" t="s">
        <v>18</v>
      </c>
      <c r="K576" t="s">
        <v>657</v>
      </c>
      <c r="L576" t="s">
        <v>3184</v>
      </c>
      <c r="M576" t="s">
        <v>18</v>
      </c>
    </row>
    <row r="577" spans="1:13">
      <c r="A577" t="s">
        <v>851</v>
      </c>
      <c r="B577" t="s">
        <v>686</v>
      </c>
      <c r="C577" t="s">
        <v>686</v>
      </c>
      <c r="D577" t="s">
        <v>24</v>
      </c>
      <c r="E577" t="s">
        <v>660</v>
      </c>
      <c r="F577" t="s">
        <v>40</v>
      </c>
      <c r="G577">
        <v>2050</v>
      </c>
      <c r="H577" s="12">
        <v>668</v>
      </c>
      <c r="I577" t="s">
        <v>3183</v>
      </c>
      <c r="J577" t="s">
        <v>18</v>
      </c>
      <c r="K577" t="s">
        <v>657</v>
      </c>
      <c r="L577" t="s">
        <v>3184</v>
      </c>
      <c r="M577" t="s">
        <v>18</v>
      </c>
    </row>
    <row r="578" spans="1:13">
      <c r="A578" t="s">
        <v>851</v>
      </c>
      <c r="B578" t="s">
        <v>687</v>
      </c>
      <c r="C578" t="s">
        <v>687</v>
      </c>
      <c r="D578" t="s">
        <v>24</v>
      </c>
      <c r="E578" t="s">
        <v>660</v>
      </c>
      <c r="F578" t="s">
        <v>40</v>
      </c>
      <c r="G578">
        <v>2030</v>
      </c>
      <c r="H578" s="12">
        <v>268</v>
      </c>
      <c r="I578" t="s">
        <v>3183</v>
      </c>
      <c r="J578" t="s">
        <v>18</v>
      </c>
      <c r="K578" t="s">
        <v>657</v>
      </c>
      <c r="L578" t="s">
        <v>3184</v>
      </c>
      <c r="M578" t="s">
        <v>18</v>
      </c>
    </row>
    <row r="579" spans="1:13">
      <c r="A579" t="s">
        <v>851</v>
      </c>
      <c r="B579" t="s">
        <v>687</v>
      </c>
      <c r="C579" t="s">
        <v>687</v>
      </c>
      <c r="D579" t="s">
        <v>24</v>
      </c>
      <c r="E579" t="s">
        <v>660</v>
      </c>
      <c r="F579" t="s">
        <v>40</v>
      </c>
      <c r="G579">
        <v>2035</v>
      </c>
      <c r="H579" s="12">
        <v>429</v>
      </c>
      <c r="I579" t="s">
        <v>3183</v>
      </c>
      <c r="J579" t="s">
        <v>18</v>
      </c>
      <c r="K579" t="s">
        <v>657</v>
      </c>
      <c r="L579" t="s">
        <v>3184</v>
      </c>
      <c r="M579" t="s">
        <v>18</v>
      </c>
    </row>
    <row r="580" spans="1:13">
      <c r="A580" t="s">
        <v>851</v>
      </c>
      <c r="B580" t="s">
        <v>687</v>
      </c>
      <c r="C580" t="s">
        <v>687</v>
      </c>
      <c r="D580" t="s">
        <v>24</v>
      </c>
      <c r="E580" t="s">
        <v>660</v>
      </c>
      <c r="F580" t="s">
        <v>40</v>
      </c>
      <c r="G580">
        <v>2040</v>
      </c>
      <c r="H580" s="12">
        <v>713</v>
      </c>
      <c r="I580" t="s">
        <v>3183</v>
      </c>
      <c r="J580" t="s">
        <v>18</v>
      </c>
      <c r="K580" t="s">
        <v>657</v>
      </c>
      <c r="L580" t="s">
        <v>3184</v>
      </c>
      <c r="M580" t="s">
        <v>18</v>
      </c>
    </row>
    <row r="581" spans="1:13">
      <c r="A581" t="s">
        <v>851</v>
      </c>
      <c r="B581" t="s">
        <v>687</v>
      </c>
      <c r="C581" t="s">
        <v>687</v>
      </c>
      <c r="D581" t="s">
        <v>24</v>
      </c>
      <c r="E581" t="s">
        <v>660</v>
      </c>
      <c r="F581" t="s">
        <v>40</v>
      </c>
      <c r="G581">
        <v>2045</v>
      </c>
      <c r="H581" s="12">
        <v>945</v>
      </c>
      <c r="I581" t="s">
        <v>3183</v>
      </c>
      <c r="J581" t="s">
        <v>18</v>
      </c>
      <c r="K581" t="s">
        <v>657</v>
      </c>
      <c r="L581" t="s">
        <v>3184</v>
      </c>
      <c r="M581" t="s">
        <v>18</v>
      </c>
    </row>
    <row r="582" spans="1:13">
      <c r="A582" t="s">
        <v>851</v>
      </c>
      <c r="B582" t="s">
        <v>687</v>
      </c>
      <c r="C582" t="s">
        <v>687</v>
      </c>
      <c r="D582" t="s">
        <v>24</v>
      </c>
      <c r="E582" t="s">
        <v>660</v>
      </c>
      <c r="F582" t="s">
        <v>40</v>
      </c>
      <c r="G582">
        <v>2050</v>
      </c>
      <c r="H582" s="12">
        <v>1077</v>
      </c>
      <c r="I582" t="s">
        <v>3183</v>
      </c>
      <c r="J582" t="s">
        <v>18</v>
      </c>
      <c r="K582" t="s">
        <v>657</v>
      </c>
      <c r="L582" t="s">
        <v>3184</v>
      </c>
      <c r="M582" t="s">
        <v>18</v>
      </c>
    </row>
    <row r="583" spans="1:13">
      <c r="A583" t="s">
        <v>851</v>
      </c>
      <c r="B583" t="s">
        <v>686</v>
      </c>
      <c r="C583" t="s">
        <v>686</v>
      </c>
      <c r="D583" t="s">
        <v>24</v>
      </c>
      <c r="E583" t="s">
        <v>660</v>
      </c>
      <c r="F583" t="s">
        <v>40</v>
      </c>
      <c r="G583">
        <v>2010</v>
      </c>
      <c r="H583" s="12">
        <v>302</v>
      </c>
      <c r="I583" t="s">
        <v>3183</v>
      </c>
      <c r="J583" t="s">
        <v>14</v>
      </c>
      <c r="K583" t="s">
        <v>657</v>
      </c>
      <c r="L583" t="s">
        <v>3184</v>
      </c>
      <c r="M583" t="s">
        <v>14</v>
      </c>
    </row>
    <row r="584" spans="1:13">
      <c r="A584" t="s">
        <v>851</v>
      </c>
      <c r="B584" t="s">
        <v>686</v>
      </c>
      <c r="C584" t="s">
        <v>686</v>
      </c>
      <c r="D584" t="s">
        <v>24</v>
      </c>
      <c r="E584" t="s">
        <v>660</v>
      </c>
      <c r="F584" t="s">
        <v>40</v>
      </c>
      <c r="G584">
        <v>2015</v>
      </c>
      <c r="H584" s="12">
        <v>314</v>
      </c>
      <c r="I584" t="s">
        <v>3183</v>
      </c>
      <c r="J584" t="s">
        <v>14</v>
      </c>
      <c r="K584" t="s">
        <v>657</v>
      </c>
      <c r="L584" t="s">
        <v>3184</v>
      </c>
      <c r="M584" t="s">
        <v>14</v>
      </c>
    </row>
    <row r="585" spans="1:13">
      <c r="A585" t="s">
        <v>851</v>
      </c>
      <c r="B585" t="s">
        <v>686</v>
      </c>
      <c r="C585" t="s">
        <v>686</v>
      </c>
      <c r="D585" t="s">
        <v>24</v>
      </c>
      <c r="E585" t="s">
        <v>660</v>
      </c>
      <c r="F585" t="s">
        <v>40</v>
      </c>
      <c r="G585">
        <v>2020</v>
      </c>
      <c r="H585" s="12">
        <v>284</v>
      </c>
      <c r="I585" t="s">
        <v>3183</v>
      </c>
      <c r="J585" t="s">
        <v>14</v>
      </c>
      <c r="K585" t="s">
        <v>657</v>
      </c>
      <c r="L585" t="s">
        <v>3184</v>
      </c>
      <c r="M585" t="s">
        <v>14</v>
      </c>
    </row>
    <row r="586" spans="1:13">
      <c r="A586" t="s">
        <v>851</v>
      </c>
      <c r="B586" t="s">
        <v>686</v>
      </c>
      <c r="C586" t="s">
        <v>686</v>
      </c>
      <c r="D586" t="s">
        <v>24</v>
      </c>
      <c r="E586" t="s">
        <v>660</v>
      </c>
      <c r="F586" t="s">
        <v>40</v>
      </c>
      <c r="G586">
        <v>2030</v>
      </c>
      <c r="H586" s="12">
        <v>305</v>
      </c>
      <c r="I586" t="s">
        <v>3183</v>
      </c>
      <c r="J586" t="s">
        <v>14</v>
      </c>
      <c r="K586" t="s">
        <v>657</v>
      </c>
      <c r="L586" t="s">
        <v>3184</v>
      </c>
      <c r="M586" t="s">
        <v>14</v>
      </c>
    </row>
    <row r="587" spans="1:13">
      <c r="A587" t="s">
        <v>851</v>
      </c>
      <c r="B587" t="s">
        <v>686</v>
      </c>
      <c r="C587" t="s">
        <v>686</v>
      </c>
      <c r="D587" t="s">
        <v>24</v>
      </c>
      <c r="E587" t="s">
        <v>660</v>
      </c>
      <c r="F587" t="s">
        <v>40</v>
      </c>
      <c r="G587">
        <v>2035</v>
      </c>
      <c r="H587" s="12">
        <v>312</v>
      </c>
      <c r="I587" t="s">
        <v>3183</v>
      </c>
      <c r="J587" t="s">
        <v>14</v>
      </c>
      <c r="K587" t="s">
        <v>657</v>
      </c>
      <c r="L587" t="s">
        <v>3184</v>
      </c>
      <c r="M587" t="s">
        <v>14</v>
      </c>
    </row>
    <row r="588" spans="1:13">
      <c r="A588" t="s">
        <v>851</v>
      </c>
      <c r="B588" t="s">
        <v>686</v>
      </c>
      <c r="C588" t="s">
        <v>686</v>
      </c>
      <c r="D588" t="s">
        <v>24</v>
      </c>
      <c r="E588" t="s">
        <v>660</v>
      </c>
      <c r="F588" t="s">
        <v>40</v>
      </c>
      <c r="G588">
        <v>2040</v>
      </c>
      <c r="H588" s="12">
        <v>320</v>
      </c>
      <c r="I588" t="s">
        <v>3183</v>
      </c>
      <c r="J588" t="s">
        <v>14</v>
      </c>
      <c r="K588" t="s">
        <v>657</v>
      </c>
      <c r="L588" t="s">
        <v>3184</v>
      </c>
      <c r="M588" t="s">
        <v>14</v>
      </c>
    </row>
    <row r="589" spans="1:13">
      <c r="A589" t="s">
        <v>851</v>
      </c>
      <c r="B589" t="s">
        <v>686</v>
      </c>
      <c r="C589" t="s">
        <v>686</v>
      </c>
      <c r="D589" t="s">
        <v>24</v>
      </c>
      <c r="E589" t="s">
        <v>660</v>
      </c>
      <c r="F589" t="s">
        <v>40</v>
      </c>
      <c r="G589">
        <v>2045</v>
      </c>
      <c r="H589" s="12">
        <v>339</v>
      </c>
      <c r="I589" t="s">
        <v>3183</v>
      </c>
      <c r="J589" t="s">
        <v>14</v>
      </c>
      <c r="K589" t="s">
        <v>657</v>
      </c>
      <c r="L589" t="s">
        <v>3184</v>
      </c>
      <c r="M589" t="s">
        <v>14</v>
      </c>
    </row>
    <row r="590" spans="1:13">
      <c r="A590" t="s">
        <v>851</v>
      </c>
      <c r="B590" t="s">
        <v>686</v>
      </c>
      <c r="C590" t="s">
        <v>686</v>
      </c>
      <c r="D590" t="s">
        <v>24</v>
      </c>
      <c r="E590" t="s">
        <v>660</v>
      </c>
      <c r="F590" t="s">
        <v>40</v>
      </c>
      <c r="G590">
        <v>2050</v>
      </c>
      <c r="H590" s="12">
        <v>359</v>
      </c>
      <c r="I590" t="s">
        <v>3183</v>
      </c>
      <c r="J590" t="s">
        <v>14</v>
      </c>
      <c r="K590" t="s">
        <v>657</v>
      </c>
      <c r="L590" t="s">
        <v>3184</v>
      </c>
      <c r="M590" t="s">
        <v>14</v>
      </c>
    </row>
    <row r="591" spans="1:13">
      <c r="A591" t="s">
        <v>851</v>
      </c>
      <c r="B591" t="s">
        <v>687</v>
      </c>
      <c r="C591" t="s">
        <v>687</v>
      </c>
      <c r="D591" t="s">
        <v>24</v>
      </c>
      <c r="E591" t="s">
        <v>660</v>
      </c>
      <c r="F591" t="s">
        <v>40</v>
      </c>
      <c r="G591">
        <v>2030</v>
      </c>
      <c r="H591" s="12">
        <v>305</v>
      </c>
      <c r="I591" t="s">
        <v>3183</v>
      </c>
      <c r="J591" t="s">
        <v>14</v>
      </c>
      <c r="K591" t="s">
        <v>657</v>
      </c>
      <c r="L591" t="s">
        <v>3184</v>
      </c>
      <c r="M591" t="s">
        <v>14</v>
      </c>
    </row>
    <row r="592" spans="1:13">
      <c r="A592" t="s">
        <v>851</v>
      </c>
      <c r="B592" t="s">
        <v>687</v>
      </c>
      <c r="C592" t="s">
        <v>687</v>
      </c>
      <c r="D592" t="s">
        <v>24</v>
      </c>
      <c r="E592" t="s">
        <v>660</v>
      </c>
      <c r="F592" t="s">
        <v>40</v>
      </c>
      <c r="G592">
        <v>2035</v>
      </c>
      <c r="H592" s="12">
        <v>339</v>
      </c>
      <c r="I592" t="s">
        <v>3183</v>
      </c>
      <c r="J592" t="s">
        <v>14</v>
      </c>
      <c r="K592" t="s">
        <v>657</v>
      </c>
      <c r="L592" t="s">
        <v>3184</v>
      </c>
      <c r="M592" t="s">
        <v>14</v>
      </c>
    </row>
    <row r="593" spans="1:13">
      <c r="A593" t="s">
        <v>851</v>
      </c>
      <c r="B593" t="s">
        <v>687</v>
      </c>
      <c r="C593" t="s">
        <v>687</v>
      </c>
      <c r="D593" t="s">
        <v>24</v>
      </c>
      <c r="E593" t="s">
        <v>660</v>
      </c>
      <c r="F593" t="s">
        <v>40</v>
      </c>
      <c r="G593">
        <v>2040</v>
      </c>
      <c r="H593" s="12">
        <v>385</v>
      </c>
      <c r="I593" t="s">
        <v>3183</v>
      </c>
      <c r="J593" t="s">
        <v>14</v>
      </c>
      <c r="K593" t="s">
        <v>657</v>
      </c>
      <c r="L593" t="s">
        <v>3184</v>
      </c>
      <c r="M593" t="s">
        <v>14</v>
      </c>
    </row>
    <row r="594" spans="1:13">
      <c r="A594" t="s">
        <v>851</v>
      </c>
      <c r="B594" t="s">
        <v>687</v>
      </c>
      <c r="C594" t="s">
        <v>687</v>
      </c>
      <c r="D594" t="s">
        <v>24</v>
      </c>
      <c r="E594" t="s">
        <v>660</v>
      </c>
      <c r="F594" t="s">
        <v>40</v>
      </c>
      <c r="G594">
        <v>2045</v>
      </c>
      <c r="H594" s="12">
        <v>420</v>
      </c>
      <c r="I594" t="s">
        <v>3183</v>
      </c>
      <c r="J594" t="s">
        <v>14</v>
      </c>
      <c r="K594" t="s">
        <v>657</v>
      </c>
      <c r="L594" t="s">
        <v>3184</v>
      </c>
      <c r="M594" t="s">
        <v>14</v>
      </c>
    </row>
    <row r="595" spans="1:13">
      <c r="A595" t="s">
        <v>851</v>
      </c>
      <c r="B595" t="s">
        <v>687</v>
      </c>
      <c r="C595" t="s">
        <v>687</v>
      </c>
      <c r="D595" t="s">
        <v>24</v>
      </c>
      <c r="E595" t="s">
        <v>660</v>
      </c>
      <c r="F595" t="s">
        <v>40</v>
      </c>
      <c r="G595">
        <v>2050</v>
      </c>
      <c r="H595" s="12">
        <v>442</v>
      </c>
      <c r="I595" t="s">
        <v>3183</v>
      </c>
      <c r="J595" t="s">
        <v>14</v>
      </c>
      <c r="K595" t="s">
        <v>657</v>
      </c>
      <c r="L595" t="s">
        <v>3184</v>
      </c>
      <c r="M595" t="s">
        <v>14</v>
      </c>
    </row>
    <row r="596" spans="1:13">
      <c r="A596" t="s">
        <v>851</v>
      </c>
      <c r="B596" t="s">
        <v>686</v>
      </c>
      <c r="C596" t="s">
        <v>686</v>
      </c>
      <c r="D596" t="s">
        <v>24</v>
      </c>
      <c r="E596" t="s">
        <v>660</v>
      </c>
      <c r="F596" t="s">
        <v>40</v>
      </c>
      <c r="G596">
        <v>2010</v>
      </c>
      <c r="H596" s="12">
        <v>420</v>
      </c>
      <c r="I596" t="s">
        <v>3183</v>
      </c>
      <c r="J596" t="s">
        <v>41</v>
      </c>
      <c r="K596" t="s">
        <v>657</v>
      </c>
      <c r="L596" t="s">
        <v>3184</v>
      </c>
      <c r="M596" t="s">
        <v>662</v>
      </c>
    </row>
    <row r="597" spans="1:13">
      <c r="A597" t="s">
        <v>851</v>
      </c>
      <c r="B597" t="s">
        <v>686</v>
      </c>
      <c r="C597" t="s">
        <v>686</v>
      </c>
      <c r="D597" t="s">
        <v>24</v>
      </c>
      <c r="E597" t="s">
        <v>660</v>
      </c>
      <c r="F597" t="s">
        <v>40</v>
      </c>
      <c r="G597">
        <v>2015</v>
      </c>
      <c r="H597" s="12">
        <v>456</v>
      </c>
      <c r="I597" t="s">
        <v>3183</v>
      </c>
      <c r="J597" t="s">
        <v>41</v>
      </c>
      <c r="K597" t="s">
        <v>657</v>
      </c>
      <c r="L597" t="s">
        <v>3184</v>
      </c>
      <c r="M597" t="s">
        <v>662</v>
      </c>
    </row>
    <row r="598" spans="1:13">
      <c r="A598" t="s">
        <v>851</v>
      </c>
      <c r="B598" t="s">
        <v>686</v>
      </c>
      <c r="C598" t="s">
        <v>686</v>
      </c>
      <c r="D598" t="s">
        <v>24</v>
      </c>
      <c r="E598" t="s">
        <v>660</v>
      </c>
      <c r="F598" t="s">
        <v>40</v>
      </c>
      <c r="G598">
        <v>2020</v>
      </c>
      <c r="H598" s="12">
        <v>575</v>
      </c>
      <c r="I598" t="s">
        <v>3183</v>
      </c>
      <c r="J598" t="s">
        <v>41</v>
      </c>
      <c r="K598" t="s">
        <v>657</v>
      </c>
      <c r="L598" t="s">
        <v>3184</v>
      </c>
      <c r="M598" t="s">
        <v>662</v>
      </c>
    </row>
    <row r="599" spans="1:13">
      <c r="A599" t="s">
        <v>851</v>
      </c>
      <c r="B599" t="s">
        <v>686</v>
      </c>
      <c r="C599" t="s">
        <v>686</v>
      </c>
      <c r="D599" t="s">
        <v>24</v>
      </c>
      <c r="E599" t="s">
        <v>660</v>
      </c>
      <c r="F599" t="s">
        <v>40</v>
      </c>
      <c r="G599">
        <v>2030</v>
      </c>
      <c r="H599" s="12">
        <v>835</v>
      </c>
      <c r="I599" t="s">
        <v>3183</v>
      </c>
      <c r="J599" t="s">
        <v>41</v>
      </c>
      <c r="K599" t="s">
        <v>657</v>
      </c>
      <c r="L599" t="s">
        <v>3184</v>
      </c>
      <c r="M599" t="s">
        <v>662</v>
      </c>
    </row>
    <row r="600" spans="1:13">
      <c r="A600" t="s">
        <v>851</v>
      </c>
      <c r="B600" t="s">
        <v>687</v>
      </c>
      <c r="C600" t="s">
        <v>687</v>
      </c>
      <c r="D600" t="s">
        <v>24</v>
      </c>
      <c r="E600" t="s">
        <v>660</v>
      </c>
      <c r="F600" t="s">
        <v>40</v>
      </c>
      <c r="G600">
        <v>2030</v>
      </c>
      <c r="H600" s="12">
        <v>2388</v>
      </c>
      <c r="I600" t="s">
        <v>3183</v>
      </c>
      <c r="J600" t="s">
        <v>15</v>
      </c>
      <c r="K600" t="s">
        <v>657</v>
      </c>
      <c r="L600" t="s">
        <v>3184</v>
      </c>
      <c r="M600" t="s">
        <v>15</v>
      </c>
    </row>
    <row r="601" spans="1:13">
      <c r="A601" t="s">
        <v>851</v>
      </c>
      <c r="B601" t="s">
        <v>687</v>
      </c>
      <c r="C601" t="s">
        <v>687</v>
      </c>
      <c r="D601" t="s">
        <v>24</v>
      </c>
      <c r="E601" t="s">
        <v>660</v>
      </c>
      <c r="F601" t="s">
        <v>40</v>
      </c>
      <c r="G601">
        <v>2035</v>
      </c>
      <c r="H601" s="12">
        <v>2644</v>
      </c>
      <c r="I601" t="s">
        <v>3183</v>
      </c>
      <c r="J601" t="s">
        <v>15</v>
      </c>
      <c r="K601" t="s">
        <v>657</v>
      </c>
      <c r="L601" t="s">
        <v>3184</v>
      </c>
      <c r="M601" t="s">
        <v>15</v>
      </c>
    </row>
    <row r="602" spans="1:13">
      <c r="A602" t="s">
        <v>851</v>
      </c>
      <c r="B602" t="s">
        <v>687</v>
      </c>
      <c r="C602" t="s">
        <v>687</v>
      </c>
      <c r="D602" t="s">
        <v>24</v>
      </c>
      <c r="E602" t="s">
        <v>660</v>
      </c>
      <c r="F602" t="s">
        <v>40</v>
      </c>
      <c r="G602">
        <v>2040</v>
      </c>
      <c r="H602" s="12">
        <v>2720</v>
      </c>
      <c r="I602" t="s">
        <v>3183</v>
      </c>
      <c r="J602" t="s">
        <v>15</v>
      </c>
      <c r="K602" t="s">
        <v>657</v>
      </c>
      <c r="L602" t="s">
        <v>3184</v>
      </c>
      <c r="M602" t="s">
        <v>15</v>
      </c>
    </row>
    <row r="603" spans="1:13">
      <c r="A603" t="s">
        <v>851</v>
      </c>
      <c r="B603" t="s">
        <v>687</v>
      </c>
      <c r="C603" t="s">
        <v>687</v>
      </c>
      <c r="D603" t="s">
        <v>24</v>
      </c>
      <c r="E603" t="s">
        <v>660</v>
      </c>
      <c r="F603" t="s">
        <v>40</v>
      </c>
      <c r="G603">
        <v>2045</v>
      </c>
      <c r="H603" s="12">
        <v>2620</v>
      </c>
      <c r="I603" t="s">
        <v>3183</v>
      </c>
      <c r="J603" t="s">
        <v>15</v>
      </c>
      <c r="K603" t="s">
        <v>657</v>
      </c>
      <c r="L603" t="s">
        <v>3184</v>
      </c>
      <c r="M603" t="s">
        <v>15</v>
      </c>
    </row>
    <row r="604" spans="1:13">
      <c r="A604" t="s">
        <v>851</v>
      </c>
      <c r="B604" t="s">
        <v>687</v>
      </c>
      <c r="C604" t="s">
        <v>687</v>
      </c>
      <c r="D604" t="s">
        <v>24</v>
      </c>
      <c r="E604" t="s">
        <v>660</v>
      </c>
      <c r="F604" t="s">
        <v>40</v>
      </c>
      <c r="G604">
        <v>2050</v>
      </c>
      <c r="H604" s="12">
        <v>2953</v>
      </c>
      <c r="I604" t="s">
        <v>3183</v>
      </c>
      <c r="J604" t="s">
        <v>15</v>
      </c>
      <c r="K604" t="s">
        <v>657</v>
      </c>
      <c r="L604" t="s">
        <v>3184</v>
      </c>
      <c r="M604" t="s">
        <v>15</v>
      </c>
    </row>
    <row r="605" spans="1:13">
      <c r="A605" t="s">
        <v>851</v>
      </c>
      <c r="B605" t="s">
        <v>686</v>
      </c>
      <c r="C605" t="s">
        <v>686</v>
      </c>
      <c r="D605" t="s">
        <v>24</v>
      </c>
      <c r="E605" t="s">
        <v>660</v>
      </c>
      <c r="F605" t="s">
        <v>40</v>
      </c>
      <c r="G605">
        <v>2010</v>
      </c>
      <c r="H605" s="12">
        <v>3601</v>
      </c>
      <c r="I605" t="s">
        <v>3183</v>
      </c>
      <c r="J605" t="s">
        <v>6</v>
      </c>
      <c r="K605" t="s">
        <v>657</v>
      </c>
      <c r="L605" t="s">
        <v>3184</v>
      </c>
      <c r="M605" t="s">
        <v>659</v>
      </c>
    </row>
    <row r="606" spans="1:13">
      <c r="A606" t="s">
        <v>851</v>
      </c>
      <c r="B606" t="s">
        <v>686</v>
      </c>
      <c r="C606" t="s">
        <v>686</v>
      </c>
      <c r="D606" t="s">
        <v>24</v>
      </c>
      <c r="E606" t="s">
        <v>660</v>
      </c>
      <c r="F606" t="s">
        <v>40</v>
      </c>
      <c r="G606">
        <v>2015</v>
      </c>
      <c r="H606" s="12">
        <v>4206</v>
      </c>
      <c r="I606" t="s">
        <v>3183</v>
      </c>
      <c r="J606" t="s">
        <v>6</v>
      </c>
      <c r="K606" t="s">
        <v>657</v>
      </c>
      <c r="L606" t="s">
        <v>3184</v>
      </c>
      <c r="M606" t="s">
        <v>659</v>
      </c>
    </row>
    <row r="607" spans="1:13">
      <c r="A607" t="s">
        <v>851</v>
      </c>
      <c r="B607" t="s">
        <v>686</v>
      </c>
      <c r="C607" t="s">
        <v>686</v>
      </c>
      <c r="D607" t="s">
        <v>24</v>
      </c>
      <c r="E607" t="s">
        <v>660</v>
      </c>
      <c r="F607" t="s">
        <v>40</v>
      </c>
      <c r="G607">
        <v>2020</v>
      </c>
      <c r="H607" s="12">
        <v>3858</v>
      </c>
      <c r="I607" t="s">
        <v>3183</v>
      </c>
      <c r="J607" t="s">
        <v>6</v>
      </c>
      <c r="K607" t="s">
        <v>657</v>
      </c>
      <c r="L607" t="s">
        <v>3184</v>
      </c>
      <c r="M607" t="s">
        <v>659</v>
      </c>
    </row>
    <row r="608" spans="1:13">
      <c r="A608" t="s">
        <v>851</v>
      </c>
      <c r="B608" t="s">
        <v>686</v>
      </c>
      <c r="C608" t="s">
        <v>686</v>
      </c>
      <c r="D608" t="s">
        <v>24</v>
      </c>
      <c r="E608" t="s">
        <v>660</v>
      </c>
      <c r="F608" t="s">
        <v>40</v>
      </c>
      <c r="G608">
        <v>2030</v>
      </c>
      <c r="H608" s="12">
        <v>2391</v>
      </c>
      <c r="I608" t="s">
        <v>3183</v>
      </c>
      <c r="J608" t="s">
        <v>6</v>
      </c>
      <c r="K608" t="s">
        <v>657</v>
      </c>
      <c r="L608" t="s">
        <v>3184</v>
      </c>
      <c r="M608" t="s">
        <v>659</v>
      </c>
    </row>
    <row r="609" spans="1:13">
      <c r="A609" t="s">
        <v>851</v>
      </c>
      <c r="B609" t="s">
        <v>686</v>
      </c>
      <c r="C609" t="s">
        <v>686</v>
      </c>
      <c r="D609" t="s">
        <v>24</v>
      </c>
      <c r="E609" t="s">
        <v>660</v>
      </c>
      <c r="F609" t="s">
        <v>40</v>
      </c>
      <c r="G609">
        <v>2035</v>
      </c>
      <c r="H609" s="12">
        <v>1913</v>
      </c>
      <c r="I609" t="s">
        <v>3183</v>
      </c>
      <c r="J609" t="s">
        <v>6</v>
      </c>
      <c r="K609" t="s">
        <v>657</v>
      </c>
      <c r="L609" t="s">
        <v>3184</v>
      </c>
      <c r="M609" t="s">
        <v>659</v>
      </c>
    </row>
    <row r="610" spans="1:13">
      <c r="A610" t="s">
        <v>851</v>
      </c>
      <c r="B610" t="s">
        <v>686</v>
      </c>
      <c r="C610" t="s">
        <v>686</v>
      </c>
      <c r="D610" t="s">
        <v>24</v>
      </c>
      <c r="E610" t="s">
        <v>660</v>
      </c>
      <c r="F610" t="s">
        <v>40</v>
      </c>
      <c r="G610">
        <v>2040</v>
      </c>
      <c r="H610" s="12">
        <v>1549</v>
      </c>
      <c r="I610" t="s">
        <v>3183</v>
      </c>
      <c r="J610" t="s">
        <v>6</v>
      </c>
      <c r="K610" t="s">
        <v>657</v>
      </c>
      <c r="L610" t="s">
        <v>3184</v>
      </c>
      <c r="M610" t="s">
        <v>659</v>
      </c>
    </row>
    <row r="611" spans="1:13">
      <c r="A611" t="s">
        <v>851</v>
      </c>
      <c r="B611" t="s">
        <v>686</v>
      </c>
      <c r="C611" t="s">
        <v>686</v>
      </c>
      <c r="D611" t="s">
        <v>24</v>
      </c>
      <c r="E611" t="s">
        <v>660</v>
      </c>
      <c r="F611" t="s">
        <v>40</v>
      </c>
      <c r="G611">
        <v>2045</v>
      </c>
      <c r="H611" s="12">
        <v>1505</v>
      </c>
      <c r="I611" t="s">
        <v>3183</v>
      </c>
      <c r="J611" t="s">
        <v>6</v>
      </c>
      <c r="K611" t="s">
        <v>657</v>
      </c>
      <c r="L611" t="s">
        <v>3184</v>
      </c>
      <c r="M611" t="s">
        <v>659</v>
      </c>
    </row>
    <row r="612" spans="1:13">
      <c r="A612" t="s">
        <v>851</v>
      </c>
      <c r="B612" t="s">
        <v>686</v>
      </c>
      <c r="C612" t="s">
        <v>686</v>
      </c>
      <c r="D612" t="s">
        <v>24</v>
      </c>
      <c r="E612" t="s">
        <v>660</v>
      </c>
      <c r="F612" t="s">
        <v>40</v>
      </c>
      <c r="G612">
        <v>2050</v>
      </c>
      <c r="H612" s="12">
        <v>1602</v>
      </c>
      <c r="I612" t="s">
        <v>3183</v>
      </c>
      <c r="J612" t="s">
        <v>6</v>
      </c>
      <c r="K612" t="s">
        <v>657</v>
      </c>
      <c r="L612" t="s">
        <v>3184</v>
      </c>
      <c r="M612" t="s">
        <v>659</v>
      </c>
    </row>
    <row r="613" spans="1:13">
      <c r="A613" t="s">
        <v>851</v>
      </c>
      <c r="B613" t="s">
        <v>687</v>
      </c>
      <c r="C613" t="s">
        <v>687</v>
      </c>
      <c r="D613" t="s">
        <v>24</v>
      </c>
      <c r="E613" t="s">
        <v>660</v>
      </c>
      <c r="F613" t="s">
        <v>40</v>
      </c>
      <c r="G613">
        <v>2030</v>
      </c>
      <c r="H613" s="12">
        <v>2121</v>
      </c>
      <c r="I613" t="s">
        <v>3183</v>
      </c>
      <c r="J613" t="s">
        <v>6</v>
      </c>
      <c r="K613" t="s">
        <v>657</v>
      </c>
      <c r="L613" t="s">
        <v>3184</v>
      </c>
      <c r="M613" t="s">
        <v>659</v>
      </c>
    </row>
    <row r="614" spans="1:13">
      <c r="A614" t="s">
        <v>851</v>
      </c>
      <c r="B614" t="s">
        <v>687</v>
      </c>
      <c r="C614" t="s">
        <v>687</v>
      </c>
      <c r="D614" t="s">
        <v>24</v>
      </c>
      <c r="E614" t="s">
        <v>660</v>
      </c>
      <c r="F614" t="s">
        <v>40</v>
      </c>
      <c r="G614">
        <v>2035</v>
      </c>
      <c r="H614" s="12">
        <v>1694</v>
      </c>
      <c r="I614" t="s">
        <v>3183</v>
      </c>
      <c r="J614" t="s">
        <v>6</v>
      </c>
      <c r="K614" t="s">
        <v>657</v>
      </c>
      <c r="L614" t="s">
        <v>3184</v>
      </c>
      <c r="M614" t="s">
        <v>659</v>
      </c>
    </row>
    <row r="615" spans="1:13">
      <c r="A615" t="s">
        <v>851</v>
      </c>
      <c r="B615" t="s">
        <v>687</v>
      </c>
      <c r="C615" t="s">
        <v>687</v>
      </c>
      <c r="D615" t="s">
        <v>24</v>
      </c>
      <c r="E615" t="s">
        <v>660</v>
      </c>
      <c r="F615" t="s">
        <v>40</v>
      </c>
      <c r="G615">
        <v>2040</v>
      </c>
      <c r="H615" s="12">
        <v>1194</v>
      </c>
      <c r="I615" t="s">
        <v>3183</v>
      </c>
      <c r="J615" t="s">
        <v>6</v>
      </c>
      <c r="K615" t="s">
        <v>657</v>
      </c>
      <c r="L615" t="s">
        <v>3184</v>
      </c>
      <c r="M615" t="s">
        <v>659</v>
      </c>
    </row>
    <row r="616" spans="1:13">
      <c r="A616" t="s">
        <v>851</v>
      </c>
      <c r="B616" t="s">
        <v>687</v>
      </c>
      <c r="C616" t="s">
        <v>687</v>
      </c>
      <c r="D616" t="s">
        <v>24</v>
      </c>
      <c r="E616" t="s">
        <v>660</v>
      </c>
      <c r="F616" t="s">
        <v>40</v>
      </c>
      <c r="G616">
        <v>2045</v>
      </c>
      <c r="H616" s="12">
        <v>855</v>
      </c>
      <c r="I616" t="s">
        <v>3183</v>
      </c>
      <c r="J616" t="s">
        <v>6</v>
      </c>
      <c r="K616" t="s">
        <v>657</v>
      </c>
      <c r="L616" t="s">
        <v>3184</v>
      </c>
      <c r="M616" t="s">
        <v>659</v>
      </c>
    </row>
    <row r="617" spans="1:13">
      <c r="A617" t="s">
        <v>851</v>
      </c>
      <c r="B617" t="s">
        <v>687</v>
      </c>
      <c r="C617" t="s">
        <v>687</v>
      </c>
      <c r="D617" t="s">
        <v>24</v>
      </c>
      <c r="E617" t="s">
        <v>660</v>
      </c>
      <c r="F617" t="s">
        <v>40</v>
      </c>
      <c r="G617">
        <v>2050</v>
      </c>
      <c r="H617" s="12">
        <v>636</v>
      </c>
      <c r="I617" t="s">
        <v>3183</v>
      </c>
      <c r="J617" t="s">
        <v>6</v>
      </c>
      <c r="K617" t="s">
        <v>657</v>
      </c>
      <c r="L617" t="s">
        <v>3184</v>
      </c>
      <c r="M617" t="s">
        <v>659</v>
      </c>
    </row>
    <row r="618" spans="1:13">
      <c r="A618" t="s">
        <v>851</v>
      </c>
      <c r="B618" t="s">
        <v>686</v>
      </c>
      <c r="C618" t="s">
        <v>686</v>
      </c>
      <c r="D618" t="s">
        <v>24</v>
      </c>
      <c r="E618" t="s">
        <v>660</v>
      </c>
      <c r="F618" t="s">
        <v>40</v>
      </c>
      <c r="G618">
        <v>2010</v>
      </c>
      <c r="H618" s="12">
        <v>8423</v>
      </c>
      <c r="I618" t="s">
        <v>3183</v>
      </c>
      <c r="J618" t="s">
        <v>394</v>
      </c>
      <c r="K618" t="s">
        <v>657</v>
      </c>
      <c r="L618" t="s">
        <v>3184</v>
      </c>
      <c r="M618" t="s">
        <v>16</v>
      </c>
    </row>
    <row r="619" spans="1:13">
      <c r="A619" t="s">
        <v>851</v>
      </c>
      <c r="B619" t="s">
        <v>686</v>
      </c>
      <c r="C619" t="s">
        <v>686</v>
      </c>
      <c r="D619" t="s">
        <v>24</v>
      </c>
      <c r="E619" t="s">
        <v>660</v>
      </c>
      <c r="F619" t="s">
        <v>40</v>
      </c>
      <c r="G619">
        <v>2015</v>
      </c>
      <c r="H619" s="12">
        <v>7710</v>
      </c>
      <c r="I619" t="s">
        <v>3183</v>
      </c>
      <c r="J619" t="s">
        <v>394</v>
      </c>
      <c r="K619" t="s">
        <v>657</v>
      </c>
      <c r="L619" t="s">
        <v>3184</v>
      </c>
      <c r="M619" t="s">
        <v>16</v>
      </c>
    </row>
    <row r="620" spans="1:13">
      <c r="A620" t="s">
        <v>851</v>
      </c>
      <c r="B620" t="s">
        <v>686</v>
      </c>
      <c r="C620" t="s">
        <v>686</v>
      </c>
      <c r="D620" t="s">
        <v>24</v>
      </c>
      <c r="E620" t="s">
        <v>660</v>
      </c>
      <c r="F620" t="s">
        <v>40</v>
      </c>
      <c r="G620">
        <v>2020</v>
      </c>
      <c r="H620" s="12">
        <v>6194</v>
      </c>
      <c r="I620" t="s">
        <v>3183</v>
      </c>
      <c r="J620" t="s">
        <v>394</v>
      </c>
      <c r="K620" t="s">
        <v>657</v>
      </c>
      <c r="L620" t="s">
        <v>3184</v>
      </c>
      <c r="M620" t="s">
        <v>16</v>
      </c>
    </row>
    <row r="621" spans="1:13">
      <c r="A621" t="s">
        <v>851</v>
      </c>
      <c r="B621" t="s">
        <v>686</v>
      </c>
      <c r="C621" t="s">
        <v>686</v>
      </c>
      <c r="D621" t="s">
        <v>24</v>
      </c>
      <c r="E621" t="s">
        <v>660</v>
      </c>
      <c r="F621" t="s">
        <v>40</v>
      </c>
      <c r="G621">
        <v>2030</v>
      </c>
      <c r="H621" s="12">
        <v>5164</v>
      </c>
      <c r="I621" t="s">
        <v>3183</v>
      </c>
      <c r="J621" t="s">
        <v>394</v>
      </c>
      <c r="K621" t="s">
        <v>657</v>
      </c>
      <c r="L621" t="s">
        <v>3184</v>
      </c>
      <c r="M621" t="s">
        <v>16</v>
      </c>
    </row>
    <row r="622" spans="1:13">
      <c r="A622" t="s">
        <v>851</v>
      </c>
      <c r="B622" t="s">
        <v>686</v>
      </c>
      <c r="C622" t="s">
        <v>686</v>
      </c>
      <c r="D622" t="s">
        <v>24</v>
      </c>
      <c r="E622" t="s">
        <v>660</v>
      </c>
      <c r="F622" t="s">
        <v>40</v>
      </c>
      <c r="G622">
        <v>2035</v>
      </c>
      <c r="H622" s="12">
        <v>4598</v>
      </c>
      <c r="I622" t="s">
        <v>3183</v>
      </c>
      <c r="J622" t="s">
        <v>394</v>
      </c>
      <c r="K622" t="s">
        <v>657</v>
      </c>
      <c r="L622" t="s">
        <v>3184</v>
      </c>
      <c r="M622" t="s">
        <v>16</v>
      </c>
    </row>
    <row r="623" spans="1:13">
      <c r="A623" t="s">
        <v>851</v>
      </c>
      <c r="B623" t="s">
        <v>686</v>
      </c>
      <c r="C623" t="s">
        <v>686</v>
      </c>
      <c r="D623" t="s">
        <v>24</v>
      </c>
      <c r="E623" t="s">
        <v>660</v>
      </c>
      <c r="F623" t="s">
        <v>40</v>
      </c>
      <c r="G623">
        <v>2040</v>
      </c>
      <c r="H623" s="12">
        <v>4080</v>
      </c>
      <c r="I623" t="s">
        <v>3183</v>
      </c>
      <c r="J623" t="s">
        <v>394</v>
      </c>
      <c r="K623" t="s">
        <v>657</v>
      </c>
      <c r="L623" t="s">
        <v>3184</v>
      </c>
      <c r="M623" t="s">
        <v>16</v>
      </c>
    </row>
    <row r="624" spans="1:13">
      <c r="A624" t="s">
        <v>851</v>
      </c>
      <c r="B624" t="s">
        <v>686</v>
      </c>
      <c r="C624" t="s">
        <v>686</v>
      </c>
      <c r="D624" t="s">
        <v>24</v>
      </c>
      <c r="E624" t="s">
        <v>660</v>
      </c>
      <c r="F624" t="s">
        <v>40</v>
      </c>
      <c r="G624">
        <v>2045</v>
      </c>
      <c r="H624" s="12">
        <v>3676</v>
      </c>
      <c r="I624" t="s">
        <v>3183</v>
      </c>
      <c r="J624" t="s">
        <v>394</v>
      </c>
      <c r="K624" t="s">
        <v>657</v>
      </c>
      <c r="L624" t="s">
        <v>3184</v>
      </c>
      <c r="M624" t="s">
        <v>16</v>
      </c>
    </row>
    <row r="625" spans="1:13">
      <c r="A625" t="s">
        <v>851</v>
      </c>
      <c r="B625" t="s">
        <v>686</v>
      </c>
      <c r="C625" t="s">
        <v>686</v>
      </c>
      <c r="D625" t="s">
        <v>24</v>
      </c>
      <c r="E625" t="s">
        <v>660</v>
      </c>
      <c r="F625" t="s">
        <v>40</v>
      </c>
      <c r="G625">
        <v>2050</v>
      </c>
      <c r="H625" s="12">
        <v>3282</v>
      </c>
      <c r="I625" t="s">
        <v>3183</v>
      </c>
      <c r="J625" t="s">
        <v>394</v>
      </c>
      <c r="K625" t="s">
        <v>657</v>
      </c>
      <c r="L625" t="s">
        <v>3184</v>
      </c>
      <c r="M625" t="s">
        <v>16</v>
      </c>
    </row>
    <row r="626" spans="1:13">
      <c r="A626" t="s">
        <v>851</v>
      </c>
      <c r="B626" t="s">
        <v>687</v>
      </c>
      <c r="C626" t="s">
        <v>687</v>
      </c>
      <c r="D626" t="s">
        <v>24</v>
      </c>
      <c r="E626" t="s">
        <v>660</v>
      </c>
      <c r="F626" t="s">
        <v>40</v>
      </c>
      <c r="G626">
        <v>2030</v>
      </c>
      <c r="H626" s="12">
        <v>4594</v>
      </c>
      <c r="I626" t="s">
        <v>3183</v>
      </c>
      <c r="J626" t="s">
        <v>394</v>
      </c>
      <c r="K626" t="s">
        <v>657</v>
      </c>
      <c r="L626" t="s">
        <v>3184</v>
      </c>
      <c r="M626" t="s">
        <v>16</v>
      </c>
    </row>
    <row r="627" spans="1:13">
      <c r="A627" t="s">
        <v>851</v>
      </c>
      <c r="B627" t="s">
        <v>686</v>
      </c>
      <c r="C627" t="s">
        <v>686</v>
      </c>
      <c r="D627" t="s">
        <v>23</v>
      </c>
      <c r="E627" t="s">
        <v>242</v>
      </c>
      <c r="F627" t="s">
        <v>663</v>
      </c>
      <c r="G627">
        <v>2030</v>
      </c>
      <c r="H627" s="12">
        <v>710.89</v>
      </c>
      <c r="I627" t="s">
        <v>3183</v>
      </c>
      <c r="J627" t="s">
        <v>5</v>
      </c>
      <c r="K627" t="s">
        <v>664</v>
      </c>
      <c r="L627" t="s">
        <v>3184</v>
      </c>
      <c r="M627" t="s">
        <v>5</v>
      </c>
    </row>
    <row r="628" spans="1:13">
      <c r="A628" t="s">
        <v>851</v>
      </c>
      <c r="B628" t="s">
        <v>686</v>
      </c>
      <c r="C628" t="s">
        <v>686</v>
      </c>
      <c r="D628" t="s">
        <v>23</v>
      </c>
      <c r="E628" t="s">
        <v>242</v>
      </c>
      <c r="F628" t="s">
        <v>663</v>
      </c>
      <c r="G628">
        <v>2035</v>
      </c>
      <c r="H628" s="12">
        <v>815.1</v>
      </c>
      <c r="I628" t="s">
        <v>3183</v>
      </c>
      <c r="J628" t="s">
        <v>5</v>
      </c>
      <c r="K628" t="s">
        <v>664</v>
      </c>
      <c r="L628" t="s">
        <v>3184</v>
      </c>
      <c r="M628" t="s">
        <v>5</v>
      </c>
    </row>
    <row r="629" spans="1:13">
      <c r="A629" t="s">
        <v>851</v>
      </c>
      <c r="B629" t="s">
        <v>686</v>
      </c>
      <c r="C629" t="s">
        <v>686</v>
      </c>
      <c r="D629" t="s">
        <v>23</v>
      </c>
      <c r="E629" t="s">
        <v>242</v>
      </c>
      <c r="F629" t="s">
        <v>663</v>
      </c>
      <c r="G629">
        <v>2040</v>
      </c>
      <c r="H629" s="12">
        <v>890.46</v>
      </c>
      <c r="I629" t="s">
        <v>3183</v>
      </c>
      <c r="J629" t="s">
        <v>5</v>
      </c>
      <c r="K629" t="s">
        <v>664</v>
      </c>
      <c r="L629" t="s">
        <v>3184</v>
      </c>
      <c r="M629" t="s">
        <v>5</v>
      </c>
    </row>
    <row r="630" spans="1:13">
      <c r="A630" t="s">
        <v>851</v>
      </c>
      <c r="B630" t="s">
        <v>686</v>
      </c>
      <c r="C630" t="s">
        <v>686</v>
      </c>
      <c r="D630" t="s">
        <v>23</v>
      </c>
      <c r="E630" t="s">
        <v>242</v>
      </c>
      <c r="F630" t="s">
        <v>663</v>
      </c>
      <c r="G630">
        <v>2045</v>
      </c>
      <c r="H630" s="12">
        <v>930.3</v>
      </c>
      <c r="I630" t="s">
        <v>3183</v>
      </c>
      <c r="J630" t="s">
        <v>5</v>
      </c>
      <c r="K630" t="s">
        <v>664</v>
      </c>
      <c r="L630" t="s">
        <v>3184</v>
      </c>
      <c r="M630" t="s">
        <v>5</v>
      </c>
    </row>
    <row r="631" spans="1:13">
      <c r="A631" t="s">
        <v>851</v>
      </c>
      <c r="B631" t="s">
        <v>686</v>
      </c>
      <c r="C631" t="s">
        <v>686</v>
      </c>
      <c r="D631" t="s">
        <v>23</v>
      </c>
      <c r="E631" t="s">
        <v>242</v>
      </c>
      <c r="F631" t="s">
        <v>663</v>
      </c>
      <c r="G631">
        <v>2050</v>
      </c>
      <c r="H631" s="12">
        <v>928.71</v>
      </c>
      <c r="I631" t="s">
        <v>3183</v>
      </c>
      <c r="J631" t="s">
        <v>5</v>
      </c>
      <c r="K631" t="s">
        <v>664</v>
      </c>
      <c r="L631" t="s">
        <v>3184</v>
      </c>
      <c r="M631" t="s">
        <v>5</v>
      </c>
    </row>
    <row r="632" spans="1:13">
      <c r="A632" t="s">
        <v>851</v>
      </c>
      <c r="B632" t="s">
        <v>687</v>
      </c>
      <c r="C632" t="s">
        <v>687</v>
      </c>
      <c r="D632" t="s">
        <v>23</v>
      </c>
      <c r="E632" t="s">
        <v>242</v>
      </c>
      <c r="F632" t="s">
        <v>663</v>
      </c>
      <c r="G632">
        <v>2030</v>
      </c>
      <c r="H632" s="12">
        <v>559.03</v>
      </c>
      <c r="I632" t="s">
        <v>3183</v>
      </c>
      <c r="J632" t="s">
        <v>5</v>
      </c>
      <c r="K632" t="s">
        <v>664</v>
      </c>
      <c r="L632" t="s">
        <v>3184</v>
      </c>
      <c r="M632" t="s">
        <v>5</v>
      </c>
    </row>
    <row r="633" spans="1:13">
      <c r="A633" t="s">
        <v>851</v>
      </c>
      <c r="B633" t="s">
        <v>687</v>
      </c>
      <c r="C633" t="s">
        <v>687</v>
      </c>
      <c r="D633" t="s">
        <v>23</v>
      </c>
      <c r="E633" t="s">
        <v>242</v>
      </c>
      <c r="F633" t="s">
        <v>663</v>
      </c>
      <c r="G633">
        <v>2035</v>
      </c>
      <c r="H633" s="12">
        <v>517.51</v>
      </c>
      <c r="I633" t="s">
        <v>3183</v>
      </c>
      <c r="J633" t="s">
        <v>5</v>
      </c>
      <c r="K633" t="s">
        <v>664</v>
      </c>
      <c r="L633" t="s">
        <v>3184</v>
      </c>
      <c r="M633" t="s">
        <v>5</v>
      </c>
    </row>
    <row r="634" spans="1:13">
      <c r="A634" t="s">
        <v>851</v>
      </c>
      <c r="B634" t="s">
        <v>687</v>
      </c>
      <c r="C634" t="s">
        <v>687</v>
      </c>
      <c r="D634" t="s">
        <v>23</v>
      </c>
      <c r="E634" t="s">
        <v>242</v>
      </c>
      <c r="F634" t="s">
        <v>663</v>
      </c>
      <c r="G634">
        <v>2040</v>
      </c>
      <c r="H634" s="12">
        <v>440.98</v>
      </c>
      <c r="I634" t="s">
        <v>3183</v>
      </c>
      <c r="J634" t="s">
        <v>5</v>
      </c>
      <c r="K634" t="s">
        <v>664</v>
      </c>
      <c r="L634" t="s">
        <v>3184</v>
      </c>
      <c r="M634" t="s">
        <v>5</v>
      </c>
    </row>
    <row r="635" spans="1:13">
      <c r="A635" t="s">
        <v>851</v>
      </c>
      <c r="B635" t="s">
        <v>687</v>
      </c>
      <c r="C635" t="s">
        <v>687</v>
      </c>
      <c r="D635" t="s">
        <v>23</v>
      </c>
      <c r="E635" t="s">
        <v>242</v>
      </c>
      <c r="F635" t="s">
        <v>663</v>
      </c>
      <c r="G635">
        <v>2045</v>
      </c>
      <c r="H635" s="12">
        <v>361.15</v>
      </c>
      <c r="I635" t="s">
        <v>3183</v>
      </c>
      <c r="J635" t="s">
        <v>5</v>
      </c>
      <c r="K635" t="s">
        <v>664</v>
      </c>
      <c r="L635" t="s">
        <v>3184</v>
      </c>
      <c r="M635" t="s">
        <v>5</v>
      </c>
    </row>
    <row r="636" spans="1:13">
      <c r="A636" t="s">
        <v>851</v>
      </c>
      <c r="B636" t="s">
        <v>687</v>
      </c>
      <c r="C636" t="s">
        <v>687</v>
      </c>
      <c r="D636" t="s">
        <v>23</v>
      </c>
      <c r="E636" t="s">
        <v>242</v>
      </c>
      <c r="F636" t="s">
        <v>663</v>
      </c>
      <c r="G636">
        <v>2050</v>
      </c>
      <c r="H636" s="12">
        <v>269.5</v>
      </c>
      <c r="I636" t="s">
        <v>3183</v>
      </c>
      <c r="J636" t="s">
        <v>5</v>
      </c>
      <c r="K636" t="s">
        <v>664</v>
      </c>
      <c r="L636" t="s">
        <v>3184</v>
      </c>
      <c r="M636" t="s">
        <v>5</v>
      </c>
    </row>
    <row r="637" spans="1:13">
      <c r="A637" t="s">
        <v>851</v>
      </c>
      <c r="B637" t="s">
        <v>686</v>
      </c>
      <c r="C637" t="s">
        <v>686</v>
      </c>
      <c r="D637" t="s">
        <v>23</v>
      </c>
      <c r="E637" t="s">
        <v>242</v>
      </c>
      <c r="F637" t="s">
        <v>663</v>
      </c>
      <c r="G637">
        <v>2010</v>
      </c>
      <c r="H637" s="12">
        <v>356.86</v>
      </c>
      <c r="I637" t="s">
        <v>3183</v>
      </c>
      <c r="J637" t="s">
        <v>394</v>
      </c>
      <c r="K637" t="s">
        <v>664</v>
      </c>
      <c r="L637" t="s">
        <v>3184</v>
      </c>
      <c r="M637" t="s">
        <v>16</v>
      </c>
    </row>
    <row r="638" spans="1:13">
      <c r="A638" t="s">
        <v>851</v>
      </c>
      <c r="B638" t="s">
        <v>686</v>
      </c>
      <c r="C638" t="s">
        <v>686</v>
      </c>
      <c r="D638" t="s">
        <v>23</v>
      </c>
      <c r="E638" t="s">
        <v>242</v>
      </c>
      <c r="F638" t="s">
        <v>663</v>
      </c>
      <c r="G638">
        <v>2015</v>
      </c>
      <c r="H638" s="12">
        <v>472.82</v>
      </c>
      <c r="I638" t="s">
        <v>3183</v>
      </c>
      <c r="J638" t="s">
        <v>394</v>
      </c>
      <c r="K638" t="s">
        <v>664</v>
      </c>
      <c r="L638" t="s">
        <v>3184</v>
      </c>
      <c r="M638" t="s">
        <v>16</v>
      </c>
    </row>
    <row r="639" spans="1:13">
      <c r="A639" t="s">
        <v>851</v>
      </c>
      <c r="B639" t="s">
        <v>686</v>
      </c>
      <c r="C639" t="s">
        <v>686</v>
      </c>
      <c r="D639" t="s">
        <v>23</v>
      </c>
      <c r="E639" t="s">
        <v>242</v>
      </c>
      <c r="F639" t="s">
        <v>663</v>
      </c>
      <c r="G639">
        <v>2020</v>
      </c>
      <c r="H639" s="12">
        <v>485.37</v>
      </c>
      <c r="I639" t="s">
        <v>3183</v>
      </c>
      <c r="J639" t="s">
        <v>394</v>
      </c>
      <c r="K639" t="s">
        <v>664</v>
      </c>
      <c r="L639" t="s">
        <v>3184</v>
      </c>
      <c r="M639" t="s">
        <v>16</v>
      </c>
    </row>
    <row r="640" spans="1:13">
      <c r="A640" t="s">
        <v>851</v>
      </c>
      <c r="B640" t="s">
        <v>686</v>
      </c>
      <c r="C640" t="s">
        <v>686</v>
      </c>
      <c r="D640" t="s">
        <v>23</v>
      </c>
      <c r="E640" t="s">
        <v>242</v>
      </c>
      <c r="F640" t="s">
        <v>663</v>
      </c>
      <c r="G640">
        <v>2030</v>
      </c>
      <c r="H640" s="12">
        <v>714.38</v>
      </c>
      <c r="I640" t="s">
        <v>3183</v>
      </c>
      <c r="J640" t="s">
        <v>394</v>
      </c>
      <c r="K640" t="s">
        <v>664</v>
      </c>
      <c r="L640" t="s">
        <v>3184</v>
      </c>
      <c r="M640" t="s">
        <v>16</v>
      </c>
    </row>
    <row r="641" spans="1:13">
      <c r="A641" t="s">
        <v>851</v>
      </c>
      <c r="B641" t="s">
        <v>686</v>
      </c>
      <c r="C641" t="s">
        <v>686</v>
      </c>
      <c r="D641" t="s">
        <v>23</v>
      </c>
      <c r="E641" t="s">
        <v>242</v>
      </c>
      <c r="F641" t="s">
        <v>663</v>
      </c>
      <c r="G641">
        <v>2035</v>
      </c>
      <c r="H641" s="12">
        <v>838.61</v>
      </c>
      <c r="I641" t="s">
        <v>3183</v>
      </c>
      <c r="J641" t="s">
        <v>394</v>
      </c>
      <c r="K641" t="s">
        <v>664</v>
      </c>
      <c r="L641" t="s">
        <v>3184</v>
      </c>
      <c r="M641" t="s">
        <v>16</v>
      </c>
    </row>
    <row r="642" spans="1:13">
      <c r="A642" t="s">
        <v>851</v>
      </c>
      <c r="B642" t="s">
        <v>686</v>
      </c>
      <c r="C642" t="s">
        <v>686</v>
      </c>
      <c r="D642" t="s">
        <v>23</v>
      </c>
      <c r="E642" t="s">
        <v>242</v>
      </c>
      <c r="F642" t="s">
        <v>663</v>
      </c>
      <c r="G642">
        <v>2040</v>
      </c>
      <c r="H642" s="12">
        <v>909.88</v>
      </c>
      <c r="I642" t="s">
        <v>3183</v>
      </c>
      <c r="J642" t="s">
        <v>394</v>
      </c>
      <c r="K642" t="s">
        <v>664</v>
      </c>
      <c r="L642" t="s">
        <v>3184</v>
      </c>
      <c r="M642" t="s">
        <v>16</v>
      </c>
    </row>
    <row r="643" spans="1:13">
      <c r="A643" t="s">
        <v>851</v>
      </c>
      <c r="B643" t="s">
        <v>686</v>
      </c>
      <c r="C643" t="s">
        <v>686</v>
      </c>
      <c r="D643" t="s">
        <v>23</v>
      </c>
      <c r="E643" t="s">
        <v>242</v>
      </c>
      <c r="F643" t="s">
        <v>663</v>
      </c>
      <c r="G643">
        <v>2045</v>
      </c>
      <c r="H643" s="12">
        <v>914.78</v>
      </c>
      <c r="I643" t="s">
        <v>3183</v>
      </c>
      <c r="J643" t="s">
        <v>394</v>
      </c>
      <c r="K643" t="s">
        <v>664</v>
      </c>
      <c r="L643" t="s">
        <v>3184</v>
      </c>
      <c r="M643" t="s">
        <v>16</v>
      </c>
    </row>
    <row r="644" spans="1:13">
      <c r="A644" t="s">
        <v>851</v>
      </c>
      <c r="B644" t="s">
        <v>686</v>
      </c>
      <c r="C644" t="s">
        <v>686</v>
      </c>
      <c r="D644" t="s">
        <v>23</v>
      </c>
      <c r="E644" t="s">
        <v>242</v>
      </c>
      <c r="F644" t="s">
        <v>663</v>
      </c>
      <c r="G644">
        <v>2050</v>
      </c>
      <c r="H644" s="12">
        <v>891.41</v>
      </c>
      <c r="I644" t="s">
        <v>3183</v>
      </c>
      <c r="J644" t="s">
        <v>394</v>
      </c>
      <c r="K644" t="s">
        <v>664</v>
      </c>
      <c r="L644" t="s">
        <v>3184</v>
      </c>
      <c r="M644" t="s">
        <v>16</v>
      </c>
    </row>
    <row r="645" spans="1:13">
      <c r="A645" t="s">
        <v>851</v>
      </c>
      <c r="B645" t="s">
        <v>687</v>
      </c>
      <c r="C645" t="s">
        <v>687</v>
      </c>
      <c r="D645" t="s">
        <v>23</v>
      </c>
      <c r="E645" t="s">
        <v>242</v>
      </c>
      <c r="F645" t="s">
        <v>663</v>
      </c>
      <c r="G645">
        <v>2030</v>
      </c>
      <c r="H645" s="12">
        <v>623.05999999999995</v>
      </c>
      <c r="I645" t="s">
        <v>3183</v>
      </c>
      <c r="J645" t="s">
        <v>394</v>
      </c>
      <c r="K645" t="s">
        <v>664</v>
      </c>
      <c r="L645" t="s">
        <v>3184</v>
      </c>
      <c r="M645" t="s">
        <v>16</v>
      </c>
    </row>
    <row r="646" spans="1:13">
      <c r="A646" t="s">
        <v>851</v>
      </c>
      <c r="B646" t="s">
        <v>687</v>
      </c>
      <c r="C646" t="s">
        <v>687</v>
      </c>
      <c r="D646" t="s">
        <v>23</v>
      </c>
      <c r="E646" t="s">
        <v>242</v>
      </c>
      <c r="F646" t="s">
        <v>663</v>
      </c>
      <c r="G646">
        <v>2035</v>
      </c>
      <c r="H646" s="12">
        <v>620.12</v>
      </c>
      <c r="I646" t="s">
        <v>3183</v>
      </c>
      <c r="J646" t="s">
        <v>394</v>
      </c>
      <c r="K646" t="s">
        <v>664</v>
      </c>
      <c r="L646" t="s">
        <v>3184</v>
      </c>
      <c r="M646" t="s">
        <v>16</v>
      </c>
    </row>
    <row r="647" spans="1:13">
      <c r="A647" t="s">
        <v>851</v>
      </c>
      <c r="B647" t="s">
        <v>687</v>
      </c>
      <c r="C647" t="s">
        <v>687</v>
      </c>
      <c r="D647" t="s">
        <v>23</v>
      </c>
      <c r="E647" t="s">
        <v>242</v>
      </c>
      <c r="F647" t="s">
        <v>663</v>
      </c>
      <c r="G647">
        <v>2040</v>
      </c>
      <c r="H647" s="12">
        <v>552.89</v>
      </c>
      <c r="I647" t="s">
        <v>3183</v>
      </c>
      <c r="J647" t="s">
        <v>394</v>
      </c>
      <c r="K647" t="s">
        <v>664</v>
      </c>
      <c r="L647" t="s">
        <v>3184</v>
      </c>
      <c r="M647" t="s">
        <v>16</v>
      </c>
    </row>
    <row r="648" spans="1:13">
      <c r="A648" t="s">
        <v>851</v>
      </c>
      <c r="B648" t="s">
        <v>687</v>
      </c>
      <c r="C648" t="s">
        <v>687</v>
      </c>
      <c r="D648" t="s">
        <v>23</v>
      </c>
      <c r="E648" t="s">
        <v>242</v>
      </c>
      <c r="F648" t="s">
        <v>663</v>
      </c>
      <c r="G648">
        <v>2045</v>
      </c>
      <c r="H648" s="12">
        <v>452.92</v>
      </c>
      <c r="I648" t="s">
        <v>3183</v>
      </c>
      <c r="J648" t="s">
        <v>394</v>
      </c>
      <c r="K648" t="s">
        <v>664</v>
      </c>
      <c r="L648" t="s">
        <v>3184</v>
      </c>
      <c r="M648" t="s">
        <v>16</v>
      </c>
    </row>
    <row r="649" spans="1:13">
      <c r="A649" t="s">
        <v>851</v>
      </c>
      <c r="B649" t="s">
        <v>687</v>
      </c>
      <c r="C649" t="s">
        <v>687</v>
      </c>
      <c r="D649" t="s">
        <v>23</v>
      </c>
      <c r="E649" t="s">
        <v>242</v>
      </c>
      <c r="F649" t="s">
        <v>663</v>
      </c>
      <c r="G649">
        <v>2050</v>
      </c>
      <c r="H649" s="12">
        <v>355.26</v>
      </c>
      <c r="I649" t="s">
        <v>3183</v>
      </c>
      <c r="J649" t="s">
        <v>394</v>
      </c>
      <c r="K649" t="s">
        <v>664</v>
      </c>
      <c r="L649" t="s">
        <v>3184</v>
      </c>
      <c r="M649" t="s">
        <v>16</v>
      </c>
    </row>
    <row r="650" spans="1:13">
      <c r="A650" t="s">
        <v>851</v>
      </c>
      <c r="B650" t="s">
        <v>686</v>
      </c>
      <c r="C650" t="s">
        <v>686</v>
      </c>
      <c r="D650" t="s">
        <v>23</v>
      </c>
      <c r="E650" t="s">
        <v>242</v>
      </c>
      <c r="F650" t="s">
        <v>663</v>
      </c>
      <c r="G650">
        <v>2010</v>
      </c>
      <c r="H650" s="12">
        <v>25.74</v>
      </c>
      <c r="I650" t="s">
        <v>3183</v>
      </c>
      <c r="J650" t="s">
        <v>6</v>
      </c>
      <c r="K650" t="s">
        <v>664</v>
      </c>
      <c r="L650" t="s">
        <v>3184</v>
      </c>
      <c r="M650" t="s">
        <v>659</v>
      </c>
    </row>
    <row r="651" spans="1:13">
      <c r="A651" t="s">
        <v>851</v>
      </c>
      <c r="B651" t="s">
        <v>686</v>
      </c>
      <c r="C651" t="s">
        <v>686</v>
      </c>
      <c r="D651" t="s">
        <v>23</v>
      </c>
      <c r="E651" t="s">
        <v>242</v>
      </c>
      <c r="F651" t="s">
        <v>663</v>
      </c>
      <c r="G651">
        <v>2015</v>
      </c>
      <c r="H651" s="12">
        <v>31.5</v>
      </c>
      <c r="I651" t="s">
        <v>3183</v>
      </c>
      <c r="J651" t="s">
        <v>6</v>
      </c>
      <c r="K651" t="s">
        <v>664</v>
      </c>
      <c r="L651" t="s">
        <v>3184</v>
      </c>
      <c r="M651" t="s">
        <v>659</v>
      </c>
    </row>
    <row r="652" spans="1:13">
      <c r="A652" t="s">
        <v>851</v>
      </c>
      <c r="B652" t="s">
        <v>686</v>
      </c>
      <c r="C652" t="s">
        <v>686</v>
      </c>
      <c r="D652" t="s">
        <v>23</v>
      </c>
      <c r="E652" t="s">
        <v>242</v>
      </c>
      <c r="F652" t="s">
        <v>663</v>
      </c>
      <c r="G652">
        <v>2020</v>
      </c>
      <c r="H652" s="12">
        <v>37.81</v>
      </c>
      <c r="I652" t="s">
        <v>3183</v>
      </c>
      <c r="J652" t="s">
        <v>6</v>
      </c>
      <c r="K652" t="s">
        <v>664</v>
      </c>
      <c r="L652" t="s">
        <v>3184</v>
      </c>
      <c r="M652" t="s">
        <v>659</v>
      </c>
    </row>
    <row r="653" spans="1:13">
      <c r="A653" t="s">
        <v>851</v>
      </c>
      <c r="B653" t="s">
        <v>686</v>
      </c>
      <c r="C653" t="s">
        <v>686</v>
      </c>
      <c r="D653" t="s">
        <v>23</v>
      </c>
      <c r="E653" t="s">
        <v>242</v>
      </c>
      <c r="F653" t="s">
        <v>663</v>
      </c>
      <c r="G653">
        <v>2030</v>
      </c>
      <c r="H653" s="12">
        <v>93.92</v>
      </c>
      <c r="I653" t="s">
        <v>3183</v>
      </c>
      <c r="J653" t="s">
        <v>6</v>
      </c>
      <c r="K653" t="s">
        <v>664</v>
      </c>
      <c r="L653" t="s">
        <v>3184</v>
      </c>
      <c r="M653" t="s">
        <v>659</v>
      </c>
    </row>
    <row r="654" spans="1:13">
      <c r="A654" t="s">
        <v>851</v>
      </c>
      <c r="B654" t="s">
        <v>686</v>
      </c>
      <c r="C654" t="s">
        <v>686</v>
      </c>
      <c r="D654" t="s">
        <v>23</v>
      </c>
      <c r="E654" t="s">
        <v>242</v>
      </c>
      <c r="F654" t="s">
        <v>663</v>
      </c>
      <c r="G654">
        <v>2035</v>
      </c>
      <c r="H654" s="12">
        <v>126.09</v>
      </c>
      <c r="I654" t="s">
        <v>3183</v>
      </c>
      <c r="J654" t="s">
        <v>6</v>
      </c>
      <c r="K654" t="s">
        <v>664</v>
      </c>
      <c r="L654" t="s">
        <v>3184</v>
      </c>
      <c r="M654" t="s">
        <v>659</v>
      </c>
    </row>
    <row r="655" spans="1:13">
      <c r="A655" t="s">
        <v>851</v>
      </c>
      <c r="B655" t="s">
        <v>686</v>
      </c>
      <c r="C655" t="s">
        <v>686</v>
      </c>
      <c r="D655" t="s">
        <v>23</v>
      </c>
      <c r="E655" t="s">
        <v>242</v>
      </c>
      <c r="F655" t="s">
        <v>663</v>
      </c>
      <c r="G655">
        <v>2040</v>
      </c>
      <c r="H655" s="12">
        <v>151.22999999999999</v>
      </c>
      <c r="I655" t="s">
        <v>3183</v>
      </c>
      <c r="J655" t="s">
        <v>6</v>
      </c>
      <c r="K655" t="s">
        <v>664</v>
      </c>
      <c r="L655" t="s">
        <v>3184</v>
      </c>
      <c r="M655" t="s">
        <v>659</v>
      </c>
    </row>
    <row r="656" spans="1:13">
      <c r="A656" t="s">
        <v>851</v>
      </c>
      <c r="B656" t="s">
        <v>686</v>
      </c>
      <c r="C656" t="s">
        <v>686</v>
      </c>
      <c r="D656" t="s">
        <v>23</v>
      </c>
      <c r="E656" t="s">
        <v>242</v>
      </c>
      <c r="F656" t="s">
        <v>663</v>
      </c>
      <c r="G656">
        <v>2045</v>
      </c>
      <c r="H656" s="12">
        <v>168.47</v>
      </c>
      <c r="I656" t="s">
        <v>3183</v>
      </c>
      <c r="J656" t="s">
        <v>6</v>
      </c>
      <c r="K656" t="s">
        <v>664</v>
      </c>
      <c r="L656" t="s">
        <v>3184</v>
      </c>
      <c r="M656" t="s">
        <v>659</v>
      </c>
    </row>
    <row r="657" spans="1:13">
      <c r="A657" t="s">
        <v>851</v>
      </c>
      <c r="B657" t="s">
        <v>686</v>
      </c>
      <c r="C657" t="s">
        <v>686</v>
      </c>
      <c r="D657" t="s">
        <v>23</v>
      </c>
      <c r="E657" t="s">
        <v>242</v>
      </c>
      <c r="F657" t="s">
        <v>663</v>
      </c>
      <c r="G657">
        <v>2050</v>
      </c>
      <c r="H657" s="12">
        <v>174.56</v>
      </c>
      <c r="I657" t="s">
        <v>3183</v>
      </c>
      <c r="J657" t="s">
        <v>6</v>
      </c>
      <c r="K657" t="s">
        <v>664</v>
      </c>
      <c r="L657" t="s">
        <v>3184</v>
      </c>
      <c r="M657" t="s">
        <v>659</v>
      </c>
    </row>
    <row r="658" spans="1:13">
      <c r="A658" t="s">
        <v>851</v>
      </c>
      <c r="B658" t="s">
        <v>687</v>
      </c>
      <c r="C658" t="s">
        <v>687</v>
      </c>
      <c r="D658" t="s">
        <v>23</v>
      </c>
      <c r="E658" t="s">
        <v>242</v>
      </c>
      <c r="F658" t="s">
        <v>663</v>
      </c>
      <c r="G658">
        <v>2030</v>
      </c>
      <c r="H658" s="12">
        <v>91.83</v>
      </c>
      <c r="I658" t="s">
        <v>3183</v>
      </c>
      <c r="J658" t="s">
        <v>6</v>
      </c>
      <c r="K658" t="s">
        <v>664</v>
      </c>
      <c r="L658" t="s">
        <v>3184</v>
      </c>
      <c r="M658" t="s">
        <v>659</v>
      </c>
    </row>
    <row r="659" spans="1:13">
      <c r="A659" t="s">
        <v>851</v>
      </c>
      <c r="B659" t="s">
        <v>687</v>
      </c>
      <c r="C659" t="s">
        <v>687</v>
      </c>
      <c r="D659" t="s">
        <v>23</v>
      </c>
      <c r="E659" t="s">
        <v>242</v>
      </c>
      <c r="F659" t="s">
        <v>663</v>
      </c>
      <c r="G659">
        <v>2035</v>
      </c>
      <c r="H659" s="12">
        <v>118.09</v>
      </c>
      <c r="I659" t="s">
        <v>3183</v>
      </c>
      <c r="J659" t="s">
        <v>6</v>
      </c>
      <c r="K659" t="s">
        <v>664</v>
      </c>
      <c r="L659" t="s">
        <v>3184</v>
      </c>
      <c r="M659" t="s">
        <v>659</v>
      </c>
    </row>
    <row r="660" spans="1:13">
      <c r="A660" t="s">
        <v>851</v>
      </c>
      <c r="B660" t="s">
        <v>687</v>
      </c>
      <c r="C660" t="s">
        <v>687</v>
      </c>
      <c r="D660" t="s">
        <v>23</v>
      </c>
      <c r="E660" t="s">
        <v>242</v>
      </c>
      <c r="F660" t="s">
        <v>663</v>
      </c>
      <c r="G660">
        <v>2040</v>
      </c>
      <c r="H660" s="12">
        <v>116.89</v>
      </c>
      <c r="I660" t="s">
        <v>3183</v>
      </c>
      <c r="J660" t="s">
        <v>6</v>
      </c>
      <c r="K660" t="s">
        <v>664</v>
      </c>
      <c r="L660" t="s">
        <v>3184</v>
      </c>
      <c r="M660" t="s">
        <v>659</v>
      </c>
    </row>
    <row r="661" spans="1:13">
      <c r="A661" t="s">
        <v>851</v>
      </c>
      <c r="B661" t="s">
        <v>687</v>
      </c>
      <c r="C661" t="s">
        <v>687</v>
      </c>
      <c r="D661" t="s">
        <v>23</v>
      </c>
      <c r="E661" t="s">
        <v>242</v>
      </c>
      <c r="F661" t="s">
        <v>663</v>
      </c>
      <c r="G661">
        <v>2045</v>
      </c>
      <c r="H661" s="12">
        <v>105.42</v>
      </c>
      <c r="I661" t="s">
        <v>3183</v>
      </c>
      <c r="J661" t="s">
        <v>6</v>
      </c>
      <c r="K661" t="s">
        <v>664</v>
      </c>
      <c r="L661" t="s">
        <v>3184</v>
      </c>
      <c r="M661" t="s">
        <v>659</v>
      </c>
    </row>
    <row r="662" spans="1:13">
      <c r="A662" t="s">
        <v>851</v>
      </c>
      <c r="B662" t="s">
        <v>687</v>
      </c>
      <c r="C662" t="s">
        <v>687</v>
      </c>
      <c r="D662" t="s">
        <v>23</v>
      </c>
      <c r="E662" t="s">
        <v>242</v>
      </c>
      <c r="F662" t="s">
        <v>663</v>
      </c>
      <c r="G662">
        <v>2050</v>
      </c>
      <c r="H662" s="12">
        <v>84.13</v>
      </c>
      <c r="I662" t="s">
        <v>3183</v>
      </c>
      <c r="J662" t="s">
        <v>6</v>
      </c>
      <c r="K662" t="s">
        <v>664</v>
      </c>
      <c r="L662" t="s">
        <v>3184</v>
      </c>
      <c r="M662" t="s">
        <v>659</v>
      </c>
    </row>
    <row r="663" spans="1:13">
      <c r="A663" t="s">
        <v>851</v>
      </c>
      <c r="B663" t="s">
        <v>686</v>
      </c>
      <c r="C663" t="s">
        <v>686</v>
      </c>
      <c r="D663" t="s">
        <v>23</v>
      </c>
      <c r="E663" t="s">
        <v>242</v>
      </c>
      <c r="F663" t="s">
        <v>663</v>
      </c>
      <c r="G663">
        <v>2010</v>
      </c>
      <c r="H663" s="12">
        <v>703.8</v>
      </c>
      <c r="I663" t="s">
        <v>3183</v>
      </c>
      <c r="J663" t="s">
        <v>5</v>
      </c>
      <c r="K663" t="s">
        <v>147</v>
      </c>
      <c r="L663" t="s">
        <v>3184</v>
      </c>
      <c r="M663" t="s">
        <v>5</v>
      </c>
    </row>
    <row r="664" spans="1:13">
      <c r="A664" t="s">
        <v>851</v>
      </c>
      <c r="B664" t="s">
        <v>686</v>
      </c>
      <c r="C664" t="s">
        <v>686</v>
      </c>
      <c r="D664" t="s">
        <v>23</v>
      </c>
      <c r="E664" t="s">
        <v>242</v>
      </c>
      <c r="F664" t="s">
        <v>663</v>
      </c>
      <c r="G664">
        <v>2015</v>
      </c>
      <c r="H664" s="12">
        <v>1004.56</v>
      </c>
      <c r="I664" t="s">
        <v>3183</v>
      </c>
      <c r="J664" t="s">
        <v>5</v>
      </c>
      <c r="K664" t="s">
        <v>147</v>
      </c>
      <c r="L664" t="s">
        <v>3184</v>
      </c>
      <c r="M664" t="s">
        <v>5</v>
      </c>
    </row>
    <row r="665" spans="1:13">
      <c r="A665" t="s">
        <v>851</v>
      </c>
      <c r="B665" t="s">
        <v>686</v>
      </c>
      <c r="C665" t="s">
        <v>686</v>
      </c>
      <c r="D665" t="s">
        <v>23</v>
      </c>
      <c r="E665" t="s">
        <v>242</v>
      </c>
      <c r="F665" t="s">
        <v>663</v>
      </c>
      <c r="G665">
        <v>2020</v>
      </c>
      <c r="H665" s="12">
        <v>1017.16</v>
      </c>
      <c r="I665" t="s">
        <v>3183</v>
      </c>
      <c r="J665" t="s">
        <v>5</v>
      </c>
      <c r="K665" t="s">
        <v>147</v>
      </c>
      <c r="L665" t="s">
        <v>3184</v>
      </c>
      <c r="M665" t="s">
        <v>5</v>
      </c>
    </row>
    <row r="666" spans="1:13">
      <c r="A666" t="s">
        <v>851</v>
      </c>
      <c r="B666" t="s">
        <v>686</v>
      </c>
      <c r="C666" t="s">
        <v>686</v>
      </c>
      <c r="D666" t="s">
        <v>23</v>
      </c>
      <c r="E666" t="s">
        <v>242</v>
      </c>
      <c r="F666" t="s">
        <v>663</v>
      </c>
      <c r="G666">
        <v>2030</v>
      </c>
      <c r="H666" s="12">
        <v>1382.55</v>
      </c>
      <c r="I666" t="s">
        <v>3183</v>
      </c>
      <c r="J666" t="s">
        <v>5</v>
      </c>
      <c r="K666" t="s">
        <v>147</v>
      </c>
      <c r="L666" t="s">
        <v>3184</v>
      </c>
      <c r="M666" t="s">
        <v>5</v>
      </c>
    </row>
    <row r="667" spans="1:13">
      <c r="A667" t="s">
        <v>851</v>
      </c>
      <c r="B667" t="s">
        <v>686</v>
      </c>
      <c r="C667" t="s">
        <v>686</v>
      </c>
      <c r="D667" t="s">
        <v>23</v>
      </c>
      <c r="E667" t="s">
        <v>242</v>
      </c>
      <c r="F667" t="s">
        <v>663</v>
      </c>
      <c r="G667">
        <v>2035</v>
      </c>
      <c r="H667" s="12">
        <v>1273.8499999999999</v>
      </c>
      <c r="I667" t="s">
        <v>3183</v>
      </c>
      <c r="J667" t="s">
        <v>5</v>
      </c>
      <c r="K667" t="s">
        <v>147</v>
      </c>
      <c r="L667" t="s">
        <v>3184</v>
      </c>
      <c r="M667" t="s">
        <v>5</v>
      </c>
    </row>
    <row r="668" spans="1:13">
      <c r="A668" t="s">
        <v>851</v>
      </c>
      <c r="B668" t="s">
        <v>686</v>
      </c>
      <c r="C668" t="s">
        <v>686</v>
      </c>
      <c r="D668" t="s">
        <v>23</v>
      </c>
      <c r="E668" t="s">
        <v>242</v>
      </c>
      <c r="F668" t="s">
        <v>663</v>
      </c>
      <c r="G668">
        <v>2040</v>
      </c>
      <c r="H668" s="12">
        <v>1087.77</v>
      </c>
      <c r="I668" t="s">
        <v>3183</v>
      </c>
      <c r="J668" t="s">
        <v>5</v>
      </c>
      <c r="K668" t="s">
        <v>147</v>
      </c>
      <c r="L668" t="s">
        <v>3184</v>
      </c>
      <c r="M668" t="s">
        <v>5</v>
      </c>
    </row>
    <row r="669" spans="1:13">
      <c r="A669" t="s">
        <v>851</v>
      </c>
      <c r="B669" t="s">
        <v>686</v>
      </c>
      <c r="C669" t="s">
        <v>686</v>
      </c>
      <c r="D669" t="s">
        <v>23</v>
      </c>
      <c r="E669" t="s">
        <v>242</v>
      </c>
      <c r="F669" t="s">
        <v>663</v>
      </c>
      <c r="G669">
        <v>2045</v>
      </c>
      <c r="H669" s="12">
        <v>948.23</v>
      </c>
      <c r="I669" t="s">
        <v>3183</v>
      </c>
      <c r="J669" t="s">
        <v>5</v>
      </c>
      <c r="K669" t="s">
        <v>147</v>
      </c>
      <c r="L669" t="s">
        <v>3184</v>
      </c>
      <c r="M669" t="s">
        <v>5</v>
      </c>
    </row>
    <row r="670" spans="1:13">
      <c r="A670" t="s">
        <v>851</v>
      </c>
      <c r="B670" t="s">
        <v>686</v>
      </c>
      <c r="C670" t="s">
        <v>686</v>
      </c>
      <c r="D670" t="s">
        <v>23</v>
      </c>
      <c r="E670" t="s">
        <v>242</v>
      </c>
      <c r="F670" t="s">
        <v>663</v>
      </c>
      <c r="G670">
        <v>2050</v>
      </c>
      <c r="H670" s="12">
        <v>829.5</v>
      </c>
      <c r="I670" t="s">
        <v>3183</v>
      </c>
      <c r="J670" t="s">
        <v>5</v>
      </c>
      <c r="K670" t="s">
        <v>147</v>
      </c>
      <c r="L670" t="s">
        <v>3184</v>
      </c>
      <c r="M670" t="s">
        <v>5</v>
      </c>
    </row>
    <row r="671" spans="1:13">
      <c r="A671" t="s">
        <v>851</v>
      </c>
      <c r="B671" t="s">
        <v>687</v>
      </c>
      <c r="C671" t="s">
        <v>687</v>
      </c>
      <c r="D671" t="s">
        <v>23</v>
      </c>
      <c r="E671" t="s">
        <v>242</v>
      </c>
      <c r="F671" t="s">
        <v>663</v>
      </c>
      <c r="G671">
        <v>2030</v>
      </c>
      <c r="H671" s="12">
        <v>1339.2</v>
      </c>
      <c r="I671" t="s">
        <v>3183</v>
      </c>
      <c r="J671" t="s">
        <v>5</v>
      </c>
      <c r="K671" t="s">
        <v>147</v>
      </c>
      <c r="L671" t="s">
        <v>3184</v>
      </c>
      <c r="M671" t="s">
        <v>5</v>
      </c>
    </row>
    <row r="672" spans="1:13">
      <c r="A672" t="s">
        <v>851</v>
      </c>
      <c r="B672" t="s">
        <v>686</v>
      </c>
      <c r="C672" t="s">
        <v>686</v>
      </c>
      <c r="D672" t="s">
        <v>23</v>
      </c>
      <c r="E672" t="s">
        <v>242</v>
      </c>
      <c r="F672" t="s">
        <v>663</v>
      </c>
      <c r="G672">
        <v>2040</v>
      </c>
      <c r="H672" s="12">
        <v>64.66</v>
      </c>
      <c r="I672" t="s">
        <v>3183</v>
      </c>
      <c r="J672" t="s">
        <v>6</v>
      </c>
      <c r="K672" t="s">
        <v>147</v>
      </c>
      <c r="L672" t="s">
        <v>3184</v>
      </c>
      <c r="M672" t="s">
        <v>659</v>
      </c>
    </row>
    <row r="673" spans="1:13">
      <c r="A673" t="s">
        <v>851</v>
      </c>
      <c r="B673" t="s">
        <v>686</v>
      </c>
      <c r="C673" t="s">
        <v>686</v>
      </c>
      <c r="D673" t="s">
        <v>23</v>
      </c>
      <c r="E673" t="s">
        <v>242</v>
      </c>
      <c r="F673" t="s">
        <v>663</v>
      </c>
      <c r="G673">
        <v>2045</v>
      </c>
      <c r="H673" s="12">
        <v>63.14</v>
      </c>
      <c r="I673" t="s">
        <v>3183</v>
      </c>
      <c r="J673" t="s">
        <v>6</v>
      </c>
      <c r="K673" t="s">
        <v>147</v>
      </c>
      <c r="L673" t="s">
        <v>3184</v>
      </c>
      <c r="M673" t="s">
        <v>659</v>
      </c>
    </row>
    <row r="674" spans="1:13">
      <c r="A674" t="s">
        <v>851</v>
      </c>
      <c r="B674" t="s">
        <v>686</v>
      </c>
      <c r="C674" t="s">
        <v>686</v>
      </c>
      <c r="D674" t="s">
        <v>23</v>
      </c>
      <c r="E674" t="s">
        <v>242</v>
      </c>
      <c r="F674" t="s">
        <v>663</v>
      </c>
      <c r="G674">
        <v>2050</v>
      </c>
      <c r="H674" s="12">
        <v>59.18</v>
      </c>
      <c r="I674" t="s">
        <v>3183</v>
      </c>
      <c r="J674" t="s">
        <v>6</v>
      </c>
      <c r="K674" t="s">
        <v>147</v>
      </c>
      <c r="L674" t="s">
        <v>3184</v>
      </c>
      <c r="M674" t="s">
        <v>659</v>
      </c>
    </row>
    <row r="675" spans="1:13">
      <c r="A675" t="s">
        <v>851</v>
      </c>
      <c r="B675" t="s">
        <v>687</v>
      </c>
      <c r="C675" t="s">
        <v>687</v>
      </c>
      <c r="D675" t="s">
        <v>23</v>
      </c>
      <c r="E675" t="s">
        <v>242</v>
      </c>
      <c r="F675" t="s">
        <v>663</v>
      </c>
      <c r="G675">
        <v>2030</v>
      </c>
      <c r="H675" s="12">
        <v>50.8</v>
      </c>
      <c r="I675" t="s">
        <v>3183</v>
      </c>
      <c r="J675" t="s">
        <v>6</v>
      </c>
      <c r="K675" t="s">
        <v>147</v>
      </c>
      <c r="L675" t="s">
        <v>3184</v>
      </c>
      <c r="M675" t="s">
        <v>659</v>
      </c>
    </row>
    <row r="676" spans="1:13">
      <c r="A676" t="s">
        <v>851</v>
      </c>
      <c r="B676" t="s">
        <v>687</v>
      </c>
      <c r="C676" t="s">
        <v>687</v>
      </c>
      <c r="D676" t="s">
        <v>23</v>
      </c>
      <c r="E676" t="s">
        <v>242</v>
      </c>
      <c r="F676" t="s">
        <v>663</v>
      </c>
      <c r="G676">
        <v>2035</v>
      </c>
      <c r="H676" s="12">
        <v>54.77</v>
      </c>
      <c r="I676" t="s">
        <v>3183</v>
      </c>
      <c r="J676" t="s">
        <v>6</v>
      </c>
      <c r="K676" t="s">
        <v>147</v>
      </c>
      <c r="L676" t="s">
        <v>3184</v>
      </c>
      <c r="M676" t="s">
        <v>659</v>
      </c>
    </row>
    <row r="677" spans="1:13">
      <c r="A677" t="s">
        <v>851</v>
      </c>
      <c r="B677" t="s">
        <v>687</v>
      </c>
      <c r="C677" t="s">
        <v>687</v>
      </c>
      <c r="D677" t="s">
        <v>23</v>
      </c>
      <c r="E677" t="s">
        <v>242</v>
      </c>
      <c r="F677" t="s">
        <v>663</v>
      </c>
      <c r="G677">
        <v>2040</v>
      </c>
      <c r="H677" s="12">
        <v>50.31</v>
      </c>
      <c r="I677" t="s">
        <v>3183</v>
      </c>
      <c r="J677" t="s">
        <v>6</v>
      </c>
      <c r="K677" t="s">
        <v>147</v>
      </c>
      <c r="L677" t="s">
        <v>3184</v>
      </c>
      <c r="M677" t="s">
        <v>659</v>
      </c>
    </row>
    <row r="678" spans="1:13">
      <c r="A678" t="s">
        <v>851</v>
      </c>
      <c r="B678" t="s">
        <v>687</v>
      </c>
      <c r="C678" t="s">
        <v>687</v>
      </c>
      <c r="D678" t="s">
        <v>23</v>
      </c>
      <c r="E678" t="s">
        <v>242</v>
      </c>
      <c r="F678" t="s">
        <v>663</v>
      </c>
      <c r="G678">
        <v>2045</v>
      </c>
      <c r="H678" s="12">
        <v>40.44</v>
      </c>
      <c r="I678" t="s">
        <v>3183</v>
      </c>
      <c r="J678" t="s">
        <v>6</v>
      </c>
      <c r="K678" t="s">
        <v>147</v>
      </c>
      <c r="L678" t="s">
        <v>3184</v>
      </c>
      <c r="M678" t="s">
        <v>659</v>
      </c>
    </row>
    <row r="679" spans="1:13">
      <c r="A679" t="s">
        <v>851</v>
      </c>
      <c r="B679" t="s">
        <v>687</v>
      </c>
      <c r="C679" t="s">
        <v>687</v>
      </c>
      <c r="D679" t="s">
        <v>23</v>
      </c>
      <c r="E679" t="s">
        <v>242</v>
      </c>
      <c r="F679" t="s">
        <v>663</v>
      </c>
      <c r="G679">
        <v>2050</v>
      </c>
      <c r="H679" s="12">
        <v>27.08</v>
      </c>
      <c r="I679" t="s">
        <v>3183</v>
      </c>
      <c r="J679" t="s">
        <v>6</v>
      </c>
      <c r="K679" t="s">
        <v>147</v>
      </c>
      <c r="L679" t="s">
        <v>3184</v>
      </c>
      <c r="M679" t="s">
        <v>659</v>
      </c>
    </row>
    <row r="680" spans="1:13">
      <c r="A680" t="s">
        <v>851</v>
      </c>
      <c r="B680" t="s">
        <v>686</v>
      </c>
      <c r="C680" t="s">
        <v>686</v>
      </c>
      <c r="D680" t="s">
        <v>23</v>
      </c>
      <c r="E680" t="s">
        <v>242</v>
      </c>
      <c r="F680" t="s">
        <v>663</v>
      </c>
      <c r="G680">
        <v>2010</v>
      </c>
      <c r="H680" s="12">
        <v>384.43</v>
      </c>
      <c r="I680" t="s">
        <v>3183</v>
      </c>
      <c r="J680" t="s">
        <v>5</v>
      </c>
      <c r="K680" t="s">
        <v>664</v>
      </c>
      <c r="L680" t="s">
        <v>3184</v>
      </c>
      <c r="M680" t="s">
        <v>5</v>
      </c>
    </row>
    <row r="681" spans="1:13">
      <c r="A681" t="s">
        <v>851</v>
      </c>
      <c r="B681" t="s">
        <v>686</v>
      </c>
      <c r="C681" t="s">
        <v>686</v>
      </c>
      <c r="D681" t="s">
        <v>23</v>
      </c>
      <c r="E681" t="s">
        <v>242</v>
      </c>
      <c r="F681" t="s">
        <v>663</v>
      </c>
      <c r="G681">
        <v>2015</v>
      </c>
      <c r="H681" s="12">
        <v>441.46</v>
      </c>
      <c r="I681" t="s">
        <v>3183</v>
      </c>
      <c r="J681" t="s">
        <v>5</v>
      </c>
      <c r="K681" t="s">
        <v>664</v>
      </c>
      <c r="L681" t="s">
        <v>3184</v>
      </c>
      <c r="M681" t="s">
        <v>5</v>
      </c>
    </row>
    <row r="682" spans="1:13">
      <c r="A682" t="s">
        <v>851</v>
      </c>
      <c r="B682" t="s">
        <v>686</v>
      </c>
      <c r="C682" t="s">
        <v>686</v>
      </c>
      <c r="D682" t="s">
        <v>23</v>
      </c>
      <c r="E682" t="s">
        <v>242</v>
      </c>
      <c r="F682" t="s">
        <v>663</v>
      </c>
      <c r="G682">
        <v>2020</v>
      </c>
      <c r="H682" s="12">
        <v>447.42</v>
      </c>
      <c r="I682" t="s">
        <v>3183</v>
      </c>
      <c r="J682" t="s">
        <v>5</v>
      </c>
      <c r="K682" t="s">
        <v>664</v>
      </c>
      <c r="L682" t="s">
        <v>3184</v>
      </c>
      <c r="M682" t="s">
        <v>5</v>
      </c>
    </row>
    <row r="683" spans="1:13">
      <c r="A683" t="s">
        <v>851</v>
      </c>
      <c r="B683" t="s">
        <v>686</v>
      </c>
      <c r="C683" t="s">
        <v>686</v>
      </c>
      <c r="D683" t="s">
        <v>23</v>
      </c>
      <c r="E683" t="s">
        <v>656</v>
      </c>
      <c r="F683" t="s">
        <v>31</v>
      </c>
      <c r="G683">
        <v>2015</v>
      </c>
      <c r="H683" s="12">
        <v>28.92</v>
      </c>
      <c r="I683" t="s">
        <v>3183</v>
      </c>
      <c r="J683" t="s">
        <v>6</v>
      </c>
      <c r="K683" t="s">
        <v>147</v>
      </c>
      <c r="L683" t="s">
        <v>3184</v>
      </c>
      <c r="M683" t="s">
        <v>666</v>
      </c>
    </row>
    <row r="684" spans="1:13">
      <c r="A684" t="s">
        <v>851</v>
      </c>
      <c r="B684" t="s">
        <v>686</v>
      </c>
      <c r="C684" t="s">
        <v>686</v>
      </c>
      <c r="D684" t="s">
        <v>23</v>
      </c>
      <c r="E684" t="s">
        <v>656</v>
      </c>
      <c r="F684" t="s">
        <v>31</v>
      </c>
      <c r="G684">
        <v>2020</v>
      </c>
      <c r="H684" s="12">
        <v>29.24</v>
      </c>
      <c r="I684" t="s">
        <v>3183</v>
      </c>
      <c r="J684" t="s">
        <v>6</v>
      </c>
      <c r="K684" t="s">
        <v>147</v>
      </c>
      <c r="L684" t="s">
        <v>3184</v>
      </c>
      <c r="M684" t="s">
        <v>666</v>
      </c>
    </row>
    <row r="685" spans="1:13">
      <c r="A685" t="s">
        <v>851</v>
      </c>
      <c r="B685" t="s">
        <v>686</v>
      </c>
      <c r="C685" t="s">
        <v>686</v>
      </c>
      <c r="D685" t="s">
        <v>23</v>
      </c>
      <c r="E685" t="s">
        <v>656</v>
      </c>
      <c r="F685" t="s">
        <v>31</v>
      </c>
      <c r="G685">
        <v>2030</v>
      </c>
      <c r="H685" s="12">
        <v>31.88</v>
      </c>
      <c r="I685" t="s">
        <v>3183</v>
      </c>
      <c r="J685" t="s">
        <v>6</v>
      </c>
      <c r="K685" t="s">
        <v>147</v>
      </c>
      <c r="L685" t="s">
        <v>3184</v>
      </c>
      <c r="M685" t="s">
        <v>666</v>
      </c>
    </row>
    <row r="686" spans="1:13">
      <c r="A686" t="s">
        <v>851</v>
      </c>
      <c r="B686" t="s">
        <v>686</v>
      </c>
      <c r="C686" t="s">
        <v>686</v>
      </c>
      <c r="D686" t="s">
        <v>23</v>
      </c>
      <c r="E686" t="s">
        <v>656</v>
      </c>
      <c r="F686" t="s">
        <v>31</v>
      </c>
      <c r="G686">
        <v>2035</v>
      </c>
      <c r="H686" s="12">
        <v>35.42</v>
      </c>
      <c r="I686" t="s">
        <v>3183</v>
      </c>
      <c r="J686" t="s">
        <v>6</v>
      </c>
      <c r="K686" t="s">
        <v>147</v>
      </c>
      <c r="L686" t="s">
        <v>3184</v>
      </c>
      <c r="M686" t="s">
        <v>666</v>
      </c>
    </row>
    <row r="687" spans="1:13">
      <c r="A687" t="s">
        <v>851</v>
      </c>
      <c r="B687" t="s">
        <v>686</v>
      </c>
      <c r="C687" t="s">
        <v>686</v>
      </c>
      <c r="D687" t="s">
        <v>23</v>
      </c>
      <c r="E687" t="s">
        <v>656</v>
      </c>
      <c r="F687" t="s">
        <v>31</v>
      </c>
      <c r="G687">
        <v>2040</v>
      </c>
      <c r="H687" s="12">
        <v>42.89</v>
      </c>
      <c r="I687" t="s">
        <v>3183</v>
      </c>
      <c r="J687" t="s">
        <v>6</v>
      </c>
      <c r="K687" t="s">
        <v>147</v>
      </c>
      <c r="L687" t="s">
        <v>3184</v>
      </c>
      <c r="M687" t="s">
        <v>666</v>
      </c>
    </row>
    <row r="688" spans="1:13">
      <c r="A688" t="s">
        <v>851</v>
      </c>
      <c r="B688" t="s">
        <v>686</v>
      </c>
      <c r="C688" t="s">
        <v>686</v>
      </c>
      <c r="D688" t="s">
        <v>23</v>
      </c>
      <c r="E688" t="s">
        <v>656</v>
      </c>
      <c r="F688" t="s">
        <v>31</v>
      </c>
      <c r="G688">
        <v>2045</v>
      </c>
      <c r="H688" s="12">
        <v>48.9</v>
      </c>
      <c r="I688" t="s">
        <v>3183</v>
      </c>
      <c r="J688" t="s">
        <v>6</v>
      </c>
      <c r="K688" t="s">
        <v>147</v>
      </c>
      <c r="L688" t="s">
        <v>3184</v>
      </c>
      <c r="M688" t="s">
        <v>666</v>
      </c>
    </row>
    <row r="689" spans="1:13">
      <c r="A689" t="s">
        <v>851</v>
      </c>
      <c r="B689" t="s">
        <v>686</v>
      </c>
      <c r="C689" t="s">
        <v>686</v>
      </c>
      <c r="D689" t="s">
        <v>23</v>
      </c>
      <c r="E689" t="s">
        <v>656</v>
      </c>
      <c r="F689" t="s">
        <v>31</v>
      </c>
      <c r="G689">
        <v>2050</v>
      </c>
      <c r="H689" s="12">
        <v>51.68</v>
      </c>
      <c r="I689" t="s">
        <v>3183</v>
      </c>
      <c r="J689" t="s">
        <v>6</v>
      </c>
      <c r="K689" t="s">
        <v>147</v>
      </c>
      <c r="L689" t="s">
        <v>3184</v>
      </c>
      <c r="M689" t="s">
        <v>666</v>
      </c>
    </row>
    <row r="690" spans="1:13">
      <c r="A690" t="s">
        <v>851</v>
      </c>
      <c r="B690" t="s">
        <v>687</v>
      </c>
      <c r="C690" t="s">
        <v>687</v>
      </c>
      <c r="D690" t="s">
        <v>23</v>
      </c>
      <c r="E690" t="s">
        <v>656</v>
      </c>
      <c r="F690" t="s">
        <v>31</v>
      </c>
      <c r="G690">
        <v>2030</v>
      </c>
      <c r="H690" s="12">
        <v>30.39</v>
      </c>
      <c r="I690" t="s">
        <v>3183</v>
      </c>
      <c r="J690" t="s">
        <v>6</v>
      </c>
      <c r="K690" t="s">
        <v>147</v>
      </c>
      <c r="L690" t="s">
        <v>3184</v>
      </c>
      <c r="M690" t="s">
        <v>666</v>
      </c>
    </row>
    <row r="691" spans="1:13">
      <c r="A691" t="s">
        <v>851</v>
      </c>
      <c r="B691" t="s">
        <v>687</v>
      </c>
      <c r="C691" t="s">
        <v>687</v>
      </c>
      <c r="D691" t="s">
        <v>23</v>
      </c>
      <c r="E691" t="s">
        <v>656</v>
      </c>
      <c r="F691" t="s">
        <v>31</v>
      </c>
      <c r="G691">
        <v>2035</v>
      </c>
      <c r="H691" s="12">
        <v>33.380000000000003</v>
      </c>
      <c r="I691" t="s">
        <v>3183</v>
      </c>
      <c r="J691" t="s">
        <v>6</v>
      </c>
      <c r="K691" t="s">
        <v>147</v>
      </c>
      <c r="L691" t="s">
        <v>3184</v>
      </c>
      <c r="M691" t="s">
        <v>666</v>
      </c>
    </row>
    <row r="692" spans="1:13">
      <c r="A692" t="s">
        <v>851</v>
      </c>
      <c r="B692" t="s">
        <v>687</v>
      </c>
      <c r="C692" t="s">
        <v>687</v>
      </c>
      <c r="D692" t="s">
        <v>23</v>
      </c>
      <c r="E692" t="s">
        <v>656</v>
      </c>
      <c r="F692" t="s">
        <v>31</v>
      </c>
      <c r="G692">
        <v>2040</v>
      </c>
      <c r="H692" s="12">
        <v>36.74</v>
      </c>
      <c r="I692" t="s">
        <v>3183</v>
      </c>
      <c r="J692" t="s">
        <v>6</v>
      </c>
      <c r="K692" t="s">
        <v>147</v>
      </c>
      <c r="L692" t="s">
        <v>3184</v>
      </c>
      <c r="M692" t="s">
        <v>666</v>
      </c>
    </row>
    <row r="693" spans="1:13">
      <c r="A693" t="s">
        <v>851</v>
      </c>
      <c r="B693" t="s">
        <v>687</v>
      </c>
      <c r="C693" t="s">
        <v>687</v>
      </c>
      <c r="D693" t="s">
        <v>23</v>
      </c>
      <c r="E693" t="s">
        <v>656</v>
      </c>
      <c r="F693" t="s">
        <v>31</v>
      </c>
      <c r="G693">
        <v>2045</v>
      </c>
      <c r="H693" s="12">
        <v>36.56</v>
      </c>
      <c r="I693" t="s">
        <v>3183</v>
      </c>
      <c r="J693" t="s">
        <v>6</v>
      </c>
      <c r="K693" t="s">
        <v>147</v>
      </c>
      <c r="L693" t="s">
        <v>3184</v>
      </c>
      <c r="M693" t="s">
        <v>666</v>
      </c>
    </row>
    <row r="694" spans="1:13">
      <c r="A694" t="s">
        <v>851</v>
      </c>
      <c r="B694" t="s">
        <v>687</v>
      </c>
      <c r="C694" t="s">
        <v>687</v>
      </c>
      <c r="D694" t="s">
        <v>23</v>
      </c>
      <c r="E694" t="s">
        <v>656</v>
      </c>
      <c r="F694" t="s">
        <v>31</v>
      </c>
      <c r="G694">
        <v>2050</v>
      </c>
      <c r="H694" s="12">
        <v>31.62</v>
      </c>
      <c r="I694" t="s">
        <v>3183</v>
      </c>
      <c r="J694" t="s">
        <v>6</v>
      </c>
      <c r="K694" t="s">
        <v>147</v>
      </c>
      <c r="L694" t="s">
        <v>3184</v>
      </c>
      <c r="M694" t="s">
        <v>666</v>
      </c>
    </row>
    <row r="695" spans="1:13">
      <c r="A695" t="s">
        <v>851</v>
      </c>
      <c r="B695" t="s">
        <v>686</v>
      </c>
      <c r="C695" t="s">
        <v>686</v>
      </c>
      <c r="D695" t="s">
        <v>23</v>
      </c>
      <c r="E695" t="s">
        <v>656</v>
      </c>
      <c r="F695" t="s">
        <v>31</v>
      </c>
      <c r="G695">
        <v>2010</v>
      </c>
      <c r="H695" s="12">
        <v>7.78</v>
      </c>
      <c r="I695" t="s">
        <v>3183</v>
      </c>
      <c r="J695" t="s">
        <v>394</v>
      </c>
      <c r="K695" t="s">
        <v>147</v>
      </c>
      <c r="L695" t="s">
        <v>3184</v>
      </c>
      <c r="M695" t="s">
        <v>16</v>
      </c>
    </row>
    <row r="696" spans="1:13">
      <c r="A696" t="s">
        <v>851</v>
      </c>
      <c r="B696" t="s">
        <v>686</v>
      </c>
      <c r="C696" t="s">
        <v>686</v>
      </c>
      <c r="D696" t="s">
        <v>23</v>
      </c>
      <c r="E696" t="s">
        <v>656</v>
      </c>
      <c r="F696" t="s">
        <v>31</v>
      </c>
      <c r="G696">
        <v>2015</v>
      </c>
      <c r="H696" s="12">
        <v>7.68</v>
      </c>
      <c r="I696" t="s">
        <v>3183</v>
      </c>
      <c r="J696" t="s">
        <v>394</v>
      </c>
      <c r="K696" t="s">
        <v>147</v>
      </c>
      <c r="L696" t="s">
        <v>3184</v>
      </c>
      <c r="M696" t="s">
        <v>16</v>
      </c>
    </row>
    <row r="697" spans="1:13">
      <c r="A697" t="s">
        <v>851</v>
      </c>
      <c r="B697" t="s">
        <v>686</v>
      </c>
      <c r="C697" t="s">
        <v>686</v>
      </c>
      <c r="D697" t="s">
        <v>23</v>
      </c>
      <c r="E697" t="s">
        <v>656</v>
      </c>
      <c r="F697" t="s">
        <v>31</v>
      </c>
      <c r="G697">
        <v>2020</v>
      </c>
      <c r="H697" s="12">
        <v>6.59</v>
      </c>
      <c r="I697" t="s">
        <v>3183</v>
      </c>
      <c r="J697" t="s">
        <v>394</v>
      </c>
      <c r="K697" t="s">
        <v>147</v>
      </c>
      <c r="L697" t="s">
        <v>3184</v>
      </c>
      <c r="M697" t="s">
        <v>16</v>
      </c>
    </row>
    <row r="698" spans="1:13">
      <c r="A698" t="s">
        <v>851</v>
      </c>
      <c r="B698" t="s">
        <v>686</v>
      </c>
      <c r="C698" t="s">
        <v>686</v>
      </c>
      <c r="D698" t="s">
        <v>23</v>
      </c>
      <c r="E698" t="s">
        <v>656</v>
      </c>
      <c r="F698" t="s">
        <v>31</v>
      </c>
      <c r="G698">
        <v>2030</v>
      </c>
      <c r="H698" s="12">
        <v>6.52</v>
      </c>
      <c r="I698" t="s">
        <v>3183</v>
      </c>
      <c r="J698" t="s">
        <v>394</v>
      </c>
      <c r="K698" t="s">
        <v>147</v>
      </c>
      <c r="L698" t="s">
        <v>3184</v>
      </c>
      <c r="M698" t="s">
        <v>16</v>
      </c>
    </row>
    <row r="699" spans="1:13">
      <c r="A699" t="s">
        <v>851</v>
      </c>
      <c r="B699" t="s">
        <v>687</v>
      </c>
      <c r="C699" t="s">
        <v>687</v>
      </c>
      <c r="D699" t="s">
        <v>23</v>
      </c>
      <c r="E699" t="s">
        <v>242</v>
      </c>
      <c r="F699" t="s">
        <v>663</v>
      </c>
      <c r="G699">
        <v>2035</v>
      </c>
      <c r="H699" s="12">
        <v>1154.3800000000001</v>
      </c>
      <c r="I699" t="s">
        <v>3183</v>
      </c>
      <c r="J699" t="s">
        <v>5</v>
      </c>
      <c r="K699" t="s">
        <v>147</v>
      </c>
      <c r="L699" t="s">
        <v>3184</v>
      </c>
      <c r="M699" t="s">
        <v>5</v>
      </c>
    </row>
    <row r="700" spans="1:13">
      <c r="A700" t="s">
        <v>851</v>
      </c>
      <c r="B700" t="s">
        <v>687</v>
      </c>
      <c r="C700" t="s">
        <v>687</v>
      </c>
      <c r="D700" t="s">
        <v>23</v>
      </c>
      <c r="E700" t="s">
        <v>242</v>
      </c>
      <c r="F700" t="s">
        <v>663</v>
      </c>
      <c r="G700">
        <v>2040</v>
      </c>
      <c r="H700" s="12">
        <v>572.21</v>
      </c>
      <c r="I700" t="s">
        <v>3183</v>
      </c>
      <c r="J700" t="s">
        <v>5</v>
      </c>
      <c r="K700" t="s">
        <v>147</v>
      </c>
      <c r="L700" t="s">
        <v>3184</v>
      </c>
      <c r="M700" t="s">
        <v>5</v>
      </c>
    </row>
    <row r="701" spans="1:13">
      <c r="A701" t="s">
        <v>851</v>
      </c>
      <c r="B701" t="s">
        <v>687</v>
      </c>
      <c r="C701" t="s">
        <v>687</v>
      </c>
      <c r="D701" t="s">
        <v>23</v>
      </c>
      <c r="E701" t="s">
        <v>242</v>
      </c>
      <c r="F701" t="s">
        <v>663</v>
      </c>
      <c r="G701">
        <v>2045</v>
      </c>
      <c r="H701" s="12">
        <v>308.42</v>
      </c>
      <c r="I701" t="s">
        <v>3183</v>
      </c>
      <c r="J701" t="s">
        <v>5</v>
      </c>
      <c r="K701" t="s">
        <v>147</v>
      </c>
      <c r="L701" t="s">
        <v>3184</v>
      </c>
      <c r="M701" t="s">
        <v>5</v>
      </c>
    </row>
    <row r="702" spans="1:13">
      <c r="A702" t="s">
        <v>851</v>
      </c>
      <c r="B702" t="s">
        <v>687</v>
      </c>
      <c r="C702" t="s">
        <v>687</v>
      </c>
      <c r="D702" t="s">
        <v>23</v>
      </c>
      <c r="E702" t="s">
        <v>242</v>
      </c>
      <c r="F702" t="s">
        <v>663</v>
      </c>
      <c r="G702">
        <v>2050</v>
      </c>
      <c r="H702" s="12">
        <v>157.88999999999999</v>
      </c>
      <c r="I702" t="s">
        <v>3183</v>
      </c>
      <c r="J702" t="s">
        <v>5</v>
      </c>
      <c r="K702" t="s">
        <v>147</v>
      </c>
      <c r="L702" t="s">
        <v>3184</v>
      </c>
      <c r="M702" t="s">
        <v>5</v>
      </c>
    </row>
    <row r="703" spans="1:13">
      <c r="A703" t="s">
        <v>851</v>
      </c>
      <c r="B703" t="s">
        <v>686</v>
      </c>
      <c r="C703" t="s">
        <v>686</v>
      </c>
      <c r="D703" t="s">
        <v>23</v>
      </c>
      <c r="E703" t="s">
        <v>242</v>
      </c>
      <c r="F703" t="s">
        <v>663</v>
      </c>
      <c r="G703">
        <v>2010</v>
      </c>
      <c r="H703" s="12">
        <v>22.64</v>
      </c>
      <c r="I703" t="s">
        <v>3183</v>
      </c>
      <c r="J703" t="s">
        <v>394</v>
      </c>
      <c r="K703" t="s">
        <v>147</v>
      </c>
      <c r="L703" t="s">
        <v>3184</v>
      </c>
      <c r="M703" t="s">
        <v>16</v>
      </c>
    </row>
    <row r="704" spans="1:13">
      <c r="A704" t="s">
        <v>851</v>
      </c>
      <c r="B704" t="s">
        <v>686</v>
      </c>
      <c r="C704" t="s">
        <v>686</v>
      </c>
      <c r="D704" t="s">
        <v>23</v>
      </c>
      <c r="E704" t="s">
        <v>242</v>
      </c>
      <c r="F704" t="s">
        <v>663</v>
      </c>
      <c r="G704">
        <v>2015</v>
      </c>
      <c r="H704" s="12">
        <v>16.829999999999998</v>
      </c>
      <c r="I704" t="s">
        <v>3183</v>
      </c>
      <c r="J704" t="s">
        <v>394</v>
      </c>
      <c r="K704" t="s">
        <v>147</v>
      </c>
      <c r="L704" t="s">
        <v>3184</v>
      </c>
      <c r="M704" t="s">
        <v>16</v>
      </c>
    </row>
    <row r="705" spans="1:13">
      <c r="A705" t="s">
        <v>851</v>
      </c>
      <c r="B705" t="s">
        <v>686</v>
      </c>
      <c r="C705" t="s">
        <v>686</v>
      </c>
      <c r="D705" t="s">
        <v>23</v>
      </c>
      <c r="E705" t="s">
        <v>242</v>
      </c>
      <c r="F705" t="s">
        <v>663</v>
      </c>
      <c r="G705">
        <v>2020</v>
      </c>
      <c r="H705" s="12">
        <v>5.0999999999999996</v>
      </c>
      <c r="I705" t="s">
        <v>3183</v>
      </c>
      <c r="J705" t="s">
        <v>394</v>
      </c>
      <c r="K705" t="s">
        <v>147</v>
      </c>
      <c r="L705" t="s">
        <v>3184</v>
      </c>
      <c r="M705" t="s">
        <v>16</v>
      </c>
    </row>
    <row r="706" spans="1:13">
      <c r="A706" t="s">
        <v>851</v>
      </c>
      <c r="B706" t="s">
        <v>686</v>
      </c>
      <c r="C706" t="s">
        <v>686</v>
      </c>
      <c r="D706" t="s">
        <v>23</v>
      </c>
      <c r="E706" t="s">
        <v>242</v>
      </c>
      <c r="F706" t="s">
        <v>663</v>
      </c>
      <c r="G706">
        <v>2030</v>
      </c>
      <c r="H706" s="12">
        <v>8.82</v>
      </c>
      <c r="I706" t="s">
        <v>3183</v>
      </c>
      <c r="J706" t="s">
        <v>394</v>
      </c>
      <c r="K706" t="s">
        <v>147</v>
      </c>
      <c r="L706" t="s">
        <v>3184</v>
      </c>
      <c r="M706" t="s">
        <v>16</v>
      </c>
    </row>
    <row r="707" spans="1:13">
      <c r="A707" t="s">
        <v>851</v>
      </c>
      <c r="B707" t="s">
        <v>686</v>
      </c>
      <c r="C707" t="s">
        <v>686</v>
      </c>
      <c r="D707" t="s">
        <v>23</v>
      </c>
      <c r="E707" t="s">
        <v>242</v>
      </c>
      <c r="F707" t="s">
        <v>663</v>
      </c>
      <c r="G707">
        <v>2035</v>
      </c>
      <c r="H707" s="12">
        <v>7.82</v>
      </c>
      <c r="I707" t="s">
        <v>3183</v>
      </c>
      <c r="J707" t="s">
        <v>394</v>
      </c>
      <c r="K707" t="s">
        <v>147</v>
      </c>
      <c r="L707" t="s">
        <v>3184</v>
      </c>
      <c r="M707" t="s">
        <v>16</v>
      </c>
    </row>
    <row r="708" spans="1:13">
      <c r="A708" t="s">
        <v>851</v>
      </c>
      <c r="B708" t="s">
        <v>686</v>
      </c>
      <c r="C708" t="s">
        <v>686</v>
      </c>
      <c r="D708" t="s">
        <v>23</v>
      </c>
      <c r="E708" t="s">
        <v>242</v>
      </c>
      <c r="F708" t="s">
        <v>663</v>
      </c>
      <c r="G708">
        <v>2040</v>
      </c>
      <c r="H708" s="12">
        <v>6.88</v>
      </c>
      <c r="I708" t="s">
        <v>3183</v>
      </c>
      <c r="J708" t="s">
        <v>394</v>
      </c>
      <c r="K708" t="s">
        <v>147</v>
      </c>
      <c r="L708" t="s">
        <v>3184</v>
      </c>
      <c r="M708" t="s">
        <v>16</v>
      </c>
    </row>
    <row r="709" spans="1:13">
      <c r="A709" t="s">
        <v>851</v>
      </c>
      <c r="B709" t="s">
        <v>686</v>
      </c>
      <c r="C709" t="s">
        <v>686</v>
      </c>
      <c r="D709" t="s">
        <v>23</v>
      </c>
      <c r="E709" t="s">
        <v>242</v>
      </c>
      <c r="F709" t="s">
        <v>663</v>
      </c>
      <c r="G709">
        <v>2045</v>
      </c>
      <c r="H709" s="12">
        <v>4.33</v>
      </c>
      <c r="I709" t="s">
        <v>3183</v>
      </c>
      <c r="J709" t="s">
        <v>394</v>
      </c>
      <c r="K709" t="s">
        <v>147</v>
      </c>
      <c r="L709" t="s">
        <v>3184</v>
      </c>
      <c r="M709" t="s">
        <v>16</v>
      </c>
    </row>
    <row r="710" spans="1:13">
      <c r="A710" t="s">
        <v>851</v>
      </c>
      <c r="B710" t="s">
        <v>686</v>
      </c>
      <c r="C710" t="s">
        <v>686</v>
      </c>
      <c r="D710" t="s">
        <v>23</v>
      </c>
      <c r="E710" t="s">
        <v>242</v>
      </c>
      <c r="F710" t="s">
        <v>663</v>
      </c>
      <c r="G710">
        <v>2050</v>
      </c>
      <c r="H710" s="12">
        <v>3.29</v>
      </c>
      <c r="I710" t="s">
        <v>3183</v>
      </c>
      <c r="J710" t="s">
        <v>394</v>
      </c>
      <c r="K710" t="s">
        <v>147</v>
      </c>
      <c r="L710" t="s">
        <v>3184</v>
      </c>
      <c r="M710" t="s">
        <v>16</v>
      </c>
    </row>
    <row r="711" spans="1:13">
      <c r="A711" t="s">
        <v>851</v>
      </c>
      <c r="B711" t="s">
        <v>687</v>
      </c>
      <c r="C711" t="s">
        <v>687</v>
      </c>
      <c r="D711" t="s">
        <v>23</v>
      </c>
      <c r="E711" t="s">
        <v>242</v>
      </c>
      <c r="F711" t="s">
        <v>663</v>
      </c>
      <c r="G711">
        <v>2030</v>
      </c>
      <c r="H711" s="12">
        <v>4.8600000000000003</v>
      </c>
      <c r="I711" t="s">
        <v>3183</v>
      </c>
      <c r="J711" t="s">
        <v>394</v>
      </c>
      <c r="K711" t="s">
        <v>147</v>
      </c>
      <c r="L711" t="s">
        <v>3184</v>
      </c>
      <c r="M711" t="s">
        <v>16</v>
      </c>
    </row>
    <row r="712" spans="1:13">
      <c r="A712" t="s">
        <v>851</v>
      </c>
      <c r="B712" t="s">
        <v>687</v>
      </c>
      <c r="C712" t="s">
        <v>687</v>
      </c>
      <c r="D712" t="s">
        <v>23</v>
      </c>
      <c r="E712" t="s">
        <v>242</v>
      </c>
      <c r="F712" t="s">
        <v>663</v>
      </c>
      <c r="G712">
        <v>2035</v>
      </c>
      <c r="H712" s="12">
        <v>4.2300000000000004</v>
      </c>
      <c r="I712" t="s">
        <v>3183</v>
      </c>
      <c r="J712" t="s">
        <v>394</v>
      </c>
      <c r="K712" t="s">
        <v>147</v>
      </c>
      <c r="L712" t="s">
        <v>3184</v>
      </c>
      <c r="M712" t="s">
        <v>16</v>
      </c>
    </row>
    <row r="713" spans="1:13">
      <c r="A713" t="s">
        <v>851</v>
      </c>
      <c r="B713" t="s">
        <v>687</v>
      </c>
      <c r="C713" t="s">
        <v>687</v>
      </c>
      <c r="D713" t="s">
        <v>23</v>
      </c>
      <c r="E713" t="s">
        <v>242</v>
      </c>
      <c r="F713" t="s">
        <v>663</v>
      </c>
      <c r="G713">
        <v>2040</v>
      </c>
      <c r="H713" s="12">
        <v>3.66</v>
      </c>
      <c r="I713" t="s">
        <v>3183</v>
      </c>
      <c r="J713" t="s">
        <v>394</v>
      </c>
      <c r="K713" t="s">
        <v>147</v>
      </c>
      <c r="L713" t="s">
        <v>3184</v>
      </c>
      <c r="M713" t="s">
        <v>16</v>
      </c>
    </row>
    <row r="714" spans="1:13">
      <c r="A714" t="s">
        <v>851</v>
      </c>
      <c r="B714" t="s">
        <v>687</v>
      </c>
      <c r="C714" t="s">
        <v>687</v>
      </c>
      <c r="D714" t="s">
        <v>23</v>
      </c>
      <c r="E714" t="s">
        <v>242</v>
      </c>
      <c r="F714" t="s">
        <v>663</v>
      </c>
      <c r="G714">
        <v>2045</v>
      </c>
      <c r="H714" s="12">
        <v>0</v>
      </c>
      <c r="I714" t="s">
        <v>3183</v>
      </c>
      <c r="J714" t="s">
        <v>394</v>
      </c>
      <c r="K714" t="s">
        <v>147</v>
      </c>
      <c r="L714" t="s">
        <v>3184</v>
      </c>
      <c r="M714" t="s">
        <v>16</v>
      </c>
    </row>
    <row r="715" spans="1:13">
      <c r="A715" t="s">
        <v>851</v>
      </c>
      <c r="B715" t="s">
        <v>687</v>
      </c>
      <c r="C715" t="s">
        <v>687</v>
      </c>
      <c r="D715" t="s">
        <v>23</v>
      </c>
      <c r="E715" t="s">
        <v>242</v>
      </c>
      <c r="F715" t="s">
        <v>663</v>
      </c>
      <c r="G715">
        <v>2050</v>
      </c>
      <c r="H715" s="12">
        <v>0</v>
      </c>
      <c r="I715" t="s">
        <v>3183</v>
      </c>
      <c r="J715" t="s">
        <v>394</v>
      </c>
      <c r="K715" t="s">
        <v>147</v>
      </c>
      <c r="L715" t="s">
        <v>3184</v>
      </c>
      <c r="M715" t="s">
        <v>16</v>
      </c>
    </row>
    <row r="716" spans="1:13">
      <c r="A716" t="s">
        <v>851</v>
      </c>
      <c r="B716" t="s">
        <v>686</v>
      </c>
      <c r="C716" t="s">
        <v>686</v>
      </c>
      <c r="D716" t="s">
        <v>23</v>
      </c>
      <c r="E716" t="s">
        <v>242</v>
      </c>
      <c r="F716" t="s">
        <v>663</v>
      </c>
      <c r="G716">
        <v>2010</v>
      </c>
      <c r="H716" s="12">
        <v>58.41</v>
      </c>
      <c r="I716" t="s">
        <v>3183</v>
      </c>
      <c r="J716" t="s">
        <v>6</v>
      </c>
      <c r="K716" t="s">
        <v>147</v>
      </c>
      <c r="L716" t="s">
        <v>3184</v>
      </c>
      <c r="M716" t="s">
        <v>659</v>
      </c>
    </row>
    <row r="717" spans="1:13">
      <c r="A717" t="s">
        <v>851</v>
      </c>
      <c r="B717" t="s">
        <v>686</v>
      </c>
      <c r="C717" t="s">
        <v>686</v>
      </c>
      <c r="D717" t="s">
        <v>23</v>
      </c>
      <c r="E717" t="s">
        <v>242</v>
      </c>
      <c r="F717" t="s">
        <v>663</v>
      </c>
      <c r="G717">
        <v>2015</v>
      </c>
      <c r="H717" s="12">
        <v>32.590000000000003</v>
      </c>
      <c r="I717" t="s">
        <v>3183</v>
      </c>
      <c r="J717" t="s">
        <v>6</v>
      </c>
      <c r="K717" t="s">
        <v>147</v>
      </c>
      <c r="L717" t="s">
        <v>3184</v>
      </c>
      <c r="M717" t="s">
        <v>659</v>
      </c>
    </row>
    <row r="718" spans="1:13">
      <c r="A718" t="s">
        <v>851</v>
      </c>
      <c r="B718" t="s">
        <v>686</v>
      </c>
      <c r="C718" t="s">
        <v>686</v>
      </c>
      <c r="D718" t="s">
        <v>23</v>
      </c>
      <c r="E718" t="s">
        <v>242</v>
      </c>
      <c r="F718" t="s">
        <v>663</v>
      </c>
      <c r="G718">
        <v>2020</v>
      </c>
      <c r="H718" s="12">
        <v>32.659999999999997</v>
      </c>
      <c r="I718" t="s">
        <v>3183</v>
      </c>
      <c r="J718" t="s">
        <v>6</v>
      </c>
      <c r="K718" t="s">
        <v>147</v>
      </c>
      <c r="L718" t="s">
        <v>3184</v>
      </c>
      <c r="M718" t="s">
        <v>659</v>
      </c>
    </row>
    <row r="719" spans="1:13">
      <c r="A719" t="s">
        <v>851</v>
      </c>
      <c r="B719" t="s">
        <v>686</v>
      </c>
      <c r="C719" t="s">
        <v>686</v>
      </c>
      <c r="D719" t="s">
        <v>23</v>
      </c>
      <c r="E719" t="s">
        <v>242</v>
      </c>
      <c r="F719" t="s">
        <v>663</v>
      </c>
      <c r="G719">
        <v>2030</v>
      </c>
      <c r="H719" s="12">
        <v>54.25</v>
      </c>
      <c r="I719" t="s">
        <v>3183</v>
      </c>
      <c r="J719" t="s">
        <v>6</v>
      </c>
      <c r="K719" t="s">
        <v>147</v>
      </c>
      <c r="L719" t="s">
        <v>3184</v>
      </c>
      <c r="M719" t="s">
        <v>659</v>
      </c>
    </row>
    <row r="720" spans="1:13">
      <c r="A720" t="s">
        <v>851</v>
      </c>
      <c r="B720" t="s">
        <v>686</v>
      </c>
      <c r="C720" t="s">
        <v>686</v>
      </c>
      <c r="D720" t="s">
        <v>23</v>
      </c>
      <c r="E720" t="s">
        <v>242</v>
      </c>
      <c r="F720" t="s">
        <v>663</v>
      </c>
      <c r="G720">
        <v>2035</v>
      </c>
      <c r="H720" s="12">
        <v>59.83</v>
      </c>
      <c r="I720" t="s">
        <v>3183</v>
      </c>
      <c r="J720" t="s">
        <v>6</v>
      </c>
      <c r="K720" t="s">
        <v>147</v>
      </c>
      <c r="L720" t="s">
        <v>3184</v>
      </c>
      <c r="M720" t="s">
        <v>659</v>
      </c>
    </row>
    <row r="721" spans="1:13">
      <c r="A721" t="s">
        <v>851</v>
      </c>
      <c r="B721" t="s">
        <v>686</v>
      </c>
      <c r="C721" t="s">
        <v>686</v>
      </c>
      <c r="D721" t="s">
        <v>23</v>
      </c>
      <c r="E721" t="s">
        <v>656</v>
      </c>
      <c r="F721" t="s">
        <v>31</v>
      </c>
      <c r="G721">
        <v>2030</v>
      </c>
      <c r="H721" s="12">
        <v>279.19</v>
      </c>
      <c r="I721" t="s">
        <v>3183</v>
      </c>
      <c r="J721" t="s">
        <v>17</v>
      </c>
      <c r="K721" t="s">
        <v>147</v>
      </c>
      <c r="L721" t="s">
        <v>3184</v>
      </c>
      <c r="M721" t="s">
        <v>671</v>
      </c>
    </row>
    <row r="722" spans="1:13">
      <c r="A722" t="s">
        <v>851</v>
      </c>
      <c r="B722" t="s">
        <v>686</v>
      </c>
      <c r="C722" t="s">
        <v>686</v>
      </c>
      <c r="D722" t="s">
        <v>23</v>
      </c>
      <c r="E722" t="s">
        <v>656</v>
      </c>
      <c r="F722" t="s">
        <v>31</v>
      </c>
      <c r="G722">
        <v>2035</v>
      </c>
      <c r="H722" s="12">
        <v>519.12</v>
      </c>
      <c r="I722" t="s">
        <v>3183</v>
      </c>
      <c r="J722" t="s">
        <v>17</v>
      </c>
      <c r="K722" t="s">
        <v>147</v>
      </c>
      <c r="L722" t="s">
        <v>3184</v>
      </c>
      <c r="M722" t="s">
        <v>671</v>
      </c>
    </row>
    <row r="723" spans="1:13">
      <c r="A723" t="s">
        <v>851</v>
      </c>
      <c r="B723" t="s">
        <v>686</v>
      </c>
      <c r="C723" t="s">
        <v>686</v>
      </c>
      <c r="D723" t="s">
        <v>23</v>
      </c>
      <c r="E723" t="s">
        <v>656</v>
      </c>
      <c r="F723" t="s">
        <v>31</v>
      </c>
      <c r="G723">
        <v>2040</v>
      </c>
      <c r="H723" s="12">
        <v>802.21</v>
      </c>
      <c r="I723" t="s">
        <v>3183</v>
      </c>
      <c r="J723" t="s">
        <v>17</v>
      </c>
      <c r="K723" t="s">
        <v>147</v>
      </c>
      <c r="L723" t="s">
        <v>3184</v>
      </c>
      <c r="M723" t="s">
        <v>671</v>
      </c>
    </row>
    <row r="724" spans="1:13">
      <c r="A724" t="s">
        <v>851</v>
      </c>
      <c r="B724" t="s">
        <v>686</v>
      </c>
      <c r="C724" t="s">
        <v>686</v>
      </c>
      <c r="D724" t="s">
        <v>23</v>
      </c>
      <c r="E724" t="s">
        <v>656</v>
      </c>
      <c r="F724" t="s">
        <v>31</v>
      </c>
      <c r="G724">
        <v>2045</v>
      </c>
      <c r="H724" s="12">
        <v>1038.23</v>
      </c>
      <c r="I724" t="s">
        <v>3183</v>
      </c>
      <c r="J724" t="s">
        <v>17</v>
      </c>
      <c r="K724" t="s">
        <v>147</v>
      </c>
      <c r="L724" t="s">
        <v>3184</v>
      </c>
      <c r="M724" t="s">
        <v>671</v>
      </c>
    </row>
    <row r="725" spans="1:13">
      <c r="A725" t="s">
        <v>851</v>
      </c>
      <c r="B725" t="s">
        <v>686</v>
      </c>
      <c r="C725" t="s">
        <v>686</v>
      </c>
      <c r="D725" t="s">
        <v>23</v>
      </c>
      <c r="E725" t="s">
        <v>656</v>
      </c>
      <c r="F725" t="s">
        <v>31</v>
      </c>
      <c r="G725">
        <v>2050</v>
      </c>
      <c r="H725" s="12">
        <v>1202.9100000000001</v>
      </c>
      <c r="I725" t="s">
        <v>3183</v>
      </c>
      <c r="J725" t="s">
        <v>17</v>
      </c>
      <c r="K725" t="s">
        <v>147</v>
      </c>
      <c r="L725" t="s">
        <v>3184</v>
      </c>
      <c r="M725" t="s">
        <v>671</v>
      </c>
    </row>
    <row r="726" spans="1:13">
      <c r="A726" t="s">
        <v>851</v>
      </c>
      <c r="B726" t="s">
        <v>687</v>
      </c>
      <c r="C726" t="s">
        <v>687</v>
      </c>
      <c r="D726" t="s">
        <v>23</v>
      </c>
      <c r="E726" t="s">
        <v>656</v>
      </c>
      <c r="F726" t="s">
        <v>31</v>
      </c>
      <c r="G726">
        <v>2030</v>
      </c>
      <c r="H726" s="12">
        <v>293.94</v>
      </c>
      <c r="I726" t="s">
        <v>3183</v>
      </c>
      <c r="J726" t="s">
        <v>17</v>
      </c>
      <c r="K726" t="s">
        <v>147</v>
      </c>
      <c r="L726" t="s">
        <v>3184</v>
      </c>
      <c r="M726" t="s">
        <v>671</v>
      </c>
    </row>
    <row r="727" spans="1:13">
      <c r="A727" t="s">
        <v>851</v>
      </c>
      <c r="B727" t="s">
        <v>687</v>
      </c>
      <c r="C727" t="s">
        <v>687</v>
      </c>
      <c r="D727" t="s">
        <v>23</v>
      </c>
      <c r="E727" t="s">
        <v>656</v>
      </c>
      <c r="F727" t="s">
        <v>31</v>
      </c>
      <c r="G727">
        <v>2035</v>
      </c>
      <c r="H727" s="12">
        <v>616.88</v>
      </c>
      <c r="I727" t="s">
        <v>3183</v>
      </c>
      <c r="J727" t="s">
        <v>17</v>
      </c>
      <c r="K727" t="s">
        <v>147</v>
      </c>
      <c r="L727" t="s">
        <v>3184</v>
      </c>
      <c r="M727" t="s">
        <v>671</v>
      </c>
    </row>
    <row r="728" spans="1:13">
      <c r="A728" t="s">
        <v>851</v>
      </c>
      <c r="B728" t="s">
        <v>686</v>
      </c>
      <c r="C728" t="s">
        <v>686</v>
      </c>
      <c r="D728" t="s">
        <v>23</v>
      </c>
      <c r="E728" t="s">
        <v>656</v>
      </c>
      <c r="F728" t="s">
        <v>31</v>
      </c>
      <c r="G728">
        <v>2030</v>
      </c>
      <c r="H728" s="12">
        <v>18.05</v>
      </c>
      <c r="I728" t="s">
        <v>3183</v>
      </c>
      <c r="J728" t="s">
        <v>15</v>
      </c>
      <c r="K728" t="s">
        <v>147</v>
      </c>
      <c r="L728" t="s">
        <v>3184</v>
      </c>
      <c r="M728" t="s">
        <v>15</v>
      </c>
    </row>
    <row r="729" spans="1:13">
      <c r="A729" t="s">
        <v>851</v>
      </c>
      <c r="B729" t="s">
        <v>686</v>
      </c>
      <c r="C729" t="s">
        <v>686</v>
      </c>
      <c r="D729" t="s">
        <v>23</v>
      </c>
      <c r="E729" t="s">
        <v>656</v>
      </c>
      <c r="F729" t="s">
        <v>31</v>
      </c>
      <c r="G729">
        <v>2035</v>
      </c>
      <c r="H729" s="12">
        <v>26.58</v>
      </c>
      <c r="I729" t="s">
        <v>3183</v>
      </c>
      <c r="J729" t="s">
        <v>15</v>
      </c>
      <c r="K729" t="s">
        <v>147</v>
      </c>
      <c r="L729" t="s">
        <v>3184</v>
      </c>
      <c r="M729" t="s">
        <v>15</v>
      </c>
    </row>
    <row r="730" spans="1:13">
      <c r="A730" t="s">
        <v>851</v>
      </c>
      <c r="B730" t="s">
        <v>686</v>
      </c>
      <c r="C730" t="s">
        <v>686</v>
      </c>
      <c r="D730" t="s">
        <v>23</v>
      </c>
      <c r="E730" t="s">
        <v>656</v>
      </c>
      <c r="F730" t="s">
        <v>31</v>
      </c>
      <c r="G730">
        <v>2040</v>
      </c>
      <c r="H730" s="12">
        <v>33.46</v>
      </c>
      <c r="I730" t="s">
        <v>3183</v>
      </c>
      <c r="J730" t="s">
        <v>15</v>
      </c>
      <c r="K730" t="s">
        <v>147</v>
      </c>
      <c r="L730" t="s">
        <v>3184</v>
      </c>
      <c r="M730" t="s">
        <v>15</v>
      </c>
    </row>
    <row r="731" spans="1:13">
      <c r="A731" t="s">
        <v>851</v>
      </c>
      <c r="B731" t="s">
        <v>686</v>
      </c>
      <c r="C731" t="s">
        <v>686</v>
      </c>
      <c r="D731" t="s">
        <v>23</v>
      </c>
      <c r="E731" t="s">
        <v>656</v>
      </c>
      <c r="F731" t="s">
        <v>31</v>
      </c>
      <c r="G731">
        <v>2045</v>
      </c>
      <c r="H731" s="12">
        <v>38.46</v>
      </c>
      <c r="I731" t="s">
        <v>3183</v>
      </c>
      <c r="J731" t="s">
        <v>15</v>
      </c>
      <c r="K731" t="s">
        <v>147</v>
      </c>
      <c r="L731" t="s">
        <v>3184</v>
      </c>
      <c r="M731" t="s">
        <v>15</v>
      </c>
    </row>
    <row r="732" spans="1:13">
      <c r="A732" t="s">
        <v>851</v>
      </c>
      <c r="B732" t="s">
        <v>686</v>
      </c>
      <c r="C732" t="s">
        <v>686</v>
      </c>
      <c r="D732" t="s">
        <v>23</v>
      </c>
      <c r="E732" t="s">
        <v>656</v>
      </c>
      <c r="F732" t="s">
        <v>31</v>
      </c>
      <c r="G732">
        <v>2050</v>
      </c>
      <c r="H732" s="12">
        <v>43.46</v>
      </c>
      <c r="I732" t="s">
        <v>3183</v>
      </c>
      <c r="J732" t="s">
        <v>15</v>
      </c>
      <c r="K732" t="s">
        <v>147</v>
      </c>
      <c r="L732" t="s">
        <v>3184</v>
      </c>
      <c r="M732" t="s">
        <v>15</v>
      </c>
    </row>
    <row r="733" spans="1:13">
      <c r="A733" t="s">
        <v>851</v>
      </c>
      <c r="B733" t="s">
        <v>687</v>
      </c>
      <c r="C733" t="s">
        <v>687</v>
      </c>
      <c r="D733" t="s">
        <v>23</v>
      </c>
      <c r="E733" t="s">
        <v>656</v>
      </c>
      <c r="F733" t="s">
        <v>31</v>
      </c>
      <c r="G733">
        <v>2030</v>
      </c>
      <c r="H733" s="12">
        <v>18.47</v>
      </c>
      <c r="I733" t="s">
        <v>3183</v>
      </c>
      <c r="J733" t="s">
        <v>15</v>
      </c>
      <c r="K733" t="s">
        <v>147</v>
      </c>
      <c r="L733" t="s">
        <v>3184</v>
      </c>
      <c r="M733" t="s">
        <v>15</v>
      </c>
    </row>
    <row r="734" spans="1:13">
      <c r="A734" t="s">
        <v>851</v>
      </c>
      <c r="B734" t="s">
        <v>687</v>
      </c>
      <c r="C734" t="s">
        <v>687</v>
      </c>
      <c r="D734" t="s">
        <v>23</v>
      </c>
      <c r="E734" t="s">
        <v>656</v>
      </c>
      <c r="F734" t="s">
        <v>31</v>
      </c>
      <c r="G734">
        <v>2035</v>
      </c>
      <c r="H734" s="12">
        <v>28.34</v>
      </c>
      <c r="I734" t="s">
        <v>3183</v>
      </c>
      <c r="J734" t="s">
        <v>15</v>
      </c>
      <c r="K734" t="s">
        <v>147</v>
      </c>
      <c r="L734" t="s">
        <v>3184</v>
      </c>
      <c r="M734" t="s">
        <v>15</v>
      </c>
    </row>
    <row r="735" spans="1:13">
      <c r="A735" t="s">
        <v>851</v>
      </c>
      <c r="B735" t="s">
        <v>687</v>
      </c>
      <c r="C735" t="s">
        <v>687</v>
      </c>
      <c r="D735" t="s">
        <v>23</v>
      </c>
      <c r="E735" t="s">
        <v>656</v>
      </c>
      <c r="F735" t="s">
        <v>31</v>
      </c>
      <c r="G735">
        <v>2040</v>
      </c>
      <c r="H735" s="12">
        <v>38.22</v>
      </c>
      <c r="I735" t="s">
        <v>3183</v>
      </c>
      <c r="J735" t="s">
        <v>15</v>
      </c>
      <c r="K735" t="s">
        <v>147</v>
      </c>
      <c r="L735" t="s">
        <v>3184</v>
      </c>
      <c r="M735" t="s">
        <v>15</v>
      </c>
    </row>
    <row r="736" spans="1:13">
      <c r="A736" t="s">
        <v>851</v>
      </c>
      <c r="B736" t="s">
        <v>687</v>
      </c>
      <c r="C736" t="s">
        <v>687</v>
      </c>
      <c r="D736" t="s">
        <v>23</v>
      </c>
      <c r="E736" t="s">
        <v>656</v>
      </c>
      <c r="F736" t="s">
        <v>31</v>
      </c>
      <c r="G736">
        <v>2045</v>
      </c>
      <c r="H736" s="12">
        <v>43.69</v>
      </c>
      <c r="I736" t="s">
        <v>3183</v>
      </c>
      <c r="J736" t="s">
        <v>15</v>
      </c>
      <c r="K736" t="s">
        <v>147</v>
      </c>
      <c r="L736" t="s">
        <v>3184</v>
      </c>
      <c r="M736" t="s">
        <v>15</v>
      </c>
    </row>
    <row r="737" spans="1:13">
      <c r="A737" t="s">
        <v>851</v>
      </c>
      <c r="B737" t="s">
        <v>687</v>
      </c>
      <c r="C737" t="s">
        <v>687</v>
      </c>
      <c r="D737" t="s">
        <v>23</v>
      </c>
      <c r="E737" t="s">
        <v>656</v>
      </c>
      <c r="F737" t="s">
        <v>31</v>
      </c>
      <c r="G737">
        <v>2050</v>
      </c>
      <c r="H737" s="12">
        <v>45.75</v>
      </c>
      <c r="I737" t="s">
        <v>3183</v>
      </c>
      <c r="J737" t="s">
        <v>15</v>
      </c>
      <c r="K737" t="s">
        <v>147</v>
      </c>
      <c r="L737" t="s">
        <v>3184</v>
      </c>
      <c r="M737" t="s">
        <v>15</v>
      </c>
    </row>
    <row r="738" spans="1:13">
      <c r="A738" t="s">
        <v>851</v>
      </c>
      <c r="B738" t="s">
        <v>686</v>
      </c>
      <c r="C738" t="s">
        <v>686</v>
      </c>
      <c r="D738" t="s">
        <v>23</v>
      </c>
      <c r="E738" t="s">
        <v>656</v>
      </c>
      <c r="F738" t="s">
        <v>31</v>
      </c>
      <c r="G738">
        <v>2010</v>
      </c>
      <c r="H738" s="12">
        <v>0</v>
      </c>
      <c r="I738" t="s">
        <v>3183</v>
      </c>
      <c r="J738" t="s">
        <v>8</v>
      </c>
      <c r="K738" t="s">
        <v>147</v>
      </c>
      <c r="L738" t="s">
        <v>3184</v>
      </c>
      <c r="M738" t="s">
        <v>670</v>
      </c>
    </row>
    <row r="739" spans="1:13">
      <c r="A739" t="s">
        <v>851</v>
      </c>
      <c r="B739" t="s">
        <v>686</v>
      </c>
      <c r="C739" t="s">
        <v>686</v>
      </c>
      <c r="D739" t="s">
        <v>23</v>
      </c>
      <c r="E739" t="s">
        <v>656</v>
      </c>
      <c r="F739" t="s">
        <v>31</v>
      </c>
      <c r="G739">
        <v>2015</v>
      </c>
      <c r="H739" s="12">
        <v>0</v>
      </c>
      <c r="I739" t="s">
        <v>3183</v>
      </c>
      <c r="J739" t="s">
        <v>8</v>
      </c>
      <c r="K739" t="s">
        <v>147</v>
      </c>
      <c r="L739" t="s">
        <v>3184</v>
      </c>
      <c r="M739" t="s">
        <v>670</v>
      </c>
    </row>
    <row r="740" spans="1:13">
      <c r="A740" t="s">
        <v>851</v>
      </c>
      <c r="B740" t="s">
        <v>686</v>
      </c>
      <c r="C740" t="s">
        <v>686</v>
      </c>
      <c r="D740" t="s">
        <v>23</v>
      </c>
      <c r="E740" t="s">
        <v>656</v>
      </c>
      <c r="F740" t="s">
        <v>31</v>
      </c>
      <c r="G740">
        <v>2020</v>
      </c>
      <c r="H740" s="12">
        <v>0</v>
      </c>
      <c r="I740" t="s">
        <v>3183</v>
      </c>
      <c r="J740" t="s">
        <v>8</v>
      </c>
      <c r="K740" t="s">
        <v>147</v>
      </c>
      <c r="L740" t="s">
        <v>3184</v>
      </c>
      <c r="M740" t="s">
        <v>670</v>
      </c>
    </row>
    <row r="741" spans="1:13">
      <c r="A741" t="s">
        <v>851</v>
      </c>
      <c r="B741" t="s">
        <v>686</v>
      </c>
      <c r="C741" t="s">
        <v>686</v>
      </c>
      <c r="D741" t="s">
        <v>23</v>
      </c>
      <c r="E741" t="s">
        <v>656</v>
      </c>
      <c r="F741" t="s">
        <v>31</v>
      </c>
      <c r="G741">
        <v>2030</v>
      </c>
      <c r="H741" s="12">
        <v>0</v>
      </c>
      <c r="I741" t="s">
        <v>3183</v>
      </c>
      <c r="J741" t="s">
        <v>8</v>
      </c>
      <c r="K741" t="s">
        <v>147</v>
      </c>
      <c r="L741" t="s">
        <v>3184</v>
      </c>
      <c r="M741" t="s">
        <v>670</v>
      </c>
    </row>
    <row r="742" spans="1:13">
      <c r="A742" t="s">
        <v>851</v>
      </c>
      <c r="B742" t="s">
        <v>686</v>
      </c>
      <c r="C742" t="s">
        <v>686</v>
      </c>
      <c r="D742" t="s">
        <v>23</v>
      </c>
      <c r="E742" t="s">
        <v>656</v>
      </c>
      <c r="F742" t="s">
        <v>31</v>
      </c>
      <c r="G742">
        <v>2035</v>
      </c>
      <c r="H742" s="12">
        <v>0</v>
      </c>
      <c r="I742" t="s">
        <v>3183</v>
      </c>
      <c r="J742" t="s">
        <v>8</v>
      </c>
      <c r="K742" t="s">
        <v>147</v>
      </c>
      <c r="L742" t="s">
        <v>3184</v>
      </c>
      <c r="M742" t="s">
        <v>670</v>
      </c>
    </row>
    <row r="743" spans="1:13">
      <c r="A743" t="s">
        <v>851</v>
      </c>
      <c r="B743" t="s">
        <v>686</v>
      </c>
      <c r="C743" t="s">
        <v>686</v>
      </c>
      <c r="D743" t="s">
        <v>23</v>
      </c>
      <c r="E743" t="s">
        <v>656</v>
      </c>
      <c r="F743" t="s">
        <v>31</v>
      </c>
      <c r="G743">
        <v>2040</v>
      </c>
      <c r="H743" s="12">
        <v>0</v>
      </c>
      <c r="I743" t="s">
        <v>3183</v>
      </c>
      <c r="J743" t="s">
        <v>8</v>
      </c>
      <c r="K743" t="s">
        <v>147</v>
      </c>
      <c r="L743" t="s">
        <v>3184</v>
      </c>
      <c r="M743" t="s">
        <v>670</v>
      </c>
    </row>
    <row r="744" spans="1:13">
      <c r="A744" t="s">
        <v>851</v>
      </c>
      <c r="B744" t="s">
        <v>686</v>
      </c>
      <c r="C744" t="s">
        <v>686</v>
      </c>
      <c r="D744" t="s">
        <v>23</v>
      </c>
      <c r="E744" t="s">
        <v>656</v>
      </c>
      <c r="F744" t="s">
        <v>31</v>
      </c>
      <c r="G744">
        <v>2045</v>
      </c>
      <c r="H744" s="12">
        <v>0</v>
      </c>
      <c r="I744" t="s">
        <v>3183</v>
      </c>
      <c r="J744" t="s">
        <v>8</v>
      </c>
      <c r="K744" t="s">
        <v>147</v>
      </c>
      <c r="L744" t="s">
        <v>3184</v>
      </c>
      <c r="M744" t="s">
        <v>670</v>
      </c>
    </row>
    <row r="745" spans="1:13">
      <c r="A745" t="s">
        <v>851</v>
      </c>
      <c r="B745" t="s">
        <v>686</v>
      </c>
      <c r="C745" t="s">
        <v>686</v>
      </c>
      <c r="D745" t="s">
        <v>23</v>
      </c>
      <c r="E745" t="s">
        <v>656</v>
      </c>
      <c r="F745" t="s">
        <v>31</v>
      </c>
      <c r="G745">
        <v>2050</v>
      </c>
      <c r="H745" s="12">
        <v>0</v>
      </c>
      <c r="I745" t="s">
        <v>3183</v>
      </c>
      <c r="J745" t="s">
        <v>8</v>
      </c>
      <c r="K745" t="s">
        <v>147</v>
      </c>
      <c r="L745" t="s">
        <v>3184</v>
      </c>
      <c r="M745" t="s">
        <v>670</v>
      </c>
    </row>
    <row r="746" spans="1:13">
      <c r="A746" t="s">
        <v>851</v>
      </c>
      <c r="B746" t="s">
        <v>687</v>
      </c>
      <c r="C746" t="s">
        <v>687</v>
      </c>
      <c r="D746" t="s">
        <v>23</v>
      </c>
      <c r="E746" t="s">
        <v>656</v>
      </c>
      <c r="F746" t="s">
        <v>31</v>
      </c>
      <c r="G746">
        <v>2030</v>
      </c>
      <c r="H746" s="12">
        <v>0</v>
      </c>
      <c r="I746" t="s">
        <v>3183</v>
      </c>
      <c r="J746" t="s">
        <v>8</v>
      </c>
      <c r="K746" t="s">
        <v>147</v>
      </c>
      <c r="L746" t="s">
        <v>3184</v>
      </c>
      <c r="M746" t="s">
        <v>670</v>
      </c>
    </row>
    <row r="747" spans="1:13">
      <c r="A747" t="s">
        <v>851</v>
      </c>
      <c r="B747" t="s">
        <v>687</v>
      </c>
      <c r="C747" t="s">
        <v>687</v>
      </c>
      <c r="D747" t="s">
        <v>23</v>
      </c>
      <c r="E747" t="s">
        <v>656</v>
      </c>
      <c r="F747" t="s">
        <v>31</v>
      </c>
      <c r="G747">
        <v>2035</v>
      </c>
      <c r="H747" s="12">
        <v>0</v>
      </c>
      <c r="I747" t="s">
        <v>3183</v>
      </c>
      <c r="J747" t="s">
        <v>8</v>
      </c>
      <c r="K747" t="s">
        <v>147</v>
      </c>
      <c r="L747" t="s">
        <v>3184</v>
      </c>
      <c r="M747" t="s">
        <v>670</v>
      </c>
    </row>
    <row r="748" spans="1:13">
      <c r="A748" t="s">
        <v>851</v>
      </c>
      <c r="B748" t="s">
        <v>687</v>
      </c>
      <c r="C748" t="s">
        <v>687</v>
      </c>
      <c r="D748" t="s">
        <v>23</v>
      </c>
      <c r="E748" t="s">
        <v>656</v>
      </c>
      <c r="F748" t="s">
        <v>31</v>
      </c>
      <c r="G748">
        <v>2040</v>
      </c>
      <c r="H748" s="12">
        <v>1.85</v>
      </c>
      <c r="I748" t="s">
        <v>3183</v>
      </c>
      <c r="J748" t="s">
        <v>8</v>
      </c>
      <c r="K748" t="s">
        <v>147</v>
      </c>
      <c r="L748" t="s">
        <v>3184</v>
      </c>
      <c r="M748" t="s">
        <v>670</v>
      </c>
    </row>
    <row r="749" spans="1:13">
      <c r="A749" t="s">
        <v>851</v>
      </c>
      <c r="B749" t="s">
        <v>687</v>
      </c>
      <c r="C749" t="s">
        <v>687</v>
      </c>
      <c r="D749" t="s">
        <v>23</v>
      </c>
      <c r="E749" t="s">
        <v>656</v>
      </c>
      <c r="F749" t="s">
        <v>31</v>
      </c>
      <c r="G749">
        <v>2045</v>
      </c>
      <c r="H749" s="12">
        <v>8.16</v>
      </c>
      <c r="I749" t="s">
        <v>3183</v>
      </c>
      <c r="J749" t="s">
        <v>8</v>
      </c>
      <c r="K749" t="s">
        <v>147</v>
      </c>
      <c r="L749" t="s">
        <v>3184</v>
      </c>
      <c r="M749" t="s">
        <v>670</v>
      </c>
    </row>
    <row r="750" spans="1:13">
      <c r="A750" t="s">
        <v>851</v>
      </c>
      <c r="B750" t="s">
        <v>687</v>
      </c>
      <c r="C750" t="s">
        <v>687</v>
      </c>
      <c r="D750" t="s">
        <v>23</v>
      </c>
      <c r="E750" t="s">
        <v>656</v>
      </c>
      <c r="F750" t="s">
        <v>31</v>
      </c>
      <c r="G750">
        <v>2050</v>
      </c>
      <c r="H750" s="12">
        <v>20.94</v>
      </c>
      <c r="I750" t="s">
        <v>3183</v>
      </c>
      <c r="J750" t="s">
        <v>8</v>
      </c>
      <c r="K750" t="s">
        <v>147</v>
      </c>
      <c r="L750" t="s">
        <v>3184</v>
      </c>
      <c r="M750" t="s">
        <v>670</v>
      </c>
    </row>
    <row r="751" spans="1:13">
      <c r="A751" t="s">
        <v>851</v>
      </c>
      <c r="B751" t="s">
        <v>686</v>
      </c>
      <c r="C751" t="s">
        <v>686</v>
      </c>
      <c r="D751" t="s">
        <v>23</v>
      </c>
      <c r="E751" t="s">
        <v>656</v>
      </c>
      <c r="F751" t="s">
        <v>31</v>
      </c>
      <c r="G751">
        <v>2010</v>
      </c>
      <c r="H751" s="12">
        <v>106.23</v>
      </c>
      <c r="I751" t="s">
        <v>3183</v>
      </c>
      <c r="J751" t="s">
        <v>5</v>
      </c>
      <c r="K751" t="s">
        <v>147</v>
      </c>
      <c r="L751" t="s">
        <v>3184</v>
      </c>
      <c r="M751" t="s">
        <v>665</v>
      </c>
    </row>
    <row r="752" spans="1:13">
      <c r="A752" t="s">
        <v>851</v>
      </c>
      <c r="B752" t="s">
        <v>686</v>
      </c>
      <c r="C752" t="s">
        <v>686</v>
      </c>
      <c r="D752" t="s">
        <v>23</v>
      </c>
      <c r="E752" t="s">
        <v>656</v>
      </c>
      <c r="F752" t="s">
        <v>31</v>
      </c>
      <c r="G752">
        <v>2015</v>
      </c>
      <c r="H752" s="12">
        <v>191.88</v>
      </c>
      <c r="I752" t="s">
        <v>3183</v>
      </c>
      <c r="J752" t="s">
        <v>5</v>
      </c>
      <c r="K752" t="s">
        <v>147</v>
      </c>
      <c r="L752" t="s">
        <v>3184</v>
      </c>
      <c r="M752" t="s">
        <v>665</v>
      </c>
    </row>
    <row r="753" spans="1:13">
      <c r="A753" t="s">
        <v>851</v>
      </c>
      <c r="B753" t="s">
        <v>686</v>
      </c>
      <c r="C753" t="s">
        <v>686</v>
      </c>
      <c r="D753" t="s">
        <v>23</v>
      </c>
      <c r="E753" t="s">
        <v>656</v>
      </c>
      <c r="F753" t="s">
        <v>31</v>
      </c>
      <c r="G753">
        <v>2020</v>
      </c>
      <c r="H753" s="12">
        <v>235</v>
      </c>
      <c r="I753" t="s">
        <v>3183</v>
      </c>
      <c r="J753" t="s">
        <v>5</v>
      </c>
      <c r="K753" t="s">
        <v>147</v>
      </c>
      <c r="L753" t="s">
        <v>3184</v>
      </c>
      <c r="M753" t="s">
        <v>665</v>
      </c>
    </row>
    <row r="754" spans="1:13">
      <c r="A754" t="s">
        <v>851</v>
      </c>
      <c r="B754" t="s">
        <v>686</v>
      </c>
      <c r="C754" t="s">
        <v>686</v>
      </c>
      <c r="D754" t="s">
        <v>23</v>
      </c>
      <c r="E754" t="s">
        <v>656</v>
      </c>
      <c r="F754" t="s">
        <v>31</v>
      </c>
      <c r="G754">
        <v>2030</v>
      </c>
      <c r="H754" s="12">
        <v>274.3</v>
      </c>
      <c r="I754" t="s">
        <v>3183</v>
      </c>
      <c r="J754" t="s">
        <v>5</v>
      </c>
      <c r="K754" t="s">
        <v>147</v>
      </c>
      <c r="L754" t="s">
        <v>3184</v>
      </c>
      <c r="M754" t="s">
        <v>665</v>
      </c>
    </row>
    <row r="755" spans="1:13">
      <c r="A755" t="s">
        <v>851</v>
      </c>
      <c r="B755" t="s">
        <v>686</v>
      </c>
      <c r="C755" t="s">
        <v>686</v>
      </c>
      <c r="D755" t="s">
        <v>23</v>
      </c>
      <c r="E755" t="s">
        <v>656</v>
      </c>
      <c r="F755" t="s">
        <v>31</v>
      </c>
      <c r="G755">
        <v>2035</v>
      </c>
      <c r="H755" s="12">
        <v>269.66000000000003</v>
      </c>
      <c r="I755" t="s">
        <v>3183</v>
      </c>
      <c r="J755" t="s">
        <v>5</v>
      </c>
      <c r="K755" t="s">
        <v>147</v>
      </c>
      <c r="L755" t="s">
        <v>3184</v>
      </c>
      <c r="M755" t="s">
        <v>665</v>
      </c>
    </row>
    <row r="756" spans="1:13">
      <c r="A756" t="s">
        <v>851</v>
      </c>
      <c r="B756" t="s">
        <v>686</v>
      </c>
      <c r="C756" t="s">
        <v>686</v>
      </c>
      <c r="D756" t="s">
        <v>23</v>
      </c>
      <c r="E756" t="s">
        <v>656</v>
      </c>
      <c r="F756" t="s">
        <v>31</v>
      </c>
      <c r="G756">
        <v>2040</v>
      </c>
      <c r="H756" s="12">
        <v>265.86</v>
      </c>
      <c r="I756" t="s">
        <v>3183</v>
      </c>
      <c r="J756" t="s">
        <v>5</v>
      </c>
      <c r="K756" t="s">
        <v>147</v>
      </c>
      <c r="L756" t="s">
        <v>3184</v>
      </c>
      <c r="M756" t="s">
        <v>665</v>
      </c>
    </row>
    <row r="757" spans="1:13">
      <c r="A757" t="s">
        <v>851</v>
      </c>
      <c r="B757" t="s">
        <v>686</v>
      </c>
      <c r="C757" t="s">
        <v>686</v>
      </c>
      <c r="D757" t="s">
        <v>23</v>
      </c>
      <c r="E757" t="s">
        <v>656</v>
      </c>
      <c r="F757" t="s">
        <v>31</v>
      </c>
      <c r="G757">
        <v>2045</v>
      </c>
      <c r="H757" s="12">
        <v>255.25</v>
      </c>
      <c r="I757" t="s">
        <v>3183</v>
      </c>
      <c r="J757" t="s">
        <v>5</v>
      </c>
      <c r="K757" t="s">
        <v>147</v>
      </c>
      <c r="L757" t="s">
        <v>3184</v>
      </c>
      <c r="M757" t="s">
        <v>665</v>
      </c>
    </row>
    <row r="758" spans="1:13">
      <c r="A758" t="s">
        <v>851</v>
      </c>
      <c r="B758" t="s">
        <v>686</v>
      </c>
      <c r="C758" t="s">
        <v>686</v>
      </c>
      <c r="D758" t="s">
        <v>23</v>
      </c>
      <c r="E758" t="s">
        <v>656</v>
      </c>
      <c r="F758" t="s">
        <v>31</v>
      </c>
      <c r="G758">
        <v>2050</v>
      </c>
      <c r="H758" s="12">
        <v>243.41</v>
      </c>
      <c r="I758" t="s">
        <v>3183</v>
      </c>
      <c r="J758" t="s">
        <v>5</v>
      </c>
      <c r="K758" t="s">
        <v>147</v>
      </c>
      <c r="L758" t="s">
        <v>3184</v>
      </c>
      <c r="M758" t="s">
        <v>665</v>
      </c>
    </row>
    <row r="759" spans="1:13">
      <c r="A759" t="s">
        <v>851</v>
      </c>
      <c r="B759" t="s">
        <v>687</v>
      </c>
      <c r="C759" t="s">
        <v>687</v>
      </c>
      <c r="D759" t="s">
        <v>23</v>
      </c>
      <c r="E759" t="s">
        <v>656</v>
      </c>
      <c r="F759" t="s">
        <v>31</v>
      </c>
      <c r="G759">
        <v>2030</v>
      </c>
      <c r="H759" s="12">
        <v>268.74</v>
      </c>
      <c r="I759" t="s">
        <v>3183</v>
      </c>
      <c r="J759" t="s">
        <v>5</v>
      </c>
      <c r="K759" t="s">
        <v>147</v>
      </c>
      <c r="L759" t="s">
        <v>3184</v>
      </c>
      <c r="M759" t="s">
        <v>665</v>
      </c>
    </row>
    <row r="760" spans="1:13">
      <c r="A760" t="s">
        <v>851</v>
      </c>
      <c r="B760" t="s">
        <v>687</v>
      </c>
      <c r="C760" t="s">
        <v>687</v>
      </c>
      <c r="D760" t="s">
        <v>23</v>
      </c>
      <c r="E760" t="s">
        <v>656</v>
      </c>
      <c r="F760" t="s">
        <v>31</v>
      </c>
      <c r="G760">
        <v>2035</v>
      </c>
      <c r="H760" s="12">
        <v>259</v>
      </c>
      <c r="I760" t="s">
        <v>3183</v>
      </c>
      <c r="J760" t="s">
        <v>5</v>
      </c>
      <c r="K760" t="s">
        <v>147</v>
      </c>
      <c r="L760" t="s">
        <v>3184</v>
      </c>
      <c r="M760" t="s">
        <v>665</v>
      </c>
    </row>
    <row r="761" spans="1:13">
      <c r="A761" t="s">
        <v>851</v>
      </c>
      <c r="B761" t="s">
        <v>687</v>
      </c>
      <c r="C761" t="s">
        <v>687</v>
      </c>
      <c r="D761" t="s">
        <v>23</v>
      </c>
      <c r="E761" t="s">
        <v>656</v>
      </c>
      <c r="F761" t="s">
        <v>31</v>
      </c>
      <c r="G761">
        <v>2040</v>
      </c>
      <c r="H761" s="12">
        <v>204.27</v>
      </c>
      <c r="I761" t="s">
        <v>3183</v>
      </c>
      <c r="J761" t="s">
        <v>5</v>
      </c>
      <c r="K761" t="s">
        <v>147</v>
      </c>
      <c r="L761" t="s">
        <v>3184</v>
      </c>
      <c r="M761" t="s">
        <v>665</v>
      </c>
    </row>
    <row r="762" spans="1:13">
      <c r="A762" t="s">
        <v>851</v>
      </c>
      <c r="B762" t="s">
        <v>687</v>
      </c>
      <c r="C762" t="s">
        <v>687</v>
      </c>
      <c r="D762" t="s">
        <v>23</v>
      </c>
      <c r="E762" t="s">
        <v>656</v>
      </c>
      <c r="F762" t="s">
        <v>31</v>
      </c>
      <c r="G762">
        <v>2045</v>
      </c>
      <c r="H762" s="12">
        <v>146.41</v>
      </c>
      <c r="I762" t="s">
        <v>3183</v>
      </c>
      <c r="J762" t="s">
        <v>5</v>
      </c>
      <c r="K762" t="s">
        <v>147</v>
      </c>
      <c r="L762" t="s">
        <v>3184</v>
      </c>
      <c r="M762" t="s">
        <v>665</v>
      </c>
    </row>
    <row r="763" spans="1:13">
      <c r="A763" t="s">
        <v>851</v>
      </c>
      <c r="B763" t="s">
        <v>687</v>
      </c>
      <c r="C763" t="s">
        <v>687</v>
      </c>
      <c r="D763" t="s">
        <v>23</v>
      </c>
      <c r="E763" t="s">
        <v>656</v>
      </c>
      <c r="F763" t="s">
        <v>31</v>
      </c>
      <c r="G763">
        <v>2050</v>
      </c>
      <c r="H763" s="12">
        <v>92.36</v>
      </c>
      <c r="I763" t="s">
        <v>3183</v>
      </c>
      <c r="J763" t="s">
        <v>5</v>
      </c>
      <c r="K763" t="s">
        <v>147</v>
      </c>
      <c r="L763" t="s">
        <v>3184</v>
      </c>
      <c r="M763" t="s">
        <v>665</v>
      </c>
    </row>
    <row r="764" spans="1:13">
      <c r="A764" t="s">
        <v>851</v>
      </c>
      <c r="B764" t="s">
        <v>686</v>
      </c>
      <c r="C764" t="s">
        <v>686</v>
      </c>
      <c r="D764" t="s">
        <v>23</v>
      </c>
      <c r="E764" t="s">
        <v>656</v>
      </c>
      <c r="F764" t="s">
        <v>31</v>
      </c>
      <c r="G764">
        <v>2010</v>
      </c>
      <c r="H764" s="12">
        <v>21.54</v>
      </c>
      <c r="I764" t="s">
        <v>3183</v>
      </c>
      <c r="J764" t="s">
        <v>6</v>
      </c>
      <c r="K764" t="s">
        <v>147</v>
      </c>
      <c r="L764" t="s">
        <v>3184</v>
      </c>
      <c r="M764" t="s">
        <v>666</v>
      </c>
    </row>
    <row r="765" spans="1:13">
      <c r="A765" t="s">
        <v>851</v>
      </c>
      <c r="B765" t="s">
        <v>686</v>
      </c>
      <c r="C765" t="s">
        <v>686</v>
      </c>
      <c r="D765" t="s">
        <v>23</v>
      </c>
      <c r="E765" t="s">
        <v>656</v>
      </c>
      <c r="F765" t="s">
        <v>31</v>
      </c>
      <c r="G765">
        <v>2035</v>
      </c>
      <c r="H765" s="12">
        <v>5.86</v>
      </c>
      <c r="I765" t="s">
        <v>3183</v>
      </c>
      <c r="J765" t="s">
        <v>394</v>
      </c>
      <c r="K765" t="s">
        <v>147</v>
      </c>
      <c r="L765" t="s">
        <v>3184</v>
      </c>
      <c r="M765" t="s">
        <v>16</v>
      </c>
    </row>
    <row r="766" spans="1:13">
      <c r="A766" t="s">
        <v>851</v>
      </c>
      <c r="B766" t="s">
        <v>686</v>
      </c>
      <c r="C766" t="s">
        <v>686</v>
      </c>
      <c r="D766" t="s">
        <v>23</v>
      </c>
      <c r="E766" t="s">
        <v>656</v>
      </c>
      <c r="F766" t="s">
        <v>31</v>
      </c>
      <c r="G766">
        <v>2040</v>
      </c>
      <c r="H766" s="12">
        <v>5.2</v>
      </c>
      <c r="I766" t="s">
        <v>3183</v>
      </c>
      <c r="J766" t="s">
        <v>394</v>
      </c>
      <c r="K766" t="s">
        <v>147</v>
      </c>
      <c r="L766" t="s">
        <v>3184</v>
      </c>
      <c r="M766" t="s">
        <v>16</v>
      </c>
    </row>
    <row r="767" spans="1:13">
      <c r="A767" t="s">
        <v>851</v>
      </c>
      <c r="B767" t="s">
        <v>686</v>
      </c>
      <c r="C767" t="s">
        <v>686</v>
      </c>
      <c r="D767" t="s">
        <v>23</v>
      </c>
      <c r="E767" t="s">
        <v>656</v>
      </c>
      <c r="F767" t="s">
        <v>31</v>
      </c>
      <c r="G767">
        <v>2045</v>
      </c>
      <c r="H767" s="12">
        <v>3.45</v>
      </c>
      <c r="I767" t="s">
        <v>3183</v>
      </c>
      <c r="J767" t="s">
        <v>394</v>
      </c>
      <c r="K767" t="s">
        <v>147</v>
      </c>
      <c r="L767" t="s">
        <v>3184</v>
      </c>
      <c r="M767" t="s">
        <v>16</v>
      </c>
    </row>
    <row r="768" spans="1:13">
      <c r="A768" t="s">
        <v>851</v>
      </c>
      <c r="B768" t="s">
        <v>686</v>
      </c>
      <c r="C768" t="s">
        <v>686</v>
      </c>
      <c r="D768" t="s">
        <v>23</v>
      </c>
      <c r="E768" t="s">
        <v>656</v>
      </c>
      <c r="F768" t="s">
        <v>31</v>
      </c>
      <c r="G768">
        <v>2050</v>
      </c>
      <c r="H768" s="12">
        <v>2.68</v>
      </c>
      <c r="I768" t="s">
        <v>3183</v>
      </c>
      <c r="J768" t="s">
        <v>394</v>
      </c>
      <c r="K768" t="s">
        <v>147</v>
      </c>
      <c r="L768" t="s">
        <v>3184</v>
      </c>
      <c r="M768" t="s">
        <v>16</v>
      </c>
    </row>
    <row r="769" spans="1:13">
      <c r="A769" t="s">
        <v>851</v>
      </c>
      <c r="B769" t="s">
        <v>687</v>
      </c>
      <c r="C769" t="s">
        <v>687</v>
      </c>
      <c r="D769" t="s">
        <v>23</v>
      </c>
      <c r="E769" t="s">
        <v>656</v>
      </c>
      <c r="F769" t="s">
        <v>31</v>
      </c>
      <c r="G769">
        <v>2030</v>
      </c>
      <c r="H769" s="12">
        <v>6.52</v>
      </c>
      <c r="I769" t="s">
        <v>3183</v>
      </c>
      <c r="J769" t="s">
        <v>394</v>
      </c>
      <c r="K769" t="s">
        <v>147</v>
      </c>
      <c r="L769" t="s">
        <v>3184</v>
      </c>
      <c r="M769" t="s">
        <v>16</v>
      </c>
    </row>
    <row r="770" spans="1:13">
      <c r="A770" t="s">
        <v>851</v>
      </c>
      <c r="B770" t="s">
        <v>687</v>
      </c>
      <c r="C770" t="s">
        <v>687</v>
      </c>
      <c r="D770" t="s">
        <v>23</v>
      </c>
      <c r="E770" t="s">
        <v>656</v>
      </c>
      <c r="F770" t="s">
        <v>31</v>
      </c>
      <c r="G770">
        <v>2035</v>
      </c>
      <c r="H770" s="12">
        <v>5.86</v>
      </c>
      <c r="I770" t="s">
        <v>3183</v>
      </c>
      <c r="J770" t="s">
        <v>394</v>
      </c>
      <c r="K770" t="s">
        <v>147</v>
      </c>
      <c r="L770" t="s">
        <v>3184</v>
      </c>
      <c r="M770" t="s">
        <v>16</v>
      </c>
    </row>
    <row r="771" spans="1:13">
      <c r="A771" t="s">
        <v>851</v>
      </c>
      <c r="B771" t="s">
        <v>687</v>
      </c>
      <c r="C771" t="s">
        <v>687</v>
      </c>
      <c r="D771" t="s">
        <v>23</v>
      </c>
      <c r="E771" t="s">
        <v>656</v>
      </c>
      <c r="F771" t="s">
        <v>31</v>
      </c>
      <c r="G771">
        <v>2040</v>
      </c>
      <c r="H771" s="12">
        <v>5.2</v>
      </c>
      <c r="I771" t="s">
        <v>3183</v>
      </c>
      <c r="J771" t="s">
        <v>394</v>
      </c>
      <c r="K771" t="s">
        <v>147</v>
      </c>
      <c r="L771" t="s">
        <v>3184</v>
      </c>
      <c r="M771" t="s">
        <v>16</v>
      </c>
    </row>
    <row r="772" spans="1:13">
      <c r="A772" t="s">
        <v>851</v>
      </c>
      <c r="B772" t="s">
        <v>687</v>
      </c>
      <c r="C772" t="s">
        <v>687</v>
      </c>
      <c r="D772" t="s">
        <v>23</v>
      </c>
      <c r="E772" t="s">
        <v>656</v>
      </c>
      <c r="F772" t="s">
        <v>31</v>
      </c>
      <c r="G772">
        <v>2045</v>
      </c>
      <c r="H772" s="12">
        <v>3.45</v>
      </c>
      <c r="I772" t="s">
        <v>3183</v>
      </c>
      <c r="J772" t="s">
        <v>394</v>
      </c>
      <c r="K772" t="s">
        <v>147</v>
      </c>
      <c r="L772" t="s">
        <v>3184</v>
      </c>
      <c r="M772" t="s">
        <v>16</v>
      </c>
    </row>
    <row r="773" spans="1:13">
      <c r="A773" t="s">
        <v>851</v>
      </c>
      <c r="B773" t="s">
        <v>687</v>
      </c>
      <c r="C773" t="s">
        <v>687</v>
      </c>
      <c r="D773" t="s">
        <v>23</v>
      </c>
      <c r="E773" t="s">
        <v>656</v>
      </c>
      <c r="F773" t="s">
        <v>31</v>
      </c>
      <c r="G773">
        <v>2050</v>
      </c>
      <c r="H773" s="12">
        <v>2.68</v>
      </c>
      <c r="I773" t="s">
        <v>3183</v>
      </c>
      <c r="J773" t="s">
        <v>394</v>
      </c>
      <c r="K773" t="s">
        <v>147</v>
      </c>
      <c r="L773" t="s">
        <v>3184</v>
      </c>
      <c r="M773" t="s">
        <v>16</v>
      </c>
    </row>
    <row r="774" spans="1:13">
      <c r="A774" t="s">
        <v>851</v>
      </c>
      <c r="B774" t="s">
        <v>686</v>
      </c>
      <c r="C774" t="s">
        <v>686</v>
      </c>
      <c r="D774" t="s">
        <v>23</v>
      </c>
      <c r="E774" t="s">
        <v>656</v>
      </c>
      <c r="F774" t="s">
        <v>31</v>
      </c>
      <c r="G774">
        <v>2010</v>
      </c>
      <c r="H774" s="12">
        <v>0</v>
      </c>
      <c r="I774" t="s">
        <v>3183</v>
      </c>
      <c r="J774" t="s">
        <v>484</v>
      </c>
      <c r="K774" t="s">
        <v>147</v>
      </c>
      <c r="L774" t="s">
        <v>3184</v>
      </c>
      <c r="M774" t="s">
        <v>667</v>
      </c>
    </row>
    <row r="775" spans="1:13">
      <c r="A775" t="s">
        <v>851</v>
      </c>
      <c r="B775" t="s">
        <v>686</v>
      </c>
      <c r="C775" t="s">
        <v>686</v>
      </c>
      <c r="D775" t="s">
        <v>23</v>
      </c>
      <c r="E775" t="s">
        <v>656</v>
      </c>
      <c r="F775" t="s">
        <v>31</v>
      </c>
      <c r="G775">
        <v>2015</v>
      </c>
      <c r="H775" s="12">
        <v>0</v>
      </c>
      <c r="I775" t="s">
        <v>3183</v>
      </c>
      <c r="J775" t="s">
        <v>484</v>
      </c>
      <c r="K775" t="s">
        <v>147</v>
      </c>
      <c r="L775" t="s">
        <v>3184</v>
      </c>
      <c r="M775" t="s">
        <v>667</v>
      </c>
    </row>
    <row r="776" spans="1:13">
      <c r="A776" t="s">
        <v>851</v>
      </c>
      <c r="B776" t="s">
        <v>686</v>
      </c>
      <c r="C776" t="s">
        <v>686</v>
      </c>
      <c r="D776" t="s">
        <v>23</v>
      </c>
      <c r="E776" t="s">
        <v>656</v>
      </c>
      <c r="F776" t="s">
        <v>31</v>
      </c>
      <c r="G776">
        <v>2020</v>
      </c>
      <c r="H776" s="12">
        <v>0.03</v>
      </c>
      <c r="I776" t="s">
        <v>3183</v>
      </c>
      <c r="J776" t="s">
        <v>484</v>
      </c>
      <c r="K776" t="s">
        <v>147</v>
      </c>
      <c r="L776" t="s">
        <v>3184</v>
      </c>
      <c r="M776" t="s">
        <v>667</v>
      </c>
    </row>
    <row r="777" spans="1:13">
      <c r="A777" t="s">
        <v>851</v>
      </c>
      <c r="B777" t="s">
        <v>686</v>
      </c>
      <c r="C777" t="s">
        <v>686</v>
      </c>
      <c r="D777" t="s">
        <v>23</v>
      </c>
      <c r="E777" t="s">
        <v>656</v>
      </c>
      <c r="F777" t="s">
        <v>31</v>
      </c>
      <c r="G777">
        <v>2030</v>
      </c>
      <c r="H777" s="12">
        <v>34.11</v>
      </c>
      <c r="I777" t="s">
        <v>3183</v>
      </c>
      <c r="J777" t="s">
        <v>484</v>
      </c>
      <c r="K777" t="s">
        <v>147</v>
      </c>
      <c r="L777" t="s">
        <v>3184</v>
      </c>
      <c r="M777" t="s">
        <v>667</v>
      </c>
    </row>
    <row r="778" spans="1:13">
      <c r="A778" t="s">
        <v>851</v>
      </c>
      <c r="B778" t="s">
        <v>686</v>
      </c>
      <c r="C778" t="s">
        <v>686</v>
      </c>
      <c r="D778" t="s">
        <v>23</v>
      </c>
      <c r="E778" t="s">
        <v>656</v>
      </c>
      <c r="F778" t="s">
        <v>31</v>
      </c>
      <c r="G778">
        <v>2035</v>
      </c>
      <c r="H778" s="12">
        <v>71.819999999999993</v>
      </c>
      <c r="I778" t="s">
        <v>3183</v>
      </c>
      <c r="J778" t="s">
        <v>484</v>
      </c>
      <c r="K778" t="s">
        <v>147</v>
      </c>
      <c r="L778" t="s">
        <v>3184</v>
      </c>
      <c r="M778" t="s">
        <v>667</v>
      </c>
    </row>
    <row r="779" spans="1:13">
      <c r="A779" t="s">
        <v>851</v>
      </c>
      <c r="B779" t="s">
        <v>686</v>
      </c>
      <c r="C779" t="s">
        <v>686</v>
      </c>
      <c r="D779" t="s">
        <v>23</v>
      </c>
      <c r="E779" t="s">
        <v>656</v>
      </c>
      <c r="F779" t="s">
        <v>31</v>
      </c>
      <c r="G779">
        <v>2040</v>
      </c>
      <c r="H779" s="12">
        <v>141.07</v>
      </c>
      <c r="I779" t="s">
        <v>3183</v>
      </c>
      <c r="J779" t="s">
        <v>484</v>
      </c>
      <c r="K779" t="s">
        <v>147</v>
      </c>
      <c r="L779" t="s">
        <v>3184</v>
      </c>
      <c r="M779" t="s">
        <v>667</v>
      </c>
    </row>
    <row r="780" spans="1:13">
      <c r="A780" t="s">
        <v>851</v>
      </c>
      <c r="B780" t="s">
        <v>686</v>
      </c>
      <c r="C780" t="s">
        <v>686</v>
      </c>
      <c r="D780" t="s">
        <v>23</v>
      </c>
      <c r="E780" t="s">
        <v>656</v>
      </c>
      <c r="F780" t="s">
        <v>31</v>
      </c>
      <c r="G780">
        <v>2045</v>
      </c>
      <c r="H780" s="12">
        <v>220.55</v>
      </c>
      <c r="I780" t="s">
        <v>3183</v>
      </c>
      <c r="J780" t="s">
        <v>484</v>
      </c>
      <c r="K780" t="s">
        <v>147</v>
      </c>
      <c r="L780" t="s">
        <v>3184</v>
      </c>
      <c r="M780" t="s">
        <v>667</v>
      </c>
    </row>
    <row r="781" spans="1:13">
      <c r="A781" t="s">
        <v>851</v>
      </c>
      <c r="B781" t="s">
        <v>686</v>
      </c>
      <c r="C781" t="s">
        <v>686</v>
      </c>
      <c r="D781" t="s">
        <v>23</v>
      </c>
      <c r="E781" t="s">
        <v>656</v>
      </c>
      <c r="F781" t="s">
        <v>31</v>
      </c>
      <c r="G781">
        <v>2050</v>
      </c>
      <c r="H781" s="12">
        <v>287.43</v>
      </c>
      <c r="I781" t="s">
        <v>3183</v>
      </c>
      <c r="J781" t="s">
        <v>484</v>
      </c>
      <c r="K781" t="s">
        <v>147</v>
      </c>
      <c r="L781" t="s">
        <v>3184</v>
      </c>
      <c r="M781" t="s">
        <v>667</v>
      </c>
    </row>
    <row r="782" spans="1:13">
      <c r="A782" t="s">
        <v>851</v>
      </c>
      <c r="B782" t="s">
        <v>687</v>
      </c>
      <c r="C782" t="s">
        <v>687</v>
      </c>
      <c r="D782" t="s">
        <v>23</v>
      </c>
      <c r="E782" t="s">
        <v>656</v>
      </c>
      <c r="F782" t="s">
        <v>31</v>
      </c>
      <c r="G782">
        <v>2030</v>
      </c>
      <c r="H782" s="12">
        <v>38.590000000000003</v>
      </c>
      <c r="I782" t="s">
        <v>3183</v>
      </c>
      <c r="J782" t="s">
        <v>484</v>
      </c>
      <c r="K782" t="s">
        <v>147</v>
      </c>
      <c r="L782" t="s">
        <v>3184</v>
      </c>
      <c r="M782" t="s">
        <v>667</v>
      </c>
    </row>
    <row r="783" spans="1:13">
      <c r="A783" t="s">
        <v>851</v>
      </c>
      <c r="B783" t="s">
        <v>687</v>
      </c>
      <c r="C783" t="s">
        <v>687</v>
      </c>
      <c r="D783" t="s">
        <v>23</v>
      </c>
      <c r="E783" t="s">
        <v>656</v>
      </c>
      <c r="F783" t="s">
        <v>31</v>
      </c>
      <c r="G783">
        <v>2035</v>
      </c>
      <c r="H783" s="12">
        <v>99.85</v>
      </c>
      <c r="I783" t="s">
        <v>3183</v>
      </c>
      <c r="J783" t="s">
        <v>484</v>
      </c>
      <c r="K783" t="s">
        <v>147</v>
      </c>
      <c r="L783" t="s">
        <v>3184</v>
      </c>
      <c r="M783" t="s">
        <v>667</v>
      </c>
    </row>
    <row r="784" spans="1:13">
      <c r="A784" t="s">
        <v>851</v>
      </c>
      <c r="B784" t="s">
        <v>687</v>
      </c>
      <c r="C784" t="s">
        <v>687</v>
      </c>
      <c r="D784" t="s">
        <v>23</v>
      </c>
      <c r="E784" t="s">
        <v>656</v>
      </c>
      <c r="F784" t="s">
        <v>31</v>
      </c>
      <c r="G784">
        <v>2040</v>
      </c>
      <c r="H784" s="12">
        <v>187.5</v>
      </c>
      <c r="I784" t="s">
        <v>3183</v>
      </c>
      <c r="J784" t="s">
        <v>484</v>
      </c>
      <c r="K784" t="s">
        <v>147</v>
      </c>
      <c r="L784" t="s">
        <v>3184</v>
      </c>
      <c r="M784" t="s">
        <v>667</v>
      </c>
    </row>
    <row r="785" spans="1:13">
      <c r="A785" t="s">
        <v>851</v>
      </c>
      <c r="B785" t="s">
        <v>687</v>
      </c>
      <c r="C785" t="s">
        <v>687</v>
      </c>
      <c r="D785" t="s">
        <v>23</v>
      </c>
      <c r="E785" t="s">
        <v>656</v>
      </c>
      <c r="F785" t="s">
        <v>31</v>
      </c>
      <c r="G785">
        <v>2045</v>
      </c>
      <c r="H785" s="12">
        <v>316.97000000000003</v>
      </c>
      <c r="I785" t="s">
        <v>3183</v>
      </c>
      <c r="J785" t="s">
        <v>484</v>
      </c>
      <c r="K785" t="s">
        <v>147</v>
      </c>
      <c r="L785" t="s">
        <v>3184</v>
      </c>
      <c r="M785" t="s">
        <v>667</v>
      </c>
    </row>
    <row r="786" spans="1:13">
      <c r="A786" t="s">
        <v>851</v>
      </c>
      <c r="B786" t="s">
        <v>687</v>
      </c>
      <c r="C786" t="s">
        <v>687</v>
      </c>
      <c r="D786" t="s">
        <v>23</v>
      </c>
      <c r="E786" t="s">
        <v>656</v>
      </c>
      <c r="F786" t="s">
        <v>31</v>
      </c>
      <c r="G786">
        <v>2050</v>
      </c>
      <c r="H786" s="12">
        <v>416.53</v>
      </c>
      <c r="I786" t="s">
        <v>3183</v>
      </c>
      <c r="J786" t="s">
        <v>484</v>
      </c>
      <c r="K786" t="s">
        <v>147</v>
      </c>
      <c r="L786" t="s">
        <v>3184</v>
      </c>
      <c r="M786" t="s">
        <v>667</v>
      </c>
    </row>
    <row r="787" spans="1:13">
      <c r="A787" t="s">
        <v>851</v>
      </c>
      <c r="B787" t="s">
        <v>687</v>
      </c>
      <c r="C787" t="s">
        <v>687</v>
      </c>
      <c r="D787" t="s">
        <v>23</v>
      </c>
      <c r="E787" t="s">
        <v>461</v>
      </c>
      <c r="F787" t="s">
        <v>668</v>
      </c>
      <c r="G787">
        <v>2050</v>
      </c>
      <c r="H787" s="12">
        <v>69.819999999999993</v>
      </c>
      <c r="I787" t="s">
        <v>3183</v>
      </c>
      <c r="J787" t="s">
        <v>6</v>
      </c>
      <c r="K787" t="s">
        <v>147</v>
      </c>
      <c r="L787" t="s">
        <v>3184</v>
      </c>
      <c r="M787" t="s">
        <v>666</v>
      </c>
    </row>
    <row r="788" spans="1:13">
      <c r="A788" t="s">
        <v>851</v>
      </c>
      <c r="B788" t="s">
        <v>686</v>
      </c>
      <c r="C788" t="s">
        <v>686</v>
      </c>
      <c r="D788" t="s">
        <v>23</v>
      </c>
      <c r="E788" t="s">
        <v>461</v>
      </c>
      <c r="F788" t="s">
        <v>668</v>
      </c>
      <c r="G788">
        <v>2010</v>
      </c>
      <c r="H788" s="12">
        <v>21.08</v>
      </c>
      <c r="I788" t="s">
        <v>3183</v>
      </c>
      <c r="J788" t="s">
        <v>394</v>
      </c>
      <c r="K788" t="s">
        <v>147</v>
      </c>
      <c r="L788" t="s">
        <v>3184</v>
      </c>
      <c r="M788" t="s">
        <v>16</v>
      </c>
    </row>
    <row r="789" spans="1:13">
      <c r="A789" t="s">
        <v>851</v>
      </c>
      <c r="B789" t="s">
        <v>686</v>
      </c>
      <c r="C789" t="s">
        <v>686</v>
      </c>
      <c r="D789" t="s">
        <v>23</v>
      </c>
      <c r="E789" t="s">
        <v>461</v>
      </c>
      <c r="F789" t="s">
        <v>668</v>
      </c>
      <c r="G789">
        <v>2015</v>
      </c>
      <c r="H789" s="12">
        <v>12.66</v>
      </c>
      <c r="I789" t="s">
        <v>3183</v>
      </c>
      <c r="J789" t="s">
        <v>394</v>
      </c>
      <c r="K789" t="s">
        <v>147</v>
      </c>
      <c r="L789" t="s">
        <v>3184</v>
      </c>
      <c r="M789" t="s">
        <v>16</v>
      </c>
    </row>
    <row r="790" spans="1:13">
      <c r="A790" t="s">
        <v>851</v>
      </c>
      <c r="B790" t="s">
        <v>686</v>
      </c>
      <c r="C790" t="s">
        <v>686</v>
      </c>
      <c r="D790" t="s">
        <v>23</v>
      </c>
      <c r="E790" t="s">
        <v>461</v>
      </c>
      <c r="F790" t="s">
        <v>668</v>
      </c>
      <c r="G790">
        <v>2020</v>
      </c>
      <c r="H790" s="12">
        <v>3.19</v>
      </c>
      <c r="I790" t="s">
        <v>3183</v>
      </c>
      <c r="J790" t="s">
        <v>394</v>
      </c>
      <c r="K790" t="s">
        <v>147</v>
      </c>
      <c r="L790" t="s">
        <v>3184</v>
      </c>
      <c r="M790" t="s">
        <v>16</v>
      </c>
    </row>
    <row r="791" spans="1:13">
      <c r="A791" t="s">
        <v>851</v>
      </c>
      <c r="B791" t="s">
        <v>686</v>
      </c>
      <c r="C791" t="s">
        <v>686</v>
      </c>
      <c r="D791" t="s">
        <v>23</v>
      </c>
      <c r="E791" t="s">
        <v>461</v>
      </c>
      <c r="F791" t="s">
        <v>668</v>
      </c>
      <c r="G791">
        <v>2030</v>
      </c>
      <c r="H791" s="12">
        <v>5.64</v>
      </c>
      <c r="I791" t="s">
        <v>3183</v>
      </c>
      <c r="J791" t="s">
        <v>394</v>
      </c>
      <c r="K791" t="s">
        <v>147</v>
      </c>
      <c r="L791" t="s">
        <v>3184</v>
      </c>
      <c r="M791" t="s">
        <v>16</v>
      </c>
    </row>
    <row r="792" spans="1:13">
      <c r="A792" t="s">
        <v>851</v>
      </c>
      <c r="B792" t="s">
        <v>686</v>
      </c>
      <c r="C792" t="s">
        <v>686</v>
      </c>
      <c r="D792" t="s">
        <v>23</v>
      </c>
      <c r="E792" t="s">
        <v>461</v>
      </c>
      <c r="F792" t="s">
        <v>668</v>
      </c>
      <c r="G792">
        <v>2035</v>
      </c>
      <c r="H792" s="12">
        <v>5.03</v>
      </c>
      <c r="I792" t="s">
        <v>3183</v>
      </c>
      <c r="J792" t="s">
        <v>394</v>
      </c>
      <c r="K792" t="s">
        <v>147</v>
      </c>
      <c r="L792" t="s">
        <v>3184</v>
      </c>
      <c r="M792" t="s">
        <v>16</v>
      </c>
    </row>
    <row r="793" spans="1:13">
      <c r="A793" t="s">
        <v>851</v>
      </c>
      <c r="B793" t="s">
        <v>686</v>
      </c>
      <c r="C793" t="s">
        <v>686</v>
      </c>
      <c r="D793" t="s">
        <v>23</v>
      </c>
      <c r="E793" t="s">
        <v>461</v>
      </c>
      <c r="F793" t="s">
        <v>668</v>
      </c>
      <c r="G793">
        <v>2040</v>
      </c>
      <c r="H793" s="12">
        <v>4.45</v>
      </c>
      <c r="I793" t="s">
        <v>3183</v>
      </c>
      <c r="J793" t="s">
        <v>394</v>
      </c>
      <c r="K793" t="s">
        <v>147</v>
      </c>
      <c r="L793" t="s">
        <v>3184</v>
      </c>
      <c r="M793" t="s">
        <v>16</v>
      </c>
    </row>
    <row r="794" spans="1:13">
      <c r="A794" t="s">
        <v>851</v>
      </c>
      <c r="B794" t="s">
        <v>686</v>
      </c>
      <c r="C794" t="s">
        <v>686</v>
      </c>
      <c r="D794" t="s">
        <v>23</v>
      </c>
      <c r="E794" t="s">
        <v>461</v>
      </c>
      <c r="F794" t="s">
        <v>668</v>
      </c>
      <c r="G794">
        <v>2045</v>
      </c>
      <c r="H794" s="12">
        <v>2.92</v>
      </c>
      <c r="I794" t="s">
        <v>3183</v>
      </c>
      <c r="J794" t="s">
        <v>394</v>
      </c>
      <c r="K794" t="s">
        <v>147</v>
      </c>
      <c r="L794" t="s">
        <v>3184</v>
      </c>
      <c r="M794" t="s">
        <v>16</v>
      </c>
    </row>
    <row r="795" spans="1:13">
      <c r="A795" t="s">
        <v>851</v>
      </c>
      <c r="B795" t="s">
        <v>686</v>
      </c>
      <c r="C795" t="s">
        <v>686</v>
      </c>
      <c r="D795" t="s">
        <v>23</v>
      </c>
      <c r="E795" t="s">
        <v>461</v>
      </c>
      <c r="F795" t="s">
        <v>668</v>
      </c>
      <c r="G795">
        <v>2050</v>
      </c>
      <c r="H795" s="12">
        <v>2.2400000000000002</v>
      </c>
      <c r="I795" t="s">
        <v>3183</v>
      </c>
      <c r="J795" t="s">
        <v>394</v>
      </c>
      <c r="K795" t="s">
        <v>147</v>
      </c>
      <c r="L795" t="s">
        <v>3184</v>
      </c>
      <c r="M795" t="s">
        <v>16</v>
      </c>
    </row>
    <row r="796" spans="1:13">
      <c r="A796" t="s">
        <v>851</v>
      </c>
      <c r="B796" t="s">
        <v>687</v>
      </c>
      <c r="C796" t="s">
        <v>687</v>
      </c>
      <c r="D796" t="s">
        <v>23</v>
      </c>
      <c r="E796" t="s">
        <v>461</v>
      </c>
      <c r="F796" t="s">
        <v>668</v>
      </c>
      <c r="G796">
        <v>2030</v>
      </c>
      <c r="H796" s="12">
        <v>3.11</v>
      </c>
      <c r="I796" t="s">
        <v>3183</v>
      </c>
      <c r="J796" t="s">
        <v>394</v>
      </c>
      <c r="K796" t="s">
        <v>147</v>
      </c>
      <c r="L796" t="s">
        <v>3184</v>
      </c>
      <c r="M796" t="s">
        <v>16</v>
      </c>
    </row>
    <row r="797" spans="1:13">
      <c r="A797" t="s">
        <v>851</v>
      </c>
      <c r="B797" t="s">
        <v>687</v>
      </c>
      <c r="C797" t="s">
        <v>687</v>
      </c>
      <c r="D797" t="s">
        <v>23</v>
      </c>
      <c r="E797" t="s">
        <v>461</v>
      </c>
      <c r="F797" t="s">
        <v>668</v>
      </c>
      <c r="G797">
        <v>2035</v>
      </c>
      <c r="H797" s="12">
        <v>2.71</v>
      </c>
      <c r="I797" t="s">
        <v>3183</v>
      </c>
      <c r="J797" t="s">
        <v>394</v>
      </c>
      <c r="K797" t="s">
        <v>147</v>
      </c>
      <c r="L797" t="s">
        <v>3184</v>
      </c>
      <c r="M797" t="s">
        <v>16</v>
      </c>
    </row>
    <row r="798" spans="1:13">
      <c r="A798" t="s">
        <v>851</v>
      </c>
      <c r="B798" t="s">
        <v>687</v>
      </c>
      <c r="C798" t="s">
        <v>687</v>
      </c>
      <c r="D798" t="s">
        <v>23</v>
      </c>
      <c r="E798" t="s">
        <v>461</v>
      </c>
      <c r="F798" t="s">
        <v>668</v>
      </c>
      <c r="G798">
        <v>2040</v>
      </c>
      <c r="H798" s="12">
        <v>2.36</v>
      </c>
      <c r="I798" t="s">
        <v>3183</v>
      </c>
      <c r="J798" t="s">
        <v>394</v>
      </c>
      <c r="K798" t="s">
        <v>147</v>
      </c>
      <c r="L798" t="s">
        <v>3184</v>
      </c>
      <c r="M798" t="s">
        <v>16</v>
      </c>
    </row>
    <row r="799" spans="1:13">
      <c r="A799" t="s">
        <v>851</v>
      </c>
      <c r="B799" t="s">
        <v>687</v>
      </c>
      <c r="C799" t="s">
        <v>687</v>
      </c>
      <c r="D799" t="s">
        <v>23</v>
      </c>
      <c r="E799" t="s">
        <v>461</v>
      </c>
      <c r="F799" t="s">
        <v>668</v>
      </c>
      <c r="G799">
        <v>2045</v>
      </c>
      <c r="H799" s="12">
        <v>0</v>
      </c>
      <c r="I799" t="s">
        <v>3183</v>
      </c>
      <c r="J799" t="s">
        <v>394</v>
      </c>
      <c r="K799" t="s">
        <v>147</v>
      </c>
      <c r="L799" t="s">
        <v>3184</v>
      </c>
      <c r="M799" t="s">
        <v>16</v>
      </c>
    </row>
    <row r="800" spans="1:13">
      <c r="A800" t="s">
        <v>851</v>
      </c>
      <c r="B800" t="s">
        <v>687</v>
      </c>
      <c r="C800" t="s">
        <v>687</v>
      </c>
      <c r="D800" t="s">
        <v>23</v>
      </c>
      <c r="E800" t="s">
        <v>461</v>
      </c>
      <c r="F800" t="s">
        <v>668</v>
      </c>
      <c r="G800">
        <v>2050</v>
      </c>
      <c r="H800" s="12">
        <v>0</v>
      </c>
      <c r="I800" t="s">
        <v>3183</v>
      </c>
      <c r="J800" t="s">
        <v>394</v>
      </c>
      <c r="K800" t="s">
        <v>147</v>
      </c>
      <c r="L800" t="s">
        <v>3184</v>
      </c>
      <c r="M800" t="s">
        <v>16</v>
      </c>
    </row>
    <row r="801" spans="1:13">
      <c r="A801" t="s">
        <v>851</v>
      </c>
      <c r="B801" t="s">
        <v>687</v>
      </c>
      <c r="C801" t="s">
        <v>687</v>
      </c>
      <c r="D801" t="s">
        <v>23</v>
      </c>
      <c r="E801" t="s">
        <v>656</v>
      </c>
      <c r="F801" t="s">
        <v>31</v>
      </c>
      <c r="G801">
        <v>2040</v>
      </c>
      <c r="H801" s="12">
        <v>1065.25</v>
      </c>
      <c r="I801" t="s">
        <v>3183</v>
      </c>
      <c r="J801" t="s">
        <v>17</v>
      </c>
      <c r="K801" t="s">
        <v>147</v>
      </c>
      <c r="L801" t="s">
        <v>3184</v>
      </c>
      <c r="M801" t="s">
        <v>671</v>
      </c>
    </row>
    <row r="802" spans="1:13">
      <c r="A802" t="s">
        <v>851</v>
      </c>
      <c r="B802" t="s">
        <v>687</v>
      </c>
      <c r="C802" t="s">
        <v>687</v>
      </c>
      <c r="D802" t="s">
        <v>23</v>
      </c>
      <c r="E802" t="s">
        <v>656</v>
      </c>
      <c r="F802" t="s">
        <v>31</v>
      </c>
      <c r="G802">
        <v>2045</v>
      </c>
      <c r="H802" s="12">
        <v>1395.15</v>
      </c>
      <c r="I802" t="s">
        <v>3183</v>
      </c>
      <c r="J802" t="s">
        <v>17</v>
      </c>
      <c r="K802" t="s">
        <v>147</v>
      </c>
      <c r="L802" t="s">
        <v>3184</v>
      </c>
      <c r="M802" t="s">
        <v>671</v>
      </c>
    </row>
    <row r="803" spans="1:13">
      <c r="A803" t="s">
        <v>851</v>
      </c>
      <c r="B803" t="s">
        <v>687</v>
      </c>
      <c r="C803" t="s">
        <v>687</v>
      </c>
      <c r="D803" t="s">
        <v>23</v>
      </c>
      <c r="E803" t="s">
        <v>656</v>
      </c>
      <c r="F803" t="s">
        <v>31</v>
      </c>
      <c r="G803">
        <v>2050</v>
      </c>
      <c r="H803" s="12">
        <v>1730.47</v>
      </c>
      <c r="I803" t="s">
        <v>3183</v>
      </c>
      <c r="J803" t="s">
        <v>17</v>
      </c>
      <c r="K803" t="s">
        <v>147</v>
      </c>
      <c r="L803" t="s">
        <v>3184</v>
      </c>
      <c r="M803" t="s">
        <v>671</v>
      </c>
    </row>
    <row r="804" spans="1:13">
      <c r="A804" t="s">
        <v>851</v>
      </c>
      <c r="B804" t="s">
        <v>686</v>
      </c>
      <c r="C804" t="s">
        <v>686</v>
      </c>
      <c r="D804" t="s">
        <v>23</v>
      </c>
      <c r="E804" t="s">
        <v>656</v>
      </c>
      <c r="F804" t="s">
        <v>31</v>
      </c>
      <c r="G804">
        <v>2010</v>
      </c>
      <c r="H804" s="12">
        <v>13.18</v>
      </c>
      <c r="I804" t="s">
        <v>3183</v>
      </c>
      <c r="J804" t="s">
        <v>18</v>
      </c>
      <c r="K804" t="s">
        <v>147</v>
      </c>
      <c r="L804" t="s">
        <v>3184</v>
      </c>
      <c r="M804" t="s">
        <v>18</v>
      </c>
    </row>
    <row r="805" spans="1:13">
      <c r="A805" t="s">
        <v>851</v>
      </c>
      <c r="B805" t="s">
        <v>686</v>
      </c>
      <c r="C805" t="s">
        <v>686</v>
      </c>
      <c r="D805" t="s">
        <v>23</v>
      </c>
      <c r="E805" t="s">
        <v>656</v>
      </c>
      <c r="F805" t="s">
        <v>31</v>
      </c>
      <c r="G805">
        <v>2015</v>
      </c>
      <c r="H805" s="12">
        <v>25.09</v>
      </c>
      <c r="I805" t="s">
        <v>3183</v>
      </c>
      <c r="J805" t="s">
        <v>18</v>
      </c>
      <c r="K805" t="s">
        <v>147</v>
      </c>
      <c r="L805" t="s">
        <v>3184</v>
      </c>
      <c r="M805" t="s">
        <v>18</v>
      </c>
    </row>
    <row r="806" spans="1:13">
      <c r="A806" t="s">
        <v>851</v>
      </c>
      <c r="B806" t="s">
        <v>686</v>
      </c>
      <c r="C806" t="s">
        <v>686</v>
      </c>
      <c r="D806" t="s">
        <v>23</v>
      </c>
      <c r="E806" t="s">
        <v>656</v>
      </c>
      <c r="F806" t="s">
        <v>31</v>
      </c>
      <c r="G806">
        <v>2020</v>
      </c>
      <c r="H806" s="12">
        <v>38.619999999999997</v>
      </c>
      <c r="I806" t="s">
        <v>3183</v>
      </c>
      <c r="J806" t="s">
        <v>18</v>
      </c>
      <c r="K806" t="s">
        <v>147</v>
      </c>
      <c r="L806" t="s">
        <v>3184</v>
      </c>
      <c r="M806" t="s">
        <v>18</v>
      </c>
    </row>
    <row r="807" spans="1:13">
      <c r="A807" t="s">
        <v>851</v>
      </c>
      <c r="B807" t="s">
        <v>686</v>
      </c>
      <c r="C807" t="s">
        <v>686</v>
      </c>
      <c r="D807" t="s">
        <v>23</v>
      </c>
      <c r="E807" t="s">
        <v>656</v>
      </c>
      <c r="F807" t="s">
        <v>31</v>
      </c>
      <c r="G807">
        <v>2030</v>
      </c>
      <c r="H807" s="12">
        <v>101.92</v>
      </c>
      <c r="I807" t="s">
        <v>3183</v>
      </c>
      <c r="J807" t="s">
        <v>18</v>
      </c>
      <c r="K807" t="s">
        <v>147</v>
      </c>
      <c r="L807" t="s">
        <v>3184</v>
      </c>
      <c r="M807" t="s">
        <v>18</v>
      </c>
    </row>
    <row r="808" spans="1:13">
      <c r="A808" t="s">
        <v>851</v>
      </c>
      <c r="B808" t="s">
        <v>686</v>
      </c>
      <c r="C808" t="s">
        <v>686</v>
      </c>
      <c r="D808" t="s">
        <v>23</v>
      </c>
      <c r="E808" t="s">
        <v>656</v>
      </c>
      <c r="F808" t="s">
        <v>31</v>
      </c>
      <c r="G808">
        <v>2035</v>
      </c>
      <c r="H808" s="12">
        <v>191.78</v>
      </c>
      <c r="I808" t="s">
        <v>3183</v>
      </c>
      <c r="J808" t="s">
        <v>18</v>
      </c>
      <c r="K808" t="s">
        <v>147</v>
      </c>
      <c r="L808" t="s">
        <v>3184</v>
      </c>
      <c r="M808" t="s">
        <v>18</v>
      </c>
    </row>
    <row r="809" spans="1:13">
      <c r="A809" t="s">
        <v>851</v>
      </c>
      <c r="B809" t="s">
        <v>686</v>
      </c>
      <c r="C809" t="s">
        <v>686</v>
      </c>
      <c r="D809" t="s">
        <v>23</v>
      </c>
      <c r="E809" t="s">
        <v>656</v>
      </c>
      <c r="F809" t="s">
        <v>31</v>
      </c>
      <c r="G809">
        <v>2040</v>
      </c>
      <c r="H809" s="12">
        <v>265.13</v>
      </c>
      <c r="I809" t="s">
        <v>3183</v>
      </c>
      <c r="J809" t="s">
        <v>18</v>
      </c>
      <c r="K809" t="s">
        <v>147</v>
      </c>
      <c r="L809" t="s">
        <v>3184</v>
      </c>
      <c r="M809" t="s">
        <v>18</v>
      </c>
    </row>
    <row r="810" spans="1:13">
      <c r="A810" t="s">
        <v>851</v>
      </c>
      <c r="B810" t="s">
        <v>686</v>
      </c>
      <c r="C810" t="s">
        <v>686</v>
      </c>
      <c r="D810" t="s">
        <v>23</v>
      </c>
      <c r="E810" t="s">
        <v>656</v>
      </c>
      <c r="F810" t="s">
        <v>31</v>
      </c>
      <c r="G810">
        <v>2045</v>
      </c>
      <c r="H810" s="12">
        <v>344.95</v>
      </c>
      <c r="I810" t="s">
        <v>3183</v>
      </c>
      <c r="J810" t="s">
        <v>18</v>
      </c>
      <c r="K810" t="s">
        <v>147</v>
      </c>
      <c r="L810" t="s">
        <v>3184</v>
      </c>
      <c r="M810" t="s">
        <v>18</v>
      </c>
    </row>
    <row r="811" spans="1:13">
      <c r="A811" t="s">
        <v>851</v>
      </c>
      <c r="B811" t="s">
        <v>686</v>
      </c>
      <c r="C811" t="s">
        <v>686</v>
      </c>
      <c r="D811" t="s">
        <v>23</v>
      </c>
      <c r="E811" t="s">
        <v>656</v>
      </c>
      <c r="F811" t="s">
        <v>31</v>
      </c>
      <c r="G811">
        <v>2050</v>
      </c>
      <c r="H811" s="12">
        <v>422.28</v>
      </c>
      <c r="I811" t="s">
        <v>3183</v>
      </c>
      <c r="J811" t="s">
        <v>18</v>
      </c>
      <c r="K811" t="s">
        <v>147</v>
      </c>
      <c r="L811" t="s">
        <v>3184</v>
      </c>
      <c r="M811" t="s">
        <v>18</v>
      </c>
    </row>
    <row r="812" spans="1:13">
      <c r="A812" t="s">
        <v>851</v>
      </c>
      <c r="B812" t="s">
        <v>687</v>
      </c>
      <c r="C812" t="s">
        <v>687</v>
      </c>
      <c r="D812" t="s">
        <v>23</v>
      </c>
      <c r="E812" t="s">
        <v>656</v>
      </c>
      <c r="F812" t="s">
        <v>31</v>
      </c>
      <c r="G812">
        <v>2030</v>
      </c>
      <c r="H812" s="12">
        <v>103.97</v>
      </c>
      <c r="I812" t="s">
        <v>3183</v>
      </c>
      <c r="J812" t="s">
        <v>18</v>
      </c>
      <c r="K812" t="s">
        <v>147</v>
      </c>
      <c r="L812" t="s">
        <v>3184</v>
      </c>
      <c r="M812" t="s">
        <v>18</v>
      </c>
    </row>
    <row r="813" spans="1:13">
      <c r="A813" t="s">
        <v>851</v>
      </c>
      <c r="B813" t="s">
        <v>687</v>
      </c>
      <c r="C813" t="s">
        <v>687</v>
      </c>
      <c r="D813" t="s">
        <v>23</v>
      </c>
      <c r="E813" t="s">
        <v>656</v>
      </c>
      <c r="F813" t="s">
        <v>31</v>
      </c>
      <c r="G813">
        <v>2035</v>
      </c>
      <c r="H813" s="12">
        <v>210.39</v>
      </c>
      <c r="I813" t="s">
        <v>3183</v>
      </c>
      <c r="J813" t="s">
        <v>18</v>
      </c>
      <c r="K813" t="s">
        <v>147</v>
      </c>
      <c r="L813" t="s">
        <v>3184</v>
      </c>
      <c r="M813" t="s">
        <v>18</v>
      </c>
    </row>
    <row r="814" spans="1:13">
      <c r="A814" t="s">
        <v>851</v>
      </c>
      <c r="B814" t="s">
        <v>687</v>
      </c>
      <c r="C814" t="s">
        <v>687</v>
      </c>
      <c r="D814" t="s">
        <v>23</v>
      </c>
      <c r="E814" t="s">
        <v>656</v>
      </c>
      <c r="F814" t="s">
        <v>31</v>
      </c>
      <c r="G814">
        <v>2040</v>
      </c>
      <c r="H814" s="12">
        <v>376.31</v>
      </c>
      <c r="I814" t="s">
        <v>3183</v>
      </c>
      <c r="J814" t="s">
        <v>18</v>
      </c>
      <c r="K814" t="s">
        <v>147</v>
      </c>
      <c r="L814" t="s">
        <v>3184</v>
      </c>
      <c r="M814" t="s">
        <v>18</v>
      </c>
    </row>
    <row r="815" spans="1:13">
      <c r="A815" t="s">
        <v>851</v>
      </c>
      <c r="B815" t="s">
        <v>687</v>
      </c>
      <c r="C815" t="s">
        <v>687</v>
      </c>
      <c r="D815" t="s">
        <v>23</v>
      </c>
      <c r="E815" t="s">
        <v>656</v>
      </c>
      <c r="F815" t="s">
        <v>31</v>
      </c>
      <c r="G815">
        <v>2045</v>
      </c>
      <c r="H815" s="12">
        <v>522.12</v>
      </c>
      <c r="I815" t="s">
        <v>3183</v>
      </c>
      <c r="J815" t="s">
        <v>18</v>
      </c>
      <c r="K815" t="s">
        <v>147</v>
      </c>
      <c r="L815" t="s">
        <v>3184</v>
      </c>
      <c r="M815" t="s">
        <v>18</v>
      </c>
    </row>
    <row r="816" spans="1:13">
      <c r="A816" t="s">
        <v>851</v>
      </c>
      <c r="B816" t="s">
        <v>687</v>
      </c>
      <c r="C816" t="s">
        <v>687</v>
      </c>
      <c r="D816" t="s">
        <v>23</v>
      </c>
      <c r="E816" t="s">
        <v>656</v>
      </c>
      <c r="F816" t="s">
        <v>31</v>
      </c>
      <c r="G816">
        <v>2050</v>
      </c>
      <c r="H816" s="12">
        <v>586.03</v>
      </c>
      <c r="I816" t="s">
        <v>3183</v>
      </c>
      <c r="J816" t="s">
        <v>18</v>
      </c>
      <c r="K816" t="s">
        <v>147</v>
      </c>
      <c r="L816" t="s">
        <v>3184</v>
      </c>
      <c r="M816" t="s">
        <v>18</v>
      </c>
    </row>
    <row r="817" spans="1:13">
      <c r="A817" t="s">
        <v>851</v>
      </c>
      <c r="B817" t="s">
        <v>686</v>
      </c>
      <c r="C817" t="s">
        <v>686</v>
      </c>
      <c r="D817" t="s">
        <v>23</v>
      </c>
      <c r="E817" t="s">
        <v>656</v>
      </c>
      <c r="F817" t="s">
        <v>31</v>
      </c>
      <c r="G817">
        <v>2010</v>
      </c>
      <c r="H817" s="12">
        <v>40.270000000000003</v>
      </c>
      <c r="I817" t="s">
        <v>3183</v>
      </c>
      <c r="J817" t="s">
        <v>14</v>
      </c>
      <c r="K817" t="s">
        <v>147</v>
      </c>
      <c r="L817" t="s">
        <v>3184</v>
      </c>
      <c r="M817" t="s">
        <v>14</v>
      </c>
    </row>
    <row r="818" spans="1:13">
      <c r="A818" t="s">
        <v>851</v>
      </c>
      <c r="B818" t="s">
        <v>686</v>
      </c>
      <c r="C818" t="s">
        <v>686</v>
      </c>
      <c r="D818" t="s">
        <v>23</v>
      </c>
      <c r="E818" t="s">
        <v>656</v>
      </c>
      <c r="F818" t="s">
        <v>31</v>
      </c>
      <c r="G818">
        <v>2015</v>
      </c>
      <c r="H818" s="12">
        <v>46.41</v>
      </c>
      <c r="I818" t="s">
        <v>3183</v>
      </c>
      <c r="J818" t="s">
        <v>14</v>
      </c>
      <c r="K818" t="s">
        <v>147</v>
      </c>
      <c r="L818" t="s">
        <v>3184</v>
      </c>
      <c r="M818" t="s">
        <v>14</v>
      </c>
    </row>
    <row r="819" spans="1:13">
      <c r="A819" t="s">
        <v>851</v>
      </c>
      <c r="B819" t="s">
        <v>686</v>
      </c>
      <c r="C819" t="s">
        <v>686</v>
      </c>
      <c r="D819" t="s">
        <v>23</v>
      </c>
      <c r="E819" t="s">
        <v>656</v>
      </c>
      <c r="F819" t="s">
        <v>31</v>
      </c>
      <c r="G819">
        <v>2020</v>
      </c>
      <c r="H819" s="12">
        <v>50.15</v>
      </c>
      <c r="I819" t="s">
        <v>3183</v>
      </c>
      <c r="J819" t="s">
        <v>14</v>
      </c>
      <c r="K819" t="s">
        <v>147</v>
      </c>
      <c r="L819" t="s">
        <v>3184</v>
      </c>
      <c r="M819" t="s">
        <v>14</v>
      </c>
    </row>
    <row r="820" spans="1:13">
      <c r="A820" t="s">
        <v>851</v>
      </c>
      <c r="B820" t="s">
        <v>686</v>
      </c>
      <c r="C820" t="s">
        <v>686</v>
      </c>
      <c r="D820" t="s">
        <v>23</v>
      </c>
      <c r="E820" t="s">
        <v>656</v>
      </c>
      <c r="F820" t="s">
        <v>31</v>
      </c>
      <c r="G820">
        <v>2030</v>
      </c>
      <c r="H820" s="12">
        <v>76.66</v>
      </c>
      <c r="I820" t="s">
        <v>3183</v>
      </c>
      <c r="J820" t="s">
        <v>14</v>
      </c>
      <c r="K820" t="s">
        <v>147</v>
      </c>
      <c r="L820" t="s">
        <v>3184</v>
      </c>
      <c r="M820" t="s">
        <v>14</v>
      </c>
    </row>
    <row r="821" spans="1:13">
      <c r="A821" t="s">
        <v>851</v>
      </c>
      <c r="B821" t="s">
        <v>686</v>
      </c>
      <c r="C821" t="s">
        <v>686</v>
      </c>
      <c r="D821" t="s">
        <v>23</v>
      </c>
      <c r="E821" t="s">
        <v>656</v>
      </c>
      <c r="F821" t="s">
        <v>31</v>
      </c>
      <c r="G821">
        <v>2035</v>
      </c>
      <c r="H821" s="12">
        <v>89.68</v>
      </c>
      <c r="I821" t="s">
        <v>3183</v>
      </c>
      <c r="J821" t="s">
        <v>14</v>
      </c>
      <c r="K821" t="s">
        <v>147</v>
      </c>
      <c r="L821" t="s">
        <v>3184</v>
      </c>
      <c r="M821" t="s">
        <v>14</v>
      </c>
    </row>
    <row r="822" spans="1:13">
      <c r="A822" t="s">
        <v>851</v>
      </c>
      <c r="B822" t="s">
        <v>686</v>
      </c>
      <c r="C822" t="s">
        <v>686</v>
      </c>
      <c r="D822" t="s">
        <v>23</v>
      </c>
      <c r="E822" t="s">
        <v>656</v>
      </c>
      <c r="F822" t="s">
        <v>31</v>
      </c>
      <c r="G822">
        <v>2040</v>
      </c>
      <c r="H822" s="12">
        <v>101.57</v>
      </c>
      <c r="I822" t="s">
        <v>3183</v>
      </c>
      <c r="J822" t="s">
        <v>14</v>
      </c>
      <c r="K822" t="s">
        <v>147</v>
      </c>
      <c r="L822" t="s">
        <v>3184</v>
      </c>
      <c r="M822" t="s">
        <v>14</v>
      </c>
    </row>
    <row r="823" spans="1:13">
      <c r="A823" t="s">
        <v>851</v>
      </c>
      <c r="B823" t="s">
        <v>686</v>
      </c>
      <c r="C823" t="s">
        <v>686</v>
      </c>
      <c r="D823" t="s">
        <v>23</v>
      </c>
      <c r="E823" t="s">
        <v>656</v>
      </c>
      <c r="F823" t="s">
        <v>31</v>
      </c>
      <c r="G823">
        <v>2045</v>
      </c>
      <c r="H823" s="12">
        <v>113.19</v>
      </c>
      <c r="I823" t="s">
        <v>3183</v>
      </c>
      <c r="J823" t="s">
        <v>14</v>
      </c>
      <c r="K823" t="s">
        <v>147</v>
      </c>
      <c r="L823" t="s">
        <v>3184</v>
      </c>
      <c r="M823" t="s">
        <v>14</v>
      </c>
    </row>
    <row r="824" spans="1:13">
      <c r="A824" t="s">
        <v>851</v>
      </c>
      <c r="B824" t="s">
        <v>686</v>
      </c>
      <c r="C824" t="s">
        <v>686</v>
      </c>
      <c r="D824" t="s">
        <v>23</v>
      </c>
      <c r="E824" t="s">
        <v>656</v>
      </c>
      <c r="F824" t="s">
        <v>31</v>
      </c>
      <c r="G824">
        <v>2050</v>
      </c>
      <c r="H824" s="12">
        <v>125.21</v>
      </c>
      <c r="I824" t="s">
        <v>3183</v>
      </c>
      <c r="J824" t="s">
        <v>14</v>
      </c>
      <c r="K824" t="s">
        <v>147</v>
      </c>
      <c r="L824" t="s">
        <v>3184</v>
      </c>
      <c r="M824" t="s">
        <v>14</v>
      </c>
    </row>
    <row r="825" spans="1:13">
      <c r="A825" t="s">
        <v>851</v>
      </c>
      <c r="B825" t="s">
        <v>687</v>
      </c>
      <c r="C825" t="s">
        <v>687</v>
      </c>
      <c r="D825" t="s">
        <v>23</v>
      </c>
      <c r="E825" t="s">
        <v>656</v>
      </c>
      <c r="F825" t="s">
        <v>31</v>
      </c>
      <c r="G825">
        <v>2030</v>
      </c>
      <c r="H825" s="12">
        <v>76.66</v>
      </c>
      <c r="I825" t="s">
        <v>3183</v>
      </c>
      <c r="J825" t="s">
        <v>14</v>
      </c>
      <c r="K825" t="s">
        <v>147</v>
      </c>
      <c r="L825" t="s">
        <v>3184</v>
      </c>
      <c r="M825" t="s">
        <v>14</v>
      </c>
    </row>
    <row r="826" spans="1:13">
      <c r="A826" t="s">
        <v>851</v>
      </c>
      <c r="B826" t="s">
        <v>687</v>
      </c>
      <c r="C826" t="s">
        <v>687</v>
      </c>
      <c r="D826" t="s">
        <v>23</v>
      </c>
      <c r="E826" t="s">
        <v>656</v>
      </c>
      <c r="F826" t="s">
        <v>31</v>
      </c>
      <c r="G826">
        <v>2035</v>
      </c>
      <c r="H826" s="12">
        <v>96.35</v>
      </c>
      <c r="I826" t="s">
        <v>3183</v>
      </c>
      <c r="J826" t="s">
        <v>14</v>
      </c>
      <c r="K826" t="s">
        <v>147</v>
      </c>
      <c r="L826" t="s">
        <v>3184</v>
      </c>
      <c r="M826" t="s">
        <v>14</v>
      </c>
    </row>
    <row r="827" spans="1:13">
      <c r="A827" t="s">
        <v>851</v>
      </c>
      <c r="B827" t="s">
        <v>687</v>
      </c>
      <c r="C827" t="s">
        <v>687</v>
      </c>
      <c r="D827" t="s">
        <v>23</v>
      </c>
      <c r="E827" t="s">
        <v>656</v>
      </c>
      <c r="F827" t="s">
        <v>31</v>
      </c>
      <c r="G827">
        <v>2040</v>
      </c>
      <c r="H827" s="12">
        <v>111.17</v>
      </c>
      <c r="I827" t="s">
        <v>3183</v>
      </c>
      <c r="J827" t="s">
        <v>14</v>
      </c>
      <c r="K827" t="s">
        <v>147</v>
      </c>
      <c r="L827" t="s">
        <v>3184</v>
      </c>
      <c r="M827" t="s">
        <v>14</v>
      </c>
    </row>
    <row r="828" spans="1:13">
      <c r="A828" t="s">
        <v>851</v>
      </c>
      <c r="B828" t="s">
        <v>687</v>
      </c>
      <c r="C828" t="s">
        <v>687</v>
      </c>
      <c r="D828" t="s">
        <v>23</v>
      </c>
      <c r="E828" t="s">
        <v>656</v>
      </c>
      <c r="F828" t="s">
        <v>31</v>
      </c>
      <c r="G828">
        <v>2045</v>
      </c>
      <c r="H828" s="12">
        <v>121.87</v>
      </c>
      <c r="I828" t="s">
        <v>3183</v>
      </c>
      <c r="J828" t="s">
        <v>14</v>
      </c>
      <c r="K828" t="s">
        <v>147</v>
      </c>
      <c r="L828" t="s">
        <v>3184</v>
      </c>
      <c r="M828" t="s">
        <v>14</v>
      </c>
    </row>
    <row r="829" spans="1:13">
      <c r="A829" t="s">
        <v>851</v>
      </c>
      <c r="B829" t="s">
        <v>687</v>
      </c>
      <c r="C829" t="s">
        <v>687</v>
      </c>
      <c r="D829" t="s">
        <v>23</v>
      </c>
      <c r="E829" t="s">
        <v>656</v>
      </c>
      <c r="F829" t="s">
        <v>31</v>
      </c>
      <c r="G829">
        <v>2050</v>
      </c>
      <c r="H829" s="12">
        <v>129.93</v>
      </c>
      <c r="I829" t="s">
        <v>3183</v>
      </c>
      <c r="J829" t="s">
        <v>14</v>
      </c>
      <c r="K829" t="s">
        <v>147</v>
      </c>
      <c r="L829" t="s">
        <v>3184</v>
      </c>
      <c r="M829" t="s">
        <v>14</v>
      </c>
    </row>
    <row r="830" spans="1:13">
      <c r="A830" t="s">
        <v>851</v>
      </c>
      <c r="B830" t="s">
        <v>686</v>
      </c>
      <c r="C830" t="s">
        <v>686</v>
      </c>
      <c r="D830" t="s">
        <v>23</v>
      </c>
      <c r="E830" t="s">
        <v>656</v>
      </c>
      <c r="F830" t="s">
        <v>31</v>
      </c>
      <c r="G830">
        <v>2010</v>
      </c>
      <c r="H830" s="12">
        <v>3.9</v>
      </c>
      <c r="I830" t="s">
        <v>3183</v>
      </c>
      <c r="J830" t="s">
        <v>41</v>
      </c>
      <c r="K830" t="s">
        <v>147</v>
      </c>
      <c r="L830" t="s">
        <v>3184</v>
      </c>
      <c r="M830" t="s">
        <v>669</v>
      </c>
    </row>
    <row r="831" spans="1:13">
      <c r="A831" t="s">
        <v>851</v>
      </c>
      <c r="B831" t="s">
        <v>686</v>
      </c>
      <c r="C831" t="s">
        <v>686</v>
      </c>
      <c r="D831" t="s">
        <v>23</v>
      </c>
      <c r="E831" t="s">
        <v>656</v>
      </c>
      <c r="F831" t="s">
        <v>31</v>
      </c>
      <c r="G831">
        <v>2015</v>
      </c>
      <c r="H831" s="12">
        <v>7.42</v>
      </c>
      <c r="I831" t="s">
        <v>3183</v>
      </c>
      <c r="J831" t="s">
        <v>41</v>
      </c>
      <c r="K831" t="s">
        <v>147</v>
      </c>
      <c r="L831" t="s">
        <v>3184</v>
      </c>
      <c r="M831" t="s">
        <v>669</v>
      </c>
    </row>
    <row r="832" spans="1:13">
      <c r="A832" t="s">
        <v>851</v>
      </c>
      <c r="B832" t="s">
        <v>686</v>
      </c>
      <c r="C832" t="s">
        <v>686</v>
      </c>
      <c r="D832" t="s">
        <v>23</v>
      </c>
      <c r="E832" t="s">
        <v>656</v>
      </c>
      <c r="F832" t="s">
        <v>31</v>
      </c>
      <c r="G832">
        <v>2020</v>
      </c>
      <c r="H832" s="12">
        <v>12.48</v>
      </c>
      <c r="I832" t="s">
        <v>3183</v>
      </c>
      <c r="J832" t="s">
        <v>41</v>
      </c>
      <c r="K832" t="s">
        <v>147</v>
      </c>
      <c r="L832" t="s">
        <v>3184</v>
      </c>
      <c r="M832" t="s">
        <v>669</v>
      </c>
    </row>
    <row r="833" spans="1:13">
      <c r="A833" t="s">
        <v>851</v>
      </c>
      <c r="B833" t="s">
        <v>686</v>
      </c>
      <c r="C833" t="s">
        <v>686</v>
      </c>
      <c r="D833" t="s">
        <v>23</v>
      </c>
      <c r="E833" t="s">
        <v>656</v>
      </c>
      <c r="F833" t="s">
        <v>31</v>
      </c>
      <c r="G833">
        <v>2030</v>
      </c>
      <c r="H833" s="12">
        <v>15.22</v>
      </c>
      <c r="I833" t="s">
        <v>3183</v>
      </c>
      <c r="J833" t="s">
        <v>41</v>
      </c>
      <c r="K833" t="s">
        <v>147</v>
      </c>
      <c r="L833" t="s">
        <v>3184</v>
      </c>
      <c r="M833" t="s">
        <v>669</v>
      </c>
    </row>
    <row r="834" spans="1:13">
      <c r="A834" t="s">
        <v>851</v>
      </c>
      <c r="B834" t="s">
        <v>686</v>
      </c>
      <c r="C834" t="s">
        <v>686</v>
      </c>
      <c r="D834" t="s">
        <v>23</v>
      </c>
      <c r="E834" t="s">
        <v>656</v>
      </c>
      <c r="F834" t="s">
        <v>31</v>
      </c>
      <c r="G834">
        <v>2035</v>
      </c>
      <c r="H834" s="12">
        <v>17.68</v>
      </c>
      <c r="I834" t="s">
        <v>3183</v>
      </c>
      <c r="J834" t="s">
        <v>41</v>
      </c>
      <c r="K834" t="s">
        <v>147</v>
      </c>
      <c r="L834" t="s">
        <v>3184</v>
      </c>
      <c r="M834" t="s">
        <v>669</v>
      </c>
    </row>
    <row r="835" spans="1:13">
      <c r="A835" t="s">
        <v>851</v>
      </c>
      <c r="B835" t="s">
        <v>686</v>
      </c>
      <c r="C835" t="s">
        <v>686</v>
      </c>
      <c r="D835" t="s">
        <v>23</v>
      </c>
      <c r="E835" t="s">
        <v>656</v>
      </c>
      <c r="F835" t="s">
        <v>31</v>
      </c>
      <c r="G835">
        <v>2040</v>
      </c>
      <c r="H835" s="12">
        <v>20.36</v>
      </c>
      <c r="I835" t="s">
        <v>3183</v>
      </c>
      <c r="J835" t="s">
        <v>41</v>
      </c>
      <c r="K835" t="s">
        <v>147</v>
      </c>
      <c r="L835" t="s">
        <v>3184</v>
      </c>
      <c r="M835" t="s">
        <v>669</v>
      </c>
    </row>
    <row r="836" spans="1:13">
      <c r="A836" t="s">
        <v>851</v>
      </c>
      <c r="B836" t="s">
        <v>686</v>
      </c>
      <c r="C836" t="s">
        <v>686</v>
      </c>
      <c r="D836" t="s">
        <v>23</v>
      </c>
      <c r="E836" t="s">
        <v>656</v>
      </c>
      <c r="F836" t="s">
        <v>31</v>
      </c>
      <c r="G836">
        <v>2045</v>
      </c>
      <c r="H836" s="12">
        <v>23.82</v>
      </c>
      <c r="I836" t="s">
        <v>3183</v>
      </c>
      <c r="J836" t="s">
        <v>41</v>
      </c>
      <c r="K836" t="s">
        <v>147</v>
      </c>
      <c r="L836" t="s">
        <v>3184</v>
      </c>
      <c r="M836" t="s">
        <v>669</v>
      </c>
    </row>
    <row r="837" spans="1:13">
      <c r="A837" t="s">
        <v>851</v>
      </c>
      <c r="B837" t="s">
        <v>686</v>
      </c>
      <c r="C837" t="s">
        <v>686</v>
      </c>
      <c r="D837" t="s">
        <v>23</v>
      </c>
      <c r="E837" t="s">
        <v>656</v>
      </c>
      <c r="F837" t="s">
        <v>31</v>
      </c>
      <c r="G837">
        <v>2050</v>
      </c>
      <c r="H837" s="12">
        <v>27.64</v>
      </c>
      <c r="I837" t="s">
        <v>3183</v>
      </c>
      <c r="J837" t="s">
        <v>41</v>
      </c>
      <c r="K837" t="s">
        <v>147</v>
      </c>
      <c r="L837" t="s">
        <v>3184</v>
      </c>
      <c r="M837" t="s">
        <v>669</v>
      </c>
    </row>
    <row r="838" spans="1:13">
      <c r="A838" t="s">
        <v>851</v>
      </c>
      <c r="B838" t="s">
        <v>687</v>
      </c>
      <c r="C838" t="s">
        <v>687</v>
      </c>
      <c r="D838" t="s">
        <v>23</v>
      </c>
      <c r="E838" t="s">
        <v>656</v>
      </c>
      <c r="F838" t="s">
        <v>31</v>
      </c>
      <c r="G838">
        <v>2030</v>
      </c>
      <c r="H838" s="12">
        <v>15.86</v>
      </c>
      <c r="I838" t="s">
        <v>3183</v>
      </c>
      <c r="J838" t="s">
        <v>41</v>
      </c>
      <c r="K838" t="s">
        <v>147</v>
      </c>
      <c r="L838" t="s">
        <v>3184</v>
      </c>
      <c r="M838" t="s">
        <v>669</v>
      </c>
    </row>
    <row r="839" spans="1:13">
      <c r="A839" t="s">
        <v>851</v>
      </c>
      <c r="B839" t="s">
        <v>687</v>
      </c>
      <c r="C839" t="s">
        <v>687</v>
      </c>
      <c r="D839" t="s">
        <v>23</v>
      </c>
      <c r="E839" t="s">
        <v>656</v>
      </c>
      <c r="F839" t="s">
        <v>31</v>
      </c>
      <c r="G839">
        <v>2035</v>
      </c>
      <c r="H839" s="12">
        <v>24.15</v>
      </c>
      <c r="I839" t="s">
        <v>3183</v>
      </c>
      <c r="J839" t="s">
        <v>41</v>
      </c>
      <c r="K839" t="s">
        <v>147</v>
      </c>
      <c r="L839" t="s">
        <v>3184</v>
      </c>
      <c r="M839" t="s">
        <v>669</v>
      </c>
    </row>
    <row r="840" spans="1:13">
      <c r="A840" t="s">
        <v>851</v>
      </c>
      <c r="B840" t="s">
        <v>687</v>
      </c>
      <c r="C840" t="s">
        <v>687</v>
      </c>
      <c r="D840" t="s">
        <v>23</v>
      </c>
      <c r="E840" t="s">
        <v>656</v>
      </c>
      <c r="F840" t="s">
        <v>31</v>
      </c>
      <c r="G840">
        <v>2040</v>
      </c>
      <c r="H840" s="12">
        <v>37.9</v>
      </c>
      <c r="I840" t="s">
        <v>3183</v>
      </c>
      <c r="J840" t="s">
        <v>41</v>
      </c>
      <c r="K840" t="s">
        <v>147</v>
      </c>
      <c r="L840" t="s">
        <v>3184</v>
      </c>
      <c r="M840" t="s">
        <v>669</v>
      </c>
    </row>
    <row r="841" spans="1:13">
      <c r="A841" t="s">
        <v>851</v>
      </c>
      <c r="B841" t="s">
        <v>687</v>
      </c>
      <c r="C841" t="s">
        <v>687</v>
      </c>
      <c r="D841" t="s">
        <v>23</v>
      </c>
      <c r="E841" t="s">
        <v>656</v>
      </c>
      <c r="F841" t="s">
        <v>31</v>
      </c>
      <c r="G841">
        <v>2045</v>
      </c>
      <c r="H841" s="12">
        <v>54.85</v>
      </c>
      <c r="I841" t="s">
        <v>3183</v>
      </c>
      <c r="J841" t="s">
        <v>41</v>
      </c>
      <c r="K841" t="s">
        <v>147</v>
      </c>
      <c r="L841" t="s">
        <v>3184</v>
      </c>
      <c r="M841" t="s">
        <v>669</v>
      </c>
    </row>
    <row r="842" spans="1:13">
      <c r="A842" t="s">
        <v>851</v>
      </c>
      <c r="B842" t="s">
        <v>687</v>
      </c>
      <c r="C842" t="s">
        <v>687</v>
      </c>
      <c r="D842" t="s">
        <v>23</v>
      </c>
      <c r="E842" t="s">
        <v>656</v>
      </c>
      <c r="F842" t="s">
        <v>31</v>
      </c>
      <c r="G842">
        <v>2050</v>
      </c>
      <c r="H842" s="12">
        <v>72.19</v>
      </c>
      <c r="I842" t="s">
        <v>3183</v>
      </c>
      <c r="J842" t="s">
        <v>41</v>
      </c>
      <c r="K842" t="s">
        <v>147</v>
      </c>
      <c r="L842" t="s">
        <v>3184</v>
      </c>
      <c r="M842" t="s">
        <v>669</v>
      </c>
    </row>
    <row r="843" spans="1:13">
      <c r="A843" t="s">
        <v>851</v>
      </c>
      <c r="B843" t="s">
        <v>686</v>
      </c>
      <c r="C843" t="s">
        <v>686</v>
      </c>
      <c r="D843" t="s">
        <v>23</v>
      </c>
      <c r="E843" t="s">
        <v>656</v>
      </c>
      <c r="F843" t="s">
        <v>31</v>
      </c>
      <c r="G843">
        <v>2010</v>
      </c>
      <c r="H843" s="12">
        <v>4.5599999999999996</v>
      </c>
      <c r="I843" t="s">
        <v>3183</v>
      </c>
      <c r="J843" t="s">
        <v>15</v>
      </c>
      <c r="K843" t="s">
        <v>147</v>
      </c>
      <c r="L843" t="s">
        <v>3184</v>
      </c>
      <c r="M843" t="s">
        <v>15</v>
      </c>
    </row>
    <row r="844" spans="1:13">
      <c r="A844" t="s">
        <v>851</v>
      </c>
      <c r="B844" t="s">
        <v>686</v>
      </c>
      <c r="C844" t="s">
        <v>686</v>
      </c>
      <c r="D844" t="s">
        <v>23</v>
      </c>
      <c r="E844" t="s">
        <v>656</v>
      </c>
      <c r="F844" t="s">
        <v>31</v>
      </c>
      <c r="G844">
        <v>2015</v>
      </c>
      <c r="H844" s="12">
        <v>5.78</v>
      </c>
      <c r="I844" t="s">
        <v>3183</v>
      </c>
      <c r="J844" t="s">
        <v>15</v>
      </c>
      <c r="K844" t="s">
        <v>147</v>
      </c>
      <c r="L844" t="s">
        <v>3184</v>
      </c>
      <c r="M844" t="s">
        <v>15</v>
      </c>
    </row>
    <row r="845" spans="1:13">
      <c r="A845" t="s">
        <v>851</v>
      </c>
      <c r="B845" t="s">
        <v>686</v>
      </c>
      <c r="C845" t="s">
        <v>686</v>
      </c>
      <c r="D845" t="s">
        <v>23</v>
      </c>
      <c r="E845" t="s">
        <v>656</v>
      </c>
      <c r="F845" t="s">
        <v>31</v>
      </c>
      <c r="G845">
        <v>2020</v>
      </c>
      <c r="H845" s="12">
        <v>6.78</v>
      </c>
      <c r="I845" t="s">
        <v>3183</v>
      </c>
      <c r="J845" t="s">
        <v>15</v>
      </c>
      <c r="K845" t="s">
        <v>147</v>
      </c>
      <c r="L845" t="s">
        <v>3184</v>
      </c>
      <c r="M845" t="s">
        <v>15</v>
      </c>
    </row>
    <row r="846" spans="1:13">
      <c r="A846" t="s">
        <v>851</v>
      </c>
      <c r="B846" t="s">
        <v>687</v>
      </c>
      <c r="C846" t="s">
        <v>687</v>
      </c>
      <c r="D846" t="s">
        <v>23</v>
      </c>
      <c r="E846" t="s">
        <v>461</v>
      </c>
      <c r="F846" t="s">
        <v>668</v>
      </c>
      <c r="G846">
        <v>2035</v>
      </c>
      <c r="H846" s="12">
        <v>999.62</v>
      </c>
      <c r="I846" t="s">
        <v>3183</v>
      </c>
      <c r="J846" t="s">
        <v>17</v>
      </c>
      <c r="K846" t="s">
        <v>147</v>
      </c>
      <c r="L846" t="s">
        <v>3184</v>
      </c>
      <c r="M846" t="s">
        <v>671</v>
      </c>
    </row>
    <row r="847" spans="1:13">
      <c r="A847" t="s">
        <v>851</v>
      </c>
      <c r="B847" t="s">
        <v>687</v>
      </c>
      <c r="C847" t="s">
        <v>687</v>
      </c>
      <c r="D847" t="s">
        <v>23</v>
      </c>
      <c r="E847" t="s">
        <v>461</v>
      </c>
      <c r="F847" t="s">
        <v>668</v>
      </c>
      <c r="G847">
        <v>2040</v>
      </c>
      <c r="H847" s="12">
        <v>1821.49</v>
      </c>
      <c r="I847" t="s">
        <v>3183</v>
      </c>
      <c r="J847" t="s">
        <v>17</v>
      </c>
      <c r="K847" t="s">
        <v>147</v>
      </c>
      <c r="L847" t="s">
        <v>3184</v>
      </c>
      <c r="M847" t="s">
        <v>671</v>
      </c>
    </row>
    <row r="848" spans="1:13">
      <c r="A848" t="s">
        <v>851</v>
      </c>
      <c r="B848" t="s">
        <v>687</v>
      </c>
      <c r="C848" t="s">
        <v>687</v>
      </c>
      <c r="D848" t="s">
        <v>23</v>
      </c>
      <c r="E848" t="s">
        <v>461</v>
      </c>
      <c r="F848" t="s">
        <v>668</v>
      </c>
      <c r="G848">
        <v>2045</v>
      </c>
      <c r="H848" s="12">
        <v>2478.4299999999998</v>
      </c>
      <c r="I848" t="s">
        <v>3183</v>
      </c>
      <c r="J848" t="s">
        <v>17</v>
      </c>
      <c r="K848" t="s">
        <v>147</v>
      </c>
      <c r="L848" t="s">
        <v>3184</v>
      </c>
      <c r="M848" t="s">
        <v>671</v>
      </c>
    </row>
    <row r="849" spans="1:13">
      <c r="A849" t="s">
        <v>851</v>
      </c>
      <c r="B849" t="s">
        <v>687</v>
      </c>
      <c r="C849" t="s">
        <v>687</v>
      </c>
      <c r="D849" t="s">
        <v>23</v>
      </c>
      <c r="E849" t="s">
        <v>461</v>
      </c>
      <c r="F849" t="s">
        <v>668</v>
      </c>
      <c r="G849">
        <v>2050</v>
      </c>
      <c r="H849" s="12">
        <v>3144.41</v>
      </c>
      <c r="I849" t="s">
        <v>3183</v>
      </c>
      <c r="J849" t="s">
        <v>17</v>
      </c>
      <c r="K849" t="s">
        <v>147</v>
      </c>
      <c r="L849" t="s">
        <v>3184</v>
      </c>
      <c r="M849" t="s">
        <v>671</v>
      </c>
    </row>
    <row r="850" spans="1:13">
      <c r="A850" t="s">
        <v>851</v>
      </c>
      <c r="B850" t="s">
        <v>686</v>
      </c>
      <c r="C850" t="s">
        <v>686</v>
      </c>
      <c r="D850" t="s">
        <v>23</v>
      </c>
      <c r="E850" t="s">
        <v>461</v>
      </c>
      <c r="F850" t="s">
        <v>668</v>
      </c>
      <c r="G850">
        <v>2010</v>
      </c>
      <c r="H850" s="12">
        <v>19.66</v>
      </c>
      <c r="I850" t="s">
        <v>3183</v>
      </c>
      <c r="J850" t="s">
        <v>18</v>
      </c>
      <c r="K850" t="s">
        <v>147</v>
      </c>
      <c r="L850" t="s">
        <v>3184</v>
      </c>
      <c r="M850" t="s">
        <v>18</v>
      </c>
    </row>
    <row r="851" spans="1:13">
      <c r="A851" t="s">
        <v>851</v>
      </c>
      <c r="B851" t="s">
        <v>686</v>
      </c>
      <c r="C851" t="s">
        <v>686</v>
      </c>
      <c r="D851" t="s">
        <v>23</v>
      </c>
      <c r="E851" t="s">
        <v>461</v>
      </c>
      <c r="F851" t="s">
        <v>668</v>
      </c>
      <c r="G851">
        <v>2015</v>
      </c>
      <c r="H851" s="12">
        <v>35.08</v>
      </c>
      <c r="I851" t="s">
        <v>3183</v>
      </c>
      <c r="J851" t="s">
        <v>18</v>
      </c>
      <c r="K851" t="s">
        <v>147</v>
      </c>
      <c r="L851" t="s">
        <v>3184</v>
      </c>
      <c r="M851" t="s">
        <v>18</v>
      </c>
    </row>
    <row r="852" spans="1:13">
      <c r="A852" t="s">
        <v>851</v>
      </c>
      <c r="B852" t="s">
        <v>686</v>
      </c>
      <c r="C852" t="s">
        <v>686</v>
      </c>
      <c r="D852" t="s">
        <v>23</v>
      </c>
      <c r="E852" t="s">
        <v>461</v>
      </c>
      <c r="F852" t="s">
        <v>668</v>
      </c>
      <c r="G852">
        <v>2020</v>
      </c>
      <c r="H852" s="12">
        <v>67.42</v>
      </c>
      <c r="I852" t="s">
        <v>3183</v>
      </c>
      <c r="J852" t="s">
        <v>18</v>
      </c>
      <c r="K852" t="s">
        <v>147</v>
      </c>
      <c r="L852" t="s">
        <v>3184</v>
      </c>
      <c r="M852" t="s">
        <v>18</v>
      </c>
    </row>
    <row r="853" spans="1:13">
      <c r="A853" t="s">
        <v>851</v>
      </c>
      <c r="B853" t="s">
        <v>686</v>
      </c>
      <c r="C853" t="s">
        <v>686</v>
      </c>
      <c r="D853" t="s">
        <v>23</v>
      </c>
      <c r="E853" t="s">
        <v>461</v>
      </c>
      <c r="F853" t="s">
        <v>668</v>
      </c>
      <c r="G853">
        <v>2030</v>
      </c>
      <c r="H853" s="12">
        <v>210.78</v>
      </c>
      <c r="I853" t="s">
        <v>3183</v>
      </c>
      <c r="J853" t="s">
        <v>18</v>
      </c>
      <c r="K853" t="s">
        <v>147</v>
      </c>
      <c r="L853" t="s">
        <v>3184</v>
      </c>
      <c r="M853" t="s">
        <v>18</v>
      </c>
    </row>
    <row r="854" spans="1:13">
      <c r="A854" t="s">
        <v>851</v>
      </c>
      <c r="B854" t="s">
        <v>686</v>
      </c>
      <c r="C854" t="s">
        <v>686</v>
      </c>
      <c r="D854" t="s">
        <v>23</v>
      </c>
      <c r="E854" t="s">
        <v>461</v>
      </c>
      <c r="F854" t="s">
        <v>668</v>
      </c>
      <c r="G854">
        <v>2035</v>
      </c>
      <c r="H854" s="12">
        <v>444.76</v>
      </c>
      <c r="I854" t="s">
        <v>3183</v>
      </c>
      <c r="J854" t="s">
        <v>18</v>
      </c>
      <c r="K854" t="s">
        <v>147</v>
      </c>
      <c r="L854" t="s">
        <v>3184</v>
      </c>
      <c r="M854" t="s">
        <v>18</v>
      </c>
    </row>
    <row r="855" spans="1:13">
      <c r="A855" t="s">
        <v>851</v>
      </c>
      <c r="B855" t="s">
        <v>686</v>
      </c>
      <c r="C855" t="s">
        <v>686</v>
      </c>
      <c r="D855" t="s">
        <v>23</v>
      </c>
      <c r="E855" t="s">
        <v>461</v>
      </c>
      <c r="F855" t="s">
        <v>668</v>
      </c>
      <c r="G855">
        <v>2040</v>
      </c>
      <c r="H855" s="12">
        <v>664.29</v>
      </c>
      <c r="I855" t="s">
        <v>3183</v>
      </c>
      <c r="J855" t="s">
        <v>18</v>
      </c>
      <c r="K855" t="s">
        <v>147</v>
      </c>
      <c r="L855" t="s">
        <v>3184</v>
      </c>
      <c r="M855" t="s">
        <v>18</v>
      </c>
    </row>
    <row r="856" spans="1:13">
      <c r="A856" t="s">
        <v>851</v>
      </c>
      <c r="B856" t="s">
        <v>686</v>
      </c>
      <c r="C856" t="s">
        <v>686</v>
      </c>
      <c r="D856" t="s">
        <v>23</v>
      </c>
      <c r="E856" t="s">
        <v>461</v>
      </c>
      <c r="F856" t="s">
        <v>668</v>
      </c>
      <c r="G856">
        <v>2045</v>
      </c>
      <c r="H856" s="12">
        <v>891.77</v>
      </c>
      <c r="I856" t="s">
        <v>3183</v>
      </c>
      <c r="J856" t="s">
        <v>18</v>
      </c>
      <c r="K856" t="s">
        <v>147</v>
      </c>
      <c r="L856" t="s">
        <v>3184</v>
      </c>
      <c r="M856" t="s">
        <v>18</v>
      </c>
    </row>
    <row r="857" spans="1:13">
      <c r="A857" t="s">
        <v>851</v>
      </c>
      <c r="B857" t="s">
        <v>686</v>
      </c>
      <c r="C857" t="s">
        <v>686</v>
      </c>
      <c r="D857" t="s">
        <v>23</v>
      </c>
      <c r="E857" t="s">
        <v>461</v>
      </c>
      <c r="F857" t="s">
        <v>668</v>
      </c>
      <c r="G857">
        <v>2050</v>
      </c>
      <c r="H857" s="12">
        <v>1115.72</v>
      </c>
      <c r="I857" t="s">
        <v>3183</v>
      </c>
      <c r="J857" t="s">
        <v>18</v>
      </c>
      <c r="K857" t="s">
        <v>147</v>
      </c>
      <c r="L857" t="s">
        <v>3184</v>
      </c>
      <c r="M857" t="s">
        <v>18</v>
      </c>
    </row>
    <row r="858" spans="1:13">
      <c r="A858" t="s">
        <v>851</v>
      </c>
      <c r="B858" t="s">
        <v>687</v>
      </c>
      <c r="C858" t="s">
        <v>687</v>
      </c>
      <c r="D858" t="s">
        <v>23</v>
      </c>
      <c r="E858" t="s">
        <v>461</v>
      </c>
      <c r="F858" t="s">
        <v>668</v>
      </c>
      <c r="G858">
        <v>2030</v>
      </c>
      <c r="H858" s="12">
        <v>213.49</v>
      </c>
      <c r="I858" t="s">
        <v>3183</v>
      </c>
      <c r="J858" t="s">
        <v>18</v>
      </c>
      <c r="K858" t="s">
        <v>147</v>
      </c>
      <c r="L858" t="s">
        <v>3184</v>
      </c>
      <c r="M858" t="s">
        <v>18</v>
      </c>
    </row>
    <row r="859" spans="1:13">
      <c r="A859" t="s">
        <v>851</v>
      </c>
      <c r="B859" t="s">
        <v>687</v>
      </c>
      <c r="C859" t="s">
        <v>687</v>
      </c>
      <c r="D859" t="s">
        <v>23</v>
      </c>
      <c r="E859" t="s">
        <v>461</v>
      </c>
      <c r="F859" t="s">
        <v>668</v>
      </c>
      <c r="G859">
        <v>2035</v>
      </c>
      <c r="H859" s="12">
        <v>480.95</v>
      </c>
      <c r="I859" t="s">
        <v>3183</v>
      </c>
      <c r="J859" t="s">
        <v>18</v>
      </c>
      <c r="K859" t="s">
        <v>147</v>
      </c>
      <c r="L859" t="s">
        <v>3184</v>
      </c>
      <c r="M859" t="s">
        <v>18</v>
      </c>
    </row>
    <row r="860" spans="1:13">
      <c r="A860" t="s">
        <v>851</v>
      </c>
      <c r="B860" t="s">
        <v>687</v>
      </c>
      <c r="C860" t="s">
        <v>687</v>
      </c>
      <c r="D860" t="s">
        <v>23</v>
      </c>
      <c r="E860" t="s">
        <v>461</v>
      </c>
      <c r="F860" t="s">
        <v>668</v>
      </c>
      <c r="G860">
        <v>2040</v>
      </c>
      <c r="H860" s="12">
        <v>918.25</v>
      </c>
      <c r="I860" t="s">
        <v>3183</v>
      </c>
      <c r="J860" t="s">
        <v>18</v>
      </c>
      <c r="K860" t="s">
        <v>147</v>
      </c>
      <c r="L860" t="s">
        <v>3184</v>
      </c>
      <c r="M860" t="s">
        <v>18</v>
      </c>
    </row>
    <row r="861" spans="1:13">
      <c r="A861" t="s">
        <v>851</v>
      </c>
      <c r="B861" t="s">
        <v>687</v>
      </c>
      <c r="C861" t="s">
        <v>687</v>
      </c>
      <c r="D861" t="s">
        <v>23</v>
      </c>
      <c r="E861" t="s">
        <v>461</v>
      </c>
      <c r="F861" t="s">
        <v>668</v>
      </c>
      <c r="G861">
        <v>2045</v>
      </c>
      <c r="H861" s="12">
        <v>1345.18</v>
      </c>
      <c r="I861" t="s">
        <v>3183</v>
      </c>
      <c r="J861" t="s">
        <v>18</v>
      </c>
      <c r="K861" t="s">
        <v>147</v>
      </c>
      <c r="L861" t="s">
        <v>3184</v>
      </c>
      <c r="M861" t="s">
        <v>18</v>
      </c>
    </row>
    <row r="862" spans="1:13">
      <c r="A862" t="s">
        <v>851</v>
      </c>
      <c r="B862" t="s">
        <v>687</v>
      </c>
      <c r="C862" t="s">
        <v>687</v>
      </c>
      <c r="D862" t="s">
        <v>23</v>
      </c>
      <c r="E862" t="s">
        <v>461</v>
      </c>
      <c r="F862" t="s">
        <v>668</v>
      </c>
      <c r="G862">
        <v>2050</v>
      </c>
      <c r="H862" s="12">
        <v>1550.12</v>
      </c>
      <c r="I862" t="s">
        <v>3183</v>
      </c>
      <c r="J862" t="s">
        <v>18</v>
      </c>
      <c r="K862" t="s">
        <v>147</v>
      </c>
      <c r="L862" t="s">
        <v>3184</v>
      </c>
      <c r="M862" t="s">
        <v>18</v>
      </c>
    </row>
    <row r="863" spans="1:13">
      <c r="A863" t="s">
        <v>851</v>
      </c>
      <c r="B863" t="s">
        <v>686</v>
      </c>
      <c r="C863" t="s">
        <v>686</v>
      </c>
      <c r="D863" t="s">
        <v>23</v>
      </c>
      <c r="E863" t="s">
        <v>461</v>
      </c>
      <c r="F863" t="s">
        <v>668</v>
      </c>
      <c r="G863">
        <v>2010</v>
      </c>
      <c r="H863" s="12">
        <v>124.92</v>
      </c>
      <c r="I863" t="s">
        <v>3183</v>
      </c>
      <c r="J863" t="s">
        <v>14</v>
      </c>
      <c r="K863" t="s">
        <v>147</v>
      </c>
      <c r="L863" t="s">
        <v>3184</v>
      </c>
      <c r="M863" t="s">
        <v>14</v>
      </c>
    </row>
    <row r="864" spans="1:13">
      <c r="A864" t="s">
        <v>851</v>
      </c>
      <c r="B864" t="s">
        <v>686</v>
      </c>
      <c r="C864" t="s">
        <v>686</v>
      </c>
      <c r="D864" t="s">
        <v>23</v>
      </c>
      <c r="E864" t="s">
        <v>461</v>
      </c>
      <c r="F864" t="s">
        <v>668</v>
      </c>
      <c r="G864">
        <v>2015</v>
      </c>
      <c r="H864" s="12">
        <v>136.5</v>
      </c>
      <c r="I864" t="s">
        <v>3183</v>
      </c>
      <c r="J864" t="s">
        <v>14</v>
      </c>
      <c r="K864" t="s">
        <v>147</v>
      </c>
      <c r="L864" t="s">
        <v>3184</v>
      </c>
      <c r="M864" t="s">
        <v>14</v>
      </c>
    </row>
    <row r="865" spans="1:13">
      <c r="A865" t="s">
        <v>851</v>
      </c>
      <c r="B865" t="s">
        <v>686</v>
      </c>
      <c r="C865" t="s">
        <v>686</v>
      </c>
      <c r="D865" t="s">
        <v>23</v>
      </c>
      <c r="E865" t="s">
        <v>461</v>
      </c>
      <c r="F865" t="s">
        <v>668</v>
      </c>
      <c r="G865">
        <v>2020</v>
      </c>
      <c r="H865" s="12">
        <v>160.91</v>
      </c>
      <c r="I865" t="s">
        <v>3183</v>
      </c>
      <c r="J865" t="s">
        <v>14</v>
      </c>
      <c r="K865" t="s">
        <v>147</v>
      </c>
      <c r="L865" t="s">
        <v>3184</v>
      </c>
      <c r="M865" t="s">
        <v>14</v>
      </c>
    </row>
    <row r="866" spans="1:13">
      <c r="A866" t="s">
        <v>851</v>
      </c>
      <c r="B866" t="s">
        <v>686</v>
      </c>
      <c r="C866" t="s">
        <v>686</v>
      </c>
      <c r="D866" t="s">
        <v>23</v>
      </c>
      <c r="E866" t="s">
        <v>461</v>
      </c>
      <c r="F866" t="s">
        <v>668</v>
      </c>
      <c r="G866">
        <v>2030</v>
      </c>
      <c r="H866" s="12">
        <v>238.78</v>
      </c>
      <c r="I866" t="s">
        <v>3183</v>
      </c>
      <c r="J866" t="s">
        <v>14</v>
      </c>
      <c r="K866" t="s">
        <v>147</v>
      </c>
      <c r="L866" t="s">
        <v>3184</v>
      </c>
      <c r="M866" t="s">
        <v>14</v>
      </c>
    </row>
    <row r="867" spans="1:13">
      <c r="A867" t="s">
        <v>851</v>
      </c>
      <c r="B867" t="s">
        <v>686</v>
      </c>
      <c r="C867" t="s">
        <v>686</v>
      </c>
      <c r="D867" t="s">
        <v>23</v>
      </c>
      <c r="E867" t="s">
        <v>461</v>
      </c>
      <c r="F867" t="s">
        <v>668</v>
      </c>
      <c r="G867">
        <v>2035</v>
      </c>
      <c r="H867" s="12">
        <v>283.95</v>
      </c>
      <c r="I867" t="s">
        <v>3183</v>
      </c>
      <c r="J867" t="s">
        <v>14</v>
      </c>
      <c r="K867" t="s">
        <v>147</v>
      </c>
      <c r="L867" t="s">
        <v>3184</v>
      </c>
      <c r="M867" t="s">
        <v>14</v>
      </c>
    </row>
    <row r="868" spans="1:13">
      <c r="A868" t="s">
        <v>851</v>
      </c>
      <c r="B868" t="s">
        <v>686</v>
      </c>
      <c r="C868" t="s">
        <v>686</v>
      </c>
      <c r="D868" t="s">
        <v>23</v>
      </c>
      <c r="E868" t="s">
        <v>461</v>
      </c>
      <c r="F868" t="s">
        <v>668</v>
      </c>
      <c r="G868">
        <v>2040</v>
      </c>
      <c r="H868" s="12">
        <v>322.52999999999997</v>
      </c>
      <c r="I868" t="s">
        <v>3183</v>
      </c>
      <c r="J868" t="s">
        <v>14</v>
      </c>
      <c r="K868" t="s">
        <v>147</v>
      </c>
      <c r="L868" t="s">
        <v>3184</v>
      </c>
      <c r="M868" t="s">
        <v>14</v>
      </c>
    </row>
    <row r="869" spans="1:13">
      <c r="A869" t="s">
        <v>851</v>
      </c>
      <c r="B869" t="s">
        <v>686</v>
      </c>
      <c r="C869" t="s">
        <v>686</v>
      </c>
      <c r="D869" t="s">
        <v>23</v>
      </c>
      <c r="E869" t="s">
        <v>461</v>
      </c>
      <c r="F869" t="s">
        <v>668</v>
      </c>
      <c r="G869">
        <v>2045</v>
      </c>
      <c r="H869" s="12">
        <v>359.65</v>
      </c>
      <c r="I869" t="s">
        <v>3183</v>
      </c>
      <c r="J869" t="s">
        <v>14</v>
      </c>
      <c r="K869" t="s">
        <v>147</v>
      </c>
      <c r="L869" t="s">
        <v>3184</v>
      </c>
      <c r="M869" t="s">
        <v>14</v>
      </c>
    </row>
    <row r="870" spans="1:13">
      <c r="A870" t="s">
        <v>851</v>
      </c>
      <c r="B870" t="s">
        <v>686</v>
      </c>
      <c r="C870" t="s">
        <v>686</v>
      </c>
      <c r="D870" t="s">
        <v>23</v>
      </c>
      <c r="E870" t="s">
        <v>461</v>
      </c>
      <c r="F870" t="s">
        <v>668</v>
      </c>
      <c r="G870">
        <v>2050</v>
      </c>
      <c r="H870" s="12">
        <v>398.31</v>
      </c>
      <c r="I870" t="s">
        <v>3183</v>
      </c>
      <c r="J870" t="s">
        <v>14</v>
      </c>
      <c r="K870" t="s">
        <v>147</v>
      </c>
      <c r="L870" t="s">
        <v>3184</v>
      </c>
      <c r="M870" t="s">
        <v>14</v>
      </c>
    </row>
    <row r="871" spans="1:13">
      <c r="A871" t="s">
        <v>851</v>
      </c>
      <c r="B871" t="s">
        <v>687</v>
      </c>
      <c r="C871" t="s">
        <v>687</v>
      </c>
      <c r="D871" t="s">
        <v>23</v>
      </c>
      <c r="E871" t="s">
        <v>461</v>
      </c>
      <c r="F871" t="s">
        <v>668</v>
      </c>
      <c r="G871">
        <v>2030</v>
      </c>
      <c r="H871" s="12">
        <v>238.78</v>
      </c>
      <c r="I871" t="s">
        <v>3183</v>
      </c>
      <c r="J871" t="s">
        <v>14</v>
      </c>
      <c r="K871" t="s">
        <v>147</v>
      </c>
      <c r="L871" t="s">
        <v>3184</v>
      </c>
      <c r="M871" t="s">
        <v>14</v>
      </c>
    </row>
    <row r="872" spans="1:13">
      <c r="A872" t="s">
        <v>851</v>
      </c>
      <c r="B872" t="s">
        <v>687</v>
      </c>
      <c r="C872" t="s">
        <v>687</v>
      </c>
      <c r="D872" t="s">
        <v>23</v>
      </c>
      <c r="E872" t="s">
        <v>461</v>
      </c>
      <c r="F872" t="s">
        <v>668</v>
      </c>
      <c r="G872">
        <v>2035</v>
      </c>
      <c r="H872" s="12">
        <v>303.42</v>
      </c>
      <c r="I872" t="s">
        <v>3183</v>
      </c>
      <c r="J872" t="s">
        <v>14</v>
      </c>
      <c r="K872" t="s">
        <v>147</v>
      </c>
      <c r="L872" t="s">
        <v>3184</v>
      </c>
      <c r="M872" t="s">
        <v>14</v>
      </c>
    </row>
    <row r="873" spans="1:13">
      <c r="A873" t="s">
        <v>851</v>
      </c>
      <c r="B873" t="s">
        <v>687</v>
      </c>
      <c r="C873" t="s">
        <v>687</v>
      </c>
      <c r="D873" t="s">
        <v>23</v>
      </c>
      <c r="E873" t="s">
        <v>461</v>
      </c>
      <c r="F873" t="s">
        <v>668</v>
      </c>
      <c r="G873">
        <v>2040</v>
      </c>
      <c r="H873" s="12">
        <v>353.08</v>
      </c>
      <c r="I873" t="s">
        <v>3183</v>
      </c>
      <c r="J873" t="s">
        <v>14</v>
      </c>
      <c r="K873" t="s">
        <v>147</v>
      </c>
      <c r="L873" t="s">
        <v>3184</v>
      </c>
      <c r="M873" t="s">
        <v>14</v>
      </c>
    </row>
    <row r="874" spans="1:13">
      <c r="A874" t="s">
        <v>851</v>
      </c>
      <c r="B874" t="s">
        <v>687</v>
      </c>
      <c r="C874" t="s">
        <v>687</v>
      </c>
      <c r="D874" t="s">
        <v>23</v>
      </c>
      <c r="E874" t="s">
        <v>461</v>
      </c>
      <c r="F874" t="s">
        <v>668</v>
      </c>
      <c r="G874">
        <v>2045</v>
      </c>
      <c r="H874" s="12">
        <v>385.24</v>
      </c>
      <c r="I874" t="s">
        <v>3183</v>
      </c>
      <c r="J874" t="s">
        <v>14</v>
      </c>
      <c r="K874" t="s">
        <v>147</v>
      </c>
      <c r="L874" t="s">
        <v>3184</v>
      </c>
      <c r="M874" t="s">
        <v>14</v>
      </c>
    </row>
    <row r="875" spans="1:13">
      <c r="A875" t="s">
        <v>851</v>
      </c>
      <c r="B875" t="s">
        <v>687</v>
      </c>
      <c r="C875" t="s">
        <v>687</v>
      </c>
      <c r="D875" t="s">
        <v>23</v>
      </c>
      <c r="E875" t="s">
        <v>461</v>
      </c>
      <c r="F875" t="s">
        <v>668</v>
      </c>
      <c r="G875">
        <v>2050</v>
      </c>
      <c r="H875" s="12">
        <v>392.18</v>
      </c>
      <c r="I875" t="s">
        <v>3183</v>
      </c>
      <c r="J875" t="s">
        <v>14</v>
      </c>
      <c r="K875" t="s">
        <v>147</v>
      </c>
      <c r="L875" t="s">
        <v>3184</v>
      </c>
      <c r="M875" t="s">
        <v>14</v>
      </c>
    </row>
    <row r="876" spans="1:13">
      <c r="A876" t="s">
        <v>851</v>
      </c>
      <c r="B876" t="s">
        <v>686</v>
      </c>
      <c r="C876" t="s">
        <v>686</v>
      </c>
      <c r="D876" t="s">
        <v>23</v>
      </c>
      <c r="E876" t="s">
        <v>461</v>
      </c>
      <c r="F876" t="s">
        <v>668</v>
      </c>
      <c r="G876">
        <v>2010</v>
      </c>
      <c r="H876" s="12">
        <v>17.09</v>
      </c>
      <c r="I876" t="s">
        <v>3183</v>
      </c>
      <c r="J876" t="s">
        <v>41</v>
      </c>
      <c r="K876" t="s">
        <v>147</v>
      </c>
      <c r="L876" t="s">
        <v>3184</v>
      </c>
      <c r="M876" t="s">
        <v>669</v>
      </c>
    </row>
    <row r="877" spans="1:13">
      <c r="A877" t="s">
        <v>851</v>
      </c>
      <c r="B877" t="s">
        <v>686</v>
      </c>
      <c r="C877" t="s">
        <v>686</v>
      </c>
      <c r="D877" t="s">
        <v>23</v>
      </c>
      <c r="E877" t="s">
        <v>461</v>
      </c>
      <c r="F877" t="s">
        <v>668</v>
      </c>
      <c r="G877">
        <v>2015</v>
      </c>
      <c r="H877" s="12">
        <v>26.45</v>
      </c>
      <c r="I877" t="s">
        <v>3183</v>
      </c>
      <c r="J877" t="s">
        <v>41</v>
      </c>
      <c r="K877" t="s">
        <v>147</v>
      </c>
      <c r="L877" t="s">
        <v>3184</v>
      </c>
      <c r="M877" t="s">
        <v>669</v>
      </c>
    </row>
    <row r="878" spans="1:13">
      <c r="A878" t="s">
        <v>851</v>
      </c>
      <c r="B878" t="s">
        <v>686</v>
      </c>
      <c r="C878" t="s">
        <v>686</v>
      </c>
      <c r="D878" t="s">
        <v>23</v>
      </c>
      <c r="E878" t="s">
        <v>461</v>
      </c>
      <c r="F878" t="s">
        <v>668</v>
      </c>
      <c r="G878">
        <v>2020</v>
      </c>
      <c r="H878" s="12">
        <v>35.14</v>
      </c>
      <c r="I878" t="s">
        <v>3183</v>
      </c>
      <c r="J878" t="s">
        <v>41</v>
      </c>
      <c r="K878" t="s">
        <v>147</v>
      </c>
      <c r="L878" t="s">
        <v>3184</v>
      </c>
      <c r="M878" t="s">
        <v>669</v>
      </c>
    </row>
    <row r="879" spans="1:13">
      <c r="A879" t="s">
        <v>851</v>
      </c>
      <c r="B879" t="s">
        <v>686</v>
      </c>
      <c r="C879" t="s">
        <v>686</v>
      </c>
      <c r="D879" t="s">
        <v>23</v>
      </c>
      <c r="E879" t="s">
        <v>461</v>
      </c>
      <c r="F879" t="s">
        <v>668</v>
      </c>
      <c r="G879">
        <v>2030</v>
      </c>
      <c r="H879" s="12">
        <v>79.2</v>
      </c>
      <c r="I879" t="s">
        <v>3183</v>
      </c>
      <c r="J879" t="s">
        <v>41</v>
      </c>
      <c r="K879" t="s">
        <v>147</v>
      </c>
      <c r="L879" t="s">
        <v>3184</v>
      </c>
      <c r="M879" t="s">
        <v>669</v>
      </c>
    </row>
    <row r="880" spans="1:13">
      <c r="A880" t="s">
        <v>851</v>
      </c>
      <c r="B880" t="s">
        <v>686</v>
      </c>
      <c r="C880" t="s">
        <v>686</v>
      </c>
      <c r="D880" t="s">
        <v>23</v>
      </c>
      <c r="E880" t="s">
        <v>461</v>
      </c>
      <c r="F880" t="s">
        <v>668</v>
      </c>
      <c r="G880">
        <v>2035</v>
      </c>
      <c r="H880" s="12">
        <v>93.09</v>
      </c>
      <c r="I880" t="s">
        <v>3183</v>
      </c>
      <c r="J880" t="s">
        <v>41</v>
      </c>
      <c r="K880" t="s">
        <v>147</v>
      </c>
      <c r="L880" t="s">
        <v>3184</v>
      </c>
      <c r="M880" t="s">
        <v>669</v>
      </c>
    </row>
    <row r="881" spans="1:13">
      <c r="A881" t="s">
        <v>851</v>
      </c>
      <c r="B881" t="s">
        <v>687</v>
      </c>
      <c r="C881" t="s">
        <v>687</v>
      </c>
      <c r="D881" t="s">
        <v>23</v>
      </c>
      <c r="E881" t="s">
        <v>461</v>
      </c>
      <c r="F881" t="s">
        <v>668</v>
      </c>
      <c r="G881">
        <v>2050</v>
      </c>
      <c r="H881" s="12">
        <v>357.89</v>
      </c>
      <c r="I881" t="s">
        <v>3183</v>
      </c>
      <c r="J881" t="s">
        <v>15</v>
      </c>
      <c r="K881" t="s">
        <v>147</v>
      </c>
      <c r="L881" t="s">
        <v>3184</v>
      </c>
      <c r="M881" t="s">
        <v>15</v>
      </c>
    </row>
    <row r="882" spans="1:13">
      <c r="A882" t="s">
        <v>851</v>
      </c>
      <c r="B882" t="s">
        <v>686</v>
      </c>
      <c r="C882" t="s">
        <v>686</v>
      </c>
      <c r="D882" t="s">
        <v>23</v>
      </c>
      <c r="E882" t="s">
        <v>461</v>
      </c>
      <c r="F882" t="s">
        <v>668</v>
      </c>
      <c r="G882">
        <v>2010</v>
      </c>
      <c r="H882" s="12">
        <v>0</v>
      </c>
      <c r="I882" t="s">
        <v>3183</v>
      </c>
      <c r="J882" t="s">
        <v>8</v>
      </c>
      <c r="K882" t="s">
        <v>147</v>
      </c>
      <c r="L882" t="s">
        <v>3184</v>
      </c>
      <c r="M882" t="s">
        <v>670</v>
      </c>
    </row>
    <row r="883" spans="1:13">
      <c r="A883" t="s">
        <v>851</v>
      </c>
      <c r="B883" t="s">
        <v>686</v>
      </c>
      <c r="C883" t="s">
        <v>686</v>
      </c>
      <c r="D883" t="s">
        <v>23</v>
      </c>
      <c r="E883" t="s">
        <v>461</v>
      </c>
      <c r="F883" t="s">
        <v>668</v>
      </c>
      <c r="G883">
        <v>2015</v>
      </c>
      <c r="H883" s="12">
        <v>0</v>
      </c>
      <c r="I883" t="s">
        <v>3183</v>
      </c>
      <c r="J883" t="s">
        <v>8</v>
      </c>
      <c r="K883" t="s">
        <v>147</v>
      </c>
      <c r="L883" t="s">
        <v>3184</v>
      </c>
      <c r="M883" t="s">
        <v>670</v>
      </c>
    </row>
    <row r="884" spans="1:13">
      <c r="A884" t="s">
        <v>851</v>
      </c>
      <c r="B884" t="s">
        <v>686</v>
      </c>
      <c r="C884" t="s">
        <v>686</v>
      </c>
      <c r="D884" t="s">
        <v>23</v>
      </c>
      <c r="E884" t="s">
        <v>461</v>
      </c>
      <c r="F884" t="s">
        <v>668</v>
      </c>
      <c r="G884">
        <v>2020</v>
      </c>
      <c r="H884" s="12">
        <v>0</v>
      </c>
      <c r="I884" t="s">
        <v>3183</v>
      </c>
      <c r="J884" t="s">
        <v>8</v>
      </c>
      <c r="K884" t="s">
        <v>147</v>
      </c>
      <c r="L884" t="s">
        <v>3184</v>
      </c>
      <c r="M884" t="s">
        <v>670</v>
      </c>
    </row>
    <row r="885" spans="1:13">
      <c r="A885" t="s">
        <v>851</v>
      </c>
      <c r="B885" t="s">
        <v>686</v>
      </c>
      <c r="C885" t="s">
        <v>686</v>
      </c>
      <c r="D885" t="s">
        <v>23</v>
      </c>
      <c r="E885" t="s">
        <v>461</v>
      </c>
      <c r="F885" t="s">
        <v>668</v>
      </c>
      <c r="G885">
        <v>2030</v>
      </c>
      <c r="H885" s="12">
        <v>0</v>
      </c>
      <c r="I885" t="s">
        <v>3183</v>
      </c>
      <c r="J885" t="s">
        <v>8</v>
      </c>
      <c r="K885" t="s">
        <v>147</v>
      </c>
      <c r="L885" t="s">
        <v>3184</v>
      </c>
      <c r="M885" t="s">
        <v>670</v>
      </c>
    </row>
    <row r="886" spans="1:13">
      <c r="A886" t="s">
        <v>851</v>
      </c>
      <c r="B886" t="s">
        <v>686</v>
      </c>
      <c r="C886" t="s">
        <v>686</v>
      </c>
      <c r="D886" t="s">
        <v>23</v>
      </c>
      <c r="E886" t="s">
        <v>461</v>
      </c>
      <c r="F886" t="s">
        <v>668</v>
      </c>
      <c r="G886">
        <v>2035</v>
      </c>
      <c r="H886" s="12">
        <v>0</v>
      </c>
      <c r="I886" t="s">
        <v>3183</v>
      </c>
      <c r="J886" t="s">
        <v>8</v>
      </c>
      <c r="K886" t="s">
        <v>147</v>
      </c>
      <c r="L886" t="s">
        <v>3184</v>
      </c>
      <c r="M886" t="s">
        <v>670</v>
      </c>
    </row>
    <row r="887" spans="1:13">
      <c r="A887" t="s">
        <v>851</v>
      </c>
      <c r="B887" t="s">
        <v>686</v>
      </c>
      <c r="C887" t="s">
        <v>686</v>
      </c>
      <c r="D887" t="s">
        <v>23</v>
      </c>
      <c r="E887" t="s">
        <v>461</v>
      </c>
      <c r="F887" t="s">
        <v>668</v>
      </c>
      <c r="G887">
        <v>2040</v>
      </c>
      <c r="H887" s="12">
        <v>0</v>
      </c>
      <c r="I887" t="s">
        <v>3183</v>
      </c>
      <c r="J887" t="s">
        <v>8</v>
      </c>
      <c r="K887" t="s">
        <v>147</v>
      </c>
      <c r="L887" t="s">
        <v>3184</v>
      </c>
      <c r="M887" t="s">
        <v>670</v>
      </c>
    </row>
    <row r="888" spans="1:13">
      <c r="A888" t="s">
        <v>851</v>
      </c>
      <c r="B888" t="s">
        <v>686</v>
      </c>
      <c r="C888" t="s">
        <v>686</v>
      </c>
      <c r="D888" t="s">
        <v>23</v>
      </c>
      <c r="E888" t="s">
        <v>461</v>
      </c>
      <c r="F888" t="s">
        <v>668</v>
      </c>
      <c r="G888">
        <v>2045</v>
      </c>
      <c r="H888" s="12">
        <v>0</v>
      </c>
      <c r="I888" t="s">
        <v>3183</v>
      </c>
      <c r="J888" t="s">
        <v>8</v>
      </c>
      <c r="K888" t="s">
        <v>147</v>
      </c>
      <c r="L888" t="s">
        <v>3184</v>
      </c>
      <c r="M888" t="s">
        <v>670</v>
      </c>
    </row>
    <row r="889" spans="1:13">
      <c r="A889" t="s">
        <v>851</v>
      </c>
      <c r="B889" t="s">
        <v>686</v>
      </c>
      <c r="C889" t="s">
        <v>686</v>
      </c>
      <c r="D889" t="s">
        <v>23</v>
      </c>
      <c r="E889" t="s">
        <v>461</v>
      </c>
      <c r="F889" t="s">
        <v>668</v>
      </c>
      <c r="G889">
        <v>2050</v>
      </c>
      <c r="H889" s="12">
        <v>0</v>
      </c>
      <c r="I889" t="s">
        <v>3183</v>
      </c>
      <c r="J889" t="s">
        <v>8</v>
      </c>
      <c r="K889" t="s">
        <v>147</v>
      </c>
      <c r="L889" t="s">
        <v>3184</v>
      </c>
      <c r="M889" t="s">
        <v>670</v>
      </c>
    </row>
    <row r="890" spans="1:13">
      <c r="A890" t="s">
        <v>851</v>
      </c>
      <c r="B890" t="s">
        <v>687</v>
      </c>
      <c r="C890" t="s">
        <v>687</v>
      </c>
      <c r="D890" t="s">
        <v>23</v>
      </c>
      <c r="E890" t="s">
        <v>461</v>
      </c>
      <c r="F890" t="s">
        <v>668</v>
      </c>
      <c r="G890">
        <v>2030</v>
      </c>
      <c r="H890" s="12">
        <v>0</v>
      </c>
      <c r="I890" t="s">
        <v>3183</v>
      </c>
      <c r="J890" t="s">
        <v>8</v>
      </c>
      <c r="K890" t="s">
        <v>147</v>
      </c>
      <c r="L890" t="s">
        <v>3184</v>
      </c>
      <c r="M890" t="s">
        <v>670</v>
      </c>
    </row>
    <row r="891" spans="1:13">
      <c r="A891" t="s">
        <v>851</v>
      </c>
      <c r="B891" t="s">
        <v>687</v>
      </c>
      <c r="C891" t="s">
        <v>687</v>
      </c>
      <c r="D891" t="s">
        <v>23</v>
      </c>
      <c r="E891" t="s">
        <v>461</v>
      </c>
      <c r="F891" t="s">
        <v>668</v>
      </c>
      <c r="G891">
        <v>2035</v>
      </c>
      <c r="H891" s="12">
        <v>0</v>
      </c>
      <c r="I891" t="s">
        <v>3183</v>
      </c>
      <c r="J891" t="s">
        <v>8</v>
      </c>
      <c r="K891" t="s">
        <v>147</v>
      </c>
      <c r="L891" t="s">
        <v>3184</v>
      </c>
      <c r="M891" t="s">
        <v>670</v>
      </c>
    </row>
    <row r="892" spans="1:13">
      <c r="A892" t="s">
        <v>851</v>
      </c>
      <c r="B892" t="s">
        <v>687</v>
      </c>
      <c r="C892" t="s">
        <v>687</v>
      </c>
      <c r="D892" t="s">
        <v>23</v>
      </c>
      <c r="E892" t="s">
        <v>461</v>
      </c>
      <c r="F892" t="s">
        <v>668</v>
      </c>
      <c r="G892">
        <v>2040</v>
      </c>
      <c r="H892" s="12">
        <v>6.46</v>
      </c>
      <c r="I892" t="s">
        <v>3183</v>
      </c>
      <c r="J892" t="s">
        <v>8</v>
      </c>
      <c r="K892" t="s">
        <v>147</v>
      </c>
      <c r="L892" t="s">
        <v>3184</v>
      </c>
      <c r="M892" t="s">
        <v>670</v>
      </c>
    </row>
    <row r="893" spans="1:13">
      <c r="A893" t="s">
        <v>851</v>
      </c>
      <c r="B893" t="s">
        <v>687</v>
      </c>
      <c r="C893" t="s">
        <v>687</v>
      </c>
      <c r="D893" t="s">
        <v>23</v>
      </c>
      <c r="E893" t="s">
        <v>461</v>
      </c>
      <c r="F893" t="s">
        <v>668</v>
      </c>
      <c r="G893">
        <v>2045</v>
      </c>
      <c r="H893" s="12">
        <v>24.33</v>
      </c>
      <c r="I893" t="s">
        <v>3183</v>
      </c>
      <c r="J893" t="s">
        <v>8</v>
      </c>
      <c r="K893" t="s">
        <v>147</v>
      </c>
      <c r="L893" t="s">
        <v>3184</v>
      </c>
      <c r="M893" t="s">
        <v>670</v>
      </c>
    </row>
    <row r="894" spans="1:13">
      <c r="A894" t="s">
        <v>851</v>
      </c>
      <c r="B894" t="s">
        <v>687</v>
      </c>
      <c r="C894" t="s">
        <v>687</v>
      </c>
      <c r="D894" t="s">
        <v>23</v>
      </c>
      <c r="E894" t="s">
        <v>461</v>
      </c>
      <c r="F894" t="s">
        <v>668</v>
      </c>
      <c r="G894">
        <v>2050</v>
      </c>
      <c r="H894" s="12">
        <v>73.67</v>
      </c>
      <c r="I894" t="s">
        <v>3183</v>
      </c>
      <c r="J894" t="s">
        <v>8</v>
      </c>
      <c r="K894" t="s">
        <v>147</v>
      </c>
      <c r="L894" t="s">
        <v>3184</v>
      </c>
      <c r="M894" t="s">
        <v>670</v>
      </c>
    </row>
    <row r="895" spans="1:13">
      <c r="A895" t="s">
        <v>851</v>
      </c>
      <c r="B895" t="s">
        <v>686</v>
      </c>
      <c r="C895" t="s">
        <v>686</v>
      </c>
      <c r="D895" t="s">
        <v>23</v>
      </c>
      <c r="E895" t="s">
        <v>461</v>
      </c>
      <c r="F895" t="s">
        <v>668</v>
      </c>
      <c r="G895">
        <v>2010</v>
      </c>
      <c r="H895" s="12">
        <v>657.96</v>
      </c>
      <c r="I895" t="s">
        <v>3183</v>
      </c>
      <c r="J895" t="s">
        <v>5</v>
      </c>
      <c r="K895" t="s">
        <v>147</v>
      </c>
      <c r="L895" t="s">
        <v>3184</v>
      </c>
      <c r="M895" t="s">
        <v>665</v>
      </c>
    </row>
    <row r="896" spans="1:13">
      <c r="A896" t="s">
        <v>851</v>
      </c>
      <c r="B896" t="s">
        <v>686</v>
      </c>
      <c r="C896" t="s">
        <v>686</v>
      </c>
      <c r="D896" t="s">
        <v>23</v>
      </c>
      <c r="E896" t="s">
        <v>461</v>
      </c>
      <c r="F896" t="s">
        <v>668</v>
      </c>
      <c r="G896">
        <v>2015</v>
      </c>
      <c r="H896" s="12">
        <v>1032.06</v>
      </c>
      <c r="I896" t="s">
        <v>3183</v>
      </c>
      <c r="J896" t="s">
        <v>5</v>
      </c>
      <c r="K896" t="s">
        <v>147</v>
      </c>
      <c r="L896" t="s">
        <v>3184</v>
      </c>
      <c r="M896" t="s">
        <v>665</v>
      </c>
    </row>
    <row r="897" spans="1:13">
      <c r="A897" t="s">
        <v>851</v>
      </c>
      <c r="B897" t="s">
        <v>686</v>
      </c>
      <c r="C897" t="s">
        <v>686</v>
      </c>
      <c r="D897" t="s">
        <v>23</v>
      </c>
      <c r="E897" t="s">
        <v>461</v>
      </c>
      <c r="F897" t="s">
        <v>668</v>
      </c>
      <c r="G897">
        <v>2020</v>
      </c>
      <c r="H897" s="12">
        <v>1096.6300000000001</v>
      </c>
      <c r="I897" t="s">
        <v>3183</v>
      </c>
      <c r="J897" t="s">
        <v>5</v>
      </c>
      <c r="K897" t="s">
        <v>147</v>
      </c>
      <c r="L897" t="s">
        <v>3184</v>
      </c>
      <c r="M897" t="s">
        <v>665</v>
      </c>
    </row>
    <row r="898" spans="1:13">
      <c r="A898" t="s">
        <v>851</v>
      </c>
      <c r="B898" t="s">
        <v>686</v>
      </c>
      <c r="C898" t="s">
        <v>686</v>
      </c>
      <c r="D898" t="s">
        <v>23</v>
      </c>
      <c r="E898" t="s">
        <v>461</v>
      </c>
      <c r="F898" t="s">
        <v>668</v>
      </c>
      <c r="G898">
        <v>2030</v>
      </c>
      <c r="H898" s="12">
        <v>1504.35</v>
      </c>
      <c r="I898" t="s">
        <v>3183</v>
      </c>
      <c r="J898" t="s">
        <v>5</v>
      </c>
      <c r="K898" t="s">
        <v>147</v>
      </c>
      <c r="L898" t="s">
        <v>3184</v>
      </c>
      <c r="M898" t="s">
        <v>665</v>
      </c>
    </row>
    <row r="899" spans="1:13">
      <c r="A899" t="s">
        <v>851</v>
      </c>
      <c r="B899" t="s">
        <v>686</v>
      </c>
      <c r="C899" t="s">
        <v>686</v>
      </c>
      <c r="D899" t="s">
        <v>23</v>
      </c>
      <c r="E899" t="s">
        <v>461</v>
      </c>
      <c r="F899" t="s">
        <v>668</v>
      </c>
      <c r="G899">
        <v>2035</v>
      </c>
      <c r="H899" s="12">
        <v>1396.72</v>
      </c>
      <c r="I899" t="s">
        <v>3183</v>
      </c>
      <c r="J899" t="s">
        <v>5</v>
      </c>
      <c r="K899" t="s">
        <v>147</v>
      </c>
      <c r="L899" t="s">
        <v>3184</v>
      </c>
      <c r="M899" t="s">
        <v>665</v>
      </c>
    </row>
    <row r="900" spans="1:13">
      <c r="A900" t="s">
        <v>851</v>
      </c>
      <c r="B900" t="s">
        <v>686</v>
      </c>
      <c r="C900" t="s">
        <v>686</v>
      </c>
      <c r="D900" t="s">
        <v>23</v>
      </c>
      <c r="E900" t="s">
        <v>461</v>
      </c>
      <c r="F900" t="s">
        <v>668</v>
      </c>
      <c r="G900">
        <v>2040</v>
      </c>
      <c r="H900" s="12">
        <v>1215.18</v>
      </c>
      <c r="I900" t="s">
        <v>3183</v>
      </c>
      <c r="J900" t="s">
        <v>5</v>
      </c>
      <c r="K900" t="s">
        <v>147</v>
      </c>
      <c r="L900" t="s">
        <v>3184</v>
      </c>
      <c r="M900" t="s">
        <v>665</v>
      </c>
    </row>
    <row r="901" spans="1:13">
      <c r="A901" t="s">
        <v>851</v>
      </c>
      <c r="B901" t="s">
        <v>686</v>
      </c>
      <c r="C901" t="s">
        <v>686</v>
      </c>
      <c r="D901" t="s">
        <v>23</v>
      </c>
      <c r="E901" t="s">
        <v>461</v>
      </c>
      <c r="F901" t="s">
        <v>668</v>
      </c>
      <c r="G901">
        <v>2045</v>
      </c>
      <c r="H901" s="12">
        <v>1067.6099999999999</v>
      </c>
      <c r="I901" t="s">
        <v>3183</v>
      </c>
      <c r="J901" t="s">
        <v>5</v>
      </c>
      <c r="K901" t="s">
        <v>147</v>
      </c>
      <c r="L901" t="s">
        <v>3184</v>
      </c>
      <c r="M901" t="s">
        <v>665</v>
      </c>
    </row>
    <row r="902" spans="1:13">
      <c r="A902" t="s">
        <v>851</v>
      </c>
      <c r="B902" t="s">
        <v>686</v>
      </c>
      <c r="C902" t="s">
        <v>686</v>
      </c>
      <c r="D902" t="s">
        <v>23</v>
      </c>
      <c r="E902" t="s">
        <v>461</v>
      </c>
      <c r="F902" t="s">
        <v>668</v>
      </c>
      <c r="G902">
        <v>2050</v>
      </c>
      <c r="H902" s="12">
        <v>937.02</v>
      </c>
      <c r="I902" t="s">
        <v>3183</v>
      </c>
      <c r="J902" t="s">
        <v>5</v>
      </c>
      <c r="K902" t="s">
        <v>147</v>
      </c>
      <c r="L902" t="s">
        <v>3184</v>
      </c>
      <c r="M902" t="s">
        <v>665</v>
      </c>
    </row>
    <row r="903" spans="1:13">
      <c r="A903" t="s">
        <v>851</v>
      </c>
      <c r="B903" t="s">
        <v>687</v>
      </c>
      <c r="C903" t="s">
        <v>687</v>
      </c>
      <c r="D903" t="s">
        <v>23</v>
      </c>
      <c r="E903" t="s">
        <v>461</v>
      </c>
      <c r="F903" t="s">
        <v>668</v>
      </c>
      <c r="G903">
        <v>2030</v>
      </c>
      <c r="H903" s="12">
        <v>1457.57</v>
      </c>
      <c r="I903" t="s">
        <v>3183</v>
      </c>
      <c r="J903" t="s">
        <v>5</v>
      </c>
      <c r="K903" t="s">
        <v>147</v>
      </c>
      <c r="L903" t="s">
        <v>3184</v>
      </c>
      <c r="M903" t="s">
        <v>665</v>
      </c>
    </row>
    <row r="904" spans="1:13">
      <c r="A904" t="s">
        <v>851</v>
      </c>
      <c r="B904" t="s">
        <v>687</v>
      </c>
      <c r="C904" t="s">
        <v>687</v>
      </c>
      <c r="D904" t="s">
        <v>23</v>
      </c>
      <c r="E904" t="s">
        <v>461</v>
      </c>
      <c r="F904" t="s">
        <v>668</v>
      </c>
      <c r="G904">
        <v>2035</v>
      </c>
      <c r="H904" s="12">
        <v>1257.21</v>
      </c>
      <c r="I904" t="s">
        <v>3183</v>
      </c>
      <c r="J904" t="s">
        <v>5</v>
      </c>
      <c r="K904" t="s">
        <v>147</v>
      </c>
      <c r="L904" t="s">
        <v>3184</v>
      </c>
      <c r="M904" t="s">
        <v>665</v>
      </c>
    </row>
    <row r="905" spans="1:13">
      <c r="A905" t="s">
        <v>851</v>
      </c>
      <c r="B905" t="s">
        <v>687</v>
      </c>
      <c r="C905" t="s">
        <v>687</v>
      </c>
      <c r="D905" t="s">
        <v>23</v>
      </c>
      <c r="E905" t="s">
        <v>461</v>
      </c>
      <c r="F905" t="s">
        <v>668</v>
      </c>
      <c r="G905">
        <v>2040</v>
      </c>
      <c r="H905" s="12">
        <v>661.44</v>
      </c>
      <c r="I905" t="s">
        <v>3183</v>
      </c>
      <c r="J905" t="s">
        <v>5</v>
      </c>
      <c r="K905" t="s">
        <v>147</v>
      </c>
      <c r="L905" t="s">
        <v>3184</v>
      </c>
      <c r="M905" t="s">
        <v>665</v>
      </c>
    </row>
    <row r="906" spans="1:13">
      <c r="A906" t="s">
        <v>851</v>
      </c>
      <c r="B906" t="s">
        <v>687</v>
      </c>
      <c r="C906" t="s">
        <v>687</v>
      </c>
      <c r="D906" t="s">
        <v>23</v>
      </c>
      <c r="E906" t="s">
        <v>461</v>
      </c>
      <c r="F906" t="s">
        <v>668</v>
      </c>
      <c r="G906">
        <v>2045</v>
      </c>
      <c r="H906" s="12">
        <v>358.73</v>
      </c>
      <c r="I906" t="s">
        <v>3183</v>
      </c>
      <c r="J906" t="s">
        <v>5</v>
      </c>
      <c r="K906" t="s">
        <v>147</v>
      </c>
      <c r="L906" t="s">
        <v>3184</v>
      </c>
      <c r="M906" t="s">
        <v>665</v>
      </c>
    </row>
    <row r="907" spans="1:13">
      <c r="A907" t="s">
        <v>851</v>
      </c>
      <c r="B907" t="s">
        <v>687</v>
      </c>
      <c r="C907" t="s">
        <v>687</v>
      </c>
      <c r="D907" t="s">
        <v>23</v>
      </c>
      <c r="E907" t="s">
        <v>461</v>
      </c>
      <c r="F907" t="s">
        <v>668</v>
      </c>
      <c r="G907">
        <v>2050</v>
      </c>
      <c r="H907" s="12">
        <v>181.33</v>
      </c>
      <c r="I907" t="s">
        <v>3183</v>
      </c>
      <c r="J907" t="s">
        <v>5</v>
      </c>
      <c r="K907" t="s">
        <v>147</v>
      </c>
      <c r="L907" t="s">
        <v>3184</v>
      </c>
      <c r="M907" t="s">
        <v>665</v>
      </c>
    </row>
    <row r="908" spans="1:13">
      <c r="A908" t="s">
        <v>851</v>
      </c>
      <c r="B908" t="s">
        <v>686</v>
      </c>
      <c r="C908" t="s">
        <v>686</v>
      </c>
      <c r="D908" t="s">
        <v>23</v>
      </c>
      <c r="E908" t="s">
        <v>461</v>
      </c>
      <c r="F908" t="s">
        <v>668</v>
      </c>
      <c r="G908">
        <v>2010</v>
      </c>
      <c r="H908" s="12">
        <v>107.39</v>
      </c>
      <c r="I908" t="s">
        <v>3183</v>
      </c>
      <c r="J908" t="s">
        <v>6</v>
      </c>
      <c r="K908" t="s">
        <v>147</v>
      </c>
      <c r="L908" t="s">
        <v>3184</v>
      </c>
      <c r="M908" t="s">
        <v>666</v>
      </c>
    </row>
    <row r="909" spans="1:13">
      <c r="A909" t="s">
        <v>851</v>
      </c>
      <c r="B909" t="s">
        <v>686</v>
      </c>
      <c r="C909" t="s">
        <v>686</v>
      </c>
      <c r="D909" t="s">
        <v>23</v>
      </c>
      <c r="E909" t="s">
        <v>461</v>
      </c>
      <c r="F909" t="s">
        <v>668</v>
      </c>
      <c r="G909">
        <v>2015</v>
      </c>
      <c r="H909" s="12">
        <v>66.41</v>
      </c>
      <c r="I909" t="s">
        <v>3183</v>
      </c>
      <c r="J909" t="s">
        <v>6</v>
      </c>
      <c r="K909" t="s">
        <v>147</v>
      </c>
      <c r="L909" t="s">
        <v>3184</v>
      </c>
      <c r="M909" t="s">
        <v>666</v>
      </c>
    </row>
    <row r="910" spans="1:13">
      <c r="A910" t="s">
        <v>851</v>
      </c>
      <c r="B910" t="s">
        <v>686</v>
      </c>
      <c r="C910" t="s">
        <v>686</v>
      </c>
      <c r="D910" t="s">
        <v>23</v>
      </c>
      <c r="E910" t="s">
        <v>461</v>
      </c>
      <c r="F910" t="s">
        <v>668</v>
      </c>
      <c r="G910">
        <v>2020</v>
      </c>
      <c r="H910" s="12">
        <v>65.69</v>
      </c>
      <c r="I910" t="s">
        <v>3183</v>
      </c>
      <c r="J910" t="s">
        <v>6</v>
      </c>
      <c r="K910" t="s">
        <v>147</v>
      </c>
      <c r="L910" t="s">
        <v>3184</v>
      </c>
      <c r="M910" t="s">
        <v>666</v>
      </c>
    </row>
    <row r="911" spans="1:13">
      <c r="A911" t="s">
        <v>851</v>
      </c>
      <c r="B911" t="s">
        <v>686</v>
      </c>
      <c r="C911" t="s">
        <v>686</v>
      </c>
      <c r="D911" t="s">
        <v>23</v>
      </c>
      <c r="E911" t="s">
        <v>461</v>
      </c>
      <c r="F911" t="s">
        <v>668</v>
      </c>
      <c r="G911">
        <v>2030</v>
      </c>
      <c r="H911" s="12">
        <v>114.68</v>
      </c>
      <c r="I911" t="s">
        <v>3183</v>
      </c>
      <c r="J911" t="s">
        <v>6</v>
      </c>
      <c r="K911" t="s">
        <v>147</v>
      </c>
      <c r="L911" t="s">
        <v>3184</v>
      </c>
      <c r="M911" t="s">
        <v>666</v>
      </c>
    </row>
    <row r="912" spans="1:13">
      <c r="A912" t="s">
        <v>851</v>
      </c>
      <c r="B912" t="s">
        <v>686</v>
      </c>
      <c r="C912" t="s">
        <v>686</v>
      </c>
      <c r="D912" t="s">
        <v>23</v>
      </c>
      <c r="E912" t="s">
        <v>461</v>
      </c>
      <c r="F912" t="s">
        <v>668</v>
      </c>
      <c r="G912">
        <v>2035</v>
      </c>
      <c r="H912" s="12">
        <v>132.85</v>
      </c>
      <c r="I912" t="s">
        <v>3183</v>
      </c>
      <c r="J912" t="s">
        <v>6</v>
      </c>
      <c r="K912" t="s">
        <v>147</v>
      </c>
      <c r="L912" t="s">
        <v>3184</v>
      </c>
      <c r="M912" t="s">
        <v>666</v>
      </c>
    </row>
    <row r="913" spans="1:13">
      <c r="A913" t="s">
        <v>851</v>
      </c>
      <c r="B913" t="s">
        <v>686</v>
      </c>
      <c r="C913" t="s">
        <v>686</v>
      </c>
      <c r="D913" t="s">
        <v>23</v>
      </c>
      <c r="E913" t="s">
        <v>461</v>
      </c>
      <c r="F913" t="s">
        <v>668</v>
      </c>
      <c r="G913">
        <v>2040</v>
      </c>
      <c r="H913" s="12">
        <v>153.72999999999999</v>
      </c>
      <c r="I913" t="s">
        <v>3183</v>
      </c>
      <c r="J913" t="s">
        <v>6</v>
      </c>
      <c r="K913" t="s">
        <v>147</v>
      </c>
      <c r="L913" t="s">
        <v>3184</v>
      </c>
      <c r="M913" t="s">
        <v>666</v>
      </c>
    </row>
    <row r="914" spans="1:13">
      <c r="A914" t="s">
        <v>851</v>
      </c>
      <c r="B914" t="s">
        <v>686</v>
      </c>
      <c r="C914" t="s">
        <v>686</v>
      </c>
      <c r="D914" t="s">
        <v>23</v>
      </c>
      <c r="E914" t="s">
        <v>461</v>
      </c>
      <c r="F914" t="s">
        <v>668</v>
      </c>
      <c r="G914">
        <v>2045</v>
      </c>
      <c r="H914" s="12">
        <v>159.68</v>
      </c>
      <c r="I914" t="s">
        <v>3183</v>
      </c>
      <c r="J914" t="s">
        <v>6</v>
      </c>
      <c r="K914" t="s">
        <v>147</v>
      </c>
      <c r="L914" t="s">
        <v>3184</v>
      </c>
      <c r="M914" t="s">
        <v>666</v>
      </c>
    </row>
    <row r="915" spans="1:13">
      <c r="A915" t="s">
        <v>851</v>
      </c>
      <c r="B915" t="s">
        <v>686</v>
      </c>
      <c r="C915" t="s">
        <v>686</v>
      </c>
      <c r="D915" t="s">
        <v>23</v>
      </c>
      <c r="E915" t="s">
        <v>461</v>
      </c>
      <c r="F915" t="s">
        <v>668</v>
      </c>
      <c r="G915">
        <v>2050</v>
      </c>
      <c r="H915" s="12">
        <v>156.06</v>
      </c>
      <c r="I915" t="s">
        <v>3183</v>
      </c>
      <c r="J915" t="s">
        <v>6</v>
      </c>
      <c r="K915" t="s">
        <v>147</v>
      </c>
      <c r="L915" t="s">
        <v>3184</v>
      </c>
      <c r="M915" t="s">
        <v>666</v>
      </c>
    </row>
    <row r="916" spans="1:13">
      <c r="A916" t="s">
        <v>851</v>
      </c>
      <c r="B916" t="s">
        <v>687</v>
      </c>
      <c r="C916" t="s">
        <v>687</v>
      </c>
      <c r="D916" t="s">
        <v>23</v>
      </c>
      <c r="E916" t="s">
        <v>461</v>
      </c>
      <c r="F916" t="s">
        <v>668</v>
      </c>
      <c r="G916">
        <v>2030</v>
      </c>
      <c r="H916" s="12">
        <v>107.4</v>
      </c>
      <c r="I916" t="s">
        <v>3183</v>
      </c>
      <c r="J916" t="s">
        <v>6</v>
      </c>
      <c r="K916" t="s">
        <v>147</v>
      </c>
      <c r="L916" t="s">
        <v>3184</v>
      </c>
      <c r="M916" t="s">
        <v>666</v>
      </c>
    </row>
    <row r="917" spans="1:13">
      <c r="A917" t="s">
        <v>851</v>
      </c>
      <c r="B917" t="s">
        <v>687</v>
      </c>
      <c r="C917" t="s">
        <v>687</v>
      </c>
      <c r="D917" t="s">
        <v>23</v>
      </c>
      <c r="E917" t="s">
        <v>461</v>
      </c>
      <c r="F917" t="s">
        <v>668</v>
      </c>
      <c r="G917">
        <v>2035</v>
      </c>
      <c r="H917" s="12">
        <v>121.86</v>
      </c>
      <c r="I917" t="s">
        <v>3183</v>
      </c>
      <c r="J917" t="s">
        <v>6</v>
      </c>
      <c r="K917" t="s">
        <v>147</v>
      </c>
      <c r="L917" t="s">
        <v>3184</v>
      </c>
      <c r="M917" t="s">
        <v>666</v>
      </c>
    </row>
    <row r="918" spans="1:13">
      <c r="A918" t="s">
        <v>851</v>
      </c>
      <c r="B918" t="s">
        <v>687</v>
      </c>
      <c r="C918" t="s">
        <v>687</v>
      </c>
      <c r="D918" t="s">
        <v>23</v>
      </c>
      <c r="E918" t="s">
        <v>461</v>
      </c>
      <c r="F918" t="s">
        <v>668</v>
      </c>
      <c r="G918">
        <v>2040</v>
      </c>
      <c r="H918" s="12">
        <v>117.3</v>
      </c>
      <c r="I918" t="s">
        <v>3183</v>
      </c>
      <c r="J918" t="s">
        <v>6</v>
      </c>
      <c r="K918" t="s">
        <v>147</v>
      </c>
      <c r="L918" t="s">
        <v>3184</v>
      </c>
      <c r="M918" t="s">
        <v>666</v>
      </c>
    </row>
    <row r="919" spans="1:13">
      <c r="A919" t="s">
        <v>851</v>
      </c>
      <c r="B919" t="s">
        <v>687</v>
      </c>
      <c r="C919" t="s">
        <v>687</v>
      </c>
      <c r="D919" t="s">
        <v>23</v>
      </c>
      <c r="E919" t="s">
        <v>461</v>
      </c>
      <c r="F919" t="s">
        <v>668</v>
      </c>
      <c r="G919">
        <v>2045</v>
      </c>
      <c r="H919" s="12">
        <v>100.16</v>
      </c>
      <c r="I919" t="s">
        <v>3183</v>
      </c>
      <c r="J919" t="s">
        <v>6</v>
      </c>
      <c r="K919" t="s">
        <v>147</v>
      </c>
      <c r="L919" t="s">
        <v>3184</v>
      </c>
      <c r="M919" t="s">
        <v>666</v>
      </c>
    </row>
    <row r="920" spans="1:13">
      <c r="A920" t="s">
        <v>851</v>
      </c>
      <c r="B920" t="s">
        <v>686</v>
      </c>
      <c r="C920" t="s">
        <v>686</v>
      </c>
      <c r="D920" t="s">
        <v>23</v>
      </c>
      <c r="E920" t="s">
        <v>656</v>
      </c>
      <c r="F920" t="s">
        <v>31</v>
      </c>
      <c r="G920">
        <v>2010</v>
      </c>
      <c r="H920" s="12">
        <v>7.0000000000000007E-2</v>
      </c>
      <c r="I920" t="s">
        <v>3183</v>
      </c>
      <c r="J920" t="s">
        <v>17</v>
      </c>
      <c r="K920" t="s">
        <v>147</v>
      </c>
      <c r="L920" t="s">
        <v>3184</v>
      </c>
      <c r="M920" t="s">
        <v>671</v>
      </c>
    </row>
    <row r="921" spans="1:13">
      <c r="A921" t="s">
        <v>851</v>
      </c>
      <c r="B921" t="s">
        <v>686</v>
      </c>
      <c r="C921" t="s">
        <v>686</v>
      </c>
      <c r="D921" t="s">
        <v>23</v>
      </c>
      <c r="E921" t="s">
        <v>656</v>
      </c>
      <c r="F921" t="s">
        <v>31</v>
      </c>
      <c r="G921">
        <v>2015</v>
      </c>
      <c r="H921" s="12">
        <v>5.36</v>
      </c>
      <c r="I921" t="s">
        <v>3183</v>
      </c>
      <c r="J921" t="s">
        <v>17</v>
      </c>
      <c r="K921" t="s">
        <v>147</v>
      </c>
      <c r="L921" t="s">
        <v>3184</v>
      </c>
      <c r="M921" t="s">
        <v>671</v>
      </c>
    </row>
    <row r="922" spans="1:13">
      <c r="A922" t="s">
        <v>851</v>
      </c>
      <c r="B922" t="s">
        <v>686</v>
      </c>
      <c r="C922" t="s">
        <v>686</v>
      </c>
      <c r="D922" t="s">
        <v>23</v>
      </c>
      <c r="E922" t="s">
        <v>656</v>
      </c>
      <c r="F922" t="s">
        <v>31</v>
      </c>
      <c r="G922">
        <v>2020</v>
      </c>
      <c r="H922" s="12">
        <v>41.49</v>
      </c>
      <c r="I922" t="s">
        <v>3183</v>
      </c>
      <c r="J922" t="s">
        <v>17</v>
      </c>
      <c r="K922" t="s">
        <v>147</v>
      </c>
      <c r="L922" t="s">
        <v>3184</v>
      </c>
      <c r="M922" t="s">
        <v>671</v>
      </c>
    </row>
    <row r="923" spans="1:13">
      <c r="A923" t="s">
        <v>851</v>
      </c>
      <c r="B923" t="s">
        <v>686</v>
      </c>
      <c r="C923" t="s">
        <v>686</v>
      </c>
      <c r="D923" t="s">
        <v>23</v>
      </c>
      <c r="E923" t="s">
        <v>646</v>
      </c>
      <c r="F923" t="s">
        <v>40</v>
      </c>
      <c r="G923">
        <v>2045</v>
      </c>
      <c r="H923" s="12">
        <v>6619</v>
      </c>
      <c r="I923" t="s">
        <v>3183</v>
      </c>
      <c r="J923" t="s">
        <v>344</v>
      </c>
      <c r="K923" t="s">
        <v>658</v>
      </c>
      <c r="L923" t="s">
        <v>3184</v>
      </c>
      <c r="M923" t="s">
        <v>10</v>
      </c>
    </row>
    <row r="924" spans="1:13">
      <c r="A924" t="s">
        <v>851</v>
      </c>
      <c r="B924" t="s">
        <v>686</v>
      </c>
      <c r="C924" t="s">
        <v>686</v>
      </c>
      <c r="D924" t="s">
        <v>23</v>
      </c>
      <c r="E924" t="s">
        <v>646</v>
      </c>
      <c r="F924" t="s">
        <v>40</v>
      </c>
      <c r="G924">
        <v>2050</v>
      </c>
      <c r="H924" s="12">
        <v>7406</v>
      </c>
      <c r="I924" t="s">
        <v>3183</v>
      </c>
      <c r="J924" t="s">
        <v>344</v>
      </c>
      <c r="K924" t="s">
        <v>658</v>
      </c>
      <c r="L924" t="s">
        <v>3184</v>
      </c>
      <c r="M924" t="s">
        <v>10</v>
      </c>
    </row>
    <row r="925" spans="1:13">
      <c r="A925" t="s">
        <v>851</v>
      </c>
      <c r="B925" t="s">
        <v>687</v>
      </c>
      <c r="C925" t="s">
        <v>687</v>
      </c>
      <c r="D925" t="s">
        <v>23</v>
      </c>
      <c r="E925" t="s">
        <v>646</v>
      </c>
      <c r="F925" t="s">
        <v>40</v>
      </c>
      <c r="G925">
        <v>2030</v>
      </c>
      <c r="H925" s="12">
        <v>3184</v>
      </c>
      <c r="I925" t="s">
        <v>3183</v>
      </c>
      <c r="J925" t="s">
        <v>344</v>
      </c>
      <c r="K925" t="s">
        <v>658</v>
      </c>
      <c r="L925" t="s">
        <v>3184</v>
      </c>
      <c r="M925" t="s">
        <v>10</v>
      </c>
    </row>
    <row r="926" spans="1:13">
      <c r="A926" t="s">
        <v>851</v>
      </c>
      <c r="B926" t="s">
        <v>687</v>
      </c>
      <c r="C926" t="s">
        <v>687</v>
      </c>
      <c r="D926" t="s">
        <v>23</v>
      </c>
      <c r="E926" t="s">
        <v>646</v>
      </c>
      <c r="F926" t="s">
        <v>40</v>
      </c>
      <c r="G926">
        <v>2035</v>
      </c>
      <c r="H926" s="12">
        <v>4038</v>
      </c>
      <c r="I926" t="s">
        <v>3183</v>
      </c>
      <c r="J926" t="s">
        <v>344</v>
      </c>
      <c r="K926" t="s">
        <v>658</v>
      </c>
      <c r="L926" t="s">
        <v>3184</v>
      </c>
      <c r="M926" t="s">
        <v>10</v>
      </c>
    </row>
    <row r="927" spans="1:13">
      <c r="A927" t="s">
        <v>851</v>
      </c>
      <c r="B927" t="s">
        <v>687</v>
      </c>
      <c r="C927" t="s">
        <v>687</v>
      </c>
      <c r="D927" t="s">
        <v>23</v>
      </c>
      <c r="E927" t="s">
        <v>646</v>
      </c>
      <c r="F927" t="s">
        <v>40</v>
      </c>
      <c r="G927">
        <v>2040</v>
      </c>
      <c r="H927" s="12">
        <v>4891</v>
      </c>
      <c r="I927" t="s">
        <v>3183</v>
      </c>
      <c r="J927" t="s">
        <v>344</v>
      </c>
      <c r="K927" t="s">
        <v>658</v>
      </c>
      <c r="L927" t="s">
        <v>3184</v>
      </c>
      <c r="M927" t="s">
        <v>10</v>
      </c>
    </row>
    <row r="928" spans="1:13">
      <c r="A928" t="s">
        <v>851</v>
      </c>
      <c r="B928" t="s">
        <v>687</v>
      </c>
      <c r="C928" t="s">
        <v>687</v>
      </c>
      <c r="D928" t="s">
        <v>23</v>
      </c>
      <c r="E928" t="s">
        <v>646</v>
      </c>
      <c r="F928" t="s">
        <v>40</v>
      </c>
      <c r="G928">
        <v>2045</v>
      </c>
      <c r="H928" s="12">
        <v>5486</v>
      </c>
      <c r="I928" t="s">
        <v>3183</v>
      </c>
      <c r="J928" t="s">
        <v>344</v>
      </c>
      <c r="K928" t="s">
        <v>658</v>
      </c>
      <c r="L928" t="s">
        <v>3184</v>
      </c>
      <c r="M928" t="s">
        <v>10</v>
      </c>
    </row>
    <row r="929" spans="1:13">
      <c r="A929" t="s">
        <v>851</v>
      </c>
      <c r="B929" t="s">
        <v>687</v>
      </c>
      <c r="C929" t="s">
        <v>687</v>
      </c>
      <c r="D929" t="s">
        <v>23</v>
      </c>
      <c r="E929" t="s">
        <v>646</v>
      </c>
      <c r="F929" t="s">
        <v>40</v>
      </c>
      <c r="G929">
        <v>2050</v>
      </c>
      <c r="H929" s="12">
        <v>5779</v>
      </c>
      <c r="I929" t="s">
        <v>3183</v>
      </c>
      <c r="J929" t="s">
        <v>344</v>
      </c>
      <c r="K929" t="s">
        <v>658</v>
      </c>
      <c r="L929" t="s">
        <v>3184</v>
      </c>
      <c r="M929" t="s">
        <v>10</v>
      </c>
    </row>
    <row r="930" spans="1:13">
      <c r="A930" t="s">
        <v>851</v>
      </c>
      <c r="B930" t="s">
        <v>686</v>
      </c>
      <c r="C930" t="s">
        <v>686</v>
      </c>
      <c r="D930" t="s">
        <v>23</v>
      </c>
      <c r="E930" t="s">
        <v>646</v>
      </c>
      <c r="F930" t="s">
        <v>40</v>
      </c>
      <c r="G930">
        <v>2030</v>
      </c>
      <c r="H930" s="12">
        <v>490</v>
      </c>
      <c r="I930" t="s">
        <v>3183</v>
      </c>
      <c r="J930" t="s">
        <v>5</v>
      </c>
      <c r="K930" t="s">
        <v>658</v>
      </c>
      <c r="L930" t="s">
        <v>3184</v>
      </c>
      <c r="M930" t="s">
        <v>5</v>
      </c>
    </row>
    <row r="931" spans="1:13">
      <c r="A931" t="s">
        <v>851</v>
      </c>
      <c r="B931" t="s">
        <v>686</v>
      </c>
      <c r="C931" t="s">
        <v>686</v>
      </c>
      <c r="D931" t="s">
        <v>23</v>
      </c>
      <c r="E931" t="s">
        <v>646</v>
      </c>
      <c r="F931" t="s">
        <v>40</v>
      </c>
      <c r="G931">
        <v>2035</v>
      </c>
      <c r="H931" s="12">
        <v>401</v>
      </c>
      <c r="I931" t="s">
        <v>3183</v>
      </c>
      <c r="J931" t="s">
        <v>5</v>
      </c>
      <c r="K931" t="s">
        <v>658</v>
      </c>
      <c r="L931" t="s">
        <v>3184</v>
      </c>
      <c r="M931" t="s">
        <v>5</v>
      </c>
    </row>
    <row r="932" spans="1:13">
      <c r="A932" t="s">
        <v>851</v>
      </c>
      <c r="B932" t="s">
        <v>686</v>
      </c>
      <c r="C932" t="s">
        <v>686</v>
      </c>
      <c r="D932" t="s">
        <v>23</v>
      </c>
      <c r="E932" t="s">
        <v>646</v>
      </c>
      <c r="F932" t="s">
        <v>40</v>
      </c>
      <c r="G932">
        <v>2040</v>
      </c>
      <c r="H932" s="12">
        <v>291</v>
      </c>
      <c r="I932" t="s">
        <v>3183</v>
      </c>
      <c r="J932" t="s">
        <v>5</v>
      </c>
      <c r="K932" t="s">
        <v>658</v>
      </c>
      <c r="L932" t="s">
        <v>3184</v>
      </c>
      <c r="M932" t="s">
        <v>5</v>
      </c>
    </row>
    <row r="933" spans="1:13">
      <c r="A933" t="s">
        <v>851</v>
      </c>
      <c r="B933" t="s">
        <v>686</v>
      </c>
      <c r="C933" t="s">
        <v>686</v>
      </c>
      <c r="D933" t="s">
        <v>23</v>
      </c>
      <c r="E933" t="s">
        <v>646</v>
      </c>
      <c r="F933" t="s">
        <v>40</v>
      </c>
      <c r="G933">
        <v>2045</v>
      </c>
      <c r="H933" s="12">
        <v>183</v>
      </c>
      <c r="I933" t="s">
        <v>3183</v>
      </c>
      <c r="J933" t="s">
        <v>5</v>
      </c>
      <c r="K933" t="s">
        <v>658</v>
      </c>
      <c r="L933" t="s">
        <v>3184</v>
      </c>
      <c r="M933" t="s">
        <v>5</v>
      </c>
    </row>
    <row r="934" spans="1:13">
      <c r="A934" t="s">
        <v>851</v>
      </c>
      <c r="B934" t="s">
        <v>686</v>
      </c>
      <c r="C934" t="s">
        <v>686</v>
      </c>
      <c r="D934" t="s">
        <v>23</v>
      </c>
      <c r="E934" t="s">
        <v>646</v>
      </c>
      <c r="F934" t="s">
        <v>40</v>
      </c>
      <c r="G934">
        <v>2050</v>
      </c>
      <c r="H934" s="12">
        <v>76</v>
      </c>
      <c r="I934" t="s">
        <v>3183</v>
      </c>
      <c r="J934" t="s">
        <v>5</v>
      </c>
      <c r="K934" t="s">
        <v>658</v>
      </c>
      <c r="L934" t="s">
        <v>3184</v>
      </c>
      <c r="M934" t="s">
        <v>5</v>
      </c>
    </row>
    <row r="935" spans="1:13">
      <c r="A935" t="s">
        <v>851</v>
      </c>
      <c r="B935" t="s">
        <v>687</v>
      </c>
      <c r="C935" t="s">
        <v>687</v>
      </c>
      <c r="D935" t="s">
        <v>23</v>
      </c>
      <c r="E935" t="s">
        <v>646</v>
      </c>
      <c r="F935" t="s">
        <v>40</v>
      </c>
      <c r="G935">
        <v>2030</v>
      </c>
      <c r="H935" s="12">
        <v>387</v>
      </c>
      <c r="I935" t="s">
        <v>3183</v>
      </c>
      <c r="J935" t="s">
        <v>5</v>
      </c>
      <c r="K935" t="s">
        <v>658</v>
      </c>
      <c r="L935" t="s">
        <v>3184</v>
      </c>
      <c r="M935" t="s">
        <v>5</v>
      </c>
    </row>
    <row r="936" spans="1:13">
      <c r="A936" t="s">
        <v>851</v>
      </c>
      <c r="B936" t="s">
        <v>687</v>
      </c>
      <c r="C936" t="s">
        <v>687</v>
      </c>
      <c r="D936" t="s">
        <v>23</v>
      </c>
      <c r="E936" t="s">
        <v>646</v>
      </c>
      <c r="F936" t="s">
        <v>40</v>
      </c>
      <c r="G936">
        <v>2035</v>
      </c>
      <c r="H936" s="12">
        <v>215</v>
      </c>
      <c r="I936" t="s">
        <v>3183</v>
      </c>
      <c r="J936" t="s">
        <v>5</v>
      </c>
      <c r="K936" t="s">
        <v>658</v>
      </c>
      <c r="L936" t="s">
        <v>3184</v>
      </c>
      <c r="M936" t="s">
        <v>5</v>
      </c>
    </row>
    <row r="937" spans="1:13">
      <c r="A937" t="s">
        <v>851</v>
      </c>
      <c r="B937" t="s">
        <v>687</v>
      </c>
      <c r="C937" t="s">
        <v>687</v>
      </c>
      <c r="D937" t="s">
        <v>23</v>
      </c>
      <c r="E937" t="s">
        <v>646</v>
      </c>
      <c r="F937" t="s">
        <v>40</v>
      </c>
      <c r="G937">
        <v>2040</v>
      </c>
      <c r="H937" s="12">
        <v>37</v>
      </c>
      <c r="I937" t="s">
        <v>3183</v>
      </c>
      <c r="J937" t="s">
        <v>5</v>
      </c>
      <c r="K937" t="s">
        <v>658</v>
      </c>
      <c r="L937" t="s">
        <v>3184</v>
      </c>
      <c r="M937" t="s">
        <v>5</v>
      </c>
    </row>
    <row r="938" spans="1:13">
      <c r="A938" t="s">
        <v>851</v>
      </c>
      <c r="B938" t="s">
        <v>687</v>
      </c>
      <c r="C938" t="s">
        <v>687</v>
      </c>
      <c r="D938" t="s">
        <v>23</v>
      </c>
      <c r="E938" t="s">
        <v>646</v>
      </c>
      <c r="F938" t="s">
        <v>40</v>
      </c>
      <c r="G938">
        <v>2045</v>
      </c>
      <c r="H938" s="12">
        <v>1</v>
      </c>
      <c r="I938" t="s">
        <v>3183</v>
      </c>
      <c r="J938" t="s">
        <v>5</v>
      </c>
      <c r="K938" t="s">
        <v>658</v>
      </c>
      <c r="L938" t="s">
        <v>3184</v>
      </c>
      <c r="M938" t="s">
        <v>5</v>
      </c>
    </row>
    <row r="939" spans="1:13">
      <c r="A939" t="s">
        <v>851</v>
      </c>
      <c r="B939" t="s">
        <v>687</v>
      </c>
      <c r="C939" t="s">
        <v>687</v>
      </c>
      <c r="D939" t="s">
        <v>23</v>
      </c>
      <c r="E939" t="s">
        <v>646</v>
      </c>
      <c r="F939" t="s">
        <v>40</v>
      </c>
      <c r="G939">
        <v>2050</v>
      </c>
      <c r="H939" s="12">
        <v>0</v>
      </c>
      <c r="I939" t="s">
        <v>3183</v>
      </c>
      <c r="J939" t="s">
        <v>5</v>
      </c>
      <c r="K939" t="s">
        <v>658</v>
      </c>
      <c r="L939" t="s">
        <v>3184</v>
      </c>
      <c r="M939" t="s">
        <v>5</v>
      </c>
    </row>
    <row r="940" spans="1:13">
      <c r="A940" t="s">
        <v>851</v>
      </c>
      <c r="B940" t="s">
        <v>686</v>
      </c>
      <c r="C940" t="s">
        <v>686</v>
      </c>
      <c r="D940" t="s">
        <v>23</v>
      </c>
      <c r="E940" t="s">
        <v>461</v>
      </c>
      <c r="F940" t="s">
        <v>668</v>
      </c>
      <c r="G940">
        <v>2010</v>
      </c>
      <c r="H940" s="12">
        <v>0.13</v>
      </c>
      <c r="I940" t="s">
        <v>3183</v>
      </c>
      <c r="J940" t="s">
        <v>17</v>
      </c>
      <c r="K940" t="s">
        <v>147</v>
      </c>
      <c r="L940" t="s">
        <v>3184</v>
      </c>
      <c r="M940" t="s">
        <v>671</v>
      </c>
    </row>
    <row r="941" spans="1:13">
      <c r="A941" t="s">
        <v>851</v>
      </c>
      <c r="B941" t="s">
        <v>686</v>
      </c>
      <c r="C941" t="s">
        <v>686</v>
      </c>
      <c r="D941" t="s">
        <v>23</v>
      </c>
      <c r="E941" t="s">
        <v>461</v>
      </c>
      <c r="F941" t="s">
        <v>668</v>
      </c>
      <c r="G941">
        <v>2015</v>
      </c>
      <c r="H941" s="12">
        <v>10.42</v>
      </c>
      <c r="I941" t="s">
        <v>3183</v>
      </c>
      <c r="J941" t="s">
        <v>17</v>
      </c>
      <c r="K941" t="s">
        <v>147</v>
      </c>
      <c r="L941" t="s">
        <v>3184</v>
      </c>
      <c r="M941" t="s">
        <v>671</v>
      </c>
    </row>
    <row r="942" spans="1:13">
      <c r="A942" t="s">
        <v>851</v>
      </c>
      <c r="B942" t="s">
        <v>686</v>
      </c>
      <c r="C942" t="s">
        <v>686</v>
      </c>
      <c r="D942" t="s">
        <v>23</v>
      </c>
      <c r="E942" t="s">
        <v>461</v>
      </c>
      <c r="F942" t="s">
        <v>668</v>
      </c>
      <c r="G942">
        <v>2020</v>
      </c>
      <c r="H942" s="12">
        <v>61.29</v>
      </c>
      <c r="I942" t="s">
        <v>3183</v>
      </c>
      <c r="J942" t="s">
        <v>17</v>
      </c>
      <c r="K942" t="s">
        <v>147</v>
      </c>
      <c r="L942" t="s">
        <v>3184</v>
      </c>
      <c r="M942" t="s">
        <v>671</v>
      </c>
    </row>
    <row r="943" spans="1:13">
      <c r="A943" t="s">
        <v>851</v>
      </c>
      <c r="B943" t="s">
        <v>686</v>
      </c>
      <c r="C943" t="s">
        <v>686</v>
      </c>
      <c r="D943" t="s">
        <v>23</v>
      </c>
      <c r="E943" t="s">
        <v>461</v>
      </c>
      <c r="F943" t="s">
        <v>668</v>
      </c>
      <c r="G943">
        <v>2030</v>
      </c>
      <c r="H943" s="12">
        <v>424.34</v>
      </c>
      <c r="I943" t="s">
        <v>3183</v>
      </c>
      <c r="J943" t="s">
        <v>17</v>
      </c>
      <c r="K943" t="s">
        <v>147</v>
      </c>
      <c r="L943" t="s">
        <v>3184</v>
      </c>
      <c r="M943" t="s">
        <v>671</v>
      </c>
    </row>
    <row r="944" spans="1:13">
      <c r="A944" t="s">
        <v>851</v>
      </c>
      <c r="B944" t="s">
        <v>686</v>
      </c>
      <c r="C944" t="s">
        <v>686</v>
      </c>
      <c r="D944" t="s">
        <v>23</v>
      </c>
      <c r="E944" t="s">
        <v>461</v>
      </c>
      <c r="F944" t="s">
        <v>668</v>
      </c>
      <c r="G944">
        <v>2035</v>
      </c>
      <c r="H944" s="12">
        <v>845.77</v>
      </c>
      <c r="I944" t="s">
        <v>3183</v>
      </c>
      <c r="J944" t="s">
        <v>17</v>
      </c>
      <c r="K944" t="s">
        <v>147</v>
      </c>
      <c r="L944" t="s">
        <v>3184</v>
      </c>
      <c r="M944" t="s">
        <v>671</v>
      </c>
    </row>
    <row r="945" spans="1:13">
      <c r="A945" t="s">
        <v>851</v>
      </c>
      <c r="B945" t="s">
        <v>686</v>
      </c>
      <c r="C945" t="s">
        <v>686</v>
      </c>
      <c r="D945" t="s">
        <v>23</v>
      </c>
      <c r="E945" t="s">
        <v>461</v>
      </c>
      <c r="F945" t="s">
        <v>668</v>
      </c>
      <c r="G945">
        <v>2040</v>
      </c>
      <c r="H945" s="12">
        <v>1362.26</v>
      </c>
      <c r="I945" t="s">
        <v>3183</v>
      </c>
      <c r="J945" t="s">
        <v>17</v>
      </c>
      <c r="K945" t="s">
        <v>147</v>
      </c>
      <c r="L945" t="s">
        <v>3184</v>
      </c>
      <c r="M945" t="s">
        <v>671</v>
      </c>
    </row>
    <row r="946" spans="1:13">
      <c r="A946" t="s">
        <v>851</v>
      </c>
      <c r="B946" t="s">
        <v>686</v>
      </c>
      <c r="C946" t="s">
        <v>686</v>
      </c>
      <c r="D946" t="s">
        <v>23</v>
      </c>
      <c r="E946" t="s">
        <v>461</v>
      </c>
      <c r="F946" t="s">
        <v>668</v>
      </c>
      <c r="G946">
        <v>2045</v>
      </c>
      <c r="H946" s="12">
        <v>1830.14</v>
      </c>
      <c r="I946" t="s">
        <v>3183</v>
      </c>
      <c r="J946" t="s">
        <v>17</v>
      </c>
      <c r="K946" t="s">
        <v>147</v>
      </c>
      <c r="L946" t="s">
        <v>3184</v>
      </c>
      <c r="M946" t="s">
        <v>671</v>
      </c>
    </row>
    <row r="947" spans="1:13">
      <c r="A947" t="s">
        <v>851</v>
      </c>
      <c r="B947" t="s">
        <v>686</v>
      </c>
      <c r="C947" t="s">
        <v>686</v>
      </c>
      <c r="D947" t="s">
        <v>23</v>
      </c>
      <c r="E947" t="s">
        <v>461</v>
      </c>
      <c r="F947" t="s">
        <v>668</v>
      </c>
      <c r="G947">
        <v>2050</v>
      </c>
      <c r="H947" s="12">
        <v>2163.11</v>
      </c>
      <c r="I947" t="s">
        <v>3183</v>
      </c>
      <c r="J947" t="s">
        <v>17</v>
      </c>
      <c r="K947" t="s">
        <v>147</v>
      </c>
      <c r="L947" t="s">
        <v>3184</v>
      </c>
      <c r="M947" t="s">
        <v>671</v>
      </c>
    </row>
    <row r="948" spans="1:13">
      <c r="A948" t="s">
        <v>851</v>
      </c>
      <c r="B948" t="s">
        <v>687</v>
      </c>
      <c r="C948" t="s">
        <v>687</v>
      </c>
      <c r="D948" t="s">
        <v>23</v>
      </c>
      <c r="E948" t="s">
        <v>461</v>
      </c>
      <c r="F948" t="s">
        <v>668</v>
      </c>
      <c r="G948">
        <v>2030</v>
      </c>
      <c r="H948" s="12">
        <v>453.36</v>
      </c>
      <c r="I948" t="s">
        <v>3183</v>
      </c>
      <c r="J948" t="s">
        <v>17</v>
      </c>
      <c r="K948" t="s">
        <v>147</v>
      </c>
      <c r="L948" t="s">
        <v>3184</v>
      </c>
      <c r="M948" t="s">
        <v>671</v>
      </c>
    </row>
    <row r="949" spans="1:13">
      <c r="A949" t="s">
        <v>851</v>
      </c>
      <c r="B949" t="s">
        <v>686</v>
      </c>
      <c r="C949" t="s">
        <v>686</v>
      </c>
      <c r="D949" t="s">
        <v>23</v>
      </c>
      <c r="E949" t="s">
        <v>461</v>
      </c>
      <c r="F949" t="s">
        <v>668</v>
      </c>
      <c r="G949">
        <v>2040</v>
      </c>
      <c r="H949" s="12">
        <v>108.71</v>
      </c>
      <c r="I949" t="s">
        <v>3183</v>
      </c>
      <c r="J949" t="s">
        <v>41</v>
      </c>
      <c r="K949" t="s">
        <v>147</v>
      </c>
      <c r="L949" t="s">
        <v>3184</v>
      </c>
      <c r="M949" t="s">
        <v>669</v>
      </c>
    </row>
    <row r="950" spans="1:13">
      <c r="A950" t="s">
        <v>851</v>
      </c>
      <c r="B950" t="s">
        <v>686</v>
      </c>
      <c r="C950" t="s">
        <v>686</v>
      </c>
      <c r="D950" t="s">
        <v>23</v>
      </c>
      <c r="E950" t="s">
        <v>461</v>
      </c>
      <c r="F950" t="s">
        <v>668</v>
      </c>
      <c r="G950">
        <v>2045</v>
      </c>
      <c r="H950" s="12">
        <v>128</v>
      </c>
      <c r="I950" t="s">
        <v>3183</v>
      </c>
      <c r="J950" t="s">
        <v>41</v>
      </c>
      <c r="K950" t="s">
        <v>147</v>
      </c>
      <c r="L950" t="s">
        <v>3184</v>
      </c>
      <c r="M950" t="s">
        <v>669</v>
      </c>
    </row>
    <row r="951" spans="1:13">
      <c r="A951" t="s">
        <v>851</v>
      </c>
      <c r="B951" t="s">
        <v>686</v>
      </c>
      <c r="C951" t="s">
        <v>686</v>
      </c>
      <c r="D951" t="s">
        <v>23</v>
      </c>
      <c r="E951" t="s">
        <v>461</v>
      </c>
      <c r="F951" t="s">
        <v>668</v>
      </c>
      <c r="G951">
        <v>2050</v>
      </c>
      <c r="H951" s="12">
        <v>152.03</v>
      </c>
      <c r="I951" t="s">
        <v>3183</v>
      </c>
      <c r="J951" t="s">
        <v>41</v>
      </c>
      <c r="K951" t="s">
        <v>147</v>
      </c>
      <c r="L951" t="s">
        <v>3184</v>
      </c>
      <c r="M951" t="s">
        <v>669</v>
      </c>
    </row>
    <row r="952" spans="1:13">
      <c r="A952" t="s">
        <v>851</v>
      </c>
      <c r="B952" t="s">
        <v>687</v>
      </c>
      <c r="C952" t="s">
        <v>687</v>
      </c>
      <c r="D952" t="s">
        <v>23</v>
      </c>
      <c r="E952" t="s">
        <v>461</v>
      </c>
      <c r="F952" t="s">
        <v>668</v>
      </c>
      <c r="G952">
        <v>2030</v>
      </c>
      <c r="H952" s="12">
        <v>81.47</v>
      </c>
      <c r="I952" t="s">
        <v>3183</v>
      </c>
      <c r="J952" t="s">
        <v>41</v>
      </c>
      <c r="K952" t="s">
        <v>147</v>
      </c>
      <c r="L952" t="s">
        <v>3184</v>
      </c>
      <c r="M952" t="s">
        <v>669</v>
      </c>
    </row>
    <row r="953" spans="1:13">
      <c r="A953" t="s">
        <v>851</v>
      </c>
      <c r="B953" t="s">
        <v>687</v>
      </c>
      <c r="C953" t="s">
        <v>687</v>
      </c>
      <c r="D953" t="s">
        <v>23</v>
      </c>
      <c r="E953" t="s">
        <v>461</v>
      </c>
      <c r="F953" t="s">
        <v>668</v>
      </c>
      <c r="G953">
        <v>2035</v>
      </c>
      <c r="H953" s="12">
        <v>122.91</v>
      </c>
      <c r="I953" t="s">
        <v>3183</v>
      </c>
      <c r="J953" t="s">
        <v>41</v>
      </c>
      <c r="K953" t="s">
        <v>147</v>
      </c>
      <c r="L953" t="s">
        <v>3184</v>
      </c>
      <c r="M953" t="s">
        <v>669</v>
      </c>
    </row>
    <row r="954" spans="1:13">
      <c r="A954" t="s">
        <v>851</v>
      </c>
      <c r="B954" t="s">
        <v>687</v>
      </c>
      <c r="C954" t="s">
        <v>687</v>
      </c>
      <c r="D954" t="s">
        <v>23</v>
      </c>
      <c r="E954" t="s">
        <v>461</v>
      </c>
      <c r="F954" t="s">
        <v>668</v>
      </c>
      <c r="G954">
        <v>2040</v>
      </c>
      <c r="H954" s="12">
        <v>202</v>
      </c>
      <c r="I954" t="s">
        <v>3183</v>
      </c>
      <c r="J954" t="s">
        <v>41</v>
      </c>
      <c r="K954" t="s">
        <v>147</v>
      </c>
      <c r="L954" t="s">
        <v>3184</v>
      </c>
      <c r="M954" t="s">
        <v>669</v>
      </c>
    </row>
    <row r="955" spans="1:13">
      <c r="A955" t="s">
        <v>851</v>
      </c>
      <c r="B955" t="s">
        <v>687</v>
      </c>
      <c r="C955" t="s">
        <v>687</v>
      </c>
      <c r="D955" t="s">
        <v>23</v>
      </c>
      <c r="E955" t="s">
        <v>461</v>
      </c>
      <c r="F955" t="s">
        <v>668</v>
      </c>
      <c r="G955">
        <v>2045</v>
      </c>
      <c r="H955" s="12">
        <v>297.06</v>
      </c>
      <c r="I955" t="s">
        <v>3183</v>
      </c>
      <c r="J955" t="s">
        <v>41</v>
      </c>
      <c r="K955" t="s">
        <v>147</v>
      </c>
      <c r="L955" t="s">
        <v>3184</v>
      </c>
      <c r="M955" t="s">
        <v>669</v>
      </c>
    </row>
    <row r="956" spans="1:13">
      <c r="A956" t="s">
        <v>851</v>
      </c>
      <c r="B956" t="s">
        <v>687</v>
      </c>
      <c r="C956" t="s">
        <v>687</v>
      </c>
      <c r="D956" t="s">
        <v>23</v>
      </c>
      <c r="E956" t="s">
        <v>461</v>
      </c>
      <c r="F956" t="s">
        <v>668</v>
      </c>
      <c r="G956">
        <v>2050</v>
      </c>
      <c r="H956" s="12">
        <v>399.34</v>
      </c>
      <c r="I956" t="s">
        <v>3183</v>
      </c>
      <c r="J956" t="s">
        <v>41</v>
      </c>
      <c r="K956" t="s">
        <v>147</v>
      </c>
      <c r="L956" t="s">
        <v>3184</v>
      </c>
      <c r="M956" t="s">
        <v>669</v>
      </c>
    </row>
    <row r="957" spans="1:13">
      <c r="A957" t="s">
        <v>851</v>
      </c>
      <c r="B957" t="s">
        <v>686</v>
      </c>
      <c r="C957" t="s">
        <v>686</v>
      </c>
      <c r="D957" t="s">
        <v>23</v>
      </c>
      <c r="E957" t="s">
        <v>461</v>
      </c>
      <c r="F957" t="s">
        <v>668</v>
      </c>
      <c r="G957">
        <v>2010</v>
      </c>
      <c r="H957" s="12">
        <v>26.27</v>
      </c>
      <c r="I957" t="s">
        <v>3183</v>
      </c>
      <c r="J957" t="s">
        <v>15</v>
      </c>
      <c r="K957" t="s">
        <v>147</v>
      </c>
      <c r="L957" t="s">
        <v>3184</v>
      </c>
      <c r="M957" t="s">
        <v>15</v>
      </c>
    </row>
    <row r="958" spans="1:13">
      <c r="A958" t="s">
        <v>851</v>
      </c>
      <c r="B958" t="s">
        <v>686</v>
      </c>
      <c r="C958" t="s">
        <v>686</v>
      </c>
      <c r="D958" t="s">
        <v>23</v>
      </c>
      <c r="E958" t="s">
        <v>461</v>
      </c>
      <c r="F958" t="s">
        <v>668</v>
      </c>
      <c r="G958">
        <v>2015</v>
      </c>
      <c r="H958" s="12">
        <v>37.409999999999997</v>
      </c>
      <c r="I958" t="s">
        <v>3183</v>
      </c>
      <c r="J958" t="s">
        <v>15</v>
      </c>
      <c r="K958" t="s">
        <v>147</v>
      </c>
      <c r="L958" t="s">
        <v>3184</v>
      </c>
      <c r="M958" t="s">
        <v>15</v>
      </c>
    </row>
    <row r="959" spans="1:13">
      <c r="A959" t="s">
        <v>851</v>
      </c>
      <c r="B959" t="s">
        <v>686</v>
      </c>
      <c r="C959" t="s">
        <v>686</v>
      </c>
      <c r="D959" t="s">
        <v>23</v>
      </c>
      <c r="E959" t="s">
        <v>461</v>
      </c>
      <c r="F959" t="s">
        <v>668</v>
      </c>
      <c r="G959">
        <v>2020</v>
      </c>
      <c r="H959" s="12">
        <v>43.03</v>
      </c>
      <c r="I959" t="s">
        <v>3183</v>
      </c>
      <c r="J959" t="s">
        <v>15</v>
      </c>
      <c r="K959" t="s">
        <v>147</v>
      </c>
      <c r="L959" t="s">
        <v>3184</v>
      </c>
      <c r="M959" t="s">
        <v>15</v>
      </c>
    </row>
    <row r="960" spans="1:13">
      <c r="A960" t="s">
        <v>851</v>
      </c>
      <c r="B960" t="s">
        <v>686</v>
      </c>
      <c r="C960" t="s">
        <v>686</v>
      </c>
      <c r="D960" t="s">
        <v>23</v>
      </c>
      <c r="E960" t="s">
        <v>461</v>
      </c>
      <c r="F960" t="s">
        <v>668</v>
      </c>
      <c r="G960">
        <v>2030</v>
      </c>
      <c r="H960" s="12">
        <v>127.6</v>
      </c>
      <c r="I960" t="s">
        <v>3183</v>
      </c>
      <c r="J960" t="s">
        <v>15</v>
      </c>
      <c r="K960" t="s">
        <v>147</v>
      </c>
      <c r="L960" t="s">
        <v>3184</v>
      </c>
      <c r="M960" t="s">
        <v>15</v>
      </c>
    </row>
    <row r="961" spans="1:13">
      <c r="A961" t="s">
        <v>851</v>
      </c>
      <c r="B961" t="s">
        <v>686</v>
      </c>
      <c r="C961" t="s">
        <v>686</v>
      </c>
      <c r="D961" t="s">
        <v>23</v>
      </c>
      <c r="E961" t="s">
        <v>461</v>
      </c>
      <c r="F961" t="s">
        <v>668</v>
      </c>
      <c r="G961">
        <v>2035</v>
      </c>
      <c r="H961" s="12">
        <v>200.6</v>
      </c>
      <c r="I961" t="s">
        <v>3183</v>
      </c>
      <c r="J961" t="s">
        <v>15</v>
      </c>
      <c r="K961" t="s">
        <v>147</v>
      </c>
      <c r="L961" t="s">
        <v>3184</v>
      </c>
      <c r="M961" t="s">
        <v>15</v>
      </c>
    </row>
    <row r="962" spans="1:13">
      <c r="A962" t="s">
        <v>851</v>
      </c>
      <c r="B962" t="s">
        <v>686</v>
      </c>
      <c r="C962" t="s">
        <v>686</v>
      </c>
      <c r="D962" t="s">
        <v>23</v>
      </c>
      <c r="E962" t="s">
        <v>461</v>
      </c>
      <c r="F962" t="s">
        <v>668</v>
      </c>
      <c r="G962">
        <v>2040</v>
      </c>
      <c r="H962" s="12">
        <v>259.39999999999998</v>
      </c>
      <c r="I962" t="s">
        <v>3183</v>
      </c>
      <c r="J962" t="s">
        <v>15</v>
      </c>
      <c r="K962" t="s">
        <v>147</v>
      </c>
      <c r="L962" t="s">
        <v>3184</v>
      </c>
      <c r="M962" t="s">
        <v>15</v>
      </c>
    </row>
    <row r="963" spans="1:13">
      <c r="A963" t="s">
        <v>851</v>
      </c>
      <c r="B963" t="s">
        <v>686</v>
      </c>
      <c r="C963" t="s">
        <v>686</v>
      </c>
      <c r="D963" t="s">
        <v>23</v>
      </c>
      <c r="E963" t="s">
        <v>461</v>
      </c>
      <c r="F963" t="s">
        <v>668</v>
      </c>
      <c r="G963">
        <v>2045</v>
      </c>
      <c r="H963" s="12">
        <v>296.69</v>
      </c>
      <c r="I963" t="s">
        <v>3183</v>
      </c>
      <c r="J963" t="s">
        <v>15</v>
      </c>
      <c r="K963" t="s">
        <v>147</v>
      </c>
      <c r="L963" t="s">
        <v>3184</v>
      </c>
      <c r="M963" t="s">
        <v>15</v>
      </c>
    </row>
    <row r="964" spans="1:13">
      <c r="A964" t="s">
        <v>851</v>
      </c>
      <c r="B964" t="s">
        <v>686</v>
      </c>
      <c r="C964" t="s">
        <v>686</v>
      </c>
      <c r="D964" t="s">
        <v>23</v>
      </c>
      <c r="E964" t="s">
        <v>461</v>
      </c>
      <c r="F964" t="s">
        <v>668</v>
      </c>
      <c r="G964">
        <v>2050</v>
      </c>
      <c r="H964" s="12">
        <v>336.58</v>
      </c>
      <c r="I964" t="s">
        <v>3183</v>
      </c>
      <c r="J964" t="s">
        <v>15</v>
      </c>
      <c r="K964" t="s">
        <v>147</v>
      </c>
      <c r="L964" t="s">
        <v>3184</v>
      </c>
      <c r="M964" t="s">
        <v>15</v>
      </c>
    </row>
    <row r="965" spans="1:13">
      <c r="A965" t="s">
        <v>851</v>
      </c>
      <c r="B965" t="s">
        <v>687</v>
      </c>
      <c r="C965" t="s">
        <v>687</v>
      </c>
      <c r="D965" t="s">
        <v>23</v>
      </c>
      <c r="E965" t="s">
        <v>461</v>
      </c>
      <c r="F965" t="s">
        <v>668</v>
      </c>
      <c r="G965">
        <v>2030</v>
      </c>
      <c r="H965" s="12">
        <v>130.91</v>
      </c>
      <c r="I965" t="s">
        <v>3183</v>
      </c>
      <c r="J965" t="s">
        <v>15</v>
      </c>
      <c r="K965" t="s">
        <v>147</v>
      </c>
      <c r="L965" t="s">
        <v>3184</v>
      </c>
      <c r="M965" t="s">
        <v>15</v>
      </c>
    </row>
    <row r="966" spans="1:13">
      <c r="A966" t="s">
        <v>851</v>
      </c>
      <c r="B966" t="s">
        <v>687</v>
      </c>
      <c r="C966" t="s">
        <v>687</v>
      </c>
      <c r="D966" t="s">
        <v>23</v>
      </c>
      <c r="E966" t="s">
        <v>461</v>
      </c>
      <c r="F966" t="s">
        <v>668</v>
      </c>
      <c r="G966">
        <v>2035</v>
      </c>
      <c r="H966" s="12">
        <v>209.19</v>
      </c>
      <c r="I966" t="s">
        <v>3183</v>
      </c>
      <c r="J966" t="s">
        <v>15</v>
      </c>
      <c r="K966" t="s">
        <v>147</v>
      </c>
      <c r="L966" t="s">
        <v>3184</v>
      </c>
      <c r="M966" t="s">
        <v>15</v>
      </c>
    </row>
    <row r="967" spans="1:13">
      <c r="A967" t="s">
        <v>851</v>
      </c>
      <c r="B967" t="s">
        <v>687</v>
      </c>
      <c r="C967" t="s">
        <v>687</v>
      </c>
      <c r="D967" t="s">
        <v>23</v>
      </c>
      <c r="E967" t="s">
        <v>461</v>
      </c>
      <c r="F967" t="s">
        <v>668</v>
      </c>
      <c r="G967">
        <v>2040</v>
      </c>
      <c r="H967" s="12">
        <v>292.31</v>
      </c>
      <c r="I967" t="s">
        <v>3183</v>
      </c>
      <c r="J967" t="s">
        <v>15</v>
      </c>
      <c r="K967" t="s">
        <v>147</v>
      </c>
      <c r="L967" t="s">
        <v>3184</v>
      </c>
      <c r="M967" t="s">
        <v>15</v>
      </c>
    </row>
    <row r="968" spans="1:13">
      <c r="A968" t="s">
        <v>851</v>
      </c>
      <c r="B968" t="s">
        <v>687</v>
      </c>
      <c r="C968" t="s">
        <v>687</v>
      </c>
      <c r="D968" t="s">
        <v>23</v>
      </c>
      <c r="E968" t="s">
        <v>461</v>
      </c>
      <c r="F968" t="s">
        <v>668</v>
      </c>
      <c r="G968">
        <v>2045</v>
      </c>
      <c r="H968" s="12">
        <v>338.46</v>
      </c>
      <c r="I968" t="s">
        <v>3183</v>
      </c>
      <c r="J968" t="s">
        <v>15</v>
      </c>
      <c r="K968" t="s">
        <v>147</v>
      </c>
      <c r="L968" t="s">
        <v>3184</v>
      </c>
      <c r="M968" t="s">
        <v>15</v>
      </c>
    </row>
    <row r="969" spans="1:13">
      <c r="A969" t="s">
        <v>851</v>
      </c>
      <c r="B969" t="s">
        <v>686</v>
      </c>
      <c r="C969" t="s">
        <v>686</v>
      </c>
      <c r="D969" t="s">
        <v>23</v>
      </c>
      <c r="E969" t="s">
        <v>646</v>
      </c>
      <c r="F969" t="s">
        <v>40</v>
      </c>
      <c r="G969">
        <v>2010</v>
      </c>
      <c r="H969" s="12">
        <v>2605</v>
      </c>
      <c r="I969" t="s">
        <v>3183</v>
      </c>
      <c r="J969" t="s">
        <v>394</v>
      </c>
      <c r="K969" t="s">
        <v>11</v>
      </c>
      <c r="L969" t="s">
        <v>3184</v>
      </c>
      <c r="M969" t="s">
        <v>16</v>
      </c>
    </row>
    <row r="970" spans="1:13">
      <c r="A970" t="s">
        <v>851</v>
      </c>
      <c r="B970" t="s">
        <v>686</v>
      </c>
      <c r="C970" t="s">
        <v>686</v>
      </c>
      <c r="D970" t="s">
        <v>23</v>
      </c>
      <c r="E970" t="s">
        <v>646</v>
      </c>
      <c r="F970" t="s">
        <v>40</v>
      </c>
      <c r="G970">
        <v>2015</v>
      </c>
      <c r="H970" s="12">
        <v>3474</v>
      </c>
      <c r="I970" t="s">
        <v>3183</v>
      </c>
      <c r="J970" t="s">
        <v>394</v>
      </c>
      <c r="K970" t="s">
        <v>11</v>
      </c>
      <c r="L970" t="s">
        <v>3184</v>
      </c>
      <c r="M970" t="s">
        <v>16</v>
      </c>
    </row>
    <row r="971" spans="1:13">
      <c r="A971" t="s">
        <v>851</v>
      </c>
      <c r="B971" t="s">
        <v>686</v>
      </c>
      <c r="C971" t="s">
        <v>686</v>
      </c>
      <c r="D971" t="s">
        <v>23</v>
      </c>
      <c r="E971" t="s">
        <v>646</v>
      </c>
      <c r="F971" t="s">
        <v>40</v>
      </c>
      <c r="G971">
        <v>2020</v>
      </c>
      <c r="H971" s="12">
        <v>3635</v>
      </c>
      <c r="I971" t="s">
        <v>3183</v>
      </c>
      <c r="J971" t="s">
        <v>394</v>
      </c>
      <c r="K971" t="s">
        <v>11</v>
      </c>
      <c r="L971" t="s">
        <v>3184</v>
      </c>
      <c r="M971" t="s">
        <v>16</v>
      </c>
    </row>
    <row r="972" spans="1:13">
      <c r="A972" t="s">
        <v>851</v>
      </c>
      <c r="B972" t="s">
        <v>686</v>
      </c>
      <c r="C972" t="s">
        <v>686</v>
      </c>
      <c r="D972" t="s">
        <v>23</v>
      </c>
      <c r="E972" t="s">
        <v>646</v>
      </c>
      <c r="F972" t="s">
        <v>40</v>
      </c>
      <c r="G972">
        <v>2030</v>
      </c>
      <c r="H972" s="12">
        <v>5896</v>
      </c>
      <c r="I972" t="s">
        <v>3183</v>
      </c>
      <c r="J972" t="s">
        <v>394</v>
      </c>
      <c r="K972" t="s">
        <v>11</v>
      </c>
      <c r="L972" t="s">
        <v>3184</v>
      </c>
      <c r="M972" t="s">
        <v>16</v>
      </c>
    </row>
    <row r="973" spans="1:13">
      <c r="A973" t="s">
        <v>851</v>
      </c>
      <c r="B973" t="s">
        <v>686</v>
      </c>
      <c r="C973" t="s">
        <v>686</v>
      </c>
      <c r="D973" t="s">
        <v>23</v>
      </c>
      <c r="E973" t="s">
        <v>646</v>
      </c>
      <c r="F973" t="s">
        <v>40</v>
      </c>
      <c r="G973">
        <v>2035</v>
      </c>
      <c r="H973" s="12">
        <v>7246</v>
      </c>
      <c r="I973" t="s">
        <v>3183</v>
      </c>
      <c r="J973" t="s">
        <v>394</v>
      </c>
      <c r="K973" t="s">
        <v>11</v>
      </c>
      <c r="L973" t="s">
        <v>3184</v>
      </c>
      <c r="M973" t="s">
        <v>16</v>
      </c>
    </row>
    <row r="974" spans="1:13">
      <c r="A974" t="s">
        <v>851</v>
      </c>
      <c r="B974" t="s">
        <v>686</v>
      </c>
      <c r="C974" t="s">
        <v>686</v>
      </c>
      <c r="D974" t="s">
        <v>23</v>
      </c>
      <c r="E974" t="s">
        <v>646</v>
      </c>
      <c r="F974" t="s">
        <v>40</v>
      </c>
      <c r="G974">
        <v>2040</v>
      </c>
      <c r="H974" s="12">
        <v>7998</v>
      </c>
      <c r="I974" t="s">
        <v>3183</v>
      </c>
      <c r="J974" t="s">
        <v>394</v>
      </c>
      <c r="K974" t="s">
        <v>11</v>
      </c>
      <c r="L974" t="s">
        <v>3184</v>
      </c>
      <c r="M974" t="s">
        <v>16</v>
      </c>
    </row>
    <row r="975" spans="1:13">
      <c r="A975" t="s">
        <v>851</v>
      </c>
      <c r="B975" t="s">
        <v>686</v>
      </c>
      <c r="C975" t="s">
        <v>686</v>
      </c>
      <c r="D975" t="s">
        <v>23</v>
      </c>
      <c r="E975" t="s">
        <v>646</v>
      </c>
      <c r="F975" t="s">
        <v>40</v>
      </c>
      <c r="G975">
        <v>2045</v>
      </c>
      <c r="H975" s="12">
        <v>8033</v>
      </c>
      <c r="I975" t="s">
        <v>3183</v>
      </c>
      <c r="J975" t="s">
        <v>394</v>
      </c>
      <c r="K975" t="s">
        <v>11</v>
      </c>
      <c r="L975" t="s">
        <v>3184</v>
      </c>
      <c r="M975" t="s">
        <v>16</v>
      </c>
    </row>
    <row r="976" spans="1:13">
      <c r="A976" t="s">
        <v>851</v>
      </c>
      <c r="B976" t="s">
        <v>686</v>
      </c>
      <c r="C976" t="s">
        <v>686</v>
      </c>
      <c r="D976" t="s">
        <v>23</v>
      </c>
      <c r="E976" t="s">
        <v>646</v>
      </c>
      <c r="F976" t="s">
        <v>40</v>
      </c>
      <c r="G976">
        <v>2050</v>
      </c>
      <c r="H976" s="12">
        <v>7739</v>
      </c>
      <c r="I976" t="s">
        <v>3183</v>
      </c>
      <c r="J976" t="s">
        <v>394</v>
      </c>
      <c r="K976" t="s">
        <v>11</v>
      </c>
      <c r="L976" t="s">
        <v>3184</v>
      </c>
      <c r="M976" t="s">
        <v>16</v>
      </c>
    </row>
    <row r="977" spans="1:13">
      <c r="A977" t="s">
        <v>851</v>
      </c>
      <c r="B977" t="s">
        <v>687</v>
      </c>
      <c r="C977" t="s">
        <v>687</v>
      </c>
      <c r="D977" t="s">
        <v>23</v>
      </c>
      <c r="E977" t="s">
        <v>646</v>
      </c>
      <c r="F977" t="s">
        <v>40</v>
      </c>
      <c r="G977">
        <v>2030</v>
      </c>
      <c r="H977" s="12">
        <v>5292</v>
      </c>
      <c r="I977" t="s">
        <v>3183</v>
      </c>
      <c r="J977" t="s">
        <v>394</v>
      </c>
      <c r="K977" t="s">
        <v>11</v>
      </c>
      <c r="L977" t="s">
        <v>3184</v>
      </c>
      <c r="M977" t="s">
        <v>16</v>
      </c>
    </row>
    <row r="978" spans="1:13">
      <c r="A978" t="s">
        <v>851</v>
      </c>
      <c r="B978" t="s">
        <v>687</v>
      </c>
      <c r="C978" t="s">
        <v>687</v>
      </c>
      <c r="D978" t="s">
        <v>23</v>
      </c>
      <c r="E978" t="s">
        <v>646</v>
      </c>
      <c r="F978" t="s">
        <v>40</v>
      </c>
      <c r="G978">
        <v>2035</v>
      </c>
      <c r="H978" s="12">
        <v>5690</v>
      </c>
      <c r="I978" t="s">
        <v>3183</v>
      </c>
      <c r="J978" t="s">
        <v>394</v>
      </c>
      <c r="K978" t="s">
        <v>11</v>
      </c>
      <c r="L978" t="s">
        <v>3184</v>
      </c>
      <c r="M978" t="s">
        <v>16</v>
      </c>
    </row>
    <row r="979" spans="1:13">
      <c r="A979" t="s">
        <v>851</v>
      </c>
      <c r="B979" t="s">
        <v>687</v>
      </c>
      <c r="C979" t="s">
        <v>687</v>
      </c>
      <c r="D979" t="s">
        <v>23</v>
      </c>
      <c r="E979" t="s">
        <v>646</v>
      </c>
      <c r="F979" t="s">
        <v>40</v>
      </c>
      <c r="G979">
        <v>2040</v>
      </c>
      <c r="H979" s="12">
        <v>5251</v>
      </c>
      <c r="I979" t="s">
        <v>3183</v>
      </c>
      <c r="J979" t="s">
        <v>394</v>
      </c>
      <c r="K979" t="s">
        <v>11</v>
      </c>
      <c r="L979" t="s">
        <v>3184</v>
      </c>
      <c r="M979" t="s">
        <v>16</v>
      </c>
    </row>
    <row r="980" spans="1:13">
      <c r="A980" t="s">
        <v>851</v>
      </c>
      <c r="B980" t="s">
        <v>687</v>
      </c>
      <c r="C980" t="s">
        <v>687</v>
      </c>
      <c r="D980" t="s">
        <v>23</v>
      </c>
      <c r="E980" t="s">
        <v>646</v>
      </c>
      <c r="F980" t="s">
        <v>40</v>
      </c>
      <c r="G980">
        <v>2045</v>
      </c>
      <c r="H980" s="12">
        <v>4465</v>
      </c>
      <c r="I980" t="s">
        <v>3183</v>
      </c>
      <c r="J980" t="s">
        <v>394</v>
      </c>
      <c r="K980" t="s">
        <v>11</v>
      </c>
      <c r="L980" t="s">
        <v>3184</v>
      </c>
      <c r="M980" t="s">
        <v>16</v>
      </c>
    </row>
    <row r="981" spans="1:13">
      <c r="A981" t="s">
        <v>851</v>
      </c>
      <c r="B981" t="s">
        <v>687</v>
      </c>
      <c r="C981" t="s">
        <v>687</v>
      </c>
      <c r="D981" t="s">
        <v>23</v>
      </c>
      <c r="E981" t="s">
        <v>646</v>
      </c>
      <c r="F981" t="s">
        <v>40</v>
      </c>
      <c r="G981">
        <v>2050</v>
      </c>
      <c r="H981" s="12">
        <v>3613</v>
      </c>
      <c r="I981" t="s">
        <v>3183</v>
      </c>
      <c r="J981" t="s">
        <v>394</v>
      </c>
      <c r="K981" t="s">
        <v>11</v>
      </c>
      <c r="L981" t="s">
        <v>3184</v>
      </c>
      <c r="M981" t="s">
        <v>16</v>
      </c>
    </row>
    <row r="982" spans="1:13">
      <c r="A982" t="s">
        <v>851</v>
      </c>
      <c r="B982" t="s">
        <v>686</v>
      </c>
      <c r="C982" t="s">
        <v>686</v>
      </c>
      <c r="D982" t="s">
        <v>23</v>
      </c>
      <c r="E982" t="s">
        <v>646</v>
      </c>
      <c r="F982" t="s">
        <v>40</v>
      </c>
      <c r="G982">
        <v>2010</v>
      </c>
      <c r="H982" s="12">
        <v>58</v>
      </c>
      <c r="I982" t="s">
        <v>3183</v>
      </c>
      <c r="J982" t="s">
        <v>6</v>
      </c>
      <c r="K982" t="s">
        <v>11</v>
      </c>
      <c r="L982" t="s">
        <v>3184</v>
      </c>
      <c r="M982" t="s">
        <v>659</v>
      </c>
    </row>
    <row r="983" spans="1:13">
      <c r="A983" t="s">
        <v>851</v>
      </c>
      <c r="B983" t="s">
        <v>686</v>
      </c>
      <c r="C983" t="s">
        <v>686</v>
      </c>
      <c r="D983" t="s">
        <v>23</v>
      </c>
      <c r="E983" t="s">
        <v>646</v>
      </c>
      <c r="F983" t="s">
        <v>40</v>
      </c>
      <c r="G983">
        <v>2015</v>
      </c>
      <c r="H983" s="12">
        <v>97</v>
      </c>
      <c r="I983" t="s">
        <v>3183</v>
      </c>
      <c r="J983" t="s">
        <v>6</v>
      </c>
      <c r="K983" t="s">
        <v>11</v>
      </c>
      <c r="L983" t="s">
        <v>3184</v>
      </c>
      <c r="M983" t="s">
        <v>659</v>
      </c>
    </row>
    <row r="984" spans="1:13">
      <c r="A984" t="s">
        <v>851</v>
      </c>
      <c r="B984" t="s">
        <v>686</v>
      </c>
      <c r="C984" t="s">
        <v>686</v>
      </c>
      <c r="D984" t="s">
        <v>23</v>
      </c>
      <c r="E984" t="s">
        <v>646</v>
      </c>
      <c r="F984" t="s">
        <v>40</v>
      </c>
      <c r="G984">
        <v>2020</v>
      </c>
      <c r="H984" s="12">
        <v>114</v>
      </c>
      <c r="I984" t="s">
        <v>3183</v>
      </c>
      <c r="J984" t="s">
        <v>6</v>
      </c>
      <c r="K984" t="s">
        <v>11</v>
      </c>
      <c r="L984" t="s">
        <v>3184</v>
      </c>
      <c r="M984" t="s">
        <v>659</v>
      </c>
    </row>
    <row r="985" spans="1:13">
      <c r="A985" t="s">
        <v>851</v>
      </c>
      <c r="B985" t="s">
        <v>686</v>
      </c>
      <c r="C985" t="s">
        <v>686</v>
      </c>
      <c r="D985" t="s">
        <v>23</v>
      </c>
      <c r="E985" t="s">
        <v>646</v>
      </c>
      <c r="F985" t="s">
        <v>40</v>
      </c>
      <c r="G985">
        <v>2030</v>
      </c>
      <c r="H985" s="12">
        <v>332</v>
      </c>
      <c r="I985" t="s">
        <v>3183</v>
      </c>
      <c r="J985" t="s">
        <v>6</v>
      </c>
      <c r="K985" t="s">
        <v>11</v>
      </c>
      <c r="L985" t="s">
        <v>3184</v>
      </c>
      <c r="M985" t="s">
        <v>659</v>
      </c>
    </row>
    <row r="986" spans="1:13">
      <c r="A986" t="s">
        <v>851</v>
      </c>
      <c r="B986" t="s">
        <v>686</v>
      </c>
      <c r="C986" t="s">
        <v>686</v>
      </c>
      <c r="D986" t="s">
        <v>23</v>
      </c>
      <c r="E986" t="s">
        <v>646</v>
      </c>
      <c r="F986" t="s">
        <v>40</v>
      </c>
      <c r="G986">
        <v>2035</v>
      </c>
      <c r="H986" s="12">
        <v>438</v>
      </c>
      <c r="I986" t="s">
        <v>3183</v>
      </c>
      <c r="J986" t="s">
        <v>6</v>
      </c>
      <c r="K986" t="s">
        <v>11</v>
      </c>
      <c r="L986" t="s">
        <v>3184</v>
      </c>
      <c r="M986" t="s">
        <v>659</v>
      </c>
    </row>
    <row r="987" spans="1:13">
      <c r="A987" t="s">
        <v>851</v>
      </c>
      <c r="B987" t="s">
        <v>686</v>
      </c>
      <c r="C987" t="s">
        <v>686</v>
      </c>
      <c r="D987" t="s">
        <v>23</v>
      </c>
      <c r="E987" t="s">
        <v>646</v>
      </c>
      <c r="F987" t="s">
        <v>40</v>
      </c>
      <c r="G987">
        <v>2040</v>
      </c>
      <c r="H987" s="12">
        <v>443</v>
      </c>
      <c r="I987" t="s">
        <v>3183</v>
      </c>
      <c r="J987" t="s">
        <v>6</v>
      </c>
      <c r="K987" t="s">
        <v>11</v>
      </c>
      <c r="L987" t="s">
        <v>3184</v>
      </c>
      <c r="M987" t="s">
        <v>659</v>
      </c>
    </row>
    <row r="988" spans="1:13">
      <c r="A988" t="s">
        <v>851</v>
      </c>
      <c r="B988" t="s">
        <v>686</v>
      </c>
      <c r="C988" t="s">
        <v>686</v>
      </c>
      <c r="D988" t="s">
        <v>23</v>
      </c>
      <c r="E988" t="s">
        <v>646</v>
      </c>
      <c r="F988" t="s">
        <v>40</v>
      </c>
      <c r="G988">
        <v>2045</v>
      </c>
      <c r="H988" s="12">
        <v>403</v>
      </c>
      <c r="I988" t="s">
        <v>3183</v>
      </c>
      <c r="J988" t="s">
        <v>6</v>
      </c>
      <c r="K988" t="s">
        <v>11</v>
      </c>
      <c r="L988" t="s">
        <v>3184</v>
      </c>
      <c r="M988" t="s">
        <v>659</v>
      </c>
    </row>
    <row r="989" spans="1:13">
      <c r="A989" t="s">
        <v>851</v>
      </c>
      <c r="B989" t="s">
        <v>686</v>
      </c>
      <c r="C989" t="s">
        <v>686</v>
      </c>
      <c r="D989" t="s">
        <v>23</v>
      </c>
      <c r="E989" t="s">
        <v>646</v>
      </c>
      <c r="F989" t="s">
        <v>40</v>
      </c>
      <c r="G989">
        <v>2050</v>
      </c>
      <c r="H989" s="12">
        <v>342</v>
      </c>
      <c r="I989" t="s">
        <v>3183</v>
      </c>
      <c r="J989" t="s">
        <v>6</v>
      </c>
      <c r="K989" t="s">
        <v>11</v>
      </c>
      <c r="L989" t="s">
        <v>3184</v>
      </c>
      <c r="M989" t="s">
        <v>659</v>
      </c>
    </row>
    <row r="990" spans="1:13">
      <c r="A990" t="s">
        <v>851</v>
      </c>
      <c r="B990" t="s">
        <v>687</v>
      </c>
      <c r="C990" t="s">
        <v>687</v>
      </c>
      <c r="D990" t="s">
        <v>23</v>
      </c>
      <c r="E990" t="s">
        <v>646</v>
      </c>
      <c r="F990" t="s">
        <v>40</v>
      </c>
      <c r="G990">
        <v>2030</v>
      </c>
      <c r="H990" s="12">
        <v>277</v>
      </c>
      <c r="I990" t="s">
        <v>3183</v>
      </c>
      <c r="J990" t="s">
        <v>6</v>
      </c>
      <c r="K990" t="s">
        <v>11</v>
      </c>
      <c r="L990" t="s">
        <v>3184</v>
      </c>
      <c r="M990" t="s">
        <v>659</v>
      </c>
    </row>
    <row r="991" spans="1:13">
      <c r="A991" t="s">
        <v>851</v>
      </c>
      <c r="B991" t="s">
        <v>687</v>
      </c>
      <c r="C991" t="s">
        <v>687</v>
      </c>
      <c r="D991" t="s">
        <v>23</v>
      </c>
      <c r="E991" t="s">
        <v>646</v>
      </c>
      <c r="F991" t="s">
        <v>40</v>
      </c>
      <c r="G991">
        <v>2035</v>
      </c>
      <c r="H991" s="12">
        <v>313</v>
      </c>
      <c r="I991" t="s">
        <v>3183</v>
      </c>
      <c r="J991" t="s">
        <v>6</v>
      </c>
      <c r="K991" t="s">
        <v>11</v>
      </c>
      <c r="L991" t="s">
        <v>3184</v>
      </c>
      <c r="M991" t="s">
        <v>659</v>
      </c>
    </row>
    <row r="992" spans="1:13">
      <c r="A992" t="s">
        <v>851</v>
      </c>
      <c r="B992" t="s">
        <v>687</v>
      </c>
      <c r="C992" t="s">
        <v>687</v>
      </c>
      <c r="D992" t="s">
        <v>23</v>
      </c>
      <c r="E992" t="s">
        <v>646</v>
      </c>
      <c r="F992" t="s">
        <v>40</v>
      </c>
      <c r="G992">
        <v>2040</v>
      </c>
      <c r="H992" s="12">
        <v>258</v>
      </c>
      <c r="I992" t="s">
        <v>3183</v>
      </c>
      <c r="J992" t="s">
        <v>6</v>
      </c>
      <c r="K992" t="s">
        <v>11</v>
      </c>
      <c r="L992" t="s">
        <v>3184</v>
      </c>
      <c r="M992" t="s">
        <v>659</v>
      </c>
    </row>
    <row r="993" spans="1:13">
      <c r="A993" t="s">
        <v>851</v>
      </c>
      <c r="B993" t="s">
        <v>687</v>
      </c>
      <c r="C993" t="s">
        <v>687</v>
      </c>
      <c r="D993" t="s">
        <v>23</v>
      </c>
      <c r="E993" t="s">
        <v>646</v>
      </c>
      <c r="F993" t="s">
        <v>40</v>
      </c>
      <c r="G993">
        <v>2045</v>
      </c>
      <c r="H993" s="12">
        <v>166</v>
      </c>
      <c r="I993" t="s">
        <v>3183</v>
      </c>
      <c r="J993" t="s">
        <v>6</v>
      </c>
      <c r="K993" t="s">
        <v>11</v>
      </c>
      <c r="L993" t="s">
        <v>3184</v>
      </c>
      <c r="M993" t="s">
        <v>659</v>
      </c>
    </row>
    <row r="994" spans="1:13">
      <c r="A994" t="s">
        <v>851</v>
      </c>
      <c r="B994" t="s">
        <v>687</v>
      </c>
      <c r="C994" t="s">
        <v>687</v>
      </c>
      <c r="D994" t="s">
        <v>23</v>
      </c>
      <c r="E994" t="s">
        <v>646</v>
      </c>
      <c r="F994" t="s">
        <v>40</v>
      </c>
      <c r="G994">
        <v>2050</v>
      </c>
      <c r="H994" s="12">
        <v>83</v>
      </c>
      <c r="I994" t="s">
        <v>3183</v>
      </c>
      <c r="J994" t="s">
        <v>6</v>
      </c>
      <c r="K994" t="s">
        <v>11</v>
      </c>
      <c r="L994" t="s">
        <v>3184</v>
      </c>
      <c r="M994" t="s">
        <v>659</v>
      </c>
    </row>
    <row r="995" spans="1:13">
      <c r="A995" t="s">
        <v>851</v>
      </c>
      <c r="B995" t="s">
        <v>686</v>
      </c>
      <c r="C995" t="s">
        <v>686</v>
      </c>
      <c r="D995" t="s">
        <v>23</v>
      </c>
      <c r="E995" t="s">
        <v>646</v>
      </c>
      <c r="F995" t="s">
        <v>40</v>
      </c>
      <c r="G995">
        <v>2010</v>
      </c>
      <c r="H995" s="12">
        <v>44</v>
      </c>
      <c r="I995" t="s">
        <v>3183</v>
      </c>
      <c r="J995" t="s">
        <v>6</v>
      </c>
      <c r="K995" t="s">
        <v>658</v>
      </c>
      <c r="L995" t="s">
        <v>3184</v>
      </c>
      <c r="M995" t="s">
        <v>659</v>
      </c>
    </row>
    <row r="996" spans="1:13">
      <c r="A996" t="s">
        <v>851</v>
      </c>
      <c r="B996" t="s">
        <v>686</v>
      </c>
      <c r="C996" t="s">
        <v>686</v>
      </c>
      <c r="D996" t="s">
        <v>23</v>
      </c>
      <c r="E996" t="s">
        <v>646</v>
      </c>
      <c r="F996" t="s">
        <v>40</v>
      </c>
      <c r="G996">
        <v>2015</v>
      </c>
      <c r="H996" s="12">
        <v>77</v>
      </c>
      <c r="I996" t="s">
        <v>3183</v>
      </c>
      <c r="J996" t="s">
        <v>6</v>
      </c>
      <c r="K996" t="s">
        <v>658</v>
      </c>
      <c r="L996" t="s">
        <v>3184</v>
      </c>
      <c r="M996" t="s">
        <v>659</v>
      </c>
    </row>
    <row r="997" spans="1:13">
      <c r="A997" t="s">
        <v>851</v>
      </c>
      <c r="B997" t="s">
        <v>686</v>
      </c>
      <c r="C997" t="s">
        <v>686</v>
      </c>
      <c r="D997" t="s">
        <v>23</v>
      </c>
      <c r="E997" t="s">
        <v>646</v>
      </c>
      <c r="F997" t="s">
        <v>40</v>
      </c>
      <c r="G997">
        <v>2020</v>
      </c>
      <c r="H997" s="12">
        <v>132</v>
      </c>
      <c r="I997" t="s">
        <v>3183</v>
      </c>
      <c r="J997" t="s">
        <v>6</v>
      </c>
      <c r="K997" t="s">
        <v>658</v>
      </c>
      <c r="L997" t="s">
        <v>3184</v>
      </c>
      <c r="M997" t="s">
        <v>659</v>
      </c>
    </row>
    <row r="998" spans="1:13">
      <c r="A998" t="s">
        <v>851</v>
      </c>
      <c r="B998" t="s">
        <v>686</v>
      </c>
      <c r="C998" t="s">
        <v>686</v>
      </c>
      <c r="D998" t="s">
        <v>23</v>
      </c>
      <c r="E998" t="s">
        <v>646</v>
      </c>
      <c r="F998" t="s">
        <v>40</v>
      </c>
      <c r="G998">
        <v>2030</v>
      </c>
      <c r="H998" s="12">
        <v>308</v>
      </c>
      <c r="I998" t="s">
        <v>3183</v>
      </c>
      <c r="J998" t="s">
        <v>6</v>
      </c>
      <c r="K998" t="s">
        <v>658</v>
      </c>
      <c r="L998" t="s">
        <v>3184</v>
      </c>
      <c r="M998" t="s">
        <v>659</v>
      </c>
    </row>
    <row r="999" spans="1:13">
      <c r="A999" t="s">
        <v>851</v>
      </c>
      <c r="B999" t="s">
        <v>686</v>
      </c>
      <c r="C999" t="s">
        <v>686</v>
      </c>
      <c r="D999" t="s">
        <v>23</v>
      </c>
      <c r="E999" t="s">
        <v>646</v>
      </c>
      <c r="F999" t="s">
        <v>40</v>
      </c>
      <c r="G999">
        <v>2035</v>
      </c>
      <c r="H999" s="12">
        <v>378</v>
      </c>
      <c r="I999" t="s">
        <v>3183</v>
      </c>
      <c r="J999" t="s">
        <v>6</v>
      </c>
      <c r="K999" t="s">
        <v>658</v>
      </c>
      <c r="L999" t="s">
        <v>3184</v>
      </c>
      <c r="M999" t="s">
        <v>659</v>
      </c>
    </row>
    <row r="1000" spans="1:13">
      <c r="A1000" t="s">
        <v>851</v>
      </c>
      <c r="B1000" t="s">
        <v>686</v>
      </c>
      <c r="C1000" t="s">
        <v>686</v>
      </c>
      <c r="D1000" t="s">
        <v>23</v>
      </c>
      <c r="E1000" t="s">
        <v>646</v>
      </c>
      <c r="F1000" t="s">
        <v>40</v>
      </c>
      <c r="G1000">
        <v>2040</v>
      </c>
      <c r="H1000" s="12">
        <v>448</v>
      </c>
      <c r="I1000" t="s">
        <v>3183</v>
      </c>
      <c r="J1000" t="s">
        <v>6</v>
      </c>
      <c r="K1000" t="s">
        <v>658</v>
      </c>
      <c r="L1000" t="s">
        <v>3184</v>
      </c>
      <c r="M1000" t="s">
        <v>659</v>
      </c>
    </row>
    <row r="1001" spans="1:13">
      <c r="A1001" t="s">
        <v>851</v>
      </c>
      <c r="B1001" t="s">
        <v>686</v>
      </c>
      <c r="C1001" t="s">
        <v>686</v>
      </c>
      <c r="D1001" t="s">
        <v>23</v>
      </c>
      <c r="E1001" t="s">
        <v>646</v>
      </c>
      <c r="F1001" t="s">
        <v>40</v>
      </c>
      <c r="G1001">
        <v>2045</v>
      </c>
      <c r="H1001" s="12">
        <v>502</v>
      </c>
      <c r="I1001" t="s">
        <v>3183</v>
      </c>
      <c r="J1001" t="s">
        <v>6</v>
      </c>
      <c r="K1001" t="s">
        <v>658</v>
      </c>
      <c r="L1001" t="s">
        <v>3184</v>
      </c>
      <c r="M1001" t="s">
        <v>659</v>
      </c>
    </row>
    <row r="1002" spans="1:13">
      <c r="A1002" t="s">
        <v>851</v>
      </c>
      <c r="B1002" t="s">
        <v>686</v>
      </c>
      <c r="C1002" t="s">
        <v>686</v>
      </c>
      <c r="D1002" t="s">
        <v>23</v>
      </c>
      <c r="E1002" t="s">
        <v>646</v>
      </c>
      <c r="F1002" t="s">
        <v>40</v>
      </c>
      <c r="G1002">
        <v>2050</v>
      </c>
      <c r="H1002" s="12">
        <v>510</v>
      </c>
      <c r="I1002" t="s">
        <v>3183</v>
      </c>
      <c r="J1002" t="s">
        <v>6</v>
      </c>
      <c r="K1002" t="s">
        <v>658</v>
      </c>
      <c r="L1002" t="s">
        <v>3184</v>
      </c>
      <c r="M1002" t="s">
        <v>659</v>
      </c>
    </row>
    <row r="1003" spans="1:13">
      <c r="A1003" t="s">
        <v>851</v>
      </c>
      <c r="B1003" t="s">
        <v>687</v>
      </c>
      <c r="C1003" t="s">
        <v>687</v>
      </c>
      <c r="D1003" t="s">
        <v>23</v>
      </c>
      <c r="E1003" t="s">
        <v>646</v>
      </c>
      <c r="F1003" t="s">
        <v>40</v>
      </c>
      <c r="G1003">
        <v>2030</v>
      </c>
      <c r="H1003" s="12">
        <v>250</v>
      </c>
      <c r="I1003" t="s">
        <v>3183</v>
      </c>
      <c r="J1003" t="s">
        <v>6</v>
      </c>
      <c r="K1003" t="s">
        <v>658</v>
      </c>
      <c r="L1003" t="s">
        <v>3184</v>
      </c>
      <c r="M1003" t="s">
        <v>659</v>
      </c>
    </row>
    <row r="1004" spans="1:13">
      <c r="A1004" t="s">
        <v>851</v>
      </c>
      <c r="B1004" t="s">
        <v>687</v>
      </c>
      <c r="C1004" t="s">
        <v>687</v>
      </c>
      <c r="D1004" t="s">
        <v>23</v>
      </c>
      <c r="E1004" t="s">
        <v>646</v>
      </c>
      <c r="F1004" t="s">
        <v>40</v>
      </c>
      <c r="G1004">
        <v>2035</v>
      </c>
      <c r="H1004" s="12">
        <v>279</v>
      </c>
      <c r="I1004" t="s">
        <v>3183</v>
      </c>
      <c r="J1004" t="s">
        <v>6</v>
      </c>
      <c r="K1004" t="s">
        <v>658</v>
      </c>
      <c r="L1004" t="s">
        <v>3184</v>
      </c>
      <c r="M1004" t="s">
        <v>659</v>
      </c>
    </row>
    <row r="1005" spans="1:13">
      <c r="A1005" t="s">
        <v>851</v>
      </c>
      <c r="B1005" t="s">
        <v>687</v>
      </c>
      <c r="C1005" t="s">
        <v>687</v>
      </c>
      <c r="D1005" t="s">
        <v>23</v>
      </c>
      <c r="E1005" t="s">
        <v>646</v>
      </c>
      <c r="F1005" t="s">
        <v>40</v>
      </c>
      <c r="G1005">
        <v>2040</v>
      </c>
      <c r="H1005" s="12">
        <v>334</v>
      </c>
      <c r="I1005" t="s">
        <v>3183</v>
      </c>
      <c r="J1005" t="s">
        <v>6</v>
      </c>
      <c r="K1005" t="s">
        <v>658</v>
      </c>
      <c r="L1005" t="s">
        <v>3184</v>
      </c>
      <c r="M1005" t="s">
        <v>659</v>
      </c>
    </row>
    <row r="1006" spans="1:13">
      <c r="A1006" t="s">
        <v>851</v>
      </c>
      <c r="B1006" t="s">
        <v>687</v>
      </c>
      <c r="C1006" t="s">
        <v>687</v>
      </c>
      <c r="D1006" t="s">
        <v>23</v>
      </c>
      <c r="E1006" t="s">
        <v>646</v>
      </c>
      <c r="F1006" t="s">
        <v>40</v>
      </c>
      <c r="G1006">
        <v>2045</v>
      </c>
      <c r="H1006" s="12">
        <v>352</v>
      </c>
      <c r="I1006" t="s">
        <v>3183</v>
      </c>
      <c r="J1006" t="s">
        <v>6</v>
      </c>
      <c r="K1006" t="s">
        <v>658</v>
      </c>
      <c r="L1006" t="s">
        <v>3184</v>
      </c>
      <c r="M1006" t="s">
        <v>659</v>
      </c>
    </row>
    <row r="1007" spans="1:13">
      <c r="A1007" t="s">
        <v>851</v>
      </c>
      <c r="B1007" t="s">
        <v>687</v>
      </c>
      <c r="C1007" t="s">
        <v>687</v>
      </c>
      <c r="D1007" t="s">
        <v>23</v>
      </c>
      <c r="E1007" t="s">
        <v>646</v>
      </c>
      <c r="F1007" t="s">
        <v>40</v>
      </c>
      <c r="G1007">
        <v>2050</v>
      </c>
      <c r="H1007" s="12">
        <v>296</v>
      </c>
      <c r="I1007" t="s">
        <v>3183</v>
      </c>
      <c r="J1007" t="s">
        <v>6</v>
      </c>
      <c r="K1007" t="s">
        <v>658</v>
      </c>
      <c r="L1007" t="s">
        <v>3184</v>
      </c>
      <c r="M1007" t="s">
        <v>659</v>
      </c>
    </row>
    <row r="1008" spans="1:13">
      <c r="A1008" t="s">
        <v>851</v>
      </c>
      <c r="B1008" t="s">
        <v>686</v>
      </c>
      <c r="C1008" t="s">
        <v>686</v>
      </c>
      <c r="D1008" t="s">
        <v>23</v>
      </c>
      <c r="E1008" t="s">
        <v>646</v>
      </c>
      <c r="F1008" t="s">
        <v>40</v>
      </c>
      <c r="G1008">
        <v>2010</v>
      </c>
      <c r="H1008" s="12">
        <v>506</v>
      </c>
      <c r="I1008" t="s">
        <v>3183</v>
      </c>
      <c r="J1008" t="s">
        <v>5</v>
      </c>
      <c r="K1008" t="s">
        <v>658</v>
      </c>
      <c r="L1008" t="s">
        <v>3184</v>
      </c>
      <c r="M1008" t="s">
        <v>5</v>
      </c>
    </row>
    <row r="1009" spans="1:13">
      <c r="A1009" t="s">
        <v>851</v>
      </c>
      <c r="B1009" t="s">
        <v>686</v>
      </c>
      <c r="C1009" t="s">
        <v>686</v>
      </c>
      <c r="D1009" t="s">
        <v>23</v>
      </c>
      <c r="E1009" t="s">
        <v>646</v>
      </c>
      <c r="F1009" t="s">
        <v>40</v>
      </c>
      <c r="G1009">
        <v>2015</v>
      </c>
      <c r="H1009" s="12">
        <v>469</v>
      </c>
      <c r="I1009" t="s">
        <v>3183</v>
      </c>
      <c r="J1009" t="s">
        <v>5</v>
      </c>
      <c r="K1009" t="s">
        <v>658</v>
      </c>
      <c r="L1009" t="s">
        <v>3184</v>
      </c>
      <c r="M1009" t="s">
        <v>5</v>
      </c>
    </row>
    <row r="1010" spans="1:13">
      <c r="A1010" t="s">
        <v>851</v>
      </c>
      <c r="B1010" t="s">
        <v>686</v>
      </c>
      <c r="C1010" t="s">
        <v>686</v>
      </c>
      <c r="D1010" t="s">
        <v>23</v>
      </c>
      <c r="E1010" t="s">
        <v>646</v>
      </c>
      <c r="F1010" t="s">
        <v>40</v>
      </c>
      <c r="G1010">
        <v>2020</v>
      </c>
      <c r="H1010" s="12">
        <v>526</v>
      </c>
      <c r="I1010" t="s">
        <v>3183</v>
      </c>
      <c r="J1010" t="s">
        <v>5</v>
      </c>
      <c r="K1010" t="s">
        <v>658</v>
      </c>
      <c r="L1010" t="s">
        <v>3184</v>
      </c>
      <c r="M1010" t="s">
        <v>5</v>
      </c>
    </row>
    <row r="1011" spans="1:13">
      <c r="A1011" t="s">
        <v>851</v>
      </c>
      <c r="B1011" t="s">
        <v>686</v>
      </c>
      <c r="C1011" t="s">
        <v>686</v>
      </c>
      <c r="D1011" t="s">
        <v>23</v>
      </c>
      <c r="E1011" t="s">
        <v>646</v>
      </c>
      <c r="F1011" t="s">
        <v>40</v>
      </c>
      <c r="G1011">
        <v>2010</v>
      </c>
      <c r="H1011" s="12">
        <v>1153</v>
      </c>
      <c r="I1011" t="s">
        <v>3183</v>
      </c>
      <c r="J1011" t="s">
        <v>344</v>
      </c>
      <c r="K1011" t="s">
        <v>9</v>
      </c>
      <c r="L1011" t="s">
        <v>3184</v>
      </c>
      <c r="M1011" t="s">
        <v>10</v>
      </c>
    </row>
    <row r="1012" spans="1:13">
      <c r="A1012" t="s">
        <v>851</v>
      </c>
      <c r="B1012" t="s">
        <v>686</v>
      </c>
      <c r="C1012" t="s">
        <v>686</v>
      </c>
      <c r="D1012" t="s">
        <v>23</v>
      </c>
      <c r="E1012" t="s">
        <v>646</v>
      </c>
      <c r="F1012" t="s">
        <v>40</v>
      </c>
      <c r="G1012">
        <v>2015</v>
      </c>
      <c r="H1012" s="12">
        <v>1513</v>
      </c>
      <c r="I1012" t="s">
        <v>3183</v>
      </c>
      <c r="J1012" t="s">
        <v>344</v>
      </c>
      <c r="K1012" t="s">
        <v>9</v>
      </c>
      <c r="L1012" t="s">
        <v>3184</v>
      </c>
      <c r="M1012" t="s">
        <v>10</v>
      </c>
    </row>
    <row r="1013" spans="1:13">
      <c r="A1013" t="s">
        <v>851</v>
      </c>
      <c r="B1013" t="s">
        <v>686</v>
      </c>
      <c r="C1013" t="s">
        <v>686</v>
      </c>
      <c r="D1013" t="s">
        <v>23</v>
      </c>
      <c r="E1013" t="s">
        <v>646</v>
      </c>
      <c r="F1013" t="s">
        <v>40</v>
      </c>
      <c r="G1013">
        <v>2020</v>
      </c>
      <c r="H1013" s="12">
        <v>1802</v>
      </c>
      <c r="I1013" t="s">
        <v>3183</v>
      </c>
      <c r="J1013" t="s">
        <v>344</v>
      </c>
      <c r="K1013" t="s">
        <v>9</v>
      </c>
      <c r="L1013" t="s">
        <v>3184</v>
      </c>
      <c r="M1013" t="s">
        <v>10</v>
      </c>
    </row>
    <row r="1014" spans="1:13">
      <c r="A1014" t="s">
        <v>851</v>
      </c>
      <c r="B1014" t="s">
        <v>686</v>
      </c>
      <c r="C1014" t="s">
        <v>686</v>
      </c>
      <c r="D1014" t="s">
        <v>23</v>
      </c>
      <c r="E1014" t="s">
        <v>646</v>
      </c>
      <c r="F1014" t="s">
        <v>40</v>
      </c>
      <c r="G1014">
        <v>2030</v>
      </c>
      <c r="H1014" s="12">
        <v>2814</v>
      </c>
      <c r="I1014" t="s">
        <v>3183</v>
      </c>
      <c r="J1014" t="s">
        <v>344</v>
      </c>
      <c r="K1014" t="s">
        <v>9</v>
      </c>
      <c r="L1014" t="s">
        <v>3184</v>
      </c>
      <c r="M1014" t="s">
        <v>10</v>
      </c>
    </row>
    <row r="1015" spans="1:13">
      <c r="A1015" t="s">
        <v>851</v>
      </c>
      <c r="B1015" t="s">
        <v>687</v>
      </c>
      <c r="C1015" t="s">
        <v>687</v>
      </c>
      <c r="D1015" t="s">
        <v>23</v>
      </c>
      <c r="E1015" t="s">
        <v>646</v>
      </c>
      <c r="F1015" t="s">
        <v>40</v>
      </c>
      <c r="G1015">
        <v>2050</v>
      </c>
      <c r="H1015" s="12">
        <v>1549</v>
      </c>
      <c r="I1015" t="s">
        <v>3183</v>
      </c>
      <c r="J1015" t="s">
        <v>6</v>
      </c>
      <c r="K1015" t="s">
        <v>9</v>
      </c>
      <c r="L1015" t="s">
        <v>3184</v>
      </c>
      <c r="M1015" t="s">
        <v>666</v>
      </c>
    </row>
    <row r="1016" spans="1:13">
      <c r="A1016" t="s">
        <v>851</v>
      </c>
      <c r="B1016" t="s">
        <v>686</v>
      </c>
      <c r="C1016" t="s">
        <v>686</v>
      </c>
      <c r="D1016" t="s">
        <v>23</v>
      </c>
      <c r="E1016" t="s">
        <v>646</v>
      </c>
      <c r="F1016" t="s">
        <v>40</v>
      </c>
      <c r="G1016">
        <v>2010</v>
      </c>
      <c r="H1016" s="12">
        <v>3596</v>
      </c>
      <c r="I1016" t="s">
        <v>3183</v>
      </c>
      <c r="J1016" t="s">
        <v>5</v>
      </c>
      <c r="K1016" t="s">
        <v>9</v>
      </c>
      <c r="L1016" t="s">
        <v>3184</v>
      </c>
      <c r="M1016" t="s">
        <v>665</v>
      </c>
    </row>
    <row r="1017" spans="1:13">
      <c r="A1017" t="s">
        <v>851</v>
      </c>
      <c r="B1017" t="s">
        <v>686</v>
      </c>
      <c r="C1017" t="s">
        <v>686</v>
      </c>
      <c r="D1017" t="s">
        <v>23</v>
      </c>
      <c r="E1017" t="s">
        <v>646</v>
      </c>
      <c r="F1017" t="s">
        <v>40</v>
      </c>
      <c r="G1017">
        <v>2015</v>
      </c>
      <c r="H1017" s="12">
        <v>4322</v>
      </c>
      <c r="I1017" t="s">
        <v>3183</v>
      </c>
      <c r="J1017" t="s">
        <v>5</v>
      </c>
      <c r="K1017" t="s">
        <v>9</v>
      </c>
      <c r="L1017" t="s">
        <v>3184</v>
      </c>
      <c r="M1017" t="s">
        <v>665</v>
      </c>
    </row>
    <row r="1018" spans="1:13">
      <c r="A1018" t="s">
        <v>851</v>
      </c>
      <c r="B1018" t="s">
        <v>686</v>
      </c>
      <c r="C1018" t="s">
        <v>686</v>
      </c>
      <c r="D1018" t="s">
        <v>23</v>
      </c>
      <c r="E1018" t="s">
        <v>646</v>
      </c>
      <c r="F1018" t="s">
        <v>40</v>
      </c>
      <c r="G1018">
        <v>2020</v>
      </c>
      <c r="H1018" s="12">
        <v>4334</v>
      </c>
      <c r="I1018" t="s">
        <v>3183</v>
      </c>
      <c r="J1018" t="s">
        <v>5</v>
      </c>
      <c r="K1018" t="s">
        <v>9</v>
      </c>
      <c r="L1018" t="s">
        <v>3184</v>
      </c>
      <c r="M1018" t="s">
        <v>665</v>
      </c>
    </row>
    <row r="1019" spans="1:13">
      <c r="A1019" t="s">
        <v>851</v>
      </c>
      <c r="B1019" t="s">
        <v>686</v>
      </c>
      <c r="C1019" t="s">
        <v>686</v>
      </c>
      <c r="D1019" t="s">
        <v>23</v>
      </c>
      <c r="E1019" t="s">
        <v>646</v>
      </c>
      <c r="F1019" t="s">
        <v>40</v>
      </c>
      <c r="G1019">
        <v>2030</v>
      </c>
      <c r="H1019" s="12">
        <v>7393</v>
      </c>
      <c r="I1019" t="s">
        <v>3183</v>
      </c>
      <c r="J1019" t="s">
        <v>5</v>
      </c>
      <c r="K1019" t="s">
        <v>9</v>
      </c>
      <c r="L1019" t="s">
        <v>3184</v>
      </c>
      <c r="M1019" t="s">
        <v>665</v>
      </c>
    </row>
    <row r="1020" spans="1:13">
      <c r="A1020" t="s">
        <v>851</v>
      </c>
      <c r="B1020" t="s">
        <v>686</v>
      </c>
      <c r="C1020" t="s">
        <v>686</v>
      </c>
      <c r="D1020" t="s">
        <v>23</v>
      </c>
      <c r="E1020" t="s">
        <v>646</v>
      </c>
      <c r="F1020" t="s">
        <v>40</v>
      </c>
      <c r="G1020">
        <v>2035</v>
      </c>
      <c r="H1020" s="12">
        <v>8720</v>
      </c>
      <c r="I1020" t="s">
        <v>3183</v>
      </c>
      <c r="J1020" t="s">
        <v>5</v>
      </c>
      <c r="K1020" t="s">
        <v>9</v>
      </c>
      <c r="L1020" t="s">
        <v>3184</v>
      </c>
      <c r="M1020" t="s">
        <v>665</v>
      </c>
    </row>
    <row r="1021" spans="1:13">
      <c r="A1021" t="s">
        <v>851</v>
      </c>
      <c r="B1021" t="s">
        <v>686</v>
      </c>
      <c r="C1021" t="s">
        <v>686</v>
      </c>
      <c r="D1021" t="s">
        <v>23</v>
      </c>
      <c r="E1021" t="s">
        <v>646</v>
      </c>
      <c r="F1021" t="s">
        <v>40</v>
      </c>
      <c r="G1021">
        <v>2040</v>
      </c>
      <c r="H1021" s="12">
        <v>9804</v>
      </c>
      <c r="I1021" t="s">
        <v>3183</v>
      </c>
      <c r="J1021" t="s">
        <v>5</v>
      </c>
      <c r="K1021" t="s">
        <v>9</v>
      </c>
      <c r="L1021" t="s">
        <v>3184</v>
      </c>
      <c r="M1021" t="s">
        <v>665</v>
      </c>
    </row>
    <row r="1022" spans="1:13">
      <c r="A1022" t="s">
        <v>851</v>
      </c>
      <c r="B1022" t="s">
        <v>686</v>
      </c>
      <c r="C1022" t="s">
        <v>686</v>
      </c>
      <c r="D1022" t="s">
        <v>23</v>
      </c>
      <c r="E1022" t="s">
        <v>646</v>
      </c>
      <c r="F1022" t="s">
        <v>40</v>
      </c>
      <c r="G1022">
        <v>2045</v>
      </c>
      <c r="H1022" s="12">
        <v>10501</v>
      </c>
      <c r="I1022" t="s">
        <v>3183</v>
      </c>
      <c r="J1022" t="s">
        <v>5</v>
      </c>
      <c r="K1022" t="s">
        <v>9</v>
      </c>
      <c r="L1022" t="s">
        <v>3184</v>
      </c>
      <c r="M1022" t="s">
        <v>665</v>
      </c>
    </row>
    <row r="1023" spans="1:13">
      <c r="A1023" t="s">
        <v>851</v>
      </c>
      <c r="B1023" t="s">
        <v>686</v>
      </c>
      <c r="C1023" t="s">
        <v>686</v>
      </c>
      <c r="D1023" t="s">
        <v>23</v>
      </c>
      <c r="E1023" t="s">
        <v>646</v>
      </c>
      <c r="F1023" t="s">
        <v>40</v>
      </c>
      <c r="G1023">
        <v>2050</v>
      </c>
      <c r="H1023" s="12">
        <v>10739</v>
      </c>
      <c r="I1023" t="s">
        <v>3183</v>
      </c>
      <c r="J1023" t="s">
        <v>5</v>
      </c>
      <c r="K1023" t="s">
        <v>9</v>
      </c>
      <c r="L1023" t="s">
        <v>3184</v>
      </c>
      <c r="M1023" t="s">
        <v>665</v>
      </c>
    </row>
    <row r="1024" spans="1:13">
      <c r="A1024" t="s">
        <v>851</v>
      </c>
      <c r="B1024" t="s">
        <v>687</v>
      </c>
      <c r="C1024" t="s">
        <v>687</v>
      </c>
      <c r="D1024" t="s">
        <v>23</v>
      </c>
      <c r="E1024" t="s">
        <v>646</v>
      </c>
      <c r="F1024" t="s">
        <v>40</v>
      </c>
      <c r="G1024">
        <v>2030</v>
      </c>
      <c r="H1024" s="12">
        <v>5908</v>
      </c>
      <c r="I1024" t="s">
        <v>3183</v>
      </c>
      <c r="J1024" t="s">
        <v>5</v>
      </c>
      <c r="K1024" t="s">
        <v>9</v>
      </c>
      <c r="L1024" t="s">
        <v>3184</v>
      </c>
      <c r="M1024" t="s">
        <v>665</v>
      </c>
    </row>
    <row r="1025" spans="1:13">
      <c r="A1025" t="s">
        <v>851</v>
      </c>
      <c r="B1025" t="s">
        <v>687</v>
      </c>
      <c r="C1025" t="s">
        <v>687</v>
      </c>
      <c r="D1025" t="s">
        <v>23</v>
      </c>
      <c r="E1025" t="s">
        <v>646</v>
      </c>
      <c r="F1025" t="s">
        <v>40</v>
      </c>
      <c r="G1025">
        <v>2035</v>
      </c>
      <c r="H1025" s="12">
        <v>5748</v>
      </c>
      <c r="I1025" t="s">
        <v>3183</v>
      </c>
      <c r="J1025" t="s">
        <v>5</v>
      </c>
      <c r="K1025" t="s">
        <v>9</v>
      </c>
      <c r="L1025" t="s">
        <v>3184</v>
      </c>
      <c r="M1025" t="s">
        <v>665</v>
      </c>
    </row>
    <row r="1026" spans="1:13">
      <c r="A1026" t="s">
        <v>851</v>
      </c>
      <c r="B1026" t="s">
        <v>687</v>
      </c>
      <c r="C1026" t="s">
        <v>687</v>
      </c>
      <c r="D1026" t="s">
        <v>23</v>
      </c>
      <c r="E1026" t="s">
        <v>646</v>
      </c>
      <c r="F1026" t="s">
        <v>40</v>
      </c>
      <c r="G1026">
        <v>2040</v>
      </c>
      <c r="H1026" s="12">
        <v>5130</v>
      </c>
      <c r="I1026" t="s">
        <v>3183</v>
      </c>
      <c r="J1026" t="s">
        <v>5</v>
      </c>
      <c r="K1026" t="s">
        <v>9</v>
      </c>
      <c r="L1026" t="s">
        <v>3184</v>
      </c>
      <c r="M1026" t="s">
        <v>665</v>
      </c>
    </row>
    <row r="1027" spans="1:13">
      <c r="A1027" t="s">
        <v>851</v>
      </c>
      <c r="B1027" t="s">
        <v>687</v>
      </c>
      <c r="C1027" t="s">
        <v>687</v>
      </c>
      <c r="D1027" t="s">
        <v>23</v>
      </c>
      <c r="E1027" t="s">
        <v>646</v>
      </c>
      <c r="F1027" t="s">
        <v>40</v>
      </c>
      <c r="G1027">
        <v>2045</v>
      </c>
      <c r="H1027" s="12">
        <v>4242</v>
      </c>
      <c r="I1027" t="s">
        <v>3183</v>
      </c>
      <c r="J1027" t="s">
        <v>5</v>
      </c>
      <c r="K1027" t="s">
        <v>9</v>
      </c>
      <c r="L1027" t="s">
        <v>3184</v>
      </c>
      <c r="M1027" t="s">
        <v>665</v>
      </c>
    </row>
    <row r="1028" spans="1:13">
      <c r="A1028" t="s">
        <v>851</v>
      </c>
      <c r="B1028" t="s">
        <v>687</v>
      </c>
      <c r="C1028" t="s">
        <v>687</v>
      </c>
      <c r="D1028" t="s">
        <v>23</v>
      </c>
      <c r="E1028" t="s">
        <v>646</v>
      </c>
      <c r="F1028" t="s">
        <v>40</v>
      </c>
      <c r="G1028">
        <v>2050</v>
      </c>
      <c r="H1028" s="12">
        <v>3155</v>
      </c>
      <c r="I1028" t="s">
        <v>3183</v>
      </c>
      <c r="J1028" t="s">
        <v>5</v>
      </c>
      <c r="K1028" t="s">
        <v>9</v>
      </c>
      <c r="L1028" t="s">
        <v>3184</v>
      </c>
      <c r="M1028" t="s">
        <v>665</v>
      </c>
    </row>
    <row r="1029" spans="1:13">
      <c r="A1029" t="s">
        <v>851</v>
      </c>
      <c r="B1029" t="s">
        <v>686</v>
      </c>
      <c r="C1029" t="s">
        <v>686</v>
      </c>
      <c r="D1029" t="s">
        <v>23</v>
      </c>
      <c r="E1029" t="s">
        <v>646</v>
      </c>
      <c r="F1029" t="s">
        <v>40</v>
      </c>
      <c r="G1029">
        <v>2010</v>
      </c>
      <c r="H1029" s="12">
        <v>48</v>
      </c>
      <c r="I1029" t="s">
        <v>3183</v>
      </c>
      <c r="J1029" t="s">
        <v>344</v>
      </c>
      <c r="K1029" t="s">
        <v>11</v>
      </c>
      <c r="L1029" t="s">
        <v>3184</v>
      </c>
      <c r="M1029" t="s">
        <v>10</v>
      </c>
    </row>
    <row r="1030" spans="1:13">
      <c r="A1030" t="s">
        <v>851</v>
      </c>
      <c r="B1030" t="s">
        <v>686</v>
      </c>
      <c r="C1030" t="s">
        <v>686</v>
      </c>
      <c r="D1030" t="s">
        <v>23</v>
      </c>
      <c r="E1030" t="s">
        <v>646</v>
      </c>
      <c r="F1030" t="s">
        <v>40</v>
      </c>
      <c r="G1030">
        <v>2015</v>
      </c>
      <c r="H1030" s="12">
        <v>60</v>
      </c>
      <c r="I1030" t="s">
        <v>3183</v>
      </c>
      <c r="J1030" t="s">
        <v>344</v>
      </c>
      <c r="K1030" t="s">
        <v>11</v>
      </c>
      <c r="L1030" t="s">
        <v>3184</v>
      </c>
      <c r="M1030" t="s">
        <v>10</v>
      </c>
    </row>
    <row r="1031" spans="1:13">
      <c r="A1031" t="s">
        <v>851</v>
      </c>
      <c r="B1031" t="s">
        <v>686</v>
      </c>
      <c r="C1031" t="s">
        <v>686</v>
      </c>
      <c r="D1031" t="s">
        <v>23</v>
      </c>
      <c r="E1031" t="s">
        <v>646</v>
      </c>
      <c r="F1031" t="s">
        <v>40</v>
      </c>
      <c r="G1031">
        <v>2020</v>
      </c>
      <c r="H1031" s="12">
        <v>67</v>
      </c>
      <c r="I1031" t="s">
        <v>3183</v>
      </c>
      <c r="J1031" t="s">
        <v>344</v>
      </c>
      <c r="K1031" t="s">
        <v>11</v>
      </c>
      <c r="L1031" t="s">
        <v>3184</v>
      </c>
      <c r="M1031" t="s">
        <v>10</v>
      </c>
    </row>
    <row r="1032" spans="1:13">
      <c r="A1032" t="s">
        <v>851</v>
      </c>
      <c r="B1032" t="s">
        <v>686</v>
      </c>
      <c r="C1032" t="s">
        <v>686</v>
      </c>
      <c r="D1032" t="s">
        <v>23</v>
      </c>
      <c r="E1032" t="s">
        <v>646</v>
      </c>
      <c r="F1032" t="s">
        <v>40</v>
      </c>
      <c r="G1032">
        <v>2030</v>
      </c>
      <c r="H1032" s="12">
        <v>330</v>
      </c>
      <c r="I1032" t="s">
        <v>3183</v>
      </c>
      <c r="J1032" t="s">
        <v>344</v>
      </c>
      <c r="K1032" t="s">
        <v>11</v>
      </c>
      <c r="L1032" t="s">
        <v>3184</v>
      </c>
      <c r="M1032" t="s">
        <v>10</v>
      </c>
    </row>
    <row r="1033" spans="1:13">
      <c r="A1033" t="s">
        <v>851</v>
      </c>
      <c r="B1033" t="s">
        <v>686</v>
      </c>
      <c r="C1033" t="s">
        <v>686</v>
      </c>
      <c r="D1033" t="s">
        <v>23</v>
      </c>
      <c r="E1033" t="s">
        <v>646</v>
      </c>
      <c r="F1033" t="s">
        <v>40</v>
      </c>
      <c r="G1033">
        <v>2035</v>
      </c>
      <c r="H1033" s="12">
        <v>573</v>
      </c>
      <c r="I1033" t="s">
        <v>3183</v>
      </c>
      <c r="J1033" t="s">
        <v>344</v>
      </c>
      <c r="K1033" t="s">
        <v>11</v>
      </c>
      <c r="L1033" t="s">
        <v>3184</v>
      </c>
      <c r="M1033" t="s">
        <v>10</v>
      </c>
    </row>
    <row r="1034" spans="1:13">
      <c r="A1034" t="s">
        <v>851</v>
      </c>
      <c r="B1034" t="s">
        <v>686</v>
      </c>
      <c r="C1034" t="s">
        <v>686</v>
      </c>
      <c r="D1034" t="s">
        <v>23</v>
      </c>
      <c r="E1034" t="s">
        <v>646</v>
      </c>
      <c r="F1034" t="s">
        <v>40</v>
      </c>
      <c r="G1034">
        <v>2040</v>
      </c>
      <c r="H1034" s="12">
        <v>807</v>
      </c>
      <c r="I1034" t="s">
        <v>3183</v>
      </c>
      <c r="J1034" t="s">
        <v>344</v>
      </c>
      <c r="K1034" t="s">
        <v>11</v>
      </c>
      <c r="L1034" t="s">
        <v>3184</v>
      </c>
      <c r="M1034" t="s">
        <v>10</v>
      </c>
    </row>
    <row r="1035" spans="1:13">
      <c r="A1035" t="s">
        <v>851</v>
      </c>
      <c r="B1035" t="s">
        <v>686</v>
      </c>
      <c r="C1035" t="s">
        <v>686</v>
      </c>
      <c r="D1035" t="s">
        <v>23</v>
      </c>
      <c r="E1035" t="s">
        <v>646</v>
      </c>
      <c r="F1035" t="s">
        <v>40</v>
      </c>
      <c r="G1035">
        <v>2045</v>
      </c>
      <c r="H1035" s="12">
        <v>1040</v>
      </c>
      <c r="I1035" t="s">
        <v>3183</v>
      </c>
      <c r="J1035" t="s">
        <v>344</v>
      </c>
      <c r="K1035" t="s">
        <v>11</v>
      </c>
      <c r="L1035" t="s">
        <v>3184</v>
      </c>
      <c r="M1035" t="s">
        <v>10</v>
      </c>
    </row>
    <row r="1036" spans="1:13">
      <c r="A1036" t="s">
        <v>851</v>
      </c>
      <c r="B1036" t="s">
        <v>686</v>
      </c>
      <c r="C1036" t="s">
        <v>686</v>
      </c>
      <c r="D1036" t="s">
        <v>23</v>
      </c>
      <c r="E1036" t="s">
        <v>646</v>
      </c>
      <c r="F1036" t="s">
        <v>40</v>
      </c>
      <c r="G1036">
        <v>2050</v>
      </c>
      <c r="H1036" s="12">
        <v>1314</v>
      </c>
      <c r="I1036" t="s">
        <v>3183</v>
      </c>
      <c r="J1036" t="s">
        <v>344</v>
      </c>
      <c r="K1036" t="s">
        <v>11</v>
      </c>
      <c r="L1036" t="s">
        <v>3184</v>
      </c>
      <c r="M1036" t="s">
        <v>10</v>
      </c>
    </row>
    <row r="1037" spans="1:13">
      <c r="A1037" t="s">
        <v>851</v>
      </c>
      <c r="B1037" t="s">
        <v>687</v>
      </c>
      <c r="C1037" t="s">
        <v>687</v>
      </c>
      <c r="D1037" t="s">
        <v>23</v>
      </c>
      <c r="E1037" t="s">
        <v>646</v>
      </c>
      <c r="F1037" t="s">
        <v>40</v>
      </c>
      <c r="G1037">
        <v>2030</v>
      </c>
      <c r="H1037" s="12">
        <v>442</v>
      </c>
      <c r="I1037" t="s">
        <v>3183</v>
      </c>
      <c r="J1037" t="s">
        <v>344</v>
      </c>
      <c r="K1037" t="s">
        <v>11</v>
      </c>
      <c r="L1037" t="s">
        <v>3184</v>
      </c>
      <c r="M1037" t="s">
        <v>10</v>
      </c>
    </row>
    <row r="1038" spans="1:13">
      <c r="A1038" t="s">
        <v>851</v>
      </c>
      <c r="B1038" t="s">
        <v>687</v>
      </c>
      <c r="C1038" t="s">
        <v>687</v>
      </c>
      <c r="D1038" t="s">
        <v>23</v>
      </c>
      <c r="E1038" t="s">
        <v>646</v>
      </c>
      <c r="F1038" t="s">
        <v>40</v>
      </c>
      <c r="G1038">
        <v>2035</v>
      </c>
      <c r="H1038" s="12">
        <v>953</v>
      </c>
      <c r="I1038" t="s">
        <v>3183</v>
      </c>
      <c r="J1038" t="s">
        <v>344</v>
      </c>
      <c r="K1038" t="s">
        <v>11</v>
      </c>
      <c r="L1038" t="s">
        <v>3184</v>
      </c>
      <c r="M1038" t="s">
        <v>10</v>
      </c>
    </row>
    <row r="1039" spans="1:13">
      <c r="A1039" t="s">
        <v>851</v>
      </c>
      <c r="B1039" t="s">
        <v>687</v>
      </c>
      <c r="C1039" t="s">
        <v>687</v>
      </c>
      <c r="D1039" t="s">
        <v>23</v>
      </c>
      <c r="E1039" t="s">
        <v>646</v>
      </c>
      <c r="F1039" t="s">
        <v>40</v>
      </c>
      <c r="G1039">
        <v>2040</v>
      </c>
      <c r="H1039" s="12">
        <v>1520</v>
      </c>
      <c r="I1039" t="s">
        <v>3183</v>
      </c>
      <c r="J1039" t="s">
        <v>344</v>
      </c>
      <c r="K1039" t="s">
        <v>11</v>
      </c>
      <c r="L1039" t="s">
        <v>3184</v>
      </c>
      <c r="M1039" t="s">
        <v>10</v>
      </c>
    </row>
    <row r="1040" spans="1:13">
      <c r="A1040" t="s">
        <v>851</v>
      </c>
      <c r="B1040" t="s">
        <v>687</v>
      </c>
      <c r="C1040" t="s">
        <v>687</v>
      </c>
      <c r="D1040" t="s">
        <v>23</v>
      </c>
      <c r="E1040" t="s">
        <v>646</v>
      </c>
      <c r="F1040" t="s">
        <v>40</v>
      </c>
      <c r="G1040">
        <v>2045</v>
      </c>
      <c r="H1040" s="12">
        <v>2170</v>
      </c>
      <c r="I1040" t="s">
        <v>3183</v>
      </c>
      <c r="J1040" t="s">
        <v>344</v>
      </c>
      <c r="K1040" t="s">
        <v>11</v>
      </c>
      <c r="L1040" t="s">
        <v>3184</v>
      </c>
      <c r="M1040" t="s">
        <v>10</v>
      </c>
    </row>
    <row r="1041" spans="1:13">
      <c r="A1041" t="s">
        <v>851</v>
      </c>
      <c r="B1041" t="s">
        <v>687</v>
      </c>
      <c r="C1041" t="s">
        <v>687</v>
      </c>
      <c r="D1041" t="s">
        <v>23</v>
      </c>
      <c r="E1041" t="s">
        <v>646</v>
      </c>
      <c r="F1041" t="s">
        <v>40</v>
      </c>
      <c r="G1041">
        <v>2050</v>
      </c>
      <c r="H1041" s="12">
        <v>2890</v>
      </c>
      <c r="I1041" t="s">
        <v>3183</v>
      </c>
      <c r="J1041" t="s">
        <v>344</v>
      </c>
      <c r="K1041" t="s">
        <v>11</v>
      </c>
      <c r="L1041" t="s">
        <v>3184</v>
      </c>
      <c r="M1041" t="s">
        <v>10</v>
      </c>
    </row>
    <row r="1042" spans="1:13">
      <c r="A1042" t="s">
        <v>851</v>
      </c>
      <c r="B1042" t="s">
        <v>686</v>
      </c>
      <c r="C1042" t="s">
        <v>686</v>
      </c>
      <c r="D1042" t="s">
        <v>23</v>
      </c>
      <c r="E1042" t="s">
        <v>646</v>
      </c>
      <c r="F1042" t="s">
        <v>40</v>
      </c>
      <c r="G1042">
        <v>2010</v>
      </c>
      <c r="H1042" s="12">
        <v>937</v>
      </c>
      <c r="I1042" t="s">
        <v>3183</v>
      </c>
      <c r="J1042" t="s">
        <v>344</v>
      </c>
      <c r="K1042" t="s">
        <v>658</v>
      </c>
      <c r="L1042" t="s">
        <v>3184</v>
      </c>
      <c r="M1042" t="s">
        <v>10</v>
      </c>
    </row>
    <row r="1043" spans="1:13">
      <c r="A1043" t="s">
        <v>851</v>
      </c>
      <c r="B1043" t="s">
        <v>686</v>
      </c>
      <c r="C1043" t="s">
        <v>686</v>
      </c>
      <c r="D1043" t="s">
        <v>23</v>
      </c>
      <c r="E1043" t="s">
        <v>646</v>
      </c>
      <c r="F1043" t="s">
        <v>40</v>
      </c>
      <c r="G1043">
        <v>2015</v>
      </c>
      <c r="H1043" s="12">
        <v>1469</v>
      </c>
      <c r="I1043" t="s">
        <v>3183</v>
      </c>
      <c r="J1043" t="s">
        <v>344</v>
      </c>
      <c r="K1043" t="s">
        <v>658</v>
      </c>
      <c r="L1043" t="s">
        <v>3184</v>
      </c>
      <c r="M1043" t="s">
        <v>10</v>
      </c>
    </row>
    <row r="1044" spans="1:13">
      <c r="A1044" t="s">
        <v>851</v>
      </c>
      <c r="B1044" t="s">
        <v>686</v>
      </c>
      <c r="C1044" t="s">
        <v>686</v>
      </c>
      <c r="D1044" t="s">
        <v>23</v>
      </c>
      <c r="E1044" t="s">
        <v>646</v>
      </c>
      <c r="F1044" t="s">
        <v>40</v>
      </c>
      <c r="G1044">
        <v>2020</v>
      </c>
      <c r="H1044" s="12">
        <v>1614</v>
      </c>
      <c r="I1044" t="s">
        <v>3183</v>
      </c>
      <c r="J1044" t="s">
        <v>344</v>
      </c>
      <c r="K1044" t="s">
        <v>658</v>
      </c>
      <c r="L1044" t="s">
        <v>3184</v>
      </c>
      <c r="M1044" t="s">
        <v>10</v>
      </c>
    </row>
    <row r="1045" spans="1:13">
      <c r="A1045" t="s">
        <v>851</v>
      </c>
      <c r="B1045" t="s">
        <v>686</v>
      </c>
      <c r="C1045" t="s">
        <v>686</v>
      </c>
      <c r="D1045" t="s">
        <v>23</v>
      </c>
      <c r="E1045" t="s">
        <v>646</v>
      </c>
      <c r="F1045" t="s">
        <v>40</v>
      </c>
      <c r="G1045">
        <v>2030</v>
      </c>
      <c r="H1045" s="12">
        <v>3347</v>
      </c>
      <c r="I1045" t="s">
        <v>3183</v>
      </c>
      <c r="J1045" t="s">
        <v>344</v>
      </c>
      <c r="K1045" t="s">
        <v>658</v>
      </c>
      <c r="L1045" t="s">
        <v>3184</v>
      </c>
      <c r="M1045" t="s">
        <v>10</v>
      </c>
    </row>
    <row r="1046" spans="1:13">
      <c r="A1046" t="s">
        <v>851</v>
      </c>
      <c r="B1046" t="s">
        <v>686</v>
      </c>
      <c r="C1046" t="s">
        <v>686</v>
      </c>
      <c r="D1046" t="s">
        <v>23</v>
      </c>
      <c r="E1046" t="s">
        <v>646</v>
      </c>
      <c r="F1046" t="s">
        <v>40</v>
      </c>
      <c r="G1046">
        <v>2035</v>
      </c>
      <c r="H1046" s="12">
        <v>4401</v>
      </c>
      <c r="I1046" t="s">
        <v>3183</v>
      </c>
      <c r="J1046" t="s">
        <v>344</v>
      </c>
      <c r="K1046" t="s">
        <v>658</v>
      </c>
      <c r="L1046" t="s">
        <v>3184</v>
      </c>
      <c r="M1046" t="s">
        <v>10</v>
      </c>
    </row>
    <row r="1047" spans="1:13">
      <c r="A1047" t="s">
        <v>851</v>
      </c>
      <c r="B1047" t="s">
        <v>686</v>
      </c>
      <c r="C1047" t="s">
        <v>686</v>
      </c>
      <c r="D1047" t="s">
        <v>23</v>
      </c>
      <c r="E1047" t="s">
        <v>646</v>
      </c>
      <c r="F1047" t="s">
        <v>40</v>
      </c>
      <c r="G1047">
        <v>2040</v>
      </c>
      <c r="H1047" s="12">
        <v>5540</v>
      </c>
      <c r="I1047" t="s">
        <v>3183</v>
      </c>
      <c r="J1047" t="s">
        <v>344</v>
      </c>
      <c r="K1047" t="s">
        <v>658</v>
      </c>
      <c r="L1047" t="s">
        <v>3184</v>
      </c>
      <c r="M1047" t="s">
        <v>10</v>
      </c>
    </row>
    <row r="1048" spans="1:13">
      <c r="A1048" t="s">
        <v>851</v>
      </c>
      <c r="B1048" t="s">
        <v>686</v>
      </c>
      <c r="C1048" t="s">
        <v>686</v>
      </c>
      <c r="D1048" t="s">
        <v>23</v>
      </c>
      <c r="E1048" t="s">
        <v>646</v>
      </c>
      <c r="F1048" t="s">
        <v>40</v>
      </c>
      <c r="G1048">
        <v>2035</v>
      </c>
      <c r="H1048" s="12">
        <v>3349</v>
      </c>
      <c r="I1048" t="s">
        <v>3183</v>
      </c>
      <c r="J1048" t="s">
        <v>344</v>
      </c>
      <c r="K1048" t="s">
        <v>9</v>
      </c>
      <c r="L1048" t="s">
        <v>3184</v>
      </c>
      <c r="M1048" t="s">
        <v>10</v>
      </c>
    </row>
    <row r="1049" spans="1:13">
      <c r="A1049" t="s">
        <v>851</v>
      </c>
      <c r="B1049" t="s">
        <v>686</v>
      </c>
      <c r="C1049" t="s">
        <v>686</v>
      </c>
      <c r="D1049" t="s">
        <v>23</v>
      </c>
      <c r="E1049" t="s">
        <v>646</v>
      </c>
      <c r="F1049" t="s">
        <v>40</v>
      </c>
      <c r="G1049">
        <v>2040</v>
      </c>
      <c r="H1049" s="12">
        <v>3869</v>
      </c>
      <c r="I1049" t="s">
        <v>3183</v>
      </c>
      <c r="J1049" t="s">
        <v>344</v>
      </c>
      <c r="K1049" t="s">
        <v>9</v>
      </c>
      <c r="L1049" t="s">
        <v>3184</v>
      </c>
      <c r="M1049" t="s">
        <v>10</v>
      </c>
    </row>
    <row r="1050" spans="1:13">
      <c r="A1050" t="s">
        <v>851</v>
      </c>
      <c r="B1050" t="s">
        <v>686</v>
      </c>
      <c r="C1050" t="s">
        <v>686</v>
      </c>
      <c r="D1050" t="s">
        <v>23</v>
      </c>
      <c r="E1050" t="s">
        <v>646</v>
      </c>
      <c r="F1050" t="s">
        <v>40</v>
      </c>
      <c r="G1050">
        <v>2045</v>
      </c>
      <c r="H1050" s="12">
        <v>4349</v>
      </c>
      <c r="I1050" t="s">
        <v>3183</v>
      </c>
      <c r="J1050" t="s">
        <v>344</v>
      </c>
      <c r="K1050" t="s">
        <v>9</v>
      </c>
      <c r="L1050" t="s">
        <v>3184</v>
      </c>
      <c r="M1050" t="s">
        <v>10</v>
      </c>
    </row>
    <row r="1051" spans="1:13">
      <c r="A1051" t="s">
        <v>851</v>
      </c>
      <c r="B1051" t="s">
        <v>686</v>
      </c>
      <c r="C1051" t="s">
        <v>686</v>
      </c>
      <c r="D1051" t="s">
        <v>23</v>
      </c>
      <c r="E1051" t="s">
        <v>646</v>
      </c>
      <c r="F1051" t="s">
        <v>40</v>
      </c>
      <c r="G1051">
        <v>2050</v>
      </c>
      <c r="H1051" s="12">
        <v>4772</v>
      </c>
      <c r="I1051" t="s">
        <v>3183</v>
      </c>
      <c r="J1051" t="s">
        <v>344</v>
      </c>
      <c r="K1051" t="s">
        <v>9</v>
      </c>
      <c r="L1051" t="s">
        <v>3184</v>
      </c>
      <c r="M1051" t="s">
        <v>10</v>
      </c>
    </row>
    <row r="1052" spans="1:13">
      <c r="A1052" t="s">
        <v>851</v>
      </c>
      <c r="B1052" t="s">
        <v>687</v>
      </c>
      <c r="C1052" t="s">
        <v>687</v>
      </c>
      <c r="D1052" t="s">
        <v>23</v>
      </c>
      <c r="E1052" t="s">
        <v>646</v>
      </c>
      <c r="F1052" t="s">
        <v>40</v>
      </c>
      <c r="G1052">
        <v>2030</v>
      </c>
      <c r="H1052" s="12">
        <v>2779</v>
      </c>
      <c r="I1052" t="s">
        <v>3183</v>
      </c>
      <c r="J1052" t="s">
        <v>344</v>
      </c>
      <c r="K1052" t="s">
        <v>9</v>
      </c>
      <c r="L1052" t="s">
        <v>3184</v>
      </c>
      <c r="M1052" t="s">
        <v>10</v>
      </c>
    </row>
    <row r="1053" spans="1:13">
      <c r="A1053" t="s">
        <v>851</v>
      </c>
      <c r="B1053" t="s">
        <v>687</v>
      </c>
      <c r="C1053" t="s">
        <v>687</v>
      </c>
      <c r="D1053" t="s">
        <v>23</v>
      </c>
      <c r="E1053" t="s">
        <v>646</v>
      </c>
      <c r="F1053" t="s">
        <v>40</v>
      </c>
      <c r="G1053">
        <v>2035</v>
      </c>
      <c r="H1053" s="12">
        <v>3748</v>
      </c>
      <c r="I1053" t="s">
        <v>3183</v>
      </c>
      <c r="J1053" t="s">
        <v>344</v>
      </c>
      <c r="K1053" t="s">
        <v>9</v>
      </c>
      <c r="L1053" t="s">
        <v>3184</v>
      </c>
      <c r="M1053" t="s">
        <v>10</v>
      </c>
    </row>
    <row r="1054" spans="1:13">
      <c r="A1054" t="s">
        <v>851</v>
      </c>
      <c r="B1054" t="s">
        <v>687</v>
      </c>
      <c r="C1054" t="s">
        <v>687</v>
      </c>
      <c r="D1054" t="s">
        <v>23</v>
      </c>
      <c r="E1054" t="s">
        <v>646</v>
      </c>
      <c r="F1054" t="s">
        <v>40</v>
      </c>
      <c r="G1054">
        <v>2040</v>
      </c>
      <c r="H1054" s="12">
        <v>5013</v>
      </c>
      <c r="I1054" t="s">
        <v>3183</v>
      </c>
      <c r="J1054" t="s">
        <v>344</v>
      </c>
      <c r="K1054" t="s">
        <v>9</v>
      </c>
      <c r="L1054" t="s">
        <v>3184</v>
      </c>
      <c r="M1054" t="s">
        <v>10</v>
      </c>
    </row>
    <row r="1055" spans="1:13">
      <c r="A1055" t="s">
        <v>851</v>
      </c>
      <c r="B1055" t="s">
        <v>687</v>
      </c>
      <c r="C1055" t="s">
        <v>687</v>
      </c>
      <c r="D1055" t="s">
        <v>23</v>
      </c>
      <c r="E1055" t="s">
        <v>646</v>
      </c>
      <c r="F1055" t="s">
        <v>40</v>
      </c>
      <c r="G1055">
        <v>2045</v>
      </c>
      <c r="H1055" s="12">
        <v>6266</v>
      </c>
      <c r="I1055" t="s">
        <v>3183</v>
      </c>
      <c r="J1055" t="s">
        <v>344</v>
      </c>
      <c r="K1055" t="s">
        <v>9</v>
      </c>
      <c r="L1055" t="s">
        <v>3184</v>
      </c>
      <c r="M1055" t="s">
        <v>10</v>
      </c>
    </row>
    <row r="1056" spans="1:13">
      <c r="A1056" t="s">
        <v>851</v>
      </c>
      <c r="B1056" t="s">
        <v>687</v>
      </c>
      <c r="C1056" t="s">
        <v>687</v>
      </c>
      <c r="D1056" t="s">
        <v>23</v>
      </c>
      <c r="E1056" t="s">
        <v>646</v>
      </c>
      <c r="F1056" t="s">
        <v>40</v>
      </c>
      <c r="G1056">
        <v>2050</v>
      </c>
      <c r="H1056" s="12">
        <v>7431</v>
      </c>
      <c r="I1056" t="s">
        <v>3183</v>
      </c>
      <c r="J1056" t="s">
        <v>344</v>
      </c>
      <c r="K1056" t="s">
        <v>9</v>
      </c>
      <c r="L1056" t="s">
        <v>3184</v>
      </c>
      <c r="M1056" t="s">
        <v>10</v>
      </c>
    </row>
    <row r="1057" spans="1:13">
      <c r="A1057" t="s">
        <v>851</v>
      </c>
      <c r="B1057" t="s">
        <v>686</v>
      </c>
      <c r="C1057" t="s">
        <v>686</v>
      </c>
      <c r="D1057" t="s">
        <v>23</v>
      </c>
      <c r="E1057" t="s">
        <v>646</v>
      </c>
      <c r="F1057" t="s">
        <v>40</v>
      </c>
      <c r="G1057">
        <v>2010</v>
      </c>
      <c r="H1057" s="12">
        <v>582</v>
      </c>
      <c r="I1057" t="s">
        <v>3183</v>
      </c>
      <c r="J1057" t="s">
        <v>6</v>
      </c>
      <c r="K1057" t="s">
        <v>9</v>
      </c>
      <c r="L1057" t="s">
        <v>3184</v>
      </c>
      <c r="M1057" t="s">
        <v>666</v>
      </c>
    </row>
    <row r="1058" spans="1:13">
      <c r="A1058" t="s">
        <v>851</v>
      </c>
      <c r="B1058" t="s">
        <v>686</v>
      </c>
      <c r="C1058" t="s">
        <v>686</v>
      </c>
      <c r="D1058" t="s">
        <v>23</v>
      </c>
      <c r="E1058" t="s">
        <v>646</v>
      </c>
      <c r="F1058" t="s">
        <v>40</v>
      </c>
      <c r="G1058">
        <v>2015</v>
      </c>
      <c r="H1058" s="12">
        <v>631</v>
      </c>
      <c r="I1058" t="s">
        <v>3183</v>
      </c>
      <c r="J1058" t="s">
        <v>6</v>
      </c>
      <c r="K1058" t="s">
        <v>9</v>
      </c>
      <c r="L1058" t="s">
        <v>3184</v>
      </c>
      <c r="M1058" t="s">
        <v>666</v>
      </c>
    </row>
    <row r="1059" spans="1:13">
      <c r="A1059" t="s">
        <v>851</v>
      </c>
      <c r="B1059" t="s">
        <v>686</v>
      </c>
      <c r="C1059" t="s">
        <v>686</v>
      </c>
      <c r="D1059" t="s">
        <v>23</v>
      </c>
      <c r="E1059" t="s">
        <v>646</v>
      </c>
      <c r="F1059" t="s">
        <v>40</v>
      </c>
      <c r="G1059">
        <v>2020</v>
      </c>
      <c r="H1059" s="12">
        <v>691</v>
      </c>
      <c r="I1059" t="s">
        <v>3183</v>
      </c>
      <c r="J1059" t="s">
        <v>6</v>
      </c>
      <c r="K1059" t="s">
        <v>9</v>
      </c>
      <c r="L1059" t="s">
        <v>3184</v>
      </c>
      <c r="M1059" t="s">
        <v>666</v>
      </c>
    </row>
    <row r="1060" spans="1:13">
      <c r="A1060" t="s">
        <v>851</v>
      </c>
      <c r="B1060" t="s">
        <v>686</v>
      </c>
      <c r="C1060" t="s">
        <v>686</v>
      </c>
      <c r="D1060" t="s">
        <v>23</v>
      </c>
      <c r="E1060" t="s">
        <v>646</v>
      </c>
      <c r="F1060" t="s">
        <v>40</v>
      </c>
      <c r="G1060">
        <v>2030</v>
      </c>
      <c r="H1060" s="12">
        <v>1391</v>
      </c>
      <c r="I1060" t="s">
        <v>3183</v>
      </c>
      <c r="J1060" t="s">
        <v>6</v>
      </c>
      <c r="K1060" t="s">
        <v>9</v>
      </c>
      <c r="L1060" t="s">
        <v>3184</v>
      </c>
      <c r="M1060" t="s">
        <v>666</v>
      </c>
    </row>
    <row r="1061" spans="1:13">
      <c r="A1061" t="s">
        <v>851</v>
      </c>
      <c r="B1061" t="s">
        <v>686</v>
      </c>
      <c r="C1061" t="s">
        <v>686</v>
      </c>
      <c r="D1061" t="s">
        <v>23</v>
      </c>
      <c r="E1061" t="s">
        <v>646</v>
      </c>
      <c r="F1061" t="s">
        <v>40</v>
      </c>
      <c r="G1061">
        <v>2035</v>
      </c>
      <c r="H1061" s="12">
        <v>1874</v>
      </c>
      <c r="I1061" t="s">
        <v>3183</v>
      </c>
      <c r="J1061" t="s">
        <v>6</v>
      </c>
      <c r="K1061" t="s">
        <v>9</v>
      </c>
      <c r="L1061" t="s">
        <v>3184</v>
      </c>
      <c r="M1061" t="s">
        <v>666</v>
      </c>
    </row>
    <row r="1062" spans="1:13">
      <c r="A1062" t="s">
        <v>851</v>
      </c>
      <c r="B1062" t="s">
        <v>686</v>
      </c>
      <c r="C1062" t="s">
        <v>686</v>
      </c>
      <c r="D1062" t="s">
        <v>23</v>
      </c>
      <c r="E1062" t="s">
        <v>646</v>
      </c>
      <c r="F1062" t="s">
        <v>40</v>
      </c>
      <c r="G1062">
        <v>2040</v>
      </c>
      <c r="H1062" s="12">
        <v>2328</v>
      </c>
      <c r="I1062" t="s">
        <v>3183</v>
      </c>
      <c r="J1062" t="s">
        <v>6</v>
      </c>
      <c r="K1062" t="s">
        <v>9</v>
      </c>
      <c r="L1062" t="s">
        <v>3184</v>
      </c>
      <c r="M1062" t="s">
        <v>666</v>
      </c>
    </row>
    <row r="1063" spans="1:13">
      <c r="A1063" t="s">
        <v>851</v>
      </c>
      <c r="B1063" t="s">
        <v>686</v>
      </c>
      <c r="C1063" t="s">
        <v>686</v>
      </c>
      <c r="D1063" t="s">
        <v>23</v>
      </c>
      <c r="E1063" t="s">
        <v>646</v>
      </c>
      <c r="F1063" t="s">
        <v>40</v>
      </c>
      <c r="G1063">
        <v>2045</v>
      </c>
      <c r="H1063" s="12">
        <v>2699</v>
      </c>
      <c r="I1063" t="s">
        <v>3183</v>
      </c>
      <c r="J1063" t="s">
        <v>6</v>
      </c>
      <c r="K1063" t="s">
        <v>9</v>
      </c>
      <c r="L1063" t="s">
        <v>3184</v>
      </c>
      <c r="M1063" t="s">
        <v>666</v>
      </c>
    </row>
    <row r="1064" spans="1:13">
      <c r="A1064" t="s">
        <v>851</v>
      </c>
      <c r="B1064" t="s">
        <v>686</v>
      </c>
      <c r="C1064" t="s">
        <v>686</v>
      </c>
      <c r="D1064" t="s">
        <v>23</v>
      </c>
      <c r="E1064" t="s">
        <v>646</v>
      </c>
      <c r="F1064" t="s">
        <v>40</v>
      </c>
      <c r="G1064">
        <v>2050</v>
      </c>
      <c r="H1064" s="12">
        <v>2930</v>
      </c>
      <c r="I1064" t="s">
        <v>3183</v>
      </c>
      <c r="J1064" t="s">
        <v>6</v>
      </c>
      <c r="K1064" t="s">
        <v>9</v>
      </c>
      <c r="L1064" t="s">
        <v>3184</v>
      </c>
      <c r="M1064" t="s">
        <v>666</v>
      </c>
    </row>
    <row r="1065" spans="1:13">
      <c r="A1065" t="s">
        <v>851</v>
      </c>
      <c r="B1065" t="s">
        <v>687</v>
      </c>
      <c r="C1065" t="s">
        <v>687</v>
      </c>
      <c r="D1065" t="s">
        <v>23</v>
      </c>
      <c r="E1065" t="s">
        <v>646</v>
      </c>
      <c r="F1065" t="s">
        <v>40</v>
      </c>
      <c r="G1065">
        <v>2030</v>
      </c>
      <c r="H1065" s="12">
        <v>1462</v>
      </c>
      <c r="I1065" t="s">
        <v>3183</v>
      </c>
      <c r="J1065" t="s">
        <v>6</v>
      </c>
      <c r="K1065" t="s">
        <v>9</v>
      </c>
      <c r="L1065" t="s">
        <v>3184</v>
      </c>
      <c r="M1065" t="s">
        <v>666</v>
      </c>
    </row>
    <row r="1066" spans="1:13">
      <c r="A1066" t="s">
        <v>851</v>
      </c>
      <c r="B1066" t="s">
        <v>687</v>
      </c>
      <c r="C1066" t="s">
        <v>687</v>
      </c>
      <c r="D1066" t="s">
        <v>23</v>
      </c>
      <c r="E1066" t="s">
        <v>646</v>
      </c>
      <c r="F1066" t="s">
        <v>40</v>
      </c>
      <c r="G1066">
        <v>2035</v>
      </c>
      <c r="H1066" s="12">
        <v>1898</v>
      </c>
      <c r="I1066" t="s">
        <v>3183</v>
      </c>
      <c r="J1066" t="s">
        <v>6</v>
      </c>
      <c r="K1066" t="s">
        <v>9</v>
      </c>
      <c r="L1066" t="s">
        <v>3184</v>
      </c>
      <c r="M1066" t="s">
        <v>666</v>
      </c>
    </row>
    <row r="1067" spans="1:13">
      <c r="A1067" t="s">
        <v>851</v>
      </c>
      <c r="B1067" t="s">
        <v>687</v>
      </c>
      <c r="C1067" t="s">
        <v>687</v>
      </c>
      <c r="D1067" t="s">
        <v>23</v>
      </c>
      <c r="E1067" t="s">
        <v>646</v>
      </c>
      <c r="F1067" t="s">
        <v>40</v>
      </c>
      <c r="G1067">
        <v>2040</v>
      </c>
      <c r="H1067" s="12">
        <v>1910</v>
      </c>
      <c r="I1067" t="s">
        <v>3183</v>
      </c>
      <c r="J1067" t="s">
        <v>6</v>
      </c>
      <c r="K1067" t="s">
        <v>9</v>
      </c>
      <c r="L1067" t="s">
        <v>3184</v>
      </c>
      <c r="M1067" t="s">
        <v>666</v>
      </c>
    </row>
    <row r="1068" spans="1:13">
      <c r="A1068" t="s">
        <v>851</v>
      </c>
      <c r="B1068" t="s">
        <v>687</v>
      </c>
      <c r="C1068" t="s">
        <v>687</v>
      </c>
      <c r="D1068" t="s">
        <v>23</v>
      </c>
      <c r="E1068" t="s">
        <v>646</v>
      </c>
      <c r="F1068" t="s">
        <v>40</v>
      </c>
      <c r="G1068">
        <v>2045</v>
      </c>
      <c r="H1068" s="12">
        <v>1784</v>
      </c>
      <c r="I1068" t="s">
        <v>3183</v>
      </c>
      <c r="J1068" t="s">
        <v>6</v>
      </c>
      <c r="K1068" t="s">
        <v>9</v>
      </c>
      <c r="L1068" t="s">
        <v>3184</v>
      </c>
      <c r="M1068" t="s">
        <v>666</v>
      </c>
    </row>
    <row r="1069" spans="1:13">
      <c r="A1069" t="s">
        <v>851</v>
      </c>
      <c r="B1069" t="s">
        <v>686</v>
      </c>
      <c r="C1069" t="s">
        <v>686</v>
      </c>
      <c r="D1069" t="s">
        <v>23</v>
      </c>
      <c r="E1069" t="s">
        <v>573</v>
      </c>
      <c r="F1069" t="s">
        <v>40</v>
      </c>
      <c r="G1069">
        <v>2035</v>
      </c>
      <c r="H1069" s="12">
        <v>13425</v>
      </c>
      <c r="I1069" t="s">
        <v>3183</v>
      </c>
      <c r="J1069" t="s">
        <v>5</v>
      </c>
      <c r="K1069" t="s">
        <v>147</v>
      </c>
      <c r="L1069" t="s">
        <v>3184</v>
      </c>
      <c r="M1069" t="s">
        <v>5</v>
      </c>
    </row>
    <row r="1070" spans="1:13">
      <c r="A1070" t="s">
        <v>851</v>
      </c>
      <c r="B1070" t="s">
        <v>686</v>
      </c>
      <c r="C1070" t="s">
        <v>686</v>
      </c>
      <c r="D1070" t="s">
        <v>23</v>
      </c>
      <c r="E1070" t="s">
        <v>573</v>
      </c>
      <c r="F1070" t="s">
        <v>40</v>
      </c>
      <c r="G1070">
        <v>2040</v>
      </c>
      <c r="H1070" s="12">
        <v>11464</v>
      </c>
      <c r="I1070" t="s">
        <v>3183</v>
      </c>
      <c r="J1070" t="s">
        <v>5</v>
      </c>
      <c r="K1070" t="s">
        <v>147</v>
      </c>
      <c r="L1070" t="s">
        <v>3184</v>
      </c>
      <c r="M1070" t="s">
        <v>5</v>
      </c>
    </row>
    <row r="1071" spans="1:13">
      <c r="A1071" t="s">
        <v>851</v>
      </c>
      <c r="B1071" t="s">
        <v>686</v>
      </c>
      <c r="C1071" t="s">
        <v>686</v>
      </c>
      <c r="D1071" t="s">
        <v>23</v>
      </c>
      <c r="E1071" t="s">
        <v>573</v>
      </c>
      <c r="F1071" t="s">
        <v>40</v>
      </c>
      <c r="G1071">
        <v>2045</v>
      </c>
      <c r="H1071" s="12">
        <v>9994</v>
      </c>
      <c r="I1071" t="s">
        <v>3183</v>
      </c>
      <c r="J1071" t="s">
        <v>5</v>
      </c>
      <c r="K1071" t="s">
        <v>147</v>
      </c>
      <c r="L1071" t="s">
        <v>3184</v>
      </c>
      <c r="M1071" t="s">
        <v>5</v>
      </c>
    </row>
    <row r="1072" spans="1:13">
      <c r="A1072" t="s">
        <v>851</v>
      </c>
      <c r="B1072" t="s">
        <v>686</v>
      </c>
      <c r="C1072" t="s">
        <v>686</v>
      </c>
      <c r="D1072" t="s">
        <v>23</v>
      </c>
      <c r="E1072" t="s">
        <v>573</v>
      </c>
      <c r="F1072" t="s">
        <v>40</v>
      </c>
      <c r="G1072">
        <v>2050</v>
      </c>
      <c r="H1072" s="12">
        <v>8742</v>
      </c>
      <c r="I1072" t="s">
        <v>3183</v>
      </c>
      <c r="J1072" t="s">
        <v>5</v>
      </c>
      <c r="K1072" t="s">
        <v>147</v>
      </c>
      <c r="L1072" t="s">
        <v>3184</v>
      </c>
      <c r="M1072" t="s">
        <v>5</v>
      </c>
    </row>
    <row r="1073" spans="1:13">
      <c r="A1073" t="s">
        <v>851</v>
      </c>
      <c r="B1073" t="s">
        <v>687</v>
      </c>
      <c r="C1073" t="s">
        <v>687</v>
      </c>
      <c r="D1073" t="s">
        <v>23</v>
      </c>
      <c r="E1073" t="s">
        <v>573</v>
      </c>
      <c r="F1073" t="s">
        <v>40</v>
      </c>
      <c r="G1073">
        <v>2030</v>
      </c>
      <c r="H1073" s="12">
        <v>14117</v>
      </c>
      <c r="I1073" t="s">
        <v>3183</v>
      </c>
      <c r="J1073" t="s">
        <v>5</v>
      </c>
      <c r="K1073" t="s">
        <v>147</v>
      </c>
      <c r="L1073" t="s">
        <v>3184</v>
      </c>
      <c r="M1073" t="s">
        <v>5</v>
      </c>
    </row>
    <row r="1074" spans="1:13">
      <c r="A1074" t="s">
        <v>851</v>
      </c>
      <c r="B1074" t="s">
        <v>687</v>
      </c>
      <c r="C1074" t="s">
        <v>687</v>
      </c>
      <c r="D1074" t="s">
        <v>23</v>
      </c>
      <c r="E1074" t="s">
        <v>573</v>
      </c>
      <c r="F1074" t="s">
        <v>40</v>
      </c>
      <c r="G1074">
        <v>2035</v>
      </c>
      <c r="H1074" s="12">
        <v>12334</v>
      </c>
      <c r="I1074" t="s">
        <v>3183</v>
      </c>
      <c r="J1074" t="s">
        <v>5</v>
      </c>
      <c r="K1074" t="s">
        <v>147</v>
      </c>
      <c r="L1074" t="s">
        <v>3184</v>
      </c>
      <c r="M1074" t="s">
        <v>5</v>
      </c>
    </row>
    <row r="1075" spans="1:13">
      <c r="A1075" t="s">
        <v>851</v>
      </c>
      <c r="B1075" t="s">
        <v>687</v>
      </c>
      <c r="C1075" t="s">
        <v>687</v>
      </c>
      <c r="D1075" t="s">
        <v>23</v>
      </c>
      <c r="E1075" t="s">
        <v>573</v>
      </c>
      <c r="F1075" t="s">
        <v>40</v>
      </c>
      <c r="G1075">
        <v>2040</v>
      </c>
      <c r="H1075" s="12">
        <v>6607</v>
      </c>
      <c r="I1075" t="s">
        <v>3183</v>
      </c>
      <c r="J1075" t="s">
        <v>5</v>
      </c>
      <c r="K1075" t="s">
        <v>147</v>
      </c>
      <c r="L1075" t="s">
        <v>3184</v>
      </c>
      <c r="M1075" t="s">
        <v>5</v>
      </c>
    </row>
    <row r="1076" spans="1:13">
      <c r="A1076" t="s">
        <v>851</v>
      </c>
      <c r="B1076" t="s">
        <v>687</v>
      </c>
      <c r="C1076" t="s">
        <v>687</v>
      </c>
      <c r="D1076" t="s">
        <v>23</v>
      </c>
      <c r="E1076" t="s">
        <v>573</v>
      </c>
      <c r="F1076" t="s">
        <v>40</v>
      </c>
      <c r="G1076">
        <v>2045</v>
      </c>
      <c r="H1076" s="12">
        <v>4150</v>
      </c>
      <c r="I1076" t="s">
        <v>3183</v>
      </c>
      <c r="J1076" t="s">
        <v>5</v>
      </c>
      <c r="K1076" t="s">
        <v>147</v>
      </c>
      <c r="L1076" t="s">
        <v>3184</v>
      </c>
      <c r="M1076" t="s">
        <v>5</v>
      </c>
    </row>
    <row r="1077" spans="1:13">
      <c r="A1077" t="s">
        <v>851</v>
      </c>
      <c r="B1077" t="s">
        <v>687</v>
      </c>
      <c r="C1077" t="s">
        <v>687</v>
      </c>
      <c r="D1077" t="s">
        <v>23</v>
      </c>
      <c r="E1077" t="s">
        <v>573</v>
      </c>
      <c r="F1077" t="s">
        <v>40</v>
      </c>
      <c r="G1077">
        <v>2050</v>
      </c>
      <c r="H1077" s="12">
        <v>2940</v>
      </c>
      <c r="I1077" t="s">
        <v>3183</v>
      </c>
      <c r="J1077" t="s">
        <v>5</v>
      </c>
      <c r="K1077" t="s">
        <v>147</v>
      </c>
      <c r="L1077" t="s">
        <v>3184</v>
      </c>
      <c r="M1077" t="s">
        <v>5</v>
      </c>
    </row>
    <row r="1078" spans="1:13">
      <c r="A1078" t="s">
        <v>851</v>
      </c>
      <c r="B1078" t="s">
        <v>686</v>
      </c>
      <c r="C1078" t="s">
        <v>686</v>
      </c>
      <c r="D1078" t="s">
        <v>23</v>
      </c>
      <c r="E1078" t="s">
        <v>660</v>
      </c>
      <c r="F1078" t="s">
        <v>40</v>
      </c>
      <c r="G1078">
        <v>2030</v>
      </c>
      <c r="H1078" s="12">
        <v>4170</v>
      </c>
      <c r="I1078" t="s">
        <v>3183</v>
      </c>
      <c r="J1078" t="s">
        <v>6</v>
      </c>
      <c r="K1078" t="s">
        <v>657</v>
      </c>
      <c r="L1078" t="s">
        <v>3184</v>
      </c>
      <c r="M1078" t="s">
        <v>659</v>
      </c>
    </row>
    <row r="1079" spans="1:13">
      <c r="A1079" t="s">
        <v>851</v>
      </c>
      <c r="B1079" t="s">
        <v>686</v>
      </c>
      <c r="C1079" t="s">
        <v>686</v>
      </c>
      <c r="D1079" t="s">
        <v>23</v>
      </c>
      <c r="E1079" t="s">
        <v>660</v>
      </c>
      <c r="F1079" t="s">
        <v>40</v>
      </c>
      <c r="G1079">
        <v>2035</v>
      </c>
      <c r="H1079" s="12">
        <v>5055</v>
      </c>
      <c r="I1079" t="s">
        <v>3183</v>
      </c>
      <c r="J1079" t="s">
        <v>6</v>
      </c>
      <c r="K1079" t="s">
        <v>657</v>
      </c>
      <c r="L1079" t="s">
        <v>3184</v>
      </c>
      <c r="M1079" t="s">
        <v>659</v>
      </c>
    </row>
    <row r="1080" spans="1:13">
      <c r="A1080" t="s">
        <v>851</v>
      </c>
      <c r="B1080" t="s">
        <v>686</v>
      </c>
      <c r="C1080" t="s">
        <v>686</v>
      </c>
      <c r="D1080" t="s">
        <v>23</v>
      </c>
      <c r="E1080" t="s">
        <v>660</v>
      </c>
      <c r="F1080" t="s">
        <v>40</v>
      </c>
      <c r="G1080">
        <v>2040</v>
      </c>
      <c r="H1080" s="12">
        <v>5720</v>
      </c>
      <c r="I1080" t="s">
        <v>3183</v>
      </c>
      <c r="J1080" t="s">
        <v>6</v>
      </c>
      <c r="K1080" t="s">
        <v>657</v>
      </c>
      <c r="L1080" t="s">
        <v>3184</v>
      </c>
      <c r="M1080" t="s">
        <v>659</v>
      </c>
    </row>
    <row r="1081" spans="1:13">
      <c r="A1081" t="s">
        <v>851</v>
      </c>
      <c r="B1081" t="s">
        <v>686</v>
      </c>
      <c r="C1081" t="s">
        <v>686</v>
      </c>
      <c r="D1081" t="s">
        <v>23</v>
      </c>
      <c r="E1081" t="s">
        <v>660</v>
      </c>
      <c r="F1081" t="s">
        <v>40</v>
      </c>
      <c r="G1081">
        <v>2045</v>
      </c>
      <c r="H1081" s="12">
        <v>6057</v>
      </c>
      <c r="I1081" t="s">
        <v>3183</v>
      </c>
      <c r="J1081" t="s">
        <v>6</v>
      </c>
      <c r="K1081" t="s">
        <v>657</v>
      </c>
      <c r="L1081" t="s">
        <v>3184</v>
      </c>
      <c r="M1081" t="s">
        <v>659</v>
      </c>
    </row>
    <row r="1082" spans="1:13">
      <c r="A1082" t="s">
        <v>851</v>
      </c>
      <c r="B1082" t="s">
        <v>686</v>
      </c>
      <c r="C1082" t="s">
        <v>686</v>
      </c>
      <c r="D1082" t="s">
        <v>23</v>
      </c>
      <c r="E1082" t="s">
        <v>660</v>
      </c>
      <c r="F1082" t="s">
        <v>40</v>
      </c>
      <c r="G1082">
        <v>2050</v>
      </c>
      <c r="H1082" s="12">
        <v>6140</v>
      </c>
      <c r="I1082" t="s">
        <v>3183</v>
      </c>
      <c r="J1082" t="s">
        <v>6</v>
      </c>
      <c r="K1082" t="s">
        <v>657</v>
      </c>
      <c r="L1082" t="s">
        <v>3184</v>
      </c>
      <c r="M1082" t="s">
        <v>659</v>
      </c>
    </row>
    <row r="1083" spans="1:13">
      <c r="A1083" t="s">
        <v>851</v>
      </c>
      <c r="B1083" t="s">
        <v>687</v>
      </c>
      <c r="C1083" t="s">
        <v>687</v>
      </c>
      <c r="D1083" t="s">
        <v>23</v>
      </c>
      <c r="E1083" t="s">
        <v>660</v>
      </c>
      <c r="F1083" t="s">
        <v>40</v>
      </c>
      <c r="G1083">
        <v>2030</v>
      </c>
      <c r="H1083" s="12">
        <v>3985</v>
      </c>
      <c r="I1083" t="s">
        <v>3183</v>
      </c>
      <c r="J1083" t="s">
        <v>6</v>
      </c>
      <c r="K1083" t="s">
        <v>657</v>
      </c>
      <c r="L1083" t="s">
        <v>3184</v>
      </c>
      <c r="M1083" t="s">
        <v>659</v>
      </c>
    </row>
    <row r="1084" spans="1:13">
      <c r="A1084" t="s">
        <v>851</v>
      </c>
      <c r="B1084" t="s">
        <v>686</v>
      </c>
      <c r="C1084" t="s">
        <v>686</v>
      </c>
      <c r="D1084" t="s">
        <v>23</v>
      </c>
      <c r="E1084" t="s">
        <v>573</v>
      </c>
      <c r="F1084" t="s">
        <v>40</v>
      </c>
      <c r="G1084">
        <v>2010</v>
      </c>
      <c r="H1084" s="12">
        <v>287</v>
      </c>
      <c r="I1084" t="s">
        <v>3183</v>
      </c>
      <c r="J1084" t="s">
        <v>15</v>
      </c>
      <c r="K1084" t="s">
        <v>147</v>
      </c>
      <c r="L1084" t="s">
        <v>3184</v>
      </c>
      <c r="M1084" t="s">
        <v>15</v>
      </c>
    </row>
    <row r="1085" spans="1:13">
      <c r="A1085" t="s">
        <v>851</v>
      </c>
      <c r="B1085" t="s">
        <v>686</v>
      </c>
      <c r="C1085" t="s">
        <v>686</v>
      </c>
      <c r="D1085" t="s">
        <v>23</v>
      </c>
      <c r="E1085" t="s">
        <v>573</v>
      </c>
      <c r="F1085" t="s">
        <v>40</v>
      </c>
      <c r="G1085">
        <v>2015</v>
      </c>
      <c r="H1085" s="12">
        <v>408</v>
      </c>
      <c r="I1085" t="s">
        <v>3183</v>
      </c>
      <c r="J1085" t="s">
        <v>15</v>
      </c>
      <c r="K1085" t="s">
        <v>147</v>
      </c>
      <c r="L1085" t="s">
        <v>3184</v>
      </c>
      <c r="M1085" t="s">
        <v>15</v>
      </c>
    </row>
    <row r="1086" spans="1:13">
      <c r="A1086" t="s">
        <v>851</v>
      </c>
      <c r="B1086" t="s">
        <v>686</v>
      </c>
      <c r="C1086" t="s">
        <v>686</v>
      </c>
      <c r="D1086" t="s">
        <v>23</v>
      </c>
      <c r="E1086" t="s">
        <v>573</v>
      </c>
      <c r="F1086" t="s">
        <v>40</v>
      </c>
      <c r="G1086">
        <v>2020</v>
      </c>
      <c r="H1086" s="12">
        <v>469</v>
      </c>
      <c r="I1086" t="s">
        <v>3183</v>
      </c>
      <c r="J1086" t="s">
        <v>15</v>
      </c>
      <c r="K1086" t="s">
        <v>147</v>
      </c>
      <c r="L1086" t="s">
        <v>3184</v>
      </c>
      <c r="M1086" t="s">
        <v>15</v>
      </c>
    </row>
    <row r="1087" spans="1:13">
      <c r="A1087" t="s">
        <v>851</v>
      </c>
      <c r="B1087" t="s">
        <v>686</v>
      </c>
      <c r="C1087" t="s">
        <v>686</v>
      </c>
      <c r="D1087" t="s">
        <v>23</v>
      </c>
      <c r="E1087" t="s">
        <v>573</v>
      </c>
      <c r="F1087" t="s">
        <v>40</v>
      </c>
      <c r="G1087">
        <v>2030</v>
      </c>
      <c r="H1087" s="12">
        <v>1392</v>
      </c>
      <c r="I1087" t="s">
        <v>3183</v>
      </c>
      <c r="J1087" t="s">
        <v>15</v>
      </c>
      <c r="K1087" t="s">
        <v>147</v>
      </c>
      <c r="L1087" t="s">
        <v>3184</v>
      </c>
      <c r="M1087" t="s">
        <v>15</v>
      </c>
    </row>
    <row r="1088" spans="1:13">
      <c r="A1088" t="s">
        <v>851</v>
      </c>
      <c r="B1088" t="s">
        <v>686</v>
      </c>
      <c r="C1088" t="s">
        <v>686</v>
      </c>
      <c r="D1088" t="s">
        <v>23</v>
      </c>
      <c r="E1088" t="s">
        <v>573</v>
      </c>
      <c r="F1088" t="s">
        <v>40</v>
      </c>
      <c r="G1088">
        <v>2035</v>
      </c>
      <c r="H1088" s="12">
        <v>2188</v>
      </c>
      <c r="I1088" t="s">
        <v>3183</v>
      </c>
      <c r="J1088" t="s">
        <v>15</v>
      </c>
      <c r="K1088" t="s">
        <v>147</v>
      </c>
      <c r="L1088" t="s">
        <v>3184</v>
      </c>
      <c r="M1088" t="s">
        <v>15</v>
      </c>
    </row>
    <row r="1089" spans="1:13">
      <c r="A1089" t="s">
        <v>851</v>
      </c>
      <c r="B1089" t="s">
        <v>686</v>
      </c>
      <c r="C1089" t="s">
        <v>686</v>
      </c>
      <c r="D1089" t="s">
        <v>23</v>
      </c>
      <c r="E1089" t="s">
        <v>573</v>
      </c>
      <c r="F1089" t="s">
        <v>40</v>
      </c>
      <c r="G1089">
        <v>2040</v>
      </c>
      <c r="H1089" s="12">
        <v>2830</v>
      </c>
      <c r="I1089" t="s">
        <v>3183</v>
      </c>
      <c r="J1089" t="s">
        <v>15</v>
      </c>
      <c r="K1089" t="s">
        <v>147</v>
      </c>
      <c r="L1089" t="s">
        <v>3184</v>
      </c>
      <c r="M1089" t="s">
        <v>15</v>
      </c>
    </row>
    <row r="1090" spans="1:13">
      <c r="A1090" t="s">
        <v>851</v>
      </c>
      <c r="B1090" t="s">
        <v>686</v>
      </c>
      <c r="C1090" t="s">
        <v>686</v>
      </c>
      <c r="D1090" t="s">
        <v>23</v>
      </c>
      <c r="E1090" t="s">
        <v>573</v>
      </c>
      <c r="F1090" t="s">
        <v>40</v>
      </c>
      <c r="G1090">
        <v>2045</v>
      </c>
      <c r="H1090" s="12">
        <v>3237</v>
      </c>
      <c r="I1090" t="s">
        <v>3183</v>
      </c>
      <c r="J1090" t="s">
        <v>15</v>
      </c>
      <c r="K1090" t="s">
        <v>147</v>
      </c>
      <c r="L1090" t="s">
        <v>3184</v>
      </c>
      <c r="M1090" t="s">
        <v>15</v>
      </c>
    </row>
    <row r="1091" spans="1:13">
      <c r="A1091" t="s">
        <v>851</v>
      </c>
      <c r="B1091" t="s">
        <v>686</v>
      </c>
      <c r="C1091" t="s">
        <v>686</v>
      </c>
      <c r="D1091" t="s">
        <v>23</v>
      </c>
      <c r="E1091" t="s">
        <v>573</v>
      </c>
      <c r="F1091" t="s">
        <v>40</v>
      </c>
      <c r="G1091">
        <v>2050</v>
      </c>
      <c r="H1091" s="12">
        <v>3672</v>
      </c>
      <c r="I1091" t="s">
        <v>3183</v>
      </c>
      <c r="J1091" t="s">
        <v>15</v>
      </c>
      <c r="K1091" t="s">
        <v>147</v>
      </c>
      <c r="L1091" t="s">
        <v>3184</v>
      </c>
      <c r="M1091" t="s">
        <v>15</v>
      </c>
    </row>
    <row r="1092" spans="1:13">
      <c r="A1092" t="s">
        <v>851</v>
      </c>
      <c r="B1092" t="s">
        <v>687</v>
      </c>
      <c r="C1092" t="s">
        <v>687</v>
      </c>
      <c r="D1092" t="s">
        <v>23</v>
      </c>
      <c r="E1092" t="s">
        <v>573</v>
      </c>
      <c r="F1092" t="s">
        <v>40</v>
      </c>
      <c r="G1092">
        <v>2030</v>
      </c>
      <c r="H1092" s="12">
        <v>1428</v>
      </c>
      <c r="I1092" t="s">
        <v>3183</v>
      </c>
      <c r="J1092" t="s">
        <v>15</v>
      </c>
      <c r="K1092" t="s">
        <v>147</v>
      </c>
      <c r="L1092" t="s">
        <v>3184</v>
      </c>
      <c r="M1092" t="s">
        <v>15</v>
      </c>
    </row>
    <row r="1093" spans="1:13">
      <c r="A1093" t="s">
        <v>851</v>
      </c>
      <c r="B1093" t="s">
        <v>687</v>
      </c>
      <c r="C1093" t="s">
        <v>687</v>
      </c>
      <c r="D1093" t="s">
        <v>23</v>
      </c>
      <c r="E1093" t="s">
        <v>573</v>
      </c>
      <c r="F1093" t="s">
        <v>40</v>
      </c>
      <c r="G1093">
        <v>2035</v>
      </c>
      <c r="H1093" s="12">
        <v>2282</v>
      </c>
      <c r="I1093" t="s">
        <v>3183</v>
      </c>
      <c r="J1093" t="s">
        <v>15</v>
      </c>
      <c r="K1093" t="s">
        <v>147</v>
      </c>
      <c r="L1093" t="s">
        <v>3184</v>
      </c>
      <c r="M1093" t="s">
        <v>15</v>
      </c>
    </row>
    <row r="1094" spans="1:13">
      <c r="A1094" t="s">
        <v>851</v>
      </c>
      <c r="B1094" t="s">
        <v>687</v>
      </c>
      <c r="C1094" t="s">
        <v>687</v>
      </c>
      <c r="D1094" t="s">
        <v>23</v>
      </c>
      <c r="E1094" t="s">
        <v>573</v>
      </c>
      <c r="F1094" t="s">
        <v>40</v>
      </c>
      <c r="G1094">
        <v>2040</v>
      </c>
      <c r="H1094" s="12">
        <v>3189</v>
      </c>
      <c r="I1094" t="s">
        <v>3183</v>
      </c>
      <c r="J1094" t="s">
        <v>15</v>
      </c>
      <c r="K1094" t="s">
        <v>147</v>
      </c>
      <c r="L1094" t="s">
        <v>3184</v>
      </c>
      <c r="M1094" t="s">
        <v>15</v>
      </c>
    </row>
    <row r="1095" spans="1:13">
      <c r="A1095" t="s">
        <v>851</v>
      </c>
      <c r="B1095" t="s">
        <v>687</v>
      </c>
      <c r="C1095" t="s">
        <v>687</v>
      </c>
      <c r="D1095" t="s">
        <v>23</v>
      </c>
      <c r="E1095" t="s">
        <v>573</v>
      </c>
      <c r="F1095" t="s">
        <v>40</v>
      </c>
      <c r="G1095">
        <v>2045</v>
      </c>
      <c r="H1095" s="12">
        <v>3692</v>
      </c>
      <c r="I1095" t="s">
        <v>3183</v>
      </c>
      <c r="J1095" t="s">
        <v>15</v>
      </c>
      <c r="K1095" t="s">
        <v>147</v>
      </c>
      <c r="L1095" t="s">
        <v>3184</v>
      </c>
      <c r="M1095" t="s">
        <v>15</v>
      </c>
    </row>
    <row r="1096" spans="1:13">
      <c r="A1096" t="s">
        <v>851</v>
      </c>
      <c r="B1096" t="s">
        <v>687</v>
      </c>
      <c r="C1096" t="s">
        <v>687</v>
      </c>
      <c r="D1096" t="s">
        <v>23</v>
      </c>
      <c r="E1096" t="s">
        <v>573</v>
      </c>
      <c r="F1096" t="s">
        <v>40</v>
      </c>
      <c r="G1096">
        <v>2050</v>
      </c>
      <c r="H1096" s="12">
        <v>3904</v>
      </c>
      <c r="I1096" t="s">
        <v>3183</v>
      </c>
      <c r="J1096" t="s">
        <v>15</v>
      </c>
      <c r="K1096" t="s">
        <v>147</v>
      </c>
      <c r="L1096" t="s">
        <v>3184</v>
      </c>
      <c r="M1096" t="s">
        <v>15</v>
      </c>
    </row>
    <row r="1097" spans="1:13">
      <c r="A1097" t="s">
        <v>851</v>
      </c>
      <c r="B1097" t="s">
        <v>686</v>
      </c>
      <c r="C1097" t="s">
        <v>686</v>
      </c>
      <c r="D1097" t="s">
        <v>23</v>
      </c>
      <c r="E1097" t="s">
        <v>573</v>
      </c>
      <c r="F1097" t="s">
        <v>40</v>
      </c>
      <c r="G1097">
        <v>2010</v>
      </c>
      <c r="H1097" s="12">
        <v>1041</v>
      </c>
      <c r="I1097" t="s">
        <v>3183</v>
      </c>
      <c r="J1097" t="s">
        <v>6</v>
      </c>
      <c r="K1097" t="s">
        <v>147</v>
      </c>
      <c r="L1097" t="s">
        <v>3184</v>
      </c>
      <c r="M1097" t="s">
        <v>659</v>
      </c>
    </row>
    <row r="1098" spans="1:13">
      <c r="A1098" t="s">
        <v>851</v>
      </c>
      <c r="B1098" t="s">
        <v>686</v>
      </c>
      <c r="C1098" t="s">
        <v>686</v>
      </c>
      <c r="D1098" t="s">
        <v>23</v>
      </c>
      <c r="E1098" t="s">
        <v>573</v>
      </c>
      <c r="F1098" t="s">
        <v>40</v>
      </c>
      <c r="G1098">
        <v>2015</v>
      </c>
      <c r="H1098" s="12">
        <v>581</v>
      </c>
      <c r="I1098" t="s">
        <v>3183</v>
      </c>
      <c r="J1098" t="s">
        <v>6</v>
      </c>
      <c r="K1098" t="s">
        <v>147</v>
      </c>
      <c r="L1098" t="s">
        <v>3184</v>
      </c>
      <c r="M1098" t="s">
        <v>659</v>
      </c>
    </row>
    <row r="1099" spans="1:13">
      <c r="A1099" t="s">
        <v>851</v>
      </c>
      <c r="B1099" t="s">
        <v>686</v>
      </c>
      <c r="C1099" t="s">
        <v>686</v>
      </c>
      <c r="D1099" t="s">
        <v>23</v>
      </c>
      <c r="E1099" t="s">
        <v>573</v>
      </c>
      <c r="F1099" t="s">
        <v>40</v>
      </c>
      <c r="G1099">
        <v>2020</v>
      </c>
      <c r="H1099" s="12">
        <v>582</v>
      </c>
      <c r="I1099" t="s">
        <v>3183</v>
      </c>
      <c r="J1099" t="s">
        <v>6</v>
      </c>
      <c r="K1099" t="s">
        <v>147</v>
      </c>
      <c r="L1099" t="s">
        <v>3184</v>
      </c>
      <c r="M1099" t="s">
        <v>659</v>
      </c>
    </row>
    <row r="1100" spans="1:13">
      <c r="A1100" t="s">
        <v>851</v>
      </c>
      <c r="B1100" t="s">
        <v>686</v>
      </c>
      <c r="C1100" t="s">
        <v>686</v>
      </c>
      <c r="D1100" t="s">
        <v>23</v>
      </c>
      <c r="E1100" t="s">
        <v>573</v>
      </c>
      <c r="F1100" t="s">
        <v>40</v>
      </c>
      <c r="G1100">
        <v>2030</v>
      </c>
      <c r="H1100" s="12">
        <v>967</v>
      </c>
      <c r="I1100" t="s">
        <v>3183</v>
      </c>
      <c r="J1100" t="s">
        <v>6</v>
      </c>
      <c r="K1100" t="s">
        <v>147</v>
      </c>
      <c r="L1100" t="s">
        <v>3184</v>
      </c>
      <c r="M1100" t="s">
        <v>659</v>
      </c>
    </row>
    <row r="1101" spans="1:13">
      <c r="A1101" t="s">
        <v>851</v>
      </c>
      <c r="B1101" t="s">
        <v>686</v>
      </c>
      <c r="C1101" t="s">
        <v>686</v>
      </c>
      <c r="D1101" t="s">
        <v>23</v>
      </c>
      <c r="E1101" t="s">
        <v>573</v>
      </c>
      <c r="F1101" t="s">
        <v>40</v>
      </c>
      <c r="G1101">
        <v>2035</v>
      </c>
      <c r="H1101" s="12">
        <v>1067</v>
      </c>
      <c r="I1101" t="s">
        <v>3183</v>
      </c>
      <c r="J1101" t="s">
        <v>6</v>
      </c>
      <c r="K1101" t="s">
        <v>147</v>
      </c>
      <c r="L1101" t="s">
        <v>3184</v>
      </c>
      <c r="M1101" t="s">
        <v>659</v>
      </c>
    </row>
    <row r="1102" spans="1:13">
      <c r="A1102" t="s">
        <v>851</v>
      </c>
      <c r="B1102" t="s">
        <v>686</v>
      </c>
      <c r="C1102" t="s">
        <v>686</v>
      </c>
      <c r="D1102" t="s">
        <v>23</v>
      </c>
      <c r="E1102" t="s">
        <v>573</v>
      </c>
      <c r="F1102" t="s">
        <v>40</v>
      </c>
      <c r="G1102">
        <v>2040</v>
      </c>
      <c r="H1102" s="12">
        <v>1153</v>
      </c>
      <c r="I1102" t="s">
        <v>3183</v>
      </c>
      <c r="J1102" t="s">
        <v>6</v>
      </c>
      <c r="K1102" t="s">
        <v>147</v>
      </c>
      <c r="L1102" t="s">
        <v>3184</v>
      </c>
      <c r="M1102" t="s">
        <v>659</v>
      </c>
    </row>
    <row r="1103" spans="1:13">
      <c r="A1103" t="s">
        <v>851</v>
      </c>
      <c r="B1103" t="s">
        <v>686</v>
      </c>
      <c r="C1103" t="s">
        <v>686</v>
      </c>
      <c r="D1103" t="s">
        <v>23</v>
      </c>
      <c r="E1103" t="s">
        <v>573</v>
      </c>
      <c r="F1103" t="s">
        <v>40</v>
      </c>
      <c r="G1103">
        <v>2045</v>
      </c>
      <c r="H1103" s="12">
        <v>1125</v>
      </c>
      <c r="I1103" t="s">
        <v>3183</v>
      </c>
      <c r="J1103" t="s">
        <v>6</v>
      </c>
      <c r="K1103" t="s">
        <v>147</v>
      </c>
      <c r="L1103" t="s">
        <v>3184</v>
      </c>
      <c r="M1103" t="s">
        <v>659</v>
      </c>
    </row>
    <row r="1104" spans="1:13">
      <c r="A1104" t="s">
        <v>851</v>
      </c>
      <c r="B1104" t="s">
        <v>686</v>
      </c>
      <c r="C1104" t="s">
        <v>686</v>
      </c>
      <c r="D1104" t="s">
        <v>23</v>
      </c>
      <c r="E1104" t="s">
        <v>573</v>
      </c>
      <c r="F1104" t="s">
        <v>40</v>
      </c>
      <c r="G1104">
        <v>2050</v>
      </c>
      <c r="H1104" s="12">
        <v>1055</v>
      </c>
      <c r="I1104" t="s">
        <v>3183</v>
      </c>
      <c r="J1104" t="s">
        <v>6</v>
      </c>
      <c r="K1104" t="s">
        <v>147</v>
      </c>
      <c r="L1104" t="s">
        <v>3184</v>
      </c>
      <c r="M1104" t="s">
        <v>659</v>
      </c>
    </row>
    <row r="1105" spans="1:13">
      <c r="A1105" t="s">
        <v>851</v>
      </c>
      <c r="B1105" t="s">
        <v>687</v>
      </c>
      <c r="C1105" t="s">
        <v>687</v>
      </c>
      <c r="D1105" t="s">
        <v>23</v>
      </c>
      <c r="E1105" t="s">
        <v>573</v>
      </c>
      <c r="F1105" t="s">
        <v>40</v>
      </c>
      <c r="G1105">
        <v>2030</v>
      </c>
      <c r="H1105" s="12">
        <v>906</v>
      </c>
      <c r="I1105" t="s">
        <v>3183</v>
      </c>
      <c r="J1105" t="s">
        <v>6</v>
      </c>
      <c r="K1105" t="s">
        <v>147</v>
      </c>
      <c r="L1105" t="s">
        <v>3184</v>
      </c>
      <c r="M1105" t="s">
        <v>659</v>
      </c>
    </row>
    <row r="1106" spans="1:13">
      <c r="A1106" t="s">
        <v>851</v>
      </c>
      <c r="B1106" t="s">
        <v>687</v>
      </c>
      <c r="C1106" t="s">
        <v>687</v>
      </c>
      <c r="D1106" t="s">
        <v>23</v>
      </c>
      <c r="E1106" t="s">
        <v>573</v>
      </c>
      <c r="F1106" t="s">
        <v>40</v>
      </c>
      <c r="G1106">
        <v>2035</v>
      </c>
      <c r="H1106" s="12">
        <v>976</v>
      </c>
      <c r="I1106" t="s">
        <v>3183</v>
      </c>
      <c r="J1106" t="s">
        <v>6</v>
      </c>
      <c r="K1106" t="s">
        <v>147</v>
      </c>
      <c r="L1106" t="s">
        <v>3184</v>
      </c>
      <c r="M1106" t="s">
        <v>659</v>
      </c>
    </row>
    <row r="1107" spans="1:13">
      <c r="A1107" t="s">
        <v>851</v>
      </c>
      <c r="B1107" t="s">
        <v>687</v>
      </c>
      <c r="C1107" t="s">
        <v>687</v>
      </c>
      <c r="D1107" t="s">
        <v>23</v>
      </c>
      <c r="E1107" t="s">
        <v>573</v>
      </c>
      <c r="F1107" t="s">
        <v>40</v>
      </c>
      <c r="G1107">
        <v>2040</v>
      </c>
      <c r="H1107" s="12">
        <v>897</v>
      </c>
      <c r="I1107" t="s">
        <v>3183</v>
      </c>
      <c r="J1107" t="s">
        <v>6</v>
      </c>
      <c r="K1107" t="s">
        <v>147</v>
      </c>
      <c r="L1107" t="s">
        <v>3184</v>
      </c>
      <c r="M1107" t="s">
        <v>659</v>
      </c>
    </row>
    <row r="1108" spans="1:13">
      <c r="A1108" t="s">
        <v>851</v>
      </c>
      <c r="B1108" t="s">
        <v>687</v>
      </c>
      <c r="C1108" t="s">
        <v>687</v>
      </c>
      <c r="D1108" t="s">
        <v>23</v>
      </c>
      <c r="E1108" t="s">
        <v>573</v>
      </c>
      <c r="F1108" t="s">
        <v>40</v>
      </c>
      <c r="G1108">
        <v>2045</v>
      </c>
      <c r="H1108" s="12">
        <v>721</v>
      </c>
      <c r="I1108" t="s">
        <v>3183</v>
      </c>
      <c r="J1108" t="s">
        <v>6</v>
      </c>
      <c r="K1108" t="s">
        <v>147</v>
      </c>
      <c r="L1108" t="s">
        <v>3184</v>
      </c>
      <c r="M1108" t="s">
        <v>659</v>
      </c>
    </row>
    <row r="1109" spans="1:13">
      <c r="A1109" t="s">
        <v>851</v>
      </c>
      <c r="B1109" t="s">
        <v>687</v>
      </c>
      <c r="C1109" t="s">
        <v>687</v>
      </c>
      <c r="D1109" t="s">
        <v>23</v>
      </c>
      <c r="E1109" t="s">
        <v>573</v>
      </c>
      <c r="F1109" t="s">
        <v>40</v>
      </c>
      <c r="G1109">
        <v>2050</v>
      </c>
      <c r="H1109" s="12">
        <v>483</v>
      </c>
      <c r="I1109" t="s">
        <v>3183</v>
      </c>
      <c r="J1109" t="s">
        <v>6</v>
      </c>
      <c r="K1109" t="s">
        <v>147</v>
      </c>
      <c r="L1109" t="s">
        <v>3184</v>
      </c>
      <c r="M1109" t="s">
        <v>659</v>
      </c>
    </row>
    <row r="1110" spans="1:13">
      <c r="A1110" t="s">
        <v>851</v>
      </c>
      <c r="B1110" t="s">
        <v>686</v>
      </c>
      <c r="C1110" t="s">
        <v>686</v>
      </c>
      <c r="D1110" t="s">
        <v>23</v>
      </c>
      <c r="E1110" t="s">
        <v>573</v>
      </c>
      <c r="F1110" t="s">
        <v>40</v>
      </c>
      <c r="G1110">
        <v>2010</v>
      </c>
      <c r="H1110" s="12">
        <v>303</v>
      </c>
      <c r="I1110" t="s">
        <v>3183</v>
      </c>
      <c r="J1110" t="s">
        <v>394</v>
      </c>
      <c r="K1110" t="s">
        <v>147</v>
      </c>
      <c r="L1110" t="s">
        <v>3184</v>
      </c>
      <c r="M1110" t="s">
        <v>16</v>
      </c>
    </row>
    <row r="1111" spans="1:13">
      <c r="A1111" t="s">
        <v>851</v>
      </c>
      <c r="B1111" t="s">
        <v>686</v>
      </c>
      <c r="C1111" t="s">
        <v>686</v>
      </c>
      <c r="D1111" t="s">
        <v>23</v>
      </c>
      <c r="E1111" t="s">
        <v>573</v>
      </c>
      <c r="F1111" t="s">
        <v>40</v>
      </c>
      <c r="G1111">
        <v>2015</v>
      </c>
      <c r="H1111" s="12">
        <v>226</v>
      </c>
      <c r="I1111" t="s">
        <v>3183</v>
      </c>
      <c r="J1111" t="s">
        <v>394</v>
      </c>
      <c r="K1111" t="s">
        <v>147</v>
      </c>
      <c r="L1111" t="s">
        <v>3184</v>
      </c>
      <c r="M1111" t="s">
        <v>16</v>
      </c>
    </row>
    <row r="1112" spans="1:13">
      <c r="A1112" t="s">
        <v>851</v>
      </c>
      <c r="B1112" t="s">
        <v>686</v>
      </c>
      <c r="C1112" t="s">
        <v>686</v>
      </c>
      <c r="D1112" t="s">
        <v>23</v>
      </c>
      <c r="E1112" t="s">
        <v>573</v>
      </c>
      <c r="F1112" t="s">
        <v>40</v>
      </c>
      <c r="G1112">
        <v>2020</v>
      </c>
      <c r="H1112" s="12">
        <v>68</v>
      </c>
      <c r="I1112" t="s">
        <v>3183</v>
      </c>
      <c r="J1112" t="s">
        <v>394</v>
      </c>
      <c r="K1112" t="s">
        <v>147</v>
      </c>
      <c r="L1112" t="s">
        <v>3184</v>
      </c>
      <c r="M1112" t="s">
        <v>16</v>
      </c>
    </row>
    <row r="1113" spans="1:13">
      <c r="A1113" t="s">
        <v>851</v>
      </c>
      <c r="B1113" t="s">
        <v>686</v>
      </c>
      <c r="C1113" t="s">
        <v>686</v>
      </c>
      <c r="D1113" t="s">
        <v>23</v>
      </c>
      <c r="E1113" t="s">
        <v>573</v>
      </c>
      <c r="F1113" t="s">
        <v>40</v>
      </c>
      <c r="G1113">
        <v>2030</v>
      </c>
      <c r="H1113" s="12">
        <v>118</v>
      </c>
      <c r="I1113" t="s">
        <v>3183</v>
      </c>
      <c r="J1113" t="s">
        <v>394</v>
      </c>
      <c r="K1113" t="s">
        <v>147</v>
      </c>
      <c r="L1113" t="s">
        <v>3184</v>
      </c>
      <c r="M1113" t="s">
        <v>16</v>
      </c>
    </row>
    <row r="1114" spans="1:13">
      <c r="A1114" t="s">
        <v>851</v>
      </c>
      <c r="B1114" t="s">
        <v>686</v>
      </c>
      <c r="C1114" t="s">
        <v>686</v>
      </c>
      <c r="D1114" t="s">
        <v>23</v>
      </c>
      <c r="E1114" t="s">
        <v>573</v>
      </c>
      <c r="F1114" t="s">
        <v>40</v>
      </c>
      <c r="G1114">
        <v>2035</v>
      </c>
      <c r="H1114" s="12">
        <v>105</v>
      </c>
      <c r="I1114" t="s">
        <v>3183</v>
      </c>
      <c r="J1114" t="s">
        <v>394</v>
      </c>
      <c r="K1114" t="s">
        <v>147</v>
      </c>
      <c r="L1114" t="s">
        <v>3184</v>
      </c>
      <c r="M1114" t="s">
        <v>16</v>
      </c>
    </row>
    <row r="1115" spans="1:13">
      <c r="A1115" t="s">
        <v>851</v>
      </c>
      <c r="B1115" t="s">
        <v>686</v>
      </c>
      <c r="C1115" t="s">
        <v>686</v>
      </c>
      <c r="D1115" t="s">
        <v>23</v>
      </c>
      <c r="E1115" t="s">
        <v>573</v>
      </c>
      <c r="F1115" t="s">
        <v>40</v>
      </c>
      <c r="G1115">
        <v>2040</v>
      </c>
      <c r="H1115" s="12">
        <v>92</v>
      </c>
      <c r="I1115" t="s">
        <v>3183</v>
      </c>
      <c r="J1115" t="s">
        <v>394</v>
      </c>
      <c r="K1115" t="s">
        <v>147</v>
      </c>
      <c r="L1115" t="s">
        <v>3184</v>
      </c>
      <c r="M1115" t="s">
        <v>16</v>
      </c>
    </row>
    <row r="1116" spans="1:13">
      <c r="A1116" t="s">
        <v>851</v>
      </c>
      <c r="B1116" t="s">
        <v>686</v>
      </c>
      <c r="C1116" t="s">
        <v>686</v>
      </c>
      <c r="D1116" t="s">
        <v>23</v>
      </c>
      <c r="E1116" t="s">
        <v>573</v>
      </c>
      <c r="F1116" t="s">
        <v>40</v>
      </c>
      <c r="G1116">
        <v>2045</v>
      </c>
      <c r="H1116" s="12">
        <v>58</v>
      </c>
      <c r="I1116" t="s">
        <v>3183</v>
      </c>
      <c r="J1116" t="s">
        <v>394</v>
      </c>
      <c r="K1116" t="s">
        <v>147</v>
      </c>
      <c r="L1116" t="s">
        <v>3184</v>
      </c>
      <c r="M1116" t="s">
        <v>16</v>
      </c>
    </row>
    <row r="1117" spans="1:13">
      <c r="A1117" t="s">
        <v>851</v>
      </c>
      <c r="B1117" t="s">
        <v>686</v>
      </c>
      <c r="C1117" t="s">
        <v>686</v>
      </c>
      <c r="D1117" t="s">
        <v>23</v>
      </c>
      <c r="E1117" t="s">
        <v>573</v>
      </c>
      <c r="F1117" t="s">
        <v>40</v>
      </c>
      <c r="G1117">
        <v>2050</v>
      </c>
      <c r="H1117" s="12">
        <v>44</v>
      </c>
      <c r="I1117" t="s">
        <v>3183</v>
      </c>
      <c r="J1117" t="s">
        <v>394</v>
      </c>
      <c r="K1117" t="s">
        <v>147</v>
      </c>
      <c r="L1117" t="s">
        <v>3184</v>
      </c>
      <c r="M1117" t="s">
        <v>16</v>
      </c>
    </row>
    <row r="1118" spans="1:13">
      <c r="A1118" t="s">
        <v>851</v>
      </c>
      <c r="B1118" t="s">
        <v>687</v>
      </c>
      <c r="C1118" t="s">
        <v>687</v>
      </c>
      <c r="D1118" t="s">
        <v>23</v>
      </c>
      <c r="E1118" t="s">
        <v>573</v>
      </c>
      <c r="F1118" t="s">
        <v>40</v>
      </c>
      <c r="G1118">
        <v>2030</v>
      </c>
      <c r="H1118" s="12">
        <v>65</v>
      </c>
      <c r="I1118" t="s">
        <v>3183</v>
      </c>
      <c r="J1118" t="s">
        <v>394</v>
      </c>
      <c r="K1118" t="s">
        <v>147</v>
      </c>
      <c r="L1118" t="s">
        <v>3184</v>
      </c>
      <c r="M1118" t="s">
        <v>16</v>
      </c>
    </row>
    <row r="1119" spans="1:13">
      <c r="A1119" t="s">
        <v>851</v>
      </c>
      <c r="B1119" t="s">
        <v>687</v>
      </c>
      <c r="C1119" t="s">
        <v>687</v>
      </c>
      <c r="D1119" t="s">
        <v>23</v>
      </c>
      <c r="E1119" t="s">
        <v>573</v>
      </c>
      <c r="F1119" t="s">
        <v>40</v>
      </c>
      <c r="G1119">
        <v>2035</v>
      </c>
      <c r="H1119" s="12">
        <v>57</v>
      </c>
      <c r="I1119" t="s">
        <v>3183</v>
      </c>
      <c r="J1119" t="s">
        <v>394</v>
      </c>
      <c r="K1119" t="s">
        <v>147</v>
      </c>
      <c r="L1119" t="s">
        <v>3184</v>
      </c>
      <c r="M1119" t="s">
        <v>16</v>
      </c>
    </row>
    <row r="1120" spans="1:13">
      <c r="A1120" t="s">
        <v>851</v>
      </c>
      <c r="B1120" t="s">
        <v>687</v>
      </c>
      <c r="C1120" t="s">
        <v>687</v>
      </c>
      <c r="D1120" t="s">
        <v>23</v>
      </c>
      <c r="E1120" t="s">
        <v>573</v>
      </c>
      <c r="F1120" t="s">
        <v>40</v>
      </c>
      <c r="G1120">
        <v>2040</v>
      </c>
      <c r="H1120" s="12">
        <v>49</v>
      </c>
      <c r="I1120" t="s">
        <v>3183</v>
      </c>
      <c r="J1120" t="s">
        <v>394</v>
      </c>
      <c r="K1120" t="s">
        <v>147</v>
      </c>
      <c r="L1120" t="s">
        <v>3184</v>
      </c>
      <c r="M1120" t="s">
        <v>16</v>
      </c>
    </row>
    <row r="1121" spans="1:13">
      <c r="A1121" t="s">
        <v>851</v>
      </c>
      <c r="B1121" t="s">
        <v>687</v>
      </c>
      <c r="C1121" t="s">
        <v>687</v>
      </c>
      <c r="D1121" t="s">
        <v>23</v>
      </c>
      <c r="E1121" t="s">
        <v>573</v>
      </c>
      <c r="F1121" t="s">
        <v>40</v>
      </c>
      <c r="G1121">
        <v>2045</v>
      </c>
      <c r="H1121" s="12">
        <v>0</v>
      </c>
      <c r="I1121" t="s">
        <v>3183</v>
      </c>
      <c r="J1121" t="s">
        <v>394</v>
      </c>
      <c r="K1121" t="s">
        <v>147</v>
      </c>
      <c r="L1121" t="s">
        <v>3184</v>
      </c>
      <c r="M1121" t="s">
        <v>16</v>
      </c>
    </row>
    <row r="1122" spans="1:13">
      <c r="A1122" t="s">
        <v>851</v>
      </c>
      <c r="B1122" t="s">
        <v>687</v>
      </c>
      <c r="C1122" t="s">
        <v>687</v>
      </c>
      <c r="D1122" t="s">
        <v>23</v>
      </c>
      <c r="E1122" t="s">
        <v>573</v>
      </c>
      <c r="F1122" t="s">
        <v>40</v>
      </c>
      <c r="G1122">
        <v>2050</v>
      </c>
      <c r="H1122" s="12">
        <v>0</v>
      </c>
      <c r="I1122" t="s">
        <v>3183</v>
      </c>
      <c r="J1122" t="s">
        <v>394</v>
      </c>
      <c r="K1122" t="s">
        <v>147</v>
      </c>
      <c r="L1122" t="s">
        <v>3184</v>
      </c>
      <c r="M1122" t="s">
        <v>16</v>
      </c>
    </row>
    <row r="1123" spans="1:13">
      <c r="A1123" t="s">
        <v>851</v>
      </c>
      <c r="B1123" t="s">
        <v>686</v>
      </c>
      <c r="C1123" t="s">
        <v>686</v>
      </c>
      <c r="D1123" t="s">
        <v>23</v>
      </c>
      <c r="E1123" t="s">
        <v>573</v>
      </c>
      <c r="F1123" t="s">
        <v>40</v>
      </c>
      <c r="G1123">
        <v>2010</v>
      </c>
      <c r="H1123" s="12">
        <v>7422</v>
      </c>
      <c r="I1123" t="s">
        <v>3183</v>
      </c>
      <c r="J1123" t="s">
        <v>5</v>
      </c>
      <c r="K1123" t="s">
        <v>147</v>
      </c>
      <c r="L1123" t="s">
        <v>3184</v>
      </c>
      <c r="M1123" t="s">
        <v>5</v>
      </c>
    </row>
    <row r="1124" spans="1:13">
      <c r="A1124" t="s">
        <v>851</v>
      </c>
      <c r="B1124" t="s">
        <v>686</v>
      </c>
      <c r="C1124" t="s">
        <v>686</v>
      </c>
      <c r="D1124" t="s">
        <v>23</v>
      </c>
      <c r="E1124" t="s">
        <v>573</v>
      </c>
      <c r="F1124" t="s">
        <v>40</v>
      </c>
      <c r="G1124">
        <v>2015</v>
      </c>
      <c r="H1124" s="12">
        <v>10587</v>
      </c>
      <c r="I1124" t="s">
        <v>3183</v>
      </c>
      <c r="J1124" t="s">
        <v>5</v>
      </c>
      <c r="K1124" t="s">
        <v>147</v>
      </c>
      <c r="L1124" t="s">
        <v>3184</v>
      </c>
      <c r="M1124" t="s">
        <v>5</v>
      </c>
    </row>
    <row r="1125" spans="1:13">
      <c r="A1125" t="s">
        <v>851</v>
      </c>
      <c r="B1125" t="s">
        <v>686</v>
      </c>
      <c r="C1125" t="s">
        <v>686</v>
      </c>
      <c r="D1125" t="s">
        <v>23</v>
      </c>
      <c r="E1125" t="s">
        <v>573</v>
      </c>
      <c r="F1125" t="s">
        <v>40</v>
      </c>
      <c r="G1125">
        <v>2020</v>
      </c>
      <c r="H1125" s="12">
        <v>10724</v>
      </c>
      <c r="I1125" t="s">
        <v>3183</v>
      </c>
      <c r="J1125" t="s">
        <v>5</v>
      </c>
      <c r="K1125" t="s">
        <v>147</v>
      </c>
      <c r="L1125" t="s">
        <v>3184</v>
      </c>
      <c r="M1125" t="s">
        <v>5</v>
      </c>
    </row>
    <row r="1126" spans="1:13">
      <c r="A1126" t="s">
        <v>851</v>
      </c>
      <c r="B1126" t="s">
        <v>686</v>
      </c>
      <c r="C1126" t="s">
        <v>686</v>
      </c>
      <c r="D1126" t="s">
        <v>23</v>
      </c>
      <c r="E1126" t="s">
        <v>573</v>
      </c>
      <c r="F1126" t="s">
        <v>40</v>
      </c>
      <c r="G1126">
        <v>2030</v>
      </c>
      <c r="H1126" s="12">
        <v>14571</v>
      </c>
      <c r="I1126" t="s">
        <v>3183</v>
      </c>
      <c r="J1126" t="s">
        <v>5</v>
      </c>
      <c r="K1126" t="s">
        <v>147</v>
      </c>
      <c r="L1126" t="s">
        <v>3184</v>
      </c>
      <c r="M1126" t="s">
        <v>5</v>
      </c>
    </row>
    <row r="1127" spans="1:13">
      <c r="A1127" t="s">
        <v>851</v>
      </c>
      <c r="B1127" t="s">
        <v>687</v>
      </c>
      <c r="C1127" t="s">
        <v>687</v>
      </c>
      <c r="D1127" t="s">
        <v>23</v>
      </c>
      <c r="E1127" t="s">
        <v>660</v>
      </c>
      <c r="F1127" t="s">
        <v>40</v>
      </c>
      <c r="G1127">
        <v>2045</v>
      </c>
      <c r="H1127" s="12">
        <v>4843</v>
      </c>
      <c r="I1127" t="s">
        <v>3183</v>
      </c>
      <c r="J1127" t="s">
        <v>18</v>
      </c>
      <c r="K1127" t="s">
        <v>657</v>
      </c>
      <c r="L1127" t="s">
        <v>3184</v>
      </c>
      <c r="M1127" t="s">
        <v>18</v>
      </c>
    </row>
    <row r="1128" spans="1:13">
      <c r="A1128" t="s">
        <v>851</v>
      </c>
      <c r="B1128" t="s">
        <v>687</v>
      </c>
      <c r="C1128" t="s">
        <v>687</v>
      </c>
      <c r="D1128" t="s">
        <v>23</v>
      </c>
      <c r="E1128" t="s">
        <v>660</v>
      </c>
      <c r="F1128" t="s">
        <v>40</v>
      </c>
      <c r="G1128">
        <v>2050</v>
      </c>
      <c r="H1128" s="12">
        <v>5580</v>
      </c>
      <c r="I1128" t="s">
        <v>3183</v>
      </c>
      <c r="J1128" t="s">
        <v>18</v>
      </c>
      <c r="K1128" t="s">
        <v>657</v>
      </c>
      <c r="L1128" t="s">
        <v>3184</v>
      </c>
      <c r="M1128" t="s">
        <v>18</v>
      </c>
    </row>
    <row r="1129" spans="1:13">
      <c r="A1129" t="s">
        <v>851</v>
      </c>
      <c r="B1129" t="s">
        <v>686</v>
      </c>
      <c r="C1129" t="s">
        <v>686</v>
      </c>
      <c r="D1129" t="s">
        <v>23</v>
      </c>
      <c r="E1129" t="s">
        <v>660</v>
      </c>
      <c r="F1129" t="s">
        <v>40</v>
      </c>
      <c r="G1129">
        <v>2010</v>
      </c>
      <c r="H1129" s="12">
        <v>450</v>
      </c>
      <c r="I1129" t="s">
        <v>3183</v>
      </c>
      <c r="J1129" t="s">
        <v>14</v>
      </c>
      <c r="K1129" t="s">
        <v>657</v>
      </c>
      <c r="L1129" t="s">
        <v>3184</v>
      </c>
      <c r="M1129" t="s">
        <v>14</v>
      </c>
    </row>
    <row r="1130" spans="1:13">
      <c r="A1130" t="s">
        <v>851</v>
      </c>
      <c r="B1130" t="s">
        <v>686</v>
      </c>
      <c r="C1130" t="s">
        <v>686</v>
      </c>
      <c r="D1130" t="s">
        <v>23</v>
      </c>
      <c r="E1130" t="s">
        <v>660</v>
      </c>
      <c r="F1130" t="s">
        <v>40</v>
      </c>
      <c r="G1130">
        <v>2015</v>
      </c>
      <c r="H1130" s="12">
        <v>491</v>
      </c>
      <c r="I1130" t="s">
        <v>3183</v>
      </c>
      <c r="J1130" t="s">
        <v>14</v>
      </c>
      <c r="K1130" t="s">
        <v>657</v>
      </c>
      <c r="L1130" t="s">
        <v>3184</v>
      </c>
      <c r="M1130" t="s">
        <v>14</v>
      </c>
    </row>
    <row r="1131" spans="1:13">
      <c r="A1131" t="s">
        <v>851</v>
      </c>
      <c r="B1131" t="s">
        <v>686</v>
      </c>
      <c r="C1131" t="s">
        <v>686</v>
      </c>
      <c r="D1131" t="s">
        <v>23</v>
      </c>
      <c r="E1131" t="s">
        <v>660</v>
      </c>
      <c r="F1131" t="s">
        <v>40</v>
      </c>
      <c r="G1131">
        <v>2020</v>
      </c>
      <c r="H1131" s="12">
        <v>579</v>
      </c>
      <c r="I1131" t="s">
        <v>3183</v>
      </c>
      <c r="J1131" t="s">
        <v>14</v>
      </c>
      <c r="K1131" t="s">
        <v>657</v>
      </c>
      <c r="L1131" t="s">
        <v>3184</v>
      </c>
      <c r="M1131" t="s">
        <v>14</v>
      </c>
    </row>
    <row r="1132" spans="1:13">
      <c r="A1132" t="s">
        <v>851</v>
      </c>
      <c r="B1132" t="s">
        <v>686</v>
      </c>
      <c r="C1132" t="s">
        <v>686</v>
      </c>
      <c r="D1132" t="s">
        <v>23</v>
      </c>
      <c r="E1132" t="s">
        <v>660</v>
      </c>
      <c r="F1132" t="s">
        <v>40</v>
      </c>
      <c r="G1132">
        <v>2030</v>
      </c>
      <c r="H1132" s="12">
        <v>860</v>
      </c>
      <c r="I1132" t="s">
        <v>3183</v>
      </c>
      <c r="J1132" t="s">
        <v>14</v>
      </c>
      <c r="K1132" t="s">
        <v>657</v>
      </c>
      <c r="L1132" t="s">
        <v>3184</v>
      </c>
      <c r="M1132" t="s">
        <v>14</v>
      </c>
    </row>
    <row r="1133" spans="1:13">
      <c r="A1133" t="s">
        <v>851</v>
      </c>
      <c r="B1133" t="s">
        <v>686</v>
      </c>
      <c r="C1133" t="s">
        <v>686</v>
      </c>
      <c r="D1133" t="s">
        <v>23</v>
      </c>
      <c r="E1133" t="s">
        <v>660</v>
      </c>
      <c r="F1133" t="s">
        <v>40</v>
      </c>
      <c r="G1133">
        <v>2035</v>
      </c>
      <c r="H1133" s="12">
        <v>1022</v>
      </c>
      <c r="I1133" t="s">
        <v>3183</v>
      </c>
      <c r="J1133" t="s">
        <v>14</v>
      </c>
      <c r="K1133" t="s">
        <v>657</v>
      </c>
      <c r="L1133" t="s">
        <v>3184</v>
      </c>
      <c r="M1133" t="s">
        <v>14</v>
      </c>
    </row>
    <row r="1134" spans="1:13">
      <c r="A1134" t="s">
        <v>851</v>
      </c>
      <c r="B1134" t="s">
        <v>686</v>
      </c>
      <c r="C1134" t="s">
        <v>686</v>
      </c>
      <c r="D1134" t="s">
        <v>23</v>
      </c>
      <c r="E1134" t="s">
        <v>660</v>
      </c>
      <c r="F1134" t="s">
        <v>40</v>
      </c>
      <c r="G1134">
        <v>2040</v>
      </c>
      <c r="H1134" s="12">
        <v>1161</v>
      </c>
      <c r="I1134" t="s">
        <v>3183</v>
      </c>
      <c r="J1134" t="s">
        <v>14</v>
      </c>
      <c r="K1134" t="s">
        <v>657</v>
      </c>
      <c r="L1134" t="s">
        <v>3184</v>
      </c>
      <c r="M1134" t="s">
        <v>14</v>
      </c>
    </row>
    <row r="1135" spans="1:13">
      <c r="A1135" t="s">
        <v>851</v>
      </c>
      <c r="B1135" t="s">
        <v>686</v>
      </c>
      <c r="C1135" t="s">
        <v>686</v>
      </c>
      <c r="D1135" t="s">
        <v>23</v>
      </c>
      <c r="E1135" t="s">
        <v>660</v>
      </c>
      <c r="F1135" t="s">
        <v>40</v>
      </c>
      <c r="G1135">
        <v>2045</v>
      </c>
      <c r="H1135" s="12">
        <v>1295</v>
      </c>
      <c r="I1135" t="s">
        <v>3183</v>
      </c>
      <c r="J1135" t="s">
        <v>14</v>
      </c>
      <c r="K1135" t="s">
        <v>657</v>
      </c>
      <c r="L1135" t="s">
        <v>3184</v>
      </c>
      <c r="M1135" t="s">
        <v>14</v>
      </c>
    </row>
    <row r="1136" spans="1:13">
      <c r="A1136" t="s">
        <v>851</v>
      </c>
      <c r="B1136" t="s">
        <v>686</v>
      </c>
      <c r="C1136" t="s">
        <v>686</v>
      </c>
      <c r="D1136" t="s">
        <v>23</v>
      </c>
      <c r="E1136" t="s">
        <v>660</v>
      </c>
      <c r="F1136" t="s">
        <v>40</v>
      </c>
      <c r="G1136">
        <v>2050</v>
      </c>
      <c r="H1136" s="12">
        <v>1434</v>
      </c>
      <c r="I1136" t="s">
        <v>3183</v>
      </c>
      <c r="J1136" t="s">
        <v>14</v>
      </c>
      <c r="K1136" t="s">
        <v>657</v>
      </c>
      <c r="L1136" t="s">
        <v>3184</v>
      </c>
      <c r="M1136" t="s">
        <v>14</v>
      </c>
    </row>
    <row r="1137" spans="1:13">
      <c r="A1137" t="s">
        <v>851</v>
      </c>
      <c r="B1137" t="s">
        <v>687</v>
      </c>
      <c r="C1137" t="s">
        <v>687</v>
      </c>
      <c r="D1137" t="s">
        <v>23</v>
      </c>
      <c r="E1137" t="s">
        <v>660</v>
      </c>
      <c r="F1137" t="s">
        <v>40</v>
      </c>
      <c r="G1137">
        <v>2030</v>
      </c>
      <c r="H1137" s="12">
        <v>860</v>
      </c>
      <c r="I1137" t="s">
        <v>3183</v>
      </c>
      <c r="J1137" t="s">
        <v>14</v>
      </c>
      <c r="K1137" t="s">
        <v>657</v>
      </c>
      <c r="L1137" t="s">
        <v>3184</v>
      </c>
      <c r="M1137" t="s">
        <v>14</v>
      </c>
    </row>
    <row r="1138" spans="1:13">
      <c r="A1138" t="s">
        <v>851</v>
      </c>
      <c r="B1138" t="s">
        <v>687</v>
      </c>
      <c r="C1138" t="s">
        <v>687</v>
      </c>
      <c r="D1138" t="s">
        <v>23</v>
      </c>
      <c r="E1138" t="s">
        <v>660</v>
      </c>
      <c r="F1138" t="s">
        <v>40</v>
      </c>
      <c r="G1138">
        <v>2035</v>
      </c>
      <c r="H1138" s="12">
        <v>1092</v>
      </c>
      <c r="I1138" t="s">
        <v>3183</v>
      </c>
      <c r="J1138" t="s">
        <v>14</v>
      </c>
      <c r="K1138" t="s">
        <v>657</v>
      </c>
      <c r="L1138" t="s">
        <v>3184</v>
      </c>
      <c r="M1138" t="s">
        <v>14</v>
      </c>
    </row>
    <row r="1139" spans="1:13">
      <c r="A1139" t="s">
        <v>851</v>
      </c>
      <c r="B1139" t="s">
        <v>687</v>
      </c>
      <c r="C1139" t="s">
        <v>687</v>
      </c>
      <c r="D1139" t="s">
        <v>23</v>
      </c>
      <c r="E1139" t="s">
        <v>660</v>
      </c>
      <c r="F1139" t="s">
        <v>40</v>
      </c>
      <c r="G1139">
        <v>2040</v>
      </c>
      <c r="H1139" s="12">
        <v>1271</v>
      </c>
      <c r="I1139" t="s">
        <v>3183</v>
      </c>
      <c r="J1139" t="s">
        <v>14</v>
      </c>
      <c r="K1139" t="s">
        <v>657</v>
      </c>
      <c r="L1139" t="s">
        <v>3184</v>
      </c>
      <c r="M1139" t="s">
        <v>14</v>
      </c>
    </row>
    <row r="1140" spans="1:13">
      <c r="A1140" t="s">
        <v>851</v>
      </c>
      <c r="B1140" t="s">
        <v>687</v>
      </c>
      <c r="C1140" t="s">
        <v>687</v>
      </c>
      <c r="D1140" t="s">
        <v>23</v>
      </c>
      <c r="E1140" t="s">
        <v>660</v>
      </c>
      <c r="F1140" t="s">
        <v>40</v>
      </c>
      <c r="G1140">
        <v>2045</v>
      </c>
      <c r="H1140" s="12">
        <v>1387</v>
      </c>
      <c r="I1140" t="s">
        <v>3183</v>
      </c>
      <c r="J1140" t="s">
        <v>14</v>
      </c>
      <c r="K1140" t="s">
        <v>657</v>
      </c>
      <c r="L1140" t="s">
        <v>3184</v>
      </c>
      <c r="M1140" t="s">
        <v>14</v>
      </c>
    </row>
    <row r="1141" spans="1:13">
      <c r="A1141" t="s">
        <v>851</v>
      </c>
      <c r="B1141" t="s">
        <v>687</v>
      </c>
      <c r="C1141" t="s">
        <v>687</v>
      </c>
      <c r="D1141" t="s">
        <v>23</v>
      </c>
      <c r="E1141" t="s">
        <v>660</v>
      </c>
      <c r="F1141" t="s">
        <v>40</v>
      </c>
      <c r="G1141">
        <v>2050</v>
      </c>
      <c r="H1141" s="12">
        <v>1412</v>
      </c>
      <c r="I1141" t="s">
        <v>3183</v>
      </c>
      <c r="J1141" t="s">
        <v>14</v>
      </c>
      <c r="K1141" t="s">
        <v>657</v>
      </c>
      <c r="L1141" t="s">
        <v>3184</v>
      </c>
      <c r="M1141" t="s">
        <v>14</v>
      </c>
    </row>
    <row r="1142" spans="1:13">
      <c r="A1142" t="s">
        <v>851</v>
      </c>
      <c r="B1142" t="s">
        <v>686</v>
      </c>
      <c r="C1142" t="s">
        <v>686</v>
      </c>
      <c r="D1142" t="s">
        <v>23</v>
      </c>
      <c r="E1142" t="s">
        <v>660</v>
      </c>
      <c r="F1142" t="s">
        <v>40</v>
      </c>
      <c r="G1142">
        <v>2010</v>
      </c>
      <c r="H1142" s="12">
        <v>2235</v>
      </c>
      <c r="I1142" t="s">
        <v>3183</v>
      </c>
      <c r="J1142" t="s">
        <v>41</v>
      </c>
      <c r="K1142" t="s">
        <v>657</v>
      </c>
      <c r="L1142" t="s">
        <v>3184</v>
      </c>
      <c r="M1142" t="s">
        <v>662</v>
      </c>
    </row>
    <row r="1143" spans="1:13">
      <c r="A1143" t="s">
        <v>851</v>
      </c>
      <c r="B1143" t="s">
        <v>686</v>
      </c>
      <c r="C1143" t="s">
        <v>686</v>
      </c>
      <c r="D1143" t="s">
        <v>23</v>
      </c>
      <c r="E1143" t="s">
        <v>660</v>
      </c>
      <c r="F1143" t="s">
        <v>40</v>
      </c>
      <c r="G1143">
        <v>2015</v>
      </c>
      <c r="H1143" s="12">
        <v>2967</v>
      </c>
      <c r="I1143" t="s">
        <v>3183</v>
      </c>
      <c r="J1143" t="s">
        <v>41</v>
      </c>
      <c r="K1143" t="s">
        <v>657</v>
      </c>
      <c r="L1143" t="s">
        <v>3184</v>
      </c>
      <c r="M1143" t="s">
        <v>662</v>
      </c>
    </row>
    <row r="1144" spans="1:13">
      <c r="A1144" t="s">
        <v>851</v>
      </c>
      <c r="B1144" t="s">
        <v>686</v>
      </c>
      <c r="C1144" t="s">
        <v>686</v>
      </c>
      <c r="D1144" t="s">
        <v>23</v>
      </c>
      <c r="E1144" t="s">
        <v>660</v>
      </c>
      <c r="F1144" t="s">
        <v>40</v>
      </c>
      <c r="G1144">
        <v>2020</v>
      </c>
      <c r="H1144" s="12">
        <v>4177</v>
      </c>
      <c r="I1144" t="s">
        <v>3183</v>
      </c>
      <c r="J1144" t="s">
        <v>41</v>
      </c>
      <c r="K1144" t="s">
        <v>657</v>
      </c>
      <c r="L1144" t="s">
        <v>3184</v>
      </c>
      <c r="M1144" t="s">
        <v>662</v>
      </c>
    </row>
    <row r="1145" spans="1:13">
      <c r="A1145" t="s">
        <v>851</v>
      </c>
      <c r="B1145" t="s">
        <v>686</v>
      </c>
      <c r="C1145" t="s">
        <v>686</v>
      </c>
      <c r="D1145" t="s">
        <v>23</v>
      </c>
      <c r="E1145" t="s">
        <v>660</v>
      </c>
      <c r="F1145" t="s">
        <v>40</v>
      </c>
      <c r="G1145">
        <v>2030</v>
      </c>
      <c r="H1145" s="12">
        <v>6297</v>
      </c>
      <c r="I1145" t="s">
        <v>3183</v>
      </c>
      <c r="J1145" t="s">
        <v>41</v>
      </c>
      <c r="K1145" t="s">
        <v>657</v>
      </c>
      <c r="L1145" t="s">
        <v>3184</v>
      </c>
      <c r="M1145" t="s">
        <v>662</v>
      </c>
    </row>
    <row r="1146" spans="1:13">
      <c r="A1146" t="s">
        <v>851</v>
      </c>
      <c r="B1146" t="s">
        <v>686</v>
      </c>
      <c r="C1146" t="s">
        <v>686</v>
      </c>
      <c r="D1146" t="s">
        <v>23</v>
      </c>
      <c r="E1146" t="s">
        <v>660</v>
      </c>
      <c r="F1146" t="s">
        <v>40</v>
      </c>
      <c r="G1146">
        <v>2035</v>
      </c>
      <c r="H1146" s="12">
        <v>7152</v>
      </c>
      <c r="I1146" t="s">
        <v>3183</v>
      </c>
      <c r="J1146" t="s">
        <v>41</v>
      </c>
      <c r="K1146" t="s">
        <v>657</v>
      </c>
      <c r="L1146" t="s">
        <v>3184</v>
      </c>
      <c r="M1146" t="s">
        <v>662</v>
      </c>
    </row>
    <row r="1147" spans="1:13">
      <c r="A1147" t="s">
        <v>851</v>
      </c>
      <c r="B1147" t="s">
        <v>686</v>
      </c>
      <c r="C1147" t="s">
        <v>686</v>
      </c>
      <c r="D1147" t="s">
        <v>23</v>
      </c>
      <c r="E1147" t="s">
        <v>660</v>
      </c>
      <c r="F1147" t="s">
        <v>40</v>
      </c>
      <c r="G1147">
        <v>2040</v>
      </c>
      <c r="H1147" s="12">
        <v>8004</v>
      </c>
      <c r="I1147" t="s">
        <v>3183</v>
      </c>
      <c r="J1147" t="s">
        <v>41</v>
      </c>
      <c r="K1147" t="s">
        <v>657</v>
      </c>
      <c r="L1147" t="s">
        <v>3184</v>
      </c>
      <c r="M1147" t="s">
        <v>662</v>
      </c>
    </row>
    <row r="1148" spans="1:13">
      <c r="A1148" t="s">
        <v>851</v>
      </c>
      <c r="B1148" t="s">
        <v>686</v>
      </c>
      <c r="C1148" t="s">
        <v>686</v>
      </c>
      <c r="D1148" t="s">
        <v>23</v>
      </c>
      <c r="E1148" t="s">
        <v>660</v>
      </c>
      <c r="F1148" t="s">
        <v>40</v>
      </c>
      <c r="G1148">
        <v>2045</v>
      </c>
      <c r="H1148" s="12">
        <v>8870</v>
      </c>
      <c r="I1148" t="s">
        <v>3183</v>
      </c>
      <c r="J1148" t="s">
        <v>41</v>
      </c>
      <c r="K1148" t="s">
        <v>657</v>
      </c>
      <c r="L1148" t="s">
        <v>3184</v>
      </c>
      <c r="M1148" t="s">
        <v>662</v>
      </c>
    </row>
    <row r="1149" spans="1:13">
      <c r="A1149" t="s">
        <v>851</v>
      </c>
      <c r="B1149" t="s">
        <v>686</v>
      </c>
      <c r="C1149" t="s">
        <v>686</v>
      </c>
      <c r="D1149" t="s">
        <v>23</v>
      </c>
      <c r="E1149" t="s">
        <v>660</v>
      </c>
      <c r="F1149" t="s">
        <v>40</v>
      </c>
      <c r="G1149">
        <v>2050</v>
      </c>
      <c r="H1149" s="12">
        <v>9642</v>
      </c>
      <c r="I1149" t="s">
        <v>3183</v>
      </c>
      <c r="J1149" t="s">
        <v>41</v>
      </c>
      <c r="K1149" t="s">
        <v>657</v>
      </c>
      <c r="L1149" t="s">
        <v>3184</v>
      </c>
      <c r="M1149" t="s">
        <v>662</v>
      </c>
    </row>
    <row r="1150" spans="1:13">
      <c r="A1150" t="s">
        <v>851</v>
      </c>
      <c r="B1150" t="s">
        <v>687</v>
      </c>
      <c r="C1150" t="s">
        <v>687</v>
      </c>
      <c r="D1150" t="s">
        <v>23</v>
      </c>
      <c r="E1150" t="s">
        <v>660</v>
      </c>
      <c r="F1150" t="s">
        <v>40</v>
      </c>
      <c r="G1150">
        <v>2030</v>
      </c>
      <c r="H1150" s="12">
        <v>7400</v>
      </c>
      <c r="I1150" t="s">
        <v>3183</v>
      </c>
      <c r="J1150" t="s">
        <v>41</v>
      </c>
      <c r="K1150" t="s">
        <v>657</v>
      </c>
      <c r="L1150" t="s">
        <v>3184</v>
      </c>
      <c r="M1150" t="s">
        <v>662</v>
      </c>
    </row>
    <row r="1151" spans="1:13">
      <c r="A1151" t="s">
        <v>851</v>
      </c>
      <c r="B1151" t="s">
        <v>687</v>
      </c>
      <c r="C1151" t="s">
        <v>687</v>
      </c>
      <c r="D1151" t="s">
        <v>23</v>
      </c>
      <c r="E1151" t="s">
        <v>660</v>
      </c>
      <c r="F1151" t="s">
        <v>40</v>
      </c>
      <c r="G1151">
        <v>2035</v>
      </c>
      <c r="H1151" s="12">
        <v>8662</v>
      </c>
      <c r="I1151" t="s">
        <v>3183</v>
      </c>
      <c r="J1151" t="s">
        <v>41</v>
      </c>
      <c r="K1151" t="s">
        <v>657</v>
      </c>
      <c r="L1151" t="s">
        <v>3184</v>
      </c>
      <c r="M1151" t="s">
        <v>662</v>
      </c>
    </row>
    <row r="1152" spans="1:13">
      <c r="A1152" t="s">
        <v>851</v>
      </c>
      <c r="B1152" t="s">
        <v>687</v>
      </c>
      <c r="C1152" t="s">
        <v>687</v>
      </c>
      <c r="D1152" t="s">
        <v>23</v>
      </c>
      <c r="E1152" t="s">
        <v>660</v>
      </c>
      <c r="F1152" t="s">
        <v>40</v>
      </c>
      <c r="G1152">
        <v>2040</v>
      </c>
      <c r="H1152" s="12">
        <v>9926</v>
      </c>
      <c r="I1152" t="s">
        <v>3183</v>
      </c>
      <c r="J1152" t="s">
        <v>41</v>
      </c>
      <c r="K1152" t="s">
        <v>657</v>
      </c>
      <c r="L1152" t="s">
        <v>3184</v>
      </c>
      <c r="M1152" t="s">
        <v>662</v>
      </c>
    </row>
    <row r="1153" spans="1:13">
      <c r="A1153" t="s">
        <v>851</v>
      </c>
      <c r="B1153" t="s">
        <v>687</v>
      </c>
      <c r="C1153" t="s">
        <v>687</v>
      </c>
      <c r="D1153" t="s">
        <v>23</v>
      </c>
      <c r="E1153" t="s">
        <v>660</v>
      </c>
      <c r="F1153" t="s">
        <v>40</v>
      </c>
      <c r="G1153">
        <v>2045</v>
      </c>
      <c r="H1153" s="12">
        <v>11399</v>
      </c>
      <c r="I1153" t="s">
        <v>3183</v>
      </c>
      <c r="J1153" t="s">
        <v>41</v>
      </c>
      <c r="K1153" t="s">
        <v>657</v>
      </c>
      <c r="L1153" t="s">
        <v>3184</v>
      </c>
      <c r="M1153" t="s">
        <v>662</v>
      </c>
    </row>
    <row r="1154" spans="1:13">
      <c r="A1154" t="s">
        <v>851</v>
      </c>
      <c r="B1154" t="s">
        <v>687</v>
      </c>
      <c r="C1154" t="s">
        <v>687</v>
      </c>
      <c r="D1154" t="s">
        <v>23</v>
      </c>
      <c r="E1154" t="s">
        <v>660</v>
      </c>
      <c r="F1154" t="s">
        <v>40</v>
      </c>
      <c r="G1154">
        <v>2050</v>
      </c>
      <c r="H1154" s="12">
        <v>12593</v>
      </c>
      <c r="I1154" t="s">
        <v>3183</v>
      </c>
      <c r="J1154" t="s">
        <v>41</v>
      </c>
      <c r="K1154" t="s">
        <v>657</v>
      </c>
      <c r="L1154" t="s">
        <v>3184</v>
      </c>
      <c r="M1154" t="s">
        <v>662</v>
      </c>
    </row>
    <row r="1155" spans="1:13">
      <c r="A1155" t="s">
        <v>851</v>
      </c>
      <c r="B1155" t="s">
        <v>686</v>
      </c>
      <c r="C1155" t="s">
        <v>686</v>
      </c>
      <c r="D1155" t="s">
        <v>23</v>
      </c>
      <c r="E1155" t="s">
        <v>660</v>
      </c>
      <c r="F1155" t="s">
        <v>40</v>
      </c>
      <c r="G1155">
        <v>2010</v>
      </c>
      <c r="H1155" s="12">
        <v>4138</v>
      </c>
      <c r="I1155" t="s">
        <v>3183</v>
      </c>
      <c r="J1155" t="s">
        <v>41</v>
      </c>
      <c r="K1155" t="s">
        <v>657</v>
      </c>
      <c r="L1155" t="s">
        <v>3184</v>
      </c>
      <c r="M1155" t="s">
        <v>661</v>
      </c>
    </row>
    <row r="1156" spans="1:13">
      <c r="A1156" t="s">
        <v>851</v>
      </c>
      <c r="B1156" t="s">
        <v>686</v>
      </c>
      <c r="C1156" t="s">
        <v>686</v>
      </c>
      <c r="D1156" t="s">
        <v>23</v>
      </c>
      <c r="E1156" t="s">
        <v>660</v>
      </c>
      <c r="F1156" t="s">
        <v>40</v>
      </c>
      <c r="G1156">
        <v>2015</v>
      </c>
      <c r="H1156" s="12">
        <v>4158</v>
      </c>
      <c r="I1156" t="s">
        <v>3183</v>
      </c>
      <c r="J1156" t="s">
        <v>41</v>
      </c>
      <c r="K1156" t="s">
        <v>657</v>
      </c>
      <c r="L1156" t="s">
        <v>3184</v>
      </c>
      <c r="M1156" t="s">
        <v>661</v>
      </c>
    </row>
    <row r="1157" spans="1:13">
      <c r="A1157" t="s">
        <v>851</v>
      </c>
      <c r="B1157" t="s">
        <v>686</v>
      </c>
      <c r="C1157" t="s">
        <v>686</v>
      </c>
      <c r="D1157" t="s">
        <v>23</v>
      </c>
      <c r="E1157" t="s">
        <v>660</v>
      </c>
      <c r="F1157" t="s">
        <v>40</v>
      </c>
      <c r="G1157">
        <v>2020</v>
      </c>
      <c r="H1157" s="12">
        <v>4106</v>
      </c>
      <c r="I1157" t="s">
        <v>3183</v>
      </c>
      <c r="J1157" t="s">
        <v>41</v>
      </c>
      <c r="K1157" t="s">
        <v>657</v>
      </c>
      <c r="L1157" t="s">
        <v>3184</v>
      </c>
      <c r="M1157" t="s">
        <v>661</v>
      </c>
    </row>
    <row r="1158" spans="1:13">
      <c r="A1158" t="s">
        <v>851</v>
      </c>
      <c r="B1158" t="s">
        <v>686</v>
      </c>
      <c r="C1158" t="s">
        <v>686</v>
      </c>
      <c r="D1158" t="s">
        <v>23</v>
      </c>
      <c r="E1158" t="s">
        <v>660</v>
      </c>
      <c r="F1158" t="s">
        <v>40</v>
      </c>
      <c r="G1158">
        <v>2030</v>
      </c>
      <c r="H1158" s="12">
        <v>2748</v>
      </c>
      <c r="I1158" t="s">
        <v>3183</v>
      </c>
      <c r="J1158" t="s">
        <v>41</v>
      </c>
      <c r="K1158" t="s">
        <v>657</v>
      </c>
      <c r="L1158" t="s">
        <v>3184</v>
      </c>
      <c r="M1158" t="s">
        <v>661</v>
      </c>
    </row>
    <row r="1159" spans="1:13">
      <c r="A1159" t="s">
        <v>851</v>
      </c>
      <c r="B1159" t="s">
        <v>686</v>
      </c>
      <c r="C1159" t="s">
        <v>686</v>
      </c>
      <c r="D1159" t="s">
        <v>23</v>
      </c>
      <c r="E1159" t="s">
        <v>660</v>
      </c>
      <c r="F1159" t="s">
        <v>40</v>
      </c>
      <c r="G1159">
        <v>2035</v>
      </c>
      <c r="H1159" s="12">
        <v>2404</v>
      </c>
      <c r="I1159" t="s">
        <v>3183</v>
      </c>
      <c r="J1159" t="s">
        <v>41</v>
      </c>
      <c r="K1159" t="s">
        <v>657</v>
      </c>
      <c r="L1159" t="s">
        <v>3184</v>
      </c>
      <c r="M1159" t="s">
        <v>661</v>
      </c>
    </row>
    <row r="1160" spans="1:13">
      <c r="A1160" t="s">
        <v>851</v>
      </c>
      <c r="B1160" t="s">
        <v>686</v>
      </c>
      <c r="C1160" t="s">
        <v>686</v>
      </c>
      <c r="D1160" t="s">
        <v>23</v>
      </c>
      <c r="E1160" t="s">
        <v>660</v>
      </c>
      <c r="F1160" t="s">
        <v>40</v>
      </c>
      <c r="G1160">
        <v>2040</v>
      </c>
      <c r="H1160" s="12">
        <v>1964</v>
      </c>
      <c r="I1160" t="s">
        <v>3183</v>
      </c>
      <c r="J1160" t="s">
        <v>41</v>
      </c>
      <c r="K1160" t="s">
        <v>657</v>
      </c>
      <c r="L1160" t="s">
        <v>3184</v>
      </c>
      <c r="M1160" t="s">
        <v>661</v>
      </c>
    </row>
    <row r="1161" spans="1:13">
      <c r="A1161" t="s">
        <v>851</v>
      </c>
      <c r="B1161" t="s">
        <v>686</v>
      </c>
      <c r="C1161" t="s">
        <v>686</v>
      </c>
      <c r="D1161" t="s">
        <v>23</v>
      </c>
      <c r="E1161" t="s">
        <v>660</v>
      </c>
      <c r="F1161" t="s">
        <v>40</v>
      </c>
      <c r="G1161">
        <v>2045</v>
      </c>
      <c r="H1161" s="12">
        <v>1688</v>
      </c>
      <c r="I1161" t="s">
        <v>3183</v>
      </c>
      <c r="J1161" t="s">
        <v>41</v>
      </c>
      <c r="K1161" t="s">
        <v>657</v>
      </c>
      <c r="L1161" t="s">
        <v>3184</v>
      </c>
      <c r="M1161" t="s">
        <v>661</v>
      </c>
    </row>
    <row r="1162" spans="1:13">
      <c r="A1162" t="s">
        <v>851</v>
      </c>
      <c r="B1162" t="s">
        <v>686</v>
      </c>
      <c r="C1162" t="s">
        <v>686</v>
      </c>
      <c r="D1162" t="s">
        <v>23</v>
      </c>
      <c r="E1162" t="s">
        <v>660</v>
      </c>
      <c r="F1162" t="s">
        <v>40</v>
      </c>
      <c r="G1162">
        <v>2050</v>
      </c>
      <c r="H1162" s="12">
        <v>1332</v>
      </c>
      <c r="I1162" t="s">
        <v>3183</v>
      </c>
      <c r="J1162" t="s">
        <v>41</v>
      </c>
      <c r="K1162" t="s">
        <v>657</v>
      </c>
      <c r="L1162" t="s">
        <v>3184</v>
      </c>
      <c r="M1162" t="s">
        <v>661</v>
      </c>
    </row>
    <row r="1163" spans="1:13">
      <c r="A1163" t="s">
        <v>851</v>
      </c>
      <c r="B1163" t="s">
        <v>687</v>
      </c>
      <c r="C1163" t="s">
        <v>687</v>
      </c>
      <c r="D1163" t="s">
        <v>23</v>
      </c>
      <c r="E1163" t="s">
        <v>660</v>
      </c>
      <c r="F1163" t="s">
        <v>40</v>
      </c>
      <c r="G1163">
        <v>2030</v>
      </c>
      <c r="H1163" s="12">
        <v>0</v>
      </c>
      <c r="I1163" t="s">
        <v>3183</v>
      </c>
      <c r="J1163" t="s">
        <v>41</v>
      </c>
      <c r="K1163" t="s">
        <v>657</v>
      </c>
      <c r="L1163" t="s">
        <v>3184</v>
      </c>
      <c r="M1163" t="s">
        <v>661</v>
      </c>
    </row>
    <row r="1164" spans="1:13">
      <c r="A1164" t="s">
        <v>851</v>
      </c>
      <c r="B1164" t="s">
        <v>687</v>
      </c>
      <c r="C1164" t="s">
        <v>687</v>
      </c>
      <c r="D1164" t="s">
        <v>23</v>
      </c>
      <c r="E1164" t="s">
        <v>660</v>
      </c>
      <c r="F1164" t="s">
        <v>40</v>
      </c>
      <c r="G1164">
        <v>2035</v>
      </c>
      <c r="H1164" s="12">
        <v>0</v>
      </c>
      <c r="I1164" t="s">
        <v>3183</v>
      </c>
      <c r="J1164" t="s">
        <v>41</v>
      </c>
      <c r="K1164" t="s">
        <v>657</v>
      </c>
      <c r="L1164" t="s">
        <v>3184</v>
      </c>
      <c r="M1164" t="s">
        <v>661</v>
      </c>
    </row>
    <row r="1165" spans="1:13">
      <c r="A1165" t="s">
        <v>851</v>
      </c>
      <c r="B1165" t="s">
        <v>687</v>
      </c>
      <c r="C1165" t="s">
        <v>687</v>
      </c>
      <c r="D1165" t="s">
        <v>23</v>
      </c>
      <c r="E1165" t="s">
        <v>660</v>
      </c>
      <c r="F1165" t="s">
        <v>40</v>
      </c>
      <c r="G1165">
        <v>2040</v>
      </c>
      <c r="H1165" s="12">
        <v>0</v>
      </c>
      <c r="I1165" t="s">
        <v>3183</v>
      </c>
      <c r="J1165" t="s">
        <v>41</v>
      </c>
      <c r="K1165" t="s">
        <v>657</v>
      </c>
      <c r="L1165" t="s">
        <v>3184</v>
      </c>
      <c r="M1165" t="s">
        <v>661</v>
      </c>
    </row>
    <row r="1166" spans="1:13">
      <c r="A1166" t="s">
        <v>851</v>
      </c>
      <c r="B1166" t="s">
        <v>687</v>
      </c>
      <c r="C1166" t="s">
        <v>687</v>
      </c>
      <c r="D1166" t="s">
        <v>23</v>
      </c>
      <c r="E1166" t="s">
        <v>660</v>
      </c>
      <c r="F1166" t="s">
        <v>40</v>
      </c>
      <c r="G1166">
        <v>2035</v>
      </c>
      <c r="H1166" s="12">
        <v>4551</v>
      </c>
      <c r="I1166" t="s">
        <v>3183</v>
      </c>
      <c r="J1166" t="s">
        <v>6</v>
      </c>
      <c r="K1166" t="s">
        <v>657</v>
      </c>
      <c r="L1166" t="s">
        <v>3184</v>
      </c>
      <c r="M1166" t="s">
        <v>659</v>
      </c>
    </row>
    <row r="1167" spans="1:13">
      <c r="A1167" t="s">
        <v>851</v>
      </c>
      <c r="B1167" t="s">
        <v>687</v>
      </c>
      <c r="C1167" t="s">
        <v>687</v>
      </c>
      <c r="D1167" t="s">
        <v>23</v>
      </c>
      <c r="E1167" t="s">
        <v>660</v>
      </c>
      <c r="F1167" t="s">
        <v>40</v>
      </c>
      <c r="G1167">
        <v>2040</v>
      </c>
      <c r="H1167" s="12">
        <v>4600</v>
      </c>
      <c r="I1167" t="s">
        <v>3183</v>
      </c>
      <c r="J1167" t="s">
        <v>6</v>
      </c>
      <c r="K1167" t="s">
        <v>657</v>
      </c>
      <c r="L1167" t="s">
        <v>3184</v>
      </c>
      <c r="M1167" t="s">
        <v>659</v>
      </c>
    </row>
    <row r="1168" spans="1:13">
      <c r="A1168" t="s">
        <v>851</v>
      </c>
      <c r="B1168" t="s">
        <v>687</v>
      </c>
      <c r="C1168" t="s">
        <v>687</v>
      </c>
      <c r="D1168" t="s">
        <v>23</v>
      </c>
      <c r="E1168" t="s">
        <v>660</v>
      </c>
      <c r="F1168" t="s">
        <v>40</v>
      </c>
      <c r="G1168">
        <v>2045</v>
      </c>
      <c r="H1168" s="12">
        <v>4288</v>
      </c>
      <c r="I1168" t="s">
        <v>3183</v>
      </c>
      <c r="J1168" t="s">
        <v>6</v>
      </c>
      <c r="K1168" t="s">
        <v>657</v>
      </c>
      <c r="L1168" t="s">
        <v>3184</v>
      </c>
      <c r="M1168" t="s">
        <v>659</v>
      </c>
    </row>
    <row r="1169" spans="1:13">
      <c r="A1169" t="s">
        <v>851</v>
      </c>
      <c r="B1169" t="s">
        <v>687</v>
      </c>
      <c r="C1169" t="s">
        <v>687</v>
      </c>
      <c r="D1169" t="s">
        <v>23</v>
      </c>
      <c r="E1169" t="s">
        <v>660</v>
      </c>
      <c r="F1169" t="s">
        <v>40</v>
      </c>
      <c r="G1169">
        <v>2050</v>
      </c>
      <c r="H1169" s="12">
        <v>3703</v>
      </c>
      <c r="I1169" t="s">
        <v>3183</v>
      </c>
      <c r="J1169" t="s">
        <v>6</v>
      </c>
      <c r="K1169" t="s">
        <v>657</v>
      </c>
      <c r="L1169" t="s">
        <v>3184</v>
      </c>
      <c r="M1169" t="s">
        <v>659</v>
      </c>
    </row>
    <row r="1170" spans="1:13">
      <c r="A1170" t="s">
        <v>851</v>
      </c>
      <c r="B1170" t="s">
        <v>686</v>
      </c>
      <c r="C1170" t="s">
        <v>686</v>
      </c>
      <c r="D1170" t="s">
        <v>23</v>
      </c>
      <c r="E1170" t="s">
        <v>660</v>
      </c>
      <c r="F1170" t="s">
        <v>40</v>
      </c>
      <c r="G1170">
        <v>2010</v>
      </c>
      <c r="H1170" s="12">
        <v>6786</v>
      </c>
      <c r="I1170" t="s">
        <v>3183</v>
      </c>
      <c r="J1170" t="s">
        <v>394</v>
      </c>
      <c r="K1170" t="s">
        <v>657</v>
      </c>
      <c r="L1170" t="s">
        <v>3184</v>
      </c>
      <c r="M1170" t="s">
        <v>16</v>
      </c>
    </row>
    <row r="1171" spans="1:13">
      <c r="A1171" t="s">
        <v>851</v>
      </c>
      <c r="B1171" t="s">
        <v>686</v>
      </c>
      <c r="C1171" t="s">
        <v>686</v>
      </c>
      <c r="D1171" t="s">
        <v>23</v>
      </c>
      <c r="E1171" t="s">
        <v>660</v>
      </c>
      <c r="F1171" t="s">
        <v>40</v>
      </c>
      <c r="G1171">
        <v>2015</v>
      </c>
      <c r="H1171" s="12">
        <v>8642</v>
      </c>
      <c r="I1171" t="s">
        <v>3183</v>
      </c>
      <c r="J1171" t="s">
        <v>394</v>
      </c>
      <c r="K1171" t="s">
        <v>657</v>
      </c>
      <c r="L1171" t="s">
        <v>3184</v>
      </c>
      <c r="M1171" t="s">
        <v>16</v>
      </c>
    </row>
    <row r="1172" spans="1:13">
      <c r="A1172" t="s">
        <v>851</v>
      </c>
      <c r="B1172" t="s">
        <v>686</v>
      </c>
      <c r="C1172" t="s">
        <v>686</v>
      </c>
      <c r="D1172" t="s">
        <v>23</v>
      </c>
      <c r="E1172" t="s">
        <v>660</v>
      </c>
      <c r="F1172" t="s">
        <v>40</v>
      </c>
      <c r="G1172">
        <v>2020</v>
      </c>
      <c r="H1172" s="12">
        <v>8682</v>
      </c>
      <c r="I1172" t="s">
        <v>3183</v>
      </c>
      <c r="J1172" t="s">
        <v>394</v>
      </c>
      <c r="K1172" t="s">
        <v>657</v>
      </c>
      <c r="L1172" t="s">
        <v>3184</v>
      </c>
      <c r="M1172" t="s">
        <v>16</v>
      </c>
    </row>
    <row r="1173" spans="1:13">
      <c r="A1173" t="s">
        <v>851</v>
      </c>
      <c r="B1173" t="s">
        <v>686</v>
      </c>
      <c r="C1173" t="s">
        <v>686</v>
      </c>
      <c r="D1173" t="s">
        <v>23</v>
      </c>
      <c r="E1173" t="s">
        <v>660</v>
      </c>
      <c r="F1173" t="s">
        <v>40</v>
      </c>
      <c r="G1173">
        <v>2030</v>
      </c>
      <c r="H1173" s="12">
        <v>12702</v>
      </c>
      <c r="I1173" t="s">
        <v>3183</v>
      </c>
      <c r="J1173" t="s">
        <v>394</v>
      </c>
      <c r="K1173" t="s">
        <v>657</v>
      </c>
      <c r="L1173" t="s">
        <v>3184</v>
      </c>
      <c r="M1173" t="s">
        <v>16</v>
      </c>
    </row>
    <row r="1174" spans="1:13">
      <c r="A1174" t="s">
        <v>851</v>
      </c>
      <c r="B1174" t="s">
        <v>686</v>
      </c>
      <c r="C1174" t="s">
        <v>686</v>
      </c>
      <c r="D1174" t="s">
        <v>23</v>
      </c>
      <c r="E1174" t="s">
        <v>660</v>
      </c>
      <c r="F1174" t="s">
        <v>40</v>
      </c>
      <c r="G1174">
        <v>2035</v>
      </c>
      <c r="H1174" s="12">
        <v>14782</v>
      </c>
      <c r="I1174" t="s">
        <v>3183</v>
      </c>
      <c r="J1174" t="s">
        <v>394</v>
      </c>
      <c r="K1174" t="s">
        <v>657</v>
      </c>
      <c r="L1174" t="s">
        <v>3184</v>
      </c>
      <c r="M1174" t="s">
        <v>16</v>
      </c>
    </row>
    <row r="1175" spans="1:13">
      <c r="A1175" t="s">
        <v>851</v>
      </c>
      <c r="B1175" t="s">
        <v>686</v>
      </c>
      <c r="C1175" t="s">
        <v>686</v>
      </c>
      <c r="D1175" t="s">
        <v>23</v>
      </c>
      <c r="E1175" t="s">
        <v>660</v>
      </c>
      <c r="F1175" t="s">
        <v>40</v>
      </c>
      <c r="G1175">
        <v>2040</v>
      </c>
      <c r="H1175" s="12">
        <v>15965</v>
      </c>
      <c r="I1175" t="s">
        <v>3183</v>
      </c>
      <c r="J1175" t="s">
        <v>394</v>
      </c>
      <c r="K1175" t="s">
        <v>657</v>
      </c>
      <c r="L1175" t="s">
        <v>3184</v>
      </c>
      <c r="M1175" t="s">
        <v>16</v>
      </c>
    </row>
    <row r="1176" spans="1:13">
      <c r="A1176" t="s">
        <v>851</v>
      </c>
      <c r="B1176" t="s">
        <v>686</v>
      </c>
      <c r="C1176" t="s">
        <v>686</v>
      </c>
      <c r="D1176" t="s">
        <v>23</v>
      </c>
      <c r="E1176" t="s">
        <v>660</v>
      </c>
      <c r="F1176" t="s">
        <v>40</v>
      </c>
      <c r="G1176">
        <v>2045</v>
      </c>
      <c r="H1176" s="12">
        <v>16084</v>
      </c>
      <c r="I1176" t="s">
        <v>3183</v>
      </c>
      <c r="J1176" t="s">
        <v>394</v>
      </c>
      <c r="K1176" t="s">
        <v>657</v>
      </c>
      <c r="L1176" t="s">
        <v>3184</v>
      </c>
      <c r="M1176" t="s">
        <v>16</v>
      </c>
    </row>
    <row r="1177" spans="1:13">
      <c r="A1177" t="s">
        <v>851</v>
      </c>
      <c r="B1177" t="s">
        <v>686</v>
      </c>
      <c r="C1177" t="s">
        <v>686</v>
      </c>
      <c r="D1177" t="s">
        <v>23</v>
      </c>
      <c r="E1177" t="s">
        <v>660</v>
      </c>
      <c r="F1177" t="s">
        <v>40</v>
      </c>
      <c r="G1177">
        <v>2050</v>
      </c>
      <c r="H1177" s="12">
        <v>15795</v>
      </c>
      <c r="I1177" t="s">
        <v>3183</v>
      </c>
      <c r="J1177" t="s">
        <v>394</v>
      </c>
      <c r="K1177" t="s">
        <v>657</v>
      </c>
      <c r="L1177" t="s">
        <v>3184</v>
      </c>
      <c r="M1177" t="s">
        <v>16</v>
      </c>
    </row>
    <row r="1178" spans="1:13">
      <c r="A1178" t="s">
        <v>851</v>
      </c>
      <c r="B1178" t="s">
        <v>687</v>
      </c>
      <c r="C1178" t="s">
        <v>687</v>
      </c>
      <c r="D1178" t="s">
        <v>23</v>
      </c>
      <c r="E1178" t="s">
        <v>660</v>
      </c>
      <c r="F1178" t="s">
        <v>40</v>
      </c>
      <c r="G1178">
        <v>2030</v>
      </c>
      <c r="H1178" s="12">
        <v>11124</v>
      </c>
      <c r="I1178" t="s">
        <v>3183</v>
      </c>
      <c r="J1178" t="s">
        <v>394</v>
      </c>
      <c r="K1178" t="s">
        <v>657</v>
      </c>
      <c r="L1178" t="s">
        <v>3184</v>
      </c>
      <c r="M1178" t="s">
        <v>16</v>
      </c>
    </row>
    <row r="1179" spans="1:13">
      <c r="A1179" t="s">
        <v>851</v>
      </c>
      <c r="B1179" t="s">
        <v>687</v>
      </c>
      <c r="C1179" t="s">
        <v>687</v>
      </c>
      <c r="D1179" t="s">
        <v>23</v>
      </c>
      <c r="E1179" t="s">
        <v>660</v>
      </c>
      <c r="F1179" t="s">
        <v>40</v>
      </c>
      <c r="G1179">
        <v>2035</v>
      </c>
      <c r="H1179" s="12">
        <v>11234</v>
      </c>
      <c r="I1179" t="s">
        <v>3183</v>
      </c>
      <c r="J1179" t="s">
        <v>394</v>
      </c>
      <c r="K1179" t="s">
        <v>657</v>
      </c>
      <c r="L1179" t="s">
        <v>3184</v>
      </c>
      <c r="M1179" t="s">
        <v>16</v>
      </c>
    </row>
    <row r="1180" spans="1:13">
      <c r="A1180" t="s">
        <v>851</v>
      </c>
      <c r="B1180" t="s">
        <v>687</v>
      </c>
      <c r="C1180" t="s">
        <v>687</v>
      </c>
      <c r="D1180" t="s">
        <v>23</v>
      </c>
      <c r="E1180" t="s">
        <v>660</v>
      </c>
      <c r="F1180" t="s">
        <v>40</v>
      </c>
      <c r="G1180">
        <v>2040</v>
      </c>
      <c r="H1180" s="12">
        <v>10329</v>
      </c>
      <c r="I1180" t="s">
        <v>3183</v>
      </c>
      <c r="J1180" t="s">
        <v>394</v>
      </c>
      <c r="K1180" t="s">
        <v>657</v>
      </c>
      <c r="L1180" t="s">
        <v>3184</v>
      </c>
      <c r="M1180" t="s">
        <v>16</v>
      </c>
    </row>
    <row r="1181" spans="1:13">
      <c r="A1181" t="s">
        <v>851</v>
      </c>
      <c r="B1181" t="s">
        <v>687</v>
      </c>
      <c r="C1181" t="s">
        <v>687</v>
      </c>
      <c r="D1181" t="s">
        <v>23</v>
      </c>
      <c r="E1181" t="s">
        <v>660</v>
      </c>
      <c r="F1181" t="s">
        <v>40</v>
      </c>
      <c r="G1181">
        <v>2045</v>
      </c>
      <c r="H1181" s="12">
        <v>8826</v>
      </c>
      <c r="I1181" t="s">
        <v>3183</v>
      </c>
      <c r="J1181" t="s">
        <v>394</v>
      </c>
      <c r="K1181" t="s">
        <v>657</v>
      </c>
      <c r="L1181" t="s">
        <v>3184</v>
      </c>
      <c r="M1181" t="s">
        <v>16</v>
      </c>
    </row>
    <row r="1182" spans="1:13">
      <c r="A1182" t="s">
        <v>851</v>
      </c>
      <c r="B1182" t="s">
        <v>687</v>
      </c>
      <c r="C1182" t="s">
        <v>687</v>
      </c>
      <c r="D1182" t="s">
        <v>23</v>
      </c>
      <c r="E1182" t="s">
        <v>660</v>
      </c>
      <c r="F1182" t="s">
        <v>40</v>
      </c>
      <c r="G1182">
        <v>2050</v>
      </c>
      <c r="H1182" s="12">
        <v>7382</v>
      </c>
      <c r="I1182" t="s">
        <v>3183</v>
      </c>
      <c r="J1182" t="s">
        <v>394</v>
      </c>
      <c r="K1182" t="s">
        <v>657</v>
      </c>
      <c r="L1182" t="s">
        <v>3184</v>
      </c>
      <c r="M1182" t="s">
        <v>16</v>
      </c>
    </row>
    <row r="1183" spans="1:13">
      <c r="A1183" t="s">
        <v>851</v>
      </c>
      <c r="B1183" t="s">
        <v>686</v>
      </c>
      <c r="C1183" t="s">
        <v>686</v>
      </c>
      <c r="D1183" t="s">
        <v>23</v>
      </c>
      <c r="E1183" t="s">
        <v>646</v>
      </c>
      <c r="F1183" t="s">
        <v>40</v>
      </c>
      <c r="G1183">
        <v>2010</v>
      </c>
      <c r="H1183" s="12">
        <v>872</v>
      </c>
      <c r="I1183" t="s">
        <v>3183</v>
      </c>
      <c r="J1183" t="s">
        <v>394</v>
      </c>
      <c r="K1183" t="s">
        <v>272</v>
      </c>
      <c r="L1183" t="s">
        <v>3184</v>
      </c>
      <c r="M1183" t="s">
        <v>16</v>
      </c>
    </row>
    <row r="1184" spans="1:13">
      <c r="A1184" t="s">
        <v>851</v>
      </c>
      <c r="B1184" t="s">
        <v>686</v>
      </c>
      <c r="C1184" t="s">
        <v>686</v>
      </c>
      <c r="D1184" t="s">
        <v>23</v>
      </c>
      <c r="E1184" t="s">
        <v>646</v>
      </c>
      <c r="F1184" t="s">
        <v>40</v>
      </c>
      <c r="G1184">
        <v>2015</v>
      </c>
      <c r="H1184" s="12">
        <v>1114</v>
      </c>
      <c r="I1184" t="s">
        <v>3183</v>
      </c>
      <c r="J1184" t="s">
        <v>394</v>
      </c>
      <c r="K1184" t="s">
        <v>272</v>
      </c>
      <c r="L1184" t="s">
        <v>3184</v>
      </c>
      <c r="M1184" t="s">
        <v>16</v>
      </c>
    </row>
    <row r="1185" spans="1:13">
      <c r="A1185" t="s">
        <v>851</v>
      </c>
      <c r="B1185" t="s">
        <v>686</v>
      </c>
      <c r="C1185" t="s">
        <v>686</v>
      </c>
      <c r="D1185" t="s">
        <v>23</v>
      </c>
      <c r="E1185" t="s">
        <v>646</v>
      </c>
      <c r="F1185" t="s">
        <v>40</v>
      </c>
      <c r="G1185">
        <v>2020</v>
      </c>
      <c r="H1185" s="12">
        <v>1436</v>
      </c>
      <c r="I1185" t="s">
        <v>3183</v>
      </c>
      <c r="J1185" t="s">
        <v>394</v>
      </c>
      <c r="K1185" t="s">
        <v>272</v>
      </c>
      <c r="L1185" t="s">
        <v>3184</v>
      </c>
      <c r="M1185" t="s">
        <v>16</v>
      </c>
    </row>
    <row r="1186" spans="1:13">
      <c r="A1186" t="s">
        <v>851</v>
      </c>
      <c r="B1186" t="s">
        <v>686</v>
      </c>
      <c r="C1186" t="s">
        <v>686</v>
      </c>
      <c r="D1186" t="s">
        <v>23</v>
      </c>
      <c r="E1186" t="s">
        <v>646</v>
      </c>
      <c r="F1186" t="s">
        <v>40</v>
      </c>
      <c r="G1186">
        <v>2030</v>
      </c>
      <c r="H1186" s="12">
        <v>2247</v>
      </c>
      <c r="I1186" t="s">
        <v>3183</v>
      </c>
      <c r="J1186" t="s">
        <v>394</v>
      </c>
      <c r="K1186" t="s">
        <v>272</v>
      </c>
      <c r="L1186" t="s">
        <v>3184</v>
      </c>
      <c r="M1186" t="s">
        <v>16</v>
      </c>
    </row>
    <row r="1187" spans="1:13">
      <c r="A1187" t="s">
        <v>851</v>
      </c>
      <c r="B1187" t="s">
        <v>686</v>
      </c>
      <c r="C1187" t="s">
        <v>686</v>
      </c>
      <c r="D1187" t="s">
        <v>23</v>
      </c>
      <c r="E1187" t="s">
        <v>646</v>
      </c>
      <c r="F1187" t="s">
        <v>40</v>
      </c>
      <c r="G1187">
        <v>2035</v>
      </c>
      <c r="H1187" s="12">
        <v>2510</v>
      </c>
      <c r="I1187" t="s">
        <v>3183</v>
      </c>
      <c r="J1187" t="s">
        <v>394</v>
      </c>
      <c r="K1187" t="s">
        <v>272</v>
      </c>
      <c r="L1187" t="s">
        <v>3184</v>
      </c>
      <c r="M1187" t="s">
        <v>16</v>
      </c>
    </row>
    <row r="1188" spans="1:13">
      <c r="A1188" t="s">
        <v>851</v>
      </c>
      <c r="B1188" t="s">
        <v>686</v>
      </c>
      <c r="C1188" t="s">
        <v>686</v>
      </c>
      <c r="D1188" t="s">
        <v>23</v>
      </c>
      <c r="E1188" t="s">
        <v>646</v>
      </c>
      <c r="F1188" t="s">
        <v>40</v>
      </c>
      <c r="G1188">
        <v>2040</v>
      </c>
      <c r="H1188" s="12">
        <v>2694</v>
      </c>
      <c r="I1188" t="s">
        <v>3183</v>
      </c>
      <c r="J1188" t="s">
        <v>394</v>
      </c>
      <c r="K1188" t="s">
        <v>272</v>
      </c>
      <c r="L1188" t="s">
        <v>3184</v>
      </c>
      <c r="M1188" t="s">
        <v>16</v>
      </c>
    </row>
    <row r="1189" spans="1:13">
      <c r="A1189" t="s">
        <v>851</v>
      </c>
      <c r="B1189" t="s">
        <v>686</v>
      </c>
      <c r="C1189" t="s">
        <v>686</v>
      </c>
      <c r="D1189" t="s">
        <v>23</v>
      </c>
      <c r="E1189" t="s">
        <v>646</v>
      </c>
      <c r="F1189" t="s">
        <v>40</v>
      </c>
      <c r="G1189">
        <v>2045</v>
      </c>
      <c r="H1189" s="12">
        <v>2802</v>
      </c>
      <c r="I1189" t="s">
        <v>3183</v>
      </c>
      <c r="J1189" t="s">
        <v>394</v>
      </c>
      <c r="K1189" t="s">
        <v>272</v>
      </c>
      <c r="L1189" t="s">
        <v>3184</v>
      </c>
      <c r="M1189" t="s">
        <v>16</v>
      </c>
    </row>
    <row r="1190" spans="1:13">
      <c r="A1190" t="s">
        <v>851</v>
      </c>
      <c r="B1190" t="s">
        <v>686</v>
      </c>
      <c r="C1190" t="s">
        <v>686</v>
      </c>
      <c r="D1190" t="s">
        <v>23</v>
      </c>
      <c r="E1190" t="s">
        <v>646</v>
      </c>
      <c r="F1190" t="s">
        <v>40</v>
      </c>
      <c r="G1190">
        <v>2050</v>
      </c>
      <c r="H1190" s="12">
        <v>2868</v>
      </c>
      <c r="I1190" t="s">
        <v>3183</v>
      </c>
      <c r="J1190" t="s">
        <v>394</v>
      </c>
      <c r="K1190" t="s">
        <v>272</v>
      </c>
      <c r="L1190" t="s">
        <v>3184</v>
      </c>
      <c r="M1190" t="s">
        <v>16</v>
      </c>
    </row>
    <row r="1191" spans="1:13">
      <c r="A1191" t="s">
        <v>851</v>
      </c>
      <c r="B1191" t="s">
        <v>687</v>
      </c>
      <c r="C1191" t="s">
        <v>687</v>
      </c>
      <c r="D1191" t="s">
        <v>23</v>
      </c>
      <c r="E1191" t="s">
        <v>646</v>
      </c>
      <c r="F1191" t="s">
        <v>40</v>
      </c>
      <c r="G1191">
        <v>2030</v>
      </c>
      <c r="H1191" s="12">
        <v>1883</v>
      </c>
      <c r="I1191" t="s">
        <v>3183</v>
      </c>
      <c r="J1191" t="s">
        <v>394</v>
      </c>
      <c r="K1191" t="s">
        <v>272</v>
      </c>
      <c r="L1191" t="s">
        <v>3184</v>
      </c>
      <c r="M1191" t="s">
        <v>16</v>
      </c>
    </row>
    <row r="1192" spans="1:13">
      <c r="A1192" t="s">
        <v>851</v>
      </c>
      <c r="B1192" t="s">
        <v>687</v>
      </c>
      <c r="C1192" t="s">
        <v>687</v>
      </c>
      <c r="D1192" t="s">
        <v>23</v>
      </c>
      <c r="E1192" t="s">
        <v>646</v>
      </c>
      <c r="F1192" t="s">
        <v>40</v>
      </c>
      <c r="G1192">
        <v>2035</v>
      </c>
      <c r="H1192" s="12">
        <v>1957</v>
      </c>
      <c r="I1192" t="s">
        <v>3183</v>
      </c>
      <c r="J1192" t="s">
        <v>394</v>
      </c>
      <c r="K1192" t="s">
        <v>272</v>
      </c>
      <c r="L1192" t="s">
        <v>3184</v>
      </c>
      <c r="M1192" t="s">
        <v>16</v>
      </c>
    </row>
    <row r="1193" spans="1:13">
      <c r="A1193" t="s">
        <v>851</v>
      </c>
      <c r="B1193" t="s">
        <v>687</v>
      </c>
      <c r="C1193" t="s">
        <v>687</v>
      </c>
      <c r="D1193" t="s">
        <v>23</v>
      </c>
      <c r="E1193" t="s">
        <v>646</v>
      </c>
      <c r="F1193" t="s">
        <v>40</v>
      </c>
      <c r="G1193">
        <v>2040</v>
      </c>
      <c r="H1193" s="12">
        <v>1945</v>
      </c>
      <c r="I1193" t="s">
        <v>3183</v>
      </c>
      <c r="J1193" t="s">
        <v>394</v>
      </c>
      <c r="K1193" t="s">
        <v>272</v>
      </c>
      <c r="L1193" t="s">
        <v>3184</v>
      </c>
      <c r="M1193" t="s">
        <v>16</v>
      </c>
    </row>
    <row r="1194" spans="1:13">
      <c r="A1194" t="s">
        <v>851</v>
      </c>
      <c r="B1194" t="s">
        <v>687</v>
      </c>
      <c r="C1194" t="s">
        <v>687</v>
      </c>
      <c r="D1194" t="s">
        <v>23</v>
      </c>
      <c r="E1194" t="s">
        <v>646</v>
      </c>
      <c r="F1194" t="s">
        <v>40</v>
      </c>
      <c r="G1194">
        <v>2045</v>
      </c>
      <c r="H1194" s="12">
        <v>1868</v>
      </c>
      <c r="I1194" t="s">
        <v>3183</v>
      </c>
      <c r="J1194" t="s">
        <v>394</v>
      </c>
      <c r="K1194" t="s">
        <v>272</v>
      </c>
      <c r="L1194" t="s">
        <v>3184</v>
      </c>
      <c r="M1194" t="s">
        <v>16</v>
      </c>
    </row>
    <row r="1195" spans="1:13">
      <c r="A1195" t="s">
        <v>851</v>
      </c>
      <c r="B1195" t="s">
        <v>687</v>
      </c>
      <c r="C1195" t="s">
        <v>687</v>
      </c>
      <c r="D1195" t="s">
        <v>23</v>
      </c>
      <c r="E1195" t="s">
        <v>646</v>
      </c>
      <c r="F1195" t="s">
        <v>40</v>
      </c>
      <c r="G1195">
        <v>2050</v>
      </c>
      <c r="H1195" s="12">
        <v>1779</v>
      </c>
      <c r="I1195" t="s">
        <v>3183</v>
      </c>
      <c r="J1195" t="s">
        <v>394</v>
      </c>
      <c r="K1195" t="s">
        <v>272</v>
      </c>
      <c r="L1195" t="s">
        <v>3184</v>
      </c>
      <c r="M1195" t="s">
        <v>16</v>
      </c>
    </row>
    <row r="1196" spans="1:13">
      <c r="A1196" t="s">
        <v>851</v>
      </c>
      <c r="B1196" t="s">
        <v>686</v>
      </c>
      <c r="C1196" t="s">
        <v>686</v>
      </c>
      <c r="D1196" t="s">
        <v>23</v>
      </c>
      <c r="E1196" t="s">
        <v>660</v>
      </c>
      <c r="F1196" t="s">
        <v>40</v>
      </c>
      <c r="G1196">
        <v>2010</v>
      </c>
      <c r="H1196" s="12">
        <v>11682</v>
      </c>
      <c r="I1196" t="s">
        <v>3183</v>
      </c>
      <c r="J1196" t="s">
        <v>5</v>
      </c>
      <c r="K1196" t="s">
        <v>657</v>
      </c>
      <c r="L1196" t="s">
        <v>3184</v>
      </c>
      <c r="M1196" t="s">
        <v>5</v>
      </c>
    </row>
    <row r="1197" spans="1:13">
      <c r="A1197" t="s">
        <v>851</v>
      </c>
      <c r="B1197" t="s">
        <v>686</v>
      </c>
      <c r="C1197" t="s">
        <v>686</v>
      </c>
      <c r="D1197" t="s">
        <v>23</v>
      </c>
      <c r="E1197" t="s">
        <v>660</v>
      </c>
      <c r="F1197" t="s">
        <v>40</v>
      </c>
      <c r="G1197">
        <v>2015</v>
      </c>
      <c r="H1197" s="12">
        <v>15781</v>
      </c>
      <c r="I1197" t="s">
        <v>3183</v>
      </c>
      <c r="J1197" t="s">
        <v>5</v>
      </c>
      <c r="K1197" t="s">
        <v>657</v>
      </c>
      <c r="L1197" t="s">
        <v>3184</v>
      </c>
      <c r="M1197" t="s">
        <v>5</v>
      </c>
    </row>
    <row r="1198" spans="1:13">
      <c r="A1198" t="s">
        <v>851</v>
      </c>
      <c r="B1198" t="s">
        <v>686</v>
      </c>
      <c r="C1198" t="s">
        <v>686</v>
      </c>
      <c r="D1198" t="s">
        <v>23</v>
      </c>
      <c r="E1198" t="s">
        <v>660</v>
      </c>
      <c r="F1198" t="s">
        <v>40</v>
      </c>
      <c r="G1198">
        <v>2020</v>
      </c>
      <c r="H1198" s="12">
        <v>15871</v>
      </c>
      <c r="I1198" t="s">
        <v>3183</v>
      </c>
      <c r="J1198" t="s">
        <v>5</v>
      </c>
      <c r="K1198" t="s">
        <v>657</v>
      </c>
      <c r="L1198" t="s">
        <v>3184</v>
      </c>
      <c r="M1198" t="s">
        <v>5</v>
      </c>
    </row>
    <row r="1199" spans="1:13">
      <c r="A1199" t="s">
        <v>851</v>
      </c>
      <c r="B1199" t="s">
        <v>686</v>
      </c>
      <c r="C1199" t="s">
        <v>686</v>
      </c>
      <c r="D1199" t="s">
        <v>23</v>
      </c>
      <c r="E1199" t="s">
        <v>660</v>
      </c>
      <c r="F1199" t="s">
        <v>40</v>
      </c>
      <c r="G1199">
        <v>2030</v>
      </c>
      <c r="H1199" s="12">
        <v>22692</v>
      </c>
      <c r="I1199" t="s">
        <v>3183</v>
      </c>
      <c r="J1199" t="s">
        <v>5</v>
      </c>
      <c r="K1199" t="s">
        <v>657</v>
      </c>
      <c r="L1199" t="s">
        <v>3184</v>
      </c>
      <c r="M1199" t="s">
        <v>5</v>
      </c>
    </row>
    <row r="1200" spans="1:13">
      <c r="A1200" t="s">
        <v>851</v>
      </c>
      <c r="B1200" t="s">
        <v>686</v>
      </c>
      <c r="C1200" t="s">
        <v>686</v>
      </c>
      <c r="D1200" t="s">
        <v>23</v>
      </c>
      <c r="E1200" t="s">
        <v>660</v>
      </c>
      <c r="F1200" t="s">
        <v>40</v>
      </c>
      <c r="G1200">
        <v>2035</v>
      </c>
      <c r="H1200" s="12">
        <v>22697</v>
      </c>
      <c r="I1200" t="s">
        <v>3183</v>
      </c>
      <c r="J1200" t="s">
        <v>5</v>
      </c>
      <c r="K1200" t="s">
        <v>657</v>
      </c>
      <c r="L1200" t="s">
        <v>3184</v>
      </c>
      <c r="M1200" t="s">
        <v>5</v>
      </c>
    </row>
    <row r="1201" spans="1:13">
      <c r="A1201" t="s">
        <v>851</v>
      </c>
      <c r="B1201" t="s">
        <v>686</v>
      </c>
      <c r="C1201" t="s">
        <v>686</v>
      </c>
      <c r="D1201" t="s">
        <v>23</v>
      </c>
      <c r="E1201" t="s">
        <v>660</v>
      </c>
      <c r="F1201" t="s">
        <v>40</v>
      </c>
      <c r="G1201">
        <v>2040</v>
      </c>
      <c r="H1201" s="12">
        <v>21641</v>
      </c>
      <c r="I1201" t="s">
        <v>3183</v>
      </c>
      <c r="J1201" t="s">
        <v>5</v>
      </c>
      <c r="K1201" t="s">
        <v>657</v>
      </c>
      <c r="L1201" t="s">
        <v>3184</v>
      </c>
      <c r="M1201" t="s">
        <v>5</v>
      </c>
    </row>
    <row r="1202" spans="1:13">
      <c r="A1202" t="s">
        <v>851</v>
      </c>
      <c r="B1202" t="s">
        <v>686</v>
      </c>
      <c r="C1202" t="s">
        <v>686</v>
      </c>
      <c r="D1202" t="s">
        <v>23</v>
      </c>
      <c r="E1202" t="s">
        <v>660</v>
      </c>
      <c r="F1202" t="s">
        <v>40</v>
      </c>
      <c r="G1202">
        <v>2045</v>
      </c>
      <c r="H1202" s="12">
        <v>20779</v>
      </c>
      <c r="I1202" t="s">
        <v>3183</v>
      </c>
      <c r="J1202" t="s">
        <v>5</v>
      </c>
      <c r="K1202" t="s">
        <v>657</v>
      </c>
      <c r="L1202" t="s">
        <v>3184</v>
      </c>
      <c r="M1202" t="s">
        <v>5</v>
      </c>
    </row>
    <row r="1203" spans="1:13">
      <c r="A1203" t="s">
        <v>851</v>
      </c>
      <c r="B1203" t="s">
        <v>686</v>
      </c>
      <c r="C1203" t="s">
        <v>686</v>
      </c>
      <c r="D1203" t="s">
        <v>23</v>
      </c>
      <c r="E1203" t="s">
        <v>660</v>
      </c>
      <c r="F1203" t="s">
        <v>40</v>
      </c>
      <c r="G1203">
        <v>2050</v>
      </c>
      <c r="H1203" s="12">
        <v>19678</v>
      </c>
      <c r="I1203" t="s">
        <v>3183</v>
      </c>
      <c r="J1203" t="s">
        <v>5</v>
      </c>
      <c r="K1203" t="s">
        <v>657</v>
      </c>
      <c r="L1203" t="s">
        <v>3184</v>
      </c>
      <c r="M1203" t="s">
        <v>5</v>
      </c>
    </row>
    <row r="1204" spans="1:13">
      <c r="A1204" t="s">
        <v>851</v>
      </c>
      <c r="B1204" t="s">
        <v>687</v>
      </c>
      <c r="C1204" t="s">
        <v>687</v>
      </c>
      <c r="D1204" t="s">
        <v>23</v>
      </c>
      <c r="E1204" t="s">
        <v>660</v>
      </c>
      <c r="F1204" t="s">
        <v>40</v>
      </c>
      <c r="G1204">
        <v>2030</v>
      </c>
      <c r="H1204" s="12">
        <v>20674</v>
      </c>
      <c r="I1204" t="s">
        <v>3183</v>
      </c>
      <c r="J1204" t="s">
        <v>5</v>
      </c>
      <c r="K1204" t="s">
        <v>657</v>
      </c>
      <c r="L1204" t="s">
        <v>3184</v>
      </c>
      <c r="M1204" t="s">
        <v>5</v>
      </c>
    </row>
    <row r="1205" spans="1:13">
      <c r="A1205" t="s">
        <v>851</v>
      </c>
      <c r="B1205" t="s">
        <v>687</v>
      </c>
      <c r="C1205" t="s">
        <v>687</v>
      </c>
      <c r="D1205" t="s">
        <v>23</v>
      </c>
      <c r="E1205" t="s">
        <v>660</v>
      </c>
      <c r="F1205" t="s">
        <v>40</v>
      </c>
      <c r="G1205">
        <v>2035</v>
      </c>
      <c r="H1205" s="12">
        <v>18654</v>
      </c>
      <c r="I1205" t="s">
        <v>3183</v>
      </c>
      <c r="J1205" t="s">
        <v>5</v>
      </c>
      <c r="K1205" t="s">
        <v>657</v>
      </c>
      <c r="L1205" t="s">
        <v>3184</v>
      </c>
      <c r="M1205" t="s">
        <v>5</v>
      </c>
    </row>
    <row r="1206" spans="1:13">
      <c r="A1206" t="s">
        <v>851</v>
      </c>
      <c r="B1206" t="s">
        <v>687</v>
      </c>
      <c r="C1206" t="s">
        <v>687</v>
      </c>
      <c r="D1206" t="s">
        <v>23</v>
      </c>
      <c r="E1206" t="s">
        <v>660</v>
      </c>
      <c r="F1206" t="s">
        <v>40</v>
      </c>
      <c r="G1206">
        <v>2040</v>
      </c>
      <c r="H1206" s="12">
        <v>12317</v>
      </c>
      <c r="I1206" t="s">
        <v>3183</v>
      </c>
      <c r="J1206" t="s">
        <v>5</v>
      </c>
      <c r="K1206" t="s">
        <v>657</v>
      </c>
      <c r="L1206" t="s">
        <v>3184</v>
      </c>
      <c r="M1206" t="s">
        <v>5</v>
      </c>
    </row>
    <row r="1207" spans="1:13">
      <c r="A1207" t="s">
        <v>851</v>
      </c>
      <c r="B1207" t="s">
        <v>687</v>
      </c>
      <c r="C1207" t="s">
        <v>687</v>
      </c>
      <c r="D1207" t="s">
        <v>23</v>
      </c>
      <c r="E1207" t="s">
        <v>660</v>
      </c>
      <c r="F1207" t="s">
        <v>40</v>
      </c>
      <c r="G1207">
        <v>2045</v>
      </c>
      <c r="H1207" s="12">
        <v>9183</v>
      </c>
      <c r="I1207" t="s">
        <v>3183</v>
      </c>
      <c r="J1207" t="s">
        <v>5</v>
      </c>
      <c r="K1207" t="s">
        <v>657</v>
      </c>
      <c r="L1207" t="s">
        <v>3184</v>
      </c>
      <c r="M1207" t="s">
        <v>5</v>
      </c>
    </row>
    <row r="1208" spans="1:13">
      <c r="A1208" t="s">
        <v>851</v>
      </c>
      <c r="B1208" t="s">
        <v>687</v>
      </c>
      <c r="C1208" t="s">
        <v>687</v>
      </c>
      <c r="D1208" t="s">
        <v>23</v>
      </c>
      <c r="E1208" t="s">
        <v>660</v>
      </c>
      <c r="F1208" t="s">
        <v>40</v>
      </c>
      <c r="G1208">
        <v>2050</v>
      </c>
      <c r="H1208" s="12">
        <v>7128</v>
      </c>
      <c r="I1208" t="s">
        <v>3183</v>
      </c>
      <c r="J1208" t="s">
        <v>5</v>
      </c>
      <c r="K1208" t="s">
        <v>657</v>
      </c>
      <c r="L1208" t="s">
        <v>3184</v>
      </c>
      <c r="M1208" t="s">
        <v>5</v>
      </c>
    </row>
    <row r="1209" spans="1:13">
      <c r="A1209" t="s">
        <v>851</v>
      </c>
      <c r="B1209" t="s">
        <v>686</v>
      </c>
      <c r="C1209" t="s">
        <v>686</v>
      </c>
      <c r="D1209" t="s">
        <v>23</v>
      </c>
      <c r="E1209" t="s">
        <v>660</v>
      </c>
      <c r="F1209" t="s">
        <v>40</v>
      </c>
      <c r="G1209">
        <v>2010</v>
      </c>
      <c r="H1209" s="12">
        <v>13</v>
      </c>
      <c r="I1209" t="s">
        <v>3183</v>
      </c>
      <c r="J1209" t="s">
        <v>17</v>
      </c>
      <c r="K1209" t="s">
        <v>657</v>
      </c>
      <c r="L1209" t="s">
        <v>3184</v>
      </c>
      <c r="M1209" t="s">
        <v>17</v>
      </c>
    </row>
    <row r="1210" spans="1:13">
      <c r="A1210" t="s">
        <v>851</v>
      </c>
      <c r="B1210" t="s">
        <v>686</v>
      </c>
      <c r="C1210" t="s">
        <v>686</v>
      </c>
      <c r="D1210" t="s">
        <v>23</v>
      </c>
      <c r="E1210" t="s">
        <v>660</v>
      </c>
      <c r="F1210" t="s">
        <v>40</v>
      </c>
      <c r="G1210">
        <v>2015</v>
      </c>
      <c r="H1210" s="12">
        <v>65</v>
      </c>
      <c r="I1210" t="s">
        <v>3183</v>
      </c>
      <c r="J1210" t="s">
        <v>17</v>
      </c>
      <c r="K1210" t="s">
        <v>657</v>
      </c>
      <c r="L1210" t="s">
        <v>3184</v>
      </c>
      <c r="M1210" t="s">
        <v>17</v>
      </c>
    </row>
    <row r="1211" spans="1:13">
      <c r="A1211" t="s">
        <v>851</v>
      </c>
      <c r="B1211" t="s">
        <v>686</v>
      </c>
      <c r="C1211" t="s">
        <v>686</v>
      </c>
      <c r="D1211" t="s">
        <v>23</v>
      </c>
      <c r="E1211" t="s">
        <v>660</v>
      </c>
      <c r="F1211" t="s">
        <v>40</v>
      </c>
      <c r="G1211">
        <v>2020</v>
      </c>
      <c r="H1211" s="12">
        <v>274</v>
      </c>
      <c r="I1211" t="s">
        <v>3183</v>
      </c>
      <c r="J1211" t="s">
        <v>17</v>
      </c>
      <c r="K1211" t="s">
        <v>657</v>
      </c>
      <c r="L1211" t="s">
        <v>3184</v>
      </c>
      <c r="M1211" t="s">
        <v>17</v>
      </c>
    </row>
    <row r="1212" spans="1:13">
      <c r="A1212" t="s">
        <v>851</v>
      </c>
      <c r="B1212" t="s">
        <v>686</v>
      </c>
      <c r="C1212" t="s">
        <v>686</v>
      </c>
      <c r="D1212" t="s">
        <v>23</v>
      </c>
      <c r="E1212" t="s">
        <v>660</v>
      </c>
      <c r="F1212" t="s">
        <v>40</v>
      </c>
      <c r="G1212">
        <v>2030</v>
      </c>
      <c r="H1212" s="12">
        <v>1681</v>
      </c>
      <c r="I1212" t="s">
        <v>3183</v>
      </c>
      <c r="J1212" t="s">
        <v>17</v>
      </c>
      <c r="K1212" t="s">
        <v>657</v>
      </c>
      <c r="L1212" t="s">
        <v>3184</v>
      </c>
      <c r="M1212" t="s">
        <v>17</v>
      </c>
    </row>
    <row r="1213" spans="1:13">
      <c r="A1213" t="s">
        <v>851</v>
      </c>
      <c r="B1213" t="s">
        <v>686</v>
      </c>
      <c r="C1213" t="s">
        <v>686</v>
      </c>
      <c r="D1213" t="s">
        <v>23</v>
      </c>
      <c r="E1213" t="s">
        <v>660</v>
      </c>
      <c r="F1213" t="s">
        <v>40</v>
      </c>
      <c r="G1213">
        <v>2035</v>
      </c>
      <c r="H1213" s="12">
        <v>3284</v>
      </c>
      <c r="I1213" t="s">
        <v>3183</v>
      </c>
      <c r="J1213" t="s">
        <v>17</v>
      </c>
      <c r="K1213" t="s">
        <v>657</v>
      </c>
      <c r="L1213" t="s">
        <v>3184</v>
      </c>
      <c r="M1213" t="s">
        <v>17</v>
      </c>
    </row>
    <row r="1214" spans="1:13">
      <c r="A1214" t="s">
        <v>851</v>
      </c>
      <c r="B1214" t="s">
        <v>686</v>
      </c>
      <c r="C1214" t="s">
        <v>686</v>
      </c>
      <c r="D1214" t="s">
        <v>23</v>
      </c>
      <c r="E1214" t="s">
        <v>660</v>
      </c>
      <c r="F1214" t="s">
        <v>40</v>
      </c>
      <c r="G1214">
        <v>2040</v>
      </c>
      <c r="H1214" s="12">
        <v>5275</v>
      </c>
      <c r="I1214" t="s">
        <v>3183</v>
      </c>
      <c r="J1214" t="s">
        <v>17</v>
      </c>
      <c r="K1214" t="s">
        <v>657</v>
      </c>
      <c r="L1214" t="s">
        <v>3184</v>
      </c>
      <c r="M1214" t="s">
        <v>17</v>
      </c>
    </row>
    <row r="1215" spans="1:13">
      <c r="A1215" t="s">
        <v>851</v>
      </c>
      <c r="B1215" t="s">
        <v>686</v>
      </c>
      <c r="C1215" t="s">
        <v>686</v>
      </c>
      <c r="D1215" t="s">
        <v>23</v>
      </c>
      <c r="E1215" t="s">
        <v>660</v>
      </c>
      <c r="F1215" t="s">
        <v>40</v>
      </c>
      <c r="G1215">
        <v>2045</v>
      </c>
      <c r="H1215" s="12">
        <v>7100</v>
      </c>
      <c r="I1215" t="s">
        <v>3183</v>
      </c>
      <c r="J1215" t="s">
        <v>17</v>
      </c>
      <c r="K1215" t="s">
        <v>657</v>
      </c>
      <c r="L1215" t="s">
        <v>3184</v>
      </c>
      <c r="M1215" t="s">
        <v>17</v>
      </c>
    </row>
    <row r="1216" spans="1:13">
      <c r="A1216" t="s">
        <v>851</v>
      </c>
      <c r="B1216" t="s">
        <v>686</v>
      </c>
      <c r="C1216" t="s">
        <v>686</v>
      </c>
      <c r="D1216" t="s">
        <v>23</v>
      </c>
      <c r="E1216" t="s">
        <v>660</v>
      </c>
      <c r="F1216" t="s">
        <v>40</v>
      </c>
      <c r="G1216">
        <v>2050</v>
      </c>
      <c r="H1216" s="12">
        <v>8433</v>
      </c>
      <c r="I1216" t="s">
        <v>3183</v>
      </c>
      <c r="J1216" t="s">
        <v>17</v>
      </c>
      <c r="K1216" t="s">
        <v>657</v>
      </c>
      <c r="L1216" t="s">
        <v>3184</v>
      </c>
      <c r="M1216" t="s">
        <v>17</v>
      </c>
    </row>
    <row r="1217" spans="1:13">
      <c r="A1217" t="s">
        <v>851</v>
      </c>
      <c r="B1217" t="s">
        <v>687</v>
      </c>
      <c r="C1217" t="s">
        <v>687</v>
      </c>
      <c r="D1217" t="s">
        <v>23</v>
      </c>
      <c r="E1217" t="s">
        <v>660</v>
      </c>
      <c r="F1217" t="s">
        <v>40</v>
      </c>
      <c r="G1217">
        <v>2030</v>
      </c>
      <c r="H1217" s="12">
        <v>1848</v>
      </c>
      <c r="I1217" t="s">
        <v>3183</v>
      </c>
      <c r="J1217" t="s">
        <v>17</v>
      </c>
      <c r="K1217" t="s">
        <v>657</v>
      </c>
      <c r="L1217" t="s">
        <v>3184</v>
      </c>
      <c r="M1217" t="s">
        <v>17</v>
      </c>
    </row>
    <row r="1218" spans="1:13">
      <c r="A1218" t="s">
        <v>851</v>
      </c>
      <c r="B1218" t="s">
        <v>687</v>
      </c>
      <c r="C1218" t="s">
        <v>687</v>
      </c>
      <c r="D1218" t="s">
        <v>23</v>
      </c>
      <c r="E1218" t="s">
        <v>660</v>
      </c>
      <c r="F1218" t="s">
        <v>40</v>
      </c>
      <c r="G1218">
        <v>2035</v>
      </c>
      <c r="H1218" s="12">
        <v>4251</v>
      </c>
      <c r="I1218" t="s">
        <v>3183</v>
      </c>
      <c r="J1218" t="s">
        <v>17</v>
      </c>
      <c r="K1218" t="s">
        <v>657</v>
      </c>
      <c r="L1218" t="s">
        <v>3184</v>
      </c>
      <c r="M1218" t="s">
        <v>17</v>
      </c>
    </row>
    <row r="1219" spans="1:13">
      <c r="A1219" t="s">
        <v>851</v>
      </c>
      <c r="B1219" t="s">
        <v>687</v>
      </c>
      <c r="C1219" t="s">
        <v>687</v>
      </c>
      <c r="D1219" t="s">
        <v>23</v>
      </c>
      <c r="E1219" t="s">
        <v>660</v>
      </c>
      <c r="F1219" t="s">
        <v>40</v>
      </c>
      <c r="G1219">
        <v>2040</v>
      </c>
      <c r="H1219" s="12">
        <v>8174</v>
      </c>
      <c r="I1219" t="s">
        <v>3183</v>
      </c>
      <c r="J1219" t="s">
        <v>17</v>
      </c>
      <c r="K1219" t="s">
        <v>657</v>
      </c>
      <c r="L1219" t="s">
        <v>3184</v>
      </c>
      <c r="M1219" t="s">
        <v>17</v>
      </c>
    </row>
    <row r="1220" spans="1:13">
      <c r="A1220" t="s">
        <v>851</v>
      </c>
      <c r="B1220" t="s">
        <v>687</v>
      </c>
      <c r="C1220" t="s">
        <v>687</v>
      </c>
      <c r="D1220" t="s">
        <v>23</v>
      </c>
      <c r="E1220" t="s">
        <v>660</v>
      </c>
      <c r="F1220" t="s">
        <v>40</v>
      </c>
      <c r="G1220">
        <v>2045</v>
      </c>
      <c r="H1220" s="12">
        <v>11308</v>
      </c>
      <c r="I1220" t="s">
        <v>3183</v>
      </c>
      <c r="J1220" t="s">
        <v>17</v>
      </c>
      <c r="K1220" t="s">
        <v>657</v>
      </c>
      <c r="L1220" t="s">
        <v>3184</v>
      </c>
      <c r="M1220" t="s">
        <v>17</v>
      </c>
    </row>
    <row r="1221" spans="1:13">
      <c r="A1221" t="s">
        <v>851</v>
      </c>
      <c r="B1221" t="s">
        <v>687</v>
      </c>
      <c r="C1221" t="s">
        <v>687</v>
      </c>
      <c r="D1221" t="s">
        <v>23</v>
      </c>
      <c r="E1221" t="s">
        <v>660</v>
      </c>
      <c r="F1221" t="s">
        <v>40</v>
      </c>
      <c r="G1221">
        <v>2050</v>
      </c>
      <c r="H1221" s="12">
        <v>14376</v>
      </c>
      <c r="I1221" t="s">
        <v>3183</v>
      </c>
      <c r="J1221" t="s">
        <v>17</v>
      </c>
      <c r="K1221" t="s">
        <v>657</v>
      </c>
      <c r="L1221" t="s">
        <v>3184</v>
      </c>
      <c r="M1221" t="s">
        <v>17</v>
      </c>
    </row>
    <row r="1222" spans="1:13">
      <c r="A1222" t="s">
        <v>851</v>
      </c>
      <c r="B1222" t="s">
        <v>686</v>
      </c>
      <c r="C1222" t="s">
        <v>686</v>
      </c>
      <c r="D1222" t="s">
        <v>23</v>
      </c>
      <c r="E1222" t="s">
        <v>660</v>
      </c>
      <c r="F1222" t="s">
        <v>40</v>
      </c>
      <c r="G1222">
        <v>2010</v>
      </c>
      <c r="H1222" s="12">
        <v>71</v>
      </c>
      <c r="I1222" t="s">
        <v>3183</v>
      </c>
      <c r="J1222" t="s">
        <v>18</v>
      </c>
      <c r="K1222" t="s">
        <v>657</v>
      </c>
      <c r="L1222" t="s">
        <v>3184</v>
      </c>
      <c r="M1222" t="s">
        <v>18</v>
      </c>
    </row>
    <row r="1223" spans="1:13">
      <c r="A1223" t="s">
        <v>851</v>
      </c>
      <c r="B1223" t="s">
        <v>686</v>
      </c>
      <c r="C1223" t="s">
        <v>686</v>
      </c>
      <c r="D1223" t="s">
        <v>23</v>
      </c>
      <c r="E1223" t="s">
        <v>660</v>
      </c>
      <c r="F1223" t="s">
        <v>40</v>
      </c>
      <c r="G1223">
        <v>2015</v>
      </c>
      <c r="H1223" s="12">
        <v>126</v>
      </c>
      <c r="I1223" t="s">
        <v>3183</v>
      </c>
      <c r="J1223" t="s">
        <v>18</v>
      </c>
      <c r="K1223" t="s">
        <v>657</v>
      </c>
      <c r="L1223" t="s">
        <v>3184</v>
      </c>
      <c r="M1223" t="s">
        <v>18</v>
      </c>
    </row>
    <row r="1224" spans="1:13">
      <c r="A1224" t="s">
        <v>851</v>
      </c>
      <c r="B1224" t="s">
        <v>686</v>
      </c>
      <c r="C1224" t="s">
        <v>686</v>
      </c>
      <c r="D1224" t="s">
        <v>23</v>
      </c>
      <c r="E1224" t="s">
        <v>660</v>
      </c>
      <c r="F1224" t="s">
        <v>40</v>
      </c>
      <c r="G1224">
        <v>2020</v>
      </c>
      <c r="H1224" s="12">
        <v>243</v>
      </c>
      <c r="I1224" t="s">
        <v>3183</v>
      </c>
      <c r="J1224" t="s">
        <v>18</v>
      </c>
      <c r="K1224" t="s">
        <v>657</v>
      </c>
      <c r="L1224" t="s">
        <v>3184</v>
      </c>
      <c r="M1224" t="s">
        <v>18</v>
      </c>
    </row>
    <row r="1225" spans="1:13">
      <c r="A1225" t="s">
        <v>851</v>
      </c>
      <c r="B1225" t="s">
        <v>686</v>
      </c>
      <c r="C1225" t="s">
        <v>686</v>
      </c>
      <c r="D1225" t="s">
        <v>23</v>
      </c>
      <c r="E1225" t="s">
        <v>660</v>
      </c>
      <c r="F1225" t="s">
        <v>40</v>
      </c>
      <c r="G1225">
        <v>2030</v>
      </c>
      <c r="H1225" s="12">
        <v>759</v>
      </c>
      <c r="I1225" t="s">
        <v>3183</v>
      </c>
      <c r="J1225" t="s">
        <v>18</v>
      </c>
      <c r="K1225" t="s">
        <v>657</v>
      </c>
      <c r="L1225" t="s">
        <v>3184</v>
      </c>
      <c r="M1225" t="s">
        <v>18</v>
      </c>
    </row>
    <row r="1226" spans="1:13">
      <c r="A1226" t="s">
        <v>851</v>
      </c>
      <c r="B1226" t="s">
        <v>686</v>
      </c>
      <c r="C1226" t="s">
        <v>686</v>
      </c>
      <c r="D1226" t="s">
        <v>23</v>
      </c>
      <c r="E1226" t="s">
        <v>660</v>
      </c>
      <c r="F1226" t="s">
        <v>40</v>
      </c>
      <c r="G1226">
        <v>2035</v>
      </c>
      <c r="H1226" s="12">
        <v>1601</v>
      </c>
      <c r="I1226" t="s">
        <v>3183</v>
      </c>
      <c r="J1226" t="s">
        <v>18</v>
      </c>
      <c r="K1226" t="s">
        <v>657</v>
      </c>
      <c r="L1226" t="s">
        <v>3184</v>
      </c>
      <c r="M1226" t="s">
        <v>18</v>
      </c>
    </row>
    <row r="1227" spans="1:13">
      <c r="A1227" t="s">
        <v>851</v>
      </c>
      <c r="B1227" t="s">
        <v>686</v>
      </c>
      <c r="C1227" t="s">
        <v>686</v>
      </c>
      <c r="D1227" t="s">
        <v>23</v>
      </c>
      <c r="E1227" t="s">
        <v>660</v>
      </c>
      <c r="F1227" t="s">
        <v>40</v>
      </c>
      <c r="G1227">
        <v>2040</v>
      </c>
      <c r="H1227" s="12">
        <v>2391</v>
      </c>
      <c r="I1227" t="s">
        <v>3183</v>
      </c>
      <c r="J1227" t="s">
        <v>18</v>
      </c>
      <c r="K1227" t="s">
        <v>657</v>
      </c>
      <c r="L1227" t="s">
        <v>3184</v>
      </c>
      <c r="M1227" t="s">
        <v>18</v>
      </c>
    </row>
    <row r="1228" spans="1:13">
      <c r="A1228" t="s">
        <v>851</v>
      </c>
      <c r="B1228" t="s">
        <v>686</v>
      </c>
      <c r="C1228" t="s">
        <v>686</v>
      </c>
      <c r="D1228" t="s">
        <v>23</v>
      </c>
      <c r="E1228" t="s">
        <v>660</v>
      </c>
      <c r="F1228" t="s">
        <v>40</v>
      </c>
      <c r="G1228">
        <v>2045</v>
      </c>
      <c r="H1228" s="12">
        <v>3210</v>
      </c>
      <c r="I1228" t="s">
        <v>3183</v>
      </c>
      <c r="J1228" t="s">
        <v>18</v>
      </c>
      <c r="K1228" t="s">
        <v>657</v>
      </c>
      <c r="L1228" t="s">
        <v>3184</v>
      </c>
      <c r="M1228" t="s">
        <v>18</v>
      </c>
    </row>
    <row r="1229" spans="1:13">
      <c r="A1229" t="s">
        <v>851</v>
      </c>
      <c r="B1229" t="s">
        <v>686</v>
      </c>
      <c r="C1229" t="s">
        <v>686</v>
      </c>
      <c r="D1229" t="s">
        <v>23</v>
      </c>
      <c r="E1229" t="s">
        <v>660</v>
      </c>
      <c r="F1229" t="s">
        <v>40</v>
      </c>
      <c r="G1229">
        <v>2050</v>
      </c>
      <c r="H1229" s="12">
        <v>4017</v>
      </c>
      <c r="I1229" t="s">
        <v>3183</v>
      </c>
      <c r="J1229" t="s">
        <v>18</v>
      </c>
      <c r="K1229" t="s">
        <v>657</v>
      </c>
      <c r="L1229" t="s">
        <v>3184</v>
      </c>
      <c r="M1229" t="s">
        <v>18</v>
      </c>
    </row>
    <row r="1230" spans="1:13">
      <c r="A1230" t="s">
        <v>851</v>
      </c>
      <c r="B1230" t="s">
        <v>687</v>
      </c>
      <c r="C1230" t="s">
        <v>687</v>
      </c>
      <c r="D1230" t="s">
        <v>23</v>
      </c>
      <c r="E1230" t="s">
        <v>660</v>
      </c>
      <c r="F1230" t="s">
        <v>40</v>
      </c>
      <c r="G1230">
        <v>2030</v>
      </c>
      <c r="H1230" s="12">
        <v>769</v>
      </c>
      <c r="I1230" t="s">
        <v>3183</v>
      </c>
      <c r="J1230" t="s">
        <v>18</v>
      </c>
      <c r="K1230" t="s">
        <v>657</v>
      </c>
      <c r="L1230" t="s">
        <v>3184</v>
      </c>
      <c r="M1230" t="s">
        <v>18</v>
      </c>
    </row>
    <row r="1231" spans="1:13">
      <c r="A1231" t="s">
        <v>851</v>
      </c>
      <c r="B1231" t="s">
        <v>687</v>
      </c>
      <c r="C1231" t="s">
        <v>687</v>
      </c>
      <c r="D1231" t="s">
        <v>23</v>
      </c>
      <c r="E1231" t="s">
        <v>660</v>
      </c>
      <c r="F1231" t="s">
        <v>40</v>
      </c>
      <c r="G1231">
        <v>2035</v>
      </c>
      <c r="H1231" s="12">
        <v>1731</v>
      </c>
      <c r="I1231" t="s">
        <v>3183</v>
      </c>
      <c r="J1231" t="s">
        <v>18</v>
      </c>
      <c r="K1231" t="s">
        <v>657</v>
      </c>
      <c r="L1231" t="s">
        <v>3184</v>
      </c>
      <c r="M1231" t="s">
        <v>18</v>
      </c>
    </row>
    <row r="1232" spans="1:13">
      <c r="A1232" t="s">
        <v>851</v>
      </c>
      <c r="B1232" t="s">
        <v>687</v>
      </c>
      <c r="C1232" t="s">
        <v>687</v>
      </c>
      <c r="D1232" t="s">
        <v>23</v>
      </c>
      <c r="E1232" t="s">
        <v>660</v>
      </c>
      <c r="F1232" t="s">
        <v>40</v>
      </c>
      <c r="G1232">
        <v>2040</v>
      </c>
      <c r="H1232" s="12">
        <v>3306</v>
      </c>
      <c r="I1232" t="s">
        <v>3183</v>
      </c>
      <c r="J1232" t="s">
        <v>18</v>
      </c>
      <c r="K1232" t="s">
        <v>657</v>
      </c>
      <c r="L1232" t="s">
        <v>3184</v>
      </c>
      <c r="M1232" t="s">
        <v>18</v>
      </c>
    </row>
    <row r="1233" spans="1:13">
      <c r="A1233" t="s">
        <v>851</v>
      </c>
      <c r="B1233" t="s">
        <v>687</v>
      </c>
      <c r="C1233" t="s">
        <v>687</v>
      </c>
      <c r="D1233" t="s">
        <v>23</v>
      </c>
      <c r="E1233" t="s">
        <v>660</v>
      </c>
      <c r="F1233" t="s">
        <v>40</v>
      </c>
      <c r="G1233">
        <v>2045</v>
      </c>
      <c r="H1233" s="12">
        <v>0</v>
      </c>
      <c r="I1233" t="s">
        <v>3183</v>
      </c>
      <c r="J1233" t="s">
        <v>41</v>
      </c>
      <c r="K1233" t="s">
        <v>657</v>
      </c>
      <c r="L1233" t="s">
        <v>3184</v>
      </c>
      <c r="M1233" t="s">
        <v>661</v>
      </c>
    </row>
    <row r="1234" spans="1:13">
      <c r="A1234" t="s">
        <v>851</v>
      </c>
      <c r="B1234" t="s">
        <v>687</v>
      </c>
      <c r="C1234" t="s">
        <v>687</v>
      </c>
      <c r="D1234" t="s">
        <v>23</v>
      </c>
      <c r="E1234" t="s">
        <v>660</v>
      </c>
      <c r="F1234" t="s">
        <v>40</v>
      </c>
      <c r="G1234">
        <v>2050</v>
      </c>
      <c r="H1234" s="12">
        <v>0</v>
      </c>
      <c r="I1234" t="s">
        <v>3183</v>
      </c>
      <c r="J1234" t="s">
        <v>41</v>
      </c>
      <c r="K1234" t="s">
        <v>657</v>
      </c>
      <c r="L1234" t="s">
        <v>3184</v>
      </c>
      <c r="M1234" t="s">
        <v>661</v>
      </c>
    </row>
    <row r="1235" spans="1:13">
      <c r="A1235" t="s">
        <v>851</v>
      </c>
      <c r="B1235" t="s">
        <v>686</v>
      </c>
      <c r="C1235" t="s">
        <v>686</v>
      </c>
      <c r="D1235" t="s">
        <v>23</v>
      </c>
      <c r="E1235" t="s">
        <v>660</v>
      </c>
      <c r="F1235" t="s">
        <v>40</v>
      </c>
      <c r="G1235">
        <v>2010</v>
      </c>
      <c r="H1235" s="12">
        <v>287</v>
      </c>
      <c r="I1235" t="s">
        <v>3183</v>
      </c>
      <c r="J1235" t="s">
        <v>15</v>
      </c>
      <c r="K1235" t="s">
        <v>657</v>
      </c>
      <c r="L1235" t="s">
        <v>3184</v>
      </c>
      <c r="M1235" t="s">
        <v>15</v>
      </c>
    </row>
    <row r="1236" spans="1:13">
      <c r="A1236" t="s">
        <v>851</v>
      </c>
      <c r="B1236" t="s">
        <v>686</v>
      </c>
      <c r="C1236" t="s">
        <v>686</v>
      </c>
      <c r="D1236" t="s">
        <v>23</v>
      </c>
      <c r="E1236" t="s">
        <v>660</v>
      </c>
      <c r="F1236" t="s">
        <v>40</v>
      </c>
      <c r="G1236">
        <v>2015</v>
      </c>
      <c r="H1236" s="12">
        <v>408</v>
      </c>
      <c r="I1236" t="s">
        <v>3183</v>
      </c>
      <c r="J1236" t="s">
        <v>15</v>
      </c>
      <c r="K1236" t="s">
        <v>657</v>
      </c>
      <c r="L1236" t="s">
        <v>3184</v>
      </c>
      <c r="M1236" t="s">
        <v>15</v>
      </c>
    </row>
    <row r="1237" spans="1:13">
      <c r="A1237" t="s">
        <v>851</v>
      </c>
      <c r="B1237" t="s">
        <v>686</v>
      </c>
      <c r="C1237" t="s">
        <v>686</v>
      </c>
      <c r="D1237" t="s">
        <v>23</v>
      </c>
      <c r="E1237" t="s">
        <v>660</v>
      </c>
      <c r="F1237" t="s">
        <v>40</v>
      </c>
      <c r="G1237">
        <v>2020</v>
      </c>
      <c r="H1237" s="12">
        <v>469</v>
      </c>
      <c r="I1237" t="s">
        <v>3183</v>
      </c>
      <c r="J1237" t="s">
        <v>15</v>
      </c>
      <c r="K1237" t="s">
        <v>657</v>
      </c>
      <c r="L1237" t="s">
        <v>3184</v>
      </c>
      <c r="M1237" t="s">
        <v>15</v>
      </c>
    </row>
    <row r="1238" spans="1:13">
      <c r="A1238" t="s">
        <v>851</v>
      </c>
      <c r="B1238" t="s">
        <v>686</v>
      </c>
      <c r="C1238" t="s">
        <v>686</v>
      </c>
      <c r="D1238" t="s">
        <v>23</v>
      </c>
      <c r="E1238" t="s">
        <v>660</v>
      </c>
      <c r="F1238" t="s">
        <v>40</v>
      </c>
      <c r="G1238">
        <v>2030</v>
      </c>
      <c r="H1238" s="12">
        <v>1392</v>
      </c>
      <c r="I1238" t="s">
        <v>3183</v>
      </c>
      <c r="J1238" t="s">
        <v>15</v>
      </c>
      <c r="K1238" t="s">
        <v>657</v>
      </c>
      <c r="L1238" t="s">
        <v>3184</v>
      </c>
      <c r="M1238" t="s">
        <v>15</v>
      </c>
    </row>
    <row r="1239" spans="1:13">
      <c r="A1239" t="s">
        <v>851</v>
      </c>
      <c r="B1239" t="s">
        <v>686</v>
      </c>
      <c r="C1239" t="s">
        <v>686</v>
      </c>
      <c r="D1239" t="s">
        <v>23</v>
      </c>
      <c r="E1239" t="s">
        <v>660</v>
      </c>
      <c r="F1239" t="s">
        <v>40</v>
      </c>
      <c r="G1239">
        <v>2035</v>
      </c>
      <c r="H1239" s="12">
        <v>2188</v>
      </c>
      <c r="I1239" t="s">
        <v>3183</v>
      </c>
      <c r="J1239" t="s">
        <v>15</v>
      </c>
      <c r="K1239" t="s">
        <v>657</v>
      </c>
      <c r="L1239" t="s">
        <v>3184</v>
      </c>
      <c r="M1239" t="s">
        <v>15</v>
      </c>
    </row>
    <row r="1240" spans="1:13">
      <c r="A1240" t="s">
        <v>851</v>
      </c>
      <c r="B1240" t="s">
        <v>686</v>
      </c>
      <c r="C1240" t="s">
        <v>686</v>
      </c>
      <c r="D1240" t="s">
        <v>23</v>
      </c>
      <c r="E1240" t="s">
        <v>660</v>
      </c>
      <c r="F1240" t="s">
        <v>40</v>
      </c>
      <c r="G1240">
        <v>2040</v>
      </c>
      <c r="H1240" s="12">
        <v>2830</v>
      </c>
      <c r="I1240" t="s">
        <v>3183</v>
      </c>
      <c r="J1240" t="s">
        <v>15</v>
      </c>
      <c r="K1240" t="s">
        <v>657</v>
      </c>
      <c r="L1240" t="s">
        <v>3184</v>
      </c>
      <c r="M1240" t="s">
        <v>15</v>
      </c>
    </row>
    <row r="1241" spans="1:13">
      <c r="A1241" t="s">
        <v>851</v>
      </c>
      <c r="B1241" t="s">
        <v>686</v>
      </c>
      <c r="C1241" t="s">
        <v>686</v>
      </c>
      <c r="D1241" t="s">
        <v>23</v>
      </c>
      <c r="E1241" t="s">
        <v>660</v>
      </c>
      <c r="F1241" t="s">
        <v>40</v>
      </c>
      <c r="G1241">
        <v>2045</v>
      </c>
      <c r="H1241" s="12">
        <v>3237</v>
      </c>
      <c r="I1241" t="s">
        <v>3183</v>
      </c>
      <c r="J1241" t="s">
        <v>15</v>
      </c>
      <c r="K1241" t="s">
        <v>657</v>
      </c>
      <c r="L1241" t="s">
        <v>3184</v>
      </c>
      <c r="M1241" t="s">
        <v>15</v>
      </c>
    </row>
    <row r="1242" spans="1:13">
      <c r="A1242" t="s">
        <v>851</v>
      </c>
      <c r="B1242" t="s">
        <v>686</v>
      </c>
      <c r="C1242" t="s">
        <v>686</v>
      </c>
      <c r="D1242" t="s">
        <v>23</v>
      </c>
      <c r="E1242" t="s">
        <v>660</v>
      </c>
      <c r="F1242" t="s">
        <v>40</v>
      </c>
      <c r="G1242">
        <v>2050</v>
      </c>
      <c r="H1242" s="12">
        <v>3672</v>
      </c>
      <c r="I1242" t="s">
        <v>3183</v>
      </c>
      <c r="J1242" t="s">
        <v>15</v>
      </c>
      <c r="K1242" t="s">
        <v>657</v>
      </c>
      <c r="L1242" t="s">
        <v>3184</v>
      </c>
      <c r="M1242" t="s">
        <v>15</v>
      </c>
    </row>
    <row r="1243" spans="1:13">
      <c r="A1243" t="s">
        <v>851</v>
      </c>
      <c r="B1243" t="s">
        <v>687</v>
      </c>
      <c r="C1243" t="s">
        <v>687</v>
      </c>
      <c r="D1243" t="s">
        <v>23</v>
      </c>
      <c r="E1243" t="s">
        <v>660</v>
      </c>
      <c r="F1243" t="s">
        <v>40</v>
      </c>
      <c r="G1243">
        <v>2030</v>
      </c>
      <c r="H1243" s="12">
        <v>1428</v>
      </c>
      <c r="I1243" t="s">
        <v>3183</v>
      </c>
      <c r="J1243" t="s">
        <v>15</v>
      </c>
      <c r="K1243" t="s">
        <v>657</v>
      </c>
      <c r="L1243" t="s">
        <v>3184</v>
      </c>
      <c r="M1243" t="s">
        <v>15</v>
      </c>
    </row>
    <row r="1244" spans="1:13">
      <c r="A1244" t="s">
        <v>851</v>
      </c>
      <c r="B1244" t="s">
        <v>687</v>
      </c>
      <c r="C1244" t="s">
        <v>687</v>
      </c>
      <c r="D1244" t="s">
        <v>23</v>
      </c>
      <c r="E1244" t="s">
        <v>660</v>
      </c>
      <c r="F1244" t="s">
        <v>40</v>
      </c>
      <c r="G1244">
        <v>2035</v>
      </c>
      <c r="H1244" s="12">
        <v>2282</v>
      </c>
      <c r="I1244" t="s">
        <v>3183</v>
      </c>
      <c r="J1244" t="s">
        <v>15</v>
      </c>
      <c r="K1244" t="s">
        <v>657</v>
      </c>
      <c r="L1244" t="s">
        <v>3184</v>
      </c>
      <c r="M1244" t="s">
        <v>15</v>
      </c>
    </row>
    <row r="1245" spans="1:13">
      <c r="A1245" t="s">
        <v>851</v>
      </c>
      <c r="B1245" t="s">
        <v>687</v>
      </c>
      <c r="C1245" t="s">
        <v>687</v>
      </c>
      <c r="D1245" t="s">
        <v>23</v>
      </c>
      <c r="E1245" t="s">
        <v>660</v>
      </c>
      <c r="F1245" t="s">
        <v>40</v>
      </c>
      <c r="G1245">
        <v>2040</v>
      </c>
      <c r="H1245" s="12">
        <v>3189</v>
      </c>
      <c r="I1245" t="s">
        <v>3183</v>
      </c>
      <c r="J1245" t="s">
        <v>15</v>
      </c>
      <c r="K1245" t="s">
        <v>657</v>
      </c>
      <c r="L1245" t="s">
        <v>3184</v>
      </c>
      <c r="M1245" t="s">
        <v>15</v>
      </c>
    </row>
    <row r="1246" spans="1:13">
      <c r="A1246" t="s">
        <v>851</v>
      </c>
      <c r="B1246" t="s">
        <v>687</v>
      </c>
      <c r="C1246" t="s">
        <v>687</v>
      </c>
      <c r="D1246" t="s">
        <v>23</v>
      </c>
      <c r="E1246" t="s">
        <v>660</v>
      </c>
      <c r="F1246" t="s">
        <v>40</v>
      </c>
      <c r="G1246">
        <v>2045</v>
      </c>
      <c r="H1246" s="12">
        <v>3692</v>
      </c>
      <c r="I1246" t="s">
        <v>3183</v>
      </c>
      <c r="J1246" t="s">
        <v>15</v>
      </c>
      <c r="K1246" t="s">
        <v>657</v>
      </c>
      <c r="L1246" t="s">
        <v>3184</v>
      </c>
      <c r="M1246" t="s">
        <v>15</v>
      </c>
    </row>
    <row r="1247" spans="1:13">
      <c r="A1247" t="s">
        <v>851</v>
      </c>
      <c r="B1247" t="s">
        <v>687</v>
      </c>
      <c r="C1247" t="s">
        <v>687</v>
      </c>
      <c r="D1247" t="s">
        <v>23</v>
      </c>
      <c r="E1247" t="s">
        <v>660</v>
      </c>
      <c r="F1247" t="s">
        <v>40</v>
      </c>
      <c r="G1247">
        <v>2050</v>
      </c>
      <c r="H1247" s="12">
        <v>3904</v>
      </c>
      <c r="I1247" t="s">
        <v>3183</v>
      </c>
      <c r="J1247" t="s">
        <v>15</v>
      </c>
      <c r="K1247" t="s">
        <v>657</v>
      </c>
      <c r="L1247" t="s">
        <v>3184</v>
      </c>
      <c r="M1247" t="s">
        <v>15</v>
      </c>
    </row>
    <row r="1248" spans="1:13">
      <c r="A1248" t="s">
        <v>851</v>
      </c>
      <c r="B1248" t="s">
        <v>686</v>
      </c>
      <c r="C1248" t="s">
        <v>686</v>
      </c>
      <c r="D1248" t="s">
        <v>23</v>
      </c>
      <c r="E1248" t="s">
        <v>660</v>
      </c>
      <c r="F1248" t="s">
        <v>40</v>
      </c>
      <c r="G1248">
        <v>2010</v>
      </c>
      <c r="H1248" s="12">
        <v>2278</v>
      </c>
      <c r="I1248" t="s">
        <v>3183</v>
      </c>
      <c r="J1248" t="s">
        <v>6</v>
      </c>
      <c r="K1248" t="s">
        <v>657</v>
      </c>
      <c r="L1248" t="s">
        <v>3184</v>
      </c>
      <c r="M1248" t="s">
        <v>659</v>
      </c>
    </row>
    <row r="1249" spans="1:13">
      <c r="A1249" t="s">
        <v>851</v>
      </c>
      <c r="B1249" t="s">
        <v>686</v>
      </c>
      <c r="C1249" t="s">
        <v>686</v>
      </c>
      <c r="D1249" t="s">
        <v>23</v>
      </c>
      <c r="E1249" t="s">
        <v>660</v>
      </c>
      <c r="F1249" t="s">
        <v>40</v>
      </c>
      <c r="G1249">
        <v>2015</v>
      </c>
      <c r="H1249" s="12">
        <v>1889</v>
      </c>
      <c r="I1249" t="s">
        <v>3183</v>
      </c>
      <c r="J1249" t="s">
        <v>6</v>
      </c>
      <c r="K1249" t="s">
        <v>657</v>
      </c>
      <c r="L1249" t="s">
        <v>3184</v>
      </c>
      <c r="M1249" t="s">
        <v>659</v>
      </c>
    </row>
    <row r="1250" spans="1:13">
      <c r="A1250" t="s">
        <v>851</v>
      </c>
      <c r="B1250" t="s">
        <v>686</v>
      </c>
      <c r="C1250" t="s">
        <v>686</v>
      </c>
      <c r="D1250" t="s">
        <v>23</v>
      </c>
      <c r="E1250" t="s">
        <v>660</v>
      </c>
      <c r="F1250" t="s">
        <v>40</v>
      </c>
      <c r="G1250">
        <v>2020</v>
      </c>
      <c r="H1250" s="12">
        <v>2202</v>
      </c>
      <c r="I1250" t="s">
        <v>3183</v>
      </c>
      <c r="J1250" t="s">
        <v>6</v>
      </c>
      <c r="K1250" t="s">
        <v>657</v>
      </c>
      <c r="L1250" t="s">
        <v>3184</v>
      </c>
      <c r="M1250" t="s">
        <v>659</v>
      </c>
    </row>
    <row r="1251" spans="1:13">
      <c r="A1251" t="s">
        <v>851</v>
      </c>
      <c r="B1251" t="s">
        <v>686</v>
      </c>
      <c r="C1251" t="s">
        <v>686</v>
      </c>
      <c r="D1251" t="s">
        <v>22</v>
      </c>
      <c r="E1251" t="s">
        <v>242</v>
      </c>
      <c r="F1251" t="s">
        <v>663</v>
      </c>
      <c r="G1251">
        <v>2020</v>
      </c>
      <c r="H1251" s="12">
        <v>31.22</v>
      </c>
      <c r="I1251" t="s">
        <v>3183</v>
      </c>
      <c r="J1251" t="s">
        <v>394</v>
      </c>
      <c r="K1251" t="s">
        <v>147</v>
      </c>
      <c r="L1251" t="s">
        <v>3184</v>
      </c>
      <c r="M1251" t="s">
        <v>16</v>
      </c>
    </row>
    <row r="1252" spans="1:13">
      <c r="A1252" t="s">
        <v>851</v>
      </c>
      <c r="B1252" t="s">
        <v>686</v>
      </c>
      <c r="C1252" t="s">
        <v>686</v>
      </c>
      <c r="D1252" t="s">
        <v>22</v>
      </c>
      <c r="E1252" t="s">
        <v>242</v>
      </c>
      <c r="F1252" t="s">
        <v>663</v>
      </c>
      <c r="G1252">
        <v>2030</v>
      </c>
      <c r="H1252" s="12">
        <v>22.18</v>
      </c>
      <c r="I1252" t="s">
        <v>3183</v>
      </c>
      <c r="J1252" t="s">
        <v>394</v>
      </c>
      <c r="K1252" t="s">
        <v>147</v>
      </c>
      <c r="L1252" t="s">
        <v>3184</v>
      </c>
      <c r="M1252" t="s">
        <v>16</v>
      </c>
    </row>
    <row r="1253" spans="1:13">
      <c r="A1253" t="s">
        <v>851</v>
      </c>
      <c r="B1253" t="s">
        <v>686</v>
      </c>
      <c r="C1253" t="s">
        <v>686</v>
      </c>
      <c r="D1253" t="s">
        <v>22</v>
      </c>
      <c r="E1253" t="s">
        <v>242</v>
      </c>
      <c r="F1253" t="s">
        <v>663</v>
      </c>
      <c r="G1253">
        <v>2010</v>
      </c>
      <c r="H1253" s="12">
        <v>3042.8</v>
      </c>
      <c r="I1253" t="s">
        <v>3183</v>
      </c>
      <c r="J1253" t="s">
        <v>5</v>
      </c>
      <c r="K1253" t="s">
        <v>664</v>
      </c>
      <c r="L1253" t="s">
        <v>3184</v>
      </c>
      <c r="M1253" t="s">
        <v>5</v>
      </c>
    </row>
    <row r="1254" spans="1:13">
      <c r="A1254" t="s">
        <v>851</v>
      </c>
      <c r="B1254" t="s">
        <v>686</v>
      </c>
      <c r="C1254" t="s">
        <v>686</v>
      </c>
      <c r="D1254" t="s">
        <v>22</v>
      </c>
      <c r="E1254" t="s">
        <v>242</v>
      </c>
      <c r="F1254" t="s">
        <v>663</v>
      </c>
      <c r="G1254">
        <v>2015</v>
      </c>
      <c r="H1254" s="12">
        <v>3273.67</v>
      </c>
      <c r="I1254" t="s">
        <v>3183</v>
      </c>
      <c r="J1254" t="s">
        <v>5</v>
      </c>
      <c r="K1254" t="s">
        <v>664</v>
      </c>
      <c r="L1254" t="s">
        <v>3184</v>
      </c>
      <c r="M1254" t="s">
        <v>5</v>
      </c>
    </row>
    <row r="1255" spans="1:13">
      <c r="A1255" t="s">
        <v>851</v>
      </c>
      <c r="B1255" t="s">
        <v>686</v>
      </c>
      <c r="C1255" t="s">
        <v>686</v>
      </c>
      <c r="D1255" t="s">
        <v>22</v>
      </c>
      <c r="E1255" t="s">
        <v>242</v>
      </c>
      <c r="F1255" t="s">
        <v>663</v>
      </c>
      <c r="G1255">
        <v>2020</v>
      </c>
      <c r="H1255" s="12">
        <v>2764.96</v>
      </c>
      <c r="I1255" t="s">
        <v>3183</v>
      </c>
      <c r="J1255" t="s">
        <v>5</v>
      </c>
      <c r="K1255" t="s">
        <v>664</v>
      </c>
      <c r="L1255" t="s">
        <v>3184</v>
      </c>
      <c r="M1255" t="s">
        <v>5</v>
      </c>
    </row>
    <row r="1256" spans="1:13">
      <c r="A1256" t="s">
        <v>851</v>
      </c>
      <c r="B1256" t="s">
        <v>686</v>
      </c>
      <c r="C1256" t="s">
        <v>686</v>
      </c>
      <c r="D1256" t="s">
        <v>22</v>
      </c>
      <c r="E1256" t="s">
        <v>242</v>
      </c>
      <c r="F1256" t="s">
        <v>663</v>
      </c>
      <c r="G1256">
        <v>2030</v>
      </c>
      <c r="H1256" s="12">
        <v>2436.0700000000002</v>
      </c>
      <c r="I1256" t="s">
        <v>3183</v>
      </c>
      <c r="J1256" t="s">
        <v>5</v>
      </c>
      <c r="K1256" t="s">
        <v>664</v>
      </c>
      <c r="L1256" t="s">
        <v>3184</v>
      </c>
      <c r="M1256" t="s">
        <v>5</v>
      </c>
    </row>
    <row r="1257" spans="1:13">
      <c r="A1257" t="s">
        <v>851</v>
      </c>
      <c r="B1257" t="s">
        <v>686</v>
      </c>
      <c r="C1257" t="s">
        <v>686</v>
      </c>
      <c r="D1257" t="s">
        <v>22</v>
      </c>
      <c r="E1257" t="s">
        <v>242</v>
      </c>
      <c r="F1257" t="s">
        <v>663</v>
      </c>
      <c r="G1257">
        <v>2035</v>
      </c>
      <c r="H1257" s="12">
        <v>2158.13</v>
      </c>
      <c r="I1257" t="s">
        <v>3183</v>
      </c>
      <c r="J1257" t="s">
        <v>5</v>
      </c>
      <c r="K1257" t="s">
        <v>664</v>
      </c>
      <c r="L1257" t="s">
        <v>3184</v>
      </c>
      <c r="M1257" t="s">
        <v>5</v>
      </c>
    </row>
    <row r="1258" spans="1:13">
      <c r="A1258" t="s">
        <v>851</v>
      </c>
      <c r="B1258" t="s">
        <v>686</v>
      </c>
      <c r="C1258" t="s">
        <v>686</v>
      </c>
      <c r="D1258" t="s">
        <v>22</v>
      </c>
      <c r="E1258" t="s">
        <v>242</v>
      </c>
      <c r="F1258" t="s">
        <v>663</v>
      </c>
      <c r="G1258">
        <v>2040</v>
      </c>
      <c r="H1258" s="12">
        <v>1904.27</v>
      </c>
      <c r="I1258" t="s">
        <v>3183</v>
      </c>
      <c r="J1258" t="s">
        <v>5</v>
      </c>
      <c r="K1258" t="s">
        <v>664</v>
      </c>
      <c r="L1258" t="s">
        <v>3184</v>
      </c>
      <c r="M1258" t="s">
        <v>5</v>
      </c>
    </row>
    <row r="1259" spans="1:13">
      <c r="A1259" t="s">
        <v>851</v>
      </c>
      <c r="B1259" t="s">
        <v>686</v>
      </c>
      <c r="C1259" t="s">
        <v>686</v>
      </c>
      <c r="D1259" t="s">
        <v>22</v>
      </c>
      <c r="E1259" t="s">
        <v>242</v>
      </c>
      <c r="F1259" t="s">
        <v>663</v>
      </c>
      <c r="G1259">
        <v>2045</v>
      </c>
      <c r="H1259" s="12">
        <v>1687.59</v>
      </c>
      <c r="I1259" t="s">
        <v>3183</v>
      </c>
      <c r="J1259" t="s">
        <v>5</v>
      </c>
      <c r="K1259" t="s">
        <v>664</v>
      </c>
      <c r="L1259" t="s">
        <v>3184</v>
      </c>
      <c r="M1259" t="s">
        <v>5</v>
      </c>
    </row>
    <row r="1260" spans="1:13">
      <c r="A1260" t="s">
        <v>851</v>
      </c>
      <c r="B1260" t="s">
        <v>686</v>
      </c>
      <c r="C1260" t="s">
        <v>686</v>
      </c>
      <c r="D1260" t="s">
        <v>22</v>
      </c>
      <c r="E1260" t="s">
        <v>242</v>
      </c>
      <c r="F1260" t="s">
        <v>663</v>
      </c>
      <c r="G1260">
        <v>2050</v>
      </c>
      <c r="H1260" s="12">
        <v>1501.48</v>
      </c>
      <c r="I1260" t="s">
        <v>3183</v>
      </c>
      <c r="J1260" t="s">
        <v>5</v>
      </c>
      <c r="K1260" t="s">
        <v>664</v>
      </c>
      <c r="L1260" t="s">
        <v>3184</v>
      </c>
      <c r="M1260" t="s">
        <v>5</v>
      </c>
    </row>
    <row r="1261" spans="1:13">
      <c r="A1261" t="s">
        <v>851</v>
      </c>
      <c r="B1261" t="s">
        <v>687</v>
      </c>
      <c r="C1261" t="s">
        <v>687</v>
      </c>
      <c r="D1261" t="s">
        <v>22</v>
      </c>
      <c r="E1261" t="s">
        <v>242</v>
      </c>
      <c r="F1261" t="s">
        <v>663</v>
      </c>
      <c r="G1261">
        <v>2030</v>
      </c>
      <c r="H1261" s="12">
        <v>1983.99</v>
      </c>
      <c r="I1261" t="s">
        <v>3183</v>
      </c>
      <c r="J1261" t="s">
        <v>5</v>
      </c>
      <c r="K1261" t="s">
        <v>664</v>
      </c>
      <c r="L1261" t="s">
        <v>3184</v>
      </c>
      <c r="M1261" t="s">
        <v>5</v>
      </c>
    </row>
    <row r="1262" spans="1:13">
      <c r="A1262" t="s">
        <v>851</v>
      </c>
      <c r="B1262" t="s">
        <v>687</v>
      </c>
      <c r="C1262" t="s">
        <v>687</v>
      </c>
      <c r="D1262" t="s">
        <v>22</v>
      </c>
      <c r="E1262" t="s">
        <v>242</v>
      </c>
      <c r="F1262" t="s">
        <v>663</v>
      </c>
      <c r="G1262">
        <v>2035</v>
      </c>
      <c r="H1262" s="12">
        <v>1434.71</v>
      </c>
      <c r="I1262" t="s">
        <v>3183</v>
      </c>
      <c r="J1262" t="s">
        <v>5</v>
      </c>
      <c r="K1262" t="s">
        <v>664</v>
      </c>
      <c r="L1262" t="s">
        <v>3184</v>
      </c>
      <c r="M1262" t="s">
        <v>5</v>
      </c>
    </row>
    <row r="1263" spans="1:13">
      <c r="A1263" t="s">
        <v>851</v>
      </c>
      <c r="B1263" t="s">
        <v>687</v>
      </c>
      <c r="C1263" t="s">
        <v>687</v>
      </c>
      <c r="D1263" t="s">
        <v>22</v>
      </c>
      <c r="E1263" t="s">
        <v>242</v>
      </c>
      <c r="F1263" t="s">
        <v>663</v>
      </c>
      <c r="G1263">
        <v>2040</v>
      </c>
      <c r="H1263" s="12">
        <v>979.84</v>
      </c>
      <c r="I1263" t="s">
        <v>3183</v>
      </c>
      <c r="J1263" t="s">
        <v>5</v>
      </c>
      <c r="K1263" t="s">
        <v>664</v>
      </c>
      <c r="L1263" t="s">
        <v>3184</v>
      </c>
      <c r="M1263" t="s">
        <v>5</v>
      </c>
    </row>
    <row r="1264" spans="1:13">
      <c r="A1264" t="s">
        <v>851</v>
      </c>
      <c r="B1264" t="s">
        <v>687</v>
      </c>
      <c r="C1264" t="s">
        <v>687</v>
      </c>
      <c r="D1264" t="s">
        <v>22</v>
      </c>
      <c r="E1264" t="s">
        <v>242</v>
      </c>
      <c r="F1264" t="s">
        <v>663</v>
      </c>
      <c r="G1264">
        <v>2045</v>
      </c>
      <c r="H1264" s="12">
        <v>645.35</v>
      </c>
      <c r="I1264" t="s">
        <v>3183</v>
      </c>
      <c r="J1264" t="s">
        <v>5</v>
      </c>
      <c r="K1264" t="s">
        <v>664</v>
      </c>
      <c r="L1264" t="s">
        <v>3184</v>
      </c>
      <c r="M1264" t="s">
        <v>5</v>
      </c>
    </row>
    <row r="1265" spans="1:13">
      <c r="A1265" t="s">
        <v>851</v>
      </c>
      <c r="B1265" t="s">
        <v>687</v>
      </c>
      <c r="C1265" t="s">
        <v>687</v>
      </c>
      <c r="D1265" t="s">
        <v>22</v>
      </c>
      <c r="E1265" t="s">
        <v>242</v>
      </c>
      <c r="F1265" t="s">
        <v>663</v>
      </c>
      <c r="G1265">
        <v>2050</v>
      </c>
      <c r="H1265" s="12">
        <v>403.34</v>
      </c>
      <c r="I1265" t="s">
        <v>3183</v>
      </c>
      <c r="J1265" t="s">
        <v>5</v>
      </c>
      <c r="K1265" t="s">
        <v>664</v>
      </c>
      <c r="L1265" t="s">
        <v>3184</v>
      </c>
      <c r="M1265" t="s">
        <v>5</v>
      </c>
    </row>
    <row r="1266" spans="1:13">
      <c r="A1266" t="s">
        <v>851</v>
      </c>
      <c r="B1266" t="s">
        <v>686</v>
      </c>
      <c r="C1266" t="s">
        <v>686</v>
      </c>
      <c r="D1266" t="s">
        <v>22</v>
      </c>
      <c r="E1266" t="s">
        <v>242</v>
      </c>
      <c r="F1266" t="s">
        <v>663</v>
      </c>
      <c r="G1266">
        <v>2010</v>
      </c>
      <c r="H1266" s="12">
        <v>916.15</v>
      </c>
      <c r="I1266" t="s">
        <v>3183</v>
      </c>
      <c r="J1266" t="s">
        <v>394</v>
      </c>
      <c r="K1266" t="s">
        <v>664</v>
      </c>
      <c r="L1266" t="s">
        <v>3184</v>
      </c>
      <c r="M1266" t="s">
        <v>16</v>
      </c>
    </row>
    <row r="1267" spans="1:13">
      <c r="A1267" t="s">
        <v>851</v>
      </c>
      <c r="B1267" t="s">
        <v>686</v>
      </c>
      <c r="C1267" t="s">
        <v>686</v>
      </c>
      <c r="D1267" t="s">
        <v>22</v>
      </c>
      <c r="E1267" t="s">
        <v>242</v>
      </c>
      <c r="F1267" t="s">
        <v>663</v>
      </c>
      <c r="G1267">
        <v>2015</v>
      </c>
      <c r="H1267" s="12">
        <v>1174.27</v>
      </c>
      <c r="I1267" t="s">
        <v>3183</v>
      </c>
      <c r="J1267" t="s">
        <v>394</v>
      </c>
      <c r="K1267" t="s">
        <v>664</v>
      </c>
      <c r="L1267" t="s">
        <v>3184</v>
      </c>
      <c r="M1267" t="s">
        <v>16</v>
      </c>
    </row>
    <row r="1268" spans="1:13">
      <c r="A1268" t="s">
        <v>851</v>
      </c>
      <c r="B1268" t="s">
        <v>686</v>
      </c>
      <c r="C1268" t="s">
        <v>686</v>
      </c>
      <c r="D1268" t="s">
        <v>22</v>
      </c>
      <c r="E1268" t="s">
        <v>242</v>
      </c>
      <c r="F1268" t="s">
        <v>663</v>
      </c>
      <c r="G1268">
        <v>2020</v>
      </c>
      <c r="H1268" s="12">
        <v>1351.8</v>
      </c>
      <c r="I1268" t="s">
        <v>3183</v>
      </c>
      <c r="J1268" t="s">
        <v>394</v>
      </c>
      <c r="K1268" t="s">
        <v>664</v>
      </c>
      <c r="L1268" t="s">
        <v>3184</v>
      </c>
      <c r="M1268" t="s">
        <v>16</v>
      </c>
    </row>
    <row r="1269" spans="1:13">
      <c r="A1269" t="s">
        <v>851</v>
      </c>
      <c r="B1269" t="s">
        <v>686</v>
      </c>
      <c r="C1269" t="s">
        <v>686</v>
      </c>
      <c r="D1269" t="s">
        <v>22</v>
      </c>
      <c r="E1269" t="s">
        <v>242</v>
      </c>
      <c r="F1269" t="s">
        <v>663</v>
      </c>
      <c r="G1269">
        <v>2030</v>
      </c>
      <c r="H1269" s="12">
        <v>1508.57</v>
      </c>
      <c r="I1269" t="s">
        <v>3183</v>
      </c>
      <c r="J1269" t="s">
        <v>394</v>
      </c>
      <c r="K1269" t="s">
        <v>664</v>
      </c>
      <c r="L1269" t="s">
        <v>3184</v>
      </c>
      <c r="M1269" t="s">
        <v>16</v>
      </c>
    </row>
    <row r="1270" spans="1:13">
      <c r="A1270" t="s">
        <v>851</v>
      </c>
      <c r="B1270" t="s">
        <v>686</v>
      </c>
      <c r="C1270" t="s">
        <v>686</v>
      </c>
      <c r="D1270" t="s">
        <v>22</v>
      </c>
      <c r="E1270" t="s">
        <v>242</v>
      </c>
      <c r="F1270" t="s">
        <v>663</v>
      </c>
      <c r="G1270">
        <v>2035</v>
      </c>
      <c r="H1270" s="12">
        <v>1366.38</v>
      </c>
      <c r="I1270" t="s">
        <v>3183</v>
      </c>
      <c r="J1270" t="s">
        <v>394</v>
      </c>
      <c r="K1270" t="s">
        <v>664</v>
      </c>
      <c r="L1270" t="s">
        <v>3184</v>
      </c>
      <c r="M1270" t="s">
        <v>16</v>
      </c>
    </row>
    <row r="1271" spans="1:13">
      <c r="A1271" t="s">
        <v>851</v>
      </c>
      <c r="B1271" t="s">
        <v>686</v>
      </c>
      <c r="C1271" t="s">
        <v>686</v>
      </c>
      <c r="D1271" t="s">
        <v>22</v>
      </c>
      <c r="E1271" t="s">
        <v>242</v>
      </c>
      <c r="F1271" t="s">
        <v>663</v>
      </c>
      <c r="G1271">
        <v>2040</v>
      </c>
      <c r="H1271" s="12">
        <v>1217.8900000000001</v>
      </c>
      <c r="I1271" t="s">
        <v>3183</v>
      </c>
      <c r="J1271" t="s">
        <v>394</v>
      </c>
      <c r="K1271" t="s">
        <v>664</v>
      </c>
      <c r="L1271" t="s">
        <v>3184</v>
      </c>
      <c r="M1271" t="s">
        <v>16</v>
      </c>
    </row>
    <row r="1272" spans="1:13">
      <c r="A1272" t="s">
        <v>851</v>
      </c>
      <c r="B1272" t="s">
        <v>686</v>
      </c>
      <c r="C1272" t="s">
        <v>686</v>
      </c>
      <c r="D1272" t="s">
        <v>22</v>
      </c>
      <c r="E1272" t="s">
        <v>242</v>
      </c>
      <c r="F1272" t="s">
        <v>663</v>
      </c>
      <c r="G1272">
        <v>2045</v>
      </c>
      <c r="H1272" s="12">
        <v>1090.55</v>
      </c>
      <c r="I1272" t="s">
        <v>3183</v>
      </c>
      <c r="J1272" t="s">
        <v>394</v>
      </c>
      <c r="K1272" t="s">
        <v>664</v>
      </c>
      <c r="L1272" t="s">
        <v>3184</v>
      </c>
      <c r="M1272" t="s">
        <v>16</v>
      </c>
    </row>
    <row r="1273" spans="1:13">
      <c r="A1273" t="s">
        <v>851</v>
      </c>
      <c r="B1273" t="s">
        <v>686</v>
      </c>
      <c r="C1273" t="s">
        <v>686</v>
      </c>
      <c r="D1273" t="s">
        <v>22</v>
      </c>
      <c r="E1273" t="s">
        <v>242</v>
      </c>
      <c r="F1273" t="s">
        <v>663</v>
      </c>
      <c r="G1273">
        <v>2050</v>
      </c>
      <c r="H1273" s="12">
        <v>982.61</v>
      </c>
      <c r="I1273" t="s">
        <v>3183</v>
      </c>
      <c r="J1273" t="s">
        <v>394</v>
      </c>
      <c r="K1273" t="s">
        <v>664</v>
      </c>
      <c r="L1273" t="s">
        <v>3184</v>
      </c>
      <c r="M1273" t="s">
        <v>16</v>
      </c>
    </row>
    <row r="1274" spans="1:13">
      <c r="A1274" t="s">
        <v>851</v>
      </c>
      <c r="B1274" t="s">
        <v>687</v>
      </c>
      <c r="C1274" t="s">
        <v>687</v>
      </c>
      <c r="D1274" t="s">
        <v>22</v>
      </c>
      <c r="E1274" t="s">
        <v>242</v>
      </c>
      <c r="F1274" t="s">
        <v>663</v>
      </c>
      <c r="G1274">
        <v>2030</v>
      </c>
      <c r="H1274" s="12">
        <v>1362.54</v>
      </c>
      <c r="I1274" t="s">
        <v>3183</v>
      </c>
      <c r="J1274" t="s">
        <v>394</v>
      </c>
      <c r="K1274" t="s">
        <v>664</v>
      </c>
      <c r="L1274" t="s">
        <v>3184</v>
      </c>
      <c r="M1274" t="s">
        <v>16</v>
      </c>
    </row>
    <row r="1275" spans="1:13">
      <c r="A1275" t="s">
        <v>851</v>
      </c>
      <c r="B1275" t="s">
        <v>687</v>
      </c>
      <c r="C1275" t="s">
        <v>687</v>
      </c>
      <c r="D1275" t="s">
        <v>22</v>
      </c>
      <c r="E1275" t="s">
        <v>242</v>
      </c>
      <c r="F1275" t="s">
        <v>663</v>
      </c>
      <c r="G1275">
        <v>2035</v>
      </c>
      <c r="H1275" s="12">
        <v>1112.31</v>
      </c>
      <c r="I1275" t="s">
        <v>3183</v>
      </c>
      <c r="J1275" t="s">
        <v>394</v>
      </c>
      <c r="K1275" t="s">
        <v>664</v>
      </c>
      <c r="L1275" t="s">
        <v>3184</v>
      </c>
      <c r="M1275" t="s">
        <v>16</v>
      </c>
    </row>
    <row r="1276" spans="1:13">
      <c r="A1276" t="s">
        <v>851</v>
      </c>
      <c r="B1276" t="s">
        <v>687</v>
      </c>
      <c r="C1276" t="s">
        <v>687</v>
      </c>
      <c r="D1276" t="s">
        <v>22</v>
      </c>
      <c r="E1276" t="s">
        <v>242</v>
      </c>
      <c r="F1276" t="s">
        <v>663</v>
      </c>
      <c r="G1276">
        <v>2040</v>
      </c>
      <c r="H1276" s="12">
        <v>819.27</v>
      </c>
      <c r="I1276" t="s">
        <v>3183</v>
      </c>
      <c r="J1276" t="s">
        <v>394</v>
      </c>
      <c r="K1276" t="s">
        <v>664</v>
      </c>
      <c r="L1276" t="s">
        <v>3184</v>
      </c>
      <c r="M1276" t="s">
        <v>16</v>
      </c>
    </row>
    <row r="1277" spans="1:13">
      <c r="A1277" t="s">
        <v>851</v>
      </c>
      <c r="B1277" t="s">
        <v>687</v>
      </c>
      <c r="C1277" t="s">
        <v>687</v>
      </c>
      <c r="D1277" t="s">
        <v>22</v>
      </c>
      <c r="E1277" t="s">
        <v>242</v>
      </c>
      <c r="F1277" t="s">
        <v>663</v>
      </c>
      <c r="G1277">
        <v>2045</v>
      </c>
      <c r="H1277" s="12">
        <v>578.5</v>
      </c>
      <c r="I1277" t="s">
        <v>3183</v>
      </c>
      <c r="J1277" t="s">
        <v>394</v>
      </c>
      <c r="K1277" t="s">
        <v>664</v>
      </c>
      <c r="L1277" t="s">
        <v>3184</v>
      </c>
      <c r="M1277" t="s">
        <v>16</v>
      </c>
    </row>
    <row r="1278" spans="1:13">
      <c r="A1278" t="s">
        <v>851</v>
      </c>
      <c r="B1278" t="s">
        <v>687</v>
      </c>
      <c r="C1278" t="s">
        <v>687</v>
      </c>
      <c r="D1278" t="s">
        <v>22</v>
      </c>
      <c r="E1278" t="s">
        <v>242</v>
      </c>
      <c r="F1278" t="s">
        <v>663</v>
      </c>
      <c r="G1278">
        <v>2050</v>
      </c>
      <c r="H1278" s="12">
        <v>407.51</v>
      </c>
      <c r="I1278" t="s">
        <v>3183</v>
      </c>
      <c r="J1278" t="s">
        <v>394</v>
      </c>
      <c r="K1278" t="s">
        <v>664</v>
      </c>
      <c r="L1278" t="s">
        <v>3184</v>
      </c>
      <c r="M1278" t="s">
        <v>16</v>
      </c>
    </row>
    <row r="1279" spans="1:13">
      <c r="A1279" t="s">
        <v>851</v>
      </c>
      <c r="B1279" t="s">
        <v>686</v>
      </c>
      <c r="C1279" t="s">
        <v>686</v>
      </c>
      <c r="D1279" t="s">
        <v>22</v>
      </c>
      <c r="E1279" t="s">
        <v>242</v>
      </c>
      <c r="F1279" t="s">
        <v>663</v>
      </c>
      <c r="G1279">
        <v>2010</v>
      </c>
      <c r="H1279" s="12">
        <v>156.77000000000001</v>
      </c>
      <c r="I1279" t="s">
        <v>3183</v>
      </c>
      <c r="J1279" t="s">
        <v>6</v>
      </c>
      <c r="K1279" t="s">
        <v>664</v>
      </c>
      <c r="L1279" t="s">
        <v>3184</v>
      </c>
      <c r="M1279" t="s">
        <v>659</v>
      </c>
    </row>
    <row r="1280" spans="1:13">
      <c r="A1280" t="s">
        <v>851</v>
      </c>
      <c r="B1280" t="s">
        <v>686</v>
      </c>
      <c r="C1280" t="s">
        <v>686</v>
      </c>
      <c r="D1280" t="s">
        <v>22</v>
      </c>
      <c r="E1280" t="s">
        <v>242</v>
      </c>
      <c r="F1280" t="s">
        <v>663</v>
      </c>
      <c r="G1280">
        <v>2015</v>
      </c>
      <c r="H1280" s="12">
        <v>251.52</v>
      </c>
      <c r="I1280" t="s">
        <v>3183</v>
      </c>
      <c r="J1280" t="s">
        <v>6</v>
      </c>
      <c r="K1280" t="s">
        <v>664</v>
      </c>
      <c r="L1280" t="s">
        <v>3184</v>
      </c>
      <c r="M1280" t="s">
        <v>659</v>
      </c>
    </row>
    <row r="1281" spans="1:13">
      <c r="A1281" t="s">
        <v>851</v>
      </c>
      <c r="B1281" t="s">
        <v>686</v>
      </c>
      <c r="C1281" t="s">
        <v>686</v>
      </c>
      <c r="D1281" t="s">
        <v>22</v>
      </c>
      <c r="E1281" t="s">
        <v>242</v>
      </c>
      <c r="F1281" t="s">
        <v>663</v>
      </c>
      <c r="G1281">
        <v>2020</v>
      </c>
      <c r="H1281" s="12">
        <v>432.66</v>
      </c>
      <c r="I1281" t="s">
        <v>3183</v>
      </c>
      <c r="J1281" t="s">
        <v>6</v>
      </c>
      <c r="K1281" t="s">
        <v>664</v>
      </c>
      <c r="L1281" t="s">
        <v>3184</v>
      </c>
      <c r="M1281" t="s">
        <v>659</v>
      </c>
    </row>
    <row r="1282" spans="1:13">
      <c r="A1282" t="s">
        <v>851</v>
      </c>
      <c r="B1282" t="s">
        <v>686</v>
      </c>
      <c r="C1282" t="s">
        <v>686</v>
      </c>
      <c r="D1282" t="s">
        <v>22</v>
      </c>
      <c r="E1282" t="s">
        <v>242</v>
      </c>
      <c r="F1282" t="s">
        <v>663</v>
      </c>
      <c r="G1282">
        <v>2030</v>
      </c>
      <c r="H1282" s="12">
        <v>603.46</v>
      </c>
      <c r="I1282" t="s">
        <v>3183</v>
      </c>
      <c r="J1282" t="s">
        <v>6</v>
      </c>
      <c r="K1282" t="s">
        <v>664</v>
      </c>
      <c r="L1282" t="s">
        <v>3184</v>
      </c>
      <c r="M1282" t="s">
        <v>659</v>
      </c>
    </row>
    <row r="1283" spans="1:13">
      <c r="A1283" t="s">
        <v>851</v>
      </c>
      <c r="B1283" t="s">
        <v>686</v>
      </c>
      <c r="C1283" t="s">
        <v>686</v>
      </c>
      <c r="D1283" t="s">
        <v>22</v>
      </c>
      <c r="E1283" t="s">
        <v>242</v>
      </c>
      <c r="F1283" t="s">
        <v>663</v>
      </c>
      <c r="G1283">
        <v>2035</v>
      </c>
      <c r="H1283" s="12">
        <v>628.20000000000005</v>
      </c>
      <c r="I1283" t="s">
        <v>3183</v>
      </c>
      <c r="J1283" t="s">
        <v>6</v>
      </c>
      <c r="K1283" t="s">
        <v>664</v>
      </c>
      <c r="L1283" t="s">
        <v>3184</v>
      </c>
      <c r="M1283" t="s">
        <v>659</v>
      </c>
    </row>
    <row r="1284" spans="1:13">
      <c r="A1284" t="s">
        <v>851</v>
      </c>
      <c r="B1284" t="s">
        <v>686</v>
      </c>
      <c r="C1284" t="s">
        <v>686</v>
      </c>
      <c r="D1284" t="s">
        <v>22</v>
      </c>
      <c r="E1284" t="s">
        <v>242</v>
      </c>
      <c r="F1284" t="s">
        <v>663</v>
      </c>
      <c r="G1284">
        <v>2040</v>
      </c>
      <c r="H1284" s="12">
        <v>639.22</v>
      </c>
      <c r="I1284" t="s">
        <v>3183</v>
      </c>
      <c r="J1284" t="s">
        <v>6</v>
      </c>
      <c r="K1284" t="s">
        <v>664</v>
      </c>
      <c r="L1284" t="s">
        <v>3184</v>
      </c>
      <c r="M1284" t="s">
        <v>659</v>
      </c>
    </row>
    <row r="1285" spans="1:13">
      <c r="A1285" t="s">
        <v>851</v>
      </c>
      <c r="B1285" t="s">
        <v>686</v>
      </c>
      <c r="C1285" t="s">
        <v>686</v>
      </c>
      <c r="D1285" t="s">
        <v>22</v>
      </c>
      <c r="E1285" t="s">
        <v>242</v>
      </c>
      <c r="F1285" t="s">
        <v>663</v>
      </c>
      <c r="G1285">
        <v>2045</v>
      </c>
      <c r="H1285" s="12">
        <v>634.61</v>
      </c>
      <c r="I1285" t="s">
        <v>3183</v>
      </c>
      <c r="J1285" t="s">
        <v>6</v>
      </c>
      <c r="K1285" t="s">
        <v>664</v>
      </c>
      <c r="L1285" t="s">
        <v>3184</v>
      </c>
      <c r="M1285" t="s">
        <v>659</v>
      </c>
    </row>
    <row r="1286" spans="1:13">
      <c r="A1286" t="s">
        <v>851</v>
      </c>
      <c r="B1286" t="s">
        <v>686</v>
      </c>
      <c r="C1286" t="s">
        <v>686</v>
      </c>
      <c r="D1286" t="s">
        <v>22</v>
      </c>
      <c r="E1286" t="s">
        <v>242</v>
      </c>
      <c r="F1286" t="s">
        <v>663</v>
      </c>
      <c r="G1286">
        <v>2050</v>
      </c>
      <c r="H1286" s="12">
        <v>607.91999999999996</v>
      </c>
      <c r="I1286" t="s">
        <v>3183</v>
      </c>
      <c r="J1286" t="s">
        <v>6</v>
      </c>
      <c r="K1286" t="s">
        <v>664</v>
      </c>
      <c r="L1286" t="s">
        <v>3184</v>
      </c>
      <c r="M1286" t="s">
        <v>659</v>
      </c>
    </row>
    <row r="1287" spans="1:13">
      <c r="A1287" t="s">
        <v>851</v>
      </c>
      <c r="B1287" t="s">
        <v>687</v>
      </c>
      <c r="C1287" t="s">
        <v>687</v>
      </c>
      <c r="D1287" t="s">
        <v>22</v>
      </c>
      <c r="E1287" t="s">
        <v>242</v>
      </c>
      <c r="F1287" t="s">
        <v>663</v>
      </c>
      <c r="G1287">
        <v>2030</v>
      </c>
      <c r="H1287" s="12">
        <v>552.72</v>
      </c>
      <c r="I1287" t="s">
        <v>3183</v>
      </c>
      <c r="J1287" t="s">
        <v>6</v>
      </c>
      <c r="K1287" t="s">
        <v>664</v>
      </c>
      <c r="L1287" t="s">
        <v>3184</v>
      </c>
      <c r="M1287" t="s">
        <v>659</v>
      </c>
    </row>
    <row r="1288" spans="1:13">
      <c r="A1288" t="s">
        <v>851</v>
      </c>
      <c r="B1288" t="s">
        <v>687</v>
      </c>
      <c r="C1288" t="s">
        <v>687</v>
      </c>
      <c r="D1288" t="s">
        <v>22</v>
      </c>
      <c r="E1288" t="s">
        <v>242</v>
      </c>
      <c r="F1288" t="s">
        <v>663</v>
      </c>
      <c r="G1288">
        <v>2035</v>
      </c>
      <c r="H1288" s="12">
        <v>483.94</v>
      </c>
      <c r="I1288" t="s">
        <v>3183</v>
      </c>
      <c r="J1288" t="s">
        <v>6</v>
      </c>
      <c r="K1288" t="s">
        <v>664</v>
      </c>
      <c r="L1288" t="s">
        <v>3184</v>
      </c>
      <c r="M1288" t="s">
        <v>659</v>
      </c>
    </row>
    <row r="1289" spans="1:13">
      <c r="A1289" t="s">
        <v>851</v>
      </c>
      <c r="B1289" t="s">
        <v>687</v>
      </c>
      <c r="C1289" t="s">
        <v>687</v>
      </c>
      <c r="D1289" t="s">
        <v>22</v>
      </c>
      <c r="E1289" t="s">
        <v>242</v>
      </c>
      <c r="F1289" t="s">
        <v>663</v>
      </c>
      <c r="G1289">
        <v>2040</v>
      </c>
      <c r="H1289" s="12">
        <v>394.42</v>
      </c>
      <c r="I1289" t="s">
        <v>3183</v>
      </c>
      <c r="J1289" t="s">
        <v>6</v>
      </c>
      <c r="K1289" t="s">
        <v>664</v>
      </c>
      <c r="L1289" t="s">
        <v>3184</v>
      </c>
      <c r="M1289" t="s">
        <v>659</v>
      </c>
    </row>
    <row r="1290" spans="1:13">
      <c r="A1290" t="s">
        <v>851</v>
      </c>
      <c r="B1290" t="s">
        <v>687</v>
      </c>
      <c r="C1290" t="s">
        <v>687</v>
      </c>
      <c r="D1290" t="s">
        <v>22</v>
      </c>
      <c r="E1290" t="s">
        <v>242</v>
      </c>
      <c r="F1290" t="s">
        <v>663</v>
      </c>
      <c r="G1290">
        <v>2045</v>
      </c>
      <c r="H1290" s="12">
        <v>301.02</v>
      </c>
      <c r="I1290" t="s">
        <v>3183</v>
      </c>
      <c r="J1290" t="s">
        <v>6</v>
      </c>
      <c r="K1290" t="s">
        <v>664</v>
      </c>
      <c r="L1290" t="s">
        <v>3184</v>
      </c>
      <c r="M1290" t="s">
        <v>659</v>
      </c>
    </row>
    <row r="1291" spans="1:13">
      <c r="A1291" t="s">
        <v>851</v>
      </c>
      <c r="B1291" t="s">
        <v>687</v>
      </c>
      <c r="C1291" t="s">
        <v>687</v>
      </c>
      <c r="D1291" t="s">
        <v>22</v>
      </c>
      <c r="E1291" t="s">
        <v>242</v>
      </c>
      <c r="F1291" t="s">
        <v>663</v>
      </c>
      <c r="G1291">
        <v>2050</v>
      </c>
      <c r="H1291" s="12">
        <v>207.74</v>
      </c>
      <c r="I1291" t="s">
        <v>3183</v>
      </c>
      <c r="J1291" t="s">
        <v>6</v>
      </c>
      <c r="K1291" t="s">
        <v>664</v>
      </c>
      <c r="L1291" t="s">
        <v>3184</v>
      </c>
      <c r="M1291" t="s">
        <v>659</v>
      </c>
    </row>
    <row r="1292" spans="1:13">
      <c r="A1292" t="s">
        <v>851</v>
      </c>
      <c r="B1292" t="s">
        <v>686</v>
      </c>
      <c r="C1292" t="s">
        <v>686</v>
      </c>
      <c r="D1292" t="s">
        <v>22</v>
      </c>
      <c r="E1292" t="s">
        <v>242</v>
      </c>
      <c r="F1292" t="s">
        <v>663</v>
      </c>
      <c r="G1292">
        <v>2010</v>
      </c>
      <c r="H1292" s="12">
        <v>3405.14</v>
      </c>
      <c r="I1292" t="s">
        <v>3183</v>
      </c>
      <c r="J1292" t="s">
        <v>5</v>
      </c>
      <c r="K1292" t="s">
        <v>147</v>
      </c>
      <c r="L1292" t="s">
        <v>3184</v>
      </c>
      <c r="M1292" t="s">
        <v>5</v>
      </c>
    </row>
    <row r="1293" spans="1:13">
      <c r="A1293" t="s">
        <v>851</v>
      </c>
      <c r="B1293" t="s">
        <v>686</v>
      </c>
      <c r="C1293" t="s">
        <v>686</v>
      </c>
      <c r="D1293" t="s">
        <v>22</v>
      </c>
      <c r="E1293" t="s">
        <v>242</v>
      </c>
      <c r="F1293" t="s">
        <v>663</v>
      </c>
      <c r="G1293">
        <v>2015</v>
      </c>
      <c r="H1293" s="12">
        <v>4165.54</v>
      </c>
      <c r="I1293" t="s">
        <v>3183</v>
      </c>
      <c r="J1293" t="s">
        <v>5</v>
      </c>
      <c r="K1293" t="s">
        <v>147</v>
      </c>
      <c r="L1293" t="s">
        <v>3184</v>
      </c>
      <c r="M1293" t="s">
        <v>5</v>
      </c>
    </row>
    <row r="1294" spans="1:13">
      <c r="A1294" t="s">
        <v>851</v>
      </c>
      <c r="B1294" t="s">
        <v>686</v>
      </c>
      <c r="C1294" t="s">
        <v>686</v>
      </c>
      <c r="D1294" t="s">
        <v>22</v>
      </c>
      <c r="E1294" t="s">
        <v>242</v>
      </c>
      <c r="F1294" t="s">
        <v>663</v>
      </c>
      <c r="G1294">
        <v>2020</v>
      </c>
      <c r="H1294" s="12">
        <v>5213.13</v>
      </c>
      <c r="I1294" t="s">
        <v>3183</v>
      </c>
      <c r="J1294" t="s">
        <v>5</v>
      </c>
      <c r="K1294" t="s">
        <v>147</v>
      </c>
      <c r="L1294" t="s">
        <v>3184</v>
      </c>
      <c r="M1294" t="s">
        <v>5</v>
      </c>
    </row>
    <row r="1295" spans="1:13">
      <c r="A1295" t="s">
        <v>851</v>
      </c>
      <c r="B1295" t="s">
        <v>686</v>
      </c>
      <c r="C1295" t="s">
        <v>686</v>
      </c>
      <c r="D1295" t="s">
        <v>22</v>
      </c>
      <c r="E1295" t="s">
        <v>242</v>
      </c>
      <c r="F1295" t="s">
        <v>663</v>
      </c>
      <c r="G1295">
        <v>2030</v>
      </c>
      <c r="H1295" s="12">
        <v>5396.36</v>
      </c>
      <c r="I1295" t="s">
        <v>3183</v>
      </c>
      <c r="J1295" t="s">
        <v>5</v>
      </c>
      <c r="K1295" t="s">
        <v>147</v>
      </c>
      <c r="L1295" t="s">
        <v>3184</v>
      </c>
      <c r="M1295" t="s">
        <v>5</v>
      </c>
    </row>
    <row r="1296" spans="1:13">
      <c r="A1296" t="s">
        <v>851</v>
      </c>
      <c r="B1296" t="s">
        <v>686</v>
      </c>
      <c r="C1296" t="s">
        <v>686</v>
      </c>
      <c r="D1296" t="s">
        <v>22</v>
      </c>
      <c r="E1296" t="s">
        <v>242</v>
      </c>
      <c r="F1296" t="s">
        <v>663</v>
      </c>
      <c r="G1296">
        <v>2035</v>
      </c>
      <c r="H1296" s="12">
        <v>4793.3500000000004</v>
      </c>
      <c r="I1296" t="s">
        <v>3183</v>
      </c>
      <c r="J1296" t="s">
        <v>5</v>
      </c>
      <c r="K1296" t="s">
        <v>147</v>
      </c>
      <c r="L1296" t="s">
        <v>3184</v>
      </c>
      <c r="M1296" t="s">
        <v>5</v>
      </c>
    </row>
    <row r="1297" spans="1:13">
      <c r="A1297" t="s">
        <v>851</v>
      </c>
      <c r="B1297" t="s">
        <v>686</v>
      </c>
      <c r="C1297" t="s">
        <v>686</v>
      </c>
      <c r="D1297" t="s">
        <v>22</v>
      </c>
      <c r="E1297" t="s">
        <v>242</v>
      </c>
      <c r="F1297" t="s">
        <v>663</v>
      </c>
      <c r="G1297">
        <v>2035</v>
      </c>
      <c r="H1297" s="12">
        <v>18.39</v>
      </c>
      <c r="I1297" t="s">
        <v>3183</v>
      </c>
      <c r="J1297" t="s">
        <v>394</v>
      </c>
      <c r="K1297" t="s">
        <v>147</v>
      </c>
      <c r="L1297" t="s">
        <v>3184</v>
      </c>
      <c r="M1297" t="s">
        <v>16</v>
      </c>
    </row>
    <row r="1298" spans="1:13">
      <c r="A1298" t="s">
        <v>851</v>
      </c>
      <c r="B1298" t="s">
        <v>686</v>
      </c>
      <c r="C1298" t="s">
        <v>686</v>
      </c>
      <c r="D1298" t="s">
        <v>22</v>
      </c>
      <c r="E1298" t="s">
        <v>242</v>
      </c>
      <c r="F1298" t="s">
        <v>663</v>
      </c>
      <c r="G1298">
        <v>2040</v>
      </c>
      <c r="H1298" s="12">
        <v>15.3</v>
      </c>
      <c r="I1298" t="s">
        <v>3183</v>
      </c>
      <c r="J1298" t="s">
        <v>394</v>
      </c>
      <c r="K1298" t="s">
        <v>147</v>
      </c>
      <c r="L1298" t="s">
        <v>3184</v>
      </c>
      <c r="M1298" t="s">
        <v>16</v>
      </c>
    </row>
    <row r="1299" spans="1:13">
      <c r="A1299" t="s">
        <v>851</v>
      </c>
      <c r="B1299" t="s">
        <v>686</v>
      </c>
      <c r="C1299" t="s">
        <v>686</v>
      </c>
      <c r="D1299" t="s">
        <v>22</v>
      </c>
      <c r="E1299" t="s">
        <v>242</v>
      </c>
      <c r="F1299" t="s">
        <v>663</v>
      </c>
      <c r="G1299">
        <v>2045</v>
      </c>
      <c r="H1299" s="12">
        <v>13.64</v>
      </c>
      <c r="I1299" t="s">
        <v>3183</v>
      </c>
      <c r="J1299" t="s">
        <v>394</v>
      </c>
      <c r="K1299" t="s">
        <v>147</v>
      </c>
      <c r="L1299" t="s">
        <v>3184</v>
      </c>
      <c r="M1299" t="s">
        <v>16</v>
      </c>
    </row>
    <row r="1300" spans="1:13">
      <c r="A1300" t="s">
        <v>851</v>
      </c>
      <c r="B1300" t="s">
        <v>686</v>
      </c>
      <c r="C1300" t="s">
        <v>686</v>
      </c>
      <c r="D1300" t="s">
        <v>22</v>
      </c>
      <c r="E1300" t="s">
        <v>242</v>
      </c>
      <c r="F1300" t="s">
        <v>663</v>
      </c>
      <c r="G1300">
        <v>2050</v>
      </c>
      <c r="H1300" s="12">
        <v>12.32</v>
      </c>
      <c r="I1300" t="s">
        <v>3183</v>
      </c>
      <c r="J1300" t="s">
        <v>394</v>
      </c>
      <c r="K1300" t="s">
        <v>147</v>
      </c>
      <c r="L1300" t="s">
        <v>3184</v>
      </c>
      <c r="M1300" t="s">
        <v>16</v>
      </c>
    </row>
    <row r="1301" spans="1:13">
      <c r="A1301" t="s">
        <v>851</v>
      </c>
      <c r="B1301" t="s">
        <v>687</v>
      </c>
      <c r="C1301" t="s">
        <v>687</v>
      </c>
      <c r="D1301" t="s">
        <v>22</v>
      </c>
      <c r="E1301" t="s">
        <v>242</v>
      </c>
      <c r="F1301" t="s">
        <v>663</v>
      </c>
      <c r="G1301">
        <v>2030</v>
      </c>
      <c r="H1301" s="12">
        <v>22.22</v>
      </c>
      <c r="I1301" t="s">
        <v>3183</v>
      </c>
      <c r="J1301" t="s">
        <v>394</v>
      </c>
      <c r="K1301" t="s">
        <v>147</v>
      </c>
      <c r="L1301" t="s">
        <v>3184</v>
      </c>
      <c r="M1301" t="s">
        <v>16</v>
      </c>
    </row>
    <row r="1302" spans="1:13">
      <c r="A1302" t="s">
        <v>851</v>
      </c>
      <c r="B1302" t="s">
        <v>687</v>
      </c>
      <c r="C1302" t="s">
        <v>687</v>
      </c>
      <c r="D1302" t="s">
        <v>22</v>
      </c>
      <c r="E1302" t="s">
        <v>242</v>
      </c>
      <c r="F1302" t="s">
        <v>663</v>
      </c>
      <c r="G1302">
        <v>2035</v>
      </c>
      <c r="H1302" s="12">
        <v>18.14</v>
      </c>
      <c r="I1302" t="s">
        <v>3183</v>
      </c>
      <c r="J1302" t="s">
        <v>394</v>
      </c>
      <c r="K1302" t="s">
        <v>147</v>
      </c>
      <c r="L1302" t="s">
        <v>3184</v>
      </c>
      <c r="M1302" t="s">
        <v>16</v>
      </c>
    </row>
    <row r="1303" spans="1:13">
      <c r="A1303" t="s">
        <v>851</v>
      </c>
      <c r="B1303" t="s">
        <v>687</v>
      </c>
      <c r="C1303" t="s">
        <v>687</v>
      </c>
      <c r="D1303" t="s">
        <v>22</v>
      </c>
      <c r="E1303" t="s">
        <v>242</v>
      </c>
      <c r="F1303" t="s">
        <v>663</v>
      </c>
      <c r="G1303">
        <v>2040</v>
      </c>
      <c r="H1303" s="12">
        <v>14.54</v>
      </c>
      <c r="I1303" t="s">
        <v>3183</v>
      </c>
      <c r="J1303" t="s">
        <v>394</v>
      </c>
      <c r="K1303" t="s">
        <v>147</v>
      </c>
      <c r="L1303" t="s">
        <v>3184</v>
      </c>
      <c r="M1303" t="s">
        <v>16</v>
      </c>
    </row>
    <row r="1304" spans="1:13">
      <c r="A1304" t="s">
        <v>851</v>
      </c>
      <c r="B1304" t="s">
        <v>687</v>
      </c>
      <c r="C1304" t="s">
        <v>687</v>
      </c>
      <c r="D1304" t="s">
        <v>22</v>
      </c>
      <c r="E1304" t="s">
        <v>242</v>
      </c>
      <c r="F1304" t="s">
        <v>663</v>
      </c>
      <c r="G1304">
        <v>2045</v>
      </c>
      <c r="H1304" s="12">
        <v>11.38</v>
      </c>
      <c r="I1304" t="s">
        <v>3183</v>
      </c>
      <c r="J1304" t="s">
        <v>394</v>
      </c>
      <c r="K1304" t="s">
        <v>147</v>
      </c>
      <c r="L1304" t="s">
        <v>3184</v>
      </c>
      <c r="M1304" t="s">
        <v>16</v>
      </c>
    </row>
    <row r="1305" spans="1:13">
      <c r="A1305" t="s">
        <v>851</v>
      </c>
      <c r="B1305" t="s">
        <v>687</v>
      </c>
      <c r="C1305" t="s">
        <v>687</v>
      </c>
      <c r="D1305" t="s">
        <v>22</v>
      </c>
      <c r="E1305" t="s">
        <v>242</v>
      </c>
      <c r="F1305" t="s">
        <v>663</v>
      </c>
      <c r="G1305">
        <v>2050</v>
      </c>
      <c r="H1305" s="12">
        <v>9.23</v>
      </c>
      <c r="I1305" t="s">
        <v>3183</v>
      </c>
      <c r="J1305" t="s">
        <v>394</v>
      </c>
      <c r="K1305" t="s">
        <v>147</v>
      </c>
      <c r="L1305" t="s">
        <v>3184</v>
      </c>
      <c r="M1305" t="s">
        <v>16</v>
      </c>
    </row>
    <row r="1306" spans="1:13">
      <c r="A1306" t="s">
        <v>851</v>
      </c>
      <c r="B1306" t="s">
        <v>686</v>
      </c>
      <c r="C1306" t="s">
        <v>686</v>
      </c>
      <c r="D1306" t="s">
        <v>22</v>
      </c>
      <c r="E1306" t="s">
        <v>242</v>
      </c>
      <c r="F1306" t="s">
        <v>663</v>
      </c>
      <c r="G1306">
        <v>2010</v>
      </c>
      <c r="H1306" s="12">
        <v>49.72</v>
      </c>
      <c r="I1306" t="s">
        <v>3183</v>
      </c>
      <c r="J1306" t="s">
        <v>6</v>
      </c>
      <c r="K1306" t="s">
        <v>147</v>
      </c>
      <c r="L1306" t="s">
        <v>3184</v>
      </c>
      <c r="M1306" t="s">
        <v>659</v>
      </c>
    </row>
    <row r="1307" spans="1:13">
      <c r="A1307" t="s">
        <v>851</v>
      </c>
      <c r="B1307" t="s">
        <v>686</v>
      </c>
      <c r="C1307" t="s">
        <v>686</v>
      </c>
      <c r="D1307" t="s">
        <v>22</v>
      </c>
      <c r="E1307" t="s">
        <v>242</v>
      </c>
      <c r="F1307" t="s">
        <v>663</v>
      </c>
      <c r="G1307">
        <v>2015</v>
      </c>
      <c r="H1307" s="12">
        <v>79.680000000000007</v>
      </c>
      <c r="I1307" t="s">
        <v>3183</v>
      </c>
      <c r="J1307" t="s">
        <v>6</v>
      </c>
      <c r="K1307" t="s">
        <v>147</v>
      </c>
      <c r="L1307" t="s">
        <v>3184</v>
      </c>
      <c r="M1307" t="s">
        <v>659</v>
      </c>
    </row>
    <row r="1308" spans="1:13">
      <c r="A1308" t="s">
        <v>851</v>
      </c>
      <c r="B1308" t="s">
        <v>686</v>
      </c>
      <c r="C1308" t="s">
        <v>686</v>
      </c>
      <c r="D1308" t="s">
        <v>22</v>
      </c>
      <c r="E1308" t="s">
        <v>242</v>
      </c>
      <c r="F1308" t="s">
        <v>663</v>
      </c>
      <c r="G1308">
        <v>2020</v>
      </c>
      <c r="H1308" s="12">
        <v>130.76</v>
      </c>
      <c r="I1308" t="s">
        <v>3183</v>
      </c>
      <c r="J1308" t="s">
        <v>6</v>
      </c>
      <c r="K1308" t="s">
        <v>147</v>
      </c>
      <c r="L1308" t="s">
        <v>3184</v>
      </c>
      <c r="M1308" t="s">
        <v>659</v>
      </c>
    </row>
    <row r="1309" spans="1:13">
      <c r="A1309" t="s">
        <v>851</v>
      </c>
      <c r="B1309" t="s">
        <v>686</v>
      </c>
      <c r="C1309" t="s">
        <v>686</v>
      </c>
      <c r="D1309" t="s">
        <v>22</v>
      </c>
      <c r="E1309" t="s">
        <v>242</v>
      </c>
      <c r="F1309" t="s">
        <v>663</v>
      </c>
      <c r="G1309">
        <v>2030</v>
      </c>
      <c r="H1309" s="12">
        <v>177.8</v>
      </c>
      <c r="I1309" t="s">
        <v>3183</v>
      </c>
      <c r="J1309" t="s">
        <v>6</v>
      </c>
      <c r="K1309" t="s">
        <v>147</v>
      </c>
      <c r="L1309" t="s">
        <v>3184</v>
      </c>
      <c r="M1309" t="s">
        <v>659</v>
      </c>
    </row>
    <row r="1310" spans="1:13">
      <c r="A1310" t="s">
        <v>851</v>
      </c>
      <c r="B1310" t="s">
        <v>686</v>
      </c>
      <c r="C1310" t="s">
        <v>686</v>
      </c>
      <c r="D1310" t="s">
        <v>22</v>
      </c>
      <c r="E1310" t="s">
        <v>242</v>
      </c>
      <c r="F1310" t="s">
        <v>663</v>
      </c>
      <c r="G1310">
        <v>2035</v>
      </c>
      <c r="H1310" s="12">
        <v>184.28</v>
      </c>
      <c r="I1310" t="s">
        <v>3183</v>
      </c>
      <c r="J1310" t="s">
        <v>6</v>
      </c>
      <c r="K1310" t="s">
        <v>147</v>
      </c>
      <c r="L1310" t="s">
        <v>3184</v>
      </c>
      <c r="M1310" t="s">
        <v>659</v>
      </c>
    </row>
    <row r="1311" spans="1:13">
      <c r="A1311" t="s">
        <v>851</v>
      </c>
      <c r="B1311" t="s">
        <v>686</v>
      </c>
      <c r="C1311" t="s">
        <v>686</v>
      </c>
      <c r="D1311" t="s">
        <v>22</v>
      </c>
      <c r="E1311" t="s">
        <v>242</v>
      </c>
      <c r="F1311" t="s">
        <v>663</v>
      </c>
      <c r="G1311">
        <v>2040</v>
      </c>
      <c r="H1311" s="12">
        <v>187.09</v>
      </c>
      <c r="I1311" t="s">
        <v>3183</v>
      </c>
      <c r="J1311" t="s">
        <v>6</v>
      </c>
      <c r="K1311" t="s">
        <v>147</v>
      </c>
      <c r="L1311" t="s">
        <v>3184</v>
      </c>
      <c r="M1311" t="s">
        <v>659</v>
      </c>
    </row>
    <row r="1312" spans="1:13">
      <c r="A1312" t="s">
        <v>851</v>
      </c>
      <c r="B1312" t="s">
        <v>686</v>
      </c>
      <c r="C1312" t="s">
        <v>686</v>
      </c>
      <c r="D1312" t="s">
        <v>22</v>
      </c>
      <c r="E1312" t="s">
        <v>242</v>
      </c>
      <c r="F1312" t="s">
        <v>663</v>
      </c>
      <c r="G1312">
        <v>2045</v>
      </c>
      <c r="H1312" s="12">
        <v>181.84</v>
      </c>
      <c r="I1312" t="s">
        <v>3183</v>
      </c>
      <c r="J1312" t="s">
        <v>6</v>
      </c>
      <c r="K1312" t="s">
        <v>147</v>
      </c>
      <c r="L1312" t="s">
        <v>3184</v>
      </c>
      <c r="M1312" t="s">
        <v>659</v>
      </c>
    </row>
    <row r="1313" spans="1:13">
      <c r="A1313" t="s">
        <v>851</v>
      </c>
      <c r="B1313" t="s">
        <v>686</v>
      </c>
      <c r="C1313" t="s">
        <v>686</v>
      </c>
      <c r="D1313" t="s">
        <v>22</v>
      </c>
      <c r="E1313" t="s">
        <v>242</v>
      </c>
      <c r="F1313" t="s">
        <v>663</v>
      </c>
      <c r="G1313">
        <v>2050</v>
      </c>
      <c r="H1313" s="12">
        <v>188.89</v>
      </c>
      <c r="I1313" t="s">
        <v>3183</v>
      </c>
      <c r="J1313" t="s">
        <v>6</v>
      </c>
      <c r="K1313" t="s">
        <v>147</v>
      </c>
      <c r="L1313" t="s">
        <v>3184</v>
      </c>
      <c r="M1313" t="s">
        <v>659</v>
      </c>
    </row>
    <row r="1314" spans="1:13">
      <c r="A1314" t="s">
        <v>851</v>
      </c>
      <c r="B1314" t="s">
        <v>687</v>
      </c>
      <c r="C1314" t="s">
        <v>687</v>
      </c>
      <c r="D1314" t="s">
        <v>22</v>
      </c>
      <c r="E1314" t="s">
        <v>242</v>
      </c>
      <c r="F1314" t="s">
        <v>663</v>
      </c>
      <c r="G1314">
        <v>2030</v>
      </c>
      <c r="H1314" s="12">
        <v>162.29</v>
      </c>
      <c r="I1314" t="s">
        <v>3183</v>
      </c>
      <c r="J1314" t="s">
        <v>6</v>
      </c>
      <c r="K1314" t="s">
        <v>147</v>
      </c>
      <c r="L1314" t="s">
        <v>3184</v>
      </c>
      <c r="M1314" t="s">
        <v>659</v>
      </c>
    </row>
    <row r="1315" spans="1:13">
      <c r="A1315" t="s">
        <v>851</v>
      </c>
      <c r="B1315" t="s">
        <v>687</v>
      </c>
      <c r="C1315" t="s">
        <v>687</v>
      </c>
      <c r="D1315" t="s">
        <v>22</v>
      </c>
      <c r="E1315" t="s">
        <v>242</v>
      </c>
      <c r="F1315" t="s">
        <v>663</v>
      </c>
      <c r="G1315">
        <v>2035</v>
      </c>
      <c r="H1315" s="12">
        <v>184.77</v>
      </c>
      <c r="I1315" t="s">
        <v>3183</v>
      </c>
      <c r="J1315" t="s">
        <v>6</v>
      </c>
      <c r="K1315" t="s">
        <v>147</v>
      </c>
      <c r="L1315" t="s">
        <v>3184</v>
      </c>
      <c r="M1315" t="s">
        <v>659</v>
      </c>
    </row>
    <row r="1316" spans="1:13">
      <c r="A1316" t="s">
        <v>851</v>
      </c>
      <c r="B1316" t="s">
        <v>687</v>
      </c>
      <c r="C1316" t="s">
        <v>687</v>
      </c>
      <c r="D1316" t="s">
        <v>22</v>
      </c>
      <c r="E1316" t="s">
        <v>242</v>
      </c>
      <c r="F1316" t="s">
        <v>663</v>
      </c>
      <c r="G1316">
        <v>2040</v>
      </c>
      <c r="H1316" s="12">
        <v>213.83</v>
      </c>
      <c r="I1316" t="s">
        <v>3183</v>
      </c>
      <c r="J1316" t="s">
        <v>6</v>
      </c>
      <c r="K1316" t="s">
        <v>147</v>
      </c>
      <c r="L1316" t="s">
        <v>3184</v>
      </c>
      <c r="M1316" t="s">
        <v>659</v>
      </c>
    </row>
    <row r="1317" spans="1:13">
      <c r="A1317" t="s">
        <v>851</v>
      </c>
      <c r="B1317" t="s">
        <v>687</v>
      </c>
      <c r="C1317" t="s">
        <v>687</v>
      </c>
      <c r="D1317" t="s">
        <v>22</v>
      </c>
      <c r="E1317" t="s">
        <v>242</v>
      </c>
      <c r="F1317" t="s">
        <v>663</v>
      </c>
      <c r="G1317">
        <v>2045</v>
      </c>
      <c r="H1317" s="12">
        <v>199.15</v>
      </c>
      <c r="I1317" t="s">
        <v>3183</v>
      </c>
      <c r="J1317" t="s">
        <v>6</v>
      </c>
      <c r="K1317" t="s">
        <v>147</v>
      </c>
      <c r="L1317" t="s">
        <v>3184</v>
      </c>
      <c r="M1317" t="s">
        <v>659</v>
      </c>
    </row>
    <row r="1318" spans="1:13">
      <c r="A1318" t="s">
        <v>851</v>
      </c>
      <c r="B1318" t="s">
        <v>687</v>
      </c>
      <c r="C1318" t="s">
        <v>687</v>
      </c>
      <c r="D1318" t="s">
        <v>22</v>
      </c>
      <c r="E1318" t="s">
        <v>242</v>
      </c>
      <c r="F1318" t="s">
        <v>663</v>
      </c>
      <c r="G1318">
        <v>2050</v>
      </c>
      <c r="H1318" s="12">
        <v>166.12</v>
      </c>
      <c r="I1318" t="s">
        <v>3183</v>
      </c>
      <c r="J1318" t="s">
        <v>6</v>
      </c>
      <c r="K1318" t="s">
        <v>147</v>
      </c>
      <c r="L1318" t="s">
        <v>3184</v>
      </c>
      <c r="M1318" t="s">
        <v>659</v>
      </c>
    </row>
    <row r="1319" spans="1:13">
      <c r="A1319" t="s">
        <v>851</v>
      </c>
      <c r="B1319" t="s">
        <v>686</v>
      </c>
      <c r="C1319" t="s">
        <v>686</v>
      </c>
      <c r="D1319" t="s">
        <v>22</v>
      </c>
      <c r="E1319" t="s">
        <v>656</v>
      </c>
      <c r="F1319" t="s">
        <v>31</v>
      </c>
      <c r="G1319">
        <v>2010</v>
      </c>
      <c r="H1319" s="12">
        <v>650.72</v>
      </c>
      <c r="I1319" t="s">
        <v>3183</v>
      </c>
      <c r="J1319" t="s">
        <v>5</v>
      </c>
      <c r="K1319" t="s">
        <v>147</v>
      </c>
      <c r="L1319" t="s">
        <v>3184</v>
      </c>
      <c r="M1319" t="s">
        <v>665</v>
      </c>
    </row>
    <row r="1320" spans="1:13">
      <c r="A1320" t="s">
        <v>851</v>
      </c>
      <c r="B1320" t="s">
        <v>686</v>
      </c>
      <c r="C1320" t="s">
        <v>686</v>
      </c>
      <c r="D1320" t="s">
        <v>22</v>
      </c>
      <c r="E1320" t="s">
        <v>656</v>
      </c>
      <c r="F1320" t="s">
        <v>31</v>
      </c>
      <c r="G1320">
        <v>2015</v>
      </c>
      <c r="H1320" s="12">
        <v>917</v>
      </c>
      <c r="I1320" t="s">
        <v>3183</v>
      </c>
      <c r="J1320" t="s">
        <v>5</v>
      </c>
      <c r="K1320" t="s">
        <v>147</v>
      </c>
      <c r="L1320" t="s">
        <v>3184</v>
      </c>
      <c r="M1320" t="s">
        <v>665</v>
      </c>
    </row>
    <row r="1321" spans="1:13">
      <c r="A1321" t="s">
        <v>851</v>
      </c>
      <c r="B1321" t="s">
        <v>686</v>
      </c>
      <c r="C1321" t="s">
        <v>686</v>
      </c>
      <c r="D1321" t="s">
        <v>22</v>
      </c>
      <c r="E1321" t="s">
        <v>656</v>
      </c>
      <c r="F1321" t="s">
        <v>31</v>
      </c>
      <c r="G1321">
        <v>2020</v>
      </c>
      <c r="H1321" s="12">
        <v>1111.6300000000001</v>
      </c>
      <c r="I1321" t="s">
        <v>3183</v>
      </c>
      <c r="J1321" t="s">
        <v>5</v>
      </c>
      <c r="K1321" t="s">
        <v>147</v>
      </c>
      <c r="L1321" t="s">
        <v>3184</v>
      </c>
      <c r="M1321" t="s">
        <v>665</v>
      </c>
    </row>
    <row r="1322" spans="1:13">
      <c r="A1322" t="s">
        <v>851</v>
      </c>
      <c r="B1322" t="s">
        <v>686</v>
      </c>
      <c r="C1322" t="s">
        <v>686</v>
      </c>
      <c r="D1322" t="s">
        <v>22</v>
      </c>
      <c r="E1322" t="s">
        <v>656</v>
      </c>
      <c r="F1322" t="s">
        <v>31</v>
      </c>
      <c r="G1322">
        <v>2030</v>
      </c>
      <c r="H1322" s="12">
        <v>1280.3800000000001</v>
      </c>
      <c r="I1322" t="s">
        <v>3183</v>
      </c>
      <c r="J1322" t="s">
        <v>5</v>
      </c>
      <c r="K1322" t="s">
        <v>147</v>
      </c>
      <c r="L1322" t="s">
        <v>3184</v>
      </c>
      <c r="M1322" t="s">
        <v>665</v>
      </c>
    </row>
    <row r="1323" spans="1:13">
      <c r="A1323" t="s">
        <v>851</v>
      </c>
      <c r="B1323" t="s">
        <v>686</v>
      </c>
      <c r="C1323" t="s">
        <v>686</v>
      </c>
      <c r="D1323" t="s">
        <v>22</v>
      </c>
      <c r="E1323" t="s">
        <v>656</v>
      </c>
      <c r="F1323" t="s">
        <v>31</v>
      </c>
      <c r="G1323">
        <v>2035</v>
      </c>
      <c r="H1323" s="12">
        <v>1251.5</v>
      </c>
      <c r="I1323" t="s">
        <v>3183</v>
      </c>
      <c r="J1323" t="s">
        <v>5</v>
      </c>
      <c r="K1323" t="s">
        <v>147</v>
      </c>
      <c r="L1323" t="s">
        <v>3184</v>
      </c>
      <c r="M1323" t="s">
        <v>665</v>
      </c>
    </row>
    <row r="1324" spans="1:13">
      <c r="A1324" t="s">
        <v>851</v>
      </c>
      <c r="B1324" t="s">
        <v>686</v>
      </c>
      <c r="C1324" t="s">
        <v>686</v>
      </c>
      <c r="D1324" t="s">
        <v>22</v>
      </c>
      <c r="E1324" t="s">
        <v>656</v>
      </c>
      <c r="F1324" t="s">
        <v>31</v>
      </c>
      <c r="G1324">
        <v>2040</v>
      </c>
      <c r="H1324" s="12">
        <v>1193.3399999999999</v>
      </c>
      <c r="I1324" t="s">
        <v>3183</v>
      </c>
      <c r="J1324" t="s">
        <v>5</v>
      </c>
      <c r="K1324" t="s">
        <v>147</v>
      </c>
      <c r="L1324" t="s">
        <v>3184</v>
      </c>
      <c r="M1324" t="s">
        <v>665</v>
      </c>
    </row>
    <row r="1325" spans="1:13">
      <c r="A1325" t="s">
        <v>851</v>
      </c>
      <c r="B1325" t="s">
        <v>686</v>
      </c>
      <c r="C1325" t="s">
        <v>686</v>
      </c>
      <c r="D1325" t="s">
        <v>22</v>
      </c>
      <c r="E1325" t="s">
        <v>656</v>
      </c>
      <c r="F1325" t="s">
        <v>31</v>
      </c>
      <c r="G1325">
        <v>2045</v>
      </c>
      <c r="H1325" s="12">
        <v>1022.05</v>
      </c>
      <c r="I1325" t="s">
        <v>3183</v>
      </c>
      <c r="J1325" t="s">
        <v>5</v>
      </c>
      <c r="K1325" t="s">
        <v>147</v>
      </c>
      <c r="L1325" t="s">
        <v>3184</v>
      </c>
      <c r="M1325" t="s">
        <v>665</v>
      </c>
    </row>
    <row r="1326" spans="1:13">
      <c r="A1326" t="s">
        <v>851</v>
      </c>
      <c r="B1326" t="s">
        <v>686</v>
      </c>
      <c r="C1326" t="s">
        <v>686</v>
      </c>
      <c r="D1326" t="s">
        <v>22</v>
      </c>
      <c r="E1326" t="s">
        <v>656</v>
      </c>
      <c r="F1326" t="s">
        <v>31</v>
      </c>
      <c r="G1326">
        <v>2050</v>
      </c>
      <c r="H1326" s="12">
        <v>881.74</v>
      </c>
      <c r="I1326" t="s">
        <v>3183</v>
      </c>
      <c r="J1326" t="s">
        <v>5</v>
      </c>
      <c r="K1326" t="s">
        <v>147</v>
      </c>
      <c r="L1326" t="s">
        <v>3184</v>
      </c>
      <c r="M1326" t="s">
        <v>665</v>
      </c>
    </row>
    <row r="1327" spans="1:13">
      <c r="A1327" t="s">
        <v>851</v>
      </c>
      <c r="B1327" t="s">
        <v>687</v>
      </c>
      <c r="C1327" t="s">
        <v>687</v>
      </c>
      <c r="D1327" t="s">
        <v>22</v>
      </c>
      <c r="E1327" t="s">
        <v>656</v>
      </c>
      <c r="F1327" t="s">
        <v>31</v>
      </c>
      <c r="G1327">
        <v>2030</v>
      </c>
      <c r="H1327" s="12">
        <v>1258.25</v>
      </c>
      <c r="I1327" t="s">
        <v>3183</v>
      </c>
      <c r="J1327" t="s">
        <v>5</v>
      </c>
      <c r="K1327" t="s">
        <v>147</v>
      </c>
      <c r="L1327" t="s">
        <v>3184</v>
      </c>
      <c r="M1327" t="s">
        <v>665</v>
      </c>
    </row>
    <row r="1328" spans="1:13">
      <c r="A1328" t="s">
        <v>851</v>
      </c>
      <c r="B1328" t="s">
        <v>687</v>
      </c>
      <c r="C1328" t="s">
        <v>687</v>
      </c>
      <c r="D1328" t="s">
        <v>22</v>
      </c>
      <c r="E1328" t="s">
        <v>656</v>
      </c>
      <c r="F1328" t="s">
        <v>31</v>
      </c>
      <c r="G1328">
        <v>2035</v>
      </c>
      <c r="H1328" s="12">
        <v>1171.28</v>
      </c>
      <c r="I1328" t="s">
        <v>3183</v>
      </c>
      <c r="J1328" t="s">
        <v>5</v>
      </c>
      <c r="K1328" t="s">
        <v>147</v>
      </c>
      <c r="L1328" t="s">
        <v>3184</v>
      </c>
      <c r="M1328" t="s">
        <v>665</v>
      </c>
    </row>
    <row r="1329" spans="1:13">
      <c r="A1329" t="s">
        <v>851</v>
      </c>
      <c r="B1329" t="s">
        <v>687</v>
      </c>
      <c r="C1329" t="s">
        <v>687</v>
      </c>
      <c r="D1329" t="s">
        <v>22</v>
      </c>
      <c r="E1329" t="s">
        <v>656</v>
      </c>
      <c r="F1329" t="s">
        <v>31</v>
      </c>
      <c r="G1329">
        <v>2040</v>
      </c>
      <c r="H1329" s="12">
        <v>1080.3699999999999</v>
      </c>
      <c r="I1329" t="s">
        <v>3183</v>
      </c>
      <c r="J1329" t="s">
        <v>5</v>
      </c>
      <c r="K1329" t="s">
        <v>147</v>
      </c>
      <c r="L1329" t="s">
        <v>3184</v>
      </c>
      <c r="M1329" t="s">
        <v>665</v>
      </c>
    </row>
    <row r="1330" spans="1:13">
      <c r="A1330" t="s">
        <v>851</v>
      </c>
      <c r="B1330" t="s">
        <v>687</v>
      </c>
      <c r="C1330" t="s">
        <v>687</v>
      </c>
      <c r="D1330" t="s">
        <v>22</v>
      </c>
      <c r="E1330" t="s">
        <v>656</v>
      </c>
      <c r="F1330" t="s">
        <v>31</v>
      </c>
      <c r="G1330">
        <v>2045</v>
      </c>
      <c r="H1330" s="12">
        <v>890.13</v>
      </c>
      <c r="I1330" t="s">
        <v>3183</v>
      </c>
      <c r="J1330" t="s">
        <v>5</v>
      </c>
      <c r="K1330" t="s">
        <v>147</v>
      </c>
      <c r="L1330" t="s">
        <v>3184</v>
      </c>
      <c r="M1330" t="s">
        <v>665</v>
      </c>
    </row>
    <row r="1331" spans="1:13">
      <c r="A1331" t="s">
        <v>851</v>
      </c>
      <c r="B1331" t="s">
        <v>687</v>
      </c>
      <c r="C1331" t="s">
        <v>687</v>
      </c>
      <c r="D1331" t="s">
        <v>22</v>
      </c>
      <c r="E1331" t="s">
        <v>656</v>
      </c>
      <c r="F1331" t="s">
        <v>31</v>
      </c>
      <c r="G1331">
        <v>2050</v>
      </c>
      <c r="H1331" s="12">
        <v>699.96</v>
      </c>
      <c r="I1331" t="s">
        <v>3183</v>
      </c>
      <c r="J1331" t="s">
        <v>5</v>
      </c>
      <c r="K1331" t="s">
        <v>147</v>
      </c>
      <c r="L1331" t="s">
        <v>3184</v>
      </c>
      <c r="M1331" t="s">
        <v>665</v>
      </c>
    </row>
    <row r="1332" spans="1:13">
      <c r="A1332" t="s">
        <v>851</v>
      </c>
      <c r="B1332" t="s">
        <v>686</v>
      </c>
      <c r="C1332" t="s">
        <v>686</v>
      </c>
      <c r="D1332" t="s">
        <v>22</v>
      </c>
      <c r="E1332" t="s">
        <v>656</v>
      </c>
      <c r="F1332" t="s">
        <v>31</v>
      </c>
      <c r="G1332">
        <v>2010</v>
      </c>
      <c r="H1332" s="12">
        <v>35.75</v>
      </c>
      <c r="I1332" t="s">
        <v>3183</v>
      </c>
      <c r="J1332" t="s">
        <v>6</v>
      </c>
      <c r="K1332" t="s">
        <v>147</v>
      </c>
      <c r="L1332" t="s">
        <v>3184</v>
      </c>
      <c r="M1332" t="s">
        <v>666</v>
      </c>
    </row>
    <row r="1333" spans="1:13">
      <c r="A1333" t="s">
        <v>851</v>
      </c>
      <c r="B1333" t="s">
        <v>686</v>
      </c>
      <c r="C1333" t="s">
        <v>686</v>
      </c>
      <c r="D1333" t="s">
        <v>22</v>
      </c>
      <c r="E1333" t="s">
        <v>656</v>
      </c>
      <c r="F1333" t="s">
        <v>31</v>
      </c>
      <c r="G1333">
        <v>2015</v>
      </c>
      <c r="H1333" s="12">
        <v>67.69</v>
      </c>
      <c r="I1333" t="s">
        <v>3183</v>
      </c>
      <c r="J1333" t="s">
        <v>6</v>
      </c>
      <c r="K1333" t="s">
        <v>147</v>
      </c>
      <c r="L1333" t="s">
        <v>3184</v>
      </c>
      <c r="M1333" t="s">
        <v>666</v>
      </c>
    </row>
    <row r="1334" spans="1:13">
      <c r="A1334" t="s">
        <v>851</v>
      </c>
      <c r="B1334" t="s">
        <v>686</v>
      </c>
      <c r="C1334" t="s">
        <v>686</v>
      </c>
      <c r="D1334" t="s">
        <v>22</v>
      </c>
      <c r="E1334" t="s">
        <v>656</v>
      </c>
      <c r="F1334" t="s">
        <v>31</v>
      </c>
      <c r="G1334">
        <v>2020</v>
      </c>
      <c r="H1334" s="12">
        <v>93.45</v>
      </c>
      <c r="I1334" t="s">
        <v>3183</v>
      </c>
      <c r="J1334" t="s">
        <v>6</v>
      </c>
      <c r="K1334" t="s">
        <v>147</v>
      </c>
      <c r="L1334" t="s">
        <v>3184</v>
      </c>
      <c r="M1334" t="s">
        <v>666</v>
      </c>
    </row>
    <row r="1335" spans="1:13">
      <c r="A1335" t="s">
        <v>851</v>
      </c>
      <c r="B1335" t="s">
        <v>686</v>
      </c>
      <c r="C1335" t="s">
        <v>686</v>
      </c>
      <c r="D1335" t="s">
        <v>22</v>
      </c>
      <c r="E1335" t="s">
        <v>656</v>
      </c>
      <c r="F1335" t="s">
        <v>31</v>
      </c>
      <c r="G1335">
        <v>2030</v>
      </c>
      <c r="H1335" s="12">
        <v>139.94</v>
      </c>
      <c r="I1335" t="s">
        <v>3183</v>
      </c>
      <c r="J1335" t="s">
        <v>6</v>
      </c>
      <c r="K1335" t="s">
        <v>147</v>
      </c>
      <c r="L1335" t="s">
        <v>3184</v>
      </c>
      <c r="M1335" t="s">
        <v>666</v>
      </c>
    </row>
    <row r="1336" spans="1:13">
      <c r="A1336" t="s">
        <v>851</v>
      </c>
      <c r="B1336" t="s">
        <v>686</v>
      </c>
      <c r="C1336" t="s">
        <v>686</v>
      </c>
      <c r="D1336" t="s">
        <v>22</v>
      </c>
      <c r="E1336" t="s">
        <v>656</v>
      </c>
      <c r="F1336" t="s">
        <v>31</v>
      </c>
      <c r="G1336">
        <v>2035</v>
      </c>
      <c r="H1336" s="12">
        <v>157.12</v>
      </c>
      <c r="I1336" t="s">
        <v>3183</v>
      </c>
      <c r="J1336" t="s">
        <v>6</v>
      </c>
      <c r="K1336" t="s">
        <v>147</v>
      </c>
      <c r="L1336" t="s">
        <v>3184</v>
      </c>
      <c r="M1336" t="s">
        <v>666</v>
      </c>
    </row>
    <row r="1337" spans="1:13">
      <c r="A1337" t="s">
        <v>851</v>
      </c>
      <c r="B1337" t="s">
        <v>686</v>
      </c>
      <c r="C1337" t="s">
        <v>686</v>
      </c>
      <c r="D1337" t="s">
        <v>22</v>
      </c>
      <c r="E1337" t="s">
        <v>656</v>
      </c>
      <c r="F1337" t="s">
        <v>31</v>
      </c>
      <c r="G1337">
        <v>2040</v>
      </c>
      <c r="H1337" s="12">
        <v>175.44</v>
      </c>
      <c r="I1337" t="s">
        <v>3183</v>
      </c>
      <c r="J1337" t="s">
        <v>6</v>
      </c>
      <c r="K1337" t="s">
        <v>147</v>
      </c>
      <c r="L1337" t="s">
        <v>3184</v>
      </c>
      <c r="M1337" t="s">
        <v>666</v>
      </c>
    </row>
    <row r="1338" spans="1:13">
      <c r="A1338" t="s">
        <v>851</v>
      </c>
      <c r="B1338" t="s">
        <v>686</v>
      </c>
      <c r="C1338" t="s">
        <v>686</v>
      </c>
      <c r="D1338" t="s">
        <v>22</v>
      </c>
      <c r="E1338" t="s">
        <v>656</v>
      </c>
      <c r="F1338" t="s">
        <v>31</v>
      </c>
      <c r="G1338">
        <v>2045</v>
      </c>
      <c r="H1338" s="12">
        <v>176.62</v>
      </c>
      <c r="I1338" t="s">
        <v>3183</v>
      </c>
      <c r="J1338" t="s">
        <v>6</v>
      </c>
      <c r="K1338" t="s">
        <v>147</v>
      </c>
      <c r="L1338" t="s">
        <v>3184</v>
      </c>
      <c r="M1338" t="s">
        <v>666</v>
      </c>
    </row>
    <row r="1339" spans="1:13">
      <c r="A1339" t="s">
        <v>851</v>
      </c>
      <c r="B1339" t="s">
        <v>686</v>
      </c>
      <c r="C1339" t="s">
        <v>686</v>
      </c>
      <c r="D1339" t="s">
        <v>22</v>
      </c>
      <c r="E1339" t="s">
        <v>656</v>
      </c>
      <c r="F1339" t="s">
        <v>31</v>
      </c>
      <c r="G1339">
        <v>2050</v>
      </c>
      <c r="H1339" s="12">
        <v>186.81</v>
      </c>
      <c r="I1339" t="s">
        <v>3183</v>
      </c>
      <c r="J1339" t="s">
        <v>6</v>
      </c>
      <c r="K1339" t="s">
        <v>147</v>
      </c>
      <c r="L1339" t="s">
        <v>3184</v>
      </c>
      <c r="M1339" t="s">
        <v>666</v>
      </c>
    </row>
    <row r="1340" spans="1:13">
      <c r="A1340" t="s">
        <v>851</v>
      </c>
      <c r="B1340" t="s">
        <v>687</v>
      </c>
      <c r="C1340" t="s">
        <v>687</v>
      </c>
      <c r="D1340" t="s">
        <v>22</v>
      </c>
      <c r="E1340" t="s">
        <v>656</v>
      </c>
      <c r="F1340" t="s">
        <v>31</v>
      </c>
      <c r="G1340">
        <v>2030</v>
      </c>
      <c r="H1340" s="12">
        <v>122.28</v>
      </c>
      <c r="I1340" t="s">
        <v>3183</v>
      </c>
      <c r="J1340" t="s">
        <v>6</v>
      </c>
      <c r="K1340" t="s">
        <v>147</v>
      </c>
      <c r="L1340" t="s">
        <v>3184</v>
      </c>
      <c r="M1340" t="s">
        <v>666</v>
      </c>
    </row>
    <row r="1341" spans="1:13">
      <c r="A1341" t="s">
        <v>851</v>
      </c>
      <c r="B1341" t="s">
        <v>687</v>
      </c>
      <c r="C1341" t="s">
        <v>687</v>
      </c>
      <c r="D1341" t="s">
        <v>22</v>
      </c>
      <c r="E1341" t="s">
        <v>656</v>
      </c>
      <c r="F1341" t="s">
        <v>31</v>
      </c>
      <c r="G1341">
        <v>2035</v>
      </c>
      <c r="H1341" s="12">
        <v>117.56</v>
      </c>
      <c r="I1341" t="s">
        <v>3183</v>
      </c>
      <c r="J1341" t="s">
        <v>6</v>
      </c>
      <c r="K1341" t="s">
        <v>147</v>
      </c>
      <c r="L1341" t="s">
        <v>3184</v>
      </c>
      <c r="M1341" t="s">
        <v>666</v>
      </c>
    </row>
    <row r="1342" spans="1:13">
      <c r="A1342" t="s">
        <v>851</v>
      </c>
      <c r="B1342" t="s">
        <v>687</v>
      </c>
      <c r="C1342" t="s">
        <v>687</v>
      </c>
      <c r="D1342" t="s">
        <v>22</v>
      </c>
      <c r="E1342" t="s">
        <v>656</v>
      </c>
      <c r="F1342" t="s">
        <v>31</v>
      </c>
      <c r="G1342">
        <v>2040</v>
      </c>
      <c r="H1342" s="12">
        <v>127.16</v>
      </c>
      <c r="I1342" t="s">
        <v>3183</v>
      </c>
      <c r="J1342" t="s">
        <v>6</v>
      </c>
      <c r="K1342" t="s">
        <v>147</v>
      </c>
      <c r="L1342" t="s">
        <v>3184</v>
      </c>
      <c r="M1342" t="s">
        <v>666</v>
      </c>
    </row>
    <row r="1343" spans="1:13">
      <c r="A1343" t="s">
        <v>851</v>
      </c>
      <c r="B1343" t="s">
        <v>687</v>
      </c>
      <c r="C1343" t="s">
        <v>687</v>
      </c>
      <c r="D1343" t="s">
        <v>22</v>
      </c>
      <c r="E1343" t="s">
        <v>656</v>
      </c>
      <c r="F1343" t="s">
        <v>31</v>
      </c>
      <c r="G1343">
        <v>2045</v>
      </c>
      <c r="H1343" s="12">
        <v>124.91</v>
      </c>
      <c r="I1343" t="s">
        <v>3183</v>
      </c>
      <c r="J1343" t="s">
        <v>6</v>
      </c>
      <c r="K1343" t="s">
        <v>147</v>
      </c>
      <c r="L1343" t="s">
        <v>3184</v>
      </c>
      <c r="M1343" t="s">
        <v>666</v>
      </c>
    </row>
    <row r="1344" spans="1:13">
      <c r="A1344" t="s">
        <v>851</v>
      </c>
      <c r="B1344" t="s">
        <v>687</v>
      </c>
      <c r="C1344" t="s">
        <v>687</v>
      </c>
      <c r="D1344" t="s">
        <v>22</v>
      </c>
      <c r="E1344" t="s">
        <v>656</v>
      </c>
      <c r="F1344" t="s">
        <v>31</v>
      </c>
      <c r="G1344">
        <v>2050</v>
      </c>
      <c r="H1344" s="12">
        <v>106.42</v>
      </c>
      <c r="I1344" t="s">
        <v>3183</v>
      </c>
      <c r="J1344" t="s">
        <v>6</v>
      </c>
      <c r="K1344" t="s">
        <v>147</v>
      </c>
      <c r="L1344" t="s">
        <v>3184</v>
      </c>
      <c r="M1344" t="s">
        <v>666</v>
      </c>
    </row>
    <row r="1345" spans="1:13">
      <c r="A1345" t="s">
        <v>851</v>
      </c>
      <c r="B1345" t="s">
        <v>686</v>
      </c>
      <c r="C1345" t="s">
        <v>686</v>
      </c>
      <c r="D1345" t="s">
        <v>22</v>
      </c>
      <c r="E1345" t="s">
        <v>656</v>
      </c>
      <c r="F1345" t="s">
        <v>31</v>
      </c>
      <c r="G1345">
        <v>2010</v>
      </c>
      <c r="H1345" s="12">
        <v>8.3699999999999992</v>
      </c>
      <c r="I1345" t="s">
        <v>3183</v>
      </c>
      <c r="J1345" t="s">
        <v>394</v>
      </c>
      <c r="K1345" t="s">
        <v>147</v>
      </c>
      <c r="L1345" t="s">
        <v>3184</v>
      </c>
      <c r="M1345" t="s">
        <v>16</v>
      </c>
    </row>
    <row r="1346" spans="1:13">
      <c r="A1346" t="s">
        <v>851</v>
      </c>
      <c r="B1346" t="s">
        <v>686</v>
      </c>
      <c r="C1346" t="s">
        <v>686</v>
      </c>
      <c r="D1346" t="s">
        <v>22</v>
      </c>
      <c r="E1346" t="s">
        <v>656</v>
      </c>
      <c r="F1346" t="s">
        <v>31</v>
      </c>
      <c r="G1346">
        <v>2015</v>
      </c>
      <c r="H1346" s="12">
        <v>8.2899999999999991</v>
      </c>
      <c r="I1346" t="s">
        <v>3183</v>
      </c>
      <c r="J1346" t="s">
        <v>394</v>
      </c>
      <c r="K1346" t="s">
        <v>147</v>
      </c>
      <c r="L1346" t="s">
        <v>3184</v>
      </c>
      <c r="M1346" t="s">
        <v>16</v>
      </c>
    </row>
    <row r="1347" spans="1:13">
      <c r="A1347" t="s">
        <v>851</v>
      </c>
      <c r="B1347" t="s">
        <v>687</v>
      </c>
      <c r="C1347" t="s">
        <v>687</v>
      </c>
      <c r="D1347" t="s">
        <v>22</v>
      </c>
      <c r="E1347" t="s">
        <v>656</v>
      </c>
      <c r="F1347" t="s">
        <v>31</v>
      </c>
      <c r="G1347">
        <v>2045</v>
      </c>
      <c r="H1347" s="12">
        <v>388.69</v>
      </c>
      <c r="I1347" t="s">
        <v>3183</v>
      </c>
      <c r="J1347" t="s">
        <v>484</v>
      </c>
      <c r="K1347" t="s">
        <v>147</v>
      </c>
      <c r="L1347" t="s">
        <v>3184</v>
      </c>
      <c r="M1347" t="s">
        <v>667</v>
      </c>
    </row>
    <row r="1348" spans="1:13">
      <c r="A1348" t="s">
        <v>851</v>
      </c>
      <c r="B1348" t="s">
        <v>687</v>
      </c>
      <c r="C1348" t="s">
        <v>687</v>
      </c>
      <c r="D1348" t="s">
        <v>22</v>
      </c>
      <c r="E1348" t="s">
        <v>656</v>
      </c>
      <c r="F1348" t="s">
        <v>31</v>
      </c>
      <c r="G1348">
        <v>2050</v>
      </c>
      <c r="H1348" s="12">
        <v>570.17999999999995</v>
      </c>
      <c r="I1348" t="s">
        <v>3183</v>
      </c>
      <c r="J1348" t="s">
        <v>484</v>
      </c>
      <c r="K1348" t="s">
        <v>147</v>
      </c>
      <c r="L1348" t="s">
        <v>3184</v>
      </c>
      <c r="M1348" t="s">
        <v>667</v>
      </c>
    </row>
    <row r="1349" spans="1:13">
      <c r="A1349" t="s">
        <v>851</v>
      </c>
      <c r="B1349" t="s">
        <v>686</v>
      </c>
      <c r="C1349" t="s">
        <v>686</v>
      </c>
      <c r="D1349" t="s">
        <v>22</v>
      </c>
      <c r="E1349" t="s">
        <v>242</v>
      </c>
      <c r="F1349" t="s">
        <v>663</v>
      </c>
      <c r="G1349">
        <v>2040</v>
      </c>
      <c r="H1349" s="12">
        <v>4236.45</v>
      </c>
      <c r="I1349" t="s">
        <v>3183</v>
      </c>
      <c r="J1349" t="s">
        <v>5</v>
      </c>
      <c r="K1349" t="s">
        <v>147</v>
      </c>
      <c r="L1349" t="s">
        <v>3184</v>
      </c>
      <c r="M1349" t="s">
        <v>5</v>
      </c>
    </row>
    <row r="1350" spans="1:13">
      <c r="A1350" t="s">
        <v>851</v>
      </c>
      <c r="B1350" t="s">
        <v>686</v>
      </c>
      <c r="C1350" t="s">
        <v>686</v>
      </c>
      <c r="D1350" t="s">
        <v>22</v>
      </c>
      <c r="E1350" t="s">
        <v>242</v>
      </c>
      <c r="F1350" t="s">
        <v>663</v>
      </c>
      <c r="G1350">
        <v>2045</v>
      </c>
      <c r="H1350" s="12">
        <v>3762.93</v>
      </c>
      <c r="I1350" t="s">
        <v>3183</v>
      </c>
      <c r="J1350" t="s">
        <v>5</v>
      </c>
      <c r="K1350" t="s">
        <v>147</v>
      </c>
      <c r="L1350" t="s">
        <v>3184</v>
      </c>
      <c r="M1350" t="s">
        <v>5</v>
      </c>
    </row>
    <row r="1351" spans="1:13">
      <c r="A1351" t="s">
        <v>851</v>
      </c>
      <c r="B1351" t="s">
        <v>686</v>
      </c>
      <c r="C1351" t="s">
        <v>686</v>
      </c>
      <c r="D1351" t="s">
        <v>22</v>
      </c>
      <c r="E1351" t="s">
        <v>242</v>
      </c>
      <c r="F1351" t="s">
        <v>663</v>
      </c>
      <c r="G1351">
        <v>2050</v>
      </c>
      <c r="H1351" s="12">
        <v>3289.39</v>
      </c>
      <c r="I1351" t="s">
        <v>3183</v>
      </c>
      <c r="J1351" t="s">
        <v>5</v>
      </c>
      <c r="K1351" t="s">
        <v>147</v>
      </c>
      <c r="L1351" t="s">
        <v>3184</v>
      </c>
      <c r="M1351" t="s">
        <v>5</v>
      </c>
    </row>
    <row r="1352" spans="1:13">
      <c r="A1352" t="s">
        <v>851</v>
      </c>
      <c r="B1352" t="s">
        <v>687</v>
      </c>
      <c r="C1352" t="s">
        <v>687</v>
      </c>
      <c r="D1352" t="s">
        <v>22</v>
      </c>
      <c r="E1352" t="s">
        <v>242</v>
      </c>
      <c r="F1352" t="s">
        <v>663</v>
      </c>
      <c r="G1352">
        <v>2030</v>
      </c>
      <c r="H1352" s="12">
        <v>4999.45</v>
      </c>
      <c r="I1352" t="s">
        <v>3183</v>
      </c>
      <c r="J1352" t="s">
        <v>5</v>
      </c>
      <c r="K1352" t="s">
        <v>147</v>
      </c>
      <c r="L1352" t="s">
        <v>3184</v>
      </c>
      <c r="M1352" t="s">
        <v>5</v>
      </c>
    </row>
    <row r="1353" spans="1:13">
      <c r="A1353" t="s">
        <v>851</v>
      </c>
      <c r="B1353" t="s">
        <v>687</v>
      </c>
      <c r="C1353" t="s">
        <v>687</v>
      </c>
      <c r="D1353" t="s">
        <v>22</v>
      </c>
      <c r="E1353" t="s">
        <v>242</v>
      </c>
      <c r="F1353" t="s">
        <v>663</v>
      </c>
      <c r="G1353">
        <v>2035</v>
      </c>
      <c r="H1353" s="12">
        <v>4055.79</v>
      </c>
      <c r="I1353" t="s">
        <v>3183</v>
      </c>
      <c r="J1353" t="s">
        <v>5</v>
      </c>
      <c r="K1353" t="s">
        <v>147</v>
      </c>
      <c r="L1353" t="s">
        <v>3184</v>
      </c>
      <c r="M1353" t="s">
        <v>5</v>
      </c>
    </row>
    <row r="1354" spans="1:13">
      <c r="A1354" t="s">
        <v>851</v>
      </c>
      <c r="B1354" t="s">
        <v>687</v>
      </c>
      <c r="C1354" t="s">
        <v>687</v>
      </c>
      <c r="D1354" t="s">
        <v>22</v>
      </c>
      <c r="E1354" t="s">
        <v>242</v>
      </c>
      <c r="F1354" t="s">
        <v>663</v>
      </c>
      <c r="G1354">
        <v>2040</v>
      </c>
      <c r="H1354" s="12">
        <v>2734.73</v>
      </c>
      <c r="I1354" t="s">
        <v>3183</v>
      </c>
      <c r="J1354" t="s">
        <v>5</v>
      </c>
      <c r="K1354" t="s">
        <v>147</v>
      </c>
      <c r="L1354" t="s">
        <v>3184</v>
      </c>
      <c r="M1354" t="s">
        <v>5</v>
      </c>
    </row>
    <row r="1355" spans="1:13">
      <c r="A1355" t="s">
        <v>851</v>
      </c>
      <c r="B1355" t="s">
        <v>687</v>
      </c>
      <c r="C1355" t="s">
        <v>687</v>
      </c>
      <c r="D1355" t="s">
        <v>22</v>
      </c>
      <c r="E1355" t="s">
        <v>242</v>
      </c>
      <c r="F1355" t="s">
        <v>663</v>
      </c>
      <c r="G1355">
        <v>2045</v>
      </c>
      <c r="H1355" s="12">
        <v>1766.42</v>
      </c>
      <c r="I1355" t="s">
        <v>3183</v>
      </c>
      <c r="J1355" t="s">
        <v>5</v>
      </c>
      <c r="K1355" t="s">
        <v>147</v>
      </c>
      <c r="L1355" t="s">
        <v>3184</v>
      </c>
      <c r="M1355" t="s">
        <v>5</v>
      </c>
    </row>
    <row r="1356" spans="1:13">
      <c r="A1356" t="s">
        <v>851</v>
      </c>
      <c r="B1356" t="s">
        <v>687</v>
      </c>
      <c r="C1356" t="s">
        <v>687</v>
      </c>
      <c r="D1356" t="s">
        <v>22</v>
      </c>
      <c r="E1356" t="s">
        <v>242</v>
      </c>
      <c r="F1356" t="s">
        <v>663</v>
      </c>
      <c r="G1356">
        <v>2050</v>
      </c>
      <c r="H1356" s="12">
        <v>905.66</v>
      </c>
      <c r="I1356" t="s">
        <v>3183</v>
      </c>
      <c r="J1356" t="s">
        <v>5</v>
      </c>
      <c r="K1356" t="s">
        <v>147</v>
      </c>
      <c r="L1356" t="s">
        <v>3184</v>
      </c>
      <c r="M1356" t="s">
        <v>5</v>
      </c>
    </row>
    <row r="1357" spans="1:13">
      <c r="A1357" t="s">
        <v>851</v>
      </c>
      <c r="B1357" t="s">
        <v>686</v>
      </c>
      <c r="C1357" t="s">
        <v>686</v>
      </c>
      <c r="D1357" t="s">
        <v>22</v>
      </c>
      <c r="E1357" t="s">
        <v>242</v>
      </c>
      <c r="F1357" t="s">
        <v>663</v>
      </c>
      <c r="G1357">
        <v>2010</v>
      </c>
      <c r="H1357" s="12">
        <v>31.38</v>
      </c>
      <c r="I1357" t="s">
        <v>3183</v>
      </c>
      <c r="J1357" t="s">
        <v>394</v>
      </c>
      <c r="K1357" t="s">
        <v>147</v>
      </c>
      <c r="L1357" t="s">
        <v>3184</v>
      </c>
      <c r="M1357" t="s">
        <v>16</v>
      </c>
    </row>
    <row r="1358" spans="1:13">
      <c r="A1358" t="s">
        <v>851</v>
      </c>
      <c r="B1358" t="s">
        <v>686</v>
      </c>
      <c r="C1358" t="s">
        <v>686</v>
      </c>
      <c r="D1358" t="s">
        <v>22</v>
      </c>
      <c r="E1358" t="s">
        <v>242</v>
      </c>
      <c r="F1358" t="s">
        <v>663</v>
      </c>
      <c r="G1358">
        <v>2015</v>
      </c>
      <c r="H1358" s="12">
        <v>24.39</v>
      </c>
      <c r="I1358" t="s">
        <v>3183</v>
      </c>
      <c r="J1358" t="s">
        <v>394</v>
      </c>
      <c r="K1358" t="s">
        <v>147</v>
      </c>
      <c r="L1358" t="s">
        <v>3184</v>
      </c>
      <c r="M1358" t="s">
        <v>16</v>
      </c>
    </row>
    <row r="1359" spans="1:13">
      <c r="A1359" t="s">
        <v>851</v>
      </c>
      <c r="B1359" t="s">
        <v>686</v>
      </c>
      <c r="C1359" t="s">
        <v>686</v>
      </c>
      <c r="D1359" t="s">
        <v>22</v>
      </c>
      <c r="E1359" t="s">
        <v>656</v>
      </c>
      <c r="F1359" t="s">
        <v>31</v>
      </c>
      <c r="G1359">
        <v>2010</v>
      </c>
      <c r="H1359" s="12">
        <v>0.86</v>
      </c>
      <c r="I1359" t="s">
        <v>3183</v>
      </c>
      <c r="J1359" t="s">
        <v>17</v>
      </c>
      <c r="K1359" t="s">
        <v>147</v>
      </c>
      <c r="L1359" t="s">
        <v>3184</v>
      </c>
      <c r="M1359" t="s">
        <v>671</v>
      </c>
    </row>
    <row r="1360" spans="1:13">
      <c r="A1360" t="s">
        <v>851</v>
      </c>
      <c r="B1360" t="s">
        <v>686</v>
      </c>
      <c r="C1360" t="s">
        <v>686</v>
      </c>
      <c r="D1360" t="s">
        <v>22</v>
      </c>
      <c r="E1360" t="s">
        <v>656</v>
      </c>
      <c r="F1360" t="s">
        <v>31</v>
      </c>
      <c r="G1360">
        <v>2015</v>
      </c>
      <c r="H1360" s="12">
        <v>43.18</v>
      </c>
      <c r="I1360" t="s">
        <v>3183</v>
      </c>
      <c r="J1360" t="s">
        <v>17</v>
      </c>
      <c r="K1360" t="s">
        <v>147</v>
      </c>
      <c r="L1360" t="s">
        <v>3184</v>
      </c>
      <c r="M1360" t="s">
        <v>671</v>
      </c>
    </row>
    <row r="1361" spans="1:13">
      <c r="A1361" t="s">
        <v>851</v>
      </c>
      <c r="B1361" t="s">
        <v>686</v>
      </c>
      <c r="C1361" t="s">
        <v>686</v>
      </c>
      <c r="D1361" t="s">
        <v>22</v>
      </c>
      <c r="E1361" t="s">
        <v>656</v>
      </c>
      <c r="F1361" t="s">
        <v>31</v>
      </c>
      <c r="G1361">
        <v>2020</v>
      </c>
      <c r="H1361" s="12">
        <v>253.46</v>
      </c>
      <c r="I1361" t="s">
        <v>3183</v>
      </c>
      <c r="J1361" t="s">
        <v>17</v>
      </c>
      <c r="K1361" t="s">
        <v>147</v>
      </c>
      <c r="L1361" t="s">
        <v>3184</v>
      </c>
      <c r="M1361" t="s">
        <v>671</v>
      </c>
    </row>
    <row r="1362" spans="1:13">
      <c r="A1362" t="s">
        <v>851</v>
      </c>
      <c r="B1362" t="s">
        <v>686</v>
      </c>
      <c r="C1362" t="s">
        <v>686</v>
      </c>
      <c r="D1362" t="s">
        <v>22</v>
      </c>
      <c r="E1362" t="s">
        <v>656</v>
      </c>
      <c r="F1362" t="s">
        <v>31</v>
      </c>
      <c r="G1362">
        <v>2030</v>
      </c>
      <c r="H1362" s="12">
        <v>1177.82</v>
      </c>
      <c r="I1362" t="s">
        <v>3183</v>
      </c>
      <c r="J1362" t="s">
        <v>17</v>
      </c>
      <c r="K1362" t="s">
        <v>147</v>
      </c>
      <c r="L1362" t="s">
        <v>3184</v>
      </c>
      <c r="M1362" t="s">
        <v>671</v>
      </c>
    </row>
    <row r="1363" spans="1:13">
      <c r="A1363" t="s">
        <v>851</v>
      </c>
      <c r="B1363" t="s">
        <v>686</v>
      </c>
      <c r="C1363" t="s">
        <v>686</v>
      </c>
      <c r="D1363" t="s">
        <v>22</v>
      </c>
      <c r="E1363" t="s">
        <v>656</v>
      </c>
      <c r="F1363" t="s">
        <v>31</v>
      </c>
      <c r="G1363">
        <v>2035</v>
      </c>
      <c r="H1363" s="12">
        <v>1670.68</v>
      </c>
      <c r="I1363" t="s">
        <v>3183</v>
      </c>
      <c r="J1363" t="s">
        <v>17</v>
      </c>
      <c r="K1363" t="s">
        <v>147</v>
      </c>
      <c r="L1363" t="s">
        <v>3184</v>
      </c>
      <c r="M1363" t="s">
        <v>671</v>
      </c>
    </row>
    <row r="1364" spans="1:13">
      <c r="A1364" t="s">
        <v>851</v>
      </c>
      <c r="B1364" t="s">
        <v>686</v>
      </c>
      <c r="C1364" t="s">
        <v>686</v>
      </c>
      <c r="D1364" t="s">
        <v>22</v>
      </c>
      <c r="E1364" t="s">
        <v>656</v>
      </c>
      <c r="F1364" t="s">
        <v>31</v>
      </c>
      <c r="G1364">
        <v>2040</v>
      </c>
      <c r="H1364" s="12">
        <v>2090.4899999999998</v>
      </c>
      <c r="I1364" t="s">
        <v>3183</v>
      </c>
      <c r="J1364" t="s">
        <v>17</v>
      </c>
      <c r="K1364" t="s">
        <v>147</v>
      </c>
      <c r="L1364" t="s">
        <v>3184</v>
      </c>
      <c r="M1364" t="s">
        <v>671</v>
      </c>
    </row>
    <row r="1365" spans="1:13">
      <c r="A1365" t="s">
        <v>851</v>
      </c>
      <c r="B1365" t="s">
        <v>686</v>
      </c>
      <c r="C1365" t="s">
        <v>686</v>
      </c>
      <c r="D1365" t="s">
        <v>22</v>
      </c>
      <c r="E1365" t="s">
        <v>656</v>
      </c>
      <c r="F1365" t="s">
        <v>31</v>
      </c>
      <c r="G1365">
        <v>2045</v>
      </c>
      <c r="H1365" s="12">
        <v>2402.54</v>
      </c>
      <c r="I1365" t="s">
        <v>3183</v>
      </c>
      <c r="J1365" t="s">
        <v>17</v>
      </c>
      <c r="K1365" t="s">
        <v>147</v>
      </c>
      <c r="L1365" t="s">
        <v>3184</v>
      </c>
      <c r="M1365" t="s">
        <v>671</v>
      </c>
    </row>
    <row r="1366" spans="1:13">
      <c r="A1366" t="s">
        <v>851</v>
      </c>
      <c r="B1366" t="s">
        <v>686</v>
      </c>
      <c r="C1366" t="s">
        <v>686</v>
      </c>
      <c r="D1366" t="s">
        <v>22</v>
      </c>
      <c r="E1366" t="s">
        <v>656</v>
      </c>
      <c r="F1366" t="s">
        <v>31</v>
      </c>
      <c r="G1366">
        <v>2050</v>
      </c>
      <c r="H1366" s="12">
        <v>2635.07</v>
      </c>
      <c r="I1366" t="s">
        <v>3183</v>
      </c>
      <c r="J1366" t="s">
        <v>17</v>
      </c>
      <c r="K1366" t="s">
        <v>147</v>
      </c>
      <c r="L1366" t="s">
        <v>3184</v>
      </c>
      <c r="M1366" t="s">
        <v>671</v>
      </c>
    </row>
    <row r="1367" spans="1:13">
      <c r="A1367" t="s">
        <v>851</v>
      </c>
      <c r="B1367" t="s">
        <v>687</v>
      </c>
      <c r="C1367" t="s">
        <v>687</v>
      </c>
      <c r="D1367" t="s">
        <v>22</v>
      </c>
      <c r="E1367" t="s">
        <v>656</v>
      </c>
      <c r="F1367" t="s">
        <v>31</v>
      </c>
      <c r="G1367">
        <v>2030</v>
      </c>
      <c r="H1367" s="12">
        <v>1211.8800000000001</v>
      </c>
      <c r="I1367" t="s">
        <v>3183</v>
      </c>
      <c r="J1367" t="s">
        <v>17</v>
      </c>
      <c r="K1367" t="s">
        <v>147</v>
      </c>
      <c r="L1367" t="s">
        <v>3184</v>
      </c>
      <c r="M1367" t="s">
        <v>671</v>
      </c>
    </row>
    <row r="1368" spans="1:13">
      <c r="A1368" t="s">
        <v>851</v>
      </c>
      <c r="B1368" t="s">
        <v>687</v>
      </c>
      <c r="C1368" t="s">
        <v>687</v>
      </c>
      <c r="D1368" t="s">
        <v>22</v>
      </c>
      <c r="E1368" t="s">
        <v>656</v>
      </c>
      <c r="F1368" t="s">
        <v>31</v>
      </c>
      <c r="G1368">
        <v>2035</v>
      </c>
      <c r="H1368" s="12">
        <v>1794.07</v>
      </c>
      <c r="I1368" t="s">
        <v>3183</v>
      </c>
      <c r="J1368" t="s">
        <v>17</v>
      </c>
      <c r="K1368" t="s">
        <v>147</v>
      </c>
      <c r="L1368" t="s">
        <v>3184</v>
      </c>
      <c r="M1368" t="s">
        <v>671</v>
      </c>
    </row>
    <row r="1369" spans="1:13">
      <c r="A1369" t="s">
        <v>851</v>
      </c>
      <c r="B1369" t="s">
        <v>687</v>
      </c>
      <c r="C1369" t="s">
        <v>687</v>
      </c>
      <c r="D1369" t="s">
        <v>22</v>
      </c>
      <c r="E1369" t="s">
        <v>656</v>
      </c>
      <c r="F1369" t="s">
        <v>31</v>
      </c>
      <c r="G1369">
        <v>2040</v>
      </c>
      <c r="H1369" s="12">
        <v>2463.1</v>
      </c>
      <c r="I1369" t="s">
        <v>3183</v>
      </c>
      <c r="J1369" t="s">
        <v>17</v>
      </c>
      <c r="K1369" t="s">
        <v>147</v>
      </c>
      <c r="L1369" t="s">
        <v>3184</v>
      </c>
      <c r="M1369" t="s">
        <v>671</v>
      </c>
    </row>
    <row r="1370" spans="1:13">
      <c r="A1370" t="s">
        <v>851</v>
      </c>
      <c r="B1370" t="s">
        <v>686</v>
      </c>
      <c r="C1370" t="s">
        <v>686</v>
      </c>
      <c r="D1370" t="s">
        <v>22</v>
      </c>
      <c r="E1370" t="s">
        <v>656</v>
      </c>
      <c r="F1370" t="s">
        <v>31</v>
      </c>
      <c r="G1370">
        <v>2030</v>
      </c>
      <c r="H1370" s="12">
        <v>74.209999999999994</v>
      </c>
      <c r="I1370" t="s">
        <v>3183</v>
      </c>
      <c r="J1370" t="s">
        <v>41</v>
      </c>
      <c r="K1370" t="s">
        <v>147</v>
      </c>
      <c r="L1370" t="s">
        <v>3184</v>
      </c>
      <c r="M1370" t="s">
        <v>669</v>
      </c>
    </row>
    <row r="1371" spans="1:13">
      <c r="A1371" t="s">
        <v>851</v>
      </c>
      <c r="B1371" t="s">
        <v>686</v>
      </c>
      <c r="C1371" t="s">
        <v>686</v>
      </c>
      <c r="D1371" t="s">
        <v>22</v>
      </c>
      <c r="E1371" t="s">
        <v>656</v>
      </c>
      <c r="F1371" t="s">
        <v>31</v>
      </c>
      <c r="G1371">
        <v>2035</v>
      </c>
      <c r="H1371" s="12">
        <v>88.35</v>
      </c>
      <c r="I1371" t="s">
        <v>3183</v>
      </c>
      <c r="J1371" t="s">
        <v>41</v>
      </c>
      <c r="K1371" t="s">
        <v>147</v>
      </c>
      <c r="L1371" t="s">
        <v>3184</v>
      </c>
      <c r="M1371" t="s">
        <v>669</v>
      </c>
    </row>
    <row r="1372" spans="1:13">
      <c r="A1372" t="s">
        <v>851</v>
      </c>
      <c r="B1372" t="s">
        <v>686</v>
      </c>
      <c r="C1372" t="s">
        <v>686</v>
      </c>
      <c r="D1372" t="s">
        <v>22</v>
      </c>
      <c r="E1372" t="s">
        <v>656</v>
      </c>
      <c r="F1372" t="s">
        <v>31</v>
      </c>
      <c r="G1372">
        <v>2040</v>
      </c>
      <c r="H1372" s="12">
        <v>102.6</v>
      </c>
      <c r="I1372" t="s">
        <v>3183</v>
      </c>
      <c r="J1372" t="s">
        <v>41</v>
      </c>
      <c r="K1372" t="s">
        <v>147</v>
      </c>
      <c r="L1372" t="s">
        <v>3184</v>
      </c>
      <c r="M1372" t="s">
        <v>669</v>
      </c>
    </row>
    <row r="1373" spans="1:13">
      <c r="A1373" t="s">
        <v>851</v>
      </c>
      <c r="B1373" t="s">
        <v>686</v>
      </c>
      <c r="C1373" t="s">
        <v>686</v>
      </c>
      <c r="D1373" t="s">
        <v>22</v>
      </c>
      <c r="E1373" t="s">
        <v>656</v>
      </c>
      <c r="F1373" t="s">
        <v>31</v>
      </c>
      <c r="G1373">
        <v>2045</v>
      </c>
      <c r="H1373" s="12">
        <v>116.91</v>
      </c>
      <c r="I1373" t="s">
        <v>3183</v>
      </c>
      <c r="J1373" t="s">
        <v>41</v>
      </c>
      <c r="K1373" t="s">
        <v>147</v>
      </c>
      <c r="L1373" t="s">
        <v>3184</v>
      </c>
      <c r="M1373" t="s">
        <v>669</v>
      </c>
    </row>
    <row r="1374" spans="1:13">
      <c r="A1374" t="s">
        <v>851</v>
      </c>
      <c r="B1374" t="s">
        <v>686</v>
      </c>
      <c r="C1374" t="s">
        <v>686</v>
      </c>
      <c r="D1374" t="s">
        <v>22</v>
      </c>
      <c r="E1374" t="s">
        <v>656</v>
      </c>
      <c r="F1374" t="s">
        <v>31</v>
      </c>
      <c r="G1374">
        <v>2050</v>
      </c>
      <c r="H1374" s="12">
        <v>130.76</v>
      </c>
      <c r="I1374" t="s">
        <v>3183</v>
      </c>
      <c r="J1374" t="s">
        <v>41</v>
      </c>
      <c r="K1374" t="s">
        <v>147</v>
      </c>
      <c r="L1374" t="s">
        <v>3184</v>
      </c>
      <c r="M1374" t="s">
        <v>669</v>
      </c>
    </row>
    <row r="1375" spans="1:13">
      <c r="A1375" t="s">
        <v>851</v>
      </c>
      <c r="B1375" t="s">
        <v>687</v>
      </c>
      <c r="C1375" t="s">
        <v>687</v>
      </c>
      <c r="D1375" t="s">
        <v>22</v>
      </c>
      <c r="E1375" t="s">
        <v>656</v>
      </c>
      <c r="F1375" t="s">
        <v>31</v>
      </c>
      <c r="G1375">
        <v>2030</v>
      </c>
      <c r="H1375" s="12">
        <v>80.959999999999994</v>
      </c>
      <c r="I1375" t="s">
        <v>3183</v>
      </c>
      <c r="J1375" t="s">
        <v>41</v>
      </c>
      <c r="K1375" t="s">
        <v>147</v>
      </c>
      <c r="L1375" t="s">
        <v>3184</v>
      </c>
      <c r="M1375" t="s">
        <v>669</v>
      </c>
    </row>
    <row r="1376" spans="1:13">
      <c r="A1376" t="s">
        <v>851</v>
      </c>
      <c r="B1376" t="s">
        <v>687</v>
      </c>
      <c r="C1376" t="s">
        <v>687</v>
      </c>
      <c r="D1376" t="s">
        <v>22</v>
      </c>
      <c r="E1376" t="s">
        <v>656</v>
      </c>
      <c r="F1376" t="s">
        <v>31</v>
      </c>
      <c r="G1376">
        <v>2035</v>
      </c>
      <c r="H1376" s="12">
        <v>99.39</v>
      </c>
      <c r="I1376" t="s">
        <v>3183</v>
      </c>
      <c r="J1376" t="s">
        <v>41</v>
      </c>
      <c r="K1376" t="s">
        <v>147</v>
      </c>
      <c r="L1376" t="s">
        <v>3184</v>
      </c>
      <c r="M1376" t="s">
        <v>669</v>
      </c>
    </row>
    <row r="1377" spans="1:13">
      <c r="A1377" t="s">
        <v>851</v>
      </c>
      <c r="B1377" t="s">
        <v>687</v>
      </c>
      <c r="C1377" t="s">
        <v>687</v>
      </c>
      <c r="D1377" t="s">
        <v>22</v>
      </c>
      <c r="E1377" t="s">
        <v>656</v>
      </c>
      <c r="F1377" t="s">
        <v>31</v>
      </c>
      <c r="G1377">
        <v>2040</v>
      </c>
      <c r="H1377" s="12">
        <v>120.68</v>
      </c>
      <c r="I1377" t="s">
        <v>3183</v>
      </c>
      <c r="J1377" t="s">
        <v>41</v>
      </c>
      <c r="K1377" t="s">
        <v>147</v>
      </c>
      <c r="L1377" t="s">
        <v>3184</v>
      </c>
      <c r="M1377" t="s">
        <v>669</v>
      </c>
    </row>
    <row r="1378" spans="1:13">
      <c r="A1378" t="s">
        <v>851</v>
      </c>
      <c r="B1378" t="s">
        <v>687</v>
      </c>
      <c r="C1378" t="s">
        <v>687</v>
      </c>
      <c r="D1378" t="s">
        <v>22</v>
      </c>
      <c r="E1378" t="s">
        <v>656</v>
      </c>
      <c r="F1378" t="s">
        <v>31</v>
      </c>
      <c r="G1378">
        <v>2045</v>
      </c>
      <c r="H1378" s="12">
        <v>144.59</v>
      </c>
      <c r="I1378" t="s">
        <v>3183</v>
      </c>
      <c r="J1378" t="s">
        <v>41</v>
      </c>
      <c r="K1378" t="s">
        <v>147</v>
      </c>
      <c r="L1378" t="s">
        <v>3184</v>
      </c>
      <c r="M1378" t="s">
        <v>669</v>
      </c>
    </row>
    <row r="1379" spans="1:13">
      <c r="A1379" t="s">
        <v>851</v>
      </c>
      <c r="B1379" t="s">
        <v>687</v>
      </c>
      <c r="C1379" t="s">
        <v>687</v>
      </c>
      <c r="D1379" t="s">
        <v>22</v>
      </c>
      <c r="E1379" t="s">
        <v>656</v>
      </c>
      <c r="F1379" t="s">
        <v>31</v>
      </c>
      <c r="G1379">
        <v>2050</v>
      </c>
      <c r="H1379" s="12">
        <v>158.27000000000001</v>
      </c>
      <c r="I1379" t="s">
        <v>3183</v>
      </c>
      <c r="J1379" t="s">
        <v>41</v>
      </c>
      <c r="K1379" t="s">
        <v>147</v>
      </c>
      <c r="L1379" t="s">
        <v>3184</v>
      </c>
      <c r="M1379" t="s">
        <v>669</v>
      </c>
    </row>
    <row r="1380" spans="1:13">
      <c r="A1380" t="s">
        <v>851</v>
      </c>
      <c r="B1380" t="s">
        <v>686</v>
      </c>
      <c r="C1380" t="s">
        <v>686</v>
      </c>
      <c r="D1380" t="s">
        <v>22</v>
      </c>
      <c r="E1380" t="s">
        <v>656</v>
      </c>
      <c r="F1380" t="s">
        <v>31</v>
      </c>
      <c r="G1380">
        <v>2010</v>
      </c>
      <c r="H1380" s="12">
        <v>10.9</v>
      </c>
      <c r="I1380" t="s">
        <v>3183</v>
      </c>
      <c r="J1380" t="s">
        <v>15</v>
      </c>
      <c r="K1380" t="s">
        <v>147</v>
      </c>
      <c r="L1380" t="s">
        <v>3184</v>
      </c>
      <c r="M1380" t="s">
        <v>15</v>
      </c>
    </row>
    <row r="1381" spans="1:13">
      <c r="A1381" t="s">
        <v>851</v>
      </c>
      <c r="B1381" t="s">
        <v>686</v>
      </c>
      <c r="C1381" t="s">
        <v>686</v>
      </c>
      <c r="D1381" t="s">
        <v>22</v>
      </c>
      <c r="E1381" t="s">
        <v>656</v>
      </c>
      <c r="F1381" t="s">
        <v>31</v>
      </c>
      <c r="G1381">
        <v>2015</v>
      </c>
      <c r="H1381" s="12">
        <v>28.64</v>
      </c>
      <c r="I1381" t="s">
        <v>3183</v>
      </c>
      <c r="J1381" t="s">
        <v>15</v>
      </c>
      <c r="K1381" t="s">
        <v>147</v>
      </c>
      <c r="L1381" t="s">
        <v>3184</v>
      </c>
      <c r="M1381" t="s">
        <v>15</v>
      </c>
    </row>
    <row r="1382" spans="1:13">
      <c r="A1382" t="s">
        <v>851</v>
      </c>
      <c r="B1382" t="s">
        <v>686</v>
      </c>
      <c r="C1382" t="s">
        <v>686</v>
      </c>
      <c r="D1382" t="s">
        <v>22</v>
      </c>
      <c r="E1382" t="s">
        <v>656</v>
      </c>
      <c r="F1382" t="s">
        <v>31</v>
      </c>
      <c r="G1382">
        <v>2020</v>
      </c>
      <c r="H1382" s="12">
        <v>51.04</v>
      </c>
      <c r="I1382" t="s">
        <v>3183</v>
      </c>
      <c r="J1382" t="s">
        <v>15</v>
      </c>
      <c r="K1382" t="s">
        <v>147</v>
      </c>
      <c r="L1382" t="s">
        <v>3184</v>
      </c>
      <c r="M1382" t="s">
        <v>15</v>
      </c>
    </row>
    <row r="1383" spans="1:13">
      <c r="A1383" t="s">
        <v>851</v>
      </c>
      <c r="B1383" t="s">
        <v>686</v>
      </c>
      <c r="C1383" t="s">
        <v>686</v>
      </c>
      <c r="D1383" t="s">
        <v>22</v>
      </c>
      <c r="E1383" t="s">
        <v>656</v>
      </c>
      <c r="F1383" t="s">
        <v>31</v>
      </c>
      <c r="G1383">
        <v>2030</v>
      </c>
      <c r="H1383" s="12">
        <v>100.27</v>
      </c>
      <c r="I1383" t="s">
        <v>3183</v>
      </c>
      <c r="J1383" t="s">
        <v>15</v>
      </c>
      <c r="K1383" t="s">
        <v>147</v>
      </c>
      <c r="L1383" t="s">
        <v>3184</v>
      </c>
      <c r="M1383" t="s">
        <v>15</v>
      </c>
    </row>
    <row r="1384" spans="1:13">
      <c r="A1384" t="s">
        <v>851</v>
      </c>
      <c r="B1384" t="s">
        <v>686</v>
      </c>
      <c r="C1384" t="s">
        <v>686</v>
      </c>
      <c r="D1384" t="s">
        <v>22</v>
      </c>
      <c r="E1384" t="s">
        <v>656</v>
      </c>
      <c r="F1384" t="s">
        <v>31</v>
      </c>
      <c r="G1384">
        <v>2035</v>
      </c>
      <c r="H1384" s="12">
        <v>130.71</v>
      </c>
      <c r="I1384" t="s">
        <v>3183</v>
      </c>
      <c r="J1384" t="s">
        <v>15</v>
      </c>
      <c r="K1384" t="s">
        <v>147</v>
      </c>
      <c r="L1384" t="s">
        <v>3184</v>
      </c>
      <c r="M1384" t="s">
        <v>15</v>
      </c>
    </row>
    <row r="1385" spans="1:13">
      <c r="A1385" t="s">
        <v>851</v>
      </c>
      <c r="B1385" t="s">
        <v>686</v>
      </c>
      <c r="C1385" t="s">
        <v>686</v>
      </c>
      <c r="D1385" t="s">
        <v>22</v>
      </c>
      <c r="E1385" t="s">
        <v>656</v>
      </c>
      <c r="F1385" t="s">
        <v>31</v>
      </c>
      <c r="G1385">
        <v>2040</v>
      </c>
      <c r="H1385" s="12">
        <v>149.71</v>
      </c>
      <c r="I1385" t="s">
        <v>3183</v>
      </c>
      <c r="J1385" t="s">
        <v>15</v>
      </c>
      <c r="K1385" t="s">
        <v>147</v>
      </c>
      <c r="L1385" t="s">
        <v>3184</v>
      </c>
      <c r="M1385" t="s">
        <v>15</v>
      </c>
    </row>
    <row r="1386" spans="1:13">
      <c r="A1386" t="s">
        <v>851</v>
      </c>
      <c r="B1386" t="s">
        <v>686</v>
      </c>
      <c r="C1386" t="s">
        <v>686</v>
      </c>
      <c r="D1386" t="s">
        <v>22</v>
      </c>
      <c r="E1386" t="s">
        <v>656</v>
      </c>
      <c r="F1386" t="s">
        <v>31</v>
      </c>
      <c r="G1386">
        <v>2045</v>
      </c>
      <c r="H1386" s="12">
        <v>163.21</v>
      </c>
      <c r="I1386" t="s">
        <v>3183</v>
      </c>
      <c r="J1386" t="s">
        <v>15</v>
      </c>
      <c r="K1386" t="s">
        <v>147</v>
      </c>
      <c r="L1386" t="s">
        <v>3184</v>
      </c>
      <c r="M1386" t="s">
        <v>15</v>
      </c>
    </row>
    <row r="1387" spans="1:13">
      <c r="A1387" t="s">
        <v>851</v>
      </c>
      <c r="B1387" t="s">
        <v>686</v>
      </c>
      <c r="C1387" t="s">
        <v>686</v>
      </c>
      <c r="D1387" t="s">
        <v>22</v>
      </c>
      <c r="E1387" t="s">
        <v>656</v>
      </c>
      <c r="F1387" t="s">
        <v>31</v>
      </c>
      <c r="G1387">
        <v>2050</v>
      </c>
      <c r="H1387" s="12">
        <v>176.71</v>
      </c>
      <c r="I1387" t="s">
        <v>3183</v>
      </c>
      <c r="J1387" t="s">
        <v>15</v>
      </c>
      <c r="K1387" t="s">
        <v>147</v>
      </c>
      <c r="L1387" t="s">
        <v>3184</v>
      </c>
      <c r="M1387" t="s">
        <v>15</v>
      </c>
    </row>
    <row r="1388" spans="1:13">
      <c r="A1388" t="s">
        <v>851</v>
      </c>
      <c r="B1388" t="s">
        <v>687</v>
      </c>
      <c r="C1388" t="s">
        <v>687</v>
      </c>
      <c r="D1388" t="s">
        <v>22</v>
      </c>
      <c r="E1388" t="s">
        <v>656</v>
      </c>
      <c r="F1388" t="s">
        <v>31</v>
      </c>
      <c r="G1388">
        <v>2030</v>
      </c>
      <c r="H1388" s="12">
        <v>103.32</v>
      </c>
      <c r="I1388" t="s">
        <v>3183</v>
      </c>
      <c r="J1388" t="s">
        <v>15</v>
      </c>
      <c r="K1388" t="s">
        <v>147</v>
      </c>
      <c r="L1388" t="s">
        <v>3184</v>
      </c>
      <c r="M1388" t="s">
        <v>15</v>
      </c>
    </row>
    <row r="1389" spans="1:13">
      <c r="A1389" t="s">
        <v>851</v>
      </c>
      <c r="B1389" t="s">
        <v>687</v>
      </c>
      <c r="C1389" t="s">
        <v>687</v>
      </c>
      <c r="D1389" t="s">
        <v>22</v>
      </c>
      <c r="E1389" t="s">
        <v>656</v>
      </c>
      <c r="F1389" t="s">
        <v>31</v>
      </c>
      <c r="G1389">
        <v>2035</v>
      </c>
      <c r="H1389" s="12">
        <v>130.31</v>
      </c>
      <c r="I1389" t="s">
        <v>3183</v>
      </c>
      <c r="J1389" t="s">
        <v>15</v>
      </c>
      <c r="K1389" t="s">
        <v>147</v>
      </c>
      <c r="L1389" t="s">
        <v>3184</v>
      </c>
      <c r="M1389" t="s">
        <v>15</v>
      </c>
    </row>
    <row r="1390" spans="1:13">
      <c r="A1390" t="s">
        <v>851</v>
      </c>
      <c r="B1390" t="s">
        <v>687</v>
      </c>
      <c r="C1390" t="s">
        <v>687</v>
      </c>
      <c r="D1390" t="s">
        <v>22</v>
      </c>
      <c r="E1390" t="s">
        <v>656</v>
      </c>
      <c r="F1390" t="s">
        <v>31</v>
      </c>
      <c r="G1390">
        <v>2040</v>
      </c>
      <c r="H1390" s="12">
        <v>165.27</v>
      </c>
      <c r="I1390" t="s">
        <v>3183</v>
      </c>
      <c r="J1390" t="s">
        <v>15</v>
      </c>
      <c r="K1390" t="s">
        <v>147</v>
      </c>
      <c r="L1390" t="s">
        <v>3184</v>
      </c>
      <c r="M1390" t="s">
        <v>15</v>
      </c>
    </row>
    <row r="1391" spans="1:13">
      <c r="A1391" t="s">
        <v>851</v>
      </c>
      <c r="B1391" t="s">
        <v>687</v>
      </c>
      <c r="C1391" t="s">
        <v>687</v>
      </c>
      <c r="D1391" t="s">
        <v>22</v>
      </c>
      <c r="E1391" t="s">
        <v>656</v>
      </c>
      <c r="F1391" t="s">
        <v>31</v>
      </c>
      <c r="G1391">
        <v>2045</v>
      </c>
      <c r="H1391" s="12">
        <v>189.23</v>
      </c>
      <c r="I1391" t="s">
        <v>3183</v>
      </c>
      <c r="J1391" t="s">
        <v>15</v>
      </c>
      <c r="K1391" t="s">
        <v>147</v>
      </c>
      <c r="L1391" t="s">
        <v>3184</v>
      </c>
      <c r="M1391" t="s">
        <v>15</v>
      </c>
    </row>
    <row r="1392" spans="1:13">
      <c r="A1392" t="s">
        <v>851</v>
      </c>
      <c r="B1392" t="s">
        <v>687</v>
      </c>
      <c r="C1392" t="s">
        <v>687</v>
      </c>
      <c r="D1392" t="s">
        <v>22</v>
      </c>
      <c r="E1392" t="s">
        <v>656</v>
      </c>
      <c r="F1392" t="s">
        <v>31</v>
      </c>
      <c r="G1392">
        <v>2050</v>
      </c>
      <c r="H1392" s="12">
        <v>211.73</v>
      </c>
      <c r="I1392" t="s">
        <v>3183</v>
      </c>
      <c r="J1392" t="s">
        <v>15</v>
      </c>
      <c r="K1392" t="s">
        <v>147</v>
      </c>
      <c r="L1392" t="s">
        <v>3184</v>
      </c>
      <c r="M1392" t="s">
        <v>15</v>
      </c>
    </row>
    <row r="1393" spans="1:13">
      <c r="A1393" t="s">
        <v>851</v>
      </c>
      <c r="B1393" t="s">
        <v>686</v>
      </c>
      <c r="C1393" t="s">
        <v>686</v>
      </c>
      <c r="D1393" t="s">
        <v>22</v>
      </c>
      <c r="E1393" t="s">
        <v>656</v>
      </c>
      <c r="F1393" t="s">
        <v>31</v>
      </c>
      <c r="G1393">
        <v>2010</v>
      </c>
      <c r="H1393" s="12">
        <v>0</v>
      </c>
      <c r="I1393" t="s">
        <v>3183</v>
      </c>
      <c r="J1393" t="s">
        <v>8</v>
      </c>
      <c r="K1393" t="s">
        <v>147</v>
      </c>
      <c r="L1393" t="s">
        <v>3184</v>
      </c>
      <c r="M1393" t="s">
        <v>670</v>
      </c>
    </row>
    <row r="1394" spans="1:13">
      <c r="A1394" t="s">
        <v>851</v>
      </c>
      <c r="B1394" t="s">
        <v>686</v>
      </c>
      <c r="C1394" t="s">
        <v>686</v>
      </c>
      <c r="D1394" t="s">
        <v>22</v>
      </c>
      <c r="E1394" t="s">
        <v>656</v>
      </c>
      <c r="F1394" t="s">
        <v>31</v>
      </c>
      <c r="G1394">
        <v>2015</v>
      </c>
      <c r="H1394" s="12">
        <v>0</v>
      </c>
      <c r="I1394" t="s">
        <v>3183</v>
      </c>
      <c r="J1394" t="s">
        <v>8</v>
      </c>
      <c r="K1394" t="s">
        <v>147</v>
      </c>
      <c r="L1394" t="s">
        <v>3184</v>
      </c>
      <c r="M1394" t="s">
        <v>670</v>
      </c>
    </row>
    <row r="1395" spans="1:13">
      <c r="A1395" t="s">
        <v>851</v>
      </c>
      <c r="B1395" t="s">
        <v>686</v>
      </c>
      <c r="C1395" t="s">
        <v>686</v>
      </c>
      <c r="D1395" t="s">
        <v>22</v>
      </c>
      <c r="E1395" t="s">
        <v>656</v>
      </c>
      <c r="F1395" t="s">
        <v>31</v>
      </c>
      <c r="G1395">
        <v>2020</v>
      </c>
      <c r="H1395" s="12">
        <v>0</v>
      </c>
      <c r="I1395" t="s">
        <v>3183</v>
      </c>
      <c r="J1395" t="s">
        <v>8</v>
      </c>
      <c r="K1395" t="s">
        <v>147</v>
      </c>
      <c r="L1395" t="s">
        <v>3184</v>
      </c>
      <c r="M1395" t="s">
        <v>670</v>
      </c>
    </row>
    <row r="1396" spans="1:13">
      <c r="A1396" t="s">
        <v>851</v>
      </c>
      <c r="B1396" t="s">
        <v>686</v>
      </c>
      <c r="C1396" t="s">
        <v>686</v>
      </c>
      <c r="D1396" t="s">
        <v>22</v>
      </c>
      <c r="E1396" t="s">
        <v>656</v>
      </c>
      <c r="F1396" t="s">
        <v>31</v>
      </c>
      <c r="G1396">
        <v>2030</v>
      </c>
      <c r="H1396" s="12">
        <v>0</v>
      </c>
      <c r="I1396" t="s">
        <v>3183</v>
      </c>
      <c r="J1396" t="s">
        <v>8</v>
      </c>
      <c r="K1396" t="s">
        <v>147</v>
      </c>
      <c r="L1396" t="s">
        <v>3184</v>
      </c>
      <c r="M1396" t="s">
        <v>670</v>
      </c>
    </row>
    <row r="1397" spans="1:13">
      <c r="A1397" t="s">
        <v>851</v>
      </c>
      <c r="B1397" t="s">
        <v>686</v>
      </c>
      <c r="C1397" t="s">
        <v>686</v>
      </c>
      <c r="D1397" t="s">
        <v>22</v>
      </c>
      <c r="E1397" t="s">
        <v>656</v>
      </c>
      <c r="F1397" t="s">
        <v>31</v>
      </c>
      <c r="G1397">
        <v>2035</v>
      </c>
      <c r="H1397" s="12">
        <v>0</v>
      </c>
      <c r="I1397" t="s">
        <v>3183</v>
      </c>
      <c r="J1397" t="s">
        <v>8</v>
      </c>
      <c r="K1397" t="s">
        <v>147</v>
      </c>
      <c r="L1397" t="s">
        <v>3184</v>
      </c>
      <c r="M1397" t="s">
        <v>670</v>
      </c>
    </row>
    <row r="1398" spans="1:13">
      <c r="A1398" t="s">
        <v>851</v>
      </c>
      <c r="B1398" t="s">
        <v>686</v>
      </c>
      <c r="C1398" t="s">
        <v>686</v>
      </c>
      <c r="D1398" t="s">
        <v>22</v>
      </c>
      <c r="E1398" t="s">
        <v>656</v>
      </c>
      <c r="F1398" t="s">
        <v>31</v>
      </c>
      <c r="G1398">
        <v>2040</v>
      </c>
      <c r="H1398" s="12">
        <v>0</v>
      </c>
      <c r="I1398" t="s">
        <v>3183</v>
      </c>
      <c r="J1398" t="s">
        <v>8</v>
      </c>
      <c r="K1398" t="s">
        <v>147</v>
      </c>
      <c r="L1398" t="s">
        <v>3184</v>
      </c>
      <c r="M1398" t="s">
        <v>670</v>
      </c>
    </row>
    <row r="1399" spans="1:13">
      <c r="A1399" t="s">
        <v>851</v>
      </c>
      <c r="B1399" t="s">
        <v>686</v>
      </c>
      <c r="C1399" t="s">
        <v>686</v>
      </c>
      <c r="D1399" t="s">
        <v>22</v>
      </c>
      <c r="E1399" t="s">
        <v>656</v>
      </c>
      <c r="F1399" t="s">
        <v>31</v>
      </c>
      <c r="G1399">
        <v>2045</v>
      </c>
      <c r="H1399" s="12">
        <v>0</v>
      </c>
      <c r="I1399" t="s">
        <v>3183</v>
      </c>
      <c r="J1399" t="s">
        <v>8</v>
      </c>
      <c r="K1399" t="s">
        <v>147</v>
      </c>
      <c r="L1399" t="s">
        <v>3184</v>
      </c>
      <c r="M1399" t="s">
        <v>670</v>
      </c>
    </row>
    <row r="1400" spans="1:13">
      <c r="A1400" t="s">
        <v>851</v>
      </c>
      <c r="B1400" t="s">
        <v>686</v>
      </c>
      <c r="C1400" t="s">
        <v>686</v>
      </c>
      <c r="D1400" t="s">
        <v>22</v>
      </c>
      <c r="E1400" t="s">
        <v>656</v>
      </c>
      <c r="F1400" t="s">
        <v>31</v>
      </c>
      <c r="G1400">
        <v>2050</v>
      </c>
      <c r="H1400" s="12">
        <v>0</v>
      </c>
      <c r="I1400" t="s">
        <v>3183</v>
      </c>
      <c r="J1400" t="s">
        <v>8</v>
      </c>
      <c r="K1400" t="s">
        <v>147</v>
      </c>
      <c r="L1400" t="s">
        <v>3184</v>
      </c>
      <c r="M1400" t="s">
        <v>670</v>
      </c>
    </row>
    <row r="1401" spans="1:13">
      <c r="A1401" t="s">
        <v>851</v>
      </c>
      <c r="B1401" t="s">
        <v>687</v>
      </c>
      <c r="C1401" t="s">
        <v>687</v>
      </c>
      <c r="D1401" t="s">
        <v>22</v>
      </c>
      <c r="E1401" t="s">
        <v>656</v>
      </c>
      <c r="F1401" t="s">
        <v>31</v>
      </c>
      <c r="G1401">
        <v>2030</v>
      </c>
      <c r="H1401" s="12">
        <v>1.6</v>
      </c>
      <c r="I1401" t="s">
        <v>3183</v>
      </c>
      <c r="J1401" t="s">
        <v>8</v>
      </c>
      <c r="K1401" t="s">
        <v>147</v>
      </c>
      <c r="L1401" t="s">
        <v>3184</v>
      </c>
      <c r="M1401" t="s">
        <v>670</v>
      </c>
    </row>
    <row r="1402" spans="1:13">
      <c r="A1402" t="s">
        <v>851</v>
      </c>
      <c r="B1402" t="s">
        <v>687</v>
      </c>
      <c r="C1402" t="s">
        <v>687</v>
      </c>
      <c r="D1402" t="s">
        <v>22</v>
      </c>
      <c r="E1402" t="s">
        <v>656</v>
      </c>
      <c r="F1402" t="s">
        <v>31</v>
      </c>
      <c r="G1402">
        <v>2035</v>
      </c>
      <c r="H1402" s="12">
        <v>11.63</v>
      </c>
      <c r="I1402" t="s">
        <v>3183</v>
      </c>
      <c r="J1402" t="s">
        <v>8</v>
      </c>
      <c r="K1402" t="s">
        <v>147</v>
      </c>
      <c r="L1402" t="s">
        <v>3184</v>
      </c>
      <c r="M1402" t="s">
        <v>670</v>
      </c>
    </row>
    <row r="1403" spans="1:13">
      <c r="A1403" t="s">
        <v>851</v>
      </c>
      <c r="B1403" t="s">
        <v>687</v>
      </c>
      <c r="C1403" t="s">
        <v>687</v>
      </c>
      <c r="D1403" t="s">
        <v>22</v>
      </c>
      <c r="E1403" t="s">
        <v>656</v>
      </c>
      <c r="F1403" t="s">
        <v>31</v>
      </c>
      <c r="G1403">
        <v>2040</v>
      </c>
      <c r="H1403" s="12">
        <v>19.41</v>
      </c>
      <c r="I1403" t="s">
        <v>3183</v>
      </c>
      <c r="J1403" t="s">
        <v>8</v>
      </c>
      <c r="K1403" t="s">
        <v>147</v>
      </c>
      <c r="L1403" t="s">
        <v>3184</v>
      </c>
      <c r="M1403" t="s">
        <v>670</v>
      </c>
    </row>
    <row r="1404" spans="1:13">
      <c r="A1404" t="s">
        <v>851</v>
      </c>
      <c r="B1404" t="s">
        <v>687</v>
      </c>
      <c r="C1404" t="s">
        <v>687</v>
      </c>
      <c r="D1404" t="s">
        <v>22</v>
      </c>
      <c r="E1404" t="s">
        <v>656</v>
      </c>
      <c r="F1404" t="s">
        <v>31</v>
      </c>
      <c r="G1404">
        <v>2045</v>
      </c>
      <c r="H1404" s="12">
        <v>22.78</v>
      </c>
      <c r="I1404" t="s">
        <v>3183</v>
      </c>
      <c r="J1404" t="s">
        <v>8</v>
      </c>
      <c r="K1404" t="s">
        <v>147</v>
      </c>
      <c r="L1404" t="s">
        <v>3184</v>
      </c>
      <c r="M1404" t="s">
        <v>670</v>
      </c>
    </row>
    <row r="1405" spans="1:13">
      <c r="A1405" t="s">
        <v>851</v>
      </c>
      <c r="B1405" t="s">
        <v>687</v>
      </c>
      <c r="C1405" t="s">
        <v>687</v>
      </c>
      <c r="D1405" t="s">
        <v>22</v>
      </c>
      <c r="E1405" t="s">
        <v>656</v>
      </c>
      <c r="F1405" t="s">
        <v>31</v>
      </c>
      <c r="G1405">
        <v>2050</v>
      </c>
      <c r="H1405" s="12">
        <v>27.4</v>
      </c>
      <c r="I1405" t="s">
        <v>3183</v>
      </c>
      <c r="J1405" t="s">
        <v>8</v>
      </c>
      <c r="K1405" t="s">
        <v>147</v>
      </c>
      <c r="L1405" t="s">
        <v>3184</v>
      </c>
      <c r="M1405" t="s">
        <v>670</v>
      </c>
    </row>
    <row r="1406" spans="1:13">
      <c r="A1406" t="s">
        <v>851</v>
      </c>
      <c r="B1406" t="s">
        <v>686</v>
      </c>
      <c r="C1406" t="s">
        <v>686</v>
      </c>
      <c r="D1406" t="s">
        <v>22</v>
      </c>
      <c r="E1406" t="s">
        <v>656</v>
      </c>
      <c r="F1406" t="s">
        <v>31</v>
      </c>
      <c r="G1406">
        <v>2020</v>
      </c>
      <c r="H1406" s="12">
        <v>8.19</v>
      </c>
      <c r="I1406" t="s">
        <v>3183</v>
      </c>
      <c r="J1406" t="s">
        <v>394</v>
      </c>
      <c r="K1406" t="s">
        <v>147</v>
      </c>
      <c r="L1406" t="s">
        <v>3184</v>
      </c>
      <c r="M1406" t="s">
        <v>16</v>
      </c>
    </row>
    <row r="1407" spans="1:13">
      <c r="A1407" t="s">
        <v>851</v>
      </c>
      <c r="B1407" t="s">
        <v>686</v>
      </c>
      <c r="C1407" t="s">
        <v>686</v>
      </c>
      <c r="D1407" t="s">
        <v>22</v>
      </c>
      <c r="E1407" t="s">
        <v>656</v>
      </c>
      <c r="F1407" t="s">
        <v>31</v>
      </c>
      <c r="G1407">
        <v>2030</v>
      </c>
      <c r="H1407" s="12">
        <v>5.37</v>
      </c>
      <c r="I1407" t="s">
        <v>3183</v>
      </c>
      <c r="J1407" t="s">
        <v>394</v>
      </c>
      <c r="K1407" t="s">
        <v>147</v>
      </c>
      <c r="L1407" t="s">
        <v>3184</v>
      </c>
      <c r="M1407" t="s">
        <v>16</v>
      </c>
    </row>
    <row r="1408" spans="1:13">
      <c r="A1408" t="s">
        <v>851</v>
      </c>
      <c r="B1408" t="s">
        <v>686</v>
      </c>
      <c r="C1408" t="s">
        <v>686</v>
      </c>
      <c r="D1408" t="s">
        <v>22</v>
      </c>
      <c r="E1408" t="s">
        <v>656</v>
      </c>
      <c r="F1408" t="s">
        <v>31</v>
      </c>
      <c r="G1408">
        <v>2035</v>
      </c>
      <c r="H1408" s="12">
        <v>4.99</v>
      </c>
      <c r="I1408" t="s">
        <v>3183</v>
      </c>
      <c r="J1408" t="s">
        <v>394</v>
      </c>
      <c r="K1408" t="s">
        <v>147</v>
      </c>
      <c r="L1408" t="s">
        <v>3184</v>
      </c>
      <c r="M1408" t="s">
        <v>16</v>
      </c>
    </row>
    <row r="1409" spans="1:13">
      <c r="A1409" t="s">
        <v>851</v>
      </c>
      <c r="B1409" t="s">
        <v>686</v>
      </c>
      <c r="C1409" t="s">
        <v>686</v>
      </c>
      <c r="D1409" t="s">
        <v>22</v>
      </c>
      <c r="E1409" t="s">
        <v>656</v>
      </c>
      <c r="F1409" t="s">
        <v>31</v>
      </c>
      <c r="G1409">
        <v>2040</v>
      </c>
      <c r="H1409" s="12">
        <v>4.17</v>
      </c>
      <c r="I1409" t="s">
        <v>3183</v>
      </c>
      <c r="J1409" t="s">
        <v>394</v>
      </c>
      <c r="K1409" t="s">
        <v>147</v>
      </c>
      <c r="L1409" t="s">
        <v>3184</v>
      </c>
      <c r="M1409" t="s">
        <v>16</v>
      </c>
    </row>
    <row r="1410" spans="1:13">
      <c r="A1410" t="s">
        <v>851</v>
      </c>
      <c r="B1410" t="s">
        <v>686</v>
      </c>
      <c r="C1410" t="s">
        <v>686</v>
      </c>
      <c r="D1410" t="s">
        <v>22</v>
      </c>
      <c r="E1410" t="s">
        <v>656</v>
      </c>
      <c r="F1410" t="s">
        <v>31</v>
      </c>
      <c r="G1410">
        <v>2045</v>
      </c>
      <c r="H1410" s="12">
        <v>4.16</v>
      </c>
      <c r="I1410" t="s">
        <v>3183</v>
      </c>
      <c r="J1410" t="s">
        <v>394</v>
      </c>
      <c r="K1410" t="s">
        <v>147</v>
      </c>
      <c r="L1410" t="s">
        <v>3184</v>
      </c>
      <c r="M1410" t="s">
        <v>16</v>
      </c>
    </row>
    <row r="1411" spans="1:13">
      <c r="A1411" t="s">
        <v>851</v>
      </c>
      <c r="B1411" t="s">
        <v>686</v>
      </c>
      <c r="C1411" t="s">
        <v>686</v>
      </c>
      <c r="D1411" t="s">
        <v>22</v>
      </c>
      <c r="E1411" t="s">
        <v>656</v>
      </c>
      <c r="F1411" t="s">
        <v>31</v>
      </c>
      <c r="G1411">
        <v>2050</v>
      </c>
      <c r="H1411" s="12">
        <v>4.2300000000000004</v>
      </c>
      <c r="I1411" t="s">
        <v>3183</v>
      </c>
      <c r="J1411" t="s">
        <v>394</v>
      </c>
      <c r="K1411" t="s">
        <v>147</v>
      </c>
      <c r="L1411" t="s">
        <v>3184</v>
      </c>
      <c r="M1411" t="s">
        <v>16</v>
      </c>
    </row>
    <row r="1412" spans="1:13">
      <c r="A1412" t="s">
        <v>851</v>
      </c>
      <c r="B1412" t="s">
        <v>687</v>
      </c>
      <c r="C1412" t="s">
        <v>687</v>
      </c>
      <c r="D1412" t="s">
        <v>22</v>
      </c>
      <c r="E1412" t="s">
        <v>656</v>
      </c>
      <c r="F1412" t="s">
        <v>31</v>
      </c>
      <c r="G1412">
        <v>2030</v>
      </c>
      <c r="H1412" s="12">
        <v>5.37</v>
      </c>
      <c r="I1412" t="s">
        <v>3183</v>
      </c>
      <c r="J1412" t="s">
        <v>394</v>
      </c>
      <c r="K1412" t="s">
        <v>147</v>
      </c>
      <c r="L1412" t="s">
        <v>3184</v>
      </c>
      <c r="M1412" t="s">
        <v>16</v>
      </c>
    </row>
    <row r="1413" spans="1:13">
      <c r="A1413" t="s">
        <v>851</v>
      </c>
      <c r="B1413" t="s">
        <v>687</v>
      </c>
      <c r="C1413" t="s">
        <v>687</v>
      </c>
      <c r="D1413" t="s">
        <v>22</v>
      </c>
      <c r="E1413" t="s">
        <v>656</v>
      </c>
      <c r="F1413" t="s">
        <v>31</v>
      </c>
      <c r="G1413">
        <v>2035</v>
      </c>
      <c r="H1413" s="12">
        <v>4.43</v>
      </c>
      <c r="I1413" t="s">
        <v>3183</v>
      </c>
      <c r="J1413" t="s">
        <v>394</v>
      </c>
      <c r="K1413" t="s">
        <v>147</v>
      </c>
      <c r="L1413" t="s">
        <v>3184</v>
      </c>
      <c r="M1413" t="s">
        <v>16</v>
      </c>
    </row>
    <row r="1414" spans="1:13">
      <c r="A1414" t="s">
        <v>851</v>
      </c>
      <c r="B1414" t="s">
        <v>687</v>
      </c>
      <c r="C1414" t="s">
        <v>687</v>
      </c>
      <c r="D1414" t="s">
        <v>22</v>
      </c>
      <c r="E1414" t="s">
        <v>656</v>
      </c>
      <c r="F1414" t="s">
        <v>31</v>
      </c>
      <c r="G1414">
        <v>2040</v>
      </c>
      <c r="H1414" s="12">
        <v>3.61</v>
      </c>
      <c r="I1414" t="s">
        <v>3183</v>
      </c>
      <c r="J1414" t="s">
        <v>394</v>
      </c>
      <c r="K1414" t="s">
        <v>147</v>
      </c>
      <c r="L1414" t="s">
        <v>3184</v>
      </c>
      <c r="M1414" t="s">
        <v>16</v>
      </c>
    </row>
    <row r="1415" spans="1:13">
      <c r="A1415" t="s">
        <v>851</v>
      </c>
      <c r="B1415" t="s">
        <v>687</v>
      </c>
      <c r="C1415" t="s">
        <v>687</v>
      </c>
      <c r="D1415" t="s">
        <v>22</v>
      </c>
      <c r="E1415" t="s">
        <v>656</v>
      </c>
      <c r="F1415" t="s">
        <v>31</v>
      </c>
      <c r="G1415">
        <v>2045</v>
      </c>
      <c r="H1415" s="12">
        <v>3.6</v>
      </c>
      <c r="I1415" t="s">
        <v>3183</v>
      </c>
      <c r="J1415" t="s">
        <v>394</v>
      </c>
      <c r="K1415" t="s">
        <v>147</v>
      </c>
      <c r="L1415" t="s">
        <v>3184</v>
      </c>
      <c r="M1415" t="s">
        <v>16</v>
      </c>
    </row>
    <row r="1416" spans="1:13">
      <c r="A1416" t="s">
        <v>851</v>
      </c>
      <c r="B1416" t="s">
        <v>687</v>
      </c>
      <c r="C1416" t="s">
        <v>687</v>
      </c>
      <c r="D1416" t="s">
        <v>22</v>
      </c>
      <c r="E1416" t="s">
        <v>656</v>
      </c>
      <c r="F1416" t="s">
        <v>31</v>
      </c>
      <c r="G1416">
        <v>2050</v>
      </c>
      <c r="H1416" s="12">
        <v>2.67</v>
      </c>
      <c r="I1416" t="s">
        <v>3183</v>
      </c>
      <c r="J1416" t="s">
        <v>394</v>
      </c>
      <c r="K1416" t="s">
        <v>147</v>
      </c>
      <c r="L1416" t="s">
        <v>3184</v>
      </c>
      <c r="M1416" t="s">
        <v>16</v>
      </c>
    </row>
    <row r="1417" spans="1:13">
      <c r="A1417" t="s">
        <v>851</v>
      </c>
      <c r="B1417" t="s">
        <v>686</v>
      </c>
      <c r="C1417" t="s">
        <v>686</v>
      </c>
      <c r="D1417" t="s">
        <v>22</v>
      </c>
      <c r="E1417" t="s">
        <v>656</v>
      </c>
      <c r="F1417" t="s">
        <v>31</v>
      </c>
      <c r="G1417">
        <v>2010</v>
      </c>
      <c r="H1417" s="12">
        <v>0.02</v>
      </c>
      <c r="I1417" t="s">
        <v>3183</v>
      </c>
      <c r="J1417" t="s">
        <v>484</v>
      </c>
      <c r="K1417" t="s">
        <v>147</v>
      </c>
      <c r="L1417" t="s">
        <v>3184</v>
      </c>
      <c r="M1417" t="s">
        <v>667</v>
      </c>
    </row>
    <row r="1418" spans="1:13">
      <c r="A1418" t="s">
        <v>851</v>
      </c>
      <c r="B1418" t="s">
        <v>686</v>
      </c>
      <c r="C1418" t="s">
        <v>686</v>
      </c>
      <c r="D1418" t="s">
        <v>22</v>
      </c>
      <c r="E1418" t="s">
        <v>656</v>
      </c>
      <c r="F1418" t="s">
        <v>31</v>
      </c>
      <c r="G1418">
        <v>2015</v>
      </c>
      <c r="H1418" s="12">
        <v>0.21</v>
      </c>
      <c r="I1418" t="s">
        <v>3183</v>
      </c>
      <c r="J1418" t="s">
        <v>484</v>
      </c>
      <c r="K1418" t="s">
        <v>147</v>
      </c>
      <c r="L1418" t="s">
        <v>3184</v>
      </c>
      <c r="M1418" t="s">
        <v>667</v>
      </c>
    </row>
    <row r="1419" spans="1:13">
      <c r="A1419" t="s">
        <v>851</v>
      </c>
      <c r="B1419" t="s">
        <v>686</v>
      </c>
      <c r="C1419" t="s">
        <v>686</v>
      </c>
      <c r="D1419" t="s">
        <v>22</v>
      </c>
      <c r="E1419" t="s">
        <v>656</v>
      </c>
      <c r="F1419" t="s">
        <v>31</v>
      </c>
      <c r="G1419">
        <v>2020</v>
      </c>
      <c r="H1419" s="12">
        <v>3.28</v>
      </c>
      <c r="I1419" t="s">
        <v>3183</v>
      </c>
      <c r="J1419" t="s">
        <v>484</v>
      </c>
      <c r="K1419" t="s">
        <v>147</v>
      </c>
      <c r="L1419" t="s">
        <v>3184</v>
      </c>
      <c r="M1419" t="s">
        <v>667</v>
      </c>
    </row>
    <row r="1420" spans="1:13">
      <c r="A1420" t="s">
        <v>851</v>
      </c>
      <c r="B1420" t="s">
        <v>686</v>
      </c>
      <c r="C1420" t="s">
        <v>686</v>
      </c>
      <c r="D1420" t="s">
        <v>22</v>
      </c>
      <c r="E1420" t="s">
        <v>656</v>
      </c>
      <c r="F1420" t="s">
        <v>31</v>
      </c>
      <c r="G1420">
        <v>2030</v>
      </c>
      <c r="H1420" s="12">
        <v>37.32</v>
      </c>
      <c r="I1420" t="s">
        <v>3183</v>
      </c>
      <c r="J1420" t="s">
        <v>484</v>
      </c>
      <c r="K1420" t="s">
        <v>147</v>
      </c>
      <c r="L1420" t="s">
        <v>3184</v>
      </c>
      <c r="M1420" t="s">
        <v>667</v>
      </c>
    </row>
    <row r="1421" spans="1:13">
      <c r="A1421" t="s">
        <v>851</v>
      </c>
      <c r="B1421" t="s">
        <v>686</v>
      </c>
      <c r="C1421" t="s">
        <v>686</v>
      </c>
      <c r="D1421" t="s">
        <v>22</v>
      </c>
      <c r="E1421" t="s">
        <v>656</v>
      </c>
      <c r="F1421" t="s">
        <v>31</v>
      </c>
      <c r="G1421">
        <v>2035</v>
      </c>
      <c r="H1421" s="12">
        <v>77.03</v>
      </c>
      <c r="I1421" t="s">
        <v>3183</v>
      </c>
      <c r="J1421" t="s">
        <v>484</v>
      </c>
      <c r="K1421" t="s">
        <v>147</v>
      </c>
      <c r="L1421" t="s">
        <v>3184</v>
      </c>
      <c r="M1421" t="s">
        <v>667</v>
      </c>
    </row>
    <row r="1422" spans="1:13">
      <c r="A1422" t="s">
        <v>851</v>
      </c>
      <c r="B1422" t="s">
        <v>686</v>
      </c>
      <c r="C1422" t="s">
        <v>686</v>
      </c>
      <c r="D1422" t="s">
        <v>22</v>
      </c>
      <c r="E1422" t="s">
        <v>656</v>
      </c>
      <c r="F1422" t="s">
        <v>31</v>
      </c>
      <c r="G1422">
        <v>2040</v>
      </c>
      <c r="H1422" s="12">
        <v>119.97</v>
      </c>
      <c r="I1422" t="s">
        <v>3183</v>
      </c>
      <c r="J1422" t="s">
        <v>484</v>
      </c>
      <c r="K1422" t="s">
        <v>147</v>
      </c>
      <c r="L1422" t="s">
        <v>3184</v>
      </c>
      <c r="M1422" t="s">
        <v>667</v>
      </c>
    </row>
    <row r="1423" spans="1:13">
      <c r="A1423" t="s">
        <v>851</v>
      </c>
      <c r="B1423" t="s">
        <v>686</v>
      </c>
      <c r="C1423" t="s">
        <v>686</v>
      </c>
      <c r="D1423" t="s">
        <v>22</v>
      </c>
      <c r="E1423" t="s">
        <v>656</v>
      </c>
      <c r="F1423" t="s">
        <v>31</v>
      </c>
      <c r="G1423">
        <v>2045</v>
      </c>
      <c r="H1423" s="12">
        <v>157.80000000000001</v>
      </c>
      <c r="I1423" t="s">
        <v>3183</v>
      </c>
      <c r="J1423" t="s">
        <v>484</v>
      </c>
      <c r="K1423" t="s">
        <v>147</v>
      </c>
      <c r="L1423" t="s">
        <v>3184</v>
      </c>
      <c r="M1423" t="s">
        <v>667</v>
      </c>
    </row>
    <row r="1424" spans="1:13">
      <c r="A1424" t="s">
        <v>851</v>
      </c>
      <c r="B1424" t="s">
        <v>686</v>
      </c>
      <c r="C1424" t="s">
        <v>686</v>
      </c>
      <c r="D1424" t="s">
        <v>22</v>
      </c>
      <c r="E1424" t="s">
        <v>656</v>
      </c>
      <c r="F1424" t="s">
        <v>31</v>
      </c>
      <c r="G1424">
        <v>2050</v>
      </c>
      <c r="H1424" s="12">
        <v>192.71</v>
      </c>
      <c r="I1424" t="s">
        <v>3183</v>
      </c>
      <c r="J1424" t="s">
        <v>484</v>
      </c>
      <c r="K1424" t="s">
        <v>147</v>
      </c>
      <c r="L1424" t="s">
        <v>3184</v>
      </c>
      <c r="M1424" t="s">
        <v>667</v>
      </c>
    </row>
    <row r="1425" spans="1:13">
      <c r="A1425" t="s">
        <v>851</v>
      </c>
      <c r="B1425" t="s">
        <v>687</v>
      </c>
      <c r="C1425" t="s">
        <v>687</v>
      </c>
      <c r="D1425" t="s">
        <v>22</v>
      </c>
      <c r="E1425" t="s">
        <v>656</v>
      </c>
      <c r="F1425" t="s">
        <v>31</v>
      </c>
      <c r="G1425">
        <v>2030</v>
      </c>
      <c r="H1425" s="12">
        <v>81.180000000000007</v>
      </c>
      <c r="I1425" t="s">
        <v>3183</v>
      </c>
      <c r="J1425" t="s">
        <v>484</v>
      </c>
      <c r="K1425" t="s">
        <v>147</v>
      </c>
      <c r="L1425" t="s">
        <v>3184</v>
      </c>
      <c r="M1425" t="s">
        <v>667</v>
      </c>
    </row>
    <row r="1426" spans="1:13">
      <c r="A1426" t="s">
        <v>851</v>
      </c>
      <c r="B1426" t="s">
        <v>687</v>
      </c>
      <c r="C1426" t="s">
        <v>687</v>
      </c>
      <c r="D1426" t="s">
        <v>22</v>
      </c>
      <c r="E1426" t="s">
        <v>656</v>
      </c>
      <c r="F1426" t="s">
        <v>31</v>
      </c>
      <c r="G1426">
        <v>2035</v>
      </c>
      <c r="H1426" s="12">
        <v>150.57</v>
      </c>
      <c r="I1426" t="s">
        <v>3183</v>
      </c>
      <c r="J1426" t="s">
        <v>484</v>
      </c>
      <c r="K1426" t="s">
        <v>147</v>
      </c>
      <c r="L1426" t="s">
        <v>3184</v>
      </c>
      <c r="M1426" t="s">
        <v>667</v>
      </c>
    </row>
    <row r="1427" spans="1:13">
      <c r="A1427" t="s">
        <v>851</v>
      </c>
      <c r="B1427" t="s">
        <v>687</v>
      </c>
      <c r="C1427" t="s">
        <v>687</v>
      </c>
      <c r="D1427" t="s">
        <v>22</v>
      </c>
      <c r="E1427" t="s">
        <v>656</v>
      </c>
      <c r="F1427" t="s">
        <v>31</v>
      </c>
      <c r="G1427">
        <v>2040</v>
      </c>
      <c r="H1427" s="12">
        <v>252.19</v>
      </c>
      <c r="I1427" t="s">
        <v>3183</v>
      </c>
      <c r="J1427" t="s">
        <v>484</v>
      </c>
      <c r="K1427" t="s">
        <v>147</v>
      </c>
      <c r="L1427" t="s">
        <v>3184</v>
      </c>
      <c r="M1427" t="s">
        <v>667</v>
      </c>
    </row>
    <row r="1428" spans="1:13">
      <c r="A1428" t="s">
        <v>851</v>
      </c>
      <c r="B1428" t="s">
        <v>687</v>
      </c>
      <c r="C1428" t="s">
        <v>687</v>
      </c>
      <c r="D1428" t="s">
        <v>22</v>
      </c>
      <c r="E1428" t="s">
        <v>461</v>
      </c>
      <c r="F1428" t="s">
        <v>668</v>
      </c>
      <c r="G1428">
        <v>2040</v>
      </c>
      <c r="H1428" s="12">
        <v>630.46</v>
      </c>
      <c r="I1428" t="s">
        <v>3183</v>
      </c>
      <c r="J1428" t="s">
        <v>41</v>
      </c>
      <c r="K1428" t="s">
        <v>147</v>
      </c>
      <c r="L1428" t="s">
        <v>3184</v>
      </c>
      <c r="M1428" t="s">
        <v>669</v>
      </c>
    </row>
    <row r="1429" spans="1:13">
      <c r="A1429" t="s">
        <v>851</v>
      </c>
      <c r="B1429" t="s">
        <v>687</v>
      </c>
      <c r="C1429" t="s">
        <v>687</v>
      </c>
      <c r="D1429" t="s">
        <v>22</v>
      </c>
      <c r="E1429" t="s">
        <v>461</v>
      </c>
      <c r="F1429" t="s">
        <v>668</v>
      </c>
      <c r="G1429">
        <v>2045</v>
      </c>
      <c r="H1429" s="12">
        <v>764.21</v>
      </c>
      <c r="I1429" t="s">
        <v>3183</v>
      </c>
      <c r="J1429" t="s">
        <v>41</v>
      </c>
      <c r="K1429" t="s">
        <v>147</v>
      </c>
      <c r="L1429" t="s">
        <v>3184</v>
      </c>
      <c r="M1429" t="s">
        <v>669</v>
      </c>
    </row>
    <row r="1430" spans="1:13">
      <c r="A1430" t="s">
        <v>851</v>
      </c>
      <c r="B1430" t="s">
        <v>687</v>
      </c>
      <c r="C1430" t="s">
        <v>687</v>
      </c>
      <c r="D1430" t="s">
        <v>22</v>
      </c>
      <c r="E1430" t="s">
        <v>461</v>
      </c>
      <c r="F1430" t="s">
        <v>668</v>
      </c>
      <c r="G1430">
        <v>2050</v>
      </c>
      <c r="H1430" s="12">
        <v>841.41</v>
      </c>
      <c r="I1430" t="s">
        <v>3183</v>
      </c>
      <c r="J1430" t="s">
        <v>41</v>
      </c>
      <c r="K1430" t="s">
        <v>147</v>
      </c>
      <c r="L1430" t="s">
        <v>3184</v>
      </c>
      <c r="M1430" t="s">
        <v>669</v>
      </c>
    </row>
    <row r="1431" spans="1:13">
      <c r="A1431" t="s">
        <v>851</v>
      </c>
      <c r="B1431" t="s">
        <v>686</v>
      </c>
      <c r="C1431" t="s">
        <v>686</v>
      </c>
      <c r="D1431" t="s">
        <v>22</v>
      </c>
      <c r="E1431" t="s">
        <v>461</v>
      </c>
      <c r="F1431" t="s">
        <v>668</v>
      </c>
      <c r="G1431">
        <v>2010</v>
      </c>
      <c r="H1431" s="12">
        <v>73.88</v>
      </c>
      <c r="I1431" t="s">
        <v>3183</v>
      </c>
      <c r="J1431" t="s">
        <v>15</v>
      </c>
      <c r="K1431" t="s">
        <v>147</v>
      </c>
      <c r="L1431" t="s">
        <v>3184</v>
      </c>
      <c r="M1431" t="s">
        <v>15</v>
      </c>
    </row>
    <row r="1432" spans="1:13">
      <c r="A1432" t="s">
        <v>851</v>
      </c>
      <c r="B1432" t="s">
        <v>686</v>
      </c>
      <c r="C1432" t="s">
        <v>686</v>
      </c>
      <c r="D1432" t="s">
        <v>22</v>
      </c>
      <c r="E1432" t="s">
        <v>461</v>
      </c>
      <c r="F1432" t="s">
        <v>668</v>
      </c>
      <c r="G1432">
        <v>2015</v>
      </c>
      <c r="H1432" s="12">
        <v>170.79</v>
      </c>
      <c r="I1432" t="s">
        <v>3183</v>
      </c>
      <c r="J1432" t="s">
        <v>15</v>
      </c>
      <c r="K1432" t="s">
        <v>147</v>
      </c>
      <c r="L1432" t="s">
        <v>3184</v>
      </c>
      <c r="M1432" t="s">
        <v>15</v>
      </c>
    </row>
    <row r="1433" spans="1:13">
      <c r="A1433" t="s">
        <v>851</v>
      </c>
      <c r="B1433" t="s">
        <v>686</v>
      </c>
      <c r="C1433" t="s">
        <v>686</v>
      </c>
      <c r="D1433" t="s">
        <v>22</v>
      </c>
      <c r="E1433" t="s">
        <v>461</v>
      </c>
      <c r="F1433" t="s">
        <v>668</v>
      </c>
      <c r="G1433">
        <v>2020</v>
      </c>
      <c r="H1433" s="12">
        <v>366.25</v>
      </c>
      <c r="I1433" t="s">
        <v>3183</v>
      </c>
      <c r="J1433" t="s">
        <v>15</v>
      </c>
      <c r="K1433" t="s">
        <v>147</v>
      </c>
      <c r="L1433" t="s">
        <v>3184</v>
      </c>
      <c r="M1433" t="s">
        <v>15</v>
      </c>
    </row>
    <row r="1434" spans="1:13">
      <c r="A1434" t="s">
        <v>851</v>
      </c>
      <c r="B1434" t="s">
        <v>686</v>
      </c>
      <c r="C1434" t="s">
        <v>686</v>
      </c>
      <c r="D1434" t="s">
        <v>22</v>
      </c>
      <c r="E1434" t="s">
        <v>461</v>
      </c>
      <c r="F1434" t="s">
        <v>668</v>
      </c>
      <c r="G1434">
        <v>2030</v>
      </c>
      <c r="H1434" s="12">
        <v>643.33000000000004</v>
      </c>
      <c r="I1434" t="s">
        <v>3183</v>
      </c>
      <c r="J1434" t="s">
        <v>15</v>
      </c>
      <c r="K1434" t="s">
        <v>147</v>
      </c>
      <c r="L1434" t="s">
        <v>3184</v>
      </c>
      <c r="M1434" t="s">
        <v>15</v>
      </c>
    </row>
    <row r="1435" spans="1:13">
      <c r="A1435" t="s">
        <v>851</v>
      </c>
      <c r="B1435" t="s">
        <v>686</v>
      </c>
      <c r="C1435" t="s">
        <v>686</v>
      </c>
      <c r="D1435" t="s">
        <v>22</v>
      </c>
      <c r="E1435" t="s">
        <v>461</v>
      </c>
      <c r="F1435" t="s">
        <v>668</v>
      </c>
      <c r="G1435">
        <v>2035</v>
      </c>
      <c r="H1435" s="12">
        <v>878.74</v>
      </c>
      <c r="I1435" t="s">
        <v>3183</v>
      </c>
      <c r="J1435" t="s">
        <v>15</v>
      </c>
      <c r="K1435" t="s">
        <v>147</v>
      </c>
      <c r="L1435" t="s">
        <v>3184</v>
      </c>
      <c r="M1435" t="s">
        <v>15</v>
      </c>
    </row>
    <row r="1436" spans="1:13">
      <c r="A1436" t="s">
        <v>851</v>
      </c>
      <c r="B1436" t="s">
        <v>686</v>
      </c>
      <c r="C1436" t="s">
        <v>686</v>
      </c>
      <c r="D1436" t="s">
        <v>22</v>
      </c>
      <c r="E1436" t="s">
        <v>461</v>
      </c>
      <c r="F1436" t="s">
        <v>668</v>
      </c>
      <c r="G1436">
        <v>2040</v>
      </c>
      <c r="H1436" s="12">
        <v>1018.51</v>
      </c>
      <c r="I1436" t="s">
        <v>3183</v>
      </c>
      <c r="J1436" t="s">
        <v>15</v>
      </c>
      <c r="K1436" t="s">
        <v>147</v>
      </c>
      <c r="L1436" t="s">
        <v>3184</v>
      </c>
      <c r="M1436" t="s">
        <v>15</v>
      </c>
    </row>
    <row r="1437" spans="1:13">
      <c r="A1437" t="s">
        <v>851</v>
      </c>
      <c r="B1437" t="s">
        <v>687</v>
      </c>
      <c r="C1437" t="s">
        <v>687</v>
      </c>
      <c r="D1437" t="s">
        <v>22</v>
      </c>
      <c r="E1437" t="s">
        <v>461</v>
      </c>
      <c r="F1437" t="s">
        <v>668</v>
      </c>
      <c r="G1437">
        <v>2045</v>
      </c>
      <c r="H1437" s="12">
        <v>1707.65</v>
      </c>
      <c r="I1437" t="s">
        <v>3183</v>
      </c>
      <c r="J1437" t="s">
        <v>5</v>
      </c>
      <c r="K1437" t="s">
        <v>147</v>
      </c>
      <c r="L1437" t="s">
        <v>3184</v>
      </c>
      <c r="M1437" t="s">
        <v>665</v>
      </c>
    </row>
    <row r="1438" spans="1:13">
      <c r="A1438" t="s">
        <v>851</v>
      </c>
      <c r="B1438" t="s">
        <v>687</v>
      </c>
      <c r="C1438" t="s">
        <v>687</v>
      </c>
      <c r="D1438" t="s">
        <v>22</v>
      </c>
      <c r="E1438" t="s">
        <v>461</v>
      </c>
      <c r="F1438" t="s">
        <v>668</v>
      </c>
      <c r="G1438">
        <v>2050</v>
      </c>
      <c r="H1438" s="12">
        <v>820.45</v>
      </c>
      <c r="I1438" t="s">
        <v>3183</v>
      </c>
      <c r="J1438" t="s">
        <v>5</v>
      </c>
      <c r="K1438" t="s">
        <v>147</v>
      </c>
      <c r="L1438" t="s">
        <v>3184</v>
      </c>
      <c r="M1438" t="s">
        <v>665</v>
      </c>
    </row>
    <row r="1439" spans="1:13">
      <c r="A1439" t="s">
        <v>851</v>
      </c>
      <c r="B1439" t="s">
        <v>686</v>
      </c>
      <c r="C1439" t="s">
        <v>686</v>
      </c>
      <c r="D1439" t="s">
        <v>22</v>
      </c>
      <c r="E1439" t="s">
        <v>461</v>
      </c>
      <c r="F1439" t="s">
        <v>668</v>
      </c>
      <c r="G1439">
        <v>2010</v>
      </c>
      <c r="H1439" s="12">
        <v>92.46</v>
      </c>
      <c r="I1439" t="s">
        <v>3183</v>
      </c>
      <c r="J1439" t="s">
        <v>6</v>
      </c>
      <c r="K1439" t="s">
        <v>147</v>
      </c>
      <c r="L1439" t="s">
        <v>3184</v>
      </c>
      <c r="M1439" t="s">
        <v>666</v>
      </c>
    </row>
    <row r="1440" spans="1:13">
      <c r="A1440" t="s">
        <v>851</v>
      </c>
      <c r="B1440" t="s">
        <v>686</v>
      </c>
      <c r="C1440" t="s">
        <v>686</v>
      </c>
      <c r="D1440" t="s">
        <v>22</v>
      </c>
      <c r="E1440" t="s">
        <v>461</v>
      </c>
      <c r="F1440" t="s">
        <v>668</v>
      </c>
      <c r="G1440">
        <v>2015</v>
      </c>
      <c r="H1440" s="12">
        <v>158.19</v>
      </c>
      <c r="I1440" t="s">
        <v>3183</v>
      </c>
      <c r="J1440" t="s">
        <v>6</v>
      </c>
      <c r="K1440" t="s">
        <v>147</v>
      </c>
      <c r="L1440" t="s">
        <v>3184</v>
      </c>
      <c r="M1440" t="s">
        <v>666</v>
      </c>
    </row>
    <row r="1441" spans="1:13">
      <c r="A1441" t="s">
        <v>851</v>
      </c>
      <c r="B1441" t="s">
        <v>686</v>
      </c>
      <c r="C1441" t="s">
        <v>686</v>
      </c>
      <c r="D1441" t="s">
        <v>22</v>
      </c>
      <c r="E1441" t="s">
        <v>461</v>
      </c>
      <c r="F1441" t="s">
        <v>668</v>
      </c>
      <c r="G1441">
        <v>2020</v>
      </c>
      <c r="H1441" s="12">
        <v>255.78</v>
      </c>
      <c r="I1441" t="s">
        <v>3183</v>
      </c>
      <c r="J1441" t="s">
        <v>6</v>
      </c>
      <c r="K1441" t="s">
        <v>147</v>
      </c>
      <c r="L1441" t="s">
        <v>3184</v>
      </c>
      <c r="M1441" t="s">
        <v>666</v>
      </c>
    </row>
    <row r="1442" spans="1:13">
      <c r="A1442" t="s">
        <v>851</v>
      </c>
      <c r="B1442" t="s">
        <v>686</v>
      </c>
      <c r="C1442" t="s">
        <v>686</v>
      </c>
      <c r="D1442" t="s">
        <v>22</v>
      </c>
      <c r="E1442" t="s">
        <v>461</v>
      </c>
      <c r="F1442" t="s">
        <v>668</v>
      </c>
      <c r="G1442">
        <v>2030</v>
      </c>
      <c r="H1442" s="12">
        <v>345.22</v>
      </c>
      <c r="I1442" t="s">
        <v>3183</v>
      </c>
      <c r="J1442" t="s">
        <v>6</v>
      </c>
      <c r="K1442" t="s">
        <v>147</v>
      </c>
      <c r="L1442" t="s">
        <v>3184</v>
      </c>
      <c r="M1442" t="s">
        <v>666</v>
      </c>
    </row>
    <row r="1443" spans="1:13">
      <c r="A1443" t="s">
        <v>851</v>
      </c>
      <c r="B1443" t="s">
        <v>686</v>
      </c>
      <c r="C1443" t="s">
        <v>686</v>
      </c>
      <c r="D1443" t="s">
        <v>22</v>
      </c>
      <c r="E1443" t="s">
        <v>461</v>
      </c>
      <c r="F1443" t="s">
        <v>668</v>
      </c>
      <c r="G1443">
        <v>2035</v>
      </c>
      <c r="H1443" s="12">
        <v>353.46</v>
      </c>
      <c r="I1443" t="s">
        <v>3183</v>
      </c>
      <c r="J1443" t="s">
        <v>6</v>
      </c>
      <c r="K1443" t="s">
        <v>147</v>
      </c>
      <c r="L1443" t="s">
        <v>3184</v>
      </c>
      <c r="M1443" t="s">
        <v>666</v>
      </c>
    </row>
    <row r="1444" spans="1:13">
      <c r="A1444" t="s">
        <v>851</v>
      </c>
      <c r="B1444" t="s">
        <v>686</v>
      </c>
      <c r="C1444" t="s">
        <v>686</v>
      </c>
      <c r="D1444" t="s">
        <v>22</v>
      </c>
      <c r="E1444" t="s">
        <v>461</v>
      </c>
      <c r="F1444" t="s">
        <v>668</v>
      </c>
      <c r="G1444">
        <v>2040</v>
      </c>
      <c r="H1444" s="12">
        <v>354.13</v>
      </c>
      <c r="I1444" t="s">
        <v>3183</v>
      </c>
      <c r="J1444" t="s">
        <v>6</v>
      </c>
      <c r="K1444" t="s">
        <v>147</v>
      </c>
      <c r="L1444" t="s">
        <v>3184</v>
      </c>
      <c r="M1444" t="s">
        <v>666</v>
      </c>
    </row>
    <row r="1445" spans="1:13">
      <c r="A1445" t="s">
        <v>851</v>
      </c>
      <c r="B1445" t="s">
        <v>686</v>
      </c>
      <c r="C1445" t="s">
        <v>686</v>
      </c>
      <c r="D1445" t="s">
        <v>22</v>
      </c>
      <c r="E1445" t="s">
        <v>461</v>
      </c>
      <c r="F1445" t="s">
        <v>668</v>
      </c>
      <c r="G1445">
        <v>2045</v>
      </c>
      <c r="H1445" s="12">
        <v>335.18</v>
      </c>
      <c r="I1445" t="s">
        <v>3183</v>
      </c>
      <c r="J1445" t="s">
        <v>6</v>
      </c>
      <c r="K1445" t="s">
        <v>147</v>
      </c>
      <c r="L1445" t="s">
        <v>3184</v>
      </c>
      <c r="M1445" t="s">
        <v>666</v>
      </c>
    </row>
    <row r="1446" spans="1:13">
      <c r="A1446" t="s">
        <v>851</v>
      </c>
      <c r="B1446" t="s">
        <v>686</v>
      </c>
      <c r="C1446" t="s">
        <v>686</v>
      </c>
      <c r="D1446" t="s">
        <v>22</v>
      </c>
      <c r="E1446" t="s">
        <v>461</v>
      </c>
      <c r="F1446" t="s">
        <v>668</v>
      </c>
      <c r="G1446">
        <v>2050</v>
      </c>
      <c r="H1446" s="12">
        <v>344.39</v>
      </c>
      <c r="I1446" t="s">
        <v>3183</v>
      </c>
      <c r="J1446" t="s">
        <v>6</v>
      </c>
      <c r="K1446" t="s">
        <v>147</v>
      </c>
      <c r="L1446" t="s">
        <v>3184</v>
      </c>
      <c r="M1446" t="s">
        <v>666</v>
      </c>
    </row>
    <row r="1447" spans="1:13">
      <c r="A1447" t="s">
        <v>851</v>
      </c>
      <c r="B1447" t="s">
        <v>687</v>
      </c>
      <c r="C1447" t="s">
        <v>687</v>
      </c>
      <c r="D1447" t="s">
        <v>22</v>
      </c>
      <c r="E1447" t="s">
        <v>461</v>
      </c>
      <c r="F1447" t="s">
        <v>668</v>
      </c>
      <c r="G1447">
        <v>2030</v>
      </c>
      <c r="H1447" s="12">
        <v>316.11</v>
      </c>
      <c r="I1447" t="s">
        <v>3183</v>
      </c>
      <c r="J1447" t="s">
        <v>6</v>
      </c>
      <c r="K1447" t="s">
        <v>147</v>
      </c>
      <c r="L1447" t="s">
        <v>3184</v>
      </c>
      <c r="M1447" t="s">
        <v>666</v>
      </c>
    </row>
    <row r="1448" spans="1:13">
      <c r="A1448" t="s">
        <v>851</v>
      </c>
      <c r="B1448" t="s">
        <v>687</v>
      </c>
      <c r="C1448" t="s">
        <v>687</v>
      </c>
      <c r="D1448" t="s">
        <v>22</v>
      </c>
      <c r="E1448" t="s">
        <v>461</v>
      </c>
      <c r="F1448" t="s">
        <v>668</v>
      </c>
      <c r="G1448">
        <v>2035</v>
      </c>
      <c r="H1448" s="12">
        <v>343.43</v>
      </c>
      <c r="I1448" t="s">
        <v>3183</v>
      </c>
      <c r="J1448" t="s">
        <v>6</v>
      </c>
      <c r="K1448" t="s">
        <v>147</v>
      </c>
      <c r="L1448" t="s">
        <v>3184</v>
      </c>
      <c r="M1448" t="s">
        <v>666</v>
      </c>
    </row>
    <row r="1449" spans="1:13">
      <c r="A1449" t="s">
        <v>851</v>
      </c>
      <c r="B1449" t="s">
        <v>687</v>
      </c>
      <c r="C1449" t="s">
        <v>687</v>
      </c>
      <c r="D1449" t="s">
        <v>22</v>
      </c>
      <c r="E1449" t="s">
        <v>461</v>
      </c>
      <c r="F1449" t="s">
        <v>668</v>
      </c>
      <c r="G1449">
        <v>2040</v>
      </c>
      <c r="H1449" s="12">
        <v>419.4</v>
      </c>
      <c r="I1449" t="s">
        <v>3183</v>
      </c>
      <c r="J1449" t="s">
        <v>6</v>
      </c>
      <c r="K1449" t="s">
        <v>147</v>
      </c>
      <c r="L1449" t="s">
        <v>3184</v>
      </c>
      <c r="M1449" t="s">
        <v>666</v>
      </c>
    </row>
    <row r="1450" spans="1:13">
      <c r="A1450" t="s">
        <v>851</v>
      </c>
      <c r="B1450" t="s">
        <v>687</v>
      </c>
      <c r="C1450" t="s">
        <v>687</v>
      </c>
      <c r="D1450" t="s">
        <v>22</v>
      </c>
      <c r="E1450" t="s">
        <v>461</v>
      </c>
      <c r="F1450" t="s">
        <v>668</v>
      </c>
      <c r="G1450">
        <v>2045</v>
      </c>
      <c r="H1450" s="12">
        <v>401.49</v>
      </c>
      <c r="I1450" t="s">
        <v>3183</v>
      </c>
      <c r="J1450" t="s">
        <v>6</v>
      </c>
      <c r="K1450" t="s">
        <v>147</v>
      </c>
      <c r="L1450" t="s">
        <v>3184</v>
      </c>
      <c r="M1450" t="s">
        <v>666</v>
      </c>
    </row>
    <row r="1451" spans="1:13">
      <c r="A1451" t="s">
        <v>851</v>
      </c>
      <c r="B1451" t="s">
        <v>687</v>
      </c>
      <c r="C1451" t="s">
        <v>687</v>
      </c>
      <c r="D1451" t="s">
        <v>22</v>
      </c>
      <c r="E1451" t="s">
        <v>461</v>
      </c>
      <c r="F1451" t="s">
        <v>668</v>
      </c>
      <c r="G1451">
        <v>2050</v>
      </c>
      <c r="H1451" s="12">
        <v>330.44</v>
      </c>
      <c r="I1451" t="s">
        <v>3183</v>
      </c>
      <c r="J1451" t="s">
        <v>6</v>
      </c>
      <c r="K1451" t="s">
        <v>147</v>
      </c>
      <c r="L1451" t="s">
        <v>3184</v>
      </c>
      <c r="M1451" t="s">
        <v>666</v>
      </c>
    </row>
    <row r="1452" spans="1:13">
      <c r="A1452" t="s">
        <v>851</v>
      </c>
      <c r="B1452" t="s">
        <v>686</v>
      </c>
      <c r="C1452" t="s">
        <v>686</v>
      </c>
      <c r="D1452" t="s">
        <v>22</v>
      </c>
      <c r="E1452" t="s">
        <v>461</v>
      </c>
      <c r="F1452" t="s">
        <v>668</v>
      </c>
      <c r="G1452">
        <v>2010</v>
      </c>
      <c r="H1452" s="12">
        <v>14.96</v>
      </c>
      <c r="I1452" t="s">
        <v>3183</v>
      </c>
      <c r="J1452" t="s">
        <v>394</v>
      </c>
      <c r="K1452" t="s">
        <v>147</v>
      </c>
      <c r="L1452" t="s">
        <v>3184</v>
      </c>
      <c r="M1452" t="s">
        <v>16</v>
      </c>
    </row>
    <row r="1453" spans="1:13">
      <c r="A1453" t="s">
        <v>851</v>
      </c>
      <c r="B1453" t="s">
        <v>686</v>
      </c>
      <c r="C1453" t="s">
        <v>686</v>
      </c>
      <c r="D1453" t="s">
        <v>22</v>
      </c>
      <c r="E1453" t="s">
        <v>461</v>
      </c>
      <c r="F1453" t="s">
        <v>668</v>
      </c>
      <c r="G1453">
        <v>2015</v>
      </c>
      <c r="H1453" s="12">
        <v>9.91</v>
      </c>
      <c r="I1453" t="s">
        <v>3183</v>
      </c>
      <c r="J1453" t="s">
        <v>394</v>
      </c>
      <c r="K1453" t="s">
        <v>147</v>
      </c>
      <c r="L1453" t="s">
        <v>3184</v>
      </c>
      <c r="M1453" t="s">
        <v>16</v>
      </c>
    </row>
    <row r="1454" spans="1:13">
      <c r="A1454" t="s">
        <v>851</v>
      </c>
      <c r="B1454" t="s">
        <v>686</v>
      </c>
      <c r="C1454" t="s">
        <v>686</v>
      </c>
      <c r="D1454" t="s">
        <v>22</v>
      </c>
      <c r="E1454" t="s">
        <v>461</v>
      </c>
      <c r="F1454" t="s">
        <v>668</v>
      </c>
      <c r="G1454">
        <v>2020</v>
      </c>
      <c r="H1454" s="12">
        <v>11.63</v>
      </c>
      <c r="I1454" t="s">
        <v>3183</v>
      </c>
      <c r="J1454" t="s">
        <v>394</v>
      </c>
      <c r="K1454" t="s">
        <v>147</v>
      </c>
      <c r="L1454" t="s">
        <v>3184</v>
      </c>
      <c r="M1454" t="s">
        <v>16</v>
      </c>
    </row>
    <row r="1455" spans="1:13">
      <c r="A1455" t="s">
        <v>851</v>
      </c>
      <c r="B1455" t="s">
        <v>686</v>
      </c>
      <c r="C1455" t="s">
        <v>686</v>
      </c>
      <c r="D1455" t="s">
        <v>22</v>
      </c>
      <c r="E1455" t="s">
        <v>461</v>
      </c>
      <c r="F1455" t="s">
        <v>668</v>
      </c>
      <c r="G1455">
        <v>2030</v>
      </c>
      <c r="H1455" s="12">
        <v>4.57</v>
      </c>
      <c r="I1455" t="s">
        <v>3183</v>
      </c>
      <c r="J1455" t="s">
        <v>394</v>
      </c>
      <c r="K1455" t="s">
        <v>147</v>
      </c>
      <c r="L1455" t="s">
        <v>3184</v>
      </c>
      <c r="M1455" t="s">
        <v>16</v>
      </c>
    </row>
    <row r="1456" spans="1:13">
      <c r="A1456" t="s">
        <v>851</v>
      </c>
      <c r="B1456" t="s">
        <v>686</v>
      </c>
      <c r="C1456" t="s">
        <v>686</v>
      </c>
      <c r="D1456" t="s">
        <v>22</v>
      </c>
      <c r="E1456" t="s">
        <v>461</v>
      </c>
      <c r="F1456" t="s">
        <v>668</v>
      </c>
      <c r="G1456">
        <v>2035</v>
      </c>
      <c r="H1456" s="12">
        <v>2.7</v>
      </c>
      <c r="I1456" t="s">
        <v>3183</v>
      </c>
      <c r="J1456" t="s">
        <v>394</v>
      </c>
      <c r="K1456" t="s">
        <v>147</v>
      </c>
      <c r="L1456" t="s">
        <v>3184</v>
      </c>
      <c r="M1456" t="s">
        <v>16</v>
      </c>
    </row>
    <row r="1457" spans="1:13">
      <c r="A1457" t="s">
        <v>851</v>
      </c>
      <c r="B1457" t="s">
        <v>686</v>
      </c>
      <c r="C1457" t="s">
        <v>686</v>
      </c>
      <c r="D1457" t="s">
        <v>22</v>
      </c>
      <c r="E1457" t="s">
        <v>461</v>
      </c>
      <c r="F1457" t="s">
        <v>668</v>
      </c>
      <c r="G1457">
        <v>2040</v>
      </c>
      <c r="H1457" s="12">
        <v>1.31</v>
      </c>
      <c r="I1457" t="s">
        <v>3183</v>
      </c>
      <c r="J1457" t="s">
        <v>394</v>
      </c>
      <c r="K1457" t="s">
        <v>147</v>
      </c>
      <c r="L1457" t="s">
        <v>3184</v>
      </c>
      <c r="M1457" t="s">
        <v>16</v>
      </c>
    </row>
    <row r="1458" spans="1:13">
      <c r="A1458" t="s">
        <v>851</v>
      </c>
      <c r="B1458" t="s">
        <v>686</v>
      </c>
      <c r="C1458" t="s">
        <v>686</v>
      </c>
      <c r="D1458" t="s">
        <v>22</v>
      </c>
      <c r="E1458" t="s">
        <v>461</v>
      </c>
      <c r="F1458" t="s">
        <v>668</v>
      </c>
      <c r="G1458">
        <v>2045</v>
      </c>
      <c r="H1458" s="12">
        <v>1.41</v>
      </c>
      <c r="I1458" t="s">
        <v>3183</v>
      </c>
      <c r="J1458" t="s">
        <v>394</v>
      </c>
      <c r="K1458" t="s">
        <v>147</v>
      </c>
      <c r="L1458" t="s">
        <v>3184</v>
      </c>
      <c r="M1458" t="s">
        <v>16</v>
      </c>
    </row>
    <row r="1459" spans="1:13">
      <c r="A1459" t="s">
        <v>851</v>
      </c>
      <c r="B1459" t="s">
        <v>686</v>
      </c>
      <c r="C1459" t="s">
        <v>686</v>
      </c>
      <c r="D1459" t="s">
        <v>22</v>
      </c>
      <c r="E1459" t="s">
        <v>461</v>
      </c>
      <c r="F1459" t="s">
        <v>668</v>
      </c>
      <c r="G1459">
        <v>2050</v>
      </c>
      <c r="H1459" s="12">
        <v>1.68</v>
      </c>
      <c r="I1459" t="s">
        <v>3183</v>
      </c>
      <c r="J1459" t="s">
        <v>394</v>
      </c>
      <c r="K1459" t="s">
        <v>147</v>
      </c>
      <c r="L1459" t="s">
        <v>3184</v>
      </c>
      <c r="M1459" t="s">
        <v>16</v>
      </c>
    </row>
    <row r="1460" spans="1:13">
      <c r="A1460" t="s">
        <v>851</v>
      </c>
      <c r="B1460" t="s">
        <v>687</v>
      </c>
      <c r="C1460" t="s">
        <v>687</v>
      </c>
      <c r="D1460" t="s">
        <v>22</v>
      </c>
      <c r="E1460" t="s">
        <v>461</v>
      </c>
      <c r="F1460" t="s">
        <v>668</v>
      </c>
      <c r="G1460">
        <v>2030</v>
      </c>
      <c r="H1460" s="12">
        <v>4.6100000000000003</v>
      </c>
      <c r="I1460" t="s">
        <v>3183</v>
      </c>
      <c r="J1460" t="s">
        <v>394</v>
      </c>
      <c r="K1460" t="s">
        <v>147</v>
      </c>
      <c r="L1460" t="s">
        <v>3184</v>
      </c>
      <c r="M1460" t="s">
        <v>16</v>
      </c>
    </row>
    <row r="1461" spans="1:13">
      <c r="A1461" t="s">
        <v>851</v>
      </c>
      <c r="B1461" t="s">
        <v>687</v>
      </c>
      <c r="C1461" t="s">
        <v>687</v>
      </c>
      <c r="D1461" t="s">
        <v>22</v>
      </c>
      <c r="E1461" t="s">
        <v>461</v>
      </c>
      <c r="F1461" t="s">
        <v>668</v>
      </c>
      <c r="G1461">
        <v>2035</v>
      </c>
      <c r="H1461" s="12">
        <v>2.34</v>
      </c>
      <c r="I1461" t="s">
        <v>3183</v>
      </c>
      <c r="J1461" t="s">
        <v>394</v>
      </c>
      <c r="K1461" t="s">
        <v>147</v>
      </c>
      <c r="L1461" t="s">
        <v>3184</v>
      </c>
      <c r="M1461" t="s">
        <v>16</v>
      </c>
    </row>
    <row r="1462" spans="1:13">
      <c r="A1462" t="s">
        <v>851</v>
      </c>
      <c r="B1462" t="s">
        <v>687</v>
      </c>
      <c r="C1462" t="s">
        <v>687</v>
      </c>
      <c r="D1462" t="s">
        <v>22</v>
      </c>
      <c r="E1462" t="s">
        <v>461</v>
      </c>
      <c r="F1462" t="s">
        <v>668</v>
      </c>
      <c r="G1462">
        <v>2040</v>
      </c>
      <c r="H1462" s="12">
        <v>0.94</v>
      </c>
      <c r="I1462" t="s">
        <v>3183</v>
      </c>
      <c r="J1462" t="s">
        <v>394</v>
      </c>
      <c r="K1462" t="s">
        <v>147</v>
      </c>
      <c r="L1462" t="s">
        <v>3184</v>
      </c>
      <c r="M1462" t="s">
        <v>16</v>
      </c>
    </row>
    <row r="1463" spans="1:13">
      <c r="A1463" t="s">
        <v>851</v>
      </c>
      <c r="B1463" t="s">
        <v>687</v>
      </c>
      <c r="C1463" t="s">
        <v>687</v>
      </c>
      <c r="D1463" t="s">
        <v>22</v>
      </c>
      <c r="E1463" t="s">
        <v>461</v>
      </c>
      <c r="F1463" t="s">
        <v>668</v>
      </c>
      <c r="G1463">
        <v>2045</v>
      </c>
      <c r="H1463" s="12">
        <v>0</v>
      </c>
      <c r="I1463" t="s">
        <v>3183</v>
      </c>
      <c r="J1463" t="s">
        <v>394</v>
      </c>
      <c r="K1463" t="s">
        <v>147</v>
      </c>
      <c r="L1463" t="s">
        <v>3184</v>
      </c>
      <c r="M1463" t="s">
        <v>16</v>
      </c>
    </row>
    <row r="1464" spans="1:13">
      <c r="A1464" t="s">
        <v>851</v>
      </c>
      <c r="B1464" t="s">
        <v>687</v>
      </c>
      <c r="C1464" t="s">
        <v>687</v>
      </c>
      <c r="D1464" t="s">
        <v>22</v>
      </c>
      <c r="E1464" t="s">
        <v>461</v>
      </c>
      <c r="F1464" t="s">
        <v>668</v>
      </c>
      <c r="G1464">
        <v>2050</v>
      </c>
      <c r="H1464" s="12">
        <v>0</v>
      </c>
      <c r="I1464" t="s">
        <v>3183</v>
      </c>
      <c r="J1464" t="s">
        <v>394</v>
      </c>
      <c r="K1464" t="s">
        <v>147</v>
      </c>
      <c r="L1464" t="s">
        <v>3184</v>
      </c>
      <c r="M1464" t="s">
        <v>16</v>
      </c>
    </row>
    <row r="1465" spans="1:13">
      <c r="A1465" t="s">
        <v>851</v>
      </c>
      <c r="B1465" t="s">
        <v>687</v>
      </c>
      <c r="C1465" t="s">
        <v>687</v>
      </c>
      <c r="D1465" t="s">
        <v>22</v>
      </c>
      <c r="E1465" t="s">
        <v>656</v>
      </c>
      <c r="F1465" t="s">
        <v>31</v>
      </c>
      <c r="G1465">
        <v>2045</v>
      </c>
      <c r="H1465" s="12">
        <v>3026.76</v>
      </c>
      <c r="I1465" t="s">
        <v>3183</v>
      </c>
      <c r="J1465" t="s">
        <v>17</v>
      </c>
      <c r="K1465" t="s">
        <v>147</v>
      </c>
      <c r="L1465" t="s">
        <v>3184</v>
      </c>
      <c r="M1465" t="s">
        <v>671</v>
      </c>
    </row>
    <row r="1466" spans="1:13">
      <c r="A1466" t="s">
        <v>851</v>
      </c>
      <c r="B1466" t="s">
        <v>687</v>
      </c>
      <c r="C1466" t="s">
        <v>687</v>
      </c>
      <c r="D1466" t="s">
        <v>22</v>
      </c>
      <c r="E1466" t="s">
        <v>656</v>
      </c>
      <c r="F1466" t="s">
        <v>31</v>
      </c>
      <c r="G1466">
        <v>2050</v>
      </c>
      <c r="H1466" s="12">
        <v>3462.04</v>
      </c>
      <c r="I1466" t="s">
        <v>3183</v>
      </c>
      <c r="J1466" t="s">
        <v>17</v>
      </c>
      <c r="K1466" t="s">
        <v>147</v>
      </c>
      <c r="L1466" t="s">
        <v>3184</v>
      </c>
      <c r="M1466" t="s">
        <v>671</v>
      </c>
    </row>
    <row r="1467" spans="1:13">
      <c r="A1467" t="s">
        <v>851</v>
      </c>
      <c r="B1467" t="s">
        <v>686</v>
      </c>
      <c r="C1467" t="s">
        <v>686</v>
      </c>
      <c r="D1467" t="s">
        <v>22</v>
      </c>
      <c r="E1467" t="s">
        <v>656</v>
      </c>
      <c r="F1467" t="s">
        <v>31</v>
      </c>
      <c r="G1467">
        <v>2010</v>
      </c>
      <c r="H1467" s="12">
        <v>29.58</v>
      </c>
      <c r="I1467" t="s">
        <v>3183</v>
      </c>
      <c r="J1467" t="s">
        <v>18</v>
      </c>
      <c r="K1467" t="s">
        <v>147</v>
      </c>
      <c r="L1467" t="s">
        <v>3184</v>
      </c>
      <c r="M1467" t="s">
        <v>18</v>
      </c>
    </row>
    <row r="1468" spans="1:13">
      <c r="A1468" t="s">
        <v>851</v>
      </c>
      <c r="B1468" t="s">
        <v>686</v>
      </c>
      <c r="C1468" t="s">
        <v>686</v>
      </c>
      <c r="D1468" t="s">
        <v>22</v>
      </c>
      <c r="E1468" t="s">
        <v>656</v>
      </c>
      <c r="F1468" t="s">
        <v>31</v>
      </c>
      <c r="G1468">
        <v>2015</v>
      </c>
      <c r="H1468" s="12">
        <v>131.30000000000001</v>
      </c>
      <c r="I1468" t="s">
        <v>3183</v>
      </c>
      <c r="J1468" t="s">
        <v>18</v>
      </c>
      <c r="K1468" t="s">
        <v>147</v>
      </c>
      <c r="L1468" t="s">
        <v>3184</v>
      </c>
      <c r="M1468" t="s">
        <v>18</v>
      </c>
    </row>
    <row r="1469" spans="1:13">
      <c r="A1469" t="s">
        <v>851</v>
      </c>
      <c r="B1469" t="s">
        <v>686</v>
      </c>
      <c r="C1469" t="s">
        <v>686</v>
      </c>
      <c r="D1469" t="s">
        <v>22</v>
      </c>
      <c r="E1469" t="s">
        <v>656</v>
      </c>
      <c r="F1469" t="s">
        <v>31</v>
      </c>
      <c r="G1469">
        <v>2020</v>
      </c>
      <c r="H1469" s="12">
        <v>282.13</v>
      </c>
      <c r="I1469" t="s">
        <v>3183</v>
      </c>
      <c r="J1469" t="s">
        <v>18</v>
      </c>
      <c r="K1469" t="s">
        <v>147</v>
      </c>
      <c r="L1469" t="s">
        <v>3184</v>
      </c>
      <c r="M1469" t="s">
        <v>18</v>
      </c>
    </row>
    <row r="1470" spans="1:13">
      <c r="A1470" t="s">
        <v>851</v>
      </c>
      <c r="B1470" t="s">
        <v>686</v>
      </c>
      <c r="C1470" t="s">
        <v>686</v>
      </c>
      <c r="D1470" t="s">
        <v>22</v>
      </c>
      <c r="E1470" t="s">
        <v>656</v>
      </c>
      <c r="F1470" t="s">
        <v>31</v>
      </c>
      <c r="G1470">
        <v>2030</v>
      </c>
      <c r="H1470" s="12">
        <v>743.62</v>
      </c>
      <c r="I1470" t="s">
        <v>3183</v>
      </c>
      <c r="J1470" t="s">
        <v>18</v>
      </c>
      <c r="K1470" t="s">
        <v>147</v>
      </c>
      <c r="L1470" t="s">
        <v>3184</v>
      </c>
      <c r="M1470" t="s">
        <v>18</v>
      </c>
    </row>
    <row r="1471" spans="1:13">
      <c r="A1471" t="s">
        <v>851</v>
      </c>
      <c r="B1471" t="s">
        <v>686</v>
      </c>
      <c r="C1471" t="s">
        <v>686</v>
      </c>
      <c r="D1471" t="s">
        <v>22</v>
      </c>
      <c r="E1471" t="s">
        <v>656</v>
      </c>
      <c r="F1471" t="s">
        <v>31</v>
      </c>
      <c r="G1471">
        <v>2035</v>
      </c>
      <c r="H1471" s="12">
        <v>922.66</v>
      </c>
      <c r="I1471" t="s">
        <v>3183</v>
      </c>
      <c r="J1471" t="s">
        <v>18</v>
      </c>
      <c r="K1471" t="s">
        <v>147</v>
      </c>
      <c r="L1471" t="s">
        <v>3184</v>
      </c>
      <c r="M1471" t="s">
        <v>18</v>
      </c>
    </row>
    <row r="1472" spans="1:13">
      <c r="A1472" t="s">
        <v>851</v>
      </c>
      <c r="B1472" t="s">
        <v>686</v>
      </c>
      <c r="C1472" t="s">
        <v>686</v>
      </c>
      <c r="D1472" t="s">
        <v>22</v>
      </c>
      <c r="E1472" t="s">
        <v>656</v>
      </c>
      <c r="F1472" t="s">
        <v>31</v>
      </c>
      <c r="G1472">
        <v>2040</v>
      </c>
      <c r="H1472" s="12">
        <v>1068.5999999999999</v>
      </c>
      <c r="I1472" t="s">
        <v>3183</v>
      </c>
      <c r="J1472" t="s">
        <v>18</v>
      </c>
      <c r="K1472" t="s">
        <v>147</v>
      </c>
      <c r="L1472" t="s">
        <v>3184</v>
      </c>
      <c r="M1472" t="s">
        <v>18</v>
      </c>
    </row>
    <row r="1473" spans="1:13">
      <c r="A1473" t="s">
        <v>851</v>
      </c>
      <c r="B1473" t="s">
        <v>686</v>
      </c>
      <c r="C1473" t="s">
        <v>686</v>
      </c>
      <c r="D1473" t="s">
        <v>22</v>
      </c>
      <c r="E1473" t="s">
        <v>656</v>
      </c>
      <c r="F1473" t="s">
        <v>31</v>
      </c>
      <c r="G1473">
        <v>2045</v>
      </c>
      <c r="H1473" s="12">
        <v>1191.03</v>
      </c>
      <c r="I1473" t="s">
        <v>3183</v>
      </c>
      <c r="J1473" t="s">
        <v>18</v>
      </c>
      <c r="K1473" t="s">
        <v>147</v>
      </c>
      <c r="L1473" t="s">
        <v>3184</v>
      </c>
      <c r="M1473" t="s">
        <v>18</v>
      </c>
    </row>
    <row r="1474" spans="1:13">
      <c r="A1474" t="s">
        <v>851</v>
      </c>
      <c r="B1474" t="s">
        <v>686</v>
      </c>
      <c r="C1474" t="s">
        <v>686</v>
      </c>
      <c r="D1474" t="s">
        <v>22</v>
      </c>
      <c r="E1474" t="s">
        <v>656</v>
      </c>
      <c r="F1474" t="s">
        <v>31</v>
      </c>
      <c r="G1474">
        <v>2050</v>
      </c>
      <c r="H1474" s="12">
        <v>1296.1199999999999</v>
      </c>
      <c r="I1474" t="s">
        <v>3183</v>
      </c>
      <c r="J1474" t="s">
        <v>18</v>
      </c>
      <c r="K1474" t="s">
        <v>147</v>
      </c>
      <c r="L1474" t="s">
        <v>3184</v>
      </c>
      <c r="M1474" t="s">
        <v>18</v>
      </c>
    </row>
    <row r="1475" spans="1:13">
      <c r="A1475" t="s">
        <v>851</v>
      </c>
      <c r="B1475" t="s">
        <v>687</v>
      </c>
      <c r="C1475" t="s">
        <v>687</v>
      </c>
      <c r="D1475" t="s">
        <v>22</v>
      </c>
      <c r="E1475" t="s">
        <v>656</v>
      </c>
      <c r="F1475" t="s">
        <v>31</v>
      </c>
      <c r="G1475">
        <v>2030</v>
      </c>
      <c r="H1475" s="12">
        <v>761.8</v>
      </c>
      <c r="I1475" t="s">
        <v>3183</v>
      </c>
      <c r="J1475" t="s">
        <v>18</v>
      </c>
      <c r="K1475" t="s">
        <v>147</v>
      </c>
      <c r="L1475" t="s">
        <v>3184</v>
      </c>
      <c r="M1475" t="s">
        <v>18</v>
      </c>
    </row>
    <row r="1476" spans="1:13">
      <c r="A1476" t="s">
        <v>851</v>
      </c>
      <c r="B1476" t="s">
        <v>687</v>
      </c>
      <c r="C1476" t="s">
        <v>687</v>
      </c>
      <c r="D1476" t="s">
        <v>22</v>
      </c>
      <c r="E1476" t="s">
        <v>656</v>
      </c>
      <c r="F1476" t="s">
        <v>31</v>
      </c>
      <c r="G1476">
        <v>2035</v>
      </c>
      <c r="H1476" s="12">
        <v>985.92</v>
      </c>
      <c r="I1476" t="s">
        <v>3183</v>
      </c>
      <c r="J1476" t="s">
        <v>18</v>
      </c>
      <c r="K1476" t="s">
        <v>147</v>
      </c>
      <c r="L1476" t="s">
        <v>3184</v>
      </c>
      <c r="M1476" t="s">
        <v>18</v>
      </c>
    </row>
    <row r="1477" spans="1:13">
      <c r="A1477" t="s">
        <v>851</v>
      </c>
      <c r="B1477" t="s">
        <v>687</v>
      </c>
      <c r="C1477" t="s">
        <v>687</v>
      </c>
      <c r="D1477" t="s">
        <v>22</v>
      </c>
      <c r="E1477" t="s">
        <v>656</v>
      </c>
      <c r="F1477" t="s">
        <v>31</v>
      </c>
      <c r="G1477">
        <v>2040</v>
      </c>
      <c r="H1477" s="12">
        <v>1230.3</v>
      </c>
      <c r="I1477" t="s">
        <v>3183</v>
      </c>
      <c r="J1477" t="s">
        <v>18</v>
      </c>
      <c r="K1477" t="s">
        <v>147</v>
      </c>
      <c r="L1477" t="s">
        <v>3184</v>
      </c>
      <c r="M1477" t="s">
        <v>18</v>
      </c>
    </row>
    <row r="1478" spans="1:13">
      <c r="A1478" t="s">
        <v>851</v>
      </c>
      <c r="B1478" t="s">
        <v>687</v>
      </c>
      <c r="C1478" t="s">
        <v>687</v>
      </c>
      <c r="D1478" t="s">
        <v>22</v>
      </c>
      <c r="E1478" t="s">
        <v>656</v>
      </c>
      <c r="F1478" t="s">
        <v>31</v>
      </c>
      <c r="G1478">
        <v>2045</v>
      </c>
      <c r="H1478" s="12">
        <v>1460.31</v>
      </c>
      <c r="I1478" t="s">
        <v>3183</v>
      </c>
      <c r="J1478" t="s">
        <v>18</v>
      </c>
      <c r="K1478" t="s">
        <v>147</v>
      </c>
      <c r="L1478" t="s">
        <v>3184</v>
      </c>
      <c r="M1478" t="s">
        <v>18</v>
      </c>
    </row>
    <row r="1479" spans="1:13">
      <c r="A1479" t="s">
        <v>851</v>
      </c>
      <c r="B1479" t="s">
        <v>687</v>
      </c>
      <c r="C1479" t="s">
        <v>687</v>
      </c>
      <c r="D1479" t="s">
        <v>22</v>
      </c>
      <c r="E1479" t="s">
        <v>656</v>
      </c>
      <c r="F1479" t="s">
        <v>31</v>
      </c>
      <c r="G1479">
        <v>2050</v>
      </c>
      <c r="H1479" s="12">
        <v>1683.26</v>
      </c>
      <c r="I1479" t="s">
        <v>3183</v>
      </c>
      <c r="J1479" t="s">
        <v>18</v>
      </c>
      <c r="K1479" t="s">
        <v>147</v>
      </c>
      <c r="L1479" t="s">
        <v>3184</v>
      </c>
      <c r="M1479" t="s">
        <v>18</v>
      </c>
    </row>
    <row r="1480" spans="1:13">
      <c r="A1480" t="s">
        <v>851</v>
      </c>
      <c r="B1480" t="s">
        <v>686</v>
      </c>
      <c r="C1480" t="s">
        <v>686</v>
      </c>
      <c r="D1480" t="s">
        <v>22</v>
      </c>
      <c r="E1480" t="s">
        <v>656</v>
      </c>
      <c r="F1480" t="s">
        <v>31</v>
      </c>
      <c r="G1480">
        <v>2010</v>
      </c>
      <c r="H1480" s="12">
        <v>216.06</v>
      </c>
      <c r="I1480" t="s">
        <v>3183</v>
      </c>
      <c r="J1480" t="s">
        <v>14</v>
      </c>
      <c r="K1480" t="s">
        <v>147</v>
      </c>
      <c r="L1480" t="s">
        <v>3184</v>
      </c>
      <c r="M1480" t="s">
        <v>14</v>
      </c>
    </row>
    <row r="1481" spans="1:13">
      <c r="A1481" t="s">
        <v>851</v>
      </c>
      <c r="B1481" t="s">
        <v>686</v>
      </c>
      <c r="C1481" t="s">
        <v>686</v>
      </c>
      <c r="D1481" t="s">
        <v>22</v>
      </c>
      <c r="E1481" t="s">
        <v>656</v>
      </c>
      <c r="F1481" t="s">
        <v>31</v>
      </c>
      <c r="G1481">
        <v>2015</v>
      </c>
      <c r="H1481" s="12">
        <v>319.54000000000002</v>
      </c>
      <c r="I1481" t="s">
        <v>3183</v>
      </c>
      <c r="J1481" t="s">
        <v>14</v>
      </c>
      <c r="K1481" t="s">
        <v>147</v>
      </c>
      <c r="L1481" t="s">
        <v>3184</v>
      </c>
      <c r="M1481" t="s">
        <v>14</v>
      </c>
    </row>
    <row r="1482" spans="1:13">
      <c r="A1482" t="s">
        <v>851</v>
      </c>
      <c r="B1482" t="s">
        <v>686</v>
      </c>
      <c r="C1482" t="s">
        <v>686</v>
      </c>
      <c r="D1482" t="s">
        <v>22</v>
      </c>
      <c r="E1482" t="s">
        <v>656</v>
      </c>
      <c r="F1482" t="s">
        <v>31</v>
      </c>
      <c r="G1482">
        <v>2020</v>
      </c>
      <c r="H1482" s="12">
        <v>367.05</v>
      </c>
      <c r="I1482" t="s">
        <v>3183</v>
      </c>
      <c r="J1482" t="s">
        <v>14</v>
      </c>
      <c r="K1482" t="s">
        <v>147</v>
      </c>
      <c r="L1482" t="s">
        <v>3184</v>
      </c>
      <c r="M1482" t="s">
        <v>14</v>
      </c>
    </row>
    <row r="1483" spans="1:13">
      <c r="A1483" t="s">
        <v>851</v>
      </c>
      <c r="B1483" t="s">
        <v>686</v>
      </c>
      <c r="C1483" t="s">
        <v>686</v>
      </c>
      <c r="D1483" t="s">
        <v>22</v>
      </c>
      <c r="E1483" t="s">
        <v>656</v>
      </c>
      <c r="F1483" t="s">
        <v>31</v>
      </c>
      <c r="G1483">
        <v>2030</v>
      </c>
      <c r="H1483" s="12">
        <v>462.75</v>
      </c>
      <c r="I1483" t="s">
        <v>3183</v>
      </c>
      <c r="J1483" t="s">
        <v>14</v>
      </c>
      <c r="K1483" t="s">
        <v>147</v>
      </c>
      <c r="L1483" t="s">
        <v>3184</v>
      </c>
      <c r="M1483" t="s">
        <v>14</v>
      </c>
    </row>
    <row r="1484" spans="1:13">
      <c r="A1484" t="s">
        <v>851</v>
      </c>
      <c r="B1484" t="s">
        <v>686</v>
      </c>
      <c r="C1484" t="s">
        <v>686</v>
      </c>
      <c r="D1484" t="s">
        <v>22</v>
      </c>
      <c r="E1484" t="s">
        <v>656</v>
      </c>
      <c r="F1484" t="s">
        <v>31</v>
      </c>
      <c r="G1484">
        <v>2035</v>
      </c>
      <c r="H1484" s="12">
        <v>486.73</v>
      </c>
      <c r="I1484" t="s">
        <v>3183</v>
      </c>
      <c r="J1484" t="s">
        <v>14</v>
      </c>
      <c r="K1484" t="s">
        <v>147</v>
      </c>
      <c r="L1484" t="s">
        <v>3184</v>
      </c>
      <c r="M1484" t="s">
        <v>14</v>
      </c>
    </row>
    <row r="1485" spans="1:13">
      <c r="A1485" t="s">
        <v>851</v>
      </c>
      <c r="B1485" t="s">
        <v>686</v>
      </c>
      <c r="C1485" t="s">
        <v>686</v>
      </c>
      <c r="D1485" t="s">
        <v>22</v>
      </c>
      <c r="E1485" t="s">
        <v>656</v>
      </c>
      <c r="F1485" t="s">
        <v>31</v>
      </c>
      <c r="G1485">
        <v>2040</v>
      </c>
      <c r="H1485" s="12">
        <v>514.12</v>
      </c>
      <c r="I1485" t="s">
        <v>3183</v>
      </c>
      <c r="J1485" t="s">
        <v>14</v>
      </c>
      <c r="K1485" t="s">
        <v>147</v>
      </c>
      <c r="L1485" t="s">
        <v>3184</v>
      </c>
      <c r="M1485" t="s">
        <v>14</v>
      </c>
    </row>
    <row r="1486" spans="1:13">
      <c r="A1486" t="s">
        <v>851</v>
      </c>
      <c r="B1486" t="s">
        <v>686</v>
      </c>
      <c r="C1486" t="s">
        <v>686</v>
      </c>
      <c r="D1486" t="s">
        <v>22</v>
      </c>
      <c r="E1486" t="s">
        <v>656</v>
      </c>
      <c r="F1486" t="s">
        <v>31</v>
      </c>
      <c r="G1486">
        <v>2045</v>
      </c>
      <c r="H1486" s="12">
        <v>535.22</v>
      </c>
      <c r="I1486" t="s">
        <v>3183</v>
      </c>
      <c r="J1486" t="s">
        <v>14</v>
      </c>
      <c r="K1486" t="s">
        <v>147</v>
      </c>
      <c r="L1486" t="s">
        <v>3184</v>
      </c>
      <c r="M1486" t="s">
        <v>14</v>
      </c>
    </row>
    <row r="1487" spans="1:13">
      <c r="A1487" t="s">
        <v>851</v>
      </c>
      <c r="B1487" t="s">
        <v>686</v>
      </c>
      <c r="C1487" t="s">
        <v>686</v>
      </c>
      <c r="D1487" t="s">
        <v>22</v>
      </c>
      <c r="E1487" t="s">
        <v>656</v>
      </c>
      <c r="F1487" t="s">
        <v>31</v>
      </c>
      <c r="G1487">
        <v>2050</v>
      </c>
      <c r="H1487" s="12">
        <v>551.5</v>
      </c>
      <c r="I1487" t="s">
        <v>3183</v>
      </c>
      <c r="J1487" t="s">
        <v>14</v>
      </c>
      <c r="K1487" t="s">
        <v>147</v>
      </c>
      <c r="L1487" t="s">
        <v>3184</v>
      </c>
      <c r="M1487" t="s">
        <v>14</v>
      </c>
    </row>
    <row r="1488" spans="1:13">
      <c r="A1488" t="s">
        <v>851</v>
      </c>
      <c r="B1488" t="s">
        <v>687</v>
      </c>
      <c r="C1488" t="s">
        <v>687</v>
      </c>
      <c r="D1488" t="s">
        <v>22</v>
      </c>
      <c r="E1488" t="s">
        <v>656</v>
      </c>
      <c r="F1488" t="s">
        <v>31</v>
      </c>
      <c r="G1488">
        <v>2030</v>
      </c>
      <c r="H1488" s="12">
        <v>461.54</v>
      </c>
      <c r="I1488" t="s">
        <v>3183</v>
      </c>
      <c r="J1488" t="s">
        <v>14</v>
      </c>
      <c r="K1488" t="s">
        <v>147</v>
      </c>
      <c r="L1488" t="s">
        <v>3184</v>
      </c>
      <c r="M1488" t="s">
        <v>14</v>
      </c>
    </row>
    <row r="1489" spans="1:13">
      <c r="A1489" t="s">
        <v>851</v>
      </c>
      <c r="B1489" t="s">
        <v>687</v>
      </c>
      <c r="C1489" t="s">
        <v>687</v>
      </c>
      <c r="D1489" t="s">
        <v>22</v>
      </c>
      <c r="E1489" t="s">
        <v>656</v>
      </c>
      <c r="F1489" t="s">
        <v>31</v>
      </c>
      <c r="G1489">
        <v>2035</v>
      </c>
      <c r="H1489" s="12">
        <v>505.17</v>
      </c>
      <c r="I1489" t="s">
        <v>3183</v>
      </c>
      <c r="J1489" t="s">
        <v>14</v>
      </c>
      <c r="K1489" t="s">
        <v>147</v>
      </c>
      <c r="L1489" t="s">
        <v>3184</v>
      </c>
      <c r="M1489" t="s">
        <v>14</v>
      </c>
    </row>
    <row r="1490" spans="1:13">
      <c r="A1490" t="s">
        <v>851</v>
      </c>
      <c r="B1490" t="s">
        <v>687</v>
      </c>
      <c r="C1490" t="s">
        <v>687</v>
      </c>
      <c r="D1490" t="s">
        <v>22</v>
      </c>
      <c r="E1490" t="s">
        <v>656</v>
      </c>
      <c r="F1490" t="s">
        <v>31</v>
      </c>
      <c r="G1490">
        <v>2040</v>
      </c>
      <c r="H1490" s="12">
        <v>537.51</v>
      </c>
      <c r="I1490" t="s">
        <v>3183</v>
      </c>
      <c r="J1490" t="s">
        <v>14</v>
      </c>
      <c r="K1490" t="s">
        <v>147</v>
      </c>
      <c r="L1490" t="s">
        <v>3184</v>
      </c>
      <c r="M1490" t="s">
        <v>14</v>
      </c>
    </row>
    <row r="1491" spans="1:13">
      <c r="A1491" t="s">
        <v>851</v>
      </c>
      <c r="B1491" t="s">
        <v>687</v>
      </c>
      <c r="C1491" t="s">
        <v>687</v>
      </c>
      <c r="D1491" t="s">
        <v>22</v>
      </c>
      <c r="E1491" t="s">
        <v>656</v>
      </c>
      <c r="F1491" t="s">
        <v>31</v>
      </c>
      <c r="G1491">
        <v>2045</v>
      </c>
      <c r="H1491" s="12">
        <v>562.04</v>
      </c>
      <c r="I1491" t="s">
        <v>3183</v>
      </c>
      <c r="J1491" t="s">
        <v>14</v>
      </c>
      <c r="K1491" t="s">
        <v>147</v>
      </c>
      <c r="L1491" t="s">
        <v>3184</v>
      </c>
      <c r="M1491" t="s">
        <v>14</v>
      </c>
    </row>
    <row r="1492" spans="1:13">
      <c r="A1492" t="s">
        <v>851</v>
      </c>
      <c r="B1492" t="s">
        <v>687</v>
      </c>
      <c r="C1492" t="s">
        <v>687</v>
      </c>
      <c r="D1492" t="s">
        <v>22</v>
      </c>
      <c r="E1492" t="s">
        <v>656</v>
      </c>
      <c r="F1492" t="s">
        <v>31</v>
      </c>
      <c r="G1492">
        <v>2050</v>
      </c>
      <c r="H1492" s="12">
        <v>580.89</v>
      </c>
      <c r="I1492" t="s">
        <v>3183</v>
      </c>
      <c r="J1492" t="s">
        <v>14</v>
      </c>
      <c r="K1492" t="s">
        <v>147</v>
      </c>
      <c r="L1492" t="s">
        <v>3184</v>
      </c>
      <c r="M1492" t="s">
        <v>14</v>
      </c>
    </row>
    <row r="1493" spans="1:13">
      <c r="A1493" t="s">
        <v>851</v>
      </c>
      <c r="B1493" t="s">
        <v>686</v>
      </c>
      <c r="C1493" t="s">
        <v>686</v>
      </c>
      <c r="D1493" t="s">
        <v>22</v>
      </c>
      <c r="E1493" t="s">
        <v>656</v>
      </c>
      <c r="F1493" t="s">
        <v>31</v>
      </c>
      <c r="G1493">
        <v>2010</v>
      </c>
      <c r="H1493" s="12">
        <v>5.5</v>
      </c>
      <c r="I1493" t="s">
        <v>3183</v>
      </c>
      <c r="J1493" t="s">
        <v>41</v>
      </c>
      <c r="K1493" t="s">
        <v>147</v>
      </c>
      <c r="L1493" t="s">
        <v>3184</v>
      </c>
      <c r="M1493" t="s">
        <v>669</v>
      </c>
    </row>
    <row r="1494" spans="1:13">
      <c r="A1494" t="s">
        <v>851</v>
      </c>
      <c r="B1494" t="s">
        <v>686</v>
      </c>
      <c r="C1494" t="s">
        <v>686</v>
      </c>
      <c r="D1494" t="s">
        <v>22</v>
      </c>
      <c r="E1494" t="s">
        <v>656</v>
      </c>
      <c r="F1494" t="s">
        <v>31</v>
      </c>
      <c r="G1494">
        <v>2015</v>
      </c>
      <c r="H1494" s="12">
        <v>12.56</v>
      </c>
      <c r="I1494" t="s">
        <v>3183</v>
      </c>
      <c r="J1494" t="s">
        <v>41</v>
      </c>
      <c r="K1494" t="s">
        <v>147</v>
      </c>
      <c r="L1494" t="s">
        <v>3184</v>
      </c>
      <c r="M1494" t="s">
        <v>669</v>
      </c>
    </row>
    <row r="1495" spans="1:13">
      <c r="A1495" t="s">
        <v>851</v>
      </c>
      <c r="B1495" t="s">
        <v>686</v>
      </c>
      <c r="C1495" t="s">
        <v>686</v>
      </c>
      <c r="D1495" t="s">
        <v>22</v>
      </c>
      <c r="E1495" t="s">
        <v>656</v>
      </c>
      <c r="F1495" t="s">
        <v>31</v>
      </c>
      <c r="G1495">
        <v>2020</v>
      </c>
      <c r="H1495" s="12">
        <v>31.89</v>
      </c>
      <c r="I1495" t="s">
        <v>3183</v>
      </c>
      <c r="J1495" t="s">
        <v>41</v>
      </c>
      <c r="K1495" t="s">
        <v>147</v>
      </c>
      <c r="L1495" t="s">
        <v>3184</v>
      </c>
      <c r="M1495" t="s">
        <v>669</v>
      </c>
    </row>
    <row r="1496" spans="1:13">
      <c r="A1496" t="s">
        <v>851</v>
      </c>
      <c r="B1496" t="s">
        <v>686</v>
      </c>
      <c r="C1496" t="s">
        <v>686</v>
      </c>
      <c r="D1496" t="s">
        <v>22</v>
      </c>
      <c r="E1496" t="s">
        <v>461</v>
      </c>
      <c r="F1496" t="s">
        <v>668</v>
      </c>
      <c r="G1496">
        <v>2010</v>
      </c>
      <c r="H1496" s="12">
        <v>0.7</v>
      </c>
      <c r="I1496" t="s">
        <v>3183</v>
      </c>
      <c r="J1496" t="s">
        <v>17</v>
      </c>
      <c r="K1496" t="s">
        <v>147</v>
      </c>
      <c r="L1496" t="s">
        <v>3184</v>
      </c>
      <c r="M1496" t="s">
        <v>671</v>
      </c>
    </row>
    <row r="1497" spans="1:13">
      <c r="A1497" t="s">
        <v>851</v>
      </c>
      <c r="B1497" t="s">
        <v>686</v>
      </c>
      <c r="C1497" t="s">
        <v>686</v>
      </c>
      <c r="D1497" t="s">
        <v>22</v>
      </c>
      <c r="E1497" t="s">
        <v>461</v>
      </c>
      <c r="F1497" t="s">
        <v>668</v>
      </c>
      <c r="G1497">
        <v>2015</v>
      </c>
      <c r="H1497" s="12">
        <v>39.5</v>
      </c>
      <c r="I1497" t="s">
        <v>3183</v>
      </c>
      <c r="J1497" t="s">
        <v>17</v>
      </c>
      <c r="K1497" t="s">
        <v>147</v>
      </c>
      <c r="L1497" t="s">
        <v>3184</v>
      </c>
      <c r="M1497" t="s">
        <v>671</v>
      </c>
    </row>
    <row r="1498" spans="1:13">
      <c r="A1498" t="s">
        <v>851</v>
      </c>
      <c r="B1498" t="s">
        <v>686</v>
      </c>
      <c r="C1498" t="s">
        <v>686</v>
      </c>
      <c r="D1498" t="s">
        <v>22</v>
      </c>
      <c r="E1498" t="s">
        <v>461</v>
      </c>
      <c r="F1498" t="s">
        <v>668</v>
      </c>
      <c r="G1498">
        <v>2020</v>
      </c>
      <c r="H1498" s="12">
        <v>260.52</v>
      </c>
      <c r="I1498" t="s">
        <v>3183</v>
      </c>
      <c r="J1498" t="s">
        <v>17</v>
      </c>
      <c r="K1498" t="s">
        <v>147</v>
      </c>
      <c r="L1498" t="s">
        <v>3184</v>
      </c>
      <c r="M1498" t="s">
        <v>671</v>
      </c>
    </row>
    <row r="1499" spans="1:13">
      <c r="A1499" t="s">
        <v>851</v>
      </c>
      <c r="B1499" t="s">
        <v>686</v>
      </c>
      <c r="C1499" t="s">
        <v>686</v>
      </c>
      <c r="D1499" t="s">
        <v>22</v>
      </c>
      <c r="E1499" t="s">
        <v>461</v>
      </c>
      <c r="F1499" t="s">
        <v>668</v>
      </c>
      <c r="G1499">
        <v>2030</v>
      </c>
      <c r="H1499" s="12">
        <v>1474.44</v>
      </c>
      <c r="I1499" t="s">
        <v>3183</v>
      </c>
      <c r="J1499" t="s">
        <v>17</v>
      </c>
      <c r="K1499" t="s">
        <v>147</v>
      </c>
      <c r="L1499" t="s">
        <v>3184</v>
      </c>
      <c r="M1499" t="s">
        <v>671</v>
      </c>
    </row>
    <row r="1500" spans="1:13">
      <c r="A1500" t="s">
        <v>851</v>
      </c>
      <c r="B1500" t="s">
        <v>686</v>
      </c>
      <c r="C1500" t="s">
        <v>686</v>
      </c>
      <c r="D1500" t="s">
        <v>22</v>
      </c>
      <c r="E1500" t="s">
        <v>461</v>
      </c>
      <c r="F1500" t="s">
        <v>668</v>
      </c>
      <c r="G1500">
        <v>2035</v>
      </c>
      <c r="H1500" s="12">
        <v>2193.54</v>
      </c>
      <c r="I1500" t="s">
        <v>3183</v>
      </c>
      <c r="J1500" t="s">
        <v>17</v>
      </c>
      <c r="K1500" t="s">
        <v>147</v>
      </c>
      <c r="L1500" t="s">
        <v>3184</v>
      </c>
      <c r="M1500" t="s">
        <v>671</v>
      </c>
    </row>
    <row r="1501" spans="1:13">
      <c r="A1501" t="s">
        <v>851</v>
      </c>
      <c r="B1501" t="s">
        <v>686</v>
      </c>
      <c r="C1501" t="s">
        <v>686</v>
      </c>
      <c r="D1501" t="s">
        <v>22</v>
      </c>
      <c r="E1501" t="s">
        <v>461</v>
      </c>
      <c r="F1501" t="s">
        <v>668</v>
      </c>
      <c r="G1501">
        <v>2040</v>
      </c>
      <c r="H1501" s="12">
        <v>2872.92</v>
      </c>
      <c r="I1501" t="s">
        <v>3183</v>
      </c>
      <c r="J1501" t="s">
        <v>17</v>
      </c>
      <c r="K1501" t="s">
        <v>147</v>
      </c>
      <c r="L1501" t="s">
        <v>3184</v>
      </c>
      <c r="M1501" t="s">
        <v>671</v>
      </c>
    </row>
    <row r="1502" spans="1:13">
      <c r="A1502" t="s">
        <v>851</v>
      </c>
      <c r="B1502" t="s">
        <v>686</v>
      </c>
      <c r="C1502" t="s">
        <v>686</v>
      </c>
      <c r="D1502" t="s">
        <v>22</v>
      </c>
      <c r="E1502" t="s">
        <v>461</v>
      </c>
      <c r="F1502" t="s">
        <v>668</v>
      </c>
      <c r="G1502">
        <v>2045</v>
      </c>
      <c r="H1502" s="12">
        <v>3461.57</v>
      </c>
      <c r="I1502" t="s">
        <v>3183</v>
      </c>
      <c r="J1502" t="s">
        <v>17</v>
      </c>
      <c r="K1502" t="s">
        <v>147</v>
      </c>
      <c r="L1502" t="s">
        <v>3184</v>
      </c>
      <c r="M1502" t="s">
        <v>671</v>
      </c>
    </row>
    <row r="1503" spans="1:13">
      <c r="A1503" t="s">
        <v>851</v>
      </c>
      <c r="B1503" t="s">
        <v>686</v>
      </c>
      <c r="C1503" t="s">
        <v>686</v>
      </c>
      <c r="D1503" t="s">
        <v>22</v>
      </c>
      <c r="E1503" t="s">
        <v>461</v>
      </c>
      <c r="F1503" t="s">
        <v>668</v>
      </c>
      <c r="G1503">
        <v>2050</v>
      </c>
      <c r="H1503" s="12">
        <v>3911.35</v>
      </c>
      <c r="I1503" t="s">
        <v>3183</v>
      </c>
      <c r="J1503" t="s">
        <v>17</v>
      </c>
      <c r="K1503" t="s">
        <v>147</v>
      </c>
      <c r="L1503" t="s">
        <v>3184</v>
      </c>
      <c r="M1503" t="s">
        <v>671</v>
      </c>
    </row>
    <row r="1504" spans="1:13">
      <c r="A1504" t="s">
        <v>851</v>
      </c>
      <c r="B1504" t="s">
        <v>687</v>
      </c>
      <c r="C1504" t="s">
        <v>687</v>
      </c>
      <c r="D1504" t="s">
        <v>22</v>
      </c>
      <c r="E1504" t="s">
        <v>461</v>
      </c>
      <c r="F1504" t="s">
        <v>668</v>
      </c>
      <c r="G1504">
        <v>2030</v>
      </c>
      <c r="H1504" s="12">
        <v>1586.27</v>
      </c>
      <c r="I1504" t="s">
        <v>3183</v>
      </c>
      <c r="J1504" t="s">
        <v>17</v>
      </c>
      <c r="K1504" t="s">
        <v>147</v>
      </c>
      <c r="L1504" t="s">
        <v>3184</v>
      </c>
      <c r="M1504" t="s">
        <v>671</v>
      </c>
    </row>
    <row r="1505" spans="1:13">
      <c r="A1505" t="s">
        <v>851</v>
      </c>
      <c r="B1505" t="s">
        <v>687</v>
      </c>
      <c r="C1505" t="s">
        <v>687</v>
      </c>
      <c r="D1505" t="s">
        <v>22</v>
      </c>
      <c r="E1505" t="s">
        <v>461</v>
      </c>
      <c r="F1505" t="s">
        <v>668</v>
      </c>
      <c r="G1505">
        <v>2035</v>
      </c>
      <c r="H1505" s="12">
        <v>2505.44</v>
      </c>
      <c r="I1505" t="s">
        <v>3183</v>
      </c>
      <c r="J1505" t="s">
        <v>17</v>
      </c>
      <c r="K1505" t="s">
        <v>147</v>
      </c>
      <c r="L1505" t="s">
        <v>3184</v>
      </c>
      <c r="M1505" t="s">
        <v>671</v>
      </c>
    </row>
    <row r="1506" spans="1:13">
      <c r="A1506" t="s">
        <v>851</v>
      </c>
      <c r="B1506" t="s">
        <v>687</v>
      </c>
      <c r="C1506" t="s">
        <v>687</v>
      </c>
      <c r="D1506" t="s">
        <v>22</v>
      </c>
      <c r="E1506" t="s">
        <v>461</v>
      </c>
      <c r="F1506" t="s">
        <v>668</v>
      </c>
      <c r="G1506">
        <v>2040</v>
      </c>
      <c r="H1506" s="12">
        <v>3614.39</v>
      </c>
      <c r="I1506" t="s">
        <v>3183</v>
      </c>
      <c r="J1506" t="s">
        <v>17</v>
      </c>
      <c r="K1506" t="s">
        <v>147</v>
      </c>
      <c r="L1506" t="s">
        <v>3184</v>
      </c>
      <c r="M1506" t="s">
        <v>671</v>
      </c>
    </row>
    <row r="1507" spans="1:13">
      <c r="A1507" t="s">
        <v>851</v>
      </c>
      <c r="B1507" t="s">
        <v>687</v>
      </c>
      <c r="C1507" t="s">
        <v>687</v>
      </c>
      <c r="D1507" t="s">
        <v>22</v>
      </c>
      <c r="E1507" t="s">
        <v>461</v>
      </c>
      <c r="F1507" t="s">
        <v>668</v>
      </c>
      <c r="G1507">
        <v>2045</v>
      </c>
      <c r="H1507" s="12">
        <v>4625.0200000000004</v>
      </c>
      <c r="I1507" t="s">
        <v>3183</v>
      </c>
      <c r="J1507" t="s">
        <v>17</v>
      </c>
      <c r="K1507" t="s">
        <v>147</v>
      </c>
      <c r="L1507" t="s">
        <v>3184</v>
      </c>
      <c r="M1507" t="s">
        <v>671</v>
      </c>
    </row>
    <row r="1508" spans="1:13">
      <c r="A1508" t="s">
        <v>851</v>
      </c>
      <c r="B1508" t="s">
        <v>687</v>
      </c>
      <c r="C1508" t="s">
        <v>687</v>
      </c>
      <c r="D1508" t="s">
        <v>22</v>
      </c>
      <c r="E1508" t="s">
        <v>461</v>
      </c>
      <c r="F1508" t="s">
        <v>668</v>
      </c>
      <c r="G1508">
        <v>2050</v>
      </c>
      <c r="H1508" s="12">
        <v>5441.98</v>
      </c>
      <c r="I1508" t="s">
        <v>3183</v>
      </c>
      <c r="J1508" t="s">
        <v>17</v>
      </c>
      <c r="K1508" t="s">
        <v>147</v>
      </c>
      <c r="L1508" t="s">
        <v>3184</v>
      </c>
      <c r="M1508" t="s">
        <v>671</v>
      </c>
    </row>
    <row r="1509" spans="1:13">
      <c r="A1509" t="s">
        <v>851</v>
      </c>
      <c r="B1509" t="s">
        <v>686</v>
      </c>
      <c r="C1509" t="s">
        <v>686</v>
      </c>
      <c r="D1509" t="s">
        <v>22</v>
      </c>
      <c r="E1509" t="s">
        <v>461</v>
      </c>
      <c r="F1509" t="s">
        <v>668</v>
      </c>
      <c r="G1509">
        <v>2010</v>
      </c>
      <c r="H1509" s="12">
        <v>44.62</v>
      </c>
      <c r="I1509" t="s">
        <v>3183</v>
      </c>
      <c r="J1509" t="s">
        <v>18</v>
      </c>
      <c r="K1509" t="s">
        <v>147</v>
      </c>
      <c r="L1509" t="s">
        <v>3184</v>
      </c>
      <c r="M1509" t="s">
        <v>18</v>
      </c>
    </row>
    <row r="1510" spans="1:13">
      <c r="A1510" t="s">
        <v>851</v>
      </c>
      <c r="B1510" t="s">
        <v>686</v>
      </c>
      <c r="C1510" t="s">
        <v>686</v>
      </c>
      <c r="D1510" t="s">
        <v>22</v>
      </c>
      <c r="E1510" t="s">
        <v>461</v>
      </c>
      <c r="F1510" t="s">
        <v>668</v>
      </c>
      <c r="G1510">
        <v>2015</v>
      </c>
      <c r="H1510" s="12">
        <v>185.77</v>
      </c>
      <c r="I1510" t="s">
        <v>3183</v>
      </c>
      <c r="J1510" t="s">
        <v>18</v>
      </c>
      <c r="K1510" t="s">
        <v>147</v>
      </c>
      <c r="L1510" t="s">
        <v>3184</v>
      </c>
      <c r="M1510" t="s">
        <v>18</v>
      </c>
    </row>
    <row r="1511" spans="1:13">
      <c r="A1511" t="s">
        <v>851</v>
      </c>
      <c r="B1511" t="s">
        <v>686</v>
      </c>
      <c r="C1511" t="s">
        <v>686</v>
      </c>
      <c r="D1511" t="s">
        <v>22</v>
      </c>
      <c r="E1511" t="s">
        <v>461</v>
      </c>
      <c r="F1511" t="s">
        <v>668</v>
      </c>
      <c r="G1511">
        <v>2020</v>
      </c>
      <c r="H1511" s="12">
        <v>466.48</v>
      </c>
      <c r="I1511" t="s">
        <v>3183</v>
      </c>
      <c r="J1511" t="s">
        <v>18</v>
      </c>
      <c r="K1511" t="s">
        <v>147</v>
      </c>
      <c r="L1511" t="s">
        <v>3184</v>
      </c>
      <c r="M1511" t="s">
        <v>18</v>
      </c>
    </row>
    <row r="1512" spans="1:13">
      <c r="A1512" t="s">
        <v>851</v>
      </c>
      <c r="B1512" t="s">
        <v>686</v>
      </c>
      <c r="C1512" t="s">
        <v>686</v>
      </c>
      <c r="D1512" t="s">
        <v>22</v>
      </c>
      <c r="E1512" t="s">
        <v>461</v>
      </c>
      <c r="F1512" t="s">
        <v>668</v>
      </c>
      <c r="G1512">
        <v>2030</v>
      </c>
      <c r="H1512" s="12">
        <v>1542.5</v>
      </c>
      <c r="I1512" t="s">
        <v>3183</v>
      </c>
      <c r="J1512" t="s">
        <v>18</v>
      </c>
      <c r="K1512" t="s">
        <v>147</v>
      </c>
      <c r="L1512" t="s">
        <v>3184</v>
      </c>
      <c r="M1512" t="s">
        <v>18</v>
      </c>
    </row>
    <row r="1513" spans="1:13">
      <c r="A1513" t="s">
        <v>851</v>
      </c>
      <c r="B1513" t="s">
        <v>686</v>
      </c>
      <c r="C1513" t="s">
        <v>686</v>
      </c>
      <c r="D1513" t="s">
        <v>22</v>
      </c>
      <c r="E1513" t="s">
        <v>461</v>
      </c>
      <c r="F1513" t="s">
        <v>668</v>
      </c>
      <c r="G1513">
        <v>2035</v>
      </c>
      <c r="H1513" s="12">
        <v>2017.06</v>
      </c>
      <c r="I1513" t="s">
        <v>3183</v>
      </c>
      <c r="J1513" t="s">
        <v>18</v>
      </c>
      <c r="K1513" t="s">
        <v>147</v>
      </c>
      <c r="L1513" t="s">
        <v>3184</v>
      </c>
      <c r="M1513" t="s">
        <v>18</v>
      </c>
    </row>
    <row r="1514" spans="1:13">
      <c r="A1514" t="s">
        <v>851</v>
      </c>
      <c r="B1514" t="s">
        <v>686</v>
      </c>
      <c r="C1514" t="s">
        <v>686</v>
      </c>
      <c r="D1514" t="s">
        <v>22</v>
      </c>
      <c r="E1514" t="s">
        <v>461</v>
      </c>
      <c r="F1514" t="s">
        <v>668</v>
      </c>
      <c r="G1514">
        <v>2040</v>
      </c>
      <c r="H1514" s="12">
        <v>2467.9899999999998</v>
      </c>
      <c r="I1514" t="s">
        <v>3183</v>
      </c>
      <c r="J1514" t="s">
        <v>18</v>
      </c>
      <c r="K1514" t="s">
        <v>147</v>
      </c>
      <c r="L1514" t="s">
        <v>3184</v>
      </c>
      <c r="M1514" t="s">
        <v>18</v>
      </c>
    </row>
    <row r="1515" spans="1:13">
      <c r="A1515" t="s">
        <v>851</v>
      </c>
      <c r="B1515" t="s">
        <v>686</v>
      </c>
      <c r="C1515" t="s">
        <v>686</v>
      </c>
      <c r="D1515" t="s">
        <v>22</v>
      </c>
      <c r="E1515" t="s">
        <v>461</v>
      </c>
      <c r="F1515" t="s">
        <v>668</v>
      </c>
      <c r="G1515">
        <v>2045</v>
      </c>
      <c r="H1515" s="12">
        <v>2923.73</v>
      </c>
      <c r="I1515" t="s">
        <v>3183</v>
      </c>
      <c r="J1515" t="s">
        <v>18</v>
      </c>
      <c r="K1515" t="s">
        <v>147</v>
      </c>
      <c r="L1515" t="s">
        <v>3184</v>
      </c>
      <c r="M1515" t="s">
        <v>18</v>
      </c>
    </row>
    <row r="1516" spans="1:13">
      <c r="A1516" t="s">
        <v>851</v>
      </c>
      <c r="B1516" t="s">
        <v>686</v>
      </c>
      <c r="C1516" t="s">
        <v>686</v>
      </c>
      <c r="D1516" t="s">
        <v>22</v>
      </c>
      <c r="E1516" t="s">
        <v>461</v>
      </c>
      <c r="F1516" t="s">
        <v>668</v>
      </c>
      <c r="G1516">
        <v>2050</v>
      </c>
      <c r="H1516" s="12">
        <v>3312.25</v>
      </c>
      <c r="I1516" t="s">
        <v>3183</v>
      </c>
      <c r="J1516" t="s">
        <v>18</v>
      </c>
      <c r="K1516" t="s">
        <v>147</v>
      </c>
      <c r="L1516" t="s">
        <v>3184</v>
      </c>
      <c r="M1516" t="s">
        <v>18</v>
      </c>
    </row>
    <row r="1517" spans="1:13">
      <c r="A1517" t="s">
        <v>851</v>
      </c>
      <c r="B1517" t="s">
        <v>687</v>
      </c>
      <c r="C1517" t="s">
        <v>687</v>
      </c>
      <c r="D1517" t="s">
        <v>22</v>
      </c>
      <c r="E1517" t="s">
        <v>461</v>
      </c>
      <c r="F1517" t="s">
        <v>668</v>
      </c>
      <c r="G1517">
        <v>2030</v>
      </c>
      <c r="H1517" s="12">
        <v>1577.19</v>
      </c>
      <c r="I1517" t="s">
        <v>3183</v>
      </c>
      <c r="J1517" t="s">
        <v>18</v>
      </c>
      <c r="K1517" t="s">
        <v>147</v>
      </c>
      <c r="L1517" t="s">
        <v>3184</v>
      </c>
      <c r="M1517" t="s">
        <v>18</v>
      </c>
    </row>
    <row r="1518" spans="1:13">
      <c r="A1518" t="s">
        <v>851</v>
      </c>
      <c r="B1518" t="s">
        <v>687</v>
      </c>
      <c r="C1518" t="s">
        <v>687</v>
      </c>
      <c r="D1518" t="s">
        <v>22</v>
      </c>
      <c r="E1518" t="s">
        <v>461</v>
      </c>
      <c r="F1518" t="s">
        <v>668</v>
      </c>
      <c r="G1518">
        <v>2035</v>
      </c>
      <c r="H1518" s="12">
        <v>2155.98</v>
      </c>
      <c r="I1518" t="s">
        <v>3183</v>
      </c>
      <c r="J1518" t="s">
        <v>18</v>
      </c>
      <c r="K1518" t="s">
        <v>147</v>
      </c>
      <c r="L1518" t="s">
        <v>3184</v>
      </c>
      <c r="M1518" t="s">
        <v>18</v>
      </c>
    </row>
    <row r="1519" spans="1:13">
      <c r="A1519" t="s">
        <v>851</v>
      </c>
      <c r="B1519" t="s">
        <v>687</v>
      </c>
      <c r="C1519" t="s">
        <v>687</v>
      </c>
      <c r="D1519" t="s">
        <v>22</v>
      </c>
      <c r="E1519" t="s">
        <v>461</v>
      </c>
      <c r="F1519" t="s">
        <v>668</v>
      </c>
      <c r="G1519">
        <v>2040</v>
      </c>
      <c r="H1519" s="12">
        <v>2871.33</v>
      </c>
      <c r="I1519" t="s">
        <v>3183</v>
      </c>
      <c r="J1519" t="s">
        <v>18</v>
      </c>
      <c r="K1519" t="s">
        <v>147</v>
      </c>
      <c r="L1519" t="s">
        <v>3184</v>
      </c>
      <c r="M1519" t="s">
        <v>18</v>
      </c>
    </row>
    <row r="1520" spans="1:13">
      <c r="A1520" t="s">
        <v>851</v>
      </c>
      <c r="B1520" t="s">
        <v>687</v>
      </c>
      <c r="C1520" t="s">
        <v>687</v>
      </c>
      <c r="D1520" t="s">
        <v>22</v>
      </c>
      <c r="E1520" t="s">
        <v>461</v>
      </c>
      <c r="F1520" t="s">
        <v>668</v>
      </c>
      <c r="G1520">
        <v>2045</v>
      </c>
      <c r="H1520" s="12">
        <v>3618.77</v>
      </c>
      <c r="I1520" t="s">
        <v>3183</v>
      </c>
      <c r="J1520" t="s">
        <v>18</v>
      </c>
      <c r="K1520" t="s">
        <v>147</v>
      </c>
      <c r="L1520" t="s">
        <v>3184</v>
      </c>
      <c r="M1520" t="s">
        <v>18</v>
      </c>
    </row>
    <row r="1521" spans="1:13">
      <c r="A1521" t="s">
        <v>851</v>
      </c>
      <c r="B1521" t="s">
        <v>687</v>
      </c>
      <c r="C1521" t="s">
        <v>687</v>
      </c>
      <c r="D1521" t="s">
        <v>22</v>
      </c>
      <c r="E1521" t="s">
        <v>461</v>
      </c>
      <c r="F1521" t="s">
        <v>668</v>
      </c>
      <c r="G1521">
        <v>2050</v>
      </c>
      <c r="H1521" s="12">
        <v>4344.68</v>
      </c>
      <c r="I1521" t="s">
        <v>3183</v>
      </c>
      <c r="J1521" t="s">
        <v>18</v>
      </c>
      <c r="K1521" t="s">
        <v>147</v>
      </c>
      <c r="L1521" t="s">
        <v>3184</v>
      </c>
      <c r="M1521" t="s">
        <v>18</v>
      </c>
    </row>
    <row r="1522" spans="1:13">
      <c r="A1522" t="s">
        <v>851</v>
      </c>
      <c r="B1522" t="s">
        <v>686</v>
      </c>
      <c r="C1522" t="s">
        <v>686</v>
      </c>
      <c r="D1522" t="s">
        <v>22</v>
      </c>
      <c r="E1522" t="s">
        <v>461</v>
      </c>
      <c r="F1522" t="s">
        <v>668</v>
      </c>
      <c r="G1522">
        <v>2010</v>
      </c>
      <c r="H1522" s="12">
        <v>711.38</v>
      </c>
      <c r="I1522" t="s">
        <v>3183</v>
      </c>
      <c r="J1522" t="s">
        <v>14</v>
      </c>
      <c r="K1522" t="s">
        <v>147</v>
      </c>
      <c r="L1522" t="s">
        <v>3184</v>
      </c>
      <c r="M1522" t="s">
        <v>14</v>
      </c>
    </row>
    <row r="1523" spans="1:13">
      <c r="A1523" t="s">
        <v>851</v>
      </c>
      <c r="B1523" t="s">
        <v>686</v>
      </c>
      <c r="C1523" t="s">
        <v>686</v>
      </c>
      <c r="D1523" t="s">
        <v>22</v>
      </c>
      <c r="E1523" t="s">
        <v>461</v>
      </c>
      <c r="F1523" t="s">
        <v>668</v>
      </c>
      <c r="G1523">
        <v>2015</v>
      </c>
      <c r="H1523" s="12">
        <v>1114.47</v>
      </c>
      <c r="I1523" t="s">
        <v>3183</v>
      </c>
      <c r="J1523" t="s">
        <v>14</v>
      </c>
      <c r="K1523" t="s">
        <v>147</v>
      </c>
      <c r="L1523" t="s">
        <v>3184</v>
      </c>
      <c r="M1523" t="s">
        <v>14</v>
      </c>
    </row>
    <row r="1524" spans="1:13">
      <c r="A1524" t="s">
        <v>851</v>
      </c>
      <c r="B1524" t="s">
        <v>686</v>
      </c>
      <c r="C1524" t="s">
        <v>686</v>
      </c>
      <c r="D1524" t="s">
        <v>22</v>
      </c>
      <c r="E1524" t="s">
        <v>461</v>
      </c>
      <c r="F1524" t="s">
        <v>668</v>
      </c>
      <c r="G1524">
        <v>2020</v>
      </c>
      <c r="H1524" s="12">
        <v>1321.76</v>
      </c>
      <c r="I1524" t="s">
        <v>3183</v>
      </c>
      <c r="J1524" t="s">
        <v>14</v>
      </c>
      <c r="K1524" t="s">
        <v>147</v>
      </c>
      <c r="L1524" t="s">
        <v>3184</v>
      </c>
      <c r="M1524" t="s">
        <v>14</v>
      </c>
    </row>
    <row r="1525" spans="1:13">
      <c r="A1525" t="s">
        <v>851</v>
      </c>
      <c r="B1525" t="s">
        <v>686</v>
      </c>
      <c r="C1525" t="s">
        <v>686</v>
      </c>
      <c r="D1525" t="s">
        <v>22</v>
      </c>
      <c r="E1525" t="s">
        <v>461</v>
      </c>
      <c r="F1525" t="s">
        <v>668</v>
      </c>
      <c r="G1525">
        <v>2030</v>
      </c>
      <c r="H1525" s="12">
        <v>1488.63</v>
      </c>
      <c r="I1525" t="s">
        <v>3183</v>
      </c>
      <c r="J1525" t="s">
        <v>14</v>
      </c>
      <c r="K1525" t="s">
        <v>147</v>
      </c>
      <c r="L1525" t="s">
        <v>3184</v>
      </c>
      <c r="M1525" t="s">
        <v>14</v>
      </c>
    </row>
    <row r="1526" spans="1:13">
      <c r="A1526" t="s">
        <v>851</v>
      </c>
      <c r="B1526" t="s">
        <v>686</v>
      </c>
      <c r="C1526" t="s">
        <v>686</v>
      </c>
      <c r="D1526" t="s">
        <v>22</v>
      </c>
      <c r="E1526" t="s">
        <v>461</v>
      </c>
      <c r="F1526" t="s">
        <v>668</v>
      </c>
      <c r="G1526">
        <v>2035</v>
      </c>
      <c r="H1526" s="12">
        <v>1551.85</v>
      </c>
      <c r="I1526" t="s">
        <v>3183</v>
      </c>
      <c r="J1526" t="s">
        <v>14</v>
      </c>
      <c r="K1526" t="s">
        <v>147</v>
      </c>
      <c r="L1526" t="s">
        <v>3184</v>
      </c>
      <c r="M1526" t="s">
        <v>14</v>
      </c>
    </row>
    <row r="1527" spans="1:13">
      <c r="A1527" t="s">
        <v>851</v>
      </c>
      <c r="B1527" t="s">
        <v>686</v>
      </c>
      <c r="C1527" t="s">
        <v>686</v>
      </c>
      <c r="D1527" t="s">
        <v>22</v>
      </c>
      <c r="E1527" t="s">
        <v>461</v>
      </c>
      <c r="F1527" t="s">
        <v>668</v>
      </c>
      <c r="G1527">
        <v>2040</v>
      </c>
      <c r="H1527" s="12">
        <v>1630.42</v>
      </c>
      <c r="I1527" t="s">
        <v>3183</v>
      </c>
      <c r="J1527" t="s">
        <v>14</v>
      </c>
      <c r="K1527" t="s">
        <v>147</v>
      </c>
      <c r="L1527" t="s">
        <v>3184</v>
      </c>
      <c r="M1527" t="s">
        <v>14</v>
      </c>
    </row>
    <row r="1528" spans="1:13">
      <c r="A1528" t="s">
        <v>851</v>
      </c>
      <c r="B1528" t="s">
        <v>686</v>
      </c>
      <c r="C1528" t="s">
        <v>686</v>
      </c>
      <c r="D1528" t="s">
        <v>22</v>
      </c>
      <c r="E1528" t="s">
        <v>461</v>
      </c>
      <c r="F1528" t="s">
        <v>668</v>
      </c>
      <c r="G1528">
        <v>2045</v>
      </c>
      <c r="H1528" s="12">
        <v>1692.11</v>
      </c>
      <c r="I1528" t="s">
        <v>3183</v>
      </c>
      <c r="J1528" t="s">
        <v>14</v>
      </c>
      <c r="K1528" t="s">
        <v>147</v>
      </c>
      <c r="L1528" t="s">
        <v>3184</v>
      </c>
      <c r="M1528" t="s">
        <v>14</v>
      </c>
    </row>
    <row r="1529" spans="1:13">
      <c r="A1529" t="s">
        <v>851</v>
      </c>
      <c r="B1529" t="s">
        <v>686</v>
      </c>
      <c r="C1529" t="s">
        <v>686</v>
      </c>
      <c r="D1529" t="s">
        <v>22</v>
      </c>
      <c r="E1529" t="s">
        <v>461</v>
      </c>
      <c r="F1529" t="s">
        <v>668</v>
      </c>
      <c r="G1529">
        <v>2050</v>
      </c>
      <c r="H1529" s="12">
        <v>1738.49</v>
      </c>
      <c r="I1529" t="s">
        <v>3183</v>
      </c>
      <c r="J1529" t="s">
        <v>14</v>
      </c>
      <c r="K1529" t="s">
        <v>147</v>
      </c>
      <c r="L1529" t="s">
        <v>3184</v>
      </c>
      <c r="M1529" t="s">
        <v>14</v>
      </c>
    </row>
    <row r="1530" spans="1:13">
      <c r="A1530" t="s">
        <v>851</v>
      </c>
      <c r="B1530" t="s">
        <v>687</v>
      </c>
      <c r="C1530" t="s">
        <v>687</v>
      </c>
      <c r="D1530" t="s">
        <v>22</v>
      </c>
      <c r="E1530" t="s">
        <v>461</v>
      </c>
      <c r="F1530" t="s">
        <v>668</v>
      </c>
      <c r="G1530">
        <v>2030</v>
      </c>
      <c r="H1530" s="12">
        <v>1467.72</v>
      </c>
      <c r="I1530" t="s">
        <v>3183</v>
      </c>
      <c r="J1530" t="s">
        <v>14</v>
      </c>
      <c r="K1530" t="s">
        <v>147</v>
      </c>
      <c r="L1530" t="s">
        <v>3184</v>
      </c>
      <c r="M1530" t="s">
        <v>14</v>
      </c>
    </row>
    <row r="1531" spans="1:13">
      <c r="A1531" t="s">
        <v>851</v>
      </c>
      <c r="B1531" t="s">
        <v>687</v>
      </c>
      <c r="C1531" t="s">
        <v>687</v>
      </c>
      <c r="D1531" t="s">
        <v>22</v>
      </c>
      <c r="E1531" t="s">
        <v>461</v>
      </c>
      <c r="F1531" t="s">
        <v>668</v>
      </c>
      <c r="G1531">
        <v>2035</v>
      </c>
      <c r="H1531" s="12">
        <v>1574.84</v>
      </c>
      <c r="I1531" t="s">
        <v>3183</v>
      </c>
      <c r="J1531" t="s">
        <v>14</v>
      </c>
      <c r="K1531" t="s">
        <v>147</v>
      </c>
      <c r="L1531" t="s">
        <v>3184</v>
      </c>
      <c r="M1531" t="s">
        <v>14</v>
      </c>
    </row>
    <row r="1532" spans="1:13">
      <c r="A1532" t="s">
        <v>851</v>
      </c>
      <c r="B1532" t="s">
        <v>687</v>
      </c>
      <c r="C1532" t="s">
        <v>687</v>
      </c>
      <c r="D1532" t="s">
        <v>22</v>
      </c>
      <c r="E1532" t="s">
        <v>461</v>
      </c>
      <c r="F1532" t="s">
        <v>668</v>
      </c>
      <c r="G1532">
        <v>2040</v>
      </c>
      <c r="H1532" s="12">
        <v>1671.35</v>
      </c>
      <c r="I1532" t="s">
        <v>3183</v>
      </c>
      <c r="J1532" t="s">
        <v>14</v>
      </c>
      <c r="K1532" t="s">
        <v>147</v>
      </c>
      <c r="L1532" t="s">
        <v>3184</v>
      </c>
      <c r="M1532" t="s">
        <v>14</v>
      </c>
    </row>
    <row r="1533" spans="1:13">
      <c r="A1533" t="s">
        <v>851</v>
      </c>
      <c r="B1533" t="s">
        <v>687</v>
      </c>
      <c r="C1533" t="s">
        <v>687</v>
      </c>
      <c r="D1533" t="s">
        <v>22</v>
      </c>
      <c r="E1533" t="s">
        <v>461</v>
      </c>
      <c r="F1533" t="s">
        <v>668</v>
      </c>
      <c r="G1533">
        <v>2045</v>
      </c>
      <c r="H1533" s="12">
        <v>1740.76</v>
      </c>
      <c r="I1533" t="s">
        <v>3183</v>
      </c>
      <c r="J1533" t="s">
        <v>14</v>
      </c>
      <c r="K1533" t="s">
        <v>147</v>
      </c>
      <c r="L1533" t="s">
        <v>3184</v>
      </c>
      <c r="M1533" t="s">
        <v>14</v>
      </c>
    </row>
    <row r="1534" spans="1:13">
      <c r="A1534" t="s">
        <v>851</v>
      </c>
      <c r="B1534" t="s">
        <v>687</v>
      </c>
      <c r="C1534" t="s">
        <v>687</v>
      </c>
      <c r="D1534" t="s">
        <v>22</v>
      </c>
      <c r="E1534" t="s">
        <v>461</v>
      </c>
      <c r="F1534" t="s">
        <v>668</v>
      </c>
      <c r="G1534">
        <v>2050</v>
      </c>
      <c r="H1534" s="12">
        <v>1793.39</v>
      </c>
      <c r="I1534" t="s">
        <v>3183</v>
      </c>
      <c r="J1534" t="s">
        <v>14</v>
      </c>
      <c r="K1534" t="s">
        <v>147</v>
      </c>
      <c r="L1534" t="s">
        <v>3184</v>
      </c>
      <c r="M1534" t="s">
        <v>14</v>
      </c>
    </row>
    <row r="1535" spans="1:13">
      <c r="A1535" t="s">
        <v>851</v>
      </c>
      <c r="B1535" t="s">
        <v>686</v>
      </c>
      <c r="C1535" t="s">
        <v>686</v>
      </c>
      <c r="D1535" t="s">
        <v>22</v>
      </c>
      <c r="E1535" t="s">
        <v>461</v>
      </c>
      <c r="F1535" t="s">
        <v>668</v>
      </c>
      <c r="G1535">
        <v>2010</v>
      </c>
      <c r="H1535" s="12">
        <v>33.9</v>
      </c>
      <c r="I1535" t="s">
        <v>3183</v>
      </c>
      <c r="J1535" t="s">
        <v>41</v>
      </c>
      <c r="K1535" t="s">
        <v>147</v>
      </c>
      <c r="L1535" t="s">
        <v>3184</v>
      </c>
      <c r="M1535" t="s">
        <v>669</v>
      </c>
    </row>
    <row r="1536" spans="1:13">
      <c r="A1536" t="s">
        <v>851</v>
      </c>
      <c r="B1536" t="s">
        <v>686</v>
      </c>
      <c r="C1536" t="s">
        <v>686</v>
      </c>
      <c r="D1536" t="s">
        <v>22</v>
      </c>
      <c r="E1536" t="s">
        <v>461</v>
      </c>
      <c r="F1536" t="s">
        <v>668</v>
      </c>
      <c r="G1536">
        <v>2015</v>
      </c>
      <c r="H1536" s="12">
        <v>63.81</v>
      </c>
      <c r="I1536" t="s">
        <v>3183</v>
      </c>
      <c r="J1536" t="s">
        <v>41</v>
      </c>
      <c r="K1536" t="s">
        <v>147</v>
      </c>
      <c r="L1536" t="s">
        <v>3184</v>
      </c>
      <c r="M1536" t="s">
        <v>669</v>
      </c>
    </row>
    <row r="1537" spans="1:13">
      <c r="A1537" t="s">
        <v>851</v>
      </c>
      <c r="B1537" t="s">
        <v>686</v>
      </c>
      <c r="C1537" t="s">
        <v>686</v>
      </c>
      <c r="D1537" t="s">
        <v>22</v>
      </c>
      <c r="E1537" t="s">
        <v>461</v>
      </c>
      <c r="F1537" t="s">
        <v>668</v>
      </c>
      <c r="G1537">
        <v>2020</v>
      </c>
      <c r="H1537" s="12">
        <v>141.57</v>
      </c>
      <c r="I1537" t="s">
        <v>3183</v>
      </c>
      <c r="J1537" t="s">
        <v>41</v>
      </c>
      <c r="K1537" t="s">
        <v>147</v>
      </c>
      <c r="L1537" t="s">
        <v>3184</v>
      </c>
      <c r="M1537" t="s">
        <v>669</v>
      </c>
    </row>
    <row r="1538" spans="1:13">
      <c r="A1538" t="s">
        <v>851</v>
      </c>
      <c r="B1538" t="s">
        <v>686</v>
      </c>
      <c r="C1538" t="s">
        <v>686</v>
      </c>
      <c r="D1538" t="s">
        <v>22</v>
      </c>
      <c r="E1538" t="s">
        <v>461</v>
      </c>
      <c r="F1538" t="s">
        <v>668</v>
      </c>
      <c r="G1538">
        <v>2030</v>
      </c>
      <c r="H1538" s="12">
        <v>385.4</v>
      </c>
      <c r="I1538" t="s">
        <v>3183</v>
      </c>
      <c r="J1538" t="s">
        <v>41</v>
      </c>
      <c r="K1538" t="s">
        <v>147</v>
      </c>
      <c r="L1538" t="s">
        <v>3184</v>
      </c>
      <c r="M1538" t="s">
        <v>669</v>
      </c>
    </row>
    <row r="1539" spans="1:13">
      <c r="A1539" t="s">
        <v>851</v>
      </c>
      <c r="B1539" t="s">
        <v>686</v>
      </c>
      <c r="C1539" t="s">
        <v>686</v>
      </c>
      <c r="D1539" t="s">
        <v>22</v>
      </c>
      <c r="E1539" t="s">
        <v>461</v>
      </c>
      <c r="F1539" t="s">
        <v>668</v>
      </c>
      <c r="G1539">
        <v>2045</v>
      </c>
      <c r="H1539" s="12">
        <v>1114.6500000000001</v>
      </c>
      <c r="I1539" t="s">
        <v>3183</v>
      </c>
      <c r="J1539" t="s">
        <v>15</v>
      </c>
      <c r="K1539" t="s">
        <v>147</v>
      </c>
      <c r="L1539" t="s">
        <v>3184</v>
      </c>
      <c r="M1539" t="s">
        <v>15</v>
      </c>
    </row>
    <row r="1540" spans="1:13">
      <c r="A1540" t="s">
        <v>851</v>
      </c>
      <c r="B1540" t="s">
        <v>686</v>
      </c>
      <c r="C1540" t="s">
        <v>686</v>
      </c>
      <c r="D1540" t="s">
        <v>22</v>
      </c>
      <c r="E1540" t="s">
        <v>461</v>
      </c>
      <c r="F1540" t="s">
        <v>668</v>
      </c>
      <c r="G1540">
        <v>2050</v>
      </c>
      <c r="H1540" s="12">
        <v>1209.06</v>
      </c>
      <c r="I1540" t="s">
        <v>3183</v>
      </c>
      <c r="J1540" t="s">
        <v>15</v>
      </c>
      <c r="K1540" t="s">
        <v>147</v>
      </c>
      <c r="L1540" t="s">
        <v>3184</v>
      </c>
      <c r="M1540" t="s">
        <v>15</v>
      </c>
    </row>
    <row r="1541" spans="1:13">
      <c r="A1541" t="s">
        <v>851</v>
      </c>
      <c r="B1541" t="s">
        <v>687</v>
      </c>
      <c r="C1541" t="s">
        <v>687</v>
      </c>
      <c r="D1541" t="s">
        <v>22</v>
      </c>
      <c r="E1541" t="s">
        <v>461</v>
      </c>
      <c r="F1541" t="s">
        <v>668</v>
      </c>
      <c r="G1541">
        <v>2030</v>
      </c>
      <c r="H1541" s="12">
        <v>718.36</v>
      </c>
      <c r="I1541" t="s">
        <v>3183</v>
      </c>
      <c r="J1541" t="s">
        <v>15</v>
      </c>
      <c r="K1541" t="s">
        <v>147</v>
      </c>
      <c r="L1541" t="s">
        <v>3184</v>
      </c>
      <c r="M1541" t="s">
        <v>15</v>
      </c>
    </row>
    <row r="1542" spans="1:13">
      <c r="A1542" t="s">
        <v>851</v>
      </c>
      <c r="B1542" t="s">
        <v>687</v>
      </c>
      <c r="C1542" t="s">
        <v>687</v>
      </c>
      <c r="D1542" t="s">
        <v>22</v>
      </c>
      <c r="E1542" t="s">
        <v>461</v>
      </c>
      <c r="F1542" t="s">
        <v>668</v>
      </c>
      <c r="G1542">
        <v>2035</v>
      </c>
      <c r="H1542" s="12">
        <v>940.65</v>
      </c>
      <c r="I1542" t="s">
        <v>3183</v>
      </c>
      <c r="J1542" t="s">
        <v>15</v>
      </c>
      <c r="K1542" t="s">
        <v>147</v>
      </c>
      <c r="L1542" t="s">
        <v>3184</v>
      </c>
      <c r="M1542" t="s">
        <v>15</v>
      </c>
    </row>
    <row r="1543" spans="1:13">
      <c r="A1543" t="s">
        <v>851</v>
      </c>
      <c r="B1543" t="s">
        <v>687</v>
      </c>
      <c r="C1543" t="s">
        <v>687</v>
      </c>
      <c r="D1543" t="s">
        <v>22</v>
      </c>
      <c r="E1543" t="s">
        <v>461</v>
      </c>
      <c r="F1543" t="s">
        <v>668</v>
      </c>
      <c r="G1543">
        <v>2040</v>
      </c>
      <c r="H1543" s="12">
        <v>1183.5</v>
      </c>
      <c r="I1543" t="s">
        <v>3183</v>
      </c>
      <c r="J1543" t="s">
        <v>15</v>
      </c>
      <c r="K1543" t="s">
        <v>147</v>
      </c>
      <c r="L1543" t="s">
        <v>3184</v>
      </c>
      <c r="M1543" t="s">
        <v>15</v>
      </c>
    </row>
    <row r="1544" spans="1:13">
      <c r="A1544" t="s">
        <v>851</v>
      </c>
      <c r="B1544" t="s">
        <v>687</v>
      </c>
      <c r="C1544" t="s">
        <v>687</v>
      </c>
      <c r="D1544" t="s">
        <v>22</v>
      </c>
      <c r="E1544" t="s">
        <v>461</v>
      </c>
      <c r="F1544" t="s">
        <v>668</v>
      </c>
      <c r="G1544">
        <v>2045</v>
      </c>
      <c r="H1544" s="12">
        <v>1328.98</v>
      </c>
      <c r="I1544" t="s">
        <v>3183</v>
      </c>
      <c r="J1544" t="s">
        <v>15</v>
      </c>
      <c r="K1544" t="s">
        <v>147</v>
      </c>
      <c r="L1544" t="s">
        <v>3184</v>
      </c>
      <c r="M1544" t="s">
        <v>15</v>
      </c>
    </row>
    <row r="1545" spans="1:13">
      <c r="A1545" t="s">
        <v>851</v>
      </c>
      <c r="B1545" t="s">
        <v>687</v>
      </c>
      <c r="C1545" t="s">
        <v>687</v>
      </c>
      <c r="D1545" t="s">
        <v>22</v>
      </c>
      <c r="E1545" t="s">
        <v>461</v>
      </c>
      <c r="F1545" t="s">
        <v>668</v>
      </c>
      <c r="G1545">
        <v>2050</v>
      </c>
      <c r="H1545" s="12">
        <v>1493.59</v>
      </c>
      <c r="I1545" t="s">
        <v>3183</v>
      </c>
      <c r="J1545" t="s">
        <v>15</v>
      </c>
      <c r="K1545" t="s">
        <v>147</v>
      </c>
      <c r="L1545" t="s">
        <v>3184</v>
      </c>
      <c r="M1545" t="s">
        <v>15</v>
      </c>
    </row>
    <row r="1546" spans="1:13">
      <c r="A1546" t="s">
        <v>851</v>
      </c>
      <c r="B1546" t="s">
        <v>686</v>
      </c>
      <c r="C1546" t="s">
        <v>686</v>
      </c>
      <c r="D1546" t="s">
        <v>22</v>
      </c>
      <c r="E1546" t="s">
        <v>461</v>
      </c>
      <c r="F1546" t="s">
        <v>668</v>
      </c>
      <c r="G1546">
        <v>2010</v>
      </c>
      <c r="H1546" s="12">
        <v>0</v>
      </c>
      <c r="I1546" t="s">
        <v>3183</v>
      </c>
      <c r="J1546" t="s">
        <v>8</v>
      </c>
      <c r="K1546" t="s">
        <v>147</v>
      </c>
      <c r="L1546" t="s">
        <v>3184</v>
      </c>
      <c r="M1546" t="s">
        <v>670</v>
      </c>
    </row>
    <row r="1547" spans="1:13">
      <c r="A1547" t="s">
        <v>851</v>
      </c>
      <c r="B1547" t="s">
        <v>686</v>
      </c>
      <c r="C1547" t="s">
        <v>686</v>
      </c>
      <c r="D1547" t="s">
        <v>22</v>
      </c>
      <c r="E1547" t="s">
        <v>461</v>
      </c>
      <c r="F1547" t="s">
        <v>668</v>
      </c>
      <c r="G1547">
        <v>2015</v>
      </c>
      <c r="H1547" s="12">
        <v>0</v>
      </c>
      <c r="I1547" t="s">
        <v>3183</v>
      </c>
      <c r="J1547" t="s">
        <v>8</v>
      </c>
      <c r="K1547" t="s">
        <v>147</v>
      </c>
      <c r="L1547" t="s">
        <v>3184</v>
      </c>
      <c r="M1547" t="s">
        <v>670</v>
      </c>
    </row>
    <row r="1548" spans="1:13">
      <c r="A1548" t="s">
        <v>851</v>
      </c>
      <c r="B1548" t="s">
        <v>686</v>
      </c>
      <c r="C1548" t="s">
        <v>686</v>
      </c>
      <c r="D1548" t="s">
        <v>22</v>
      </c>
      <c r="E1548" t="s">
        <v>461</v>
      </c>
      <c r="F1548" t="s">
        <v>668</v>
      </c>
      <c r="G1548">
        <v>2020</v>
      </c>
      <c r="H1548" s="12">
        <v>0</v>
      </c>
      <c r="I1548" t="s">
        <v>3183</v>
      </c>
      <c r="J1548" t="s">
        <v>8</v>
      </c>
      <c r="K1548" t="s">
        <v>147</v>
      </c>
      <c r="L1548" t="s">
        <v>3184</v>
      </c>
      <c r="M1548" t="s">
        <v>670</v>
      </c>
    </row>
    <row r="1549" spans="1:13">
      <c r="A1549" t="s">
        <v>851</v>
      </c>
      <c r="B1549" t="s">
        <v>686</v>
      </c>
      <c r="C1549" t="s">
        <v>686</v>
      </c>
      <c r="D1549" t="s">
        <v>22</v>
      </c>
      <c r="E1549" t="s">
        <v>461</v>
      </c>
      <c r="F1549" t="s">
        <v>668</v>
      </c>
      <c r="G1549">
        <v>2030</v>
      </c>
      <c r="H1549" s="12">
        <v>0</v>
      </c>
      <c r="I1549" t="s">
        <v>3183</v>
      </c>
      <c r="J1549" t="s">
        <v>8</v>
      </c>
      <c r="K1549" t="s">
        <v>147</v>
      </c>
      <c r="L1549" t="s">
        <v>3184</v>
      </c>
      <c r="M1549" t="s">
        <v>670</v>
      </c>
    </row>
    <row r="1550" spans="1:13">
      <c r="A1550" t="s">
        <v>851</v>
      </c>
      <c r="B1550" t="s">
        <v>686</v>
      </c>
      <c r="C1550" t="s">
        <v>686</v>
      </c>
      <c r="D1550" t="s">
        <v>22</v>
      </c>
      <c r="E1550" t="s">
        <v>461</v>
      </c>
      <c r="F1550" t="s">
        <v>668</v>
      </c>
      <c r="G1550">
        <v>2035</v>
      </c>
      <c r="H1550" s="12">
        <v>0</v>
      </c>
      <c r="I1550" t="s">
        <v>3183</v>
      </c>
      <c r="J1550" t="s">
        <v>8</v>
      </c>
      <c r="K1550" t="s">
        <v>147</v>
      </c>
      <c r="L1550" t="s">
        <v>3184</v>
      </c>
      <c r="M1550" t="s">
        <v>670</v>
      </c>
    </row>
    <row r="1551" spans="1:13">
      <c r="A1551" t="s">
        <v>851</v>
      </c>
      <c r="B1551" t="s">
        <v>686</v>
      </c>
      <c r="C1551" t="s">
        <v>686</v>
      </c>
      <c r="D1551" t="s">
        <v>22</v>
      </c>
      <c r="E1551" t="s">
        <v>461</v>
      </c>
      <c r="F1551" t="s">
        <v>668</v>
      </c>
      <c r="G1551">
        <v>2040</v>
      </c>
      <c r="H1551" s="12">
        <v>0</v>
      </c>
      <c r="I1551" t="s">
        <v>3183</v>
      </c>
      <c r="J1551" t="s">
        <v>8</v>
      </c>
      <c r="K1551" t="s">
        <v>147</v>
      </c>
      <c r="L1551" t="s">
        <v>3184</v>
      </c>
      <c r="M1551" t="s">
        <v>670</v>
      </c>
    </row>
    <row r="1552" spans="1:13">
      <c r="A1552" t="s">
        <v>851</v>
      </c>
      <c r="B1552" t="s">
        <v>686</v>
      </c>
      <c r="C1552" t="s">
        <v>686</v>
      </c>
      <c r="D1552" t="s">
        <v>22</v>
      </c>
      <c r="E1552" t="s">
        <v>461</v>
      </c>
      <c r="F1552" t="s">
        <v>668</v>
      </c>
      <c r="G1552">
        <v>2045</v>
      </c>
      <c r="H1552" s="12">
        <v>0</v>
      </c>
      <c r="I1552" t="s">
        <v>3183</v>
      </c>
      <c r="J1552" t="s">
        <v>8</v>
      </c>
      <c r="K1552" t="s">
        <v>147</v>
      </c>
      <c r="L1552" t="s">
        <v>3184</v>
      </c>
      <c r="M1552" t="s">
        <v>670</v>
      </c>
    </row>
    <row r="1553" spans="1:13">
      <c r="A1553" t="s">
        <v>851</v>
      </c>
      <c r="B1553" t="s">
        <v>686</v>
      </c>
      <c r="C1553" t="s">
        <v>686</v>
      </c>
      <c r="D1553" t="s">
        <v>22</v>
      </c>
      <c r="E1553" t="s">
        <v>461</v>
      </c>
      <c r="F1553" t="s">
        <v>668</v>
      </c>
      <c r="G1553">
        <v>2050</v>
      </c>
      <c r="H1553" s="12">
        <v>0</v>
      </c>
      <c r="I1553" t="s">
        <v>3183</v>
      </c>
      <c r="J1553" t="s">
        <v>8</v>
      </c>
      <c r="K1553" t="s">
        <v>147</v>
      </c>
      <c r="L1553" t="s">
        <v>3184</v>
      </c>
      <c r="M1553" t="s">
        <v>670</v>
      </c>
    </row>
    <row r="1554" spans="1:13">
      <c r="A1554" t="s">
        <v>851</v>
      </c>
      <c r="B1554" t="s">
        <v>687</v>
      </c>
      <c r="C1554" t="s">
        <v>687</v>
      </c>
      <c r="D1554" t="s">
        <v>22</v>
      </c>
      <c r="E1554" t="s">
        <v>461</v>
      </c>
      <c r="F1554" t="s">
        <v>668</v>
      </c>
      <c r="G1554">
        <v>2030</v>
      </c>
      <c r="H1554" s="12">
        <v>5.07</v>
      </c>
      <c r="I1554" t="s">
        <v>3183</v>
      </c>
      <c r="J1554" t="s">
        <v>8</v>
      </c>
      <c r="K1554" t="s">
        <v>147</v>
      </c>
      <c r="L1554" t="s">
        <v>3184</v>
      </c>
      <c r="M1554" t="s">
        <v>670</v>
      </c>
    </row>
    <row r="1555" spans="1:13">
      <c r="A1555" t="s">
        <v>851</v>
      </c>
      <c r="B1555" t="s">
        <v>687</v>
      </c>
      <c r="C1555" t="s">
        <v>687</v>
      </c>
      <c r="D1555" t="s">
        <v>22</v>
      </c>
      <c r="E1555" t="s">
        <v>461</v>
      </c>
      <c r="F1555" t="s">
        <v>668</v>
      </c>
      <c r="G1555">
        <v>2035</v>
      </c>
      <c r="H1555" s="12">
        <v>37.31</v>
      </c>
      <c r="I1555" t="s">
        <v>3183</v>
      </c>
      <c r="J1555" t="s">
        <v>8</v>
      </c>
      <c r="K1555" t="s">
        <v>147</v>
      </c>
      <c r="L1555" t="s">
        <v>3184</v>
      </c>
      <c r="M1555" t="s">
        <v>670</v>
      </c>
    </row>
    <row r="1556" spans="1:13">
      <c r="A1556" t="s">
        <v>851</v>
      </c>
      <c r="B1556" t="s">
        <v>687</v>
      </c>
      <c r="C1556" t="s">
        <v>687</v>
      </c>
      <c r="D1556" t="s">
        <v>22</v>
      </c>
      <c r="E1556" t="s">
        <v>461</v>
      </c>
      <c r="F1556" t="s">
        <v>668</v>
      </c>
      <c r="G1556">
        <v>2040</v>
      </c>
      <c r="H1556" s="12">
        <v>57.41</v>
      </c>
      <c r="I1556" t="s">
        <v>3183</v>
      </c>
      <c r="J1556" t="s">
        <v>8</v>
      </c>
      <c r="K1556" t="s">
        <v>147</v>
      </c>
      <c r="L1556" t="s">
        <v>3184</v>
      </c>
      <c r="M1556" t="s">
        <v>670</v>
      </c>
    </row>
    <row r="1557" spans="1:13">
      <c r="A1557" t="s">
        <v>851</v>
      </c>
      <c r="B1557" t="s">
        <v>687</v>
      </c>
      <c r="C1557" t="s">
        <v>687</v>
      </c>
      <c r="D1557" t="s">
        <v>22</v>
      </c>
      <c r="E1557" t="s">
        <v>461</v>
      </c>
      <c r="F1557" t="s">
        <v>668</v>
      </c>
      <c r="G1557">
        <v>2045</v>
      </c>
      <c r="H1557" s="12">
        <v>63.11</v>
      </c>
      <c r="I1557" t="s">
        <v>3183</v>
      </c>
      <c r="J1557" t="s">
        <v>8</v>
      </c>
      <c r="K1557" t="s">
        <v>147</v>
      </c>
      <c r="L1557" t="s">
        <v>3184</v>
      </c>
      <c r="M1557" t="s">
        <v>670</v>
      </c>
    </row>
    <row r="1558" spans="1:13">
      <c r="A1558" t="s">
        <v>851</v>
      </c>
      <c r="B1558" t="s">
        <v>687</v>
      </c>
      <c r="C1558" t="s">
        <v>687</v>
      </c>
      <c r="D1558" t="s">
        <v>22</v>
      </c>
      <c r="E1558" t="s">
        <v>461</v>
      </c>
      <c r="F1558" t="s">
        <v>668</v>
      </c>
      <c r="G1558">
        <v>2050</v>
      </c>
      <c r="H1558" s="12">
        <v>62.39</v>
      </c>
      <c r="I1558" t="s">
        <v>3183</v>
      </c>
      <c r="J1558" t="s">
        <v>8</v>
      </c>
      <c r="K1558" t="s">
        <v>147</v>
      </c>
      <c r="L1558" t="s">
        <v>3184</v>
      </c>
      <c r="M1558" t="s">
        <v>670</v>
      </c>
    </row>
    <row r="1559" spans="1:13">
      <c r="A1559" t="s">
        <v>851</v>
      </c>
      <c r="B1559" t="s">
        <v>686</v>
      </c>
      <c r="C1559" t="s">
        <v>686</v>
      </c>
      <c r="D1559" t="s">
        <v>22</v>
      </c>
      <c r="E1559" t="s">
        <v>461</v>
      </c>
      <c r="F1559" t="s">
        <v>668</v>
      </c>
      <c r="G1559">
        <v>2010</v>
      </c>
      <c r="H1559" s="12">
        <v>3263.49</v>
      </c>
      <c r="I1559" t="s">
        <v>3183</v>
      </c>
      <c r="J1559" t="s">
        <v>5</v>
      </c>
      <c r="K1559" t="s">
        <v>147</v>
      </c>
      <c r="L1559" t="s">
        <v>3184</v>
      </c>
      <c r="M1559" t="s">
        <v>665</v>
      </c>
    </row>
    <row r="1560" spans="1:13">
      <c r="A1560" t="s">
        <v>851</v>
      </c>
      <c r="B1560" t="s">
        <v>686</v>
      </c>
      <c r="C1560" t="s">
        <v>686</v>
      </c>
      <c r="D1560" t="s">
        <v>22</v>
      </c>
      <c r="E1560" t="s">
        <v>461</v>
      </c>
      <c r="F1560" t="s">
        <v>668</v>
      </c>
      <c r="G1560">
        <v>2015</v>
      </c>
      <c r="H1560" s="12">
        <v>4133.84</v>
      </c>
      <c r="I1560" t="s">
        <v>3183</v>
      </c>
      <c r="J1560" t="s">
        <v>5</v>
      </c>
      <c r="K1560" t="s">
        <v>147</v>
      </c>
      <c r="L1560" t="s">
        <v>3184</v>
      </c>
      <c r="M1560" t="s">
        <v>665</v>
      </c>
    </row>
    <row r="1561" spans="1:13">
      <c r="A1561" t="s">
        <v>851</v>
      </c>
      <c r="B1561" t="s">
        <v>686</v>
      </c>
      <c r="C1561" t="s">
        <v>686</v>
      </c>
      <c r="D1561" t="s">
        <v>22</v>
      </c>
      <c r="E1561" t="s">
        <v>461</v>
      </c>
      <c r="F1561" t="s">
        <v>668</v>
      </c>
      <c r="G1561">
        <v>2020</v>
      </c>
      <c r="H1561" s="12">
        <v>4941.33</v>
      </c>
      <c r="I1561" t="s">
        <v>3183</v>
      </c>
      <c r="J1561" t="s">
        <v>5</v>
      </c>
      <c r="K1561" t="s">
        <v>147</v>
      </c>
      <c r="L1561" t="s">
        <v>3184</v>
      </c>
      <c r="M1561" t="s">
        <v>665</v>
      </c>
    </row>
    <row r="1562" spans="1:13">
      <c r="A1562" t="s">
        <v>851</v>
      </c>
      <c r="B1562" t="s">
        <v>686</v>
      </c>
      <c r="C1562" t="s">
        <v>686</v>
      </c>
      <c r="D1562" t="s">
        <v>22</v>
      </c>
      <c r="E1562" t="s">
        <v>461</v>
      </c>
      <c r="F1562" t="s">
        <v>668</v>
      </c>
      <c r="G1562">
        <v>2030</v>
      </c>
      <c r="H1562" s="12">
        <v>5234.91</v>
      </c>
      <c r="I1562" t="s">
        <v>3183</v>
      </c>
      <c r="J1562" t="s">
        <v>5</v>
      </c>
      <c r="K1562" t="s">
        <v>147</v>
      </c>
      <c r="L1562" t="s">
        <v>3184</v>
      </c>
      <c r="M1562" t="s">
        <v>665</v>
      </c>
    </row>
    <row r="1563" spans="1:13">
      <c r="A1563" t="s">
        <v>851</v>
      </c>
      <c r="B1563" t="s">
        <v>686</v>
      </c>
      <c r="C1563" t="s">
        <v>686</v>
      </c>
      <c r="D1563" t="s">
        <v>22</v>
      </c>
      <c r="E1563" t="s">
        <v>461</v>
      </c>
      <c r="F1563" t="s">
        <v>668</v>
      </c>
      <c r="G1563">
        <v>2035</v>
      </c>
      <c r="H1563" s="12">
        <v>4594.18</v>
      </c>
      <c r="I1563" t="s">
        <v>3183</v>
      </c>
      <c r="J1563" t="s">
        <v>5</v>
      </c>
      <c r="K1563" t="s">
        <v>147</v>
      </c>
      <c r="L1563" t="s">
        <v>3184</v>
      </c>
      <c r="M1563" t="s">
        <v>665</v>
      </c>
    </row>
    <row r="1564" spans="1:13">
      <c r="A1564" t="s">
        <v>851</v>
      </c>
      <c r="B1564" t="s">
        <v>686</v>
      </c>
      <c r="C1564" t="s">
        <v>686</v>
      </c>
      <c r="D1564" t="s">
        <v>22</v>
      </c>
      <c r="E1564" t="s">
        <v>461</v>
      </c>
      <c r="F1564" t="s">
        <v>668</v>
      </c>
      <c r="G1564">
        <v>2040</v>
      </c>
      <c r="H1564" s="12">
        <v>4016.28</v>
      </c>
      <c r="I1564" t="s">
        <v>3183</v>
      </c>
      <c r="J1564" t="s">
        <v>5</v>
      </c>
      <c r="K1564" t="s">
        <v>147</v>
      </c>
      <c r="L1564" t="s">
        <v>3184</v>
      </c>
      <c r="M1564" t="s">
        <v>665</v>
      </c>
    </row>
    <row r="1565" spans="1:13">
      <c r="A1565" t="s">
        <v>851</v>
      </c>
      <c r="B1565" t="s">
        <v>686</v>
      </c>
      <c r="C1565" t="s">
        <v>686</v>
      </c>
      <c r="D1565" t="s">
        <v>22</v>
      </c>
      <c r="E1565" t="s">
        <v>461</v>
      </c>
      <c r="F1565" t="s">
        <v>668</v>
      </c>
      <c r="G1565">
        <v>2045</v>
      </c>
      <c r="H1565" s="12">
        <v>3544.28</v>
      </c>
      <c r="I1565" t="s">
        <v>3183</v>
      </c>
      <c r="J1565" t="s">
        <v>5</v>
      </c>
      <c r="K1565" t="s">
        <v>147</v>
      </c>
      <c r="L1565" t="s">
        <v>3184</v>
      </c>
      <c r="M1565" t="s">
        <v>665</v>
      </c>
    </row>
    <row r="1566" spans="1:13">
      <c r="A1566" t="s">
        <v>851</v>
      </c>
      <c r="B1566" t="s">
        <v>686</v>
      </c>
      <c r="C1566" t="s">
        <v>686</v>
      </c>
      <c r="D1566" t="s">
        <v>22</v>
      </c>
      <c r="E1566" t="s">
        <v>461</v>
      </c>
      <c r="F1566" t="s">
        <v>668</v>
      </c>
      <c r="G1566">
        <v>2050</v>
      </c>
      <c r="H1566" s="12">
        <v>3075.43</v>
      </c>
      <c r="I1566" t="s">
        <v>3183</v>
      </c>
      <c r="J1566" t="s">
        <v>5</v>
      </c>
      <c r="K1566" t="s">
        <v>147</v>
      </c>
      <c r="L1566" t="s">
        <v>3184</v>
      </c>
      <c r="M1566" t="s">
        <v>665</v>
      </c>
    </row>
    <row r="1567" spans="1:13">
      <c r="A1567" t="s">
        <v>851</v>
      </c>
      <c r="B1567" t="s">
        <v>687</v>
      </c>
      <c r="C1567" t="s">
        <v>687</v>
      </c>
      <c r="D1567" t="s">
        <v>22</v>
      </c>
      <c r="E1567" t="s">
        <v>461</v>
      </c>
      <c r="F1567" t="s">
        <v>668</v>
      </c>
      <c r="G1567">
        <v>2030</v>
      </c>
      <c r="H1567" s="12">
        <v>4855.37</v>
      </c>
      <c r="I1567" t="s">
        <v>3183</v>
      </c>
      <c r="J1567" t="s">
        <v>5</v>
      </c>
      <c r="K1567" t="s">
        <v>147</v>
      </c>
      <c r="L1567" t="s">
        <v>3184</v>
      </c>
      <c r="M1567" t="s">
        <v>665</v>
      </c>
    </row>
    <row r="1568" spans="1:13">
      <c r="A1568" t="s">
        <v>851</v>
      </c>
      <c r="B1568" t="s">
        <v>687</v>
      </c>
      <c r="C1568" t="s">
        <v>687</v>
      </c>
      <c r="D1568" t="s">
        <v>22</v>
      </c>
      <c r="E1568" t="s">
        <v>461</v>
      </c>
      <c r="F1568" t="s">
        <v>668</v>
      </c>
      <c r="G1568">
        <v>2035</v>
      </c>
      <c r="H1568" s="12">
        <v>3962.48</v>
      </c>
      <c r="I1568" t="s">
        <v>3183</v>
      </c>
      <c r="J1568" t="s">
        <v>5</v>
      </c>
      <c r="K1568" t="s">
        <v>147</v>
      </c>
      <c r="L1568" t="s">
        <v>3184</v>
      </c>
      <c r="M1568" t="s">
        <v>665</v>
      </c>
    </row>
    <row r="1569" spans="1:13">
      <c r="A1569" t="s">
        <v>851</v>
      </c>
      <c r="B1569" t="s">
        <v>687</v>
      </c>
      <c r="C1569" t="s">
        <v>687</v>
      </c>
      <c r="D1569" t="s">
        <v>22</v>
      </c>
      <c r="E1569" t="s">
        <v>461</v>
      </c>
      <c r="F1569" t="s">
        <v>668</v>
      </c>
      <c r="G1569">
        <v>2040</v>
      </c>
      <c r="H1569" s="12">
        <v>2634.18</v>
      </c>
      <c r="I1569" t="s">
        <v>3183</v>
      </c>
      <c r="J1569" t="s">
        <v>5</v>
      </c>
      <c r="K1569" t="s">
        <v>147</v>
      </c>
      <c r="L1569" t="s">
        <v>3184</v>
      </c>
      <c r="M1569" t="s">
        <v>665</v>
      </c>
    </row>
    <row r="1570" spans="1:13">
      <c r="A1570" t="s">
        <v>851</v>
      </c>
      <c r="B1570" t="s">
        <v>686</v>
      </c>
      <c r="C1570" t="s">
        <v>686</v>
      </c>
      <c r="D1570" t="s">
        <v>22</v>
      </c>
      <c r="E1570" t="s">
        <v>646</v>
      </c>
      <c r="F1570" t="s">
        <v>40</v>
      </c>
      <c r="G1570">
        <v>2010</v>
      </c>
      <c r="H1570" s="12">
        <v>3313</v>
      </c>
      <c r="I1570" t="s">
        <v>3183</v>
      </c>
      <c r="J1570" t="s">
        <v>344</v>
      </c>
      <c r="K1570" t="s">
        <v>658</v>
      </c>
      <c r="L1570" t="s">
        <v>3184</v>
      </c>
      <c r="M1570" t="s">
        <v>10</v>
      </c>
    </row>
    <row r="1571" spans="1:13">
      <c r="A1571" t="s">
        <v>851</v>
      </c>
      <c r="B1571" t="s">
        <v>686</v>
      </c>
      <c r="C1571" t="s">
        <v>686</v>
      </c>
      <c r="D1571" t="s">
        <v>22</v>
      </c>
      <c r="E1571" t="s">
        <v>646</v>
      </c>
      <c r="F1571" t="s">
        <v>40</v>
      </c>
      <c r="G1571">
        <v>2015</v>
      </c>
      <c r="H1571" s="12">
        <v>5101</v>
      </c>
      <c r="I1571" t="s">
        <v>3183</v>
      </c>
      <c r="J1571" t="s">
        <v>344</v>
      </c>
      <c r="K1571" t="s">
        <v>658</v>
      </c>
      <c r="L1571" t="s">
        <v>3184</v>
      </c>
      <c r="M1571" t="s">
        <v>10</v>
      </c>
    </row>
    <row r="1572" spans="1:13">
      <c r="A1572" t="s">
        <v>851</v>
      </c>
      <c r="B1572" t="s">
        <v>686</v>
      </c>
      <c r="C1572" t="s">
        <v>686</v>
      </c>
      <c r="D1572" t="s">
        <v>22</v>
      </c>
      <c r="E1572" t="s">
        <v>646</v>
      </c>
      <c r="F1572" t="s">
        <v>40</v>
      </c>
      <c r="G1572">
        <v>2020</v>
      </c>
      <c r="H1572" s="12">
        <v>8315</v>
      </c>
      <c r="I1572" t="s">
        <v>3183</v>
      </c>
      <c r="J1572" t="s">
        <v>344</v>
      </c>
      <c r="K1572" t="s">
        <v>658</v>
      </c>
      <c r="L1572" t="s">
        <v>3184</v>
      </c>
      <c r="M1572" t="s">
        <v>10</v>
      </c>
    </row>
    <row r="1573" spans="1:13">
      <c r="A1573" t="s">
        <v>851</v>
      </c>
      <c r="B1573" t="s">
        <v>686</v>
      </c>
      <c r="C1573" t="s">
        <v>686</v>
      </c>
      <c r="D1573" t="s">
        <v>22</v>
      </c>
      <c r="E1573" t="s">
        <v>646</v>
      </c>
      <c r="F1573" t="s">
        <v>40</v>
      </c>
      <c r="G1573">
        <v>2030</v>
      </c>
      <c r="H1573" s="12">
        <v>13110</v>
      </c>
      <c r="I1573" t="s">
        <v>3183</v>
      </c>
      <c r="J1573" t="s">
        <v>344</v>
      </c>
      <c r="K1573" t="s">
        <v>658</v>
      </c>
      <c r="L1573" t="s">
        <v>3184</v>
      </c>
      <c r="M1573" t="s">
        <v>10</v>
      </c>
    </row>
    <row r="1574" spans="1:13">
      <c r="A1574" t="s">
        <v>851</v>
      </c>
      <c r="B1574" t="s">
        <v>686</v>
      </c>
      <c r="C1574" t="s">
        <v>686</v>
      </c>
      <c r="D1574" t="s">
        <v>22</v>
      </c>
      <c r="E1574" t="s">
        <v>646</v>
      </c>
      <c r="F1574" t="s">
        <v>40</v>
      </c>
      <c r="G1574">
        <v>2035</v>
      </c>
      <c r="H1574" s="12">
        <v>14777</v>
      </c>
      <c r="I1574" t="s">
        <v>3183</v>
      </c>
      <c r="J1574" t="s">
        <v>344</v>
      </c>
      <c r="K1574" t="s">
        <v>658</v>
      </c>
      <c r="L1574" t="s">
        <v>3184</v>
      </c>
      <c r="M1574" t="s">
        <v>10</v>
      </c>
    </row>
    <row r="1575" spans="1:13">
      <c r="A1575" t="s">
        <v>851</v>
      </c>
      <c r="B1575" t="s">
        <v>686</v>
      </c>
      <c r="C1575" t="s">
        <v>686</v>
      </c>
      <c r="D1575" t="s">
        <v>22</v>
      </c>
      <c r="E1575" t="s">
        <v>646</v>
      </c>
      <c r="F1575" t="s">
        <v>40</v>
      </c>
      <c r="G1575">
        <v>2040</v>
      </c>
      <c r="H1575" s="12">
        <v>16111</v>
      </c>
      <c r="I1575" t="s">
        <v>3183</v>
      </c>
      <c r="J1575" t="s">
        <v>344</v>
      </c>
      <c r="K1575" t="s">
        <v>658</v>
      </c>
      <c r="L1575" t="s">
        <v>3184</v>
      </c>
      <c r="M1575" t="s">
        <v>10</v>
      </c>
    </row>
    <row r="1576" spans="1:13">
      <c r="A1576" t="s">
        <v>851</v>
      </c>
      <c r="B1576" t="s">
        <v>686</v>
      </c>
      <c r="C1576" t="s">
        <v>686</v>
      </c>
      <c r="D1576" t="s">
        <v>22</v>
      </c>
      <c r="E1576" t="s">
        <v>646</v>
      </c>
      <c r="F1576" t="s">
        <v>40</v>
      </c>
      <c r="G1576">
        <v>2045</v>
      </c>
      <c r="H1576" s="12">
        <v>17018</v>
      </c>
      <c r="I1576" t="s">
        <v>3183</v>
      </c>
      <c r="J1576" t="s">
        <v>344</v>
      </c>
      <c r="K1576" t="s">
        <v>658</v>
      </c>
      <c r="L1576" t="s">
        <v>3184</v>
      </c>
      <c r="M1576" t="s">
        <v>10</v>
      </c>
    </row>
    <row r="1577" spans="1:13">
      <c r="A1577" t="s">
        <v>851</v>
      </c>
      <c r="B1577" t="s">
        <v>686</v>
      </c>
      <c r="C1577" t="s">
        <v>686</v>
      </c>
      <c r="D1577" t="s">
        <v>22</v>
      </c>
      <c r="E1577" t="s">
        <v>646</v>
      </c>
      <c r="F1577" t="s">
        <v>40</v>
      </c>
      <c r="G1577">
        <v>2050</v>
      </c>
      <c r="H1577" s="12">
        <v>17436</v>
      </c>
      <c r="I1577" t="s">
        <v>3183</v>
      </c>
      <c r="J1577" t="s">
        <v>344</v>
      </c>
      <c r="K1577" t="s">
        <v>658</v>
      </c>
      <c r="L1577" t="s">
        <v>3184</v>
      </c>
      <c r="M1577" t="s">
        <v>10</v>
      </c>
    </row>
    <row r="1578" spans="1:13">
      <c r="A1578" t="s">
        <v>851</v>
      </c>
      <c r="B1578" t="s">
        <v>687</v>
      </c>
      <c r="C1578" t="s">
        <v>687</v>
      </c>
      <c r="D1578" t="s">
        <v>22</v>
      </c>
      <c r="E1578" t="s">
        <v>646</v>
      </c>
      <c r="F1578" t="s">
        <v>40</v>
      </c>
      <c r="G1578">
        <v>2030</v>
      </c>
      <c r="H1578" s="12">
        <v>12493</v>
      </c>
      <c r="I1578" t="s">
        <v>3183</v>
      </c>
      <c r="J1578" t="s">
        <v>344</v>
      </c>
      <c r="K1578" t="s">
        <v>658</v>
      </c>
      <c r="L1578" t="s">
        <v>3184</v>
      </c>
      <c r="M1578" t="s">
        <v>10</v>
      </c>
    </row>
    <row r="1579" spans="1:13">
      <c r="A1579" t="s">
        <v>851</v>
      </c>
      <c r="B1579" t="s">
        <v>687</v>
      </c>
      <c r="C1579" t="s">
        <v>687</v>
      </c>
      <c r="D1579" t="s">
        <v>22</v>
      </c>
      <c r="E1579" t="s">
        <v>646</v>
      </c>
      <c r="F1579" t="s">
        <v>40</v>
      </c>
      <c r="G1579">
        <v>2035</v>
      </c>
      <c r="H1579" s="12">
        <v>13481</v>
      </c>
      <c r="I1579" t="s">
        <v>3183</v>
      </c>
      <c r="J1579" t="s">
        <v>344</v>
      </c>
      <c r="K1579" t="s">
        <v>658</v>
      </c>
      <c r="L1579" t="s">
        <v>3184</v>
      </c>
      <c r="M1579" t="s">
        <v>10</v>
      </c>
    </row>
    <row r="1580" spans="1:13">
      <c r="A1580" t="s">
        <v>851</v>
      </c>
      <c r="B1580" t="s">
        <v>687</v>
      </c>
      <c r="C1580" t="s">
        <v>687</v>
      </c>
      <c r="D1580" t="s">
        <v>22</v>
      </c>
      <c r="E1580" t="s">
        <v>646</v>
      </c>
      <c r="F1580" t="s">
        <v>40</v>
      </c>
      <c r="G1580">
        <v>2040</v>
      </c>
      <c r="H1580" s="12">
        <v>13906</v>
      </c>
      <c r="I1580" t="s">
        <v>3183</v>
      </c>
      <c r="J1580" t="s">
        <v>344</v>
      </c>
      <c r="K1580" t="s">
        <v>658</v>
      </c>
      <c r="L1580" t="s">
        <v>3184</v>
      </c>
      <c r="M1580" t="s">
        <v>10</v>
      </c>
    </row>
    <row r="1581" spans="1:13">
      <c r="A1581" t="s">
        <v>851</v>
      </c>
      <c r="B1581" t="s">
        <v>687</v>
      </c>
      <c r="C1581" t="s">
        <v>687</v>
      </c>
      <c r="D1581" t="s">
        <v>22</v>
      </c>
      <c r="E1581" t="s">
        <v>646</v>
      </c>
      <c r="F1581" t="s">
        <v>40</v>
      </c>
      <c r="G1581">
        <v>2045</v>
      </c>
      <c r="H1581" s="12">
        <v>14163</v>
      </c>
      <c r="I1581" t="s">
        <v>3183</v>
      </c>
      <c r="J1581" t="s">
        <v>344</v>
      </c>
      <c r="K1581" t="s">
        <v>658</v>
      </c>
      <c r="L1581" t="s">
        <v>3184</v>
      </c>
      <c r="M1581" t="s">
        <v>10</v>
      </c>
    </row>
    <row r="1582" spans="1:13">
      <c r="A1582" t="s">
        <v>851</v>
      </c>
      <c r="B1582" t="s">
        <v>687</v>
      </c>
      <c r="C1582" t="s">
        <v>687</v>
      </c>
      <c r="D1582" t="s">
        <v>22</v>
      </c>
      <c r="E1582" t="s">
        <v>646</v>
      </c>
      <c r="F1582" t="s">
        <v>40</v>
      </c>
      <c r="G1582">
        <v>2050</v>
      </c>
      <c r="H1582" s="12">
        <v>14095</v>
      </c>
      <c r="I1582" t="s">
        <v>3183</v>
      </c>
      <c r="J1582" t="s">
        <v>344</v>
      </c>
      <c r="K1582" t="s">
        <v>658</v>
      </c>
      <c r="L1582" t="s">
        <v>3184</v>
      </c>
      <c r="M1582" t="s">
        <v>10</v>
      </c>
    </row>
    <row r="1583" spans="1:13">
      <c r="A1583" t="s">
        <v>851</v>
      </c>
      <c r="B1583" t="s">
        <v>686</v>
      </c>
      <c r="C1583" t="s">
        <v>686</v>
      </c>
      <c r="D1583" t="s">
        <v>22</v>
      </c>
      <c r="E1583" t="s">
        <v>646</v>
      </c>
      <c r="F1583" t="s">
        <v>40</v>
      </c>
      <c r="G1583">
        <v>2010</v>
      </c>
      <c r="H1583" s="12">
        <v>3454</v>
      </c>
      <c r="I1583" t="s">
        <v>3183</v>
      </c>
      <c r="J1583" t="s">
        <v>5</v>
      </c>
      <c r="K1583" t="s">
        <v>658</v>
      </c>
      <c r="L1583" t="s">
        <v>3184</v>
      </c>
      <c r="M1583" t="s">
        <v>5</v>
      </c>
    </row>
    <row r="1584" spans="1:13">
      <c r="A1584" t="s">
        <v>851</v>
      </c>
      <c r="B1584" t="s">
        <v>686</v>
      </c>
      <c r="C1584" t="s">
        <v>686</v>
      </c>
      <c r="D1584" t="s">
        <v>22</v>
      </c>
      <c r="E1584" t="s">
        <v>646</v>
      </c>
      <c r="F1584" t="s">
        <v>40</v>
      </c>
      <c r="G1584">
        <v>2015</v>
      </c>
      <c r="H1584" s="12">
        <v>3703</v>
      </c>
      <c r="I1584" t="s">
        <v>3183</v>
      </c>
      <c r="J1584" t="s">
        <v>5</v>
      </c>
      <c r="K1584" t="s">
        <v>658</v>
      </c>
      <c r="L1584" t="s">
        <v>3184</v>
      </c>
      <c r="M1584" t="s">
        <v>5</v>
      </c>
    </row>
    <row r="1585" spans="1:13">
      <c r="A1585" t="s">
        <v>851</v>
      </c>
      <c r="B1585" t="s">
        <v>686</v>
      </c>
      <c r="C1585" t="s">
        <v>686</v>
      </c>
      <c r="D1585" t="s">
        <v>22</v>
      </c>
      <c r="E1585" t="s">
        <v>646</v>
      </c>
      <c r="F1585" t="s">
        <v>40</v>
      </c>
      <c r="G1585">
        <v>2020</v>
      </c>
      <c r="H1585" s="12">
        <v>2252</v>
      </c>
      <c r="I1585" t="s">
        <v>3183</v>
      </c>
      <c r="J1585" t="s">
        <v>5</v>
      </c>
      <c r="K1585" t="s">
        <v>658</v>
      </c>
      <c r="L1585" t="s">
        <v>3184</v>
      </c>
      <c r="M1585" t="s">
        <v>5</v>
      </c>
    </row>
    <row r="1586" spans="1:13">
      <c r="A1586" t="s">
        <v>851</v>
      </c>
      <c r="B1586" t="s">
        <v>686</v>
      </c>
      <c r="C1586" t="s">
        <v>686</v>
      </c>
      <c r="D1586" t="s">
        <v>22</v>
      </c>
      <c r="E1586" t="s">
        <v>646</v>
      </c>
      <c r="F1586" t="s">
        <v>40</v>
      </c>
      <c r="G1586">
        <v>2030</v>
      </c>
      <c r="H1586" s="12">
        <v>383</v>
      </c>
      <c r="I1586" t="s">
        <v>3183</v>
      </c>
      <c r="J1586" t="s">
        <v>5</v>
      </c>
      <c r="K1586" t="s">
        <v>658</v>
      </c>
      <c r="L1586" t="s">
        <v>3184</v>
      </c>
      <c r="M1586" t="s">
        <v>5</v>
      </c>
    </row>
    <row r="1587" spans="1:13">
      <c r="A1587" t="s">
        <v>851</v>
      </c>
      <c r="B1587" t="s">
        <v>686</v>
      </c>
      <c r="C1587" t="s">
        <v>686</v>
      </c>
      <c r="D1587" t="s">
        <v>22</v>
      </c>
      <c r="E1587" t="s">
        <v>646</v>
      </c>
      <c r="F1587" t="s">
        <v>40</v>
      </c>
      <c r="G1587">
        <v>2035</v>
      </c>
      <c r="H1587" s="12">
        <v>175</v>
      </c>
      <c r="I1587" t="s">
        <v>3183</v>
      </c>
      <c r="J1587" t="s">
        <v>5</v>
      </c>
      <c r="K1587" t="s">
        <v>658</v>
      </c>
      <c r="L1587" t="s">
        <v>3184</v>
      </c>
      <c r="M1587" t="s">
        <v>5</v>
      </c>
    </row>
    <row r="1588" spans="1:13">
      <c r="A1588" t="s">
        <v>851</v>
      </c>
      <c r="B1588" t="s">
        <v>686</v>
      </c>
      <c r="C1588" t="s">
        <v>686</v>
      </c>
      <c r="D1588" t="s">
        <v>22</v>
      </c>
      <c r="E1588" t="s">
        <v>646</v>
      </c>
      <c r="F1588" t="s">
        <v>40</v>
      </c>
      <c r="G1588">
        <v>2040</v>
      </c>
      <c r="H1588" s="12">
        <v>89</v>
      </c>
      <c r="I1588" t="s">
        <v>3183</v>
      </c>
      <c r="J1588" t="s">
        <v>5</v>
      </c>
      <c r="K1588" t="s">
        <v>658</v>
      </c>
      <c r="L1588" t="s">
        <v>3184</v>
      </c>
      <c r="M1588" t="s">
        <v>5</v>
      </c>
    </row>
    <row r="1589" spans="1:13">
      <c r="A1589" t="s">
        <v>851</v>
      </c>
      <c r="B1589" t="s">
        <v>686</v>
      </c>
      <c r="C1589" t="s">
        <v>686</v>
      </c>
      <c r="D1589" t="s">
        <v>22</v>
      </c>
      <c r="E1589" t="s">
        <v>646</v>
      </c>
      <c r="F1589" t="s">
        <v>40</v>
      </c>
      <c r="G1589">
        <v>2045</v>
      </c>
      <c r="H1589" s="12">
        <v>50</v>
      </c>
      <c r="I1589" t="s">
        <v>3183</v>
      </c>
      <c r="J1589" t="s">
        <v>5</v>
      </c>
      <c r="K1589" t="s">
        <v>658</v>
      </c>
      <c r="L1589" t="s">
        <v>3184</v>
      </c>
      <c r="M1589" t="s">
        <v>5</v>
      </c>
    </row>
    <row r="1590" spans="1:13">
      <c r="A1590" t="s">
        <v>851</v>
      </c>
      <c r="B1590" t="s">
        <v>686</v>
      </c>
      <c r="C1590" t="s">
        <v>686</v>
      </c>
      <c r="D1590" t="s">
        <v>22</v>
      </c>
      <c r="E1590" t="s">
        <v>646</v>
      </c>
      <c r="F1590" t="s">
        <v>40</v>
      </c>
      <c r="G1590">
        <v>2050</v>
      </c>
      <c r="H1590" s="12">
        <v>41</v>
      </c>
      <c r="I1590" t="s">
        <v>3183</v>
      </c>
      <c r="J1590" t="s">
        <v>5</v>
      </c>
      <c r="K1590" t="s">
        <v>658</v>
      </c>
      <c r="L1590" t="s">
        <v>3184</v>
      </c>
      <c r="M1590" t="s">
        <v>5</v>
      </c>
    </row>
    <row r="1591" spans="1:13">
      <c r="A1591" t="s">
        <v>851</v>
      </c>
      <c r="B1591" t="s">
        <v>687</v>
      </c>
      <c r="C1591" t="s">
        <v>687</v>
      </c>
      <c r="D1591" t="s">
        <v>22</v>
      </c>
      <c r="E1591" t="s">
        <v>646</v>
      </c>
      <c r="F1591" t="s">
        <v>40</v>
      </c>
      <c r="G1591">
        <v>2030</v>
      </c>
      <c r="H1591" s="12">
        <v>222</v>
      </c>
      <c r="I1591" t="s">
        <v>3183</v>
      </c>
      <c r="J1591" t="s">
        <v>5</v>
      </c>
      <c r="K1591" t="s">
        <v>658</v>
      </c>
      <c r="L1591" t="s">
        <v>3184</v>
      </c>
      <c r="M1591" t="s">
        <v>5</v>
      </c>
    </row>
    <row r="1592" spans="1:13">
      <c r="A1592" t="s">
        <v>851</v>
      </c>
      <c r="B1592" t="s">
        <v>687</v>
      </c>
      <c r="C1592" t="s">
        <v>687</v>
      </c>
      <c r="D1592" t="s">
        <v>22</v>
      </c>
      <c r="E1592" t="s">
        <v>646</v>
      </c>
      <c r="F1592" t="s">
        <v>40</v>
      </c>
      <c r="G1592">
        <v>2035</v>
      </c>
      <c r="H1592" s="12">
        <v>61</v>
      </c>
      <c r="I1592" t="s">
        <v>3183</v>
      </c>
      <c r="J1592" t="s">
        <v>5</v>
      </c>
      <c r="K1592" t="s">
        <v>658</v>
      </c>
      <c r="L1592" t="s">
        <v>3184</v>
      </c>
      <c r="M1592" t="s">
        <v>5</v>
      </c>
    </row>
    <row r="1593" spans="1:13">
      <c r="A1593" t="s">
        <v>851</v>
      </c>
      <c r="B1593" t="s">
        <v>687</v>
      </c>
      <c r="C1593" t="s">
        <v>687</v>
      </c>
      <c r="D1593" t="s">
        <v>22</v>
      </c>
      <c r="E1593" t="s">
        <v>646</v>
      </c>
      <c r="F1593" t="s">
        <v>40</v>
      </c>
      <c r="G1593">
        <v>2040</v>
      </c>
      <c r="H1593" s="12">
        <v>14</v>
      </c>
      <c r="I1593" t="s">
        <v>3183</v>
      </c>
      <c r="J1593" t="s">
        <v>5</v>
      </c>
      <c r="K1593" t="s">
        <v>658</v>
      </c>
      <c r="L1593" t="s">
        <v>3184</v>
      </c>
      <c r="M1593" t="s">
        <v>5</v>
      </c>
    </row>
    <row r="1594" spans="1:13">
      <c r="A1594" t="s">
        <v>851</v>
      </c>
      <c r="B1594" t="s">
        <v>687</v>
      </c>
      <c r="C1594" t="s">
        <v>687</v>
      </c>
      <c r="D1594" t="s">
        <v>22</v>
      </c>
      <c r="E1594" t="s">
        <v>646</v>
      </c>
      <c r="F1594" t="s">
        <v>40</v>
      </c>
      <c r="G1594">
        <v>2045</v>
      </c>
      <c r="H1594" s="12">
        <v>2</v>
      </c>
      <c r="I1594" t="s">
        <v>3183</v>
      </c>
      <c r="J1594" t="s">
        <v>5</v>
      </c>
      <c r="K1594" t="s">
        <v>658</v>
      </c>
      <c r="L1594" t="s">
        <v>3184</v>
      </c>
      <c r="M1594" t="s">
        <v>5</v>
      </c>
    </row>
    <row r="1595" spans="1:13">
      <c r="A1595" t="s">
        <v>851</v>
      </c>
      <c r="B1595" t="s">
        <v>687</v>
      </c>
      <c r="C1595" t="s">
        <v>687</v>
      </c>
      <c r="D1595" t="s">
        <v>22</v>
      </c>
      <c r="E1595" t="s">
        <v>646</v>
      </c>
      <c r="F1595" t="s">
        <v>40</v>
      </c>
      <c r="G1595">
        <v>2050</v>
      </c>
      <c r="H1595" s="12">
        <v>0</v>
      </c>
      <c r="I1595" t="s">
        <v>3183</v>
      </c>
      <c r="J1595" t="s">
        <v>5</v>
      </c>
      <c r="K1595" t="s">
        <v>658</v>
      </c>
      <c r="L1595" t="s">
        <v>3184</v>
      </c>
      <c r="M1595" t="s">
        <v>5</v>
      </c>
    </row>
    <row r="1596" spans="1:13">
      <c r="A1596" t="s">
        <v>851</v>
      </c>
      <c r="B1596" t="s">
        <v>686</v>
      </c>
      <c r="C1596" t="s">
        <v>686</v>
      </c>
      <c r="D1596" t="s">
        <v>22</v>
      </c>
      <c r="E1596" t="s">
        <v>461</v>
      </c>
      <c r="F1596" t="s">
        <v>668</v>
      </c>
      <c r="G1596">
        <v>2035</v>
      </c>
      <c r="H1596" s="12">
        <v>458.55</v>
      </c>
      <c r="I1596" t="s">
        <v>3183</v>
      </c>
      <c r="J1596" t="s">
        <v>41</v>
      </c>
      <c r="K1596" t="s">
        <v>147</v>
      </c>
      <c r="L1596" t="s">
        <v>3184</v>
      </c>
      <c r="M1596" t="s">
        <v>669</v>
      </c>
    </row>
    <row r="1597" spans="1:13">
      <c r="A1597" t="s">
        <v>851</v>
      </c>
      <c r="B1597" t="s">
        <v>686</v>
      </c>
      <c r="C1597" t="s">
        <v>686</v>
      </c>
      <c r="D1597" t="s">
        <v>22</v>
      </c>
      <c r="E1597" t="s">
        <v>461</v>
      </c>
      <c r="F1597" t="s">
        <v>668</v>
      </c>
      <c r="G1597">
        <v>2040</v>
      </c>
      <c r="H1597" s="12">
        <v>518.85</v>
      </c>
      <c r="I1597" t="s">
        <v>3183</v>
      </c>
      <c r="J1597" t="s">
        <v>41</v>
      </c>
      <c r="K1597" t="s">
        <v>147</v>
      </c>
      <c r="L1597" t="s">
        <v>3184</v>
      </c>
      <c r="M1597" t="s">
        <v>669</v>
      </c>
    </row>
    <row r="1598" spans="1:13">
      <c r="A1598" t="s">
        <v>851</v>
      </c>
      <c r="B1598" t="s">
        <v>686</v>
      </c>
      <c r="C1598" t="s">
        <v>686</v>
      </c>
      <c r="D1598" t="s">
        <v>22</v>
      </c>
      <c r="E1598" t="s">
        <v>461</v>
      </c>
      <c r="F1598" t="s">
        <v>668</v>
      </c>
      <c r="G1598">
        <v>2045</v>
      </c>
      <c r="H1598" s="12">
        <v>576.4</v>
      </c>
      <c r="I1598" t="s">
        <v>3183</v>
      </c>
      <c r="J1598" t="s">
        <v>41</v>
      </c>
      <c r="K1598" t="s">
        <v>147</v>
      </c>
      <c r="L1598" t="s">
        <v>3184</v>
      </c>
      <c r="M1598" t="s">
        <v>669</v>
      </c>
    </row>
    <row r="1599" spans="1:13">
      <c r="A1599" t="s">
        <v>851</v>
      </c>
      <c r="B1599" t="s">
        <v>686</v>
      </c>
      <c r="C1599" t="s">
        <v>686</v>
      </c>
      <c r="D1599" t="s">
        <v>22</v>
      </c>
      <c r="E1599" t="s">
        <v>461</v>
      </c>
      <c r="F1599" t="s">
        <v>668</v>
      </c>
      <c r="G1599">
        <v>2050</v>
      </c>
      <c r="H1599" s="12">
        <v>624.45000000000005</v>
      </c>
      <c r="I1599" t="s">
        <v>3183</v>
      </c>
      <c r="J1599" t="s">
        <v>41</v>
      </c>
      <c r="K1599" t="s">
        <v>147</v>
      </c>
      <c r="L1599" t="s">
        <v>3184</v>
      </c>
      <c r="M1599" t="s">
        <v>669</v>
      </c>
    </row>
    <row r="1600" spans="1:13">
      <c r="A1600" t="s">
        <v>851</v>
      </c>
      <c r="B1600" t="s">
        <v>687</v>
      </c>
      <c r="C1600" t="s">
        <v>687</v>
      </c>
      <c r="D1600" t="s">
        <v>22</v>
      </c>
      <c r="E1600" t="s">
        <v>461</v>
      </c>
      <c r="F1600" t="s">
        <v>668</v>
      </c>
      <c r="G1600">
        <v>2030</v>
      </c>
      <c r="H1600" s="12">
        <v>404.62</v>
      </c>
      <c r="I1600" t="s">
        <v>3183</v>
      </c>
      <c r="J1600" t="s">
        <v>41</v>
      </c>
      <c r="K1600" t="s">
        <v>147</v>
      </c>
      <c r="L1600" t="s">
        <v>3184</v>
      </c>
      <c r="M1600" t="s">
        <v>669</v>
      </c>
    </row>
    <row r="1601" spans="1:13">
      <c r="A1601" t="s">
        <v>851</v>
      </c>
      <c r="B1601" t="s">
        <v>687</v>
      </c>
      <c r="C1601" t="s">
        <v>687</v>
      </c>
      <c r="D1601" t="s">
        <v>22</v>
      </c>
      <c r="E1601" t="s">
        <v>461</v>
      </c>
      <c r="F1601" t="s">
        <v>668</v>
      </c>
      <c r="G1601">
        <v>2035</v>
      </c>
      <c r="H1601" s="12">
        <v>507.51</v>
      </c>
      <c r="I1601" t="s">
        <v>3183</v>
      </c>
      <c r="J1601" t="s">
        <v>41</v>
      </c>
      <c r="K1601" t="s">
        <v>147</v>
      </c>
      <c r="L1601" t="s">
        <v>3184</v>
      </c>
      <c r="M1601" t="s">
        <v>669</v>
      </c>
    </row>
    <row r="1602" spans="1:13">
      <c r="A1602" t="s">
        <v>851</v>
      </c>
      <c r="B1602" t="s">
        <v>686</v>
      </c>
      <c r="C1602" t="s">
        <v>686</v>
      </c>
      <c r="D1602" t="s">
        <v>22</v>
      </c>
      <c r="E1602" t="s">
        <v>646</v>
      </c>
      <c r="F1602" t="s">
        <v>40</v>
      </c>
      <c r="G1602">
        <v>2040</v>
      </c>
      <c r="H1602" s="12">
        <v>2590</v>
      </c>
      <c r="I1602" t="s">
        <v>3183</v>
      </c>
      <c r="J1602" t="s">
        <v>344</v>
      </c>
      <c r="K1602" t="s">
        <v>11</v>
      </c>
      <c r="L1602" t="s">
        <v>3184</v>
      </c>
      <c r="M1602" t="s">
        <v>10</v>
      </c>
    </row>
    <row r="1603" spans="1:13">
      <c r="A1603" t="s">
        <v>851</v>
      </c>
      <c r="B1603" t="s">
        <v>686</v>
      </c>
      <c r="C1603" t="s">
        <v>686</v>
      </c>
      <c r="D1603" t="s">
        <v>22</v>
      </c>
      <c r="E1603" t="s">
        <v>646</v>
      </c>
      <c r="F1603" t="s">
        <v>40</v>
      </c>
      <c r="G1603">
        <v>2045</v>
      </c>
      <c r="H1603" s="12">
        <v>3103</v>
      </c>
      <c r="I1603" t="s">
        <v>3183</v>
      </c>
      <c r="J1603" t="s">
        <v>344</v>
      </c>
      <c r="K1603" t="s">
        <v>11</v>
      </c>
      <c r="L1603" t="s">
        <v>3184</v>
      </c>
      <c r="M1603" t="s">
        <v>10</v>
      </c>
    </row>
    <row r="1604" spans="1:13">
      <c r="A1604" t="s">
        <v>851</v>
      </c>
      <c r="B1604" t="s">
        <v>686</v>
      </c>
      <c r="C1604" t="s">
        <v>686</v>
      </c>
      <c r="D1604" t="s">
        <v>22</v>
      </c>
      <c r="E1604" t="s">
        <v>646</v>
      </c>
      <c r="F1604" t="s">
        <v>40</v>
      </c>
      <c r="G1604">
        <v>2050</v>
      </c>
      <c r="H1604" s="12">
        <v>3400</v>
      </c>
      <c r="I1604" t="s">
        <v>3183</v>
      </c>
      <c r="J1604" t="s">
        <v>344</v>
      </c>
      <c r="K1604" t="s">
        <v>11</v>
      </c>
      <c r="L1604" t="s">
        <v>3184</v>
      </c>
      <c r="M1604" t="s">
        <v>10</v>
      </c>
    </row>
    <row r="1605" spans="1:13">
      <c r="A1605" t="s">
        <v>851</v>
      </c>
      <c r="B1605" t="s">
        <v>687</v>
      </c>
      <c r="C1605" t="s">
        <v>687</v>
      </c>
      <c r="D1605" t="s">
        <v>22</v>
      </c>
      <c r="E1605" t="s">
        <v>646</v>
      </c>
      <c r="F1605" t="s">
        <v>40</v>
      </c>
      <c r="G1605">
        <v>2030</v>
      </c>
      <c r="H1605" s="12">
        <v>1688</v>
      </c>
      <c r="I1605" t="s">
        <v>3183</v>
      </c>
      <c r="J1605" t="s">
        <v>344</v>
      </c>
      <c r="K1605" t="s">
        <v>11</v>
      </c>
      <c r="L1605" t="s">
        <v>3184</v>
      </c>
      <c r="M1605" t="s">
        <v>10</v>
      </c>
    </row>
    <row r="1606" spans="1:13">
      <c r="A1606" t="s">
        <v>851</v>
      </c>
      <c r="B1606" t="s">
        <v>687</v>
      </c>
      <c r="C1606" t="s">
        <v>687</v>
      </c>
      <c r="D1606" t="s">
        <v>22</v>
      </c>
      <c r="E1606" t="s">
        <v>646</v>
      </c>
      <c r="F1606" t="s">
        <v>40</v>
      </c>
      <c r="G1606">
        <v>2035</v>
      </c>
      <c r="H1606" s="12">
        <v>2509</v>
      </c>
      <c r="I1606" t="s">
        <v>3183</v>
      </c>
      <c r="J1606" t="s">
        <v>344</v>
      </c>
      <c r="K1606" t="s">
        <v>11</v>
      </c>
      <c r="L1606" t="s">
        <v>3184</v>
      </c>
      <c r="M1606" t="s">
        <v>10</v>
      </c>
    </row>
    <row r="1607" spans="1:13">
      <c r="A1607" t="s">
        <v>851</v>
      </c>
      <c r="B1607" t="s">
        <v>687</v>
      </c>
      <c r="C1607" t="s">
        <v>687</v>
      </c>
      <c r="D1607" t="s">
        <v>22</v>
      </c>
      <c r="E1607" t="s">
        <v>646</v>
      </c>
      <c r="F1607" t="s">
        <v>40</v>
      </c>
      <c r="G1607">
        <v>2040</v>
      </c>
      <c r="H1607" s="12">
        <v>3517</v>
      </c>
      <c r="I1607" t="s">
        <v>3183</v>
      </c>
      <c r="J1607" t="s">
        <v>344</v>
      </c>
      <c r="K1607" t="s">
        <v>11</v>
      </c>
      <c r="L1607" t="s">
        <v>3184</v>
      </c>
      <c r="M1607" t="s">
        <v>10</v>
      </c>
    </row>
    <row r="1608" spans="1:13">
      <c r="A1608" t="s">
        <v>851</v>
      </c>
      <c r="B1608" t="s">
        <v>687</v>
      </c>
      <c r="C1608" t="s">
        <v>687</v>
      </c>
      <c r="D1608" t="s">
        <v>22</v>
      </c>
      <c r="E1608" t="s">
        <v>646</v>
      </c>
      <c r="F1608" t="s">
        <v>40</v>
      </c>
      <c r="G1608">
        <v>2045</v>
      </c>
      <c r="H1608" s="12">
        <v>4363</v>
      </c>
      <c r="I1608" t="s">
        <v>3183</v>
      </c>
      <c r="J1608" t="s">
        <v>344</v>
      </c>
      <c r="K1608" t="s">
        <v>11</v>
      </c>
      <c r="L1608" t="s">
        <v>3184</v>
      </c>
      <c r="M1608" t="s">
        <v>10</v>
      </c>
    </row>
    <row r="1609" spans="1:13">
      <c r="A1609" t="s">
        <v>851</v>
      </c>
      <c r="B1609" t="s">
        <v>687</v>
      </c>
      <c r="C1609" t="s">
        <v>687</v>
      </c>
      <c r="D1609" t="s">
        <v>22</v>
      </c>
      <c r="E1609" t="s">
        <v>646</v>
      </c>
      <c r="F1609" t="s">
        <v>40</v>
      </c>
      <c r="G1609">
        <v>2050</v>
      </c>
      <c r="H1609" s="12">
        <v>4997</v>
      </c>
      <c r="I1609" t="s">
        <v>3183</v>
      </c>
      <c r="J1609" t="s">
        <v>344</v>
      </c>
      <c r="K1609" t="s">
        <v>11</v>
      </c>
      <c r="L1609" t="s">
        <v>3184</v>
      </c>
      <c r="M1609" t="s">
        <v>10</v>
      </c>
    </row>
    <row r="1610" spans="1:13">
      <c r="A1610" t="s">
        <v>851</v>
      </c>
      <c r="B1610" t="s">
        <v>686</v>
      </c>
      <c r="C1610" t="s">
        <v>686</v>
      </c>
      <c r="D1610" t="s">
        <v>22</v>
      </c>
      <c r="E1610" t="s">
        <v>646</v>
      </c>
      <c r="F1610" t="s">
        <v>40</v>
      </c>
      <c r="G1610">
        <v>2010</v>
      </c>
      <c r="H1610" s="12">
        <v>7752</v>
      </c>
      <c r="I1610" t="s">
        <v>3183</v>
      </c>
      <c r="J1610" t="s">
        <v>394</v>
      </c>
      <c r="K1610" t="s">
        <v>11</v>
      </c>
      <c r="L1610" t="s">
        <v>3184</v>
      </c>
      <c r="M1610" t="s">
        <v>16</v>
      </c>
    </row>
    <row r="1611" spans="1:13">
      <c r="A1611" t="s">
        <v>851</v>
      </c>
      <c r="B1611" t="s">
        <v>686</v>
      </c>
      <c r="C1611" t="s">
        <v>686</v>
      </c>
      <c r="D1611" t="s">
        <v>22</v>
      </c>
      <c r="E1611" t="s">
        <v>646</v>
      </c>
      <c r="F1611" t="s">
        <v>40</v>
      </c>
      <c r="G1611">
        <v>2015</v>
      </c>
      <c r="H1611" s="12">
        <v>11073</v>
      </c>
      <c r="I1611" t="s">
        <v>3183</v>
      </c>
      <c r="J1611" t="s">
        <v>394</v>
      </c>
      <c r="K1611" t="s">
        <v>11</v>
      </c>
      <c r="L1611" t="s">
        <v>3184</v>
      </c>
      <c r="M1611" t="s">
        <v>16</v>
      </c>
    </row>
    <row r="1612" spans="1:13">
      <c r="A1612" t="s">
        <v>851</v>
      </c>
      <c r="B1612" t="s">
        <v>686</v>
      </c>
      <c r="C1612" t="s">
        <v>686</v>
      </c>
      <c r="D1612" t="s">
        <v>22</v>
      </c>
      <c r="E1612" t="s">
        <v>646</v>
      </c>
      <c r="F1612" t="s">
        <v>40</v>
      </c>
      <c r="G1612">
        <v>2020</v>
      </c>
      <c r="H1612" s="12">
        <v>11764</v>
      </c>
      <c r="I1612" t="s">
        <v>3183</v>
      </c>
      <c r="J1612" t="s">
        <v>394</v>
      </c>
      <c r="K1612" t="s">
        <v>11</v>
      </c>
      <c r="L1612" t="s">
        <v>3184</v>
      </c>
      <c r="M1612" t="s">
        <v>16</v>
      </c>
    </row>
    <row r="1613" spans="1:13">
      <c r="A1613" t="s">
        <v>851</v>
      </c>
      <c r="B1613" t="s">
        <v>686</v>
      </c>
      <c r="C1613" t="s">
        <v>686</v>
      </c>
      <c r="D1613" t="s">
        <v>22</v>
      </c>
      <c r="E1613" t="s">
        <v>646</v>
      </c>
      <c r="F1613" t="s">
        <v>40</v>
      </c>
      <c r="G1613">
        <v>2030</v>
      </c>
      <c r="H1613" s="12">
        <v>13633</v>
      </c>
      <c r="I1613" t="s">
        <v>3183</v>
      </c>
      <c r="J1613" t="s">
        <v>394</v>
      </c>
      <c r="K1613" t="s">
        <v>11</v>
      </c>
      <c r="L1613" t="s">
        <v>3184</v>
      </c>
      <c r="M1613" t="s">
        <v>16</v>
      </c>
    </row>
    <row r="1614" spans="1:13">
      <c r="A1614" t="s">
        <v>851</v>
      </c>
      <c r="B1614" t="s">
        <v>686</v>
      </c>
      <c r="C1614" t="s">
        <v>686</v>
      </c>
      <c r="D1614" t="s">
        <v>22</v>
      </c>
      <c r="E1614" t="s">
        <v>646</v>
      </c>
      <c r="F1614" t="s">
        <v>40</v>
      </c>
      <c r="G1614">
        <v>2035</v>
      </c>
      <c r="H1614" s="12">
        <v>12350</v>
      </c>
      <c r="I1614" t="s">
        <v>3183</v>
      </c>
      <c r="J1614" t="s">
        <v>394</v>
      </c>
      <c r="K1614" t="s">
        <v>11</v>
      </c>
      <c r="L1614" t="s">
        <v>3184</v>
      </c>
      <c r="M1614" t="s">
        <v>16</v>
      </c>
    </row>
    <row r="1615" spans="1:13">
      <c r="A1615" t="s">
        <v>851</v>
      </c>
      <c r="B1615" t="s">
        <v>686</v>
      </c>
      <c r="C1615" t="s">
        <v>686</v>
      </c>
      <c r="D1615" t="s">
        <v>22</v>
      </c>
      <c r="E1615" t="s">
        <v>646</v>
      </c>
      <c r="F1615" t="s">
        <v>40</v>
      </c>
      <c r="G1615">
        <v>2040</v>
      </c>
      <c r="H1615" s="12">
        <v>11104</v>
      </c>
      <c r="I1615" t="s">
        <v>3183</v>
      </c>
      <c r="J1615" t="s">
        <v>394</v>
      </c>
      <c r="K1615" t="s">
        <v>11</v>
      </c>
      <c r="L1615" t="s">
        <v>3184</v>
      </c>
      <c r="M1615" t="s">
        <v>16</v>
      </c>
    </row>
    <row r="1616" spans="1:13">
      <c r="A1616" t="s">
        <v>851</v>
      </c>
      <c r="B1616" t="s">
        <v>686</v>
      </c>
      <c r="C1616" t="s">
        <v>686</v>
      </c>
      <c r="D1616" t="s">
        <v>22</v>
      </c>
      <c r="E1616" t="s">
        <v>646</v>
      </c>
      <c r="F1616" t="s">
        <v>40</v>
      </c>
      <c r="G1616">
        <v>2045</v>
      </c>
      <c r="H1616" s="12">
        <v>10322</v>
      </c>
      <c r="I1616" t="s">
        <v>3183</v>
      </c>
      <c r="J1616" t="s">
        <v>394</v>
      </c>
      <c r="K1616" t="s">
        <v>11</v>
      </c>
      <c r="L1616" t="s">
        <v>3184</v>
      </c>
      <c r="M1616" t="s">
        <v>16</v>
      </c>
    </row>
    <row r="1617" spans="1:13">
      <c r="A1617" t="s">
        <v>851</v>
      </c>
      <c r="B1617" t="s">
        <v>686</v>
      </c>
      <c r="C1617" t="s">
        <v>686</v>
      </c>
      <c r="D1617" t="s">
        <v>22</v>
      </c>
      <c r="E1617" t="s">
        <v>646</v>
      </c>
      <c r="F1617" t="s">
        <v>40</v>
      </c>
      <c r="G1617">
        <v>2050</v>
      </c>
      <c r="H1617" s="12">
        <v>9860</v>
      </c>
      <c r="I1617" t="s">
        <v>3183</v>
      </c>
      <c r="J1617" t="s">
        <v>394</v>
      </c>
      <c r="K1617" t="s">
        <v>11</v>
      </c>
      <c r="L1617" t="s">
        <v>3184</v>
      </c>
      <c r="M1617" t="s">
        <v>16</v>
      </c>
    </row>
    <row r="1618" spans="1:13">
      <c r="A1618" t="s">
        <v>851</v>
      </c>
      <c r="B1618" t="s">
        <v>687</v>
      </c>
      <c r="C1618" t="s">
        <v>687</v>
      </c>
      <c r="D1618" t="s">
        <v>22</v>
      </c>
      <c r="E1618" t="s">
        <v>646</v>
      </c>
      <c r="F1618" t="s">
        <v>40</v>
      </c>
      <c r="G1618">
        <v>2030</v>
      </c>
      <c r="H1618" s="12">
        <v>12517</v>
      </c>
      <c r="I1618" t="s">
        <v>3183</v>
      </c>
      <c r="J1618" t="s">
        <v>394</v>
      </c>
      <c r="K1618" t="s">
        <v>11</v>
      </c>
      <c r="L1618" t="s">
        <v>3184</v>
      </c>
      <c r="M1618" t="s">
        <v>16</v>
      </c>
    </row>
    <row r="1619" spans="1:13">
      <c r="A1619" t="s">
        <v>851</v>
      </c>
      <c r="B1619" t="s">
        <v>687</v>
      </c>
      <c r="C1619" t="s">
        <v>687</v>
      </c>
      <c r="D1619" t="s">
        <v>22</v>
      </c>
      <c r="E1619" t="s">
        <v>646</v>
      </c>
      <c r="F1619" t="s">
        <v>40</v>
      </c>
      <c r="G1619">
        <v>2035</v>
      </c>
      <c r="H1619" s="12">
        <v>10206</v>
      </c>
      <c r="I1619" t="s">
        <v>3183</v>
      </c>
      <c r="J1619" t="s">
        <v>394</v>
      </c>
      <c r="K1619" t="s">
        <v>11</v>
      </c>
      <c r="L1619" t="s">
        <v>3184</v>
      </c>
      <c r="M1619" t="s">
        <v>16</v>
      </c>
    </row>
    <row r="1620" spans="1:13">
      <c r="A1620" t="s">
        <v>851</v>
      </c>
      <c r="B1620" t="s">
        <v>687</v>
      </c>
      <c r="C1620" t="s">
        <v>687</v>
      </c>
      <c r="D1620" t="s">
        <v>22</v>
      </c>
      <c r="E1620" t="s">
        <v>646</v>
      </c>
      <c r="F1620" t="s">
        <v>40</v>
      </c>
      <c r="G1620">
        <v>2040</v>
      </c>
      <c r="H1620" s="12">
        <v>7574</v>
      </c>
      <c r="I1620" t="s">
        <v>3183</v>
      </c>
      <c r="J1620" t="s">
        <v>394</v>
      </c>
      <c r="K1620" t="s">
        <v>11</v>
      </c>
      <c r="L1620" t="s">
        <v>3184</v>
      </c>
      <c r="M1620" t="s">
        <v>16</v>
      </c>
    </row>
    <row r="1621" spans="1:13">
      <c r="A1621" t="s">
        <v>851</v>
      </c>
      <c r="B1621" t="s">
        <v>687</v>
      </c>
      <c r="C1621" t="s">
        <v>687</v>
      </c>
      <c r="D1621" t="s">
        <v>22</v>
      </c>
      <c r="E1621" t="s">
        <v>646</v>
      </c>
      <c r="F1621" t="s">
        <v>40</v>
      </c>
      <c r="G1621">
        <v>2045</v>
      </c>
      <c r="H1621" s="12">
        <v>5554</v>
      </c>
      <c r="I1621" t="s">
        <v>3183</v>
      </c>
      <c r="J1621" t="s">
        <v>394</v>
      </c>
      <c r="K1621" t="s">
        <v>11</v>
      </c>
      <c r="L1621" t="s">
        <v>3184</v>
      </c>
      <c r="M1621" t="s">
        <v>16</v>
      </c>
    </row>
    <row r="1622" spans="1:13">
      <c r="A1622" t="s">
        <v>851</v>
      </c>
      <c r="B1622" t="s">
        <v>687</v>
      </c>
      <c r="C1622" t="s">
        <v>687</v>
      </c>
      <c r="D1622" t="s">
        <v>22</v>
      </c>
      <c r="E1622" t="s">
        <v>646</v>
      </c>
      <c r="F1622" t="s">
        <v>40</v>
      </c>
      <c r="G1622">
        <v>2050</v>
      </c>
      <c r="H1622" s="12">
        <v>4090</v>
      </c>
      <c r="I1622" t="s">
        <v>3183</v>
      </c>
      <c r="J1622" t="s">
        <v>394</v>
      </c>
      <c r="K1622" t="s">
        <v>11</v>
      </c>
      <c r="L1622" t="s">
        <v>3184</v>
      </c>
      <c r="M1622" t="s">
        <v>16</v>
      </c>
    </row>
    <row r="1623" spans="1:13">
      <c r="A1623" t="s">
        <v>851</v>
      </c>
      <c r="B1623" t="s">
        <v>686</v>
      </c>
      <c r="C1623" t="s">
        <v>686</v>
      </c>
      <c r="D1623" t="s">
        <v>22</v>
      </c>
      <c r="E1623" t="s">
        <v>646</v>
      </c>
      <c r="F1623" t="s">
        <v>40</v>
      </c>
      <c r="G1623">
        <v>2010</v>
      </c>
      <c r="H1623" s="12">
        <v>288</v>
      </c>
      <c r="I1623" t="s">
        <v>3183</v>
      </c>
      <c r="J1623" t="s">
        <v>6</v>
      </c>
      <c r="K1623" t="s">
        <v>11</v>
      </c>
      <c r="L1623" t="s">
        <v>3184</v>
      </c>
      <c r="M1623" t="s">
        <v>659</v>
      </c>
    </row>
    <row r="1624" spans="1:13">
      <c r="A1624" t="s">
        <v>851</v>
      </c>
      <c r="B1624" t="s">
        <v>686</v>
      </c>
      <c r="C1624" t="s">
        <v>686</v>
      </c>
      <c r="D1624" t="s">
        <v>22</v>
      </c>
      <c r="E1624" t="s">
        <v>646</v>
      </c>
      <c r="F1624" t="s">
        <v>40</v>
      </c>
      <c r="G1624">
        <v>2015</v>
      </c>
      <c r="H1624" s="12">
        <v>719</v>
      </c>
      <c r="I1624" t="s">
        <v>3183</v>
      </c>
      <c r="J1624" t="s">
        <v>6</v>
      </c>
      <c r="K1624" t="s">
        <v>11</v>
      </c>
      <c r="L1624" t="s">
        <v>3184</v>
      </c>
      <c r="M1624" t="s">
        <v>659</v>
      </c>
    </row>
    <row r="1625" spans="1:13">
      <c r="A1625" t="s">
        <v>851</v>
      </c>
      <c r="B1625" t="s">
        <v>686</v>
      </c>
      <c r="C1625" t="s">
        <v>686</v>
      </c>
      <c r="D1625" t="s">
        <v>22</v>
      </c>
      <c r="E1625" t="s">
        <v>646</v>
      </c>
      <c r="F1625" t="s">
        <v>40</v>
      </c>
      <c r="G1625">
        <v>2020</v>
      </c>
      <c r="H1625" s="12">
        <v>1099</v>
      </c>
      <c r="I1625" t="s">
        <v>3183</v>
      </c>
      <c r="J1625" t="s">
        <v>6</v>
      </c>
      <c r="K1625" t="s">
        <v>11</v>
      </c>
      <c r="L1625" t="s">
        <v>3184</v>
      </c>
      <c r="M1625" t="s">
        <v>659</v>
      </c>
    </row>
    <row r="1626" spans="1:13">
      <c r="A1626" t="s">
        <v>851</v>
      </c>
      <c r="B1626" t="s">
        <v>686</v>
      </c>
      <c r="C1626" t="s">
        <v>686</v>
      </c>
      <c r="D1626" t="s">
        <v>22</v>
      </c>
      <c r="E1626" t="s">
        <v>646</v>
      </c>
      <c r="F1626" t="s">
        <v>40</v>
      </c>
      <c r="G1626">
        <v>2030</v>
      </c>
      <c r="H1626" s="12">
        <v>1301</v>
      </c>
      <c r="I1626" t="s">
        <v>3183</v>
      </c>
      <c r="J1626" t="s">
        <v>6</v>
      </c>
      <c r="K1626" t="s">
        <v>11</v>
      </c>
      <c r="L1626" t="s">
        <v>3184</v>
      </c>
      <c r="M1626" t="s">
        <v>659</v>
      </c>
    </row>
    <row r="1627" spans="1:13">
      <c r="A1627" t="s">
        <v>851</v>
      </c>
      <c r="B1627" t="s">
        <v>686</v>
      </c>
      <c r="C1627" t="s">
        <v>686</v>
      </c>
      <c r="D1627" t="s">
        <v>22</v>
      </c>
      <c r="E1627" t="s">
        <v>646</v>
      </c>
      <c r="F1627" t="s">
        <v>40</v>
      </c>
      <c r="G1627">
        <v>2035</v>
      </c>
      <c r="H1627" s="12">
        <v>1233</v>
      </c>
      <c r="I1627" t="s">
        <v>3183</v>
      </c>
      <c r="J1627" t="s">
        <v>6</v>
      </c>
      <c r="K1627" t="s">
        <v>11</v>
      </c>
      <c r="L1627" t="s">
        <v>3184</v>
      </c>
      <c r="M1627" t="s">
        <v>659</v>
      </c>
    </row>
    <row r="1628" spans="1:13">
      <c r="A1628" t="s">
        <v>851</v>
      </c>
      <c r="B1628" t="s">
        <v>686</v>
      </c>
      <c r="C1628" t="s">
        <v>686</v>
      </c>
      <c r="D1628" t="s">
        <v>22</v>
      </c>
      <c r="E1628" t="s">
        <v>646</v>
      </c>
      <c r="F1628" t="s">
        <v>40</v>
      </c>
      <c r="G1628">
        <v>2040</v>
      </c>
      <c r="H1628" s="12">
        <v>1142</v>
      </c>
      <c r="I1628" t="s">
        <v>3183</v>
      </c>
      <c r="J1628" t="s">
        <v>6</v>
      </c>
      <c r="K1628" t="s">
        <v>11</v>
      </c>
      <c r="L1628" t="s">
        <v>3184</v>
      </c>
      <c r="M1628" t="s">
        <v>659</v>
      </c>
    </row>
    <row r="1629" spans="1:13">
      <c r="A1629" t="s">
        <v>851</v>
      </c>
      <c r="B1629" t="s">
        <v>686</v>
      </c>
      <c r="C1629" t="s">
        <v>686</v>
      </c>
      <c r="D1629" t="s">
        <v>22</v>
      </c>
      <c r="E1629" t="s">
        <v>646</v>
      </c>
      <c r="F1629" t="s">
        <v>40</v>
      </c>
      <c r="G1629">
        <v>2045</v>
      </c>
      <c r="H1629" s="12">
        <v>1042</v>
      </c>
      <c r="I1629" t="s">
        <v>3183</v>
      </c>
      <c r="J1629" t="s">
        <v>6</v>
      </c>
      <c r="K1629" t="s">
        <v>11</v>
      </c>
      <c r="L1629" t="s">
        <v>3184</v>
      </c>
      <c r="M1629" t="s">
        <v>659</v>
      </c>
    </row>
    <row r="1630" spans="1:13">
      <c r="A1630" t="s">
        <v>851</v>
      </c>
      <c r="B1630" t="s">
        <v>686</v>
      </c>
      <c r="C1630" t="s">
        <v>686</v>
      </c>
      <c r="D1630" t="s">
        <v>22</v>
      </c>
      <c r="E1630" t="s">
        <v>646</v>
      </c>
      <c r="F1630" t="s">
        <v>40</v>
      </c>
      <c r="G1630">
        <v>2050</v>
      </c>
      <c r="H1630" s="12">
        <v>975</v>
      </c>
      <c r="I1630" t="s">
        <v>3183</v>
      </c>
      <c r="J1630" t="s">
        <v>6</v>
      </c>
      <c r="K1630" t="s">
        <v>11</v>
      </c>
      <c r="L1630" t="s">
        <v>3184</v>
      </c>
      <c r="M1630" t="s">
        <v>659</v>
      </c>
    </row>
    <row r="1631" spans="1:13">
      <c r="A1631" t="s">
        <v>851</v>
      </c>
      <c r="B1631" t="s">
        <v>687</v>
      </c>
      <c r="C1631" t="s">
        <v>687</v>
      </c>
      <c r="D1631" t="s">
        <v>22</v>
      </c>
      <c r="E1631" t="s">
        <v>646</v>
      </c>
      <c r="F1631" t="s">
        <v>40</v>
      </c>
      <c r="G1631">
        <v>2030</v>
      </c>
      <c r="H1631" s="12">
        <v>1108</v>
      </c>
      <c r="I1631" t="s">
        <v>3183</v>
      </c>
      <c r="J1631" t="s">
        <v>6</v>
      </c>
      <c r="K1631" t="s">
        <v>11</v>
      </c>
      <c r="L1631" t="s">
        <v>3184</v>
      </c>
      <c r="M1631" t="s">
        <v>659</v>
      </c>
    </row>
    <row r="1632" spans="1:13">
      <c r="A1632" t="s">
        <v>851</v>
      </c>
      <c r="B1632" t="s">
        <v>687</v>
      </c>
      <c r="C1632" t="s">
        <v>687</v>
      </c>
      <c r="D1632" t="s">
        <v>22</v>
      </c>
      <c r="E1632" t="s">
        <v>646</v>
      </c>
      <c r="F1632" t="s">
        <v>40</v>
      </c>
      <c r="G1632">
        <v>2035</v>
      </c>
      <c r="H1632" s="12">
        <v>695</v>
      </c>
      <c r="I1632" t="s">
        <v>3183</v>
      </c>
      <c r="J1632" t="s">
        <v>6</v>
      </c>
      <c r="K1632" t="s">
        <v>11</v>
      </c>
      <c r="L1632" t="s">
        <v>3184</v>
      </c>
      <c r="M1632" t="s">
        <v>659</v>
      </c>
    </row>
    <row r="1633" spans="1:13">
      <c r="A1633" t="s">
        <v>851</v>
      </c>
      <c r="B1633" t="s">
        <v>687</v>
      </c>
      <c r="C1633" t="s">
        <v>687</v>
      </c>
      <c r="D1633" t="s">
        <v>22</v>
      </c>
      <c r="E1633" t="s">
        <v>646</v>
      </c>
      <c r="F1633" t="s">
        <v>40</v>
      </c>
      <c r="G1633">
        <v>2040</v>
      </c>
      <c r="H1633" s="12">
        <v>380</v>
      </c>
      <c r="I1633" t="s">
        <v>3183</v>
      </c>
      <c r="J1633" t="s">
        <v>6</v>
      </c>
      <c r="K1633" t="s">
        <v>11</v>
      </c>
      <c r="L1633" t="s">
        <v>3184</v>
      </c>
      <c r="M1633" t="s">
        <v>659</v>
      </c>
    </row>
    <row r="1634" spans="1:13">
      <c r="A1634" t="s">
        <v>851</v>
      </c>
      <c r="B1634" t="s">
        <v>687</v>
      </c>
      <c r="C1634" t="s">
        <v>687</v>
      </c>
      <c r="D1634" t="s">
        <v>22</v>
      </c>
      <c r="E1634" t="s">
        <v>646</v>
      </c>
      <c r="F1634" t="s">
        <v>40</v>
      </c>
      <c r="G1634">
        <v>2045</v>
      </c>
      <c r="H1634" s="12">
        <v>222</v>
      </c>
      <c r="I1634" t="s">
        <v>3183</v>
      </c>
      <c r="J1634" t="s">
        <v>6</v>
      </c>
      <c r="K1634" t="s">
        <v>11</v>
      </c>
      <c r="L1634" t="s">
        <v>3184</v>
      </c>
      <c r="M1634" t="s">
        <v>659</v>
      </c>
    </row>
    <row r="1635" spans="1:13">
      <c r="A1635" t="s">
        <v>851</v>
      </c>
      <c r="B1635" t="s">
        <v>686</v>
      </c>
      <c r="C1635" t="s">
        <v>686</v>
      </c>
      <c r="D1635" t="s">
        <v>22</v>
      </c>
      <c r="E1635" t="s">
        <v>646</v>
      </c>
      <c r="F1635" t="s">
        <v>40</v>
      </c>
      <c r="G1635">
        <v>2010</v>
      </c>
      <c r="H1635" s="12">
        <v>1052</v>
      </c>
      <c r="I1635" t="s">
        <v>3183</v>
      </c>
      <c r="J1635" t="s">
        <v>6</v>
      </c>
      <c r="K1635" t="s">
        <v>658</v>
      </c>
      <c r="L1635" t="s">
        <v>3184</v>
      </c>
      <c r="M1635" t="s">
        <v>659</v>
      </c>
    </row>
    <row r="1636" spans="1:13">
      <c r="A1636" t="s">
        <v>851</v>
      </c>
      <c r="B1636" t="s">
        <v>686</v>
      </c>
      <c r="C1636" t="s">
        <v>686</v>
      </c>
      <c r="D1636" t="s">
        <v>22</v>
      </c>
      <c r="E1636" t="s">
        <v>646</v>
      </c>
      <c r="F1636" t="s">
        <v>40</v>
      </c>
      <c r="G1636">
        <v>2015</v>
      </c>
      <c r="H1636" s="12">
        <v>1686</v>
      </c>
      <c r="I1636" t="s">
        <v>3183</v>
      </c>
      <c r="J1636" t="s">
        <v>6</v>
      </c>
      <c r="K1636" t="s">
        <v>658</v>
      </c>
      <c r="L1636" t="s">
        <v>3184</v>
      </c>
      <c r="M1636" t="s">
        <v>659</v>
      </c>
    </row>
    <row r="1637" spans="1:13">
      <c r="A1637" t="s">
        <v>851</v>
      </c>
      <c r="B1637" t="s">
        <v>686</v>
      </c>
      <c r="C1637" t="s">
        <v>686</v>
      </c>
      <c r="D1637" t="s">
        <v>22</v>
      </c>
      <c r="E1637" t="s">
        <v>646</v>
      </c>
      <c r="F1637" t="s">
        <v>40</v>
      </c>
      <c r="G1637">
        <v>2020</v>
      </c>
      <c r="H1637" s="12">
        <v>2492</v>
      </c>
      <c r="I1637" t="s">
        <v>3183</v>
      </c>
      <c r="J1637" t="s">
        <v>6</v>
      </c>
      <c r="K1637" t="s">
        <v>658</v>
      </c>
      <c r="L1637" t="s">
        <v>3184</v>
      </c>
      <c r="M1637" t="s">
        <v>659</v>
      </c>
    </row>
    <row r="1638" spans="1:13">
      <c r="A1638" t="s">
        <v>851</v>
      </c>
      <c r="B1638" t="s">
        <v>686</v>
      </c>
      <c r="C1638" t="s">
        <v>686</v>
      </c>
      <c r="D1638" t="s">
        <v>22</v>
      </c>
      <c r="E1638" t="s">
        <v>646</v>
      </c>
      <c r="F1638" t="s">
        <v>40</v>
      </c>
      <c r="G1638">
        <v>2030</v>
      </c>
      <c r="H1638" s="12">
        <v>3600</v>
      </c>
      <c r="I1638" t="s">
        <v>3183</v>
      </c>
      <c r="J1638" t="s">
        <v>6</v>
      </c>
      <c r="K1638" t="s">
        <v>658</v>
      </c>
      <c r="L1638" t="s">
        <v>3184</v>
      </c>
      <c r="M1638" t="s">
        <v>659</v>
      </c>
    </row>
    <row r="1639" spans="1:13">
      <c r="A1639" t="s">
        <v>851</v>
      </c>
      <c r="B1639" t="s">
        <v>686</v>
      </c>
      <c r="C1639" t="s">
        <v>686</v>
      </c>
      <c r="D1639" t="s">
        <v>22</v>
      </c>
      <c r="E1639" t="s">
        <v>646</v>
      </c>
      <c r="F1639" t="s">
        <v>40</v>
      </c>
      <c r="G1639">
        <v>2035</v>
      </c>
      <c r="H1639" s="12">
        <v>3615</v>
      </c>
      <c r="I1639" t="s">
        <v>3183</v>
      </c>
      <c r="J1639" t="s">
        <v>6</v>
      </c>
      <c r="K1639" t="s">
        <v>658</v>
      </c>
      <c r="L1639" t="s">
        <v>3184</v>
      </c>
      <c r="M1639" t="s">
        <v>659</v>
      </c>
    </row>
    <row r="1640" spans="1:13">
      <c r="A1640" t="s">
        <v>851</v>
      </c>
      <c r="B1640" t="s">
        <v>686</v>
      </c>
      <c r="C1640" t="s">
        <v>686</v>
      </c>
      <c r="D1640" t="s">
        <v>22</v>
      </c>
      <c r="E1640" t="s">
        <v>646</v>
      </c>
      <c r="F1640" t="s">
        <v>40</v>
      </c>
      <c r="G1640">
        <v>2040</v>
      </c>
      <c r="H1640" s="12">
        <v>3626</v>
      </c>
      <c r="I1640" t="s">
        <v>3183</v>
      </c>
      <c r="J1640" t="s">
        <v>6</v>
      </c>
      <c r="K1640" t="s">
        <v>658</v>
      </c>
      <c r="L1640" t="s">
        <v>3184</v>
      </c>
      <c r="M1640" t="s">
        <v>659</v>
      </c>
    </row>
    <row r="1641" spans="1:13">
      <c r="A1641" t="s">
        <v>851</v>
      </c>
      <c r="B1641" t="s">
        <v>686</v>
      </c>
      <c r="C1641" t="s">
        <v>686</v>
      </c>
      <c r="D1641" t="s">
        <v>22</v>
      </c>
      <c r="E1641" t="s">
        <v>646</v>
      </c>
      <c r="F1641" t="s">
        <v>40</v>
      </c>
      <c r="G1641">
        <v>2045</v>
      </c>
      <c r="H1641" s="12">
        <v>3555</v>
      </c>
      <c r="I1641" t="s">
        <v>3183</v>
      </c>
      <c r="J1641" t="s">
        <v>6</v>
      </c>
      <c r="K1641" t="s">
        <v>658</v>
      </c>
      <c r="L1641" t="s">
        <v>3184</v>
      </c>
      <c r="M1641" t="s">
        <v>659</v>
      </c>
    </row>
    <row r="1642" spans="1:13">
      <c r="A1642" t="s">
        <v>851</v>
      </c>
      <c r="B1642" t="s">
        <v>686</v>
      </c>
      <c r="C1642" t="s">
        <v>686</v>
      </c>
      <c r="D1642" t="s">
        <v>22</v>
      </c>
      <c r="E1642" t="s">
        <v>646</v>
      </c>
      <c r="F1642" t="s">
        <v>40</v>
      </c>
      <c r="G1642">
        <v>2050</v>
      </c>
      <c r="H1642" s="12">
        <v>3215</v>
      </c>
      <c r="I1642" t="s">
        <v>3183</v>
      </c>
      <c r="J1642" t="s">
        <v>6</v>
      </c>
      <c r="K1642" t="s">
        <v>658</v>
      </c>
      <c r="L1642" t="s">
        <v>3184</v>
      </c>
      <c r="M1642" t="s">
        <v>659</v>
      </c>
    </row>
    <row r="1643" spans="1:13">
      <c r="A1643" t="s">
        <v>851</v>
      </c>
      <c r="B1643" t="s">
        <v>687</v>
      </c>
      <c r="C1643" t="s">
        <v>687</v>
      </c>
      <c r="D1643" t="s">
        <v>22</v>
      </c>
      <c r="E1643" t="s">
        <v>646</v>
      </c>
      <c r="F1643" t="s">
        <v>40</v>
      </c>
      <c r="G1643">
        <v>2030</v>
      </c>
      <c r="H1643" s="12">
        <v>3383</v>
      </c>
      <c r="I1643" t="s">
        <v>3183</v>
      </c>
      <c r="J1643" t="s">
        <v>6</v>
      </c>
      <c r="K1643" t="s">
        <v>658</v>
      </c>
      <c r="L1643" t="s">
        <v>3184</v>
      </c>
      <c r="M1643" t="s">
        <v>659</v>
      </c>
    </row>
    <row r="1644" spans="1:13">
      <c r="A1644" t="s">
        <v>851</v>
      </c>
      <c r="B1644" t="s">
        <v>687</v>
      </c>
      <c r="C1644" t="s">
        <v>687</v>
      </c>
      <c r="D1644" t="s">
        <v>22</v>
      </c>
      <c r="E1644" t="s">
        <v>646</v>
      </c>
      <c r="F1644" t="s">
        <v>40</v>
      </c>
      <c r="G1644">
        <v>2035</v>
      </c>
      <c r="H1644" s="12">
        <v>2885</v>
      </c>
      <c r="I1644" t="s">
        <v>3183</v>
      </c>
      <c r="J1644" t="s">
        <v>6</v>
      </c>
      <c r="K1644" t="s">
        <v>658</v>
      </c>
      <c r="L1644" t="s">
        <v>3184</v>
      </c>
      <c r="M1644" t="s">
        <v>659</v>
      </c>
    </row>
    <row r="1645" spans="1:13">
      <c r="A1645" t="s">
        <v>851</v>
      </c>
      <c r="B1645" t="s">
        <v>687</v>
      </c>
      <c r="C1645" t="s">
        <v>687</v>
      </c>
      <c r="D1645" t="s">
        <v>22</v>
      </c>
      <c r="E1645" t="s">
        <v>646</v>
      </c>
      <c r="F1645" t="s">
        <v>40</v>
      </c>
      <c r="G1645">
        <v>2040</v>
      </c>
      <c r="H1645" s="12">
        <v>2288</v>
      </c>
      <c r="I1645" t="s">
        <v>3183</v>
      </c>
      <c r="J1645" t="s">
        <v>6</v>
      </c>
      <c r="K1645" t="s">
        <v>658</v>
      </c>
      <c r="L1645" t="s">
        <v>3184</v>
      </c>
      <c r="M1645" t="s">
        <v>659</v>
      </c>
    </row>
    <row r="1646" spans="1:13">
      <c r="A1646" t="s">
        <v>851</v>
      </c>
      <c r="B1646" t="s">
        <v>687</v>
      </c>
      <c r="C1646" t="s">
        <v>687</v>
      </c>
      <c r="D1646" t="s">
        <v>22</v>
      </c>
      <c r="E1646" t="s">
        <v>646</v>
      </c>
      <c r="F1646" t="s">
        <v>40</v>
      </c>
      <c r="G1646">
        <v>2045</v>
      </c>
      <c r="H1646" s="12">
        <v>1727</v>
      </c>
      <c r="I1646" t="s">
        <v>3183</v>
      </c>
      <c r="J1646" t="s">
        <v>6</v>
      </c>
      <c r="K1646" t="s">
        <v>658</v>
      </c>
      <c r="L1646" t="s">
        <v>3184</v>
      </c>
      <c r="M1646" t="s">
        <v>659</v>
      </c>
    </row>
    <row r="1647" spans="1:13">
      <c r="A1647" t="s">
        <v>851</v>
      </c>
      <c r="B1647" t="s">
        <v>687</v>
      </c>
      <c r="C1647" t="s">
        <v>687</v>
      </c>
      <c r="D1647" t="s">
        <v>22</v>
      </c>
      <c r="E1647" t="s">
        <v>646</v>
      </c>
      <c r="F1647" t="s">
        <v>40</v>
      </c>
      <c r="G1647">
        <v>2050</v>
      </c>
      <c r="H1647" s="12">
        <v>1105</v>
      </c>
      <c r="I1647" t="s">
        <v>3183</v>
      </c>
      <c r="J1647" t="s">
        <v>6</v>
      </c>
      <c r="K1647" t="s">
        <v>658</v>
      </c>
      <c r="L1647" t="s">
        <v>3184</v>
      </c>
      <c r="M1647" t="s">
        <v>659</v>
      </c>
    </row>
    <row r="1648" spans="1:13">
      <c r="A1648" t="s">
        <v>851</v>
      </c>
      <c r="B1648" t="s">
        <v>686</v>
      </c>
      <c r="C1648" t="s">
        <v>686</v>
      </c>
      <c r="D1648" t="s">
        <v>22</v>
      </c>
      <c r="E1648" t="s">
        <v>646</v>
      </c>
      <c r="F1648" t="s">
        <v>40</v>
      </c>
      <c r="G1648">
        <v>2010</v>
      </c>
      <c r="H1648" s="12">
        <v>8517</v>
      </c>
      <c r="I1648" t="s">
        <v>3183</v>
      </c>
      <c r="J1648" t="s">
        <v>344</v>
      </c>
      <c r="K1648" t="s">
        <v>9</v>
      </c>
      <c r="L1648" t="s">
        <v>3184</v>
      </c>
      <c r="M1648" t="s">
        <v>10</v>
      </c>
    </row>
    <row r="1649" spans="1:13">
      <c r="A1649" t="s">
        <v>851</v>
      </c>
      <c r="B1649" t="s">
        <v>686</v>
      </c>
      <c r="C1649" t="s">
        <v>686</v>
      </c>
      <c r="D1649" t="s">
        <v>22</v>
      </c>
      <c r="E1649" t="s">
        <v>646</v>
      </c>
      <c r="F1649" t="s">
        <v>40</v>
      </c>
      <c r="G1649">
        <v>2015</v>
      </c>
      <c r="H1649" s="12">
        <v>11575</v>
      </c>
      <c r="I1649" t="s">
        <v>3183</v>
      </c>
      <c r="J1649" t="s">
        <v>344</v>
      </c>
      <c r="K1649" t="s">
        <v>9</v>
      </c>
      <c r="L1649" t="s">
        <v>3184</v>
      </c>
      <c r="M1649" t="s">
        <v>10</v>
      </c>
    </row>
    <row r="1650" spans="1:13">
      <c r="A1650" t="s">
        <v>851</v>
      </c>
      <c r="B1650" t="s">
        <v>686</v>
      </c>
      <c r="C1650" t="s">
        <v>686</v>
      </c>
      <c r="D1650" t="s">
        <v>22</v>
      </c>
      <c r="E1650" t="s">
        <v>646</v>
      </c>
      <c r="F1650" t="s">
        <v>40</v>
      </c>
      <c r="G1650">
        <v>2020</v>
      </c>
      <c r="H1650" s="12">
        <v>14684</v>
      </c>
      <c r="I1650" t="s">
        <v>3183</v>
      </c>
      <c r="J1650" t="s">
        <v>344</v>
      </c>
      <c r="K1650" t="s">
        <v>9</v>
      </c>
      <c r="L1650" t="s">
        <v>3184</v>
      </c>
      <c r="M1650" t="s">
        <v>10</v>
      </c>
    </row>
    <row r="1651" spans="1:13">
      <c r="A1651" t="s">
        <v>851</v>
      </c>
      <c r="B1651" t="s">
        <v>686</v>
      </c>
      <c r="C1651" t="s">
        <v>686</v>
      </c>
      <c r="D1651" t="s">
        <v>22</v>
      </c>
      <c r="E1651" t="s">
        <v>646</v>
      </c>
      <c r="F1651" t="s">
        <v>40</v>
      </c>
      <c r="G1651">
        <v>2010</v>
      </c>
      <c r="H1651" s="12">
        <v>1688</v>
      </c>
      <c r="I1651" t="s">
        <v>3183</v>
      </c>
      <c r="J1651" t="s">
        <v>6</v>
      </c>
      <c r="K1651" t="s">
        <v>9</v>
      </c>
      <c r="L1651" t="s">
        <v>3184</v>
      </c>
      <c r="M1651" t="s">
        <v>666</v>
      </c>
    </row>
    <row r="1652" spans="1:13">
      <c r="A1652" t="s">
        <v>851</v>
      </c>
      <c r="B1652" t="s">
        <v>686</v>
      </c>
      <c r="C1652" t="s">
        <v>686</v>
      </c>
      <c r="D1652" t="s">
        <v>22</v>
      </c>
      <c r="E1652" t="s">
        <v>646</v>
      </c>
      <c r="F1652" t="s">
        <v>40</v>
      </c>
      <c r="G1652">
        <v>2015</v>
      </c>
      <c r="H1652" s="12">
        <v>2358</v>
      </c>
      <c r="I1652" t="s">
        <v>3183</v>
      </c>
      <c r="J1652" t="s">
        <v>6</v>
      </c>
      <c r="K1652" t="s">
        <v>9</v>
      </c>
      <c r="L1652" t="s">
        <v>3184</v>
      </c>
      <c r="M1652" t="s">
        <v>666</v>
      </c>
    </row>
    <row r="1653" spans="1:13">
      <c r="A1653" t="s">
        <v>851</v>
      </c>
      <c r="B1653" t="s">
        <v>686</v>
      </c>
      <c r="C1653" t="s">
        <v>686</v>
      </c>
      <c r="D1653" t="s">
        <v>22</v>
      </c>
      <c r="E1653" t="s">
        <v>646</v>
      </c>
      <c r="F1653" t="s">
        <v>40</v>
      </c>
      <c r="G1653">
        <v>2020</v>
      </c>
      <c r="H1653" s="12">
        <v>4338</v>
      </c>
      <c r="I1653" t="s">
        <v>3183</v>
      </c>
      <c r="J1653" t="s">
        <v>6</v>
      </c>
      <c r="K1653" t="s">
        <v>9</v>
      </c>
      <c r="L1653" t="s">
        <v>3184</v>
      </c>
      <c r="M1653" t="s">
        <v>666</v>
      </c>
    </row>
    <row r="1654" spans="1:13">
      <c r="A1654" t="s">
        <v>851</v>
      </c>
      <c r="B1654" t="s">
        <v>686</v>
      </c>
      <c r="C1654" t="s">
        <v>686</v>
      </c>
      <c r="D1654" t="s">
        <v>22</v>
      </c>
      <c r="E1654" t="s">
        <v>646</v>
      </c>
      <c r="F1654" t="s">
        <v>40</v>
      </c>
      <c r="G1654">
        <v>2030</v>
      </c>
      <c r="H1654" s="12">
        <v>6044</v>
      </c>
      <c r="I1654" t="s">
        <v>3183</v>
      </c>
      <c r="J1654" t="s">
        <v>6</v>
      </c>
      <c r="K1654" t="s">
        <v>9</v>
      </c>
      <c r="L1654" t="s">
        <v>3184</v>
      </c>
      <c r="M1654" t="s">
        <v>666</v>
      </c>
    </row>
    <row r="1655" spans="1:13">
      <c r="A1655" t="s">
        <v>851</v>
      </c>
      <c r="B1655" t="s">
        <v>686</v>
      </c>
      <c r="C1655" t="s">
        <v>686</v>
      </c>
      <c r="D1655" t="s">
        <v>22</v>
      </c>
      <c r="E1655" t="s">
        <v>646</v>
      </c>
      <c r="F1655" t="s">
        <v>40</v>
      </c>
      <c r="G1655">
        <v>2035</v>
      </c>
      <c r="H1655" s="12">
        <v>6525</v>
      </c>
      <c r="I1655" t="s">
        <v>3183</v>
      </c>
      <c r="J1655" t="s">
        <v>6</v>
      </c>
      <c r="K1655" t="s">
        <v>9</v>
      </c>
      <c r="L1655" t="s">
        <v>3184</v>
      </c>
      <c r="M1655" t="s">
        <v>666</v>
      </c>
    </row>
    <row r="1656" spans="1:13">
      <c r="A1656" t="s">
        <v>851</v>
      </c>
      <c r="B1656" t="s">
        <v>686</v>
      </c>
      <c r="C1656" t="s">
        <v>686</v>
      </c>
      <c r="D1656" t="s">
        <v>22</v>
      </c>
      <c r="E1656" t="s">
        <v>646</v>
      </c>
      <c r="F1656" t="s">
        <v>40</v>
      </c>
      <c r="G1656">
        <v>2040</v>
      </c>
      <c r="H1656" s="12">
        <v>6792</v>
      </c>
      <c r="I1656" t="s">
        <v>3183</v>
      </c>
      <c r="J1656" t="s">
        <v>6</v>
      </c>
      <c r="K1656" t="s">
        <v>9</v>
      </c>
      <c r="L1656" t="s">
        <v>3184</v>
      </c>
      <c r="M1656" t="s">
        <v>666</v>
      </c>
    </row>
    <row r="1657" spans="1:13">
      <c r="A1657" t="s">
        <v>851</v>
      </c>
      <c r="B1657" t="s">
        <v>686</v>
      </c>
      <c r="C1657" t="s">
        <v>686</v>
      </c>
      <c r="D1657" t="s">
        <v>22</v>
      </c>
      <c r="E1657" t="s">
        <v>646</v>
      </c>
      <c r="F1657" t="s">
        <v>40</v>
      </c>
      <c r="G1657">
        <v>2045</v>
      </c>
      <c r="H1657" s="12">
        <v>6873</v>
      </c>
      <c r="I1657" t="s">
        <v>3183</v>
      </c>
      <c r="J1657" t="s">
        <v>6</v>
      </c>
      <c r="K1657" t="s">
        <v>9</v>
      </c>
      <c r="L1657" t="s">
        <v>3184</v>
      </c>
      <c r="M1657" t="s">
        <v>666</v>
      </c>
    </row>
    <row r="1658" spans="1:13">
      <c r="A1658" t="s">
        <v>851</v>
      </c>
      <c r="B1658" t="s">
        <v>686</v>
      </c>
      <c r="C1658" t="s">
        <v>686</v>
      </c>
      <c r="D1658" t="s">
        <v>22</v>
      </c>
      <c r="E1658" t="s">
        <v>646</v>
      </c>
      <c r="F1658" t="s">
        <v>40</v>
      </c>
      <c r="G1658">
        <v>2050</v>
      </c>
      <c r="H1658" s="12">
        <v>6800</v>
      </c>
      <c r="I1658" t="s">
        <v>3183</v>
      </c>
      <c r="J1658" t="s">
        <v>6</v>
      </c>
      <c r="K1658" t="s">
        <v>9</v>
      </c>
      <c r="L1658" t="s">
        <v>3184</v>
      </c>
      <c r="M1658" t="s">
        <v>666</v>
      </c>
    </row>
    <row r="1659" spans="1:13">
      <c r="A1659" t="s">
        <v>851</v>
      </c>
      <c r="B1659" t="s">
        <v>687</v>
      </c>
      <c r="C1659" t="s">
        <v>687</v>
      </c>
      <c r="D1659" t="s">
        <v>22</v>
      </c>
      <c r="E1659" t="s">
        <v>646</v>
      </c>
      <c r="F1659" t="s">
        <v>40</v>
      </c>
      <c r="G1659">
        <v>2030</v>
      </c>
      <c r="H1659" s="12">
        <v>5525</v>
      </c>
      <c r="I1659" t="s">
        <v>3183</v>
      </c>
      <c r="J1659" t="s">
        <v>6</v>
      </c>
      <c r="K1659" t="s">
        <v>9</v>
      </c>
      <c r="L1659" t="s">
        <v>3184</v>
      </c>
      <c r="M1659" t="s">
        <v>666</v>
      </c>
    </row>
    <row r="1660" spans="1:13">
      <c r="A1660" t="s">
        <v>851</v>
      </c>
      <c r="B1660" t="s">
        <v>687</v>
      </c>
      <c r="C1660" t="s">
        <v>687</v>
      </c>
      <c r="D1660" t="s">
        <v>22</v>
      </c>
      <c r="E1660" t="s">
        <v>646</v>
      </c>
      <c r="F1660" t="s">
        <v>40</v>
      </c>
      <c r="G1660">
        <v>2035</v>
      </c>
      <c r="H1660" s="12">
        <v>5227</v>
      </c>
      <c r="I1660" t="s">
        <v>3183</v>
      </c>
      <c r="J1660" t="s">
        <v>6</v>
      </c>
      <c r="K1660" t="s">
        <v>9</v>
      </c>
      <c r="L1660" t="s">
        <v>3184</v>
      </c>
      <c r="M1660" t="s">
        <v>666</v>
      </c>
    </row>
    <row r="1661" spans="1:13">
      <c r="A1661" t="s">
        <v>851</v>
      </c>
      <c r="B1661" t="s">
        <v>687</v>
      </c>
      <c r="C1661" t="s">
        <v>687</v>
      </c>
      <c r="D1661" t="s">
        <v>22</v>
      </c>
      <c r="E1661" t="s">
        <v>646</v>
      </c>
      <c r="F1661" t="s">
        <v>40</v>
      </c>
      <c r="G1661">
        <v>2040</v>
      </c>
      <c r="H1661" s="12">
        <v>4603</v>
      </c>
      <c r="I1661" t="s">
        <v>3183</v>
      </c>
      <c r="J1661" t="s">
        <v>6</v>
      </c>
      <c r="K1661" t="s">
        <v>9</v>
      </c>
      <c r="L1661" t="s">
        <v>3184</v>
      </c>
      <c r="M1661" t="s">
        <v>666</v>
      </c>
    </row>
    <row r="1662" spans="1:13">
      <c r="A1662" t="s">
        <v>851</v>
      </c>
      <c r="B1662" t="s">
        <v>687</v>
      </c>
      <c r="C1662" t="s">
        <v>687</v>
      </c>
      <c r="D1662" t="s">
        <v>22</v>
      </c>
      <c r="E1662" t="s">
        <v>646</v>
      </c>
      <c r="F1662" t="s">
        <v>40</v>
      </c>
      <c r="G1662">
        <v>2045</v>
      </c>
      <c r="H1662" s="12">
        <v>3650</v>
      </c>
      <c r="I1662" t="s">
        <v>3183</v>
      </c>
      <c r="J1662" t="s">
        <v>6</v>
      </c>
      <c r="K1662" t="s">
        <v>9</v>
      </c>
      <c r="L1662" t="s">
        <v>3184</v>
      </c>
      <c r="M1662" t="s">
        <v>666</v>
      </c>
    </row>
    <row r="1663" spans="1:13">
      <c r="A1663" t="s">
        <v>851</v>
      </c>
      <c r="B1663" t="s">
        <v>687</v>
      </c>
      <c r="C1663" t="s">
        <v>687</v>
      </c>
      <c r="D1663" t="s">
        <v>22</v>
      </c>
      <c r="E1663" t="s">
        <v>646</v>
      </c>
      <c r="F1663" t="s">
        <v>40</v>
      </c>
      <c r="G1663">
        <v>2050</v>
      </c>
      <c r="H1663" s="12">
        <v>2675</v>
      </c>
      <c r="I1663" t="s">
        <v>3183</v>
      </c>
      <c r="J1663" t="s">
        <v>6</v>
      </c>
      <c r="K1663" t="s">
        <v>9</v>
      </c>
      <c r="L1663" t="s">
        <v>3184</v>
      </c>
      <c r="M1663" t="s">
        <v>666</v>
      </c>
    </row>
    <row r="1664" spans="1:13">
      <c r="A1664" t="s">
        <v>851</v>
      </c>
      <c r="B1664" t="s">
        <v>686</v>
      </c>
      <c r="C1664" t="s">
        <v>686</v>
      </c>
      <c r="D1664" t="s">
        <v>22</v>
      </c>
      <c r="E1664" t="s">
        <v>646</v>
      </c>
      <c r="F1664" t="s">
        <v>40</v>
      </c>
      <c r="G1664">
        <v>2010</v>
      </c>
      <c r="H1664" s="12">
        <v>32126</v>
      </c>
      <c r="I1664" t="s">
        <v>3183</v>
      </c>
      <c r="J1664" t="s">
        <v>5</v>
      </c>
      <c r="K1664" t="s">
        <v>9</v>
      </c>
      <c r="L1664" t="s">
        <v>3184</v>
      </c>
      <c r="M1664" t="s">
        <v>665</v>
      </c>
    </row>
    <row r="1665" spans="1:13">
      <c r="A1665" t="s">
        <v>851</v>
      </c>
      <c r="B1665" t="s">
        <v>686</v>
      </c>
      <c r="C1665" t="s">
        <v>686</v>
      </c>
      <c r="D1665" t="s">
        <v>22</v>
      </c>
      <c r="E1665" t="s">
        <v>646</v>
      </c>
      <c r="F1665" t="s">
        <v>40</v>
      </c>
      <c r="G1665">
        <v>2015</v>
      </c>
      <c r="H1665" s="12">
        <v>35052</v>
      </c>
      <c r="I1665" t="s">
        <v>3183</v>
      </c>
      <c r="J1665" t="s">
        <v>5</v>
      </c>
      <c r="K1665" t="s">
        <v>9</v>
      </c>
      <c r="L1665" t="s">
        <v>3184</v>
      </c>
      <c r="M1665" t="s">
        <v>665</v>
      </c>
    </row>
    <row r="1666" spans="1:13">
      <c r="A1666" t="s">
        <v>851</v>
      </c>
      <c r="B1666" t="s">
        <v>686</v>
      </c>
      <c r="C1666" t="s">
        <v>686</v>
      </c>
      <c r="D1666" t="s">
        <v>22</v>
      </c>
      <c r="E1666" t="s">
        <v>646</v>
      </c>
      <c r="F1666" t="s">
        <v>40</v>
      </c>
      <c r="G1666">
        <v>2020</v>
      </c>
      <c r="H1666" s="12">
        <v>29170</v>
      </c>
      <c r="I1666" t="s">
        <v>3183</v>
      </c>
      <c r="J1666" t="s">
        <v>5</v>
      </c>
      <c r="K1666" t="s">
        <v>9</v>
      </c>
      <c r="L1666" t="s">
        <v>3184</v>
      </c>
      <c r="M1666" t="s">
        <v>665</v>
      </c>
    </row>
    <row r="1667" spans="1:13">
      <c r="A1667" t="s">
        <v>851</v>
      </c>
      <c r="B1667" t="s">
        <v>686</v>
      </c>
      <c r="C1667" t="s">
        <v>686</v>
      </c>
      <c r="D1667" t="s">
        <v>22</v>
      </c>
      <c r="E1667" t="s">
        <v>646</v>
      </c>
      <c r="F1667" t="s">
        <v>40</v>
      </c>
      <c r="G1667">
        <v>2030</v>
      </c>
      <c r="H1667" s="12">
        <v>26969</v>
      </c>
      <c r="I1667" t="s">
        <v>3183</v>
      </c>
      <c r="J1667" t="s">
        <v>5</v>
      </c>
      <c r="K1667" t="s">
        <v>9</v>
      </c>
      <c r="L1667" t="s">
        <v>3184</v>
      </c>
      <c r="M1667" t="s">
        <v>665</v>
      </c>
    </row>
    <row r="1668" spans="1:13">
      <c r="A1668" t="s">
        <v>851</v>
      </c>
      <c r="B1668" t="s">
        <v>686</v>
      </c>
      <c r="C1668" t="s">
        <v>686</v>
      </c>
      <c r="D1668" t="s">
        <v>22</v>
      </c>
      <c r="E1668" t="s">
        <v>646</v>
      </c>
      <c r="F1668" t="s">
        <v>40</v>
      </c>
      <c r="G1668">
        <v>2035</v>
      </c>
      <c r="H1668" s="12">
        <v>24024</v>
      </c>
      <c r="I1668" t="s">
        <v>3183</v>
      </c>
      <c r="J1668" t="s">
        <v>5</v>
      </c>
      <c r="K1668" t="s">
        <v>9</v>
      </c>
      <c r="L1668" t="s">
        <v>3184</v>
      </c>
      <c r="M1668" t="s">
        <v>665</v>
      </c>
    </row>
    <row r="1669" spans="1:13">
      <c r="A1669" t="s">
        <v>851</v>
      </c>
      <c r="B1669" t="s">
        <v>686</v>
      </c>
      <c r="C1669" t="s">
        <v>686</v>
      </c>
      <c r="D1669" t="s">
        <v>22</v>
      </c>
      <c r="E1669" t="s">
        <v>646</v>
      </c>
      <c r="F1669" t="s">
        <v>40</v>
      </c>
      <c r="G1669">
        <v>2040</v>
      </c>
      <c r="H1669" s="12">
        <v>21421</v>
      </c>
      <c r="I1669" t="s">
        <v>3183</v>
      </c>
      <c r="J1669" t="s">
        <v>5</v>
      </c>
      <c r="K1669" t="s">
        <v>9</v>
      </c>
      <c r="L1669" t="s">
        <v>3184</v>
      </c>
      <c r="M1669" t="s">
        <v>665</v>
      </c>
    </row>
    <row r="1670" spans="1:13">
      <c r="A1670" t="s">
        <v>851</v>
      </c>
      <c r="B1670" t="s">
        <v>686</v>
      </c>
      <c r="C1670" t="s">
        <v>686</v>
      </c>
      <c r="D1670" t="s">
        <v>22</v>
      </c>
      <c r="E1670" t="s">
        <v>646</v>
      </c>
      <c r="F1670" t="s">
        <v>40</v>
      </c>
      <c r="G1670">
        <v>2045</v>
      </c>
      <c r="H1670" s="12">
        <v>19159</v>
      </c>
      <c r="I1670" t="s">
        <v>3183</v>
      </c>
      <c r="J1670" t="s">
        <v>5</v>
      </c>
      <c r="K1670" t="s">
        <v>9</v>
      </c>
      <c r="L1670" t="s">
        <v>3184</v>
      </c>
      <c r="M1670" t="s">
        <v>665</v>
      </c>
    </row>
    <row r="1671" spans="1:13">
      <c r="A1671" t="s">
        <v>851</v>
      </c>
      <c r="B1671" t="s">
        <v>686</v>
      </c>
      <c r="C1671" t="s">
        <v>686</v>
      </c>
      <c r="D1671" t="s">
        <v>22</v>
      </c>
      <c r="E1671" t="s">
        <v>646</v>
      </c>
      <c r="F1671" t="s">
        <v>40</v>
      </c>
      <c r="G1671">
        <v>2050</v>
      </c>
      <c r="H1671" s="12">
        <v>17192</v>
      </c>
      <c r="I1671" t="s">
        <v>3183</v>
      </c>
      <c r="J1671" t="s">
        <v>5</v>
      </c>
      <c r="K1671" t="s">
        <v>9</v>
      </c>
      <c r="L1671" t="s">
        <v>3184</v>
      </c>
      <c r="M1671" t="s">
        <v>665</v>
      </c>
    </row>
    <row r="1672" spans="1:13">
      <c r="A1672" t="s">
        <v>851</v>
      </c>
      <c r="B1672" t="s">
        <v>687</v>
      </c>
      <c r="C1672" t="s">
        <v>687</v>
      </c>
      <c r="D1672" t="s">
        <v>22</v>
      </c>
      <c r="E1672" t="s">
        <v>646</v>
      </c>
      <c r="F1672" t="s">
        <v>40</v>
      </c>
      <c r="G1672">
        <v>2030</v>
      </c>
      <c r="H1672" s="12">
        <v>23212</v>
      </c>
      <c r="I1672" t="s">
        <v>3183</v>
      </c>
      <c r="J1672" t="s">
        <v>5</v>
      </c>
      <c r="K1672" t="s">
        <v>9</v>
      </c>
      <c r="L1672" t="s">
        <v>3184</v>
      </c>
      <c r="M1672" t="s">
        <v>665</v>
      </c>
    </row>
    <row r="1673" spans="1:13">
      <c r="A1673" t="s">
        <v>851</v>
      </c>
      <c r="B1673" t="s">
        <v>687</v>
      </c>
      <c r="C1673" t="s">
        <v>687</v>
      </c>
      <c r="D1673" t="s">
        <v>22</v>
      </c>
      <c r="E1673" t="s">
        <v>646</v>
      </c>
      <c r="F1673" t="s">
        <v>40</v>
      </c>
      <c r="G1673">
        <v>2035</v>
      </c>
      <c r="H1673" s="12">
        <v>17349</v>
      </c>
      <c r="I1673" t="s">
        <v>3183</v>
      </c>
      <c r="J1673" t="s">
        <v>5</v>
      </c>
      <c r="K1673" t="s">
        <v>9</v>
      </c>
      <c r="L1673" t="s">
        <v>3184</v>
      </c>
      <c r="M1673" t="s">
        <v>665</v>
      </c>
    </row>
    <row r="1674" spans="1:13">
      <c r="A1674" t="s">
        <v>851</v>
      </c>
      <c r="B1674" t="s">
        <v>687</v>
      </c>
      <c r="C1674" t="s">
        <v>687</v>
      </c>
      <c r="D1674" t="s">
        <v>22</v>
      </c>
      <c r="E1674" t="s">
        <v>646</v>
      </c>
      <c r="F1674" t="s">
        <v>40</v>
      </c>
      <c r="G1674">
        <v>2040</v>
      </c>
      <c r="H1674" s="12">
        <v>12269</v>
      </c>
      <c r="I1674" t="s">
        <v>3183</v>
      </c>
      <c r="J1674" t="s">
        <v>5</v>
      </c>
      <c r="K1674" t="s">
        <v>9</v>
      </c>
      <c r="L1674" t="s">
        <v>3184</v>
      </c>
      <c r="M1674" t="s">
        <v>665</v>
      </c>
    </row>
    <row r="1675" spans="1:13">
      <c r="A1675" t="s">
        <v>851</v>
      </c>
      <c r="B1675" t="s">
        <v>687</v>
      </c>
      <c r="C1675" t="s">
        <v>687</v>
      </c>
      <c r="D1675" t="s">
        <v>22</v>
      </c>
      <c r="E1675" t="s">
        <v>646</v>
      </c>
      <c r="F1675" t="s">
        <v>40</v>
      </c>
      <c r="G1675">
        <v>2045</v>
      </c>
      <c r="H1675" s="12">
        <v>8248</v>
      </c>
      <c r="I1675" t="s">
        <v>3183</v>
      </c>
      <c r="J1675" t="s">
        <v>5</v>
      </c>
      <c r="K1675" t="s">
        <v>9</v>
      </c>
      <c r="L1675" t="s">
        <v>3184</v>
      </c>
      <c r="M1675" t="s">
        <v>665</v>
      </c>
    </row>
    <row r="1676" spans="1:13">
      <c r="A1676" t="s">
        <v>851</v>
      </c>
      <c r="B1676" t="s">
        <v>687</v>
      </c>
      <c r="C1676" t="s">
        <v>687</v>
      </c>
      <c r="D1676" t="s">
        <v>22</v>
      </c>
      <c r="E1676" t="s">
        <v>646</v>
      </c>
      <c r="F1676" t="s">
        <v>40</v>
      </c>
      <c r="G1676">
        <v>2050</v>
      </c>
      <c r="H1676" s="12">
        <v>5132</v>
      </c>
      <c r="I1676" t="s">
        <v>3183</v>
      </c>
      <c r="J1676" t="s">
        <v>5</v>
      </c>
      <c r="K1676" t="s">
        <v>9</v>
      </c>
      <c r="L1676" t="s">
        <v>3184</v>
      </c>
      <c r="M1676" t="s">
        <v>665</v>
      </c>
    </row>
    <row r="1677" spans="1:13">
      <c r="A1677" t="s">
        <v>851</v>
      </c>
      <c r="B1677" t="s">
        <v>686</v>
      </c>
      <c r="C1677" t="s">
        <v>686</v>
      </c>
      <c r="D1677" t="s">
        <v>22</v>
      </c>
      <c r="E1677" t="s">
        <v>646</v>
      </c>
      <c r="F1677" t="s">
        <v>40</v>
      </c>
      <c r="G1677">
        <v>2010</v>
      </c>
      <c r="H1677" s="12">
        <v>233</v>
      </c>
      <c r="I1677" t="s">
        <v>3183</v>
      </c>
      <c r="J1677" t="s">
        <v>344</v>
      </c>
      <c r="K1677" t="s">
        <v>11</v>
      </c>
      <c r="L1677" t="s">
        <v>3184</v>
      </c>
      <c r="M1677" t="s">
        <v>10</v>
      </c>
    </row>
    <row r="1678" spans="1:13">
      <c r="A1678" t="s">
        <v>851</v>
      </c>
      <c r="B1678" t="s">
        <v>686</v>
      </c>
      <c r="C1678" t="s">
        <v>686</v>
      </c>
      <c r="D1678" t="s">
        <v>22</v>
      </c>
      <c r="E1678" t="s">
        <v>646</v>
      </c>
      <c r="F1678" t="s">
        <v>40</v>
      </c>
      <c r="G1678">
        <v>2015</v>
      </c>
      <c r="H1678" s="12">
        <v>360</v>
      </c>
      <c r="I1678" t="s">
        <v>3183</v>
      </c>
      <c r="J1678" t="s">
        <v>344</v>
      </c>
      <c r="K1678" t="s">
        <v>11</v>
      </c>
      <c r="L1678" t="s">
        <v>3184</v>
      </c>
      <c r="M1678" t="s">
        <v>10</v>
      </c>
    </row>
    <row r="1679" spans="1:13">
      <c r="A1679" t="s">
        <v>851</v>
      </c>
      <c r="B1679" t="s">
        <v>686</v>
      </c>
      <c r="C1679" t="s">
        <v>686</v>
      </c>
      <c r="D1679" t="s">
        <v>22</v>
      </c>
      <c r="E1679" t="s">
        <v>646</v>
      </c>
      <c r="F1679" t="s">
        <v>40</v>
      </c>
      <c r="G1679">
        <v>2020</v>
      </c>
      <c r="H1679" s="12">
        <v>627</v>
      </c>
      <c r="I1679" t="s">
        <v>3183</v>
      </c>
      <c r="J1679" t="s">
        <v>344</v>
      </c>
      <c r="K1679" t="s">
        <v>11</v>
      </c>
      <c r="L1679" t="s">
        <v>3184</v>
      </c>
      <c r="M1679" t="s">
        <v>10</v>
      </c>
    </row>
    <row r="1680" spans="1:13">
      <c r="A1680" t="s">
        <v>851</v>
      </c>
      <c r="B1680" t="s">
        <v>686</v>
      </c>
      <c r="C1680" t="s">
        <v>686</v>
      </c>
      <c r="D1680" t="s">
        <v>22</v>
      </c>
      <c r="E1680" t="s">
        <v>646</v>
      </c>
      <c r="F1680" t="s">
        <v>40</v>
      </c>
      <c r="G1680">
        <v>2030</v>
      </c>
      <c r="H1680" s="12">
        <v>1495</v>
      </c>
      <c r="I1680" t="s">
        <v>3183</v>
      </c>
      <c r="J1680" t="s">
        <v>344</v>
      </c>
      <c r="K1680" t="s">
        <v>11</v>
      </c>
      <c r="L1680" t="s">
        <v>3184</v>
      </c>
      <c r="M1680" t="s">
        <v>10</v>
      </c>
    </row>
    <row r="1681" spans="1:13">
      <c r="A1681" t="s">
        <v>851</v>
      </c>
      <c r="B1681" t="s">
        <v>686</v>
      </c>
      <c r="C1681" t="s">
        <v>686</v>
      </c>
      <c r="D1681" t="s">
        <v>22</v>
      </c>
      <c r="E1681" t="s">
        <v>646</v>
      </c>
      <c r="F1681" t="s">
        <v>40</v>
      </c>
      <c r="G1681">
        <v>2035</v>
      </c>
      <c r="H1681" s="12">
        <v>1998</v>
      </c>
      <c r="I1681" t="s">
        <v>3183</v>
      </c>
      <c r="J1681" t="s">
        <v>344</v>
      </c>
      <c r="K1681" t="s">
        <v>11</v>
      </c>
      <c r="L1681" t="s">
        <v>3184</v>
      </c>
      <c r="M1681" t="s">
        <v>10</v>
      </c>
    </row>
    <row r="1682" spans="1:13">
      <c r="A1682" t="s">
        <v>851</v>
      </c>
      <c r="B1682" t="s">
        <v>687</v>
      </c>
      <c r="C1682" t="s">
        <v>687</v>
      </c>
      <c r="D1682" t="s">
        <v>22</v>
      </c>
      <c r="E1682" t="s">
        <v>646</v>
      </c>
      <c r="F1682" t="s">
        <v>40</v>
      </c>
      <c r="G1682">
        <v>2050</v>
      </c>
      <c r="H1682" s="12">
        <v>140</v>
      </c>
      <c r="I1682" t="s">
        <v>3183</v>
      </c>
      <c r="J1682" t="s">
        <v>6</v>
      </c>
      <c r="K1682" t="s">
        <v>11</v>
      </c>
      <c r="L1682" t="s">
        <v>3184</v>
      </c>
      <c r="M1682" t="s">
        <v>659</v>
      </c>
    </row>
    <row r="1683" spans="1:13">
      <c r="A1683" t="s">
        <v>851</v>
      </c>
      <c r="B1683" t="s">
        <v>686</v>
      </c>
      <c r="C1683" t="s">
        <v>686</v>
      </c>
      <c r="D1683" t="s">
        <v>22</v>
      </c>
      <c r="E1683" t="s">
        <v>646</v>
      </c>
      <c r="F1683" t="s">
        <v>40</v>
      </c>
      <c r="G1683">
        <v>2030</v>
      </c>
      <c r="H1683" s="12">
        <v>19281</v>
      </c>
      <c r="I1683" t="s">
        <v>3183</v>
      </c>
      <c r="J1683" t="s">
        <v>344</v>
      </c>
      <c r="K1683" t="s">
        <v>9</v>
      </c>
      <c r="L1683" t="s">
        <v>3184</v>
      </c>
      <c r="M1683" t="s">
        <v>10</v>
      </c>
    </row>
    <row r="1684" spans="1:13">
      <c r="A1684" t="s">
        <v>851</v>
      </c>
      <c r="B1684" t="s">
        <v>686</v>
      </c>
      <c r="C1684" t="s">
        <v>686</v>
      </c>
      <c r="D1684" t="s">
        <v>22</v>
      </c>
      <c r="E1684" t="s">
        <v>646</v>
      </c>
      <c r="F1684" t="s">
        <v>40</v>
      </c>
      <c r="G1684">
        <v>2035</v>
      </c>
      <c r="H1684" s="12">
        <v>20260</v>
      </c>
      <c r="I1684" t="s">
        <v>3183</v>
      </c>
      <c r="J1684" t="s">
        <v>344</v>
      </c>
      <c r="K1684" t="s">
        <v>9</v>
      </c>
      <c r="L1684" t="s">
        <v>3184</v>
      </c>
      <c r="M1684" t="s">
        <v>10</v>
      </c>
    </row>
    <row r="1685" spans="1:13">
      <c r="A1685" t="s">
        <v>851</v>
      </c>
      <c r="B1685" t="s">
        <v>686</v>
      </c>
      <c r="C1685" t="s">
        <v>686</v>
      </c>
      <c r="D1685" t="s">
        <v>22</v>
      </c>
      <c r="E1685" t="s">
        <v>646</v>
      </c>
      <c r="F1685" t="s">
        <v>40</v>
      </c>
      <c r="G1685">
        <v>2040</v>
      </c>
      <c r="H1685" s="12">
        <v>21116</v>
      </c>
      <c r="I1685" t="s">
        <v>3183</v>
      </c>
      <c r="J1685" t="s">
        <v>344</v>
      </c>
      <c r="K1685" t="s">
        <v>9</v>
      </c>
      <c r="L1685" t="s">
        <v>3184</v>
      </c>
      <c r="M1685" t="s">
        <v>10</v>
      </c>
    </row>
    <row r="1686" spans="1:13">
      <c r="A1686" t="s">
        <v>851</v>
      </c>
      <c r="B1686" t="s">
        <v>686</v>
      </c>
      <c r="C1686" t="s">
        <v>686</v>
      </c>
      <c r="D1686" t="s">
        <v>22</v>
      </c>
      <c r="E1686" t="s">
        <v>646</v>
      </c>
      <c r="F1686" t="s">
        <v>40</v>
      </c>
      <c r="G1686">
        <v>2045</v>
      </c>
      <c r="H1686" s="12">
        <v>21937</v>
      </c>
      <c r="I1686" t="s">
        <v>3183</v>
      </c>
      <c r="J1686" t="s">
        <v>344</v>
      </c>
      <c r="K1686" t="s">
        <v>9</v>
      </c>
      <c r="L1686" t="s">
        <v>3184</v>
      </c>
      <c r="M1686" t="s">
        <v>10</v>
      </c>
    </row>
    <row r="1687" spans="1:13">
      <c r="A1687" t="s">
        <v>851</v>
      </c>
      <c r="B1687" t="s">
        <v>686</v>
      </c>
      <c r="C1687" t="s">
        <v>686</v>
      </c>
      <c r="D1687" t="s">
        <v>22</v>
      </c>
      <c r="E1687" t="s">
        <v>646</v>
      </c>
      <c r="F1687" t="s">
        <v>40</v>
      </c>
      <c r="G1687">
        <v>2050</v>
      </c>
      <c r="H1687" s="12">
        <v>22811</v>
      </c>
      <c r="I1687" t="s">
        <v>3183</v>
      </c>
      <c r="J1687" t="s">
        <v>344</v>
      </c>
      <c r="K1687" t="s">
        <v>9</v>
      </c>
      <c r="L1687" t="s">
        <v>3184</v>
      </c>
      <c r="M1687" t="s">
        <v>10</v>
      </c>
    </row>
    <row r="1688" spans="1:13">
      <c r="A1688" t="s">
        <v>851</v>
      </c>
      <c r="B1688" t="s">
        <v>687</v>
      </c>
      <c r="C1688" t="s">
        <v>687</v>
      </c>
      <c r="D1688" t="s">
        <v>22</v>
      </c>
      <c r="E1688" t="s">
        <v>646</v>
      </c>
      <c r="F1688" t="s">
        <v>40</v>
      </c>
      <c r="G1688">
        <v>2030</v>
      </c>
      <c r="H1688" s="12">
        <v>19092</v>
      </c>
      <c r="I1688" t="s">
        <v>3183</v>
      </c>
      <c r="J1688" t="s">
        <v>344</v>
      </c>
      <c r="K1688" t="s">
        <v>9</v>
      </c>
      <c r="L1688" t="s">
        <v>3184</v>
      </c>
      <c r="M1688" t="s">
        <v>10</v>
      </c>
    </row>
    <row r="1689" spans="1:13">
      <c r="A1689" t="s">
        <v>851</v>
      </c>
      <c r="B1689" t="s">
        <v>687</v>
      </c>
      <c r="C1689" t="s">
        <v>687</v>
      </c>
      <c r="D1689" t="s">
        <v>22</v>
      </c>
      <c r="E1689" t="s">
        <v>646</v>
      </c>
      <c r="F1689" t="s">
        <v>40</v>
      </c>
      <c r="G1689">
        <v>2035</v>
      </c>
      <c r="H1689" s="12">
        <v>20988</v>
      </c>
      <c r="I1689" t="s">
        <v>3183</v>
      </c>
      <c r="J1689" t="s">
        <v>344</v>
      </c>
      <c r="K1689" t="s">
        <v>9</v>
      </c>
      <c r="L1689" t="s">
        <v>3184</v>
      </c>
      <c r="M1689" t="s">
        <v>10</v>
      </c>
    </row>
    <row r="1690" spans="1:13">
      <c r="A1690" t="s">
        <v>851</v>
      </c>
      <c r="B1690" t="s">
        <v>687</v>
      </c>
      <c r="C1690" t="s">
        <v>687</v>
      </c>
      <c r="D1690" t="s">
        <v>22</v>
      </c>
      <c r="E1690" t="s">
        <v>646</v>
      </c>
      <c r="F1690" t="s">
        <v>40</v>
      </c>
      <c r="G1690">
        <v>2040</v>
      </c>
      <c r="H1690" s="12">
        <v>23025</v>
      </c>
      <c r="I1690" t="s">
        <v>3183</v>
      </c>
      <c r="J1690" t="s">
        <v>344</v>
      </c>
      <c r="K1690" t="s">
        <v>9</v>
      </c>
      <c r="L1690" t="s">
        <v>3184</v>
      </c>
      <c r="M1690" t="s">
        <v>10</v>
      </c>
    </row>
    <row r="1691" spans="1:13">
      <c r="A1691" t="s">
        <v>851</v>
      </c>
      <c r="B1691" t="s">
        <v>687</v>
      </c>
      <c r="C1691" t="s">
        <v>687</v>
      </c>
      <c r="D1691" t="s">
        <v>22</v>
      </c>
      <c r="E1691" t="s">
        <v>646</v>
      </c>
      <c r="F1691" t="s">
        <v>40</v>
      </c>
      <c r="G1691">
        <v>2045</v>
      </c>
      <c r="H1691" s="12">
        <v>25312</v>
      </c>
      <c r="I1691" t="s">
        <v>3183</v>
      </c>
      <c r="J1691" t="s">
        <v>344</v>
      </c>
      <c r="K1691" t="s">
        <v>9</v>
      </c>
      <c r="L1691" t="s">
        <v>3184</v>
      </c>
      <c r="M1691" t="s">
        <v>10</v>
      </c>
    </row>
    <row r="1692" spans="1:13">
      <c r="A1692" t="s">
        <v>851</v>
      </c>
      <c r="B1692" t="s">
        <v>687</v>
      </c>
      <c r="C1692" t="s">
        <v>687</v>
      </c>
      <c r="D1692" t="s">
        <v>22</v>
      </c>
      <c r="E1692" t="s">
        <v>646</v>
      </c>
      <c r="F1692" t="s">
        <v>40</v>
      </c>
      <c r="G1692">
        <v>2050</v>
      </c>
      <c r="H1692" s="12">
        <v>26767</v>
      </c>
      <c r="I1692" t="s">
        <v>3183</v>
      </c>
      <c r="J1692" t="s">
        <v>344</v>
      </c>
      <c r="K1692" t="s">
        <v>9</v>
      </c>
      <c r="L1692" t="s">
        <v>3184</v>
      </c>
      <c r="M1692" t="s">
        <v>10</v>
      </c>
    </row>
    <row r="1693" spans="1:13">
      <c r="A1693" t="s">
        <v>851</v>
      </c>
      <c r="B1693" t="s">
        <v>686</v>
      </c>
      <c r="C1693" t="s">
        <v>686</v>
      </c>
      <c r="D1693" t="s">
        <v>22</v>
      </c>
      <c r="E1693" t="s">
        <v>573</v>
      </c>
      <c r="F1693" t="s">
        <v>40</v>
      </c>
      <c r="G1693">
        <v>2030</v>
      </c>
      <c r="H1693" s="12">
        <v>273</v>
      </c>
      <c r="I1693" t="s">
        <v>3183</v>
      </c>
      <c r="J1693" t="s">
        <v>394</v>
      </c>
      <c r="K1693" t="s">
        <v>147</v>
      </c>
      <c r="L1693" t="s">
        <v>3184</v>
      </c>
      <c r="M1693" t="s">
        <v>16</v>
      </c>
    </row>
    <row r="1694" spans="1:13">
      <c r="A1694" t="s">
        <v>851</v>
      </c>
      <c r="B1694" t="s">
        <v>686</v>
      </c>
      <c r="C1694" t="s">
        <v>686</v>
      </c>
      <c r="D1694" t="s">
        <v>22</v>
      </c>
      <c r="E1694" t="s">
        <v>573</v>
      </c>
      <c r="F1694" t="s">
        <v>40</v>
      </c>
      <c r="G1694">
        <v>2035</v>
      </c>
      <c r="H1694" s="12">
        <v>227</v>
      </c>
      <c r="I1694" t="s">
        <v>3183</v>
      </c>
      <c r="J1694" t="s">
        <v>394</v>
      </c>
      <c r="K1694" t="s">
        <v>147</v>
      </c>
      <c r="L1694" t="s">
        <v>3184</v>
      </c>
      <c r="M1694" t="s">
        <v>16</v>
      </c>
    </row>
    <row r="1695" spans="1:13">
      <c r="A1695" t="s">
        <v>851</v>
      </c>
      <c r="B1695" t="s">
        <v>686</v>
      </c>
      <c r="C1695" t="s">
        <v>686</v>
      </c>
      <c r="D1695" t="s">
        <v>22</v>
      </c>
      <c r="E1695" t="s">
        <v>573</v>
      </c>
      <c r="F1695" t="s">
        <v>40</v>
      </c>
      <c r="G1695">
        <v>2040</v>
      </c>
      <c r="H1695" s="12">
        <v>188</v>
      </c>
      <c r="I1695" t="s">
        <v>3183</v>
      </c>
      <c r="J1695" t="s">
        <v>394</v>
      </c>
      <c r="K1695" t="s">
        <v>147</v>
      </c>
      <c r="L1695" t="s">
        <v>3184</v>
      </c>
      <c r="M1695" t="s">
        <v>16</v>
      </c>
    </row>
    <row r="1696" spans="1:13">
      <c r="A1696" t="s">
        <v>851</v>
      </c>
      <c r="B1696" t="s">
        <v>686</v>
      </c>
      <c r="C1696" t="s">
        <v>686</v>
      </c>
      <c r="D1696" t="s">
        <v>22</v>
      </c>
      <c r="E1696" t="s">
        <v>573</v>
      </c>
      <c r="F1696" t="s">
        <v>40</v>
      </c>
      <c r="G1696">
        <v>2045</v>
      </c>
      <c r="H1696" s="12">
        <v>168</v>
      </c>
      <c r="I1696" t="s">
        <v>3183</v>
      </c>
      <c r="J1696" t="s">
        <v>394</v>
      </c>
      <c r="K1696" t="s">
        <v>147</v>
      </c>
      <c r="L1696" t="s">
        <v>3184</v>
      </c>
      <c r="M1696" t="s">
        <v>16</v>
      </c>
    </row>
    <row r="1697" spans="1:13">
      <c r="A1697" t="s">
        <v>851</v>
      </c>
      <c r="B1697" t="s">
        <v>686</v>
      </c>
      <c r="C1697" t="s">
        <v>686</v>
      </c>
      <c r="D1697" t="s">
        <v>22</v>
      </c>
      <c r="E1697" t="s">
        <v>573</v>
      </c>
      <c r="F1697" t="s">
        <v>40</v>
      </c>
      <c r="G1697">
        <v>2050</v>
      </c>
      <c r="H1697" s="12">
        <v>152</v>
      </c>
      <c r="I1697" t="s">
        <v>3183</v>
      </c>
      <c r="J1697" t="s">
        <v>394</v>
      </c>
      <c r="K1697" t="s">
        <v>147</v>
      </c>
      <c r="L1697" t="s">
        <v>3184</v>
      </c>
      <c r="M1697" t="s">
        <v>16</v>
      </c>
    </row>
    <row r="1698" spans="1:13">
      <c r="A1698" t="s">
        <v>851</v>
      </c>
      <c r="B1698" t="s">
        <v>687</v>
      </c>
      <c r="C1698" t="s">
        <v>687</v>
      </c>
      <c r="D1698" t="s">
        <v>22</v>
      </c>
      <c r="E1698" t="s">
        <v>573</v>
      </c>
      <c r="F1698" t="s">
        <v>40</v>
      </c>
      <c r="G1698">
        <v>2030</v>
      </c>
      <c r="H1698" s="12">
        <v>274</v>
      </c>
      <c r="I1698" t="s">
        <v>3183</v>
      </c>
      <c r="J1698" t="s">
        <v>394</v>
      </c>
      <c r="K1698" t="s">
        <v>147</v>
      </c>
      <c r="L1698" t="s">
        <v>3184</v>
      </c>
      <c r="M1698" t="s">
        <v>16</v>
      </c>
    </row>
    <row r="1699" spans="1:13">
      <c r="A1699" t="s">
        <v>851</v>
      </c>
      <c r="B1699" t="s">
        <v>687</v>
      </c>
      <c r="C1699" t="s">
        <v>687</v>
      </c>
      <c r="D1699" t="s">
        <v>22</v>
      </c>
      <c r="E1699" t="s">
        <v>573</v>
      </c>
      <c r="F1699" t="s">
        <v>40</v>
      </c>
      <c r="G1699">
        <v>2035</v>
      </c>
      <c r="H1699" s="12">
        <v>223</v>
      </c>
      <c r="I1699" t="s">
        <v>3183</v>
      </c>
      <c r="J1699" t="s">
        <v>394</v>
      </c>
      <c r="K1699" t="s">
        <v>147</v>
      </c>
      <c r="L1699" t="s">
        <v>3184</v>
      </c>
      <c r="M1699" t="s">
        <v>16</v>
      </c>
    </row>
    <row r="1700" spans="1:13">
      <c r="A1700" t="s">
        <v>851</v>
      </c>
      <c r="B1700" t="s">
        <v>687</v>
      </c>
      <c r="C1700" t="s">
        <v>687</v>
      </c>
      <c r="D1700" t="s">
        <v>22</v>
      </c>
      <c r="E1700" t="s">
        <v>573</v>
      </c>
      <c r="F1700" t="s">
        <v>40</v>
      </c>
      <c r="G1700">
        <v>2040</v>
      </c>
      <c r="H1700" s="12">
        <v>179</v>
      </c>
      <c r="I1700" t="s">
        <v>3183</v>
      </c>
      <c r="J1700" t="s">
        <v>394</v>
      </c>
      <c r="K1700" t="s">
        <v>147</v>
      </c>
      <c r="L1700" t="s">
        <v>3184</v>
      </c>
      <c r="M1700" t="s">
        <v>16</v>
      </c>
    </row>
    <row r="1701" spans="1:13">
      <c r="A1701" t="s">
        <v>851</v>
      </c>
      <c r="B1701" t="s">
        <v>687</v>
      </c>
      <c r="C1701" t="s">
        <v>687</v>
      </c>
      <c r="D1701" t="s">
        <v>22</v>
      </c>
      <c r="E1701" t="s">
        <v>573</v>
      </c>
      <c r="F1701" t="s">
        <v>40</v>
      </c>
      <c r="G1701">
        <v>2045</v>
      </c>
      <c r="H1701" s="12">
        <v>140</v>
      </c>
      <c r="I1701" t="s">
        <v>3183</v>
      </c>
      <c r="J1701" t="s">
        <v>394</v>
      </c>
      <c r="K1701" t="s">
        <v>147</v>
      </c>
      <c r="L1701" t="s">
        <v>3184</v>
      </c>
      <c r="M1701" t="s">
        <v>16</v>
      </c>
    </row>
    <row r="1702" spans="1:13">
      <c r="A1702" t="s">
        <v>851</v>
      </c>
      <c r="B1702" t="s">
        <v>687</v>
      </c>
      <c r="C1702" t="s">
        <v>687</v>
      </c>
      <c r="D1702" t="s">
        <v>22</v>
      </c>
      <c r="E1702" t="s">
        <v>573</v>
      </c>
      <c r="F1702" t="s">
        <v>40</v>
      </c>
      <c r="G1702">
        <v>2050</v>
      </c>
      <c r="H1702" s="12">
        <v>114</v>
      </c>
      <c r="I1702" t="s">
        <v>3183</v>
      </c>
      <c r="J1702" t="s">
        <v>394</v>
      </c>
      <c r="K1702" t="s">
        <v>147</v>
      </c>
      <c r="L1702" t="s">
        <v>3184</v>
      </c>
      <c r="M1702" t="s">
        <v>16</v>
      </c>
    </row>
    <row r="1703" spans="1:13">
      <c r="A1703" t="s">
        <v>851</v>
      </c>
      <c r="B1703" t="s">
        <v>686</v>
      </c>
      <c r="C1703" t="s">
        <v>686</v>
      </c>
      <c r="D1703" t="s">
        <v>22</v>
      </c>
      <c r="E1703" t="s">
        <v>573</v>
      </c>
      <c r="F1703" t="s">
        <v>40</v>
      </c>
      <c r="G1703">
        <v>2010</v>
      </c>
      <c r="H1703" s="12">
        <v>34745</v>
      </c>
      <c r="I1703" t="s">
        <v>3183</v>
      </c>
      <c r="J1703" t="s">
        <v>5</v>
      </c>
      <c r="K1703" t="s">
        <v>147</v>
      </c>
      <c r="L1703" t="s">
        <v>3184</v>
      </c>
      <c r="M1703" t="s">
        <v>5</v>
      </c>
    </row>
    <row r="1704" spans="1:13">
      <c r="A1704" t="s">
        <v>851</v>
      </c>
      <c r="B1704" t="s">
        <v>686</v>
      </c>
      <c r="C1704" t="s">
        <v>686</v>
      </c>
      <c r="D1704" t="s">
        <v>22</v>
      </c>
      <c r="E1704" t="s">
        <v>573</v>
      </c>
      <c r="F1704" t="s">
        <v>40</v>
      </c>
      <c r="G1704">
        <v>2015</v>
      </c>
      <c r="H1704" s="12">
        <v>42506</v>
      </c>
      <c r="I1704" t="s">
        <v>3183</v>
      </c>
      <c r="J1704" t="s">
        <v>5</v>
      </c>
      <c r="K1704" t="s">
        <v>147</v>
      </c>
      <c r="L1704" t="s">
        <v>3184</v>
      </c>
      <c r="M1704" t="s">
        <v>5</v>
      </c>
    </row>
    <row r="1705" spans="1:13">
      <c r="A1705" t="s">
        <v>851</v>
      </c>
      <c r="B1705" t="s">
        <v>686</v>
      </c>
      <c r="C1705" t="s">
        <v>686</v>
      </c>
      <c r="D1705" t="s">
        <v>22</v>
      </c>
      <c r="E1705" t="s">
        <v>573</v>
      </c>
      <c r="F1705" t="s">
        <v>40</v>
      </c>
      <c r="G1705">
        <v>2020</v>
      </c>
      <c r="H1705" s="12">
        <v>52654</v>
      </c>
      <c r="I1705" t="s">
        <v>3183</v>
      </c>
      <c r="J1705" t="s">
        <v>5</v>
      </c>
      <c r="K1705" t="s">
        <v>147</v>
      </c>
      <c r="L1705" t="s">
        <v>3184</v>
      </c>
      <c r="M1705" t="s">
        <v>5</v>
      </c>
    </row>
    <row r="1706" spans="1:13">
      <c r="A1706" t="s">
        <v>851</v>
      </c>
      <c r="B1706" t="s">
        <v>686</v>
      </c>
      <c r="C1706" t="s">
        <v>686</v>
      </c>
      <c r="D1706" t="s">
        <v>22</v>
      </c>
      <c r="E1706" t="s">
        <v>573</v>
      </c>
      <c r="F1706" t="s">
        <v>40</v>
      </c>
      <c r="G1706">
        <v>2030</v>
      </c>
      <c r="H1706" s="12">
        <v>54670</v>
      </c>
      <c r="I1706" t="s">
        <v>3183</v>
      </c>
      <c r="J1706" t="s">
        <v>5</v>
      </c>
      <c r="K1706" t="s">
        <v>147</v>
      </c>
      <c r="L1706" t="s">
        <v>3184</v>
      </c>
      <c r="M1706" t="s">
        <v>5</v>
      </c>
    </row>
    <row r="1707" spans="1:13">
      <c r="A1707" t="s">
        <v>851</v>
      </c>
      <c r="B1707" t="s">
        <v>686</v>
      </c>
      <c r="C1707" t="s">
        <v>686</v>
      </c>
      <c r="D1707" t="s">
        <v>22</v>
      </c>
      <c r="E1707" t="s">
        <v>573</v>
      </c>
      <c r="F1707" t="s">
        <v>40</v>
      </c>
      <c r="G1707">
        <v>2035</v>
      </c>
      <c r="H1707" s="12">
        <v>48731</v>
      </c>
      <c r="I1707" t="s">
        <v>3183</v>
      </c>
      <c r="J1707" t="s">
        <v>5</v>
      </c>
      <c r="K1707" t="s">
        <v>147</v>
      </c>
      <c r="L1707" t="s">
        <v>3184</v>
      </c>
      <c r="M1707" t="s">
        <v>5</v>
      </c>
    </row>
    <row r="1708" spans="1:13">
      <c r="A1708" t="s">
        <v>851</v>
      </c>
      <c r="B1708" t="s">
        <v>686</v>
      </c>
      <c r="C1708" t="s">
        <v>686</v>
      </c>
      <c r="D1708" t="s">
        <v>22</v>
      </c>
      <c r="E1708" t="s">
        <v>573</v>
      </c>
      <c r="F1708" t="s">
        <v>40</v>
      </c>
      <c r="G1708">
        <v>2040</v>
      </c>
      <c r="H1708" s="12">
        <v>43240</v>
      </c>
      <c r="I1708" t="s">
        <v>3183</v>
      </c>
      <c r="J1708" t="s">
        <v>5</v>
      </c>
      <c r="K1708" t="s">
        <v>147</v>
      </c>
      <c r="L1708" t="s">
        <v>3184</v>
      </c>
      <c r="M1708" t="s">
        <v>5</v>
      </c>
    </row>
    <row r="1709" spans="1:13">
      <c r="A1709" t="s">
        <v>851</v>
      </c>
      <c r="B1709" t="s">
        <v>686</v>
      </c>
      <c r="C1709" t="s">
        <v>686</v>
      </c>
      <c r="D1709" t="s">
        <v>22</v>
      </c>
      <c r="E1709" t="s">
        <v>573</v>
      </c>
      <c r="F1709" t="s">
        <v>40</v>
      </c>
      <c r="G1709">
        <v>2045</v>
      </c>
      <c r="H1709" s="12">
        <v>38504</v>
      </c>
      <c r="I1709" t="s">
        <v>3183</v>
      </c>
      <c r="J1709" t="s">
        <v>5</v>
      </c>
      <c r="K1709" t="s">
        <v>147</v>
      </c>
      <c r="L1709" t="s">
        <v>3184</v>
      </c>
      <c r="M1709" t="s">
        <v>5</v>
      </c>
    </row>
    <row r="1710" spans="1:13">
      <c r="A1710" t="s">
        <v>851</v>
      </c>
      <c r="B1710" t="s">
        <v>686</v>
      </c>
      <c r="C1710" t="s">
        <v>686</v>
      </c>
      <c r="D1710" t="s">
        <v>22</v>
      </c>
      <c r="E1710" t="s">
        <v>573</v>
      </c>
      <c r="F1710" t="s">
        <v>40</v>
      </c>
      <c r="G1710">
        <v>2050</v>
      </c>
      <c r="H1710" s="12">
        <v>33768</v>
      </c>
      <c r="I1710" t="s">
        <v>3183</v>
      </c>
      <c r="J1710" t="s">
        <v>5</v>
      </c>
      <c r="K1710" t="s">
        <v>147</v>
      </c>
      <c r="L1710" t="s">
        <v>3184</v>
      </c>
      <c r="M1710" t="s">
        <v>5</v>
      </c>
    </row>
    <row r="1711" spans="1:13">
      <c r="A1711" t="s">
        <v>851</v>
      </c>
      <c r="B1711" t="s">
        <v>687</v>
      </c>
      <c r="C1711" t="s">
        <v>687</v>
      </c>
      <c r="D1711" t="s">
        <v>22</v>
      </c>
      <c r="E1711" t="s">
        <v>573</v>
      </c>
      <c r="F1711" t="s">
        <v>40</v>
      </c>
      <c r="G1711">
        <v>2030</v>
      </c>
      <c r="H1711" s="12">
        <v>50610</v>
      </c>
      <c r="I1711" t="s">
        <v>3183</v>
      </c>
      <c r="J1711" t="s">
        <v>5</v>
      </c>
      <c r="K1711" t="s">
        <v>147</v>
      </c>
      <c r="L1711" t="s">
        <v>3184</v>
      </c>
      <c r="M1711" t="s">
        <v>5</v>
      </c>
    </row>
    <row r="1712" spans="1:13">
      <c r="A1712" t="s">
        <v>851</v>
      </c>
      <c r="B1712" t="s">
        <v>687</v>
      </c>
      <c r="C1712" t="s">
        <v>687</v>
      </c>
      <c r="D1712" t="s">
        <v>22</v>
      </c>
      <c r="E1712" t="s">
        <v>573</v>
      </c>
      <c r="F1712" t="s">
        <v>40</v>
      </c>
      <c r="G1712">
        <v>2035</v>
      </c>
      <c r="H1712" s="12">
        <v>43511</v>
      </c>
      <c r="I1712" t="s">
        <v>3183</v>
      </c>
      <c r="J1712" t="s">
        <v>5</v>
      </c>
      <c r="K1712" t="s">
        <v>147</v>
      </c>
      <c r="L1712" t="s">
        <v>3184</v>
      </c>
      <c r="M1712" t="s">
        <v>5</v>
      </c>
    </row>
    <row r="1713" spans="1:13">
      <c r="A1713" t="s">
        <v>851</v>
      </c>
      <c r="B1713" t="s">
        <v>687</v>
      </c>
      <c r="C1713" t="s">
        <v>687</v>
      </c>
      <c r="D1713" t="s">
        <v>22</v>
      </c>
      <c r="E1713" t="s">
        <v>573</v>
      </c>
      <c r="F1713" t="s">
        <v>40</v>
      </c>
      <c r="G1713">
        <v>2040</v>
      </c>
      <c r="H1713" s="12">
        <v>32000</v>
      </c>
      <c r="I1713" t="s">
        <v>3183</v>
      </c>
      <c r="J1713" t="s">
        <v>5</v>
      </c>
      <c r="K1713" t="s">
        <v>147</v>
      </c>
      <c r="L1713" t="s">
        <v>3184</v>
      </c>
      <c r="M1713" t="s">
        <v>5</v>
      </c>
    </row>
    <row r="1714" spans="1:13">
      <c r="A1714" t="s">
        <v>851</v>
      </c>
      <c r="B1714" t="s">
        <v>687</v>
      </c>
      <c r="C1714" t="s">
        <v>687</v>
      </c>
      <c r="D1714" t="s">
        <v>22</v>
      </c>
      <c r="E1714" t="s">
        <v>573</v>
      </c>
      <c r="F1714" t="s">
        <v>40</v>
      </c>
      <c r="G1714">
        <v>2045</v>
      </c>
      <c r="H1714" s="12">
        <v>23673</v>
      </c>
      <c r="I1714" t="s">
        <v>3183</v>
      </c>
      <c r="J1714" t="s">
        <v>5</v>
      </c>
      <c r="K1714" t="s">
        <v>147</v>
      </c>
      <c r="L1714" t="s">
        <v>3184</v>
      </c>
      <c r="M1714" t="s">
        <v>5</v>
      </c>
    </row>
    <row r="1715" spans="1:13">
      <c r="A1715" t="s">
        <v>851</v>
      </c>
      <c r="B1715" t="s">
        <v>687</v>
      </c>
      <c r="C1715" t="s">
        <v>687</v>
      </c>
      <c r="D1715" t="s">
        <v>22</v>
      </c>
      <c r="E1715" t="s">
        <v>573</v>
      </c>
      <c r="F1715" t="s">
        <v>40</v>
      </c>
      <c r="G1715">
        <v>2050</v>
      </c>
      <c r="H1715" s="12">
        <v>16150</v>
      </c>
      <c r="I1715" t="s">
        <v>3183</v>
      </c>
      <c r="J1715" t="s">
        <v>5</v>
      </c>
      <c r="K1715" t="s">
        <v>147</v>
      </c>
      <c r="L1715" t="s">
        <v>3184</v>
      </c>
      <c r="M1715" t="s">
        <v>5</v>
      </c>
    </row>
    <row r="1716" spans="1:13">
      <c r="A1716" t="s">
        <v>851</v>
      </c>
      <c r="B1716" t="s">
        <v>686</v>
      </c>
      <c r="C1716" t="s">
        <v>686</v>
      </c>
      <c r="D1716" t="s">
        <v>22</v>
      </c>
      <c r="E1716" t="s">
        <v>660</v>
      </c>
      <c r="F1716" t="s">
        <v>40</v>
      </c>
      <c r="G1716">
        <v>2030</v>
      </c>
      <c r="H1716" s="12">
        <v>7018</v>
      </c>
      <c r="I1716" t="s">
        <v>3183</v>
      </c>
      <c r="J1716" t="s">
        <v>15</v>
      </c>
      <c r="K1716" t="s">
        <v>657</v>
      </c>
      <c r="L1716" t="s">
        <v>3184</v>
      </c>
      <c r="M1716" t="s">
        <v>15</v>
      </c>
    </row>
    <row r="1717" spans="1:13">
      <c r="A1717" t="s">
        <v>851</v>
      </c>
      <c r="B1717" t="s">
        <v>686</v>
      </c>
      <c r="C1717" t="s">
        <v>686</v>
      </c>
      <c r="D1717" t="s">
        <v>22</v>
      </c>
      <c r="E1717" t="s">
        <v>660</v>
      </c>
      <c r="F1717" t="s">
        <v>40</v>
      </c>
      <c r="G1717">
        <v>2035</v>
      </c>
      <c r="H1717" s="12">
        <v>9586</v>
      </c>
      <c r="I1717" t="s">
        <v>3183</v>
      </c>
      <c r="J1717" t="s">
        <v>15</v>
      </c>
      <c r="K1717" t="s">
        <v>657</v>
      </c>
      <c r="L1717" t="s">
        <v>3184</v>
      </c>
      <c r="M1717" t="s">
        <v>15</v>
      </c>
    </row>
    <row r="1718" spans="1:13">
      <c r="A1718" t="s">
        <v>851</v>
      </c>
      <c r="B1718" t="s">
        <v>686</v>
      </c>
      <c r="C1718" t="s">
        <v>686</v>
      </c>
      <c r="D1718" t="s">
        <v>22</v>
      </c>
      <c r="E1718" t="s">
        <v>660</v>
      </c>
      <c r="F1718" t="s">
        <v>40</v>
      </c>
      <c r="G1718">
        <v>2040</v>
      </c>
      <c r="H1718" s="12">
        <v>11111</v>
      </c>
      <c r="I1718" t="s">
        <v>3183</v>
      </c>
      <c r="J1718" t="s">
        <v>15</v>
      </c>
      <c r="K1718" t="s">
        <v>657</v>
      </c>
      <c r="L1718" t="s">
        <v>3184</v>
      </c>
      <c r="M1718" t="s">
        <v>15</v>
      </c>
    </row>
    <row r="1719" spans="1:13">
      <c r="A1719" t="s">
        <v>851</v>
      </c>
      <c r="B1719" t="s">
        <v>686</v>
      </c>
      <c r="C1719" t="s">
        <v>686</v>
      </c>
      <c r="D1719" t="s">
        <v>22</v>
      </c>
      <c r="E1719" t="s">
        <v>660</v>
      </c>
      <c r="F1719" t="s">
        <v>40</v>
      </c>
      <c r="G1719">
        <v>2045</v>
      </c>
      <c r="H1719" s="12">
        <v>12160</v>
      </c>
      <c r="I1719" t="s">
        <v>3183</v>
      </c>
      <c r="J1719" t="s">
        <v>15</v>
      </c>
      <c r="K1719" t="s">
        <v>657</v>
      </c>
      <c r="L1719" t="s">
        <v>3184</v>
      </c>
      <c r="M1719" t="s">
        <v>15</v>
      </c>
    </row>
    <row r="1720" spans="1:13">
      <c r="A1720" t="s">
        <v>851</v>
      </c>
      <c r="B1720" t="s">
        <v>686</v>
      </c>
      <c r="C1720" t="s">
        <v>686</v>
      </c>
      <c r="D1720" t="s">
        <v>22</v>
      </c>
      <c r="E1720" t="s">
        <v>660</v>
      </c>
      <c r="F1720" t="s">
        <v>40</v>
      </c>
      <c r="G1720">
        <v>2050</v>
      </c>
      <c r="H1720" s="12">
        <v>13190</v>
      </c>
      <c r="I1720" t="s">
        <v>3183</v>
      </c>
      <c r="J1720" t="s">
        <v>15</v>
      </c>
      <c r="K1720" t="s">
        <v>657</v>
      </c>
      <c r="L1720" t="s">
        <v>3184</v>
      </c>
      <c r="M1720" t="s">
        <v>15</v>
      </c>
    </row>
    <row r="1721" spans="1:13">
      <c r="A1721" t="s">
        <v>851</v>
      </c>
      <c r="B1721" t="s">
        <v>687</v>
      </c>
      <c r="C1721" t="s">
        <v>687</v>
      </c>
      <c r="D1721" t="s">
        <v>22</v>
      </c>
      <c r="E1721" t="s">
        <v>660</v>
      </c>
      <c r="F1721" t="s">
        <v>40</v>
      </c>
      <c r="G1721">
        <v>2030</v>
      </c>
      <c r="H1721" s="12">
        <v>7837</v>
      </c>
      <c r="I1721" t="s">
        <v>3183</v>
      </c>
      <c r="J1721" t="s">
        <v>15</v>
      </c>
      <c r="K1721" t="s">
        <v>657</v>
      </c>
      <c r="L1721" t="s">
        <v>3184</v>
      </c>
      <c r="M1721" t="s">
        <v>15</v>
      </c>
    </row>
    <row r="1722" spans="1:13">
      <c r="A1722" t="s">
        <v>851</v>
      </c>
      <c r="B1722" t="s">
        <v>687</v>
      </c>
      <c r="C1722" t="s">
        <v>687</v>
      </c>
      <c r="D1722" t="s">
        <v>22</v>
      </c>
      <c r="E1722" t="s">
        <v>660</v>
      </c>
      <c r="F1722" t="s">
        <v>40</v>
      </c>
      <c r="G1722">
        <v>2035</v>
      </c>
      <c r="H1722" s="12">
        <v>10262</v>
      </c>
      <c r="I1722" t="s">
        <v>3183</v>
      </c>
      <c r="J1722" t="s">
        <v>15</v>
      </c>
      <c r="K1722" t="s">
        <v>657</v>
      </c>
      <c r="L1722" t="s">
        <v>3184</v>
      </c>
      <c r="M1722" t="s">
        <v>15</v>
      </c>
    </row>
    <row r="1723" spans="1:13">
      <c r="A1723" t="s">
        <v>851</v>
      </c>
      <c r="B1723" t="s">
        <v>687</v>
      </c>
      <c r="C1723" t="s">
        <v>687</v>
      </c>
      <c r="D1723" t="s">
        <v>22</v>
      </c>
      <c r="E1723" t="s">
        <v>660</v>
      </c>
      <c r="F1723" t="s">
        <v>40</v>
      </c>
      <c r="G1723">
        <v>2040</v>
      </c>
      <c r="H1723" s="12">
        <v>12911</v>
      </c>
      <c r="I1723" t="s">
        <v>3183</v>
      </c>
      <c r="J1723" t="s">
        <v>15</v>
      </c>
      <c r="K1723" t="s">
        <v>657</v>
      </c>
      <c r="L1723" t="s">
        <v>3184</v>
      </c>
      <c r="M1723" t="s">
        <v>15</v>
      </c>
    </row>
    <row r="1724" spans="1:13">
      <c r="A1724" t="s">
        <v>851</v>
      </c>
      <c r="B1724" t="s">
        <v>687</v>
      </c>
      <c r="C1724" t="s">
        <v>687</v>
      </c>
      <c r="D1724" t="s">
        <v>22</v>
      </c>
      <c r="E1724" t="s">
        <v>660</v>
      </c>
      <c r="F1724" t="s">
        <v>40</v>
      </c>
      <c r="G1724">
        <v>2045</v>
      </c>
      <c r="H1724" s="12">
        <v>14498</v>
      </c>
      <c r="I1724" t="s">
        <v>3183</v>
      </c>
      <c r="J1724" t="s">
        <v>15</v>
      </c>
      <c r="K1724" t="s">
        <v>657</v>
      </c>
      <c r="L1724" t="s">
        <v>3184</v>
      </c>
      <c r="M1724" t="s">
        <v>15</v>
      </c>
    </row>
    <row r="1725" spans="1:13">
      <c r="A1725" t="s">
        <v>851</v>
      </c>
      <c r="B1725" t="s">
        <v>687</v>
      </c>
      <c r="C1725" t="s">
        <v>687</v>
      </c>
      <c r="D1725" t="s">
        <v>22</v>
      </c>
      <c r="E1725" t="s">
        <v>660</v>
      </c>
      <c r="F1725" t="s">
        <v>40</v>
      </c>
      <c r="G1725">
        <v>2050</v>
      </c>
      <c r="H1725" s="12">
        <v>16294</v>
      </c>
      <c r="I1725" t="s">
        <v>3183</v>
      </c>
      <c r="J1725" t="s">
        <v>15</v>
      </c>
      <c r="K1725" t="s">
        <v>657</v>
      </c>
      <c r="L1725" t="s">
        <v>3184</v>
      </c>
      <c r="M1725" t="s">
        <v>15</v>
      </c>
    </row>
    <row r="1726" spans="1:13">
      <c r="A1726" t="s">
        <v>851</v>
      </c>
      <c r="B1726" t="s">
        <v>686</v>
      </c>
      <c r="C1726" t="s">
        <v>686</v>
      </c>
      <c r="D1726" t="s">
        <v>22</v>
      </c>
      <c r="E1726" t="s">
        <v>660</v>
      </c>
      <c r="F1726" t="s">
        <v>40</v>
      </c>
      <c r="G1726">
        <v>2010</v>
      </c>
      <c r="H1726" s="12">
        <v>3861</v>
      </c>
      <c r="I1726" t="s">
        <v>3183</v>
      </c>
      <c r="J1726" t="s">
        <v>6</v>
      </c>
      <c r="K1726" t="s">
        <v>657</v>
      </c>
      <c r="L1726" t="s">
        <v>3184</v>
      </c>
      <c r="M1726" t="s">
        <v>659</v>
      </c>
    </row>
    <row r="1727" spans="1:13">
      <c r="A1727" t="s">
        <v>851</v>
      </c>
      <c r="B1727" t="s">
        <v>686</v>
      </c>
      <c r="C1727" t="s">
        <v>686</v>
      </c>
      <c r="D1727" t="s">
        <v>22</v>
      </c>
      <c r="E1727" t="s">
        <v>660</v>
      </c>
      <c r="F1727" t="s">
        <v>40</v>
      </c>
      <c r="G1727">
        <v>2015</v>
      </c>
      <c r="H1727" s="12">
        <v>7191</v>
      </c>
      <c r="I1727" t="s">
        <v>3183</v>
      </c>
      <c r="J1727" t="s">
        <v>6</v>
      </c>
      <c r="K1727" t="s">
        <v>657</v>
      </c>
      <c r="L1727" t="s">
        <v>3184</v>
      </c>
      <c r="M1727" t="s">
        <v>659</v>
      </c>
    </row>
    <row r="1728" spans="1:13">
      <c r="A1728" t="s">
        <v>851</v>
      </c>
      <c r="B1728" t="s">
        <v>686</v>
      </c>
      <c r="C1728" t="s">
        <v>686</v>
      </c>
      <c r="D1728" t="s">
        <v>22</v>
      </c>
      <c r="E1728" t="s">
        <v>660</v>
      </c>
      <c r="F1728" t="s">
        <v>40</v>
      </c>
      <c r="G1728">
        <v>2020</v>
      </c>
      <c r="H1728" s="12">
        <v>11236</v>
      </c>
      <c r="I1728" t="s">
        <v>3183</v>
      </c>
      <c r="J1728" t="s">
        <v>6</v>
      </c>
      <c r="K1728" t="s">
        <v>657</v>
      </c>
      <c r="L1728" t="s">
        <v>3184</v>
      </c>
      <c r="M1728" t="s">
        <v>659</v>
      </c>
    </row>
    <row r="1729" spans="1:13">
      <c r="A1729" t="s">
        <v>851</v>
      </c>
      <c r="B1729" t="s">
        <v>686</v>
      </c>
      <c r="C1729" t="s">
        <v>686</v>
      </c>
      <c r="D1729" t="s">
        <v>22</v>
      </c>
      <c r="E1729" t="s">
        <v>660</v>
      </c>
      <c r="F1729" t="s">
        <v>40</v>
      </c>
      <c r="G1729">
        <v>2030</v>
      </c>
      <c r="H1729" s="12">
        <v>14673</v>
      </c>
      <c r="I1729" t="s">
        <v>3183</v>
      </c>
      <c r="J1729" t="s">
        <v>6</v>
      </c>
      <c r="K1729" t="s">
        <v>657</v>
      </c>
      <c r="L1729" t="s">
        <v>3184</v>
      </c>
      <c r="M1729" t="s">
        <v>659</v>
      </c>
    </row>
    <row r="1730" spans="1:13">
      <c r="A1730" t="s">
        <v>851</v>
      </c>
      <c r="B1730" t="s">
        <v>686</v>
      </c>
      <c r="C1730" t="s">
        <v>686</v>
      </c>
      <c r="D1730" t="s">
        <v>22</v>
      </c>
      <c r="E1730" t="s">
        <v>660</v>
      </c>
      <c r="F1730" t="s">
        <v>40</v>
      </c>
      <c r="G1730">
        <v>2035</v>
      </c>
      <c r="H1730" s="12">
        <v>15173</v>
      </c>
      <c r="I1730" t="s">
        <v>3183</v>
      </c>
      <c r="J1730" t="s">
        <v>6</v>
      </c>
      <c r="K1730" t="s">
        <v>657</v>
      </c>
      <c r="L1730" t="s">
        <v>3184</v>
      </c>
      <c r="M1730" t="s">
        <v>659</v>
      </c>
    </row>
    <row r="1731" spans="1:13">
      <c r="A1731" t="s">
        <v>851</v>
      </c>
      <c r="B1731" t="s">
        <v>686</v>
      </c>
      <c r="C1731" t="s">
        <v>686</v>
      </c>
      <c r="D1731" t="s">
        <v>22</v>
      </c>
      <c r="E1731" t="s">
        <v>660</v>
      </c>
      <c r="F1731" t="s">
        <v>40</v>
      </c>
      <c r="G1731">
        <v>2040</v>
      </c>
      <c r="H1731" s="12">
        <v>15350</v>
      </c>
      <c r="I1731" t="s">
        <v>3183</v>
      </c>
      <c r="J1731" t="s">
        <v>6</v>
      </c>
      <c r="K1731" t="s">
        <v>657</v>
      </c>
      <c r="L1731" t="s">
        <v>3184</v>
      </c>
      <c r="M1731" t="s">
        <v>659</v>
      </c>
    </row>
    <row r="1732" spans="1:13">
      <c r="A1732" t="s">
        <v>851</v>
      </c>
      <c r="B1732" t="s">
        <v>686</v>
      </c>
      <c r="C1732" t="s">
        <v>686</v>
      </c>
      <c r="D1732" t="s">
        <v>22</v>
      </c>
      <c r="E1732" t="s">
        <v>660</v>
      </c>
      <c r="F1732" t="s">
        <v>40</v>
      </c>
      <c r="G1732">
        <v>2045</v>
      </c>
      <c r="H1732" s="12">
        <v>15089</v>
      </c>
      <c r="I1732" t="s">
        <v>3183</v>
      </c>
      <c r="J1732" t="s">
        <v>6</v>
      </c>
      <c r="K1732" t="s">
        <v>657</v>
      </c>
      <c r="L1732" t="s">
        <v>3184</v>
      </c>
      <c r="M1732" t="s">
        <v>659</v>
      </c>
    </row>
    <row r="1733" spans="1:13">
      <c r="A1733" t="s">
        <v>851</v>
      </c>
      <c r="B1733" t="s">
        <v>686</v>
      </c>
      <c r="C1733" t="s">
        <v>686</v>
      </c>
      <c r="D1733" t="s">
        <v>22</v>
      </c>
      <c r="E1733" t="s">
        <v>660</v>
      </c>
      <c r="F1733" t="s">
        <v>40</v>
      </c>
      <c r="G1733">
        <v>2050</v>
      </c>
      <c r="H1733" s="12">
        <v>14660</v>
      </c>
      <c r="I1733" t="s">
        <v>3183</v>
      </c>
      <c r="J1733" t="s">
        <v>6</v>
      </c>
      <c r="K1733" t="s">
        <v>657</v>
      </c>
      <c r="L1733" t="s">
        <v>3184</v>
      </c>
      <c r="M1733" t="s">
        <v>659</v>
      </c>
    </row>
    <row r="1734" spans="1:13">
      <c r="A1734" t="s">
        <v>851</v>
      </c>
      <c r="B1734" t="s">
        <v>687</v>
      </c>
      <c r="C1734" t="s">
        <v>687</v>
      </c>
      <c r="D1734" t="s">
        <v>22</v>
      </c>
      <c r="E1734" t="s">
        <v>660</v>
      </c>
      <c r="F1734" t="s">
        <v>40</v>
      </c>
      <c r="G1734">
        <v>2030</v>
      </c>
      <c r="H1734" s="12">
        <v>13383</v>
      </c>
      <c r="I1734" t="s">
        <v>3183</v>
      </c>
      <c r="J1734" t="s">
        <v>6</v>
      </c>
      <c r="K1734" t="s">
        <v>657</v>
      </c>
      <c r="L1734" t="s">
        <v>3184</v>
      </c>
      <c r="M1734" t="s">
        <v>659</v>
      </c>
    </row>
    <row r="1735" spans="1:13">
      <c r="A1735" t="s">
        <v>851</v>
      </c>
      <c r="B1735" t="s">
        <v>687</v>
      </c>
      <c r="C1735" t="s">
        <v>687</v>
      </c>
      <c r="D1735" t="s">
        <v>22</v>
      </c>
      <c r="E1735" t="s">
        <v>660</v>
      </c>
      <c r="F1735" t="s">
        <v>40</v>
      </c>
      <c r="G1735">
        <v>2035</v>
      </c>
      <c r="H1735" s="12">
        <v>12707</v>
      </c>
      <c r="I1735" t="s">
        <v>3183</v>
      </c>
      <c r="J1735" t="s">
        <v>6</v>
      </c>
      <c r="K1735" t="s">
        <v>657</v>
      </c>
      <c r="L1735" t="s">
        <v>3184</v>
      </c>
      <c r="M1735" t="s">
        <v>659</v>
      </c>
    </row>
    <row r="1736" spans="1:13">
      <c r="A1736" t="s">
        <v>851</v>
      </c>
      <c r="B1736" t="s">
        <v>687</v>
      </c>
      <c r="C1736" t="s">
        <v>687</v>
      </c>
      <c r="D1736" t="s">
        <v>22</v>
      </c>
      <c r="E1736" t="s">
        <v>660</v>
      </c>
      <c r="F1736" t="s">
        <v>40</v>
      </c>
      <c r="G1736">
        <v>2040</v>
      </c>
      <c r="H1736" s="12">
        <v>12098</v>
      </c>
      <c r="I1736" t="s">
        <v>3183</v>
      </c>
      <c r="J1736" t="s">
        <v>6</v>
      </c>
      <c r="K1736" t="s">
        <v>657</v>
      </c>
      <c r="L1736" t="s">
        <v>3184</v>
      </c>
      <c r="M1736" t="s">
        <v>659</v>
      </c>
    </row>
    <row r="1737" spans="1:13">
      <c r="A1737" t="s">
        <v>851</v>
      </c>
      <c r="B1737" t="s">
        <v>687</v>
      </c>
      <c r="C1737" t="s">
        <v>687</v>
      </c>
      <c r="D1737" t="s">
        <v>22</v>
      </c>
      <c r="E1737" t="s">
        <v>660</v>
      </c>
      <c r="F1737" t="s">
        <v>40</v>
      </c>
      <c r="G1737">
        <v>2040</v>
      </c>
      <c r="H1737" s="12">
        <v>46963</v>
      </c>
      <c r="I1737" t="s">
        <v>3183</v>
      </c>
      <c r="J1737" t="s">
        <v>5</v>
      </c>
      <c r="K1737" t="s">
        <v>657</v>
      </c>
      <c r="L1737" t="s">
        <v>3184</v>
      </c>
      <c r="M1737" t="s">
        <v>5</v>
      </c>
    </row>
    <row r="1738" spans="1:13">
      <c r="A1738" t="s">
        <v>851</v>
      </c>
      <c r="B1738" t="s">
        <v>687</v>
      </c>
      <c r="C1738" t="s">
        <v>687</v>
      </c>
      <c r="D1738" t="s">
        <v>22</v>
      </c>
      <c r="E1738" t="s">
        <v>660</v>
      </c>
      <c r="F1738" t="s">
        <v>40</v>
      </c>
      <c r="G1738">
        <v>2045</v>
      </c>
      <c r="H1738" s="12">
        <v>34031</v>
      </c>
      <c r="I1738" t="s">
        <v>3183</v>
      </c>
      <c r="J1738" t="s">
        <v>5</v>
      </c>
      <c r="K1738" t="s">
        <v>657</v>
      </c>
      <c r="L1738" t="s">
        <v>3184</v>
      </c>
      <c r="M1738" t="s">
        <v>5</v>
      </c>
    </row>
    <row r="1739" spans="1:13">
      <c r="A1739" t="s">
        <v>851</v>
      </c>
      <c r="B1739" t="s">
        <v>687</v>
      </c>
      <c r="C1739" t="s">
        <v>687</v>
      </c>
      <c r="D1739" t="s">
        <v>22</v>
      </c>
      <c r="E1739" t="s">
        <v>660</v>
      </c>
      <c r="F1739" t="s">
        <v>40</v>
      </c>
      <c r="G1739">
        <v>2050</v>
      </c>
      <c r="H1739" s="12">
        <v>23123</v>
      </c>
      <c r="I1739" t="s">
        <v>3183</v>
      </c>
      <c r="J1739" t="s">
        <v>5</v>
      </c>
      <c r="K1739" t="s">
        <v>657</v>
      </c>
      <c r="L1739" t="s">
        <v>3184</v>
      </c>
      <c r="M1739" t="s">
        <v>5</v>
      </c>
    </row>
    <row r="1740" spans="1:13">
      <c r="A1740" t="s">
        <v>851</v>
      </c>
      <c r="B1740" t="s">
        <v>686</v>
      </c>
      <c r="C1740" t="s">
        <v>686</v>
      </c>
      <c r="D1740" t="s">
        <v>22</v>
      </c>
      <c r="E1740" t="s">
        <v>573</v>
      </c>
      <c r="F1740" t="s">
        <v>40</v>
      </c>
      <c r="G1740">
        <v>2010</v>
      </c>
      <c r="H1740" s="12">
        <v>806</v>
      </c>
      <c r="I1740" t="s">
        <v>3183</v>
      </c>
      <c r="J1740" t="s">
        <v>15</v>
      </c>
      <c r="K1740" t="s">
        <v>147</v>
      </c>
      <c r="L1740" t="s">
        <v>3184</v>
      </c>
      <c r="M1740" t="s">
        <v>15</v>
      </c>
    </row>
    <row r="1741" spans="1:13">
      <c r="A1741" t="s">
        <v>851</v>
      </c>
      <c r="B1741" t="s">
        <v>686</v>
      </c>
      <c r="C1741" t="s">
        <v>686</v>
      </c>
      <c r="D1741" t="s">
        <v>22</v>
      </c>
      <c r="E1741" t="s">
        <v>573</v>
      </c>
      <c r="F1741" t="s">
        <v>40</v>
      </c>
      <c r="G1741">
        <v>2015</v>
      </c>
      <c r="H1741" s="12">
        <v>1863</v>
      </c>
      <c r="I1741" t="s">
        <v>3183</v>
      </c>
      <c r="J1741" t="s">
        <v>15</v>
      </c>
      <c r="K1741" t="s">
        <v>147</v>
      </c>
      <c r="L1741" t="s">
        <v>3184</v>
      </c>
      <c r="M1741" t="s">
        <v>15</v>
      </c>
    </row>
    <row r="1742" spans="1:13">
      <c r="A1742" t="s">
        <v>851</v>
      </c>
      <c r="B1742" t="s">
        <v>686</v>
      </c>
      <c r="C1742" t="s">
        <v>686</v>
      </c>
      <c r="D1742" t="s">
        <v>22</v>
      </c>
      <c r="E1742" t="s">
        <v>573</v>
      </c>
      <c r="F1742" t="s">
        <v>40</v>
      </c>
      <c r="G1742">
        <v>2020</v>
      </c>
      <c r="H1742" s="12">
        <v>3996</v>
      </c>
      <c r="I1742" t="s">
        <v>3183</v>
      </c>
      <c r="J1742" t="s">
        <v>15</v>
      </c>
      <c r="K1742" t="s">
        <v>147</v>
      </c>
      <c r="L1742" t="s">
        <v>3184</v>
      </c>
      <c r="M1742" t="s">
        <v>15</v>
      </c>
    </row>
    <row r="1743" spans="1:13">
      <c r="A1743" t="s">
        <v>851</v>
      </c>
      <c r="B1743" t="s">
        <v>686</v>
      </c>
      <c r="C1743" t="s">
        <v>686</v>
      </c>
      <c r="D1743" t="s">
        <v>22</v>
      </c>
      <c r="E1743" t="s">
        <v>573</v>
      </c>
      <c r="F1743" t="s">
        <v>40</v>
      </c>
      <c r="G1743">
        <v>2030</v>
      </c>
      <c r="H1743" s="12">
        <v>7018</v>
      </c>
      <c r="I1743" t="s">
        <v>3183</v>
      </c>
      <c r="J1743" t="s">
        <v>15</v>
      </c>
      <c r="K1743" t="s">
        <v>147</v>
      </c>
      <c r="L1743" t="s">
        <v>3184</v>
      </c>
      <c r="M1743" t="s">
        <v>15</v>
      </c>
    </row>
    <row r="1744" spans="1:13">
      <c r="A1744" t="s">
        <v>851</v>
      </c>
      <c r="B1744" t="s">
        <v>686</v>
      </c>
      <c r="C1744" t="s">
        <v>686</v>
      </c>
      <c r="D1744" t="s">
        <v>22</v>
      </c>
      <c r="E1744" t="s">
        <v>573</v>
      </c>
      <c r="F1744" t="s">
        <v>40</v>
      </c>
      <c r="G1744">
        <v>2035</v>
      </c>
      <c r="H1744" s="12">
        <v>9586</v>
      </c>
      <c r="I1744" t="s">
        <v>3183</v>
      </c>
      <c r="J1744" t="s">
        <v>15</v>
      </c>
      <c r="K1744" t="s">
        <v>147</v>
      </c>
      <c r="L1744" t="s">
        <v>3184</v>
      </c>
      <c r="M1744" t="s">
        <v>15</v>
      </c>
    </row>
    <row r="1745" spans="1:13">
      <c r="A1745" t="s">
        <v>851</v>
      </c>
      <c r="B1745" t="s">
        <v>686</v>
      </c>
      <c r="C1745" t="s">
        <v>686</v>
      </c>
      <c r="D1745" t="s">
        <v>22</v>
      </c>
      <c r="E1745" t="s">
        <v>573</v>
      </c>
      <c r="F1745" t="s">
        <v>40</v>
      </c>
      <c r="G1745">
        <v>2040</v>
      </c>
      <c r="H1745" s="12">
        <v>11111</v>
      </c>
      <c r="I1745" t="s">
        <v>3183</v>
      </c>
      <c r="J1745" t="s">
        <v>15</v>
      </c>
      <c r="K1745" t="s">
        <v>147</v>
      </c>
      <c r="L1745" t="s">
        <v>3184</v>
      </c>
      <c r="M1745" t="s">
        <v>15</v>
      </c>
    </row>
    <row r="1746" spans="1:13">
      <c r="A1746" t="s">
        <v>851</v>
      </c>
      <c r="B1746" t="s">
        <v>686</v>
      </c>
      <c r="C1746" t="s">
        <v>686</v>
      </c>
      <c r="D1746" t="s">
        <v>22</v>
      </c>
      <c r="E1746" t="s">
        <v>573</v>
      </c>
      <c r="F1746" t="s">
        <v>40</v>
      </c>
      <c r="G1746">
        <v>2045</v>
      </c>
      <c r="H1746" s="12">
        <v>12160</v>
      </c>
      <c r="I1746" t="s">
        <v>3183</v>
      </c>
      <c r="J1746" t="s">
        <v>15</v>
      </c>
      <c r="K1746" t="s">
        <v>147</v>
      </c>
      <c r="L1746" t="s">
        <v>3184</v>
      </c>
      <c r="M1746" t="s">
        <v>15</v>
      </c>
    </row>
    <row r="1747" spans="1:13">
      <c r="A1747" t="s">
        <v>851</v>
      </c>
      <c r="B1747" t="s">
        <v>686</v>
      </c>
      <c r="C1747" t="s">
        <v>686</v>
      </c>
      <c r="D1747" t="s">
        <v>22</v>
      </c>
      <c r="E1747" t="s">
        <v>573</v>
      </c>
      <c r="F1747" t="s">
        <v>40</v>
      </c>
      <c r="G1747">
        <v>2050</v>
      </c>
      <c r="H1747" s="12">
        <v>13190</v>
      </c>
      <c r="I1747" t="s">
        <v>3183</v>
      </c>
      <c r="J1747" t="s">
        <v>15</v>
      </c>
      <c r="K1747" t="s">
        <v>147</v>
      </c>
      <c r="L1747" t="s">
        <v>3184</v>
      </c>
      <c r="M1747" t="s">
        <v>15</v>
      </c>
    </row>
    <row r="1748" spans="1:13">
      <c r="A1748" t="s">
        <v>851</v>
      </c>
      <c r="B1748" t="s">
        <v>687</v>
      </c>
      <c r="C1748" t="s">
        <v>687</v>
      </c>
      <c r="D1748" t="s">
        <v>22</v>
      </c>
      <c r="E1748" t="s">
        <v>573</v>
      </c>
      <c r="F1748" t="s">
        <v>40</v>
      </c>
      <c r="G1748">
        <v>2030</v>
      </c>
      <c r="H1748" s="12">
        <v>7837</v>
      </c>
      <c r="I1748" t="s">
        <v>3183</v>
      </c>
      <c r="J1748" t="s">
        <v>15</v>
      </c>
      <c r="K1748" t="s">
        <v>147</v>
      </c>
      <c r="L1748" t="s">
        <v>3184</v>
      </c>
      <c r="M1748" t="s">
        <v>15</v>
      </c>
    </row>
    <row r="1749" spans="1:13">
      <c r="A1749" t="s">
        <v>851</v>
      </c>
      <c r="B1749" t="s">
        <v>687</v>
      </c>
      <c r="C1749" t="s">
        <v>687</v>
      </c>
      <c r="D1749" t="s">
        <v>22</v>
      </c>
      <c r="E1749" t="s">
        <v>573</v>
      </c>
      <c r="F1749" t="s">
        <v>40</v>
      </c>
      <c r="G1749">
        <v>2035</v>
      </c>
      <c r="H1749" s="12">
        <v>10262</v>
      </c>
      <c r="I1749" t="s">
        <v>3183</v>
      </c>
      <c r="J1749" t="s">
        <v>15</v>
      </c>
      <c r="K1749" t="s">
        <v>147</v>
      </c>
      <c r="L1749" t="s">
        <v>3184</v>
      </c>
      <c r="M1749" t="s">
        <v>15</v>
      </c>
    </row>
    <row r="1750" spans="1:13">
      <c r="A1750" t="s">
        <v>851</v>
      </c>
      <c r="B1750" t="s">
        <v>687</v>
      </c>
      <c r="C1750" t="s">
        <v>687</v>
      </c>
      <c r="D1750" t="s">
        <v>22</v>
      </c>
      <c r="E1750" t="s">
        <v>573</v>
      </c>
      <c r="F1750" t="s">
        <v>40</v>
      </c>
      <c r="G1750">
        <v>2040</v>
      </c>
      <c r="H1750" s="12">
        <v>12911</v>
      </c>
      <c r="I1750" t="s">
        <v>3183</v>
      </c>
      <c r="J1750" t="s">
        <v>15</v>
      </c>
      <c r="K1750" t="s">
        <v>147</v>
      </c>
      <c r="L1750" t="s">
        <v>3184</v>
      </c>
      <c r="M1750" t="s">
        <v>15</v>
      </c>
    </row>
    <row r="1751" spans="1:13">
      <c r="A1751" t="s">
        <v>851</v>
      </c>
      <c r="B1751" t="s">
        <v>687</v>
      </c>
      <c r="C1751" t="s">
        <v>687</v>
      </c>
      <c r="D1751" t="s">
        <v>22</v>
      </c>
      <c r="E1751" t="s">
        <v>573</v>
      </c>
      <c r="F1751" t="s">
        <v>40</v>
      </c>
      <c r="G1751">
        <v>2045</v>
      </c>
      <c r="H1751" s="12">
        <v>14498</v>
      </c>
      <c r="I1751" t="s">
        <v>3183</v>
      </c>
      <c r="J1751" t="s">
        <v>15</v>
      </c>
      <c r="K1751" t="s">
        <v>147</v>
      </c>
      <c r="L1751" t="s">
        <v>3184</v>
      </c>
      <c r="M1751" t="s">
        <v>15</v>
      </c>
    </row>
    <row r="1752" spans="1:13">
      <c r="A1752" t="s">
        <v>851</v>
      </c>
      <c r="B1752" t="s">
        <v>687</v>
      </c>
      <c r="C1752" t="s">
        <v>687</v>
      </c>
      <c r="D1752" t="s">
        <v>22</v>
      </c>
      <c r="E1752" t="s">
        <v>573</v>
      </c>
      <c r="F1752" t="s">
        <v>40</v>
      </c>
      <c r="G1752">
        <v>2050</v>
      </c>
      <c r="H1752" s="12">
        <v>16294</v>
      </c>
      <c r="I1752" t="s">
        <v>3183</v>
      </c>
      <c r="J1752" t="s">
        <v>15</v>
      </c>
      <c r="K1752" t="s">
        <v>147</v>
      </c>
      <c r="L1752" t="s">
        <v>3184</v>
      </c>
      <c r="M1752" t="s">
        <v>15</v>
      </c>
    </row>
    <row r="1753" spans="1:13">
      <c r="A1753" t="s">
        <v>851</v>
      </c>
      <c r="B1753" t="s">
        <v>686</v>
      </c>
      <c r="C1753" t="s">
        <v>686</v>
      </c>
      <c r="D1753" t="s">
        <v>22</v>
      </c>
      <c r="E1753" t="s">
        <v>573</v>
      </c>
      <c r="F1753" t="s">
        <v>40</v>
      </c>
      <c r="G1753">
        <v>2010</v>
      </c>
      <c r="H1753" s="12">
        <v>884</v>
      </c>
      <c r="I1753" t="s">
        <v>3183</v>
      </c>
      <c r="J1753" t="s">
        <v>6</v>
      </c>
      <c r="K1753" t="s">
        <v>147</v>
      </c>
      <c r="L1753" t="s">
        <v>3184</v>
      </c>
      <c r="M1753" t="s">
        <v>659</v>
      </c>
    </row>
    <row r="1754" spans="1:13">
      <c r="A1754" t="s">
        <v>851</v>
      </c>
      <c r="B1754" t="s">
        <v>686</v>
      </c>
      <c r="C1754" t="s">
        <v>686</v>
      </c>
      <c r="D1754" t="s">
        <v>22</v>
      </c>
      <c r="E1754" t="s">
        <v>573</v>
      </c>
      <c r="F1754" t="s">
        <v>40</v>
      </c>
      <c r="G1754">
        <v>2015</v>
      </c>
      <c r="H1754" s="12">
        <v>1417</v>
      </c>
      <c r="I1754" t="s">
        <v>3183</v>
      </c>
      <c r="J1754" t="s">
        <v>6</v>
      </c>
      <c r="K1754" t="s">
        <v>147</v>
      </c>
      <c r="L1754" t="s">
        <v>3184</v>
      </c>
      <c r="M1754" t="s">
        <v>659</v>
      </c>
    </row>
    <row r="1755" spans="1:13">
      <c r="A1755" t="s">
        <v>851</v>
      </c>
      <c r="B1755" t="s">
        <v>686</v>
      </c>
      <c r="C1755" t="s">
        <v>686</v>
      </c>
      <c r="D1755" t="s">
        <v>22</v>
      </c>
      <c r="E1755" t="s">
        <v>573</v>
      </c>
      <c r="F1755" t="s">
        <v>40</v>
      </c>
      <c r="G1755">
        <v>2020</v>
      </c>
      <c r="H1755" s="12">
        <v>2319</v>
      </c>
      <c r="I1755" t="s">
        <v>3183</v>
      </c>
      <c r="J1755" t="s">
        <v>6</v>
      </c>
      <c r="K1755" t="s">
        <v>147</v>
      </c>
      <c r="L1755" t="s">
        <v>3184</v>
      </c>
      <c r="M1755" t="s">
        <v>659</v>
      </c>
    </row>
    <row r="1756" spans="1:13">
      <c r="A1756" t="s">
        <v>851</v>
      </c>
      <c r="B1756" t="s">
        <v>686</v>
      </c>
      <c r="C1756" t="s">
        <v>686</v>
      </c>
      <c r="D1756" t="s">
        <v>22</v>
      </c>
      <c r="E1756" t="s">
        <v>573</v>
      </c>
      <c r="F1756" t="s">
        <v>40</v>
      </c>
      <c r="G1756">
        <v>2030</v>
      </c>
      <c r="H1756" s="12">
        <v>3160</v>
      </c>
      <c r="I1756" t="s">
        <v>3183</v>
      </c>
      <c r="J1756" t="s">
        <v>6</v>
      </c>
      <c r="K1756" t="s">
        <v>147</v>
      </c>
      <c r="L1756" t="s">
        <v>3184</v>
      </c>
      <c r="M1756" t="s">
        <v>659</v>
      </c>
    </row>
    <row r="1757" spans="1:13">
      <c r="A1757" t="s">
        <v>851</v>
      </c>
      <c r="B1757" t="s">
        <v>686</v>
      </c>
      <c r="C1757" t="s">
        <v>686</v>
      </c>
      <c r="D1757" t="s">
        <v>22</v>
      </c>
      <c r="E1757" t="s">
        <v>573</v>
      </c>
      <c r="F1757" t="s">
        <v>40</v>
      </c>
      <c r="G1757">
        <v>2035</v>
      </c>
      <c r="H1757" s="12">
        <v>3275</v>
      </c>
      <c r="I1757" t="s">
        <v>3183</v>
      </c>
      <c r="J1757" t="s">
        <v>6</v>
      </c>
      <c r="K1757" t="s">
        <v>147</v>
      </c>
      <c r="L1757" t="s">
        <v>3184</v>
      </c>
      <c r="M1757" t="s">
        <v>659</v>
      </c>
    </row>
    <row r="1758" spans="1:13">
      <c r="A1758" t="s">
        <v>851</v>
      </c>
      <c r="B1758" t="s">
        <v>686</v>
      </c>
      <c r="C1758" t="s">
        <v>686</v>
      </c>
      <c r="D1758" t="s">
        <v>22</v>
      </c>
      <c r="E1758" t="s">
        <v>573</v>
      </c>
      <c r="F1758" t="s">
        <v>40</v>
      </c>
      <c r="G1758">
        <v>2040</v>
      </c>
      <c r="H1758" s="12">
        <v>3325</v>
      </c>
      <c r="I1758" t="s">
        <v>3183</v>
      </c>
      <c r="J1758" t="s">
        <v>6</v>
      </c>
      <c r="K1758" t="s">
        <v>147</v>
      </c>
      <c r="L1758" t="s">
        <v>3184</v>
      </c>
      <c r="M1758" t="s">
        <v>659</v>
      </c>
    </row>
    <row r="1759" spans="1:13">
      <c r="A1759" t="s">
        <v>851</v>
      </c>
      <c r="B1759" t="s">
        <v>686</v>
      </c>
      <c r="C1759" t="s">
        <v>686</v>
      </c>
      <c r="D1759" t="s">
        <v>22</v>
      </c>
      <c r="E1759" t="s">
        <v>573</v>
      </c>
      <c r="F1759" t="s">
        <v>40</v>
      </c>
      <c r="G1759">
        <v>2045</v>
      </c>
      <c r="H1759" s="12">
        <v>3232</v>
      </c>
      <c r="I1759" t="s">
        <v>3183</v>
      </c>
      <c r="J1759" t="s">
        <v>6</v>
      </c>
      <c r="K1759" t="s">
        <v>147</v>
      </c>
      <c r="L1759" t="s">
        <v>3184</v>
      </c>
      <c r="M1759" t="s">
        <v>659</v>
      </c>
    </row>
    <row r="1760" spans="1:13">
      <c r="A1760" t="s">
        <v>851</v>
      </c>
      <c r="B1760" t="s">
        <v>686</v>
      </c>
      <c r="C1760" t="s">
        <v>686</v>
      </c>
      <c r="D1760" t="s">
        <v>22</v>
      </c>
      <c r="E1760" t="s">
        <v>573</v>
      </c>
      <c r="F1760" t="s">
        <v>40</v>
      </c>
      <c r="G1760">
        <v>2050</v>
      </c>
      <c r="H1760" s="12">
        <v>3357</v>
      </c>
      <c r="I1760" t="s">
        <v>3183</v>
      </c>
      <c r="J1760" t="s">
        <v>6</v>
      </c>
      <c r="K1760" t="s">
        <v>147</v>
      </c>
      <c r="L1760" t="s">
        <v>3184</v>
      </c>
      <c r="M1760" t="s">
        <v>659</v>
      </c>
    </row>
    <row r="1761" spans="1:13">
      <c r="A1761" t="s">
        <v>851</v>
      </c>
      <c r="B1761" t="s">
        <v>687</v>
      </c>
      <c r="C1761" t="s">
        <v>687</v>
      </c>
      <c r="D1761" t="s">
        <v>22</v>
      </c>
      <c r="E1761" t="s">
        <v>573</v>
      </c>
      <c r="F1761" t="s">
        <v>40</v>
      </c>
      <c r="G1761">
        <v>2030</v>
      </c>
      <c r="H1761" s="12">
        <v>2884</v>
      </c>
      <c r="I1761" t="s">
        <v>3183</v>
      </c>
      <c r="J1761" t="s">
        <v>6</v>
      </c>
      <c r="K1761" t="s">
        <v>147</v>
      </c>
      <c r="L1761" t="s">
        <v>3184</v>
      </c>
      <c r="M1761" t="s">
        <v>659</v>
      </c>
    </row>
    <row r="1762" spans="1:13">
      <c r="A1762" t="s">
        <v>851</v>
      </c>
      <c r="B1762" t="s">
        <v>687</v>
      </c>
      <c r="C1762" t="s">
        <v>687</v>
      </c>
      <c r="D1762" t="s">
        <v>22</v>
      </c>
      <c r="E1762" t="s">
        <v>573</v>
      </c>
      <c r="F1762" t="s">
        <v>40</v>
      </c>
      <c r="G1762">
        <v>2035</v>
      </c>
      <c r="H1762" s="12">
        <v>3284</v>
      </c>
      <c r="I1762" t="s">
        <v>3183</v>
      </c>
      <c r="J1762" t="s">
        <v>6</v>
      </c>
      <c r="K1762" t="s">
        <v>147</v>
      </c>
      <c r="L1762" t="s">
        <v>3184</v>
      </c>
      <c r="M1762" t="s">
        <v>659</v>
      </c>
    </row>
    <row r="1763" spans="1:13">
      <c r="A1763" t="s">
        <v>851</v>
      </c>
      <c r="B1763" t="s">
        <v>687</v>
      </c>
      <c r="C1763" t="s">
        <v>687</v>
      </c>
      <c r="D1763" t="s">
        <v>22</v>
      </c>
      <c r="E1763" t="s">
        <v>573</v>
      </c>
      <c r="F1763" t="s">
        <v>40</v>
      </c>
      <c r="G1763">
        <v>2040</v>
      </c>
      <c r="H1763" s="12">
        <v>3800</v>
      </c>
      <c r="I1763" t="s">
        <v>3183</v>
      </c>
      <c r="J1763" t="s">
        <v>6</v>
      </c>
      <c r="K1763" t="s">
        <v>147</v>
      </c>
      <c r="L1763" t="s">
        <v>3184</v>
      </c>
      <c r="M1763" t="s">
        <v>659</v>
      </c>
    </row>
    <row r="1764" spans="1:13">
      <c r="A1764" t="s">
        <v>851</v>
      </c>
      <c r="B1764" t="s">
        <v>687</v>
      </c>
      <c r="C1764" t="s">
        <v>687</v>
      </c>
      <c r="D1764" t="s">
        <v>22</v>
      </c>
      <c r="E1764" t="s">
        <v>573</v>
      </c>
      <c r="F1764" t="s">
        <v>40</v>
      </c>
      <c r="G1764">
        <v>2045</v>
      </c>
      <c r="H1764" s="12">
        <v>3540</v>
      </c>
      <c r="I1764" t="s">
        <v>3183</v>
      </c>
      <c r="J1764" t="s">
        <v>6</v>
      </c>
      <c r="K1764" t="s">
        <v>147</v>
      </c>
      <c r="L1764" t="s">
        <v>3184</v>
      </c>
      <c r="M1764" t="s">
        <v>659</v>
      </c>
    </row>
    <row r="1765" spans="1:13">
      <c r="A1765" t="s">
        <v>851</v>
      </c>
      <c r="B1765" t="s">
        <v>687</v>
      </c>
      <c r="C1765" t="s">
        <v>687</v>
      </c>
      <c r="D1765" t="s">
        <v>22</v>
      </c>
      <c r="E1765" t="s">
        <v>573</v>
      </c>
      <c r="F1765" t="s">
        <v>40</v>
      </c>
      <c r="G1765">
        <v>2050</v>
      </c>
      <c r="H1765" s="12">
        <v>2952</v>
      </c>
      <c r="I1765" t="s">
        <v>3183</v>
      </c>
      <c r="J1765" t="s">
        <v>6</v>
      </c>
      <c r="K1765" t="s">
        <v>147</v>
      </c>
      <c r="L1765" t="s">
        <v>3184</v>
      </c>
      <c r="M1765" t="s">
        <v>659</v>
      </c>
    </row>
    <row r="1766" spans="1:13">
      <c r="A1766" t="s">
        <v>851</v>
      </c>
      <c r="B1766" t="s">
        <v>686</v>
      </c>
      <c r="C1766" t="s">
        <v>686</v>
      </c>
      <c r="D1766" t="s">
        <v>22</v>
      </c>
      <c r="E1766" t="s">
        <v>573</v>
      </c>
      <c r="F1766" t="s">
        <v>40</v>
      </c>
      <c r="G1766">
        <v>2010</v>
      </c>
      <c r="H1766" s="12">
        <v>396</v>
      </c>
      <c r="I1766" t="s">
        <v>3183</v>
      </c>
      <c r="J1766" t="s">
        <v>394</v>
      </c>
      <c r="K1766" t="s">
        <v>147</v>
      </c>
      <c r="L1766" t="s">
        <v>3184</v>
      </c>
      <c r="M1766" t="s">
        <v>16</v>
      </c>
    </row>
    <row r="1767" spans="1:13">
      <c r="A1767" t="s">
        <v>851</v>
      </c>
      <c r="B1767" t="s">
        <v>686</v>
      </c>
      <c r="C1767" t="s">
        <v>686</v>
      </c>
      <c r="D1767" t="s">
        <v>22</v>
      </c>
      <c r="E1767" t="s">
        <v>573</v>
      </c>
      <c r="F1767" t="s">
        <v>40</v>
      </c>
      <c r="G1767">
        <v>2015</v>
      </c>
      <c r="H1767" s="12">
        <v>299</v>
      </c>
      <c r="I1767" t="s">
        <v>3183</v>
      </c>
      <c r="J1767" t="s">
        <v>394</v>
      </c>
      <c r="K1767" t="s">
        <v>147</v>
      </c>
      <c r="L1767" t="s">
        <v>3184</v>
      </c>
      <c r="M1767" t="s">
        <v>16</v>
      </c>
    </row>
    <row r="1768" spans="1:13">
      <c r="A1768" t="s">
        <v>851</v>
      </c>
      <c r="B1768" t="s">
        <v>686</v>
      </c>
      <c r="C1768" t="s">
        <v>686</v>
      </c>
      <c r="D1768" t="s">
        <v>22</v>
      </c>
      <c r="E1768" t="s">
        <v>573</v>
      </c>
      <c r="F1768" t="s">
        <v>40</v>
      </c>
      <c r="G1768">
        <v>2020</v>
      </c>
      <c r="H1768" s="12">
        <v>386</v>
      </c>
      <c r="I1768" t="s">
        <v>3183</v>
      </c>
      <c r="J1768" t="s">
        <v>394</v>
      </c>
      <c r="K1768" t="s">
        <v>147</v>
      </c>
      <c r="L1768" t="s">
        <v>3184</v>
      </c>
      <c r="M1768" t="s">
        <v>16</v>
      </c>
    </row>
    <row r="1769" spans="1:13">
      <c r="A1769" t="s">
        <v>851</v>
      </c>
      <c r="B1769" t="s">
        <v>687</v>
      </c>
      <c r="C1769" t="s">
        <v>687</v>
      </c>
      <c r="D1769" t="s">
        <v>22</v>
      </c>
      <c r="E1769" t="s">
        <v>660</v>
      </c>
      <c r="F1769" t="s">
        <v>40</v>
      </c>
      <c r="G1769">
        <v>2045</v>
      </c>
      <c r="H1769" s="12">
        <v>21716</v>
      </c>
      <c r="I1769" t="s">
        <v>3183</v>
      </c>
      <c r="J1769" t="s">
        <v>17</v>
      </c>
      <c r="K1769" t="s">
        <v>657</v>
      </c>
      <c r="L1769" t="s">
        <v>3184</v>
      </c>
      <c r="M1769" t="s">
        <v>17</v>
      </c>
    </row>
    <row r="1770" spans="1:13">
      <c r="A1770" t="s">
        <v>851</v>
      </c>
      <c r="B1770" t="s">
        <v>687</v>
      </c>
      <c r="C1770" t="s">
        <v>687</v>
      </c>
      <c r="D1770" t="s">
        <v>22</v>
      </c>
      <c r="E1770" t="s">
        <v>660</v>
      </c>
      <c r="F1770" t="s">
        <v>40</v>
      </c>
      <c r="G1770">
        <v>2050</v>
      </c>
      <c r="H1770" s="12">
        <v>25167</v>
      </c>
      <c r="I1770" t="s">
        <v>3183</v>
      </c>
      <c r="J1770" t="s">
        <v>17</v>
      </c>
      <c r="K1770" t="s">
        <v>657</v>
      </c>
      <c r="L1770" t="s">
        <v>3184</v>
      </c>
      <c r="M1770" t="s">
        <v>17</v>
      </c>
    </row>
    <row r="1771" spans="1:13">
      <c r="A1771" t="s">
        <v>851</v>
      </c>
      <c r="B1771" t="s">
        <v>686</v>
      </c>
      <c r="C1771" t="s">
        <v>686</v>
      </c>
      <c r="D1771" t="s">
        <v>22</v>
      </c>
      <c r="E1771" t="s">
        <v>660</v>
      </c>
      <c r="F1771" t="s">
        <v>40</v>
      </c>
      <c r="G1771">
        <v>2010</v>
      </c>
      <c r="H1771" s="12">
        <v>161</v>
      </c>
      <c r="I1771" t="s">
        <v>3183</v>
      </c>
      <c r="J1771" t="s">
        <v>18</v>
      </c>
      <c r="K1771" t="s">
        <v>657</v>
      </c>
      <c r="L1771" t="s">
        <v>3184</v>
      </c>
      <c r="M1771" t="s">
        <v>18</v>
      </c>
    </row>
    <row r="1772" spans="1:13">
      <c r="A1772" t="s">
        <v>851</v>
      </c>
      <c r="B1772" t="s">
        <v>686</v>
      </c>
      <c r="C1772" t="s">
        <v>686</v>
      </c>
      <c r="D1772" t="s">
        <v>22</v>
      </c>
      <c r="E1772" t="s">
        <v>660</v>
      </c>
      <c r="F1772" t="s">
        <v>40</v>
      </c>
      <c r="G1772">
        <v>2015</v>
      </c>
      <c r="H1772" s="12">
        <v>669</v>
      </c>
      <c r="I1772" t="s">
        <v>3183</v>
      </c>
      <c r="J1772" t="s">
        <v>18</v>
      </c>
      <c r="K1772" t="s">
        <v>657</v>
      </c>
      <c r="L1772" t="s">
        <v>3184</v>
      </c>
      <c r="M1772" t="s">
        <v>18</v>
      </c>
    </row>
    <row r="1773" spans="1:13">
      <c r="A1773" t="s">
        <v>851</v>
      </c>
      <c r="B1773" t="s">
        <v>686</v>
      </c>
      <c r="C1773" t="s">
        <v>686</v>
      </c>
      <c r="D1773" t="s">
        <v>22</v>
      </c>
      <c r="E1773" t="s">
        <v>660</v>
      </c>
      <c r="F1773" t="s">
        <v>40</v>
      </c>
      <c r="G1773">
        <v>2020</v>
      </c>
      <c r="H1773" s="12">
        <v>1679</v>
      </c>
      <c r="I1773" t="s">
        <v>3183</v>
      </c>
      <c r="J1773" t="s">
        <v>18</v>
      </c>
      <c r="K1773" t="s">
        <v>657</v>
      </c>
      <c r="L1773" t="s">
        <v>3184</v>
      </c>
      <c r="M1773" t="s">
        <v>18</v>
      </c>
    </row>
    <row r="1774" spans="1:13">
      <c r="A1774" t="s">
        <v>851</v>
      </c>
      <c r="B1774" t="s">
        <v>686</v>
      </c>
      <c r="C1774" t="s">
        <v>686</v>
      </c>
      <c r="D1774" t="s">
        <v>22</v>
      </c>
      <c r="E1774" t="s">
        <v>660</v>
      </c>
      <c r="F1774" t="s">
        <v>40</v>
      </c>
      <c r="G1774">
        <v>2030</v>
      </c>
      <c r="H1774" s="12">
        <v>5553</v>
      </c>
      <c r="I1774" t="s">
        <v>3183</v>
      </c>
      <c r="J1774" t="s">
        <v>18</v>
      </c>
      <c r="K1774" t="s">
        <v>657</v>
      </c>
      <c r="L1774" t="s">
        <v>3184</v>
      </c>
      <c r="M1774" t="s">
        <v>18</v>
      </c>
    </row>
    <row r="1775" spans="1:13">
      <c r="A1775" t="s">
        <v>851</v>
      </c>
      <c r="B1775" t="s">
        <v>686</v>
      </c>
      <c r="C1775" t="s">
        <v>686</v>
      </c>
      <c r="D1775" t="s">
        <v>22</v>
      </c>
      <c r="E1775" t="s">
        <v>660</v>
      </c>
      <c r="F1775" t="s">
        <v>40</v>
      </c>
      <c r="G1775">
        <v>2035</v>
      </c>
      <c r="H1775" s="12">
        <v>7261</v>
      </c>
      <c r="I1775" t="s">
        <v>3183</v>
      </c>
      <c r="J1775" t="s">
        <v>18</v>
      </c>
      <c r="K1775" t="s">
        <v>657</v>
      </c>
      <c r="L1775" t="s">
        <v>3184</v>
      </c>
      <c r="M1775" t="s">
        <v>18</v>
      </c>
    </row>
    <row r="1776" spans="1:13">
      <c r="A1776" t="s">
        <v>851</v>
      </c>
      <c r="B1776" t="s">
        <v>686</v>
      </c>
      <c r="C1776" t="s">
        <v>686</v>
      </c>
      <c r="D1776" t="s">
        <v>22</v>
      </c>
      <c r="E1776" t="s">
        <v>660</v>
      </c>
      <c r="F1776" t="s">
        <v>40</v>
      </c>
      <c r="G1776">
        <v>2040</v>
      </c>
      <c r="H1776" s="12">
        <v>8885</v>
      </c>
      <c r="I1776" t="s">
        <v>3183</v>
      </c>
      <c r="J1776" t="s">
        <v>18</v>
      </c>
      <c r="K1776" t="s">
        <v>657</v>
      </c>
      <c r="L1776" t="s">
        <v>3184</v>
      </c>
      <c r="M1776" t="s">
        <v>18</v>
      </c>
    </row>
    <row r="1777" spans="1:13">
      <c r="A1777" t="s">
        <v>851</v>
      </c>
      <c r="B1777" t="s">
        <v>686</v>
      </c>
      <c r="C1777" t="s">
        <v>686</v>
      </c>
      <c r="D1777" t="s">
        <v>22</v>
      </c>
      <c r="E1777" t="s">
        <v>660</v>
      </c>
      <c r="F1777" t="s">
        <v>40</v>
      </c>
      <c r="G1777">
        <v>2045</v>
      </c>
      <c r="H1777" s="12">
        <v>10525</v>
      </c>
      <c r="I1777" t="s">
        <v>3183</v>
      </c>
      <c r="J1777" t="s">
        <v>18</v>
      </c>
      <c r="K1777" t="s">
        <v>657</v>
      </c>
      <c r="L1777" t="s">
        <v>3184</v>
      </c>
      <c r="M1777" t="s">
        <v>18</v>
      </c>
    </row>
    <row r="1778" spans="1:13">
      <c r="A1778" t="s">
        <v>851</v>
      </c>
      <c r="B1778" t="s">
        <v>686</v>
      </c>
      <c r="C1778" t="s">
        <v>686</v>
      </c>
      <c r="D1778" t="s">
        <v>22</v>
      </c>
      <c r="E1778" t="s">
        <v>660</v>
      </c>
      <c r="F1778" t="s">
        <v>40</v>
      </c>
      <c r="G1778">
        <v>2050</v>
      </c>
      <c r="H1778" s="12">
        <v>11924</v>
      </c>
      <c r="I1778" t="s">
        <v>3183</v>
      </c>
      <c r="J1778" t="s">
        <v>18</v>
      </c>
      <c r="K1778" t="s">
        <v>657</v>
      </c>
      <c r="L1778" t="s">
        <v>3184</v>
      </c>
      <c r="M1778" t="s">
        <v>18</v>
      </c>
    </row>
    <row r="1779" spans="1:13">
      <c r="A1779" t="s">
        <v>851</v>
      </c>
      <c r="B1779" t="s">
        <v>687</v>
      </c>
      <c r="C1779" t="s">
        <v>687</v>
      </c>
      <c r="D1779" t="s">
        <v>22</v>
      </c>
      <c r="E1779" t="s">
        <v>660</v>
      </c>
      <c r="F1779" t="s">
        <v>40</v>
      </c>
      <c r="G1779">
        <v>2030</v>
      </c>
      <c r="H1779" s="12">
        <v>5678</v>
      </c>
      <c r="I1779" t="s">
        <v>3183</v>
      </c>
      <c r="J1779" t="s">
        <v>18</v>
      </c>
      <c r="K1779" t="s">
        <v>657</v>
      </c>
      <c r="L1779" t="s">
        <v>3184</v>
      </c>
      <c r="M1779" t="s">
        <v>18</v>
      </c>
    </row>
    <row r="1780" spans="1:13">
      <c r="A1780" t="s">
        <v>851</v>
      </c>
      <c r="B1780" t="s">
        <v>687</v>
      </c>
      <c r="C1780" t="s">
        <v>687</v>
      </c>
      <c r="D1780" t="s">
        <v>22</v>
      </c>
      <c r="E1780" t="s">
        <v>660</v>
      </c>
      <c r="F1780" t="s">
        <v>40</v>
      </c>
      <c r="G1780">
        <v>2035</v>
      </c>
      <c r="H1780" s="12">
        <v>7762</v>
      </c>
      <c r="I1780" t="s">
        <v>3183</v>
      </c>
      <c r="J1780" t="s">
        <v>18</v>
      </c>
      <c r="K1780" t="s">
        <v>657</v>
      </c>
      <c r="L1780" t="s">
        <v>3184</v>
      </c>
      <c r="M1780" t="s">
        <v>18</v>
      </c>
    </row>
    <row r="1781" spans="1:13">
      <c r="A1781" t="s">
        <v>851</v>
      </c>
      <c r="B1781" t="s">
        <v>687</v>
      </c>
      <c r="C1781" t="s">
        <v>687</v>
      </c>
      <c r="D1781" t="s">
        <v>22</v>
      </c>
      <c r="E1781" t="s">
        <v>660</v>
      </c>
      <c r="F1781" t="s">
        <v>40</v>
      </c>
      <c r="G1781">
        <v>2040</v>
      </c>
      <c r="H1781" s="12">
        <v>10337</v>
      </c>
      <c r="I1781" t="s">
        <v>3183</v>
      </c>
      <c r="J1781" t="s">
        <v>18</v>
      </c>
      <c r="K1781" t="s">
        <v>657</v>
      </c>
      <c r="L1781" t="s">
        <v>3184</v>
      </c>
      <c r="M1781" t="s">
        <v>18</v>
      </c>
    </row>
    <row r="1782" spans="1:13">
      <c r="A1782" t="s">
        <v>851</v>
      </c>
      <c r="B1782" t="s">
        <v>687</v>
      </c>
      <c r="C1782" t="s">
        <v>687</v>
      </c>
      <c r="D1782" t="s">
        <v>22</v>
      </c>
      <c r="E1782" t="s">
        <v>660</v>
      </c>
      <c r="F1782" t="s">
        <v>40</v>
      </c>
      <c r="G1782">
        <v>2045</v>
      </c>
      <c r="H1782" s="12">
        <v>13028</v>
      </c>
      <c r="I1782" t="s">
        <v>3183</v>
      </c>
      <c r="J1782" t="s">
        <v>18</v>
      </c>
      <c r="K1782" t="s">
        <v>657</v>
      </c>
      <c r="L1782" t="s">
        <v>3184</v>
      </c>
      <c r="M1782" t="s">
        <v>18</v>
      </c>
    </row>
    <row r="1783" spans="1:13">
      <c r="A1783" t="s">
        <v>851</v>
      </c>
      <c r="B1783" t="s">
        <v>687</v>
      </c>
      <c r="C1783" t="s">
        <v>687</v>
      </c>
      <c r="D1783" t="s">
        <v>22</v>
      </c>
      <c r="E1783" t="s">
        <v>660</v>
      </c>
      <c r="F1783" t="s">
        <v>40</v>
      </c>
      <c r="G1783">
        <v>2050</v>
      </c>
      <c r="H1783" s="12">
        <v>15641</v>
      </c>
      <c r="I1783" t="s">
        <v>3183</v>
      </c>
      <c r="J1783" t="s">
        <v>18</v>
      </c>
      <c r="K1783" t="s">
        <v>657</v>
      </c>
      <c r="L1783" t="s">
        <v>3184</v>
      </c>
      <c r="M1783" t="s">
        <v>18</v>
      </c>
    </row>
    <row r="1784" spans="1:13">
      <c r="A1784" t="s">
        <v>851</v>
      </c>
      <c r="B1784" t="s">
        <v>686</v>
      </c>
      <c r="C1784" t="s">
        <v>686</v>
      </c>
      <c r="D1784" t="s">
        <v>22</v>
      </c>
      <c r="E1784" t="s">
        <v>660</v>
      </c>
      <c r="F1784" t="s">
        <v>40</v>
      </c>
      <c r="G1784">
        <v>2010</v>
      </c>
      <c r="H1784" s="12">
        <v>2561</v>
      </c>
      <c r="I1784" t="s">
        <v>3183</v>
      </c>
      <c r="J1784" t="s">
        <v>14</v>
      </c>
      <c r="K1784" t="s">
        <v>657</v>
      </c>
      <c r="L1784" t="s">
        <v>3184</v>
      </c>
      <c r="M1784" t="s">
        <v>14</v>
      </c>
    </row>
    <row r="1785" spans="1:13">
      <c r="A1785" t="s">
        <v>851</v>
      </c>
      <c r="B1785" t="s">
        <v>686</v>
      </c>
      <c r="C1785" t="s">
        <v>686</v>
      </c>
      <c r="D1785" t="s">
        <v>22</v>
      </c>
      <c r="E1785" t="s">
        <v>660</v>
      </c>
      <c r="F1785" t="s">
        <v>40</v>
      </c>
      <c r="G1785">
        <v>2015</v>
      </c>
      <c r="H1785" s="12">
        <v>4012</v>
      </c>
      <c r="I1785" t="s">
        <v>3183</v>
      </c>
      <c r="J1785" t="s">
        <v>14</v>
      </c>
      <c r="K1785" t="s">
        <v>657</v>
      </c>
      <c r="L1785" t="s">
        <v>3184</v>
      </c>
      <c r="M1785" t="s">
        <v>14</v>
      </c>
    </row>
    <row r="1786" spans="1:13">
      <c r="A1786" t="s">
        <v>851</v>
      </c>
      <c r="B1786" t="s">
        <v>686</v>
      </c>
      <c r="C1786" t="s">
        <v>686</v>
      </c>
      <c r="D1786" t="s">
        <v>22</v>
      </c>
      <c r="E1786" t="s">
        <v>660</v>
      </c>
      <c r="F1786" t="s">
        <v>40</v>
      </c>
      <c r="G1786">
        <v>2020</v>
      </c>
      <c r="H1786" s="12">
        <v>4758</v>
      </c>
      <c r="I1786" t="s">
        <v>3183</v>
      </c>
      <c r="J1786" t="s">
        <v>14</v>
      </c>
      <c r="K1786" t="s">
        <v>657</v>
      </c>
      <c r="L1786" t="s">
        <v>3184</v>
      </c>
      <c r="M1786" t="s">
        <v>14</v>
      </c>
    </row>
    <row r="1787" spans="1:13">
      <c r="A1787" t="s">
        <v>851</v>
      </c>
      <c r="B1787" t="s">
        <v>686</v>
      </c>
      <c r="C1787" t="s">
        <v>686</v>
      </c>
      <c r="D1787" t="s">
        <v>22</v>
      </c>
      <c r="E1787" t="s">
        <v>660</v>
      </c>
      <c r="F1787" t="s">
        <v>40</v>
      </c>
      <c r="G1787">
        <v>2030</v>
      </c>
      <c r="H1787" s="12">
        <v>5359</v>
      </c>
      <c r="I1787" t="s">
        <v>3183</v>
      </c>
      <c r="J1787" t="s">
        <v>14</v>
      </c>
      <c r="K1787" t="s">
        <v>657</v>
      </c>
      <c r="L1787" t="s">
        <v>3184</v>
      </c>
      <c r="M1787" t="s">
        <v>14</v>
      </c>
    </row>
    <row r="1788" spans="1:13">
      <c r="A1788" t="s">
        <v>851</v>
      </c>
      <c r="B1788" t="s">
        <v>686</v>
      </c>
      <c r="C1788" t="s">
        <v>686</v>
      </c>
      <c r="D1788" t="s">
        <v>22</v>
      </c>
      <c r="E1788" t="s">
        <v>660</v>
      </c>
      <c r="F1788" t="s">
        <v>40</v>
      </c>
      <c r="G1788">
        <v>2035</v>
      </c>
      <c r="H1788" s="12">
        <v>5587</v>
      </c>
      <c r="I1788" t="s">
        <v>3183</v>
      </c>
      <c r="J1788" t="s">
        <v>14</v>
      </c>
      <c r="K1788" t="s">
        <v>657</v>
      </c>
      <c r="L1788" t="s">
        <v>3184</v>
      </c>
      <c r="M1788" t="s">
        <v>14</v>
      </c>
    </row>
    <row r="1789" spans="1:13">
      <c r="A1789" t="s">
        <v>851</v>
      </c>
      <c r="B1789" t="s">
        <v>686</v>
      </c>
      <c r="C1789" t="s">
        <v>686</v>
      </c>
      <c r="D1789" t="s">
        <v>22</v>
      </c>
      <c r="E1789" t="s">
        <v>660</v>
      </c>
      <c r="F1789" t="s">
        <v>40</v>
      </c>
      <c r="G1789">
        <v>2040</v>
      </c>
      <c r="H1789" s="12">
        <v>5870</v>
      </c>
      <c r="I1789" t="s">
        <v>3183</v>
      </c>
      <c r="J1789" t="s">
        <v>14</v>
      </c>
      <c r="K1789" t="s">
        <v>657</v>
      </c>
      <c r="L1789" t="s">
        <v>3184</v>
      </c>
      <c r="M1789" t="s">
        <v>14</v>
      </c>
    </row>
    <row r="1790" spans="1:13">
      <c r="A1790" t="s">
        <v>851</v>
      </c>
      <c r="B1790" t="s">
        <v>686</v>
      </c>
      <c r="C1790" t="s">
        <v>686</v>
      </c>
      <c r="D1790" t="s">
        <v>22</v>
      </c>
      <c r="E1790" t="s">
        <v>660</v>
      </c>
      <c r="F1790" t="s">
        <v>40</v>
      </c>
      <c r="G1790">
        <v>2045</v>
      </c>
      <c r="H1790" s="12">
        <v>6092</v>
      </c>
      <c r="I1790" t="s">
        <v>3183</v>
      </c>
      <c r="J1790" t="s">
        <v>14</v>
      </c>
      <c r="K1790" t="s">
        <v>657</v>
      </c>
      <c r="L1790" t="s">
        <v>3184</v>
      </c>
      <c r="M1790" t="s">
        <v>14</v>
      </c>
    </row>
    <row r="1791" spans="1:13">
      <c r="A1791" t="s">
        <v>851</v>
      </c>
      <c r="B1791" t="s">
        <v>686</v>
      </c>
      <c r="C1791" t="s">
        <v>686</v>
      </c>
      <c r="D1791" t="s">
        <v>22</v>
      </c>
      <c r="E1791" t="s">
        <v>660</v>
      </c>
      <c r="F1791" t="s">
        <v>40</v>
      </c>
      <c r="G1791">
        <v>2050</v>
      </c>
      <c r="H1791" s="12">
        <v>6259</v>
      </c>
      <c r="I1791" t="s">
        <v>3183</v>
      </c>
      <c r="J1791" t="s">
        <v>14</v>
      </c>
      <c r="K1791" t="s">
        <v>657</v>
      </c>
      <c r="L1791" t="s">
        <v>3184</v>
      </c>
      <c r="M1791" t="s">
        <v>14</v>
      </c>
    </row>
    <row r="1792" spans="1:13">
      <c r="A1792" t="s">
        <v>851</v>
      </c>
      <c r="B1792" t="s">
        <v>687</v>
      </c>
      <c r="C1792" t="s">
        <v>687</v>
      </c>
      <c r="D1792" t="s">
        <v>22</v>
      </c>
      <c r="E1792" t="s">
        <v>660</v>
      </c>
      <c r="F1792" t="s">
        <v>40</v>
      </c>
      <c r="G1792">
        <v>2030</v>
      </c>
      <c r="H1792" s="12">
        <v>5284</v>
      </c>
      <c r="I1792" t="s">
        <v>3183</v>
      </c>
      <c r="J1792" t="s">
        <v>14</v>
      </c>
      <c r="K1792" t="s">
        <v>657</v>
      </c>
      <c r="L1792" t="s">
        <v>3184</v>
      </c>
      <c r="M1792" t="s">
        <v>14</v>
      </c>
    </row>
    <row r="1793" spans="1:13">
      <c r="A1793" t="s">
        <v>851</v>
      </c>
      <c r="B1793" t="s">
        <v>687</v>
      </c>
      <c r="C1793" t="s">
        <v>687</v>
      </c>
      <c r="D1793" t="s">
        <v>22</v>
      </c>
      <c r="E1793" t="s">
        <v>660</v>
      </c>
      <c r="F1793" t="s">
        <v>40</v>
      </c>
      <c r="G1793">
        <v>2035</v>
      </c>
      <c r="H1793" s="12">
        <v>5669</v>
      </c>
      <c r="I1793" t="s">
        <v>3183</v>
      </c>
      <c r="J1793" t="s">
        <v>14</v>
      </c>
      <c r="K1793" t="s">
        <v>657</v>
      </c>
      <c r="L1793" t="s">
        <v>3184</v>
      </c>
      <c r="M1793" t="s">
        <v>14</v>
      </c>
    </row>
    <row r="1794" spans="1:13">
      <c r="A1794" t="s">
        <v>851</v>
      </c>
      <c r="B1794" t="s">
        <v>687</v>
      </c>
      <c r="C1794" t="s">
        <v>687</v>
      </c>
      <c r="D1794" t="s">
        <v>22</v>
      </c>
      <c r="E1794" t="s">
        <v>660</v>
      </c>
      <c r="F1794" t="s">
        <v>40</v>
      </c>
      <c r="G1794">
        <v>2040</v>
      </c>
      <c r="H1794" s="12">
        <v>6017</v>
      </c>
      <c r="I1794" t="s">
        <v>3183</v>
      </c>
      <c r="J1794" t="s">
        <v>14</v>
      </c>
      <c r="K1794" t="s">
        <v>657</v>
      </c>
      <c r="L1794" t="s">
        <v>3184</v>
      </c>
      <c r="M1794" t="s">
        <v>14</v>
      </c>
    </row>
    <row r="1795" spans="1:13">
      <c r="A1795" t="s">
        <v>851</v>
      </c>
      <c r="B1795" t="s">
        <v>687</v>
      </c>
      <c r="C1795" t="s">
        <v>687</v>
      </c>
      <c r="D1795" t="s">
        <v>22</v>
      </c>
      <c r="E1795" t="s">
        <v>660</v>
      </c>
      <c r="F1795" t="s">
        <v>40</v>
      </c>
      <c r="G1795">
        <v>2045</v>
      </c>
      <c r="H1795" s="12">
        <v>6267</v>
      </c>
      <c r="I1795" t="s">
        <v>3183</v>
      </c>
      <c r="J1795" t="s">
        <v>14</v>
      </c>
      <c r="K1795" t="s">
        <v>657</v>
      </c>
      <c r="L1795" t="s">
        <v>3184</v>
      </c>
      <c r="M1795" t="s">
        <v>14</v>
      </c>
    </row>
    <row r="1796" spans="1:13">
      <c r="A1796" t="s">
        <v>851</v>
      </c>
      <c r="B1796" t="s">
        <v>687</v>
      </c>
      <c r="C1796" t="s">
        <v>687</v>
      </c>
      <c r="D1796" t="s">
        <v>22</v>
      </c>
      <c r="E1796" t="s">
        <v>660</v>
      </c>
      <c r="F1796" t="s">
        <v>40</v>
      </c>
      <c r="G1796">
        <v>2050</v>
      </c>
      <c r="H1796" s="12">
        <v>6456</v>
      </c>
      <c r="I1796" t="s">
        <v>3183</v>
      </c>
      <c r="J1796" t="s">
        <v>14</v>
      </c>
      <c r="K1796" t="s">
        <v>657</v>
      </c>
      <c r="L1796" t="s">
        <v>3184</v>
      </c>
      <c r="M1796" t="s">
        <v>14</v>
      </c>
    </row>
    <row r="1797" spans="1:13">
      <c r="A1797" t="s">
        <v>851</v>
      </c>
      <c r="B1797" t="s">
        <v>686</v>
      </c>
      <c r="C1797" t="s">
        <v>686</v>
      </c>
      <c r="D1797" t="s">
        <v>22</v>
      </c>
      <c r="E1797" t="s">
        <v>660</v>
      </c>
      <c r="F1797" t="s">
        <v>40</v>
      </c>
      <c r="G1797">
        <v>2010</v>
      </c>
      <c r="H1797" s="12">
        <v>1507</v>
      </c>
      <c r="I1797" t="s">
        <v>3183</v>
      </c>
      <c r="J1797" t="s">
        <v>41</v>
      </c>
      <c r="K1797" t="s">
        <v>657</v>
      </c>
      <c r="L1797" t="s">
        <v>3184</v>
      </c>
      <c r="M1797" t="s">
        <v>662</v>
      </c>
    </row>
    <row r="1798" spans="1:13">
      <c r="A1798" t="s">
        <v>851</v>
      </c>
      <c r="B1798" t="s">
        <v>686</v>
      </c>
      <c r="C1798" t="s">
        <v>686</v>
      </c>
      <c r="D1798" t="s">
        <v>22</v>
      </c>
      <c r="E1798" t="s">
        <v>660</v>
      </c>
      <c r="F1798" t="s">
        <v>40</v>
      </c>
      <c r="G1798">
        <v>2015</v>
      </c>
      <c r="H1798" s="12">
        <v>1940</v>
      </c>
      <c r="I1798" t="s">
        <v>3183</v>
      </c>
      <c r="J1798" t="s">
        <v>41</v>
      </c>
      <c r="K1798" t="s">
        <v>657</v>
      </c>
      <c r="L1798" t="s">
        <v>3184</v>
      </c>
      <c r="M1798" t="s">
        <v>662</v>
      </c>
    </row>
    <row r="1799" spans="1:13">
      <c r="A1799" t="s">
        <v>851</v>
      </c>
      <c r="B1799" t="s">
        <v>686</v>
      </c>
      <c r="C1799" t="s">
        <v>686</v>
      </c>
      <c r="D1799" t="s">
        <v>22</v>
      </c>
      <c r="E1799" t="s">
        <v>660</v>
      </c>
      <c r="F1799" t="s">
        <v>40</v>
      </c>
      <c r="G1799">
        <v>2020</v>
      </c>
      <c r="H1799" s="12">
        <v>3144</v>
      </c>
      <c r="I1799" t="s">
        <v>3183</v>
      </c>
      <c r="J1799" t="s">
        <v>41</v>
      </c>
      <c r="K1799" t="s">
        <v>657</v>
      </c>
      <c r="L1799" t="s">
        <v>3184</v>
      </c>
      <c r="M1799" t="s">
        <v>662</v>
      </c>
    </row>
    <row r="1800" spans="1:13">
      <c r="A1800" t="s">
        <v>851</v>
      </c>
      <c r="B1800" t="s">
        <v>686</v>
      </c>
      <c r="C1800" t="s">
        <v>686</v>
      </c>
      <c r="D1800" t="s">
        <v>22</v>
      </c>
      <c r="E1800" t="s">
        <v>660</v>
      </c>
      <c r="F1800" t="s">
        <v>40</v>
      </c>
      <c r="G1800">
        <v>2030</v>
      </c>
      <c r="H1800" s="12">
        <v>6743</v>
      </c>
      <c r="I1800" t="s">
        <v>3183</v>
      </c>
      <c r="J1800" t="s">
        <v>41</v>
      </c>
      <c r="K1800" t="s">
        <v>657</v>
      </c>
      <c r="L1800" t="s">
        <v>3184</v>
      </c>
      <c r="M1800" t="s">
        <v>662</v>
      </c>
    </row>
    <row r="1801" spans="1:13">
      <c r="A1801" t="s">
        <v>851</v>
      </c>
      <c r="B1801" t="s">
        <v>686</v>
      </c>
      <c r="C1801" t="s">
        <v>686</v>
      </c>
      <c r="D1801" t="s">
        <v>22</v>
      </c>
      <c r="E1801" t="s">
        <v>660</v>
      </c>
      <c r="F1801" t="s">
        <v>40</v>
      </c>
      <c r="G1801">
        <v>2035</v>
      </c>
      <c r="H1801" s="12">
        <v>8074</v>
      </c>
      <c r="I1801" t="s">
        <v>3183</v>
      </c>
      <c r="J1801" t="s">
        <v>41</v>
      </c>
      <c r="K1801" t="s">
        <v>657</v>
      </c>
      <c r="L1801" t="s">
        <v>3184</v>
      </c>
      <c r="M1801" t="s">
        <v>662</v>
      </c>
    </row>
    <row r="1802" spans="1:13">
      <c r="A1802" t="s">
        <v>851</v>
      </c>
      <c r="B1802" t="s">
        <v>686</v>
      </c>
      <c r="C1802" t="s">
        <v>686</v>
      </c>
      <c r="D1802" t="s">
        <v>22</v>
      </c>
      <c r="E1802" t="s">
        <v>660</v>
      </c>
      <c r="F1802" t="s">
        <v>40</v>
      </c>
      <c r="G1802">
        <v>2040</v>
      </c>
      <c r="H1802" s="12">
        <v>9294</v>
      </c>
      <c r="I1802" t="s">
        <v>3183</v>
      </c>
      <c r="J1802" t="s">
        <v>41</v>
      </c>
      <c r="K1802" t="s">
        <v>657</v>
      </c>
      <c r="L1802" t="s">
        <v>3184</v>
      </c>
      <c r="M1802" t="s">
        <v>662</v>
      </c>
    </row>
    <row r="1803" spans="1:13">
      <c r="A1803" t="s">
        <v>851</v>
      </c>
      <c r="B1803" t="s">
        <v>686</v>
      </c>
      <c r="C1803" t="s">
        <v>686</v>
      </c>
      <c r="D1803" t="s">
        <v>22</v>
      </c>
      <c r="E1803" t="s">
        <v>660</v>
      </c>
      <c r="F1803" t="s">
        <v>40</v>
      </c>
      <c r="G1803">
        <v>2045</v>
      </c>
      <c r="H1803" s="12">
        <v>10517</v>
      </c>
      <c r="I1803" t="s">
        <v>3183</v>
      </c>
      <c r="J1803" t="s">
        <v>41</v>
      </c>
      <c r="K1803" t="s">
        <v>657</v>
      </c>
      <c r="L1803" t="s">
        <v>3184</v>
      </c>
      <c r="M1803" t="s">
        <v>662</v>
      </c>
    </row>
    <row r="1804" spans="1:13">
      <c r="A1804" t="s">
        <v>851</v>
      </c>
      <c r="B1804" t="s">
        <v>686</v>
      </c>
      <c r="C1804" t="s">
        <v>686</v>
      </c>
      <c r="D1804" t="s">
        <v>22</v>
      </c>
      <c r="E1804" t="s">
        <v>660</v>
      </c>
      <c r="F1804" t="s">
        <v>40</v>
      </c>
      <c r="G1804">
        <v>2050</v>
      </c>
      <c r="H1804" s="12">
        <v>11898</v>
      </c>
      <c r="I1804" t="s">
        <v>3183</v>
      </c>
      <c r="J1804" t="s">
        <v>41</v>
      </c>
      <c r="K1804" t="s">
        <v>657</v>
      </c>
      <c r="L1804" t="s">
        <v>3184</v>
      </c>
      <c r="M1804" t="s">
        <v>662</v>
      </c>
    </row>
    <row r="1805" spans="1:13">
      <c r="A1805" t="s">
        <v>851</v>
      </c>
      <c r="B1805" t="s">
        <v>687</v>
      </c>
      <c r="C1805" t="s">
        <v>687</v>
      </c>
      <c r="D1805" t="s">
        <v>22</v>
      </c>
      <c r="E1805" t="s">
        <v>660</v>
      </c>
      <c r="F1805" t="s">
        <v>40</v>
      </c>
      <c r="G1805">
        <v>2030</v>
      </c>
      <c r="H1805" s="12">
        <v>8622</v>
      </c>
      <c r="I1805" t="s">
        <v>3183</v>
      </c>
      <c r="J1805" t="s">
        <v>41</v>
      </c>
      <c r="K1805" t="s">
        <v>657</v>
      </c>
      <c r="L1805" t="s">
        <v>3184</v>
      </c>
      <c r="M1805" t="s">
        <v>662</v>
      </c>
    </row>
    <row r="1806" spans="1:13">
      <c r="A1806" t="s">
        <v>851</v>
      </c>
      <c r="B1806" t="s">
        <v>687</v>
      </c>
      <c r="C1806" t="s">
        <v>687</v>
      </c>
      <c r="D1806" t="s">
        <v>22</v>
      </c>
      <c r="E1806" t="s">
        <v>660</v>
      </c>
      <c r="F1806" t="s">
        <v>40</v>
      </c>
      <c r="G1806">
        <v>2035</v>
      </c>
      <c r="H1806" s="12">
        <v>11929</v>
      </c>
      <c r="I1806" t="s">
        <v>3183</v>
      </c>
      <c r="J1806" t="s">
        <v>41</v>
      </c>
      <c r="K1806" t="s">
        <v>657</v>
      </c>
      <c r="L1806" t="s">
        <v>3184</v>
      </c>
      <c r="M1806" t="s">
        <v>662</v>
      </c>
    </row>
    <row r="1807" spans="1:13">
      <c r="A1807" t="s">
        <v>851</v>
      </c>
      <c r="B1807" t="s">
        <v>687</v>
      </c>
      <c r="C1807" t="s">
        <v>687</v>
      </c>
      <c r="D1807" t="s">
        <v>22</v>
      </c>
      <c r="E1807" t="s">
        <v>660</v>
      </c>
      <c r="F1807" t="s">
        <v>40</v>
      </c>
      <c r="G1807">
        <v>2040</v>
      </c>
      <c r="H1807" s="12">
        <v>15057</v>
      </c>
      <c r="I1807" t="s">
        <v>3183</v>
      </c>
      <c r="J1807" t="s">
        <v>41</v>
      </c>
      <c r="K1807" t="s">
        <v>657</v>
      </c>
      <c r="L1807" t="s">
        <v>3184</v>
      </c>
      <c r="M1807" t="s">
        <v>662</v>
      </c>
    </row>
    <row r="1808" spans="1:13">
      <c r="A1808" t="s">
        <v>851</v>
      </c>
      <c r="B1808" t="s">
        <v>687</v>
      </c>
      <c r="C1808" t="s">
        <v>687</v>
      </c>
      <c r="D1808" t="s">
        <v>22</v>
      </c>
      <c r="E1808" t="s">
        <v>660</v>
      </c>
      <c r="F1808" t="s">
        <v>40</v>
      </c>
      <c r="G1808">
        <v>2045</v>
      </c>
      <c r="H1808" s="12">
        <v>17874</v>
      </c>
      <c r="I1808" t="s">
        <v>3183</v>
      </c>
      <c r="J1808" t="s">
        <v>41</v>
      </c>
      <c r="K1808" t="s">
        <v>657</v>
      </c>
      <c r="L1808" t="s">
        <v>3184</v>
      </c>
      <c r="M1808" t="s">
        <v>662</v>
      </c>
    </row>
    <row r="1809" spans="1:13">
      <c r="A1809" t="s">
        <v>851</v>
      </c>
      <c r="B1809" t="s">
        <v>687</v>
      </c>
      <c r="C1809" t="s">
        <v>687</v>
      </c>
      <c r="D1809" t="s">
        <v>22</v>
      </c>
      <c r="E1809" t="s">
        <v>660</v>
      </c>
      <c r="F1809" t="s">
        <v>40</v>
      </c>
      <c r="G1809">
        <v>2050</v>
      </c>
      <c r="H1809" s="12">
        <v>19713</v>
      </c>
      <c r="I1809" t="s">
        <v>3183</v>
      </c>
      <c r="J1809" t="s">
        <v>41</v>
      </c>
      <c r="K1809" t="s">
        <v>657</v>
      </c>
      <c r="L1809" t="s">
        <v>3184</v>
      </c>
      <c r="M1809" t="s">
        <v>662</v>
      </c>
    </row>
    <row r="1810" spans="1:13">
      <c r="A1810" t="s">
        <v>851</v>
      </c>
      <c r="B1810" t="s">
        <v>686</v>
      </c>
      <c r="C1810" t="s">
        <v>686</v>
      </c>
      <c r="D1810" t="s">
        <v>22</v>
      </c>
      <c r="E1810" t="s">
        <v>660</v>
      </c>
      <c r="F1810" t="s">
        <v>40</v>
      </c>
      <c r="G1810">
        <v>2010</v>
      </c>
      <c r="H1810" s="12">
        <v>4681</v>
      </c>
      <c r="I1810" t="s">
        <v>3183</v>
      </c>
      <c r="J1810" t="s">
        <v>41</v>
      </c>
      <c r="K1810" t="s">
        <v>657</v>
      </c>
      <c r="L1810" t="s">
        <v>3184</v>
      </c>
      <c r="M1810" t="s">
        <v>661</v>
      </c>
    </row>
    <row r="1811" spans="1:13">
      <c r="A1811" t="s">
        <v>851</v>
      </c>
      <c r="B1811" t="s">
        <v>686</v>
      </c>
      <c r="C1811" t="s">
        <v>686</v>
      </c>
      <c r="D1811" t="s">
        <v>22</v>
      </c>
      <c r="E1811" t="s">
        <v>660</v>
      </c>
      <c r="F1811" t="s">
        <v>40</v>
      </c>
      <c r="G1811">
        <v>2015</v>
      </c>
      <c r="H1811" s="12">
        <v>3377</v>
      </c>
      <c r="I1811" t="s">
        <v>3183</v>
      </c>
      <c r="J1811" t="s">
        <v>41</v>
      </c>
      <c r="K1811" t="s">
        <v>657</v>
      </c>
      <c r="L1811" t="s">
        <v>3184</v>
      </c>
      <c r="M1811" t="s">
        <v>661</v>
      </c>
    </row>
    <row r="1812" spans="1:13">
      <c r="A1812" t="s">
        <v>851</v>
      </c>
      <c r="B1812" t="s">
        <v>686</v>
      </c>
      <c r="C1812" t="s">
        <v>686</v>
      </c>
      <c r="D1812" t="s">
        <v>22</v>
      </c>
      <c r="E1812" t="s">
        <v>660</v>
      </c>
      <c r="F1812" t="s">
        <v>40</v>
      </c>
      <c r="G1812">
        <v>2020</v>
      </c>
      <c r="H1812" s="12">
        <v>3073</v>
      </c>
      <c r="I1812" t="s">
        <v>3183</v>
      </c>
      <c r="J1812" t="s">
        <v>41</v>
      </c>
      <c r="K1812" t="s">
        <v>657</v>
      </c>
      <c r="L1812" t="s">
        <v>3184</v>
      </c>
      <c r="M1812" t="s">
        <v>661</v>
      </c>
    </row>
    <row r="1813" spans="1:13">
      <c r="A1813" t="s">
        <v>851</v>
      </c>
      <c r="B1813" t="s">
        <v>686</v>
      </c>
      <c r="C1813" t="s">
        <v>686</v>
      </c>
      <c r="D1813" t="s">
        <v>22</v>
      </c>
      <c r="E1813" t="s">
        <v>660</v>
      </c>
      <c r="F1813" t="s">
        <v>40</v>
      </c>
      <c r="G1813">
        <v>2030</v>
      </c>
      <c r="H1813" s="12">
        <v>0</v>
      </c>
      <c r="I1813" t="s">
        <v>3183</v>
      </c>
      <c r="J1813" t="s">
        <v>41</v>
      </c>
      <c r="K1813" t="s">
        <v>657</v>
      </c>
      <c r="L1813" t="s">
        <v>3184</v>
      </c>
      <c r="M1813" t="s">
        <v>661</v>
      </c>
    </row>
    <row r="1814" spans="1:13">
      <c r="A1814" t="s">
        <v>851</v>
      </c>
      <c r="B1814" t="s">
        <v>686</v>
      </c>
      <c r="C1814" t="s">
        <v>686</v>
      </c>
      <c r="D1814" t="s">
        <v>22</v>
      </c>
      <c r="E1814" t="s">
        <v>660</v>
      </c>
      <c r="F1814" t="s">
        <v>40</v>
      </c>
      <c r="G1814">
        <v>2035</v>
      </c>
      <c r="H1814" s="12">
        <v>0</v>
      </c>
      <c r="I1814" t="s">
        <v>3183</v>
      </c>
      <c r="J1814" t="s">
        <v>41</v>
      </c>
      <c r="K1814" t="s">
        <v>657</v>
      </c>
      <c r="L1814" t="s">
        <v>3184</v>
      </c>
      <c r="M1814" t="s">
        <v>661</v>
      </c>
    </row>
    <row r="1815" spans="1:13">
      <c r="A1815" t="s">
        <v>851</v>
      </c>
      <c r="B1815" t="s">
        <v>686</v>
      </c>
      <c r="C1815" t="s">
        <v>686</v>
      </c>
      <c r="D1815" t="s">
        <v>22</v>
      </c>
      <c r="E1815" t="s">
        <v>660</v>
      </c>
      <c r="F1815" t="s">
        <v>40</v>
      </c>
      <c r="G1815">
        <v>2040</v>
      </c>
      <c r="H1815" s="12">
        <v>0</v>
      </c>
      <c r="I1815" t="s">
        <v>3183</v>
      </c>
      <c r="J1815" t="s">
        <v>41</v>
      </c>
      <c r="K1815" t="s">
        <v>657</v>
      </c>
      <c r="L1815" t="s">
        <v>3184</v>
      </c>
      <c r="M1815" t="s">
        <v>661</v>
      </c>
    </row>
    <row r="1816" spans="1:13">
      <c r="A1816" t="s">
        <v>851</v>
      </c>
      <c r="B1816" t="s">
        <v>686</v>
      </c>
      <c r="C1816" t="s">
        <v>686</v>
      </c>
      <c r="D1816" t="s">
        <v>22</v>
      </c>
      <c r="E1816" t="s">
        <v>660</v>
      </c>
      <c r="F1816" t="s">
        <v>40</v>
      </c>
      <c r="G1816">
        <v>2045</v>
      </c>
      <c r="H1816" s="12">
        <v>0</v>
      </c>
      <c r="I1816" t="s">
        <v>3183</v>
      </c>
      <c r="J1816" t="s">
        <v>41</v>
      </c>
      <c r="K1816" t="s">
        <v>657</v>
      </c>
      <c r="L1816" t="s">
        <v>3184</v>
      </c>
      <c r="M1816" t="s">
        <v>661</v>
      </c>
    </row>
    <row r="1817" spans="1:13">
      <c r="A1817" t="s">
        <v>851</v>
      </c>
      <c r="B1817" t="s">
        <v>686</v>
      </c>
      <c r="C1817" t="s">
        <v>686</v>
      </c>
      <c r="D1817" t="s">
        <v>22</v>
      </c>
      <c r="E1817" t="s">
        <v>660</v>
      </c>
      <c r="F1817" t="s">
        <v>40</v>
      </c>
      <c r="G1817">
        <v>2050</v>
      </c>
      <c r="H1817" s="12">
        <v>0</v>
      </c>
      <c r="I1817" t="s">
        <v>3183</v>
      </c>
      <c r="J1817" t="s">
        <v>41</v>
      </c>
      <c r="K1817" t="s">
        <v>657</v>
      </c>
      <c r="L1817" t="s">
        <v>3184</v>
      </c>
      <c r="M1817" t="s">
        <v>661</v>
      </c>
    </row>
    <row r="1818" spans="1:13">
      <c r="A1818" t="s">
        <v>851</v>
      </c>
      <c r="B1818" t="s">
        <v>687</v>
      </c>
      <c r="C1818" t="s">
        <v>687</v>
      </c>
      <c r="D1818" t="s">
        <v>22</v>
      </c>
      <c r="E1818" t="s">
        <v>660</v>
      </c>
      <c r="F1818" t="s">
        <v>40</v>
      </c>
      <c r="G1818">
        <v>2030</v>
      </c>
      <c r="H1818" s="12">
        <v>0</v>
      </c>
      <c r="I1818" t="s">
        <v>3183</v>
      </c>
      <c r="J1818" t="s">
        <v>41</v>
      </c>
      <c r="K1818" t="s">
        <v>657</v>
      </c>
      <c r="L1818" t="s">
        <v>3184</v>
      </c>
      <c r="M1818" t="s">
        <v>661</v>
      </c>
    </row>
    <row r="1819" spans="1:13">
      <c r="A1819" t="s">
        <v>851</v>
      </c>
      <c r="B1819" t="s">
        <v>687</v>
      </c>
      <c r="C1819" t="s">
        <v>687</v>
      </c>
      <c r="D1819" t="s">
        <v>22</v>
      </c>
      <c r="E1819" t="s">
        <v>660</v>
      </c>
      <c r="F1819" t="s">
        <v>40</v>
      </c>
      <c r="G1819">
        <v>2035</v>
      </c>
      <c r="H1819" s="12">
        <v>0</v>
      </c>
      <c r="I1819" t="s">
        <v>3183</v>
      </c>
      <c r="J1819" t="s">
        <v>41</v>
      </c>
      <c r="K1819" t="s">
        <v>657</v>
      </c>
      <c r="L1819" t="s">
        <v>3184</v>
      </c>
      <c r="M1819" t="s">
        <v>661</v>
      </c>
    </row>
    <row r="1820" spans="1:13">
      <c r="A1820" t="s">
        <v>851</v>
      </c>
      <c r="B1820" t="s">
        <v>687</v>
      </c>
      <c r="C1820" t="s">
        <v>687</v>
      </c>
      <c r="D1820" t="s">
        <v>22</v>
      </c>
      <c r="E1820" t="s">
        <v>660</v>
      </c>
      <c r="F1820" t="s">
        <v>40</v>
      </c>
      <c r="G1820">
        <v>2040</v>
      </c>
      <c r="H1820" s="12">
        <v>0</v>
      </c>
      <c r="I1820" t="s">
        <v>3183</v>
      </c>
      <c r="J1820" t="s">
        <v>41</v>
      </c>
      <c r="K1820" t="s">
        <v>657</v>
      </c>
      <c r="L1820" t="s">
        <v>3184</v>
      </c>
      <c r="M1820" t="s">
        <v>661</v>
      </c>
    </row>
    <row r="1821" spans="1:13">
      <c r="A1821" t="s">
        <v>851</v>
      </c>
      <c r="B1821" t="s">
        <v>687</v>
      </c>
      <c r="C1821" t="s">
        <v>687</v>
      </c>
      <c r="D1821" t="s">
        <v>22</v>
      </c>
      <c r="E1821" t="s">
        <v>660</v>
      </c>
      <c r="F1821" t="s">
        <v>40</v>
      </c>
      <c r="G1821">
        <v>2045</v>
      </c>
      <c r="H1821" s="12">
        <v>0</v>
      </c>
      <c r="I1821" t="s">
        <v>3183</v>
      </c>
      <c r="J1821" t="s">
        <v>41</v>
      </c>
      <c r="K1821" t="s">
        <v>657</v>
      </c>
      <c r="L1821" t="s">
        <v>3184</v>
      </c>
      <c r="M1821" t="s">
        <v>661</v>
      </c>
    </row>
    <row r="1822" spans="1:13">
      <c r="A1822" t="s">
        <v>851</v>
      </c>
      <c r="B1822" t="s">
        <v>687</v>
      </c>
      <c r="C1822" t="s">
        <v>687</v>
      </c>
      <c r="D1822" t="s">
        <v>22</v>
      </c>
      <c r="E1822" t="s">
        <v>660</v>
      </c>
      <c r="F1822" t="s">
        <v>40</v>
      </c>
      <c r="G1822">
        <v>2050</v>
      </c>
      <c r="H1822" s="12">
        <v>0</v>
      </c>
      <c r="I1822" t="s">
        <v>3183</v>
      </c>
      <c r="J1822" t="s">
        <v>41</v>
      </c>
      <c r="K1822" t="s">
        <v>657</v>
      </c>
      <c r="L1822" t="s">
        <v>3184</v>
      </c>
      <c r="M1822" t="s">
        <v>661</v>
      </c>
    </row>
    <row r="1823" spans="1:13">
      <c r="A1823" t="s">
        <v>851</v>
      </c>
      <c r="B1823" t="s">
        <v>686</v>
      </c>
      <c r="C1823" t="s">
        <v>686</v>
      </c>
      <c r="D1823" t="s">
        <v>22</v>
      </c>
      <c r="E1823" t="s">
        <v>660</v>
      </c>
      <c r="F1823" t="s">
        <v>40</v>
      </c>
      <c r="G1823">
        <v>2010</v>
      </c>
      <c r="H1823" s="12">
        <v>806</v>
      </c>
      <c r="I1823" t="s">
        <v>3183</v>
      </c>
      <c r="J1823" t="s">
        <v>15</v>
      </c>
      <c r="K1823" t="s">
        <v>657</v>
      </c>
      <c r="L1823" t="s">
        <v>3184</v>
      </c>
      <c r="M1823" t="s">
        <v>15</v>
      </c>
    </row>
    <row r="1824" spans="1:13">
      <c r="A1824" t="s">
        <v>851</v>
      </c>
      <c r="B1824" t="s">
        <v>687</v>
      </c>
      <c r="C1824" t="s">
        <v>687</v>
      </c>
      <c r="D1824" t="s">
        <v>22</v>
      </c>
      <c r="E1824" t="s">
        <v>660</v>
      </c>
      <c r="F1824" t="s">
        <v>40</v>
      </c>
      <c r="G1824">
        <v>2045</v>
      </c>
      <c r="H1824" s="12">
        <v>10463</v>
      </c>
      <c r="I1824" t="s">
        <v>3183</v>
      </c>
      <c r="J1824" t="s">
        <v>6</v>
      </c>
      <c r="K1824" t="s">
        <v>657</v>
      </c>
      <c r="L1824" t="s">
        <v>3184</v>
      </c>
      <c r="M1824" t="s">
        <v>659</v>
      </c>
    </row>
    <row r="1825" spans="1:13">
      <c r="A1825" t="s">
        <v>851</v>
      </c>
      <c r="B1825" t="s">
        <v>687</v>
      </c>
      <c r="C1825" t="s">
        <v>687</v>
      </c>
      <c r="D1825" t="s">
        <v>22</v>
      </c>
      <c r="E1825" t="s">
        <v>660</v>
      </c>
      <c r="F1825" t="s">
        <v>40</v>
      </c>
      <c r="G1825">
        <v>2050</v>
      </c>
      <c r="H1825" s="12">
        <v>8316</v>
      </c>
      <c r="I1825" t="s">
        <v>3183</v>
      </c>
      <c r="J1825" t="s">
        <v>6</v>
      </c>
      <c r="K1825" t="s">
        <v>657</v>
      </c>
      <c r="L1825" t="s">
        <v>3184</v>
      </c>
      <c r="M1825" t="s">
        <v>659</v>
      </c>
    </row>
    <row r="1826" spans="1:13">
      <c r="A1826" t="s">
        <v>851</v>
      </c>
      <c r="B1826" t="s">
        <v>686</v>
      </c>
      <c r="C1826" t="s">
        <v>686</v>
      </c>
      <c r="D1826" t="s">
        <v>22</v>
      </c>
      <c r="E1826" t="s">
        <v>660</v>
      </c>
      <c r="F1826" t="s">
        <v>40</v>
      </c>
      <c r="G1826">
        <v>2010</v>
      </c>
      <c r="H1826" s="12">
        <v>18044</v>
      </c>
      <c r="I1826" t="s">
        <v>3183</v>
      </c>
      <c r="J1826" t="s">
        <v>394</v>
      </c>
      <c r="K1826" t="s">
        <v>657</v>
      </c>
      <c r="L1826" t="s">
        <v>3184</v>
      </c>
      <c r="M1826" t="s">
        <v>16</v>
      </c>
    </row>
    <row r="1827" spans="1:13">
      <c r="A1827" t="s">
        <v>851</v>
      </c>
      <c r="B1827" t="s">
        <v>686</v>
      </c>
      <c r="C1827" t="s">
        <v>686</v>
      </c>
      <c r="D1827" t="s">
        <v>22</v>
      </c>
      <c r="E1827" t="s">
        <v>660</v>
      </c>
      <c r="F1827" t="s">
        <v>40</v>
      </c>
      <c r="G1827">
        <v>2015</v>
      </c>
      <c r="H1827" s="12">
        <v>22740</v>
      </c>
      <c r="I1827" t="s">
        <v>3183</v>
      </c>
      <c r="J1827" t="s">
        <v>394</v>
      </c>
      <c r="K1827" t="s">
        <v>657</v>
      </c>
      <c r="L1827" t="s">
        <v>3184</v>
      </c>
      <c r="M1827" t="s">
        <v>16</v>
      </c>
    </row>
    <row r="1828" spans="1:13">
      <c r="A1828" t="s">
        <v>851</v>
      </c>
      <c r="B1828" t="s">
        <v>686</v>
      </c>
      <c r="C1828" t="s">
        <v>686</v>
      </c>
      <c r="D1828" t="s">
        <v>22</v>
      </c>
      <c r="E1828" t="s">
        <v>660</v>
      </c>
      <c r="F1828" t="s">
        <v>40</v>
      </c>
      <c r="G1828">
        <v>2020</v>
      </c>
      <c r="H1828" s="12">
        <v>27841</v>
      </c>
      <c r="I1828" t="s">
        <v>3183</v>
      </c>
      <c r="J1828" t="s">
        <v>394</v>
      </c>
      <c r="K1828" t="s">
        <v>657</v>
      </c>
      <c r="L1828" t="s">
        <v>3184</v>
      </c>
      <c r="M1828" t="s">
        <v>16</v>
      </c>
    </row>
    <row r="1829" spans="1:13">
      <c r="A1829" t="s">
        <v>851</v>
      </c>
      <c r="B1829" t="s">
        <v>686</v>
      </c>
      <c r="C1829" t="s">
        <v>686</v>
      </c>
      <c r="D1829" t="s">
        <v>22</v>
      </c>
      <c r="E1829" t="s">
        <v>660</v>
      </c>
      <c r="F1829" t="s">
        <v>40</v>
      </c>
      <c r="G1829">
        <v>2030</v>
      </c>
      <c r="H1829" s="12">
        <v>31537</v>
      </c>
      <c r="I1829" t="s">
        <v>3183</v>
      </c>
      <c r="J1829" t="s">
        <v>394</v>
      </c>
      <c r="K1829" t="s">
        <v>657</v>
      </c>
      <c r="L1829" t="s">
        <v>3184</v>
      </c>
      <c r="M1829" t="s">
        <v>16</v>
      </c>
    </row>
    <row r="1830" spans="1:13">
      <c r="A1830" t="s">
        <v>851</v>
      </c>
      <c r="B1830" t="s">
        <v>686</v>
      </c>
      <c r="C1830" t="s">
        <v>686</v>
      </c>
      <c r="D1830" t="s">
        <v>22</v>
      </c>
      <c r="E1830" t="s">
        <v>660</v>
      </c>
      <c r="F1830" t="s">
        <v>40</v>
      </c>
      <c r="G1830">
        <v>2035</v>
      </c>
      <c r="H1830" s="12">
        <v>29424</v>
      </c>
      <c r="I1830" t="s">
        <v>3183</v>
      </c>
      <c r="J1830" t="s">
        <v>394</v>
      </c>
      <c r="K1830" t="s">
        <v>657</v>
      </c>
      <c r="L1830" t="s">
        <v>3184</v>
      </c>
      <c r="M1830" t="s">
        <v>16</v>
      </c>
    </row>
    <row r="1831" spans="1:13">
      <c r="A1831" t="s">
        <v>851</v>
      </c>
      <c r="B1831" t="s">
        <v>686</v>
      </c>
      <c r="C1831" t="s">
        <v>686</v>
      </c>
      <c r="D1831" t="s">
        <v>22</v>
      </c>
      <c r="E1831" t="s">
        <v>660</v>
      </c>
      <c r="F1831" t="s">
        <v>40</v>
      </c>
      <c r="G1831">
        <v>2040</v>
      </c>
      <c r="H1831" s="12">
        <v>27210</v>
      </c>
      <c r="I1831" t="s">
        <v>3183</v>
      </c>
      <c r="J1831" t="s">
        <v>394</v>
      </c>
      <c r="K1831" t="s">
        <v>657</v>
      </c>
      <c r="L1831" t="s">
        <v>3184</v>
      </c>
      <c r="M1831" t="s">
        <v>16</v>
      </c>
    </row>
    <row r="1832" spans="1:13">
      <c r="A1832" t="s">
        <v>851</v>
      </c>
      <c r="B1832" t="s">
        <v>686</v>
      </c>
      <c r="C1832" t="s">
        <v>686</v>
      </c>
      <c r="D1832" t="s">
        <v>22</v>
      </c>
      <c r="E1832" t="s">
        <v>660</v>
      </c>
      <c r="F1832" t="s">
        <v>40</v>
      </c>
      <c r="G1832">
        <v>2045</v>
      </c>
      <c r="H1832" s="12">
        <v>25496</v>
      </c>
      <c r="I1832" t="s">
        <v>3183</v>
      </c>
      <c r="J1832" t="s">
        <v>394</v>
      </c>
      <c r="K1832" t="s">
        <v>657</v>
      </c>
      <c r="L1832" t="s">
        <v>3184</v>
      </c>
      <c r="M1832" t="s">
        <v>16</v>
      </c>
    </row>
    <row r="1833" spans="1:13">
      <c r="A1833" t="s">
        <v>851</v>
      </c>
      <c r="B1833" t="s">
        <v>686</v>
      </c>
      <c r="C1833" t="s">
        <v>686</v>
      </c>
      <c r="D1833" t="s">
        <v>22</v>
      </c>
      <c r="E1833" t="s">
        <v>660</v>
      </c>
      <c r="F1833" t="s">
        <v>40</v>
      </c>
      <c r="G1833">
        <v>2050</v>
      </c>
      <c r="H1833" s="12">
        <v>23957</v>
      </c>
      <c r="I1833" t="s">
        <v>3183</v>
      </c>
      <c r="J1833" t="s">
        <v>394</v>
      </c>
      <c r="K1833" t="s">
        <v>657</v>
      </c>
      <c r="L1833" t="s">
        <v>3184</v>
      </c>
      <c r="M1833" t="s">
        <v>16</v>
      </c>
    </row>
    <row r="1834" spans="1:13">
      <c r="A1834" t="s">
        <v>851</v>
      </c>
      <c r="B1834" t="s">
        <v>687</v>
      </c>
      <c r="C1834" t="s">
        <v>687</v>
      </c>
      <c r="D1834" t="s">
        <v>22</v>
      </c>
      <c r="E1834" t="s">
        <v>660</v>
      </c>
      <c r="F1834" t="s">
        <v>40</v>
      </c>
      <c r="G1834">
        <v>2030</v>
      </c>
      <c r="H1834" s="12">
        <v>29501</v>
      </c>
      <c r="I1834" t="s">
        <v>3183</v>
      </c>
      <c r="J1834" t="s">
        <v>394</v>
      </c>
      <c r="K1834" t="s">
        <v>657</v>
      </c>
      <c r="L1834" t="s">
        <v>3184</v>
      </c>
      <c r="M1834" t="s">
        <v>16</v>
      </c>
    </row>
    <row r="1835" spans="1:13">
      <c r="A1835" t="s">
        <v>851</v>
      </c>
      <c r="B1835" t="s">
        <v>687</v>
      </c>
      <c r="C1835" t="s">
        <v>687</v>
      </c>
      <c r="D1835" t="s">
        <v>22</v>
      </c>
      <c r="E1835" t="s">
        <v>660</v>
      </c>
      <c r="F1835" t="s">
        <v>40</v>
      </c>
      <c r="G1835">
        <v>2035</v>
      </c>
      <c r="H1835" s="12">
        <v>25560</v>
      </c>
      <c r="I1835" t="s">
        <v>3183</v>
      </c>
      <c r="J1835" t="s">
        <v>394</v>
      </c>
      <c r="K1835" t="s">
        <v>657</v>
      </c>
      <c r="L1835" t="s">
        <v>3184</v>
      </c>
      <c r="M1835" t="s">
        <v>16</v>
      </c>
    </row>
    <row r="1836" spans="1:13">
      <c r="A1836" t="s">
        <v>851</v>
      </c>
      <c r="B1836" t="s">
        <v>687</v>
      </c>
      <c r="C1836" t="s">
        <v>687</v>
      </c>
      <c r="D1836" t="s">
        <v>22</v>
      </c>
      <c r="E1836" t="s">
        <v>660</v>
      </c>
      <c r="F1836" t="s">
        <v>40</v>
      </c>
      <c r="G1836">
        <v>2040</v>
      </c>
      <c r="H1836" s="12">
        <v>21009</v>
      </c>
      <c r="I1836" t="s">
        <v>3183</v>
      </c>
      <c r="J1836" t="s">
        <v>394</v>
      </c>
      <c r="K1836" t="s">
        <v>657</v>
      </c>
      <c r="L1836" t="s">
        <v>3184</v>
      </c>
      <c r="M1836" t="s">
        <v>16</v>
      </c>
    </row>
    <row r="1837" spans="1:13">
      <c r="A1837" t="s">
        <v>851</v>
      </c>
      <c r="B1837" t="s">
        <v>687</v>
      </c>
      <c r="C1837" t="s">
        <v>687</v>
      </c>
      <c r="D1837" t="s">
        <v>22</v>
      </c>
      <c r="E1837" t="s">
        <v>660</v>
      </c>
      <c r="F1837" t="s">
        <v>40</v>
      </c>
      <c r="G1837">
        <v>2045</v>
      </c>
      <c r="H1837" s="12">
        <v>17294</v>
      </c>
      <c r="I1837" t="s">
        <v>3183</v>
      </c>
      <c r="J1837" t="s">
        <v>394</v>
      </c>
      <c r="K1837" t="s">
        <v>657</v>
      </c>
      <c r="L1837" t="s">
        <v>3184</v>
      </c>
      <c r="M1837" t="s">
        <v>16</v>
      </c>
    </row>
    <row r="1838" spans="1:13">
      <c r="A1838" t="s">
        <v>851</v>
      </c>
      <c r="B1838" t="s">
        <v>687</v>
      </c>
      <c r="C1838" t="s">
        <v>687</v>
      </c>
      <c r="D1838" t="s">
        <v>22</v>
      </c>
      <c r="E1838" t="s">
        <v>660</v>
      </c>
      <c r="F1838" t="s">
        <v>40</v>
      </c>
      <c r="G1838">
        <v>2050</v>
      </c>
      <c r="H1838" s="12">
        <v>14466</v>
      </c>
      <c r="I1838" t="s">
        <v>3183</v>
      </c>
      <c r="J1838" t="s">
        <v>394</v>
      </c>
      <c r="K1838" t="s">
        <v>657</v>
      </c>
      <c r="L1838" t="s">
        <v>3184</v>
      </c>
      <c r="M1838" t="s">
        <v>16</v>
      </c>
    </row>
    <row r="1839" spans="1:13">
      <c r="A1839" t="s">
        <v>851</v>
      </c>
      <c r="B1839" t="s">
        <v>686</v>
      </c>
      <c r="C1839" t="s">
        <v>686</v>
      </c>
      <c r="D1839" t="s">
        <v>22</v>
      </c>
      <c r="E1839" t="s">
        <v>646</v>
      </c>
      <c r="F1839" t="s">
        <v>40</v>
      </c>
      <c r="G1839">
        <v>2010</v>
      </c>
      <c r="H1839" s="12">
        <v>2880</v>
      </c>
      <c r="I1839" t="s">
        <v>3183</v>
      </c>
      <c r="J1839" t="s">
        <v>394</v>
      </c>
      <c r="K1839" t="s">
        <v>272</v>
      </c>
      <c r="L1839" t="s">
        <v>3184</v>
      </c>
      <c r="M1839" t="s">
        <v>16</v>
      </c>
    </row>
    <row r="1840" spans="1:13">
      <c r="A1840" t="s">
        <v>851</v>
      </c>
      <c r="B1840" t="s">
        <v>686</v>
      </c>
      <c r="C1840" t="s">
        <v>686</v>
      </c>
      <c r="D1840" t="s">
        <v>22</v>
      </c>
      <c r="E1840" t="s">
        <v>646</v>
      </c>
      <c r="F1840" t="s">
        <v>40</v>
      </c>
      <c r="G1840">
        <v>2015</v>
      </c>
      <c r="H1840" s="12">
        <v>4092</v>
      </c>
      <c r="I1840" t="s">
        <v>3183</v>
      </c>
      <c r="J1840" t="s">
        <v>394</v>
      </c>
      <c r="K1840" t="s">
        <v>272</v>
      </c>
      <c r="L1840" t="s">
        <v>3184</v>
      </c>
      <c r="M1840" t="s">
        <v>16</v>
      </c>
    </row>
    <row r="1841" spans="1:13">
      <c r="A1841" t="s">
        <v>851</v>
      </c>
      <c r="B1841" t="s">
        <v>686</v>
      </c>
      <c r="C1841" t="s">
        <v>686</v>
      </c>
      <c r="D1841" t="s">
        <v>22</v>
      </c>
      <c r="E1841" t="s">
        <v>646</v>
      </c>
      <c r="F1841" t="s">
        <v>40</v>
      </c>
      <c r="G1841">
        <v>2020</v>
      </c>
      <c r="H1841" s="12">
        <v>5508</v>
      </c>
      <c r="I1841" t="s">
        <v>3183</v>
      </c>
      <c r="J1841" t="s">
        <v>394</v>
      </c>
      <c r="K1841" t="s">
        <v>272</v>
      </c>
      <c r="L1841" t="s">
        <v>3184</v>
      </c>
      <c r="M1841" t="s">
        <v>16</v>
      </c>
    </row>
    <row r="1842" spans="1:13">
      <c r="A1842" t="s">
        <v>851</v>
      </c>
      <c r="B1842" t="s">
        <v>686</v>
      </c>
      <c r="C1842" t="s">
        <v>686</v>
      </c>
      <c r="D1842" t="s">
        <v>22</v>
      </c>
      <c r="E1842" t="s">
        <v>646</v>
      </c>
      <c r="F1842" t="s">
        <v>40</v>
      </c>
      <c r="G1842">
        <v>2030</v>
      </c>
      <c r="H1842" s="12">
        <v>7952</v>
      </c>
      <c r="I1842" t="s">
        <v>3183</v>
      </c>
      <c r="J1842" t="s">
        <v>394</v>
      </c>
      <c r="K1842" t="s">
        <v>272</v>
      </c>
      <c r="L1842" t="s">
        <v>3184</v>
      </c>
      <c r="M1842" t="s">
        <v>16</v>
      </c>
    </row>
    <row r="1843" spans="1:13">
      <c r="A1843" t="s">
        <v>851</v>
      </c>
      <c r="B1843" t="s">
        <v>686</v>
      </c>
      <c r="C1843" t="s">
        <v>686</v>
      </c>
      <c r="D1843" t="s">
        <v>22</v>
      </c>
      <c r="E1843" t="s">
        <v>646</v>
      </c>
      <c r="F1843" t="s">
        <v>40</v>
      </c>
      <c r="G1843">
        <v>2035</v>
      </c>
      <c r="H1843" s="12">
        <v>8391</v>
      </c>
      <c r="I1843" t="s">
        <v>3183</v>
      </c>
      <c r="J1843" t="s">
        <v>394</v>
      </c>
      <c r="K1843" t="s">
        <v>272</v>
      </c>
      <c r="L1843" t="s">
        <v>3184</v>
      </c>
      <c r="M1843" t="s">
        <v>16</v>
      </c>
    </row>
    <row r="1844" spans="1:13">
      <c r="A1844" t="s">
        <v>851</v>
      </c>
      <c r="B1844" t="s">
        <v>686</v>
      </c>
      <c r="C1844" t="s">
        <v>686</v>
      </c>
      <c r="D1844" t="s">
        <v>22</v>
      </c>
      <c r="E1844" t="s">
        <v>646</v>
      </c>
      <c r="F1844" t="s">
        <v>40</v>
      </c>
      <c r="G1844">
        <v>2040</v>
      </c>
      <c r="H1844" s="12">
        <v>8742</v>
      </c>
      <c r="I1844" t="s">
        <v>3183</v>
      </c>
      <c r="J1844" t="s">
        <v>394</v>
      </c>
      <c r="K1844" t="s">
        <v>272</v>
      </c>
      <c r="L1844" t="s">
        <v>3184</v>
      </c>
      <c r="M1844" t="s">
        <v>16</v>
      </c>
    </row>
    <row r="1845" spans="1:13">
      <c r="A1845" t="s">
        <v>851</v>
      </c>
      <c r="B1845" t="s">
        <v>686</v>
      </c>
      <c r="C1845" t="s">
        <v>686</v>
      </c>
      <c r="D1845" t="s">
        <v>22</v>
      </c>
      <c r="E1845" t="s">
        <v>646</v>
      </c>
      <c r="F1845" t="s">
        <v>40</v>
      </c>
      <c r="G1845">
        <v>2045</v>
      </c>
      <c r="H1845" s="12">
        <v>8958</v>
      </c>
      <c r="I1845" t="s">
        <v>3183</v>
      </c>
      <c r="J1845" t="s">
        <v>394</v>
      </c>
      <c r="K1845" t="s">
        <v>272</v>
      </c>
      <c r="L1845" t="s">
        <v>3184</v>
      </c>
      <c r="M1845" t="s">
        <v>16</v>
      </c>
    </row>
    <row r="1846" spans="1:13">
      <c r="A1846" t="s">
        <v>851</v>
      </c>
      <c r="B1846" t="s">
        <v>686</v>
      </c>
      <c r="C1846" t="s">
        <v>686</v>
      </c>
      <c r="D1846" t="s">
        <v>22</v>
      </c>
      <c r="E1846" t="s">
        <v>646</v>
      </c>
      <c r="F1846" t="s">
        <v>40</v>
      </c>
      <c r="G1846">
        <v>2050</v>
      </c>
      <c r="H1846" s="12">
        <v>9032</v>
      </c>
      <c r="I1846" t="s">
        <v>3183</v>
      </c>
      <c r="J1846" t="s">
        <v>394</v>
      </c>
      <c r="K1846" t="s">
        <v>272</v>
      </c>
      <c r="L1846" t="s">
        <v>3184</v>
      </c>
      <c r="M1846" t="s">
        <v>16</v>
      </c>
    </row>
    <row r="1847" spans="1:13">
      <c r="A1847" t="s">
        <v>851</v>
      </c>
      <c r="B1847" t="s">
        <v>687</v>
      </c>
      <c r="C1847" t="s">
        <v>687</v>
      </c>
      <c r="D1847" t="s">
        <v>22</v>
      </c>
      <c r="E1847" t="s">
        <v>646</v>
      </c>
      <c r="F1847" t="s">
        <v>40</v>
      </c>
      <c r="G1847">
        <v>2030</v>
      </c>
      <c r="H1847" s="12">
        <v>7983</v>
      </c>
      <c r="I1847" t="s">
        <v>3183</v>
      </c>
      <c r="J1847" t="s">
        <v>394</v>
      </c>
      <c r="K1847" t="s">
        <v>272</v>
      </c>
      <c r="L1847" t="s">
        <v>3184</v>
      </c>
      <c r="M1847" t="s">
        <v>16</v>
      </c>
    </row>
    <row r="1848" spans="1:13">
      <c r="A1848" t="s">
        <v>851</v>
      </c>
      <c r="B1848" t="s">
        <v>687</v>
      </c>
      <c r="C1848" t="s">
        <v>687</v>
      </c>
      <c r="D1848" t="s">
        <v>22</v>
      </c>
      <c r="E1848" t="s">
        <v>646</v>
      </c>
      <c r="F1848" t="s">
        <v>40</v>
      </c>
      <c r="G1848">
        <v>2035</v>
      </c>
      <c r="H1848" s="12">
        <v>8203</v>
      </c>
      <c r="I1848" t="s">
        <v>3183</v>
      </c>
      <c r="J1848" t="s">
        <v>394</v>
      </c>
      <c r="K1848" t="s">
        <v>272</v>
      </c>
      <c r="L1848" t="s">
        <v>3184</v>
      </c>
      <c r="M1848" t="s">
        <v>16</v>
      </c>
    </row>
    <row r="1849" spans="1:13">
      <c r="A1849" t="s">
        <v>851</v>
      </c>
      <c r="B1849" t="s">
        <v>687</v>
      </c>
      <c r="C1849" t="s">
        <v>687</v>
      </c>
      <c r="D1849" t="s">
        <v>22</v>
      </c>
      <c r="E1849" t="s">
        <v>646</v>
      </c>
      <c r="F1849" t="s">
        <v>40</v>
      </c>
      <c r="G1849">
        <v>2040</v>
      </c>
      <c r="H1849" s="12">
        <v>8308</v>
      </c>
      <c r="I1849" t="s">
        <v>3183</v>
      </c>
      <c r="J1849" t="s">
        <v>394</v>
      </c>
      <c r="K1849" t="s">
        <v>272</v>
      </c>
      <c r="L1849" t="s">
        <v>3184</v>
      </c>
      <c r="M1849" t="s">
        <v>16</v>
      </c>
    </row>
    <row r="1850" spans="1:13">
      <c r="A1850" t="s">
        <v>851</v>
      </c>
      <c r="B1850" t="s">
        <v>687</v>
      </c>
      <c r="C1850" t="s">
        <v>687</v>
      </c>
      <c r="D1850" t="s">
        <v>22</v>
      </c>
      <c r="E1850" t="s">
        <v>646</v>
      </c>
      <c r="F1850" t="s">
        <v>40</v>
      </c>
      <c r="G1850">
        <v>2045</v>
      </c>
      <c r="H1850" s="12">
        <v>8201</v>
      </c>
      <c r="I1850" t="s">
        <v>3183</v>
      </c>
      <c r="J1850" t="s">
        <v>394</v>
      </c>
      <c r="K1850" t="s">
        <v>272</v>
      </c>
      <c r="L1850" t="s">
        <v>3184</v>
      </c>
      <c r="M1850" t="s">
        <v>16</v>
      </c>
    </row>
    <row r="1851" spans="1:13">
      <c r="A1851" t="s">
        <v>851</v>
      </c>
      <c r="B1851" t="s">
        <v>687</v>
      </c>
      <c r="C1851" t="s">
        <v>687</v>
      </c>
      <c r="D1851" t="s">
        <v>22</v>
      </c>
      <c r="E1851" t="s">
        <v>646</v>
      </c>
      <c r="F1851" t="s">
        <v>40</v>
      </c>
      <c r="G1851">
        <v>2050</v>
      </c>
      <c r="H1851" s="12">
        <v>7944</v>
      </c>
      <c r="I1851" t="s">
        <v>3183</v>
      </c>
      <c r="J1851" t="s">
        <v>394</v>
      </c>
      <c r="K1851" t="s">
        <v>272</v>
      </c>
      <c r="L1851" t="s">
        <v>3184</v>
      </c>
      <c r="M1851" t="s">
        <v>16</v>
      </c>
    </row>
    <row r="1852" spans="1:13">
      <c r="A1852" t="s">
        <v>851</v>
      </c>
      <c r="B1852" t="s">
        <v>686</v>
      </c>
      <c r="C1852" t="s">
        <v>686</v>
      </c>
      <c r="D1852" t="s">
        <v>22</v>
      </c>
      <c r="E1852" t="s">
        <v>660</v>
      </c>
      <c r="F1852" t="s">
        <v>40</v>
      </c>
      <c r="G1852">
        <v>2010</v>
      </c>
      <c r="H1852" s="12">
        <v>75174</v>
      </c>
      <c r="I1852" t="s">
        <v>3183</v>
      </c>
      <c r="J1852" t="s">
        <v>5</v>
      </c>
      <c r="K1852" t="s">
        <v>657</v>
      </c>
      <c r="L1852" t="s">
        <v>3184</v>
      </c>
      <c r="M1852" t="s">
        <v>5</v>
      </c>
    </row>
    <row r="1853" spans="1:13">
      <c r="A1853" t="s">
        <v>851</v>
      </c>
      <c r="B1853" t="s">
        <v>686</v>
      </c>
      <c r="C1853" t="s">
        <v>686</v>
      </c>
      <c r="D1853" t="s">
        <v>22</v>
      </c>
      <c r="E1853" t="s">
        <v>660</v>
      </c>
      <c r="F1853" t="s">
        <v>40</v>
      </c>
      <c r="G1853">
        <v>2015</v>
      </c>
      <c r="H1853" s="12">
        <v>83920</v>
      </c>
      <c r="I1853" t="s">
        <v>3183</v>
      </c>
      <c r="J1853" t="s">
        <v>5</v>
      </c>
      <c r="K1853" t="s">
        <v>657</v>
      </c>
      <c r="L1853" t="s">
        <v>3184</v>
      </c>
      <c r="M1853" t="s">
        <v>5</v>
      </c>
    </row>
    <row r="1854" spans="1:13">
      <c r="A1854" t="s">
        <v>851</v>
      </c>
      <c r="B1854" t="s">
        <v>686</v>
      </c>
      <c r="C1854" t="s">
        <v>686</v>
      </c>
      <c r="D1854" t="s">
        <v>22</v>
      </c>
      <c r="E1854" t="s">
        <v>660</v>
      </c>
      <c r="F1854" t="s">
        <v>40</v>
      </c>
      <c r="G1854">
        <v>2020</v>
      </c>
      <c r="H1854" s="12">
        <v>89020</v>
      </c>
      <c r="I1854" t="s">
        <v>3183</v>
      </c>
      <c r="J1854" t="s">
        <v>5</v>
      </c>
      <c r="K1854" t="s">
        <v>657</v>
      </c>
      <c r="L1854" t="s">
        <v>3184</v>
      </c>
      <c r="M1854" t="s">
        <v>5</v>
      </c>
    </row>
    <row r="1855" spans="1:13">
      <c r="A1855" t="s">
        <v>851</v>
      </c>
      <c r="B1855" t="s">
        <v>686</v>
      </c>
      <c r="C1855" t="s">
        <v>686</v>
      </c>
      <c r="D1855" t="s">
        <v>22</v>
      </c>
      <c r="E1855" t="s">
        <v>660</v>
      </c>
      <c r="F1855" t="s">
        <v>40</v>
      </c>
      <c r="G1855">
        <v>2030</v>
      </c>
      <c r="H1855" s="12">
        <v>87124</v>
      </c>
      <c r="I1855" t="s">
        <v>3183</v>
      </c>
      <c r="J1855" t="s">
        <v>5</v>
      </c>
      <c r="K1855" t="s">
        <v>657</v>
      </c>
      <c r="L1855" t="s">
        <v>3184</v>
      </c>
      <c r="M1855" t="s">
        <v>5</v>
      </c>
    </row>
    <row r="1856" spans="1:13">
      <c r="A1856" t="s">
        <v>851</v>
      </c>
      <c r="B1856" t="s">
        <v>686</v>
      </c>
      <c r="C1856" t="s">
        <v>686</v>
      </c>
      <c r="D1856" t="s">
        <v>22</v>
      </c>
      <c r="E1856" t="s">
        <v>660</v>
      </c>
      <c r="F1856" t="s">
        <v>40</v>
      </c>
      <c r="G1856">
        <v>2035</v>
      </c>
      <c r="H1856" s="12">
        <v>77436</v>
      </c>
      <c r="I1856" t="s">
        <v>3183</v>
      </c>
      <c r="J1856" t="s">
        <v>5</v>
      </c>
      <c r="K1856" t="s">
        <v>657</v>
      </c>
      <c r="L1856" t="s">
        <v>3184</v>
      </c>
      <c r="M1856" t="s">
        <v>5</v>
      </c>
    </row>
    <row r="1857" spans="1:13">
      <c r="A1857" t="s">
        <v>851</v>
      </c>
      <c r="B1857" t="s">
        <v>686</v>
      </c>
      <c r="C1857" t="s">
        <v>686</v>
      </c>
      <c r="D1857" t="s">
        <v>22</v>
      </c>
      <c r="E1857" t="s">
        <v>660</v>
      </c>
      <c r="F1857" t="s">
        <v>40</v>
      </c>
      <c r="G1857">
        <v>2040</v>
      </c>
      <c r="H1857" s="12">
        <v>68642</v>
      </c>
      <c r="I1857" t="s">
        <v>3183</v>
      </c>
      <c r="J1857" t="s">
        <v>5</v>
      </c>
      <c r="K1857" t="s">
        <v>657</v>
      </c>
      <c r="L1857" t="s">
        <v>3184</v>
      </c>
      <c r="M1857" t="s">
        <v>5</v>
      </c>
    </row>
    <row r="1858" spans="1:13">
      <c r="A1858" t="s">
        <v>851</v>
      </c>
      <c r="B1858" t="s">
        <v>686</v>
      </c>
      <c r="C1858" t="s">
        <v>686</v>
      </c>
      <c r="D1858" t="s">
        <v>22</v>
      </c>
      <c r="E1858" t="s">
        <v>660</v>
      </c>
      <c r="F1858" t="s">
        <v>40</v>
      </c>
      <c r="G1858">
        <v>2045</v>
      </c>
      <c r="H1858" s="12">
        <v>61494</v>
      </c>
      <c r="I1858" t="s">
        <v>3183</v>
      </c>
      <c r="J1858" t="s">
        <v>5</v>
      </c>
      <c r="K1858" t="s">
        <v>657</v>
      </c>
      <c r="L1858" t="s">
        <v>3184</v>
      </c>
      <c r="M1858" t="s">
        <v>5</v>
      </c>
    </row>
    <row r="1859" spans="1:13">
      <c r="A1859" t="s">
        <v>851</v>
      </c>
      <c r="B1859" t="s">
        <v>686</v>
      </c>
      <c r="C1859" t="s">
        <v>686</v>
      </c>
      <c r="D1859" t="s">
        <v>22</v>
      </c>
      <c r="E1859" t="s">
        <v>660</v>
      </c>
      <c r="F1859" t="s">
        <v>40</v>
      </c>
      <c r="G1859">
        <v>2050</v>
      </c>
      <c r="H1859" s="12">
        <v>54693</v>
      </c>
      <c r="I1859" t="s">
        <v>3183</v>
      </c>
      <c r="J1859" t="s">
        <v>5</v>
      </c>
      <c r="K1859" t="s">
        <v>657</v>
      </c>
      <c r="L1859" t="s">
        <v>3184</v>
      </c>
      <c r="M1859" t="s">
        <v>5</v>
      </c>
    </row>
    <row r="1860" spans="1:13">
      <c r="A1860" t="s">
        <v>851</v>
      </c>
      <c r="B1860" t="s">
        <v>687</v>
      </c>
      <c r="C1860" t="s">
        <v>687</v>
      </c>
      <c r="D1860" t="s">
        <v>22</v>
      </c>
      <c r="E1860" t="s">
        <v>660</v>
      </c>
      <c r="F1860" t="s">
        <v>40</v>
      </c>
      <c r="G1860">
        <v>2030</v>
      </c>
      <c r="H1860" s="12">
        <v>78844</v>
      </c>
      <c r="I1860" t="s">
        <v>3183</v>
      </c>
      <c r="J1860" t="s">
        <v>5</v>
      </c>
      <c r="K1860" t="s">
        <v>657</v>
      </c>
      <c r="L1860" t="s">
        <v>3184</v>
      </c>
      <c r="M1860" t="s">
        <v>5</v>
      </c>
    </row>
    <row r="1861" spans="1:13">
      <c r="A1861" t="s">
        <v>851</v>
      </c>
      <c r="B1861" t="s">
        <v>687</v>
      </c>
      <c r="C1861" t="s">
        <v>687</v>
      </c>
      <c r="D1861" t="s">
        <v>22</v>
      </c>
      <c r="E1861" t="s">
        <v>660</v>
      </c>
      <c r="F1861" t="s">
        <v>40</v>
      </c>
      <c r="G1861">
        <v>2035</v>
      </c>
      <c r="H1861" s="12">
        <v>64757</v>
      </c>
      <c r="I1861" t="s">
        <v>3183</v>
      </c>
      <c r="J1861" t="s">
        <v>5</v>
      </c>
      <c r="K1861" t="s">
        <v>657</v>
      </c>
      <c r="L1861" t="s">
        <v>3184</v>
      </c>
      <c r="M1861" t="s">
        <v>5</v>
      </c>
    </row>
    <row r="1862" spans="1:13">
      <c r="A1862" t="s">
        <v>851</v>
      </c>
      <c r="B1862" t="s">
        <v>686</v>
      </c>
      <c r="C1862" t="s">
        <v>686</v>
      </c>
      <c r="D1862" t="s">
        <v>3185</v>
      </c>
      <c r="E1862" t="s">
        <v>242</v>
      </c>
      <c r="F1862" t="s">
        <v>663</v>
      </c>
      <c r="G1862">
        <v>2045</v>
      </c>
      <c r="H1862" s="12">
        <v>1170.4000000000001</v>
      </c>
      <c r="I1862" t="s">
        <v>3183</v>
      </c>
      <c r="J1862" t="s">
        <v>6</v>
      </c>
      <c r="K1862" t="s">
        <v>664</v>
      </c>
      <c r="L1862" t="s">
        <v>649</v>
      </c>
      <c r="M1862" t="s">
        <v>659</v>
      </c>
    </row>
    <row r="1863" spans="1:13">
      <c r="A1863" t="s">
        <v>851</v>
      </c>
      <c r="B1863" t="s">
        <v>686</v>
      </c>
      <c r="C1863" t="s">
        <v>686</v>
      </c>
      <c r="D1863" t="s">
        <v>3185</v>
      </c>
      <c r="E1863" t="s">
        <v>242</v>
      </c>
      <c r="F1863" t="s">
        <v>663</v>
      </c>
      <c r="G1863">
        <v>2050</v>
      </c>
      <c r="H1863" s="12">
        <v>1154.98</v>
      </c>
      <c r="I1863" t="s">
        <v>3183</v>
      </c>
      <c r="J1863" t="s">
        <v>6</v>
      </c>
      <c r="K1863" t="s">
        <v>664</v>
      </c>
      <c r="L1863" t="s">
        <v>649</v>
      </c>
      <c r="M1863" t="s">
        <v>659</v>
      </c>
    </row>
    <row r="1864" spans="1:13">
      <c r="A1864" t="s">
        <v>851</v>
      </c>
      <c r="B1864" t="s">
        <v>687</v>
      </c>
      <c r="C1864" t="s">
        <v>687</v>
      </c>
      <c r="D1864" t="s">
        <v>3185</v>
      </c>
      <c r="E1864" t="s">
        <v>242</v>
      </c>
      <c r="F1864" t="s">
        <v>663</v>
      </c>
      <c r="G1864">
        <v>2030</v>
      </c>
      <c r="H1864" s="12">
        <v>916.85</v>
      </c>
      <c r="I1864" t="s">
        <v>3183</v>
      </c>
      <c r="J1864" t="s">
        <v>6</v>
      </c>
      <c r="K1864" t="s">
        <v>664</v>
      </c>
      <c r="L1864" t="s">
        <v>649</v>
      </c>
      <c r="M1864" t="s">
        <v>659</v>
      </c>
    </row>
    <row r="1865" spans="1:13">
      <c r="A1865" t="s">
        <v>851</v>
      </c>
      <c r="B1865" t="s">
        <v>687</v>
      </c>
      <c r="C1865" t="s">
        <v>687</v>
      </c>
      <c r="D1865" t="s">
        <v>3185</v>
      </c>
      <c r="E1865" t="s">
        <v>242</v>
      </c>
      <c r="F1865" t="s">
        <v>663</v>
      </c>
      <c r="G1865">
        <v>2035</v>
      </c>
      <c r="H1865" s="12">
        <v>853.72</v>
      </c>
      <c r="I1865" t="s">
        <v>3183</v>
      </c>
      <c r="J1865" t="s">
        <v>6</v>
      </c>
      <c r="K1865" t="s">
        <v>664</v>
      </c>
      <c r="L1865" t="s">
        <v>649</v>
      </c>
      <c r="M1865" t="s">
        <v>659</v>
      </c>
    </row>
    <row r="1866" spans="1:13">
      <c r="A1866" t="s">
        <v>851</v>
      </c>
      <c r="B1866" t="s">
        <v>687</v>
      </c>
      <c r="C1866" t="s">
        <v>687</v>
      </c>
      <c r="D1866" t="s">
        <v>3185</v>
      </c>
      <c r="E1866" t="s">
        <v>242</v>
      </c>
      <c r="F1866" t="s">
        <v>663</v>
      </c>
      <c r="G1866">
        <v>2040</v>
      </c>
      <c r="H1866" s="12">
        <v>745.21</v>
      </c>
      <c r="I1866" t="s">
        <v>3183</v>
      </c>
      <c r="J1866" t="s">
        <v>6</v>
      </c>
      <c r="K1866" t="s">
        <v>664</v>
      </c>
      <c r="L1866" t="s">
        <v>649</v>
      </c>
      <c r="M1866" t="s">
        <v>659</v>
      </c>
    </row>
    <row r="1867" spans="1:13">
      <c r="A1867" t="s">
        <v>851</v>
      </c>
      <c r="B1867" t="s">
        <v>687</v>
      </c>
      <c r="C1867" t="s">
        <v>687</v>
      </c>
      <c r="D1867" t="s">
        <v>3185</v>
      </c>
      <c r="E1867" t="s">
        <v>242</v>
      </c>
      <c r="F1867" t="s">
        <v>663</v>
      </c>
      <c r="G1867">
        <v>2045</v>
      </c>
      <c r="H1867" s="12">
        <v>615.54999999999995</v>
      </c>
      <c r="I1867" t="s">
        <v>3183</v>
      </c>
      <c r="J1867" t="s">
        <v>6</v>
      </c>
      <c r="K1867" t="s">
        <v>664</v>
      </c>
      <c r="L1867" t="s">
        <v>649</v>
      </c>
      <c r="M1867" t="s">
        <v>659</v>
      </c>
    </row>
    <row r="1868" spans="1:13">
      <c r="A1868" t="s">
        <v>851</v>
      </c>
      <c r="B1868" t="s">
        <v>687</v>
      </c>
      <c r="C1868" t="s">
        <v>687</v>
      </c>
      <c r="D1868" t="s">
        <v>3185</v>
      </c>
      <c r="E1868" t="s">
        <v>242</v>
      </c>
      <c r="F1868" t="s">
        <v>663</v>
      </c>
      <c r="G1868">
        <v>2050</v>
      </c>
      <c r="H1868" s="12">
        <v>470.76</v>
      </c>
      <c r="I1868" t="s">
        <v>3183</v>
      </c>
      <c r="J1868" t="s">
        <v>6</v>
      </c>
      <c r="K1868" t="s">
        <v>664</v>
      </c>
      <c r="L1868" t="s">
        <v>649</v>
      </c>
      <c r="M1868" t="s">
        <v>659</v>
      </c>
    </row>
    <row r="1869" spans="1:13">
      <c r="A1869" t="s">
        <v>851</v>
      </c>
      <c r="B1869" t="s">
        <v>686</v>
      </c>
      <c r="C1869" t="s">
        <v>686</v>
      </c>
      <c r="D1869" t="s">
        <v>22</v>
      </c>
      <c r="E1869" t="s">
        <v>660</v>
      </c>
      <c r="F1869" t="s">
        <v>40</v>
      </c>
      <c r="G1869">
        <v>2010</v>
      </c>
      <c r="H1869" s="12">
        <v>354</v>
      </c>
      <c r="I1869" t="s">
        <v>3183</v>
      </c>
      <c r="J1869" t="s">
        <v>17</v>
      </c>
      <c r="K1869" t="s">
        <v>657</v>
      </c>
      <c r="L1869" t="s">
        <v>3184</v>
      </c>
      <c r="M1869" t="s">
        <v>17</v>
      </c>
    </row>
    <row r="1870" spans="1:13">
      <c r="A1870" t="s">
        <v>851</v>
      </c>
      <c r="B1870" t="s">
        <v>686</v>
      </c>
      <c r="C1870" t="s">
        <v>686</v>
      </c>
      <c r="D1870" t="s">
        <v>22</v>
      </c>
      <c r="E1870" t="s">
        <v>660</v>
      </c>
      <c r="F1870" t="s">
        <v>40</v>
      </c>
      <c r="G1870">
        <v>2015</v>
      </c>
      <c r="H1870" s="12">
        <v>1035</v>
      </c>
      <c r="I1870" t="s">
        <v>3183</v>
      </c>
      <c r="J1870" t="s">
        <v>17</v>
      </c>
      <c r="K1870" t="s">
        <v>657</v>
      </c>
      <c r="L1870" t="s">
        <v>3184</v>
      </c>
      <c r="M1870" t="s">
        <v>17</v>
      </c>
    </row>
    <row r="1871" spans="1:13">
      <c r="A1871" t="s">
        <v>851</v>
      </c>
      <c r="B1871" t="s">
        <v>686</v>
      </c>
      <c r="C1871" t="s">
        <v>686</v>
      </c>
      <c r="D1871" t="s">
        <v>22</v>
      </c>
      <c r="E1871" t="s">
        <v>660</v>
      </c>
      <c r="F1871" t="s">
        <v>40</v>
      </c>
      <c r="G1871">
        <v>2020</v>
      </c>
      <c r="H1871" s="12">
        <v>1903</v>
      </c>
      <c r="I1871" t="s">
        <v>3183</v>
      </c>
      <c r="J1871" t="s">
        <v>17</v>
      </c>
      <c r="K1871" t="s">
        <v>657</v>
      </c>
      <c r="L1871" t="s">
        <v>3184</v>
      </c>
      <c r="M1871" t="s">
        <v>17</v>
      </c>
    </row>
    <row r="1872" spans="1:13">
      <c r="A1872" t="s">
        <v>851</v>
      </c>
      <c r="B1872" t="s">
        <v>686</v>
      </c>
      <c r="C1872" t="s">
        <v>686</v>
      </c>
      <c r="D1872" t="s">
        <v>22</v>
      </c>
      <c r="E1872" t="s">
        <v>660</v>
      </c>
      <c r="F1872" t="s">
        <v>40</v>
      </c>
      <c r="G1872">
        <v>2030</v>
      </c>
      <c r="H1872" s="12">
        <v>6760</v>
      </c>
      <c r="I1872" t="s">
        <v>3183</v>
      </c>
      <c r="J1872" t="s">
        <v>17</v>
      </c>
      <c r="K1872" t="s">
        <v>657</v>
      </c>
      <c r="L1872" t="s">
        <v>3184</v>
      </c>
      <c r="M1872" t="s">
        <v>17</v>
      </c>
    </row>
    <row r="1873" spans="1:13">
      <c r="A1873" t="s">
        <v>851</v>
      </c>
      <c r="B1873" t="s">
        <v>686</v>
      </c>
      <c r="C1873" t="s">
        <v>686</v>
      </c>
      <c r="D1873" t="s">
        <v>22</v>
      </c>
      <c r="E1873" t="s">
        <v>660</v>
      </c>
      <c r="F1873" t="s">
        <v>40</v>
      </c>
      <c r="G1873">
        <v>2035</v>
      </c>
      <c r="H1873" s="12">
        <v>9621</v>
      </c>
      <c r="I1873" t="s">
        <v>3183</v>
      </c>
      <c r="J1873" t="s">
        <v>17</v>
      </c>
      <c r="K1873" t="s">
        <v>657</v>
      </c>
      <c r="L1873" t="s">
        <v>3184</v>
      </c>
      <c r="M1873" t="s">
        <v>17</v>
      </c>
    </row>
    <row r="1874" spans="1:13">
      <c r="A1874" t="s">
        <v>851</v>
      </c>
      <c r="B1874" t="s">
        <v>686</v>
      </c>
      <c r="C1874" t="s">
        <v>686</v>
      </c>
      <c r="D1874" t="s">
        <v>22</v>
      </c>
      <c r="E1874" t="s">
        <v>660</v>
      </c>
      <c r="F1874" t="s">
        <v>40</v>
      </c>
      <c r="G1874">
        <v>2040</v>
      </c>
      <c r="H1874" s="12">
        <v>12372</v>
      </c>
      <c r="I1874" t="s">
        <v>3183</v>
      </c>
      <c r="J1874" t="s">
        <v>17</v>
      </c>
      <c r="K1874" t="s">
        <v>657</v>
      </c>
      <c r="L1874" t="s">
        <v>3184</v>
      </c>
      <c r="M1874" t="s">
        <v>17</v>
      </c>
    </row>
    <row r="1875" spans="1:13">
      <c r="A1875" t="s">
        <v>851</v>
      </c>
      <c r="B1875" t="s">
        <v>686</v>
      </c>
      <c r="C1875" t="s">
        <v>686</v>
      </c>
      <c r="D1875" t="s">
        <v>22</v>
      </c>
      <c r="E1875" t="s">
        <v>660</v>
      </c>
      <c r="F1875" t="s">
        <v>40</v>
      </c>
      <c r="G1875">
        <v>2045</v>
      </c>
      <c r="H1875" s="12">
        <v>14778</v>
      </c>
      <c r="I1875" t="s">
        <v>3183</v>
      </c>
      <c r="J1875" t="s">
        <v>17</v>
      </c>
      <c r="K1875" t="s">
        <v>657</v>
      </c>
      <c r="L1875" t="s">
        <v>3184</v>
      </c>
      <c r="M1875" t="s">
        <v>17</v>
      </c>
    </row>
    <row r="1876" spans="1:13">
      <c r="A1876" t="s">
        <v>851</v>
      </c>
      <c r="B1876" t="s">
        <v>686</v>
      </c>
      <c r="C1876" t="s">
        <v>686</v>
      </c>
      <c r="D1876" t="s">
        <v>22</v>
      </c>
      <c r="E1876" t="s">
        <v>660</v>
      </c>
      <c r="F1876" t="s">
        <v>40</v>
      </c>
      <c r="G1876">
        <v>2050</v>
      </c>
      <c r="H1876" s="12">
        <v>16637</v>
      </c>
      <c r="I1876" t="s">
        <v>3183</v>
      </c>
      <c r="J1876" t="s">
        <v>17</v>
      </c>
      <c r="K1876" t="s">
        <v>657</v>
      </c>
      <c r="L1876" t="s">
        <v>3184</v>
      </c>
      <c r="M1876" t="s">
        <v>17</v>
      </c>
    </row>
    <row r="1877" spans="1:13">
      <c r="A1877" t="s">
        <v>851</v>
      </c>
      <c r="B1877" t="s">
        <v>687</v>
      </c>
      <c r="C1877" t="s">
        <v>687</v>
      </c>
      <c r="D1877" t="s">
        <v>22</v>
      </c>
      <c r="E1877" t="s">
        <v>660</v>
      </c>
      <c r="F1877" t="s">
        <v>40</v>
      </c>
      <c r="G1877">
        <v>2030</v>
      </c>
      <c r="H1877" s="12">
        <v>7478</v>
      </c>
      <c r="I1877" t="s">
        <v>3183</v>
      </c>
      <c r="J1877" t="s">
        <v>17</v>
      </c>
      <c r="K1877" t="s">
        <v>657</v>
      </c>
      <c r="L1877" t="s">
        <v>3184</v>
      </c>
      <c r="M1877" t="s">
        <v>17</v>
      </c>
    </row>
    <row r="1878" spans="1:13">
      <c r="A1878" t="s">
        <v>851</v>
      </c>
      <c r="B1878" t="s">
        <v>687</v>
      </c>
      <c r="C1878" t="s">
        <v>687</v>
      </c>
      <c r="D1878" t="s">
        <v>22</v>
      </c>
      <c r="E1878" t="s">
        <v>660</v>
      </c>
      <c r="F1878" t="s">
        <v>40</v>
      </c>
      <c r="G1878">
        <v>2035</v>
      </c>
      <c r="H1878" s="12">
        <v>11765</v>
      </c>
      <c r="I1878" t="s">
        <v>3183</v>
      </c>
      <c r="J1878" t="s">
        <v>17</v>
      </c>
      <c r="K1878" t="s">
        <v>657</v>
      </c>
      <c r="L1878" t="s">
        <v>3184</v>
      </c>
      <c r="M1878" t="s">
        <v>17</v>
      </c>
    </row>
    <row r="1879" spans="1:13">
      <c r="A1879" t="s">
        <v>851</v>
      </c>
      <c r="B1879" t="s">
        <v>687</v>
      </c>
      <c r="C1879" t="s">
        <v>687</v>
      </c>
      <c r="D1879" t="s">
        <v>22</v>
      </c>
      <c r="E1879" t="s">
        <v>660</v>
      </c>
      <c r="F1879" t="s">
        <v>40</v>
      </c>
      <c r="G1879">
        <v>2040</v>
      </c>
      <c r="H1879" s="12">
        <v>16968</v>
      </c>
      <c r="I1879" t="s">
        <v>3183</v>
      </c>
      <c r="J1879" t="s">
        <v>17</v>
      </c>
      <c r="K1879" t="s">
        <v>657</v>
      </c>
      <c r="L1879" t="s">
        <v>3184</v>
      </c>
      <c r="M1879" t="s">
        <v>17</v>
      </c>
    </row>
    <row r="1880" spans="1:13">
      <c r="A1880" t="s">
        <v>851</v>
      </c>
      <c r="B1880" t="s">
        <v>686</v>
      </c>
      <c r="C1880" t="s">
        <v>686</v>
      </c>
      <c r="D1880" t="s">
        <v>22</v>
      </c>
      <c r="E1880" t="s">
        <v>660</v>
      </c>
      <c r="F1880" t="s">
        <v>40</v>
      </c>
      <c r="G1880">
        <v>2015</v>
      </c>
      <c r="H1880" s="12">
        <v>1863</v>
      </c>
      <c r="I1880" t="s">
        <v>3183</v>
      </c>
      <c r="J1880" t="s">
        <v>15</v>
      </c>
      <c r="K1880" t="s">
        <v>657</v>
      </c>
      <c r="L1880" t="s">
        <v>3184</v>
      </c>
      <c r="M1880" t="s">
        <v>15</v>
      </c>
    </row>
    <row r="1881" spans="1:13">
      <c r="A1881" t="s">
        <v>851</v>
      </c>
      <c r="B1881" t="s">
        <v>686</v>
      </c>
      <c r="C1881" t="s">
        <v>686</v>
      </c>
      <c r="D1881" t="s">
        <v>22</v>
      </c>
      <c r="E1881" t="s">
        <v>660</v>
      </c>
      <c r="F1881" t="s">
        <v>40</v>
      </c>
      <c r="G1881">
        <v>2020</v>
      </c>
      <c r="H1881" s="12">
        <v>3996</v>
      </c>
      <c r="I1881" t="s">
        <v>3183</v>
      </c>
      <c r="J1881" t="s">
        <v>15</v>
      </c>
      <c r="K1881" t="s">
        <v>657</v>
      </c>
      <c r="L1881" t="s">
        <v>3184</v>
      </c>
      <c r="M1881" t="s">
        <v>15</v>
      </c>
    </row>
    <row r="1882" spans="1:13">
      <c r="A1882" t="s">
        <v>851</v>
      </c>
      <c r="B1882" t="s">
        <v>687</v>
      </c>
      <c r="C1882" t="s">
        <v>687</v>
      </c>
      <c r="D1882" t="s">
        <v>3185</v>
      </c>
      <c r="E1882" t="s">
        <v>242</v>
      </c>
      <c r="F1882" t="s">
        <v>663</v>
      </c>
      <c r="G1882">
        <v>2050</v>
      </c>
      <c r="H1882" s="12">
        <v>1435.63</v>
      </c>
      <c r="I1882" t="s">
        <v>3183</v>
      </c>
      <c r="J1882" t="s">
        <v>5</v>
      </c>
      <c r="K1882" t="s">
        <v>147</v>
      </c>
      <c r="L1882" t="s">
        <v>649</v>
      </c>
      <c r="M1882" t="s">
        <v>5</v>
      </c>
    </row>
    <row r="1883" spans="1:13">
      <c r="A1883" t="s">
        <v>851</v>
      </c>
      <c r="B1883" t="s">
        <v>686</v>
      </c>
      <c r="C1883" t="s">
        <v>686</v>
      </c>
      <c r="D1883" t="s">
        <v>3185</v>
      </c>
      <c r="E1883" t="s">
        <v>242</v>
      </c>
      <c r="F1883" t="s">
        <v>663</v>
      </c>
      <c r="G1883">
        <v>2010</v>
      </c>
      <c r="H1883" s="12">
        <v>226.98</v>
      </c>
      <c r="I1883" t="s">
        <v>3183</v>
      </c>
      <c r="J1883" t="s">
        <v>394</v>
      </c>
      <c r="K1883" t="s">
        <v>147</v>
      </c>
      <c r="L1883" t="s">
        <v>649</v>
      </c>
      <c r="M1883" t="s">
        <v>16</v>
      </c>
    </row>
    <row r="1884" spans="1:13">
      <c r="A1884" t="s">
        <v>851</v>
      </c>
      <c r="B1884" t="s">
        <v>686</v>
      </c>
      <c r="C1884" t="s">
        <v>686</v>
      </c>
      <c r="D1884" t="s">
        <v>3185</v>
      </c>
      <c r="E1884" t="s">
        <v>242</v>
      </c>
      <c r="F1884" t="s">
        <v>663</v>
      </c>
      <c r="G1884">
        <v>2015</v>
      </c>
      <c r="H1884" s="12">
        <v>189.93</v>
      </c>
      <c r="I1884" t="s">
        <v>3183</v>
      </c>
      <c r="J1884" t="s">
        <v>394</v>
      </c>
      <c r="K1884" t="s">
        <v>147</v>
      </c>
      <c r="L1884" t="s">
        <v>649</v>
      </c>
      <c r="M1884" t="s">
        <v>16</v>
      </c>
    </row>
    <row r="1885" spans="1:13">
      <c r="A1885" t="s">
        <v>851</v>
      </c>
      <c r="B1885" t="s">
        <v>686</v>
      </c>
      <c r="C1885" t="s">
        <v>686</v>
      </c>
      <c r="D1885" t="s">
        <v>3185</v>
      </c>
      <c r="E1885" t="s">
        <v>242</v>
      </c>
      <c r="F1885" t="s">
        <v>663</v>
      </c>
      <c r="G1885">
        <v>2020</v>
      </c>
      <c r="H1885" s="12">
        <v>113.24</v>
      </c>
      <c r="I1885" t="s">
        <v>3183</v>
      </c>
      <c r="J1885" t="s">
        <v>394</v>
      </c>
      <c r="K1885" t="s">
        <v>147</v>
      </c>
      <c r="L1885" t="s">
        <v>649</v>
      </c>
      <c r="M1885" t="s">
        <v>16</v>
      </c>
    </row>
    <row r="1886" spans="1:13">
      <c r="A1886" t="s">
        <v>851</v>
      </c>
      <c r="B1886" t="s">
        <v>686</v>
      </c>
      <c r="C1886" t="s">
        <v>686</v>
      </c>
      <c r="D1886" t="s">
        <v>3185</v>
      </c>
      <c r="E1886" t="s">
        <v>242</v>
      </c>
      <c r="F1886" t="s">
        <v>663</v>
      </c>
      <c r="G1886">
        <v>2030</v>
      </c>
      <c r="H1886" s="12">
        <v>71.13</v>
      </c>
      <c r="I1886" t="s">
        <v>3183</v>
      </c>
      <c r="J1886" t="s">
        <v>394</v>
      </c>
      <c r="K1886" t="s">
        <v>147</v>
      </c>
      <c r="L1886" t="s">
        <v>649</v>
      </c>
      <c r="M1886" t="s">
        <v>16</v>
      </c>
    </row>
    <row r="1887" spans="1:13">
      <c r="A1887" t="s">
        <v>851</v>
      </c>
      <c r="B1887" t="s">
        <v>686</v>
      </c>
      <c r="C1887" t="s">
        <v>686</v>
      </c>
      <c r="D1887" t="s">
        <v>3185</v>
      </c>
      <c r="E1887" t="s">
        <v>242</v>
      </c>
      <c r="F1887" t="s">
        <v>663</v>
      </c>
      <c r="G1887">
        <v>2035</v>
      </c>
      <c r="H1887" s="12">
        <v>59.47</v>
      </c>
      <c r="I1887" t="s">
        <v>3183</v>
      </c>
      <c r="J1887" t="s">
        <v>394</v>
      </c>
      <c r="K1887" t="s">
        <v>147</v>
      </c>
      <c r="L1887" t="s">
        <v>649</v>
      </c>
      <c r="M1887" t="s">
        <v>16</v>
      </c>
    </row>
    <row r="1888" spans="1:13">
      <c r="A1888" t="s">
        <v>851</v>
      </c>
      <c r="B1888" t="s">
        <v>686</v>
      </c>
      <c r="C1888" t="s">
        <v>686</v>
      </c>
      <c r="D1888" t="s">
        <v>3185</v>
      </c>
      <c r="E1888" t="s">
        <v>242</v>
      </c>
      <c r="F1888" t="s">
        <v>663</v>
      </c>
      <c r="G1888">
        <v>2040</v>
      </c>
      <c r="H1888" s="12">
        <v>48.92</v>
      </c>
      <c r="I1888" t="s">
        <v>3183</v>
      </c>
      <c r="J1888" t="s">
        <v>394</v>
      </c>
      <c r="K1888" t="s">
        <v>147</v>
      </c>
      <c r="L1888" t="s">
        <v>649</v>
      </c>
      <c r="M1888" t="s">
        <v>16</v>
      </c>
    </row>
    <row r="1889" spans="1:13">
      <c r="A1889" t="s">
        <v>851</v>
      </c>
      <c r="B1889" t="s">
        <v>686</v>
      </c>
      <c r="C1889" t="s">
        <v>686</v>
      </c>
      <c r="D1889" t="s">
        <v>3185</v>
      </c>
      <c r="E1889" t="s">
        <v>242</v>
      </c>
      <c r="F1889" t="s">
        <v>663</v>
      </c>
      <c r="G1889">
        <v>2045</v>
      </c>
      <c r="H1889" s="12">
        <v>41.05</v>
      </c>
      <c r="I1889" t="s">
        <v>3183</v>
      </c>
      <c r="J1889" t="s">
        <v>394</v>
      </c>
      <c r="K1889" t="s">
        <v>147</v>
      </c>
      <c r="L1889" t="s">
        <v>649</v>
      </c>
      <c r="M1889" t="s">
        <v>16</v>
      </c>
    </row>
    <row r="1890" spans="1:13">
      <c r="A1890" t="s">
        <v>851</v>
      </c>
      <c r="B1890" t="s">
        <v>686</v>
      </c>
      <c r="C1890" t="s">
        <v>686</v>
      </c>
      <c r="D1890" t="s">
        <v>3185</v>
      </c>
      <c r="E1890" t="s">
        <v>242</v>
      </c>
      <c r="F1890" t="s">
        <v>663</v>
      </c>
      <c r="G1890">
        <v>2050</v>
      </c>
      <c r="H1890" s="12">
        <v>37.06</v>
      </c>
      <c r="I1890" t="s">
        <v>3183</v>
      </c>
      <c r="J1890" t="s">
        <v>394</v>
      </c>
      <c r="K1890" t="s">
        <v>147</v>
      </c>
      <c r="L1890" t="s">
        <v>649</v>
      </c>
      <c r="M1890" t="s">
        <v>16</v>
      </c>
    </row>
    <row r="1891" spans="1:13">
      <c r="A1891" t="s">
        <v>851</v>
      </c>
      <c r="B1891" t="s">
        <v>687</v>
      </c>
      <c r="C1891" t="s">
        <v>687</v>
      </c>
      <c r="D1891" t="s">
        <v>3185</v>
      </c>
      <c r="E1891" t="s">
        <v>242</v>
      </c>
      <c r="F1891" t="s">
        <v>663</v>
      </c>
      <c r="G1891">
        <v>2030</v>
      </c>
      <c r="H1891" s="12">
        <v>67.19</v>
      </c>
      <c r="I1891" t="s">
        <v>3183</v>
      </c>
      <c r="J1891" t="s">
        <v>394</v>
      </c>
      <c r="K1891" t="s">
        <v>147</v>
      </c>
      <c r="L1891" t="s">
        <v>649</v>
      </c>
      <c r="M1891" t="s">
        <v>16</v>
      </c>
    </row>
    <row r="1892" spans="1:13">
      <c r="A1892" t="s">
        <v>851</v>
      </c>
      <c r="B1892" t="s">
        <v>687</v>
      </c>
      <c r="C1892" t="s">
        <v>687</v>
      </c>
      <c r="D1892" t="s">
        <v>3185</v>
      </c>
      <c r="E1892" t="s">
        <v>242</v>
      </c>
      <c r="F1892" t="s">
        <v>663</v>
      </c>
      <c r="G1892">
        <v>2035</v>
      </c>
      <c r="H1892" s="12">
        <v>52.19</v>
      </c>
      <c r="I1892" t="s">
        <v>3183</v>
      </c>
      <c r="J1892" t="s">
        <v>394</v>
      </c>
      <c r="K1892" t="s">
        <v>147</v>
      </c>
      <c r="L1892" t="s">
        <v>649</v>
      </c>
      <c r="M1892" t="s">
        <v>16</v>
      </c>
    </row>
    <row r="1893" spans="1:13">
      <c r="A1893" t="s">
        <v>851</v>
      </c>
      <c r="B1893" t="s">
        <v>687</v>
      </c>
      <c r="C1893" t="s">
        <v>687</v>
      </c>
      <c r="D1893" t="s">
        <v>3185</v>
      </c>
      <c r="E1893" t="s">
        <v>242</v>
      </c>
      <c r="F1893" t="s">
        <v>663</v>
      </c>
      <c r="G1893">
        <v>2040</v>
      </c>
      <c r="H1893" s="12">
        <v>44.01</v>
      </c>
      <c r="I1893" t="s">
        <v>3183</v>
      </c>
      <c r="J1893" t="s">
        <v>394</v>
      </c>
      <c r="K1893" t="s">
        <v>147</v>
      </c>
      <c r="L1893" t="s">
        <v>649</v>
      </c>
      <c r="M1893" t="s">
        <v>16</v>
      </c>
    </row>
    <row r="1894" spans="1:13">
      <c r="A1894" t="s">
        <v>851</v>
      </c>
      <c r="B1894" t="s">
        <v>687</v>
      </c>
      <c r="C1894" t="s">
        <v>687</v>
      </c>
      <c r="D1894" t="s">
        <v>3185</v>
      </c>
      <c r="E1894" t="s">
        <v>242</v>
      </c>
      <c r="F1894" t="s">
        <v>663</v>
      </c>
      <c r="G1894">
        <v>2045</v>
      </c>
      <c r="H1894" s="12">
        <v>32.82</v>
      </c>
      <c r="I1894" t="s">
        <v>3183</v>
      </c>
      <c r="J1894" t="s">
        <v>394</v>
      </c>
      <c r="K1894" t="s">
        <v>147</v>
      </c>
      <c r="L1894" t="s">
        <v>649</v>
      </c>
      <c r="M1894" t="s">
        <v>16</v>
      </c>
    </row>
    <row r="1895" spans="1:13">
      <c r="A1895" t="s">
        <v>851</v>
      </c>
      <c r="B1895" t="s">
        <v>687</v>
      </c>
      <c r="C1895" t="s">
        <v>687</v>
      </c>
      <c r="D1895" t="s">
        <v>3185</v>
      </c>
      <c r="E1895" t="s">
        <v>242</v>
      </c>
      <c r="F1895" t="s">
        <v>663</v>
      </c>
      <c r="G1895">
        <v>2050</v>
      </c>
      <c r="H1895" s="12">
        <v>30.51</v>
      </c>
      <c r="I1895" t="s">
        <v>3183</v>
      </c>
      <c r="J1895" t="s">
        <v>394</v>
      </c>
      <c r="K1895" t="s">
        <v>147</v>
      </c>
      <c r="L1895" t="s">
        <v>649</v>
      </c>
      <c r="M1895" t="s">
        <v>16</v>
      </c>
    </row>
    <row r="1896" spans="1:13">
      <c r="A1896" t="s">
        <v>851</v>
      </c>
      <c r="B1896" t="s">
        <v>686</v>
      </c>
      <c r="C1896" t="s">
        <v>686</v>
      </c>
      <c r="D1896" t="s">
        <v>3185</v>
      </c>
      <c r="E1896" t="s">
        <v>242</v>
      </c>
      <c r="F1896" t="s">
        <v>663</v>
      </c>
      <c r="G1896">
        <v>2010</v>
      </c>
      <c r="H1896" s="12">
        <v>532.95000000000005</v>
      </c>
      <c r="I1896" t="s">
        <v>3183</v>
      </c>
      <c r="J1896" t="s">
        <v>6</v>
      </c>
      <c r="K1896" t="s">
        <v>147</v>
      </c>
      <c r="L1896" t="s">
        <v>649</v>
      </c>
      <c r="M1896" t="s">
        <v>659</v>
      </c>
    </row>
    <row r="1897" spans="1:13">
      <c r="A1897" t="s">
        <v>851</v>
      </c>
      <c r="B1897" t="s">
        <v>686</v>
      </c>
      <c r="C1897" t="s">
        <v>686</v>
      </c>
      <c r="D1897" t="s">
        <v>3185</v>
      </c>
      <c r="E1897" t="s">
        <v>242</v>
      </c>
      <c r="F1897" t="s">
        <v>663</v>
      </c>
      <c r="G1897">
        <v>2015</v>
      </c>
      <c r="H1897" s="12">
        <v>611</v>
      </c>
      <c r="I1897" t="s">
        <v>3183</v>
      </c>
      <c r="J1897" t="s">
        <v>6</v>
      </c>
      <c r="K1897" t="s">
        <v>147</v>
      </c>
      <c r="L1897" t="s">
        <v>649</v>
      </c>
      <c r="M1897" t="s">
        <v>659</v>
      </c>
    </row>
    <row r="1898" spans="1:13">
      <c r="A1898" t="s">
        <v>851</v>
      </c>
      <c r="B1898" t="s">
        <v>686</v>
      </c>
      <c r="C1898" t="s">
        <v>686</v>
      </c>
      <c r="D1898" t="s">
        <v>3185</v>
      </c>
      <c r="E1898" t="s">
        <v>242</v>
      </c>
      <c r="F1898" t="s">
        <v>663</v>
      </c>
      <c r="G1898">
        <v>2020</v>
      </c>
      <c r="H1898" s="12">
        <v>663.9</v>
      </c>
      <c r="I1898" t="s">
        <v>3183</v>
      </c>
      <c r="J1898" t="s">
        <v>6</v>
      </c>
      <c r="K1898" t="s">
        <v>147</v>
      </c>
      <c r="L1898" t="s">
        <v>649</v>
      </c>
      <c r="M1898" t="s">
        <v>659</v>
      </c>
    </row>
    <row r="1899" spans="1:13">
      <c r="A1899" t="s">
        <v>851</v>
      </c>
      <c r="B1899" t="s">
        <v>686</v>
      </c>
      <c r="C1899" t="s">
        <v>686</v>
      </c>
      <c r="D1899" t="s">
        <v>3185</v>
      </c>
      <c r="E1899" t="s">
        <v>242</v>
      </c>
      <c r="F1899" t="s">
        <v>663</v>
      </c>
      <c r="G1899">
        <v>2030</v>
      </c>
      <c r="H1899" s="12">
        <v>698.62</v>
      </c>
      <c r="I1899" t="s">
        <v>3183</v>
      </c>
      <c r="J1899" t="s">
        <v>6</v>
      </c>
      <c r="K1899" t="s">
        <v>147</v>
      </c>
      <c r="L1899" t="s">
        <v>649</v>
      </c>
      <c r="M1899" t="s">
        <v>659</v>
      </c>
    </row>
    <row r="1900" spans="1:13">
      <c r="A1900" t="s">
        <v>851</v>
      </c>
      <c r="B1900" t="s">
        <v>686</v>
      </c>
      <c r="C1900" t="s">
        <v>686</v>
      </c>
      <c r="D1900" t="s">
        <v>3185</v>
      </c>
      <c r="E1900" t="s">
        <v>242</v>
      </c>
      <c r="F1900" t="s">
        <v>663</v>
      </c>
      <c r="G1900">
        <v>2035</v>
      </c>
      <c r="H1900" s="12">
        <v>705.42</v>
      </c>
      <c r="I1900" t="s">
        <v>3183</v>
      </c>
      <c r="J1900" t="s">
        <v>6</v>
      </c>
      <c r="K1900" t="s">
        <v>147</v>
      </c>
      <c r="L1900" t="s">
        <v>649</v>
      </c>
      <c r="M1900" t="s">
        <v>659</v>
      </c>
    </row>
    <row r="1901" spans="1:13">
      <c r="A1901" t="s">
        <v>851</v>
      </c>
      <c r="B1901" t="s">
        <v>686</v>
      </c>
      <c r="C1901" t="s">
        <v>686</v>
      </c>
      <c r="D1901" t="s">
        <v>3185</v>
      </c>
      <c r="E1901" t="s">
        <v>242</v>
      </c>
      <c r="F1901" t="s">
        <v>663</v>
      </c>
      <c r="G1901">
        <v>2040</v>
      </c>
      <c r="H1901" s="12">
        <v>728.06</v>
      </c>
      <c r="I1901" t="s">
        <v>3183</v>
      </c>
      <c r="J1901" t="s">
        <v>6</v>
      </c>
      <c r="K1901" t="s">
        <v>147</v>
      </c>
      <c r="L1901" t="s">
        <v>649</v>
      </c>
      <c r="M1901" t="s">
        <v>659</v>
      </c>
    </row>
    <row r="1902" spans="1:13">
      <c r="A1902" t="s">
        <v>851</v>
      </c>
      <c r="B1902" t="s">
        <v>686</v>
      </c>
      <c r="C1902" t="s">
        <v>686</v>
      </c>
      <c r="D1902" t="s">
        <v>3185</v>
      </c>
      <c r="E1902" t="s">
        <v>242</v>
      </c>
      <c r="F1902" t="s">
        <v>663</v>
      </c>
      <c r="G1902">
        <v>2045</v>
      </c>
      <c r="H1902" s="12">
        <v>742.49</v>
      </c>
      <c r="I1902" t="s">
        <v>3183</v>
      </c>
      <c r="J1902" t="s">
        <v>6</v>
      </c>
      <c r="K1902" t="s">
        <v>147</v>
      </c>
      <c r="L1902" t="s">
        <v>649</v>
      </c>
      <c r="M1902" t="s">
        <v>659</v>
      </c>
    </row>
    <row r="1903" spans="1:13">
      <c r="A1903" t="s">
        <v>851</v>
      </c>
      <c r="B1903" t="s">
        <v>686</v>
      </c>
      <c r="C1903" t="s">
        <v>686</v>
      </c>
      <c r="D1903" t="s">
        <v>3185</v>
      </c>
      <c r="E1903" t="s">
        <v>242</v>
      </c>
      <c r="F1903" t="s">
        <v>663</v>
      </c>
      <c r="G1903">
        <v>2050</v>
      </c>
      <c r="H1903" s="12">
        <v>773.5</v>
      </c>
      <c r="I1903" t="s">
        <v>3183</v>
      </c>
      <c r="J1903" t="s">
        <v>6</v>
      </c>
      <c r="K1903" t="s">
        <v>147</v>
      </c>
      <c r="L1903" t="s">
        <v>649</v>
      </c>
      <c r="M1903" t="s">
        <v>659</v>
      </c>
    </row>
    <row r="1904" spans="1:13">
      <c r="A1904" t="s">
        <v>851</v>
      </c>
      <c r="B1904" t="s">
        <v>687</v>
      </c>
      <c r="C1904" t="s">
        <v>687</v>
      </c>
      <c r="D1904" t="s">
        <v>3185</v>
      </c>
      <c r="E1904" t="s">
        <v>242</v>
      </c>
      <c r="F1904" t="s">
        <v>663</v>
      </c>
      <c r="G1904">
        <v>2030</v>
      </c>
      <c r="H1904" s="12">
        <v>689.76</v>
      </c>
      <c r="I1904" t="s">
        <v>3183</v>
      </c>
      <c r="J1904" t="s">
        <v>6</v>
      </c>
      <c r="K1904" t="s">
        <v>147</v>
      </c>
      <c r="L1904" t="s">
        <v>649</v>
      </c>
      <c r="M1904" t="s">
        <v>659</v>
      </c>
    </row>
    <row r="1905" spans="1:13">
      <c r="A1905" t="s">
        <v>851</v>
      </c>
      <c r="B1905" t="s">
        <v>687</v>
      </c>
      <c r="C1905" t="s">
        <v>687</v>
      </c>
      <c r="D1905" t="s">
        <v>3185</v>
      </c>
      <c r="E1905" t="s">
        <v>242</v>
      </c>
      <c r="F1905" t="s">
        <v>663</v>
      </c>
      <c r="G1905">
        <v>2035</v>
      </c>
      <c r="H1905" s="12">
        <v>674.9</v>
      </c>
      <c r="I1905" t="s">
        <v>3183</v>
      </c>
      <c r="J1905" t="s">
        <v>6</v>
      </c>
      <c r="K1905" t="s">
        <v>147</v>
      </c>
      <c r="L1905" t="s">
        <v>649</v>
      </c>
      <c r="M1905" t="s">
        <v>659</v>
      </c>
    </row>
    <row r="1906" spans="1:13">
      <c r="A1906" t="s">
        <v>851</v>
      </c>
      <c r="B1906" t="s">
        <v>687</v>
      </c>
      <c r="C1906" t="s">
        <v>687</v>
      </c>
      <c r="D1906" t="s">
        <v>3185</v>
      </c>
      <c r="E1906" t="s">
        <v>242</v>
      </c>
      <c r="F1906" t="s">
        <v>663</v>
      </c>
      <c r="G1906">
        <v>2040</v>
      </c>
      <c r="H1906" s="12">
        <v>605.86</v>
      </c>
      <c r="I1906" t="s">
        <v>3183</v>
      </c>
      <c r="J1906" t="s">
        <v>6</v>
      </c>
      <c r="K1906" t="s">
        <v>147</v>
      </c>
      <c r="L1906" t="s">
        <v>649</v>
      </c>
      <c r="M1906" t="s">
        <v>659</v>
      </c>
    </row>
    <row r="1907" spans="1:13">
      <c r="A1907" t="s">
        <v>851</v>
      </c>
      <c r="B1907" t="s">
        <v>687</v>
      </c>
      <c r="C1907" t="s">
        <v>687</v>
      </c>
      <c r="D1907" t="s">
        <v>3185</v>
      </c>
      <c r="E1907" t="s">
        <v>242</v>
      </c>
      <c r="F1907" t="s">
        <v>663</v>
      </c>
      <c r="G1907">
        <v>2045</v>
      </c>
      <c r="H1907" s="12">
        <v>499.78</v>
      </c>
      <c r="I1907" t="s">
        <v>3183</v>
      </c>
      <c r="J1907" t="s">
        <v>6</v>
      </c>
      <c r="K1907" t="s">
        <v>147</v>
      </c>
      <c r="L1907" t="s">
        <v>649</v>
      </c>
      <c r="M1907" t="s">
        <v>659</v>
      </c>
    </row>
    <row r="1908" spans="1:13">
      <c r="A1908" t="s">
        <v>851</v>
      </c>
      <c r="B1908" t="s">
        <v>686</v>
      </c>
      <c r="C1908" t="s">
        <v>686</v>
      </c>
      <c r="D1908" t="s">
        <v>3185</v>
      </c>
      <c r="E1908" t="s">
        <v>242</v>
      </c>
      <c r="F1908" t="s">
        <v>663</v>
      </c>
      <c r="G1908">
        <v>2010</v>
      </c>
      <c r="H1908" s="12">
        <v>3902.23</v>
      </c>
      <c r="I1908" t="s">
        <v>3183</v>
      </c>
      <c r="J1908" t="s">
        <v>5</v>
      </c>
      <c r="K1908" t="s">
        <v>664</v>
      </c>
      <c r="L1908" t="s">
        <v>649</v>
      </c>
      <c r="M1908" t="s">
        <v>5</v>
      </c>
    </row>
    <row r="1909" spans="1:13">
      <c r="A1909" t="s">
        <v>851</v>
      </c>
      <c r="B1909" t="s">
        <v>686</v>
      </c>
      <c r="C1909" t="s">
        <v>686</v>
      </c>
      <c r="D1909" t="s">
        <v>3185</v>
      </c>
      <c r="E1909" t="s">
        <v>242</v>
      </c>
      <c r="F1909" t="s">
        <v>663</v>
      </c>
      <c r="G1909">
        <v>2015</v>
      </c>
      <c r="H1909" s="12">
        <v>4143.3500000000004</v>
      </c>
      <c r="I1909" t="s">
        <v>3183</v>
      </c>
      <c r="J1909" t="s">
        <v>5</v>
      </c>
      <c r="K1909" t="s">
        <v>664</v>
      </c>
      <c r="L1909" t="s">
        <v>649</v>
      </c>
      <c r="M1909" t="s">
        <v>5</v>
      </c>
    </row>
    <row r="1910" spans="1:13">
      <c r="A1910" t="s">
        <v>851</v>
      </c>
      <c r="B1910" t="s">
        <v>686</v>
      </c>
      <c r="C1910" t="s">
        <v>686</v>
      </c>
      <c r="D1910" t="s">
        <v>3185</v>
      </c>
      <c r="E1910" t="s">
        <v>242</v>
      </c>
      <c r="F1910" t="s">
        <v>663</v>
      </c>
      <c r="G1910">
        <v>2020</v>
      </c>
      <c r="H1910" s="12">
        <v>3751.03</v>
      </c>
      <c r="I1910" t="s">
        <v>3183</v>
      </c>
      <c r="J1910" t="s">
        <v>5</v>
      </c>
      <c r="K1910" t="s">
        <v>664</v>
      </c>
      <c r="L1910" t="s">
        <v>649</v>
      </c>
      <c r="M1910" t="s">
        <v>5</v>
      </c>
    </row>
    <row r="1911" spans="1:13">
      <c r="A1911" t="s">
        <v>851</v>
      </c>
      <c r="B1911" t="s">
        <v>686</v>
      </c>
      <c r="C1911" t="s">
        <v>686</v>
      </c>
      <c r="D1911" t="s">
        <v>3185</v>
      </c>
      <c r="E1911" t="s">
        <v>242</v>
      </c>
      <c r="F1911" t="s">
        <v>663</v>
      </c>
      <c r="G1911">
        <v>2030</v>
      </c>
      <c r="H1911" s="12">
        <v>3791.89</v>
      </c>
      <c r="I1911" t="s">
        <v>3183</v>
      </c>
      <c r="J1911" t="s">
        <v>5</v>
      </c>
      <c r="K1911" t="s">
        <v>664</v>
      </c>
      <c r="L1911" t="s">
        <v>649</v>
      </c>
      <c r="M1911" t="s">
        <v>5</v>
      </c>
    </row>
    <row r="1912" spans="1:13">
      <c r="A1912" t="s">
        <v>851</v>
      </c>
      <c r="B1912" t="s">
        <v>686</v>
      </c>
      <c r="C1912" t="s">
        <v>686</v>
      </c>
      <c r="D1912" t="s">
        <v>3185</v>
      </c>
      <c r="E1912" t="s">
        <v>242</v>
      </c>
      <c r="F1912" t="s">
        <v>663</v>
      </c>
      <c r="G1912">
        <v>2035</v>
      </c>
      <c r="H1912" s="12">
        <v>3653.56</v>
      </c>
      <c r="I1912" t="s">
        <v>3183</v>
      </c>
      <c r="J1912" t="s">
        <v>5</v>
      </c>
      <c r="K1912" t="s">
        <v>664</v>
      </c>
      <c r="L1912" t="s">
        <v>649</v>
      </c>
      <c r="M1912" t="s">
        <v>5</v>
      </c>
    </row>
    <row r="1913" spans="1:13">
      <c r="A1913" t="s">
        <v>851</v>
      </c>
      <c r="B1913" t="s">
        <v>686</v>
      </c>
      <c r="C1913" t="s">
        <v>686</v>
      </c>
      <c r="D1913" t="s">
        <v>3185</v>
      </c>
      <c r="E1913" t="s">
        <v>242</v>
      </c>
      <c r="F1913" t="s">
        <v>663</v>
      </c>
      <c r="G1913">
        <v>2040</v>
      </c>
      <c r="H1913" s="12">
        <v>3503.97</v>
      </c>
      <c r="I1913" t="s">
        <v>3183</v>
      </c>
      <c r="J1913" t="s">
        <v>5</v>
      </c>
      <c r="K1913" t="s">
        <v>664</v>
      </c>
      <c r="L1913" t="s">
        <v>649</v>
      </c>
      <c r="M1913" t="s">
        <v>5</v>
      </c>
    </row>
    <row r="1914" spans="1:13">
      <c r="A1914" t="s">
        <v>851</v>
      </c>
      <c r="B1914" t="s">
        <v>686</v>
      </c>
      <c r="C1914" t="s">
        <v>686</v>
      </c>
      <c r="D1914" t="s">
        <v>3185</v>
      </c>
      <c r="E1914" t="s">
        <v>242</v>
      </c>
      <c r="F1914" t="s">
        <v>663</v>
      </c>
      <c r="G1914">
        <v>2045</v>
      </c>
      <c r="H1914" s="12">
        <v>3347.44</v>
      </c>
      <c r="I1914" t="s">
        <v>3183</v>
      </c>
      <c r="J1914" t="s">
        <v>5</v>
      </c>
      <c r="K1914" t="s">
        <v>664</v>
      </c>
      <c r="L1914" t="s">
        <v>649</v>
      </c>
      <c r="M1914" t="s">
        <v>5</v>
      </c>
    </row>
    <row r="1915" spans="1:13">
      <c r="A1915" t="s">
        <v>851</v>
      </c>
      <c r="B1915" t="s">
        <v>686</v>
      </c>
      <c r="C1915" t="s">
        <v>686</v>
      </c>
      <c r="D1915" t="s">
        <v>3185</v>
      </c>
      <c r="E1915" t="s">
        <v>242</v>
      </c>
      <c r="F1915" t="s">
        <v>663</v>
      </c>
      <c r="G1915">
        <v>2050</v>
      </c>
      <c r="H1915" s="12">
        <v>3172.75</v>
      </c>
      <c r="I1915" t="s">
        <v>3183</v>
      </c>
      <c r="J1915" t="s">
        <v>5</v>
      </c>
      <c r="K1915" t="s">
        <v>664</v>
      </c>
      <c r="L1915" t="s">
        <v>649</v>
      </c>
      <c r="M1915" t="s">
        <v>5</v>
      </c>
    </row>
    <row r="1916" spans="1:13">
      <c r="A1916" t="s">
        <v>851</v>
      </c>
      <c r="B1916" t="s">
        <v>687</v>
      </c>
      <c r="C1916" t="s">
        <v>687</v>
      </c>
      <c r="D1916" t="s">
        <v>3185</v>
      </c>
      <c r="E1916" t="s">
        <v>242</v>
      </c>
      <c r="F1916" t="s">
        <v>663</v>
      </c>
      <c r="G1916">
        <v>2030</v>
      </c>
      <c r="H1916" s="12">
        <v>3071.34</v>
      </c>
      <c r="I1916" t="s">
        <v>3183</v>
      </c>
      <c r="J1916" t="s">
        <v>5</v>
      </c>
      <c r="K1916" t="s">
        <v>664</v>
      </c>
      <c r="L1916" t="s">
        <v>649</v>
      </c>
      <c r="M1916" t="s">
        <v>5</v>
      </c>
    </row>
    <row r="1917" spans="1:13">
      <c r="A1917" t="s">
        <v>851</v>
      </c>
      <c r="B1917" t="s">
        <v>687</v>
      </c>
      <c r="C1917" t="s">
        <v>687</v>
      </c>
      <c r="D1917" t="s">
        <v>3185</v>
      </c>
      <c r="E1917" t="s">
        <v>242</v>
      </c>
      <c r="F1917" t="s">
        <v>663</v>
      </c>
      <c r="G1917">
        <v>2035</v>
      </c>
      <c r="H1917" s="12">
        <v>2428.9899999999998</v>
      </c>
      <c r="I1917" t="s">
        <v>3183</v>
      </c>
      <c r="J1917" t="s">
        <v>5</v>
      </c>
      <c r="K1917" t="s">
        <v>664</v>
      </c>
      <c r="L1917" t="s">
        <v>649</v>
      </c>
      <c r="M1917" t="s">
        <v>5</v>
      </c>
    </row>
    <row r="1918" spans="1:13">
      <c r="A1918" t="s">
        <v>851</v>
      </c>
      <c r="B1918" t="s">
        <v>687</v>
      </c>
      <c r="C1918" t="s">
        <v>687</v>
      </c>
      <c r="D1918" t="s">
        <v>3185</v>
      </c>
      <c r="E1918" t="s">
        <v>242</v>
      </c>
      <c r="F1918" t="s">
        <v>663</v>
      </c>
      <c r="G1918">
        <v>2040</v>
      </c>
      <c r="H1918" s="12">
        <v>1839.85</v>
      </c>
      <c r="I1918" t="s">
        <v>3183</v>
      </c>
      <c r="J1918" t="s">
        <v>5</v>
      </c>
      <c r="K1918" t="s">
        <v>664</v>
      </c>
      <c r="L1918" t="s">
        <v>649</v>
      </c>
      <c r="M1918" t="s">
        <v>5</v>
      </c>
    </row>
    <row r="1919" spans="1:13">
      <c r="A1919" t="s">
        <v>851</v>
      </c>
      <c r="B1919" t="s">
        <v>687</v>
      </c>
      <c r="C1919" t="s">
        <v>687</v>
      </c>
      <c r="D1919" t="s">
        <v>3185</v>
      </c>
      <c r="E1919" t="s">
        <v>242</v>
      </c>
      <c r="F1919" t="s">
        <v>663</v>
      </c>
      <c r="G1919">
        <v>2045</v>
      </c>
      <c r="H1919" s="12">
        <v>1351.92</v>
      </c>
      <c r="I1919" t="s">
        <v>3183</v>
      </c>
      <c r="J1919" t="s">
        <v>5</v>
      </c>
      <c r="K1919" t="s">
        <v>664</v>
      </c>
      <c r="L1919" t="s">
        <v>649</v>
      </c>
      <c r="M1919" t="s">
        <v>5</v>
      </c>
    </row>
    <row r="1920" spans="1:13">
      <c r="A1920" t="s">
        <v>851</v>
      </c>
      <c r="B1920" t="s">
        <v>687</v>
      </c>
      <c r="C1920" t="s">
        <v>687</v>
      </c>
      <c r="D1920" t="s">
        <v>3185</v>
      </c>
      <c r="E1920" t="s">
        <v>242</v>
      </c>
      <c r="F1920" t="s">
        <v>663</v>
      </c>
      <c r="G1920">
        <v>2050</v>
      </c>
      <c r="H1920" s="12">
        <v>948.6</v>
      </c>
      <c r="I1920" t="s">
        <v>3183</v>
      </c>
      <c r="J1920" t="s">
        <v>5</v>
      </c>
      <c r="K1920" t="s">
        <v>664</v>
      </c>
      <c r="L1920" t="s">
        <v>649</v>
      </c>
      <c r="M1920" t="s">
        <v>5</v>
      </c>
    </row>
    <row r="1921" spans="1:13">
      <c r="A1921" t="s">
        <v>851</v>
      </c>
      <c r="B1921" t="s">
        <v>686</v>
      </c>
      <c r="C1921" t="s">
        <v>686</v>
      </c>
      <c r="D1921" t="s">
        <v>3185</v>
      </c>
      <c r="E1921" t="s">
        <v>242</v>
      </c>
      <c r="F1921" t="s">
        <v>663</v>
      </c>
      <c r="G1921">
        <v>2010</v>
      </c>
      <c r="H1921" s="12">
        <v>2451.2199999999998</v>
      </c>
      <c r="I1921" t="s">
        <v>3183</v>
      </c>
      <c r="J1921" t="s">
        <v>394</v>
      </c>
      <c r="K1921" t="s">
        <v>664</v>
      </c>
      <c r="L1921" t="s">
        <v>649</v>
      </c>
      <c r="M1921" t="s">
        <v>16</v>
      </c>
    </row>
    <row r="1922" spans="1:13">
      <c r="A1922" t="s">
        <v>851</v>
      </c>
      <c r="B1922" t="s">
        <v>686</v>
      </c>
      <c r="C1922" t="s">
        <v>686</v>
      </c>
      <c r="D1922" t="s">
        <v>3185</v>
      </c>
      <c r="E1922" t="s">
        <v>242</v>
      </c>
      <c r="F1922" t="s">
        <v>663</v>
      </c>
      <c r="G1922">
        <v>2015</v>
      </c>
      <c r="H1922" s="12">
        <v>2916.61</v>
      </c>
      <c r="I1922" t="s">
        <v>3183</v>
      </c>
      <c r="J1922" t="s">
        <v>394</v>
      </c>
      <c r="K1922" t="s">
        <v>664</v>
      </c>
      <c r="L1922" t="s">
        <v>649</v>
      </c>
      <c r="M1922" t="s">
        <v>16</v>
      </c>
    </row>
    <row r="1923" spans="1:13">
      <c r="A1923" t="s">
        <v>851</v>
      </c>
      <c r="B1923" t="s">
        <v>686</v>
      </c>
      <c r="C1923" t="s">
        <v>686</v>
      </c>
      <c r="D1923" t="s">
        <v>3185</v>
      </c>
      <c r="E1923" t="s">
        <v>242</v>
      </c>
      <c r="F1923" t="s">
        <v>663</v>
      </c>
      <c r="G1923">
        <v>2020</v>
      </c>
      <c r="H1923" s="12">
        <v>3053.97</v>
      </c>
      <c r="I1923" t="s">
        <v>3183</v>
      </c>
      <c r="J1923" t="s">
        <v>394</v>
      </c>
      <c r="K1923" t="s">
        <v>664</v>
      </c>
      <c r="L1923" t="s">
        <v>649</v>
      </c>
      <c r="M1923" t="s">
        <v>16</v>
      </c>
    </row>
    <row r="1924" spans="1:13">
      <c r="A1924" t="s">
        <v>851</v>
      </c>
      <c r="B1924" t="s">
        <v>686</v>
      </c>
      <c r="C1924" t="s">
        <v>686</v>
      </c>
      <c r="D1924" t="s">
        <v>3185</v>
      </c>
      <c r="E1924" t="s">
        <v>242</v>
      </c>
      <c r="F1924" t="s">
        <v>663</v>
      </c>
      <c r="G1924">
        <v>2030</v>
      </c>
      <c r="H1924" s="12">
        <v>3673.84</v>
      </c>
      <c r="I1924" t="s">
        <v>3183</v>
      </c>
      <c r="J1924" t="s">
        <v>394</v>
      </c>
      <c r="K1924" t="s">
        <v>664</v>
      </c>
      <c r="L1924" t="s">
        <v>649</v>
      </c>
      <c r="M1924" t="s">
        <v>16</v>
      </c>
    </row>
    <row r="1925" spans="1:13">
      <c r="A1925" t="s">
        <v>851</v>
      </c>
      <c r="B1925" t="s">
        <v>686</v>
      </c>
      <c r="C1925" t="s">
        <v>686</v>
      </c>
      <c r="D1925" t="s">
        <v>3185</v>
      </c>
      <c r="E1925" t="s">
        <v>242</v>
      </c>
      <c r="F1925" t="s">
        <v>663</v>
      </c>
      <c r="G1925">
        <v>2035</v>
      </c>
      <c r="H1925" s="12">
        <v>3728.15</v>
      </c>
      <c r="I1925" t="s">
        <v>3183</v>
      </c>
      <c r="J1925" t="s">
        <v>394</v>
      </c>
      <c r="K1925" t="s">
        <v>664</v>
      </c>
      <c r="L1925" t="s">
        <v>649</v>
      </c>
      <c r="M1925" t="s">
        <v>16</v>
      </c>
    </row>
    <row r="1926" spans="1:13">
      <c r="A1926" t="s">
        <v>851</v>
      </c>
      <c r="B1926" t="s">
        <v>686</v>
      </c>
      <c r="C1926" t="s">
        <v>686</v>
      </c>
      <c r="D1926" t="s">
        <v>3185</v>
      </c>
      <c r="E1926" t="s">
        <v>242</v>
      </c>
      <c r="F1926" t="s">
        <v>663</v>
      </c>
      <c r="G1926">
        <v>2040</v>
      </c>
      <c r="H1926" s="12">
        <v>3661.01</v>
      </c>
      <c r="I1926" t="s">
        <v>3183</v>
      </c>
      <c r="J1926" t="s">
        <v>394</v>
      </c>
      <c r="K1926" t="s">
        <v>664</v>
      </c>
      <c r="L1926" t="s">
        <v>649</v>
      </c>
      <c r="M1926" t="s">
        <v>16</v>
      </c>
    </row>
    <row r="1927" spans="1:13">
      <c r="A1927" t="s">
        <v>851</v>
      </c>
      <c r="B1927" t="s">
        <v>686</v>
      </c>
      <c r="C1927" t="s">
        <v>686</v>
      </c>
      <c r="D1927" t="s">
        <v>3185</v>
      </c>
      <c r="E1927" t="s">
        <v>242</v>
      </c>
      <c r="F1927" t="s">
        <v>663</v>
      </c>
      <c r="G1927">
        <v>2045</v>
      </c>
      <c r="H1927" s="12">
        <v>3528.46</v>
      </c>
      <c r="I1927" t="s">
        <v>3183</v>
      </c>
      <c r="J1927" t="s">
        <v>394</v>
      </c>
      <c r="K1927" t="s">
        <v>664</v>
      </c>
      <c r="L1927" t="s">
        <v>649</v>
      </c>
      <c r="M1927" t="s">
        <v>16</v>
      </c>
    </row>
    <row r="1928" spans="1:13">
      <c r="A1928" t="s">
        <v>851</v>
      </c>
      <c r="B1928" t="s">
        <v>686</v>
      </c>
      <c r="C1928" t="s">
        <v>686</v>
      </c>
      <c r="D1928" t="s">
        <v>3185</v>
      </c>
      <c r="E1928" t="s">
        <v>242</v>
      </c>
      <c r="F1928" t="s">
        <v>663</v>
      </c>
      <c r="G1928">
        <v>2050</v>
      </c>
      <c r="H1928" s="12">
        <v>3377.28</v>
      </c>
      <c r="I1928" t="s">
        <v>3183</v>
      </c>
      <c r="J1928" t="s">
        <v>394</v>
      </c>
      <c r="K1928" t="s">
        <v>664</v>
      </c>
      <c r="L1928" t="s">
        <v>649</v>
      </c>
      <c r="M1928" t="s">
        <v>16</v>
      </c>
    </row>
    <row r="1929" spans="1:13">
      <c r="A1929" t="s">
        <v>851</v>
      </c>
      <c r="B1929" t="s">
        <v>687</v>
      </c>
      <c r="C1929" t="s">
        <v>687</v>
      </c>
      <c r="D1929" t="s">
        <v>3185</v>
      </c>
      <c r="E1929" t="s">
        <v>242</v>
      </c>
      <c r="F1929" t="s">
        <v>663</v>
      </c>
      <c r="G1929">
        <v>2030</v>
      </c>
      <c r="H1929" s="12">
        <v>3280.57</v>
      </c>
      <c r="I1929" t="s">
        <v>3183</v>
      </c>
      <c r="J1929" t="s">
        <v>394</v>
      </c>
      <c r="K1929" t="s">
        <v>664</v>
      </c>
      <c r="L1929" t="s">
        <v>649</v>
      </c>
      <c r="M1929" t="s">
        <v>16</v>
      </c>
    </row>
    <row r="1930" spans="1:13">
      <c r="A1930" t="s">
        <v>851</v>
      </c>
      <c r="B1930" t="s">
        <v>687</v>
      </c>
      <c r="C1930" t="s">
        <v>687</v>
      </c>
      <c r="D1930" t="s">
        <v>3185</v>
      </c>
      <c r="E1930" t="s">
        <v>242</v>
      </c>
      <c r="F1930" t="s">
        <v>663</v>
      </c>
      <c r="G1930">
        <v>2035</v>
      </c>
      <c r="H1930" s="12">
        <v>2904.88</v>
      </c>
      <c r="I1930" t="s">
        <v>3183</v>
      </c>
      <c r="J1930" t="s">
        <v>394</v>
      </c>
      <c r="K1930" t="s">
        <v>664</v>
      </c>
      <c r="L1930" t="s">
        <v>649</v>
      </c>
      <c r="M1930" t="s">
        <v>16</v>
      </c>
    </row>
    <row r="1931" spans="1:13">
      <c r="A1931" t="s">
        <v>851</v>
      </c>
      <c r="B1931" t="s">
        <v>687</v>
      </c>
      <c r="C1931" t="s">
        <v>687</v>
      </c>
      <c r="D1931" t="s">
        <v>3185</v>
      </c>
      <c r="E1931" t="s">
        <v>242</v>
      </c>
      <c r="F1931" t="s">
        <v>663</v>
      </c>
      <c r="G1931">
        <v>2040</v>
      </c>
      <c r="H1931" s="12">
        <v>2356.84</v>
      </c>
      <c r="I1931" t="s">
        <v>3183</v>
      </c>
      <c r="J1931" t="s">
        <v>394</v>
      </c>
      <c r="K1931" t="s">
        <v>664</v>
      </c>
      <c r="L1931" t="s">
        <v>649</v>
      </c>
      <c r="M1931" t="s">
        <v>16</v>
      </c>
    </row>
    <row r="1932" spans="1:13">
      <c r="A1932" t="s">
        <v>851</v>
      </c>
      <c r="B1932" t="s">
        <v>687</v>
      </c>
      <c r="C1932" t="s">
        <v>687</v>
      </c>
      <c r="D1932" t="s">
        <v>3185</v>
      </c>
      <c r="E1932" t="s">
        <v>242</v>
      </c>
      <c r="F1932" t="s">
        <v>663</v>
      </c>
      <c r="G1932">
        <v>2045</v>
      </c>
      <c r="H1932" s="12">
        <v>1853.75</v>
      </c>
      <c r="I1932" t="s">
        <v>3183</v>
      </c>
      <c r="J1932" t="s">
        <v>394</v>
      </c>
      <c r="K1932" t="s">
        <v>664</v>
      </c>
      <c r="L1932" t="s">
        <v>649</v>
      </c>
      <c r="M1932" t="s">
        <v>16</v>
      </c>
    </row>
    <row r="1933" spans="1:13">
      <c r="A1933" t="s">
        <v>851</v>
      </c>
      <c r="B1933" t="s">
        <v>687</v>
      </c>
      <c r="C1933" t="s">
        <v>687</v>
      </c>
      <c r="D1933" t="s">
        <v>3185</v>
      </c>
      <c r="E1933" t="s">
        <v>242</v>
      </c>
      <c r="F1933" t="s">
        <v>663</v>
      </c>
      <c r="G1933">
        <v>2050</v>
      </c>
      <c r="H1933" s="12">
        <v>1451.48</v>
      </c>
      <c r="I1933" t="s">
        <v>3183</v>
      </c>
      <c r="J1933" t="s">
        <v>394</v>
      </c>
      <c r="K1933" t="s">
        <v>664</v>
      </c>
      <c r="L1933" t="s">
        <v>649</v>
      </c>
      <c r="M1933" t="s">
        <v>16</v>
      </c>
    </row>
    <row r="1934" spans="1:13">
      <c r="A1934" t="s">
        <v>851</v>
      </c>
      <c r="B1934" t="s">
        <v>686</v>
      </c>
      <c r="C1934" t="s">
        <v>686</v>
      </c>
      <c r="D1934" t="s">
        <v>3185</v>
      </c>
      <c r="E1934" t="s">
        <v>242</v>
      </c>
      <c r="F1934" t="s">
        <v>663</v>
      </c>
      <c r="G1934">
        <v>2010</v>
      </c>
      <c r="H1934" s="12">
        <v>436.34</v>
      </c>
      <c r="I1934" t="s">
        <v>3183</v>
      </c>
      <c r="J1934" t="s">
        <v>6</v>
      </c>
      <c r="K1934" t="s">
        <v>664</v>
      </c>
      <c r="L1934" t="s">
        <v>649</v>
      </c>
      <c r="M1934" t="s">
        <v>659</v>
      </c>
    </row>
    <row r="1935" spans="1:13">
      <c r="A1935" t="s">
        <v>851</v>
      </c>
      <c r="B1935" t="s">
        <v>686</v>
      </c>
      <c r="C1935" t="s">
        <v>686</v>
      </c>
      <c r="D1935" t="s">
        <v>3185</v>
      </c>
      <c r="E1935" t="s">
        <v>242</v>
      </c>
      <c r="F1935" t="s">
        <v>663</v>
      </c>
      <c r="G1935">
        <v>2015</v>
      </c>
      <c r="H1935" s="12">
        <v>550.85</v>
      </c>
      <c r="I1935" t="s">
        <v>3183</v>
      </c>
      <c r="J1935" t="s">
        <v>6</v>
      </c>
      <c r="K1935" t="s">
        <v>664</v>
      </c>
      <c r="L1935" t="s">
        <v>649</v>
      </c>
      <c r="M1935" t="s">
        <v>659</v>
      </c>
    </row>
    <row r="1936" spans="1:13">
      <c r="A1936" t="s">
        <v>851</v>
      </c>
      <c r="B1936" t="s">
        <v>686</v>
      </c>
      <c r="C1936" t="s">
        <v>686</v>
      </c>
      <c r="D1936" t="s">
        <v>3185</v>
      </c>
      <c r="E1936" t="s">
        <v>242</v>
      </c>
      <c r="F1936" t="s">
        <v>663</v>
      </c>
      <c r="G1936">
        <v>2020</v>
      </c>
      <c r="H1936" s="12">
        <v>743.62</v>
      </c>
      <c r="I1936" t="s">
        <v>3183</v>
      </c>
      <c r="J1936" t="s">
        <v>6</v>
      </c>
      <c r="K1936" t="s">
        <v>664</v>
      </c>
      <c r="L1936" t="s">
        <v>649</v>
      </c>
      <c r="M1936" t="s">
        <v>659</v>
      </c>
    </row>
    <row r="1937" spans="1:13">
      <c r="A1937" t="s">
        <v>851</v>
      </c>
      <c r="B1937" t="s">
        <v>686</v>
      </c>
      <c r="C1937" t="s">
        <v>686</v>
      </c>
      <c r="D1937" t="s">
        <v>3185</v>
      </c>
      <c r="E1937" t="s">
        <v>242</v>
      </c>
      <c r="F1937" t="s">
        <v>663</v>
      </c>
      <c r="G1937">
        <v>2030</v>
      </c>
      <c r="H1937" s="12">
        <v>1020.7</v>
      </c>
      <c r="I1937" t="s">
        <v>3183</v>
      </c>
      <c r="J1937" t="s">
        <v>6</v>
      </c>
      <c r="K1937" t="s">
        <v>664</v>
      </c>
      <c r="L1937" t="s">
        <v>649</v>
      </c>
      <c r="M1937" t="s">
        <v>659</v>
      </c>
    </row>
    <row r="1938" spans="1:13">
      <c r="A1938" t="s">
        <v>851</v>
      </c>
      <c r="B1938" t="s">
        <v>686</v>
      </c>
      <c r="C1938" t="s">
        <v>686</v>
      </c>
      <c r="D1938" t="s">
        <v>3185</v>
      </c>
      <c r="E1938" t="s">
        <v>242</v>
      </c>
      <c r="F1938" t="s">
        <v>663</v>
      </c>
      <c r="G1938">
        <v>2035</v>
      </c>
      <c r="H1938" s="12">
        <v>1093.1500000000001</v>
      </c>
      <c r="I1938" t="s">
        <v>3183</v>
      </c>
      <c r="J1938" t="s">
        <v>6</v>
      </c>
      <c r="K1938" t="s">
        <v>664</v>
      </c>
      <c r="L1938" t="s">
        <v>649</v>
      </c>
      <c r="M1938" t="s">
        <v>659</v>
      </c>
    </row>
    <row r="1939" spans="1:13">
      <c r="A1939" t="s">
        <v>851</v>
      </c>
      <c r="B1939" t="s">
        <v>686</v>
      </c>
      <c r="C1939" t="s">
        <v>686</v>
      </c>
      <c r="D1939" t="s">
        <v>3185</v>
      </c>
      <c r="E1939" t="s">
        <v>242</v>
      </c>
      <c r="F1939" t="s">
        <v>663</v>
      </c>
      <c r="G1939">
        <v>2040</v>
      </c>
      <c r="H1939" s="12">
        <v>1145.32</v>
      </c>
      <c r="I1939" t="s">
        <v>3183</v>
      </c>
      <c r="J1939" t="s">
        <v>6</v>
      </c>
      <c r="K1939" t="s">
        <v>664</v>
      </c>
      <c r="L1939" t="s">
        <v>649</v>
      </c>
      <c r="M1939" t="s">
        <v>659</v>
      </c>
    </row>
    <row r="1940" spans="1:13">
      <c r="A1940" t="s">
        <v>851</v>
      </c>
      <c r="B1940" t="s">
        <v>686</v>
      </c>
      <c r="C1940" t="s">
        <v>686</v>
      </c>
      <c r="D1940" t="s">
        <v>3185</v>
      </c>
      <c r="E1940" t="s">
        <v>660</v>
      </c>
      <c r="F1940" t="s">
        <v>40</v>
      </c>
      <c r="G1940">
        <v>2045</v>
      </c>
      <c r="H1940" s="12">
        <v>103836</v>
      </c>
      <c r="I1940" t="s">
        <v>3183</v>
      </c>
      <c r="J1940" t="s">
        <v>5</v>
      </c>
      <c r="K1940" t="s">
        <v>657</v>
      </c>
      <c r="L1940" t="s">
        <v>649</v>
      </c>
      <c r="M1940" t="s">
        <v>5</v>
      </c>
    </row>
    <row r="1941" spans="1:13">
      <c r="A1941" t="s">
        <v>851</v>
      </c>
      <c r="B1941" t="s">
        <v>686</v>
      </c>
      <c r="C1941" t="s">
        <v>686</v>
      </c>
      <c r="D1941" t="s">
        <v>3185</v>
      </c>
      <c r="E1941" t="s">
        <v>660</v>
      </c>
      <c r="F1941" t="s">
        <v>40</v>
      </c>
      <c r="G1941">
        <v>2050</v>
      </c>
      <c r="H1941" s="12">
        <v>95467</v>
      </c>
      <c r="I1941" t="s">
        <v>3183</v>
      </c>
      <c r="J1941" t="s">
        <v>5</v>
      </c>
      <c r="K1941" t="s">
        <v>657</v>
      </c>
      <c r="L1941" t="s">
        <v>649</v>
      </c>
      <c r="M1941" t="s">
        <v>5</v>
      </c>
    </row>
    <row r="1942" spans="1:13">
      <c r="A1942" t="s">
        <v>851</v>
      </c>
      <c r="B1942" t="s">
        <v>687</v>
      </c>
      <c r="C1942" t="s">
        <v>687</v>
      </c>
      <c r="D1942" t="s">
        <v>3185</v>
      </c>
      <c r="E1942" t="s">
        <v>660</v>
      </c>
      <c r="F1942" t="s">
        <v>40</v>
      </c>
      <c r="G1942">
        <v>2030</v>
      </c>
      <c r="H1942" s="12">
        <v>116843</v>
      </c>
      <c r="I1942" t="s">
        <v>3183</v>
      </c>
      <c r="J1942" t="s">
        <v>5</v>
      </c>
      <c r="K1942" t="s">
        <v>657</v>
      </c>
      <c r="L1942" t="s">
        <v>649</v>
      </c>
      <c r="M1942" t="s">
        <v>5</v>
      </c>
    </row>
    <row r="1943" spans="1:13">
      <c r="A1943" t="s">
        <v>851</v>
      </c>
      <c r="B1943" t="s">
        <v>687</v>
      </c>
      <c r="C1943" t="s">
        <v>687</v>
      </c>
      <c r="D1943" t="s">
        <v>3185</v>
      </c>
      <c r="E1943" t="s">
        <v>660</v>
      </c>
      <c r="F1943" t="s">
        <v>40</v>
      </c>
      <c r="G1943">
        <v>2035</v>
      </c>
      <c r="H1943" s="12">
        <v>98306</v>
      </c>
      <c r="I1943" t="s">
        <v>3183</v>
      </c>
      <c r="J1943" t="s">
        <v>5</v>
      </c>
      <c r="K1943" t="s">
        <v>657</v>
      </c>
      <c r="L1943" t="s">
        <v>649</v>
      </c>
      <c r="M1943" t="s">
        <v>5</v>
      </c>
    </row>
    <row r="1944" spans="1:13">
      <c r="A1944" t="s">
        <v>851</v>
      </c>
      <c r="B1944" t="s">
        <v>687</v>
      </c>
      <c r="C1944" t="s">
        <v>687</v>
      </c>
      <c r="D1944" t="s">
        <v>3185</v>
      </c>
      <c r="E1944" t="s">
        <v>660</v>
      </c>
      <c r="F1944" t="s">
        <v>40</v>
      </c>
      <c r="G1944">
        <v>2040</v>
      </c>
      <c r="H1944" s="12">
        <v>71840</v>
      </c>
      <c r="I1944" t="s">
        <v>3183</v>
      </c>
      <c r="J1944" t="s">
        <v>5</v>
      </c>
      <c r="K1944" t="s">
        <v>657</v>
      </c>
      <c r="L1944" t="s">
        <v>649</v>
      </c>
      <c r="M1944" t="s">
        <v>5</v>
      </c>
    </row>
    <row r="1945" spans="1:13">
      <c r="A1945" t="s">
        <v>851</v>
      </c>
      <c r="B1945" t="s">
        <v>687</v>
      </c>
      <c r="C1945" t="s">
        <v>687</v>
      </c>
      <c r="D1945" t="s">
        <v>3185</v>
      </c>
      <c r="E1945" t="s">
        <v>660</v>
      </c>
      <c r="F1945" t="s">
        <v>40</v>
      </c>
      <c r="G1945">
        <v>2045</v>
      </c>
      <c r="H1945" s="12">
        <v>53707</v>
      </c>
      <c r="I1945" t="s">
        <v>3183</v>
      </c>
      <c r="J1945" t="s">
        <v>5</v>
      </c>
      <c r="K1945" t="s">
        <v>657</v>
      </c>
      <c r="L1945" t="s">
        <v>649</v>
      </c>
      <c r="M1945" t="s">
        <v>5</v>
      </c>
    </row>
    <row r="1946" spans="1:13">
      <c r="A1946" t="s">
        <v>851</v>
      </c>
      <c r="B1946" t="s">
        <v>687</v>
      </c>
      <c r="C1946" t="s">
        <v>687</v>
      </c>
      <c r="D1946" t="s">
        <v>3185</v>
      </c>
      <c r="E1946" t="s">
        <v>660</v>
      </c>
      <c r="F1946" t="s">
        <v>40</v>
      </c>
      <c r="G1946">
        <v>2050</v>
      </c>
      <c r="H1946" s="12">
        <v>39104</v>
      </c>
      <c r="I1946" t="s">
        <v>3183</v>
      </c>
      <c r="J1946" t="s">
        <v>5</v>
      </c>
      <c r="K1946" t="s">
        <v>657</v>
      </c>
      <c r="L1946" t="s">
        <v>649</v>
      </c>
      <c r="M1946" t="s">
        <v>5</v>
      </c>
    </row>
    <row r="1947" spans="1:13">
      <c r="A1947" t="s">
        <v>851</v>
      </c>
      <c r="B1947" t="s">
        <v>686</v>
      </c>
      <c r="C1947" t="s">
        <v>686</v>
      </c>
      <c r="D1947" t="s">
        <v>3185</v>
      </c>
      <c r="E1947" t="s">
        <v>242</v>
      </c>
      <c r="F1947" t="s">
        <v>663</v>
      </c>
      <c r="G1947">
        <v>2010</v>
      </c>
      <c r="H1947" s="12">
        <v>5143.9799999999996</v>
      </c>
      <c r="I1947" t="s">
        <v>3183</v>
      </c>
      <c r="J1947" t="s">
        <v>5</v>
      </c>
      <c r="K1947" t="s">
        <v>147</v>
      </c>
      <c r="L1947" t="s">
        <v>649</v>
      </c>
      <c r="M1947" t="s">
        <v>5</v>
      </c>
    </row>
    <row r="1948" spans="1:13">
      <c r="A1948" t="s">
        <v>851</v>
      </c>
      <c r="B1948" t="s">
        <v>686</v>
      </c>
      <c r="C1948" t="s">
        <v>686</v>
      </c>
      <c r="D1948" t="s">
        <v>3185</v>
      </c>
      <c r="E1948" t="s">
        <v>242</v>
      </c>
      <c r="F1948" t="s">
        <v>663</v>
      </c>
      <c r="G1948">
        <v>2015</v>
      </c>
      <c r="H1948" s="12">
        <v>6357.87</v>
      </c>
      <c r="I1948" t="s">
        <v>3183</v>
      </c>
      <c r="J1948" t="s">
        <v>5</v>
      </c>
      <c r="K1948" t="s">
        <v>147</v>
      </c>
      <c r="L1948" t="s">
        <v>649</v>
      </c>
      <c r="M1948" t="s">
        <v>5</v>
      </c>
    </row>
    <row r="1949" spans="1:13">
      <c r="A1949" t="s">
        <v>851</v>
      </c>
      <c r="B1949" t="s">
        <v>686</v>
      </c>
      <c r="C1949" t="s">
        <v>686</v>
      </c>
      <c r="D1949" t="s">
        <v>3185</v>
      </c>
      <c r="E1949" t="s">
        <v>242</v>
      </c>
      <c r="F1949" t="s">
        <v>663</v>
      </c>
      <c r="G1949">
        <v>2020</v>
      </c>
      <c r="H1949" s="12">
        <v>7554.59</v>
      </c>
      <c r="I1949" t="s">
        <v>3183</v>
      </c>
      <c r="J1949" t="s">
        <v>5</v>
      </c>
      <c r="K1949" t="s">
        <v>147</v>
      </c>
      <c r="L1949" t="s">
        <v>649</v>
      </c>
      <c r="M1949" t="s">
        <v>5</v>
      </c>
    </row>
    <row r="1950" spans="1:13">
      <c r="A1950" t="s">
        <v>851</v>
      </c>
      <c r="B1950" t="s">
        <v>686</v>
      </c>
      <c r="C1950" t="s">
        <v>686</v>
      </c>
      <c r="D1950" t="s">
        <v>3185</v>
      </c>
      <c r="E1950" t="s">
        <v>242</v>
      </c>
      <c r="F1950" t="s">
        <v>663</v>
      </c>
      <c r="G1950">
        <v>2030</v>
      </c>
      <c r="H1950" s="12">
        <v>8031.37</v>
      </c>
      <c r="I1950" t="s">
        <v>3183</v>
      </c>
      <c r="J1950" t="s">
        <v>5</v>
      </c>
      <c r="K1950" t="s">
        <v>147</v>
      </c>
      <c r="L1950" t="s">
        <v>649</v>
      </c>
      <c r="M1950" t="s">
        <v>5</v>
      </c>
    </row>
    <row r="1951" spans="1:13">
      <c r="A1951" t="s">
        <v>851</v>
      </c>
      <c r="B1951" t="s">
        <v>686</v>
      </c>
      <c r="C1951" t="s">
        <v>686</v>
      </c>
      <c r="D1951" t="s">
        <v>3185</v>
      </c>
      <c r="E1951" t="s">
        <v>242</v>
      </c>
      <c r="F1951" t="s">
        <v>663</v>
      </c>
      <c r="G1951">
        <v>2035</v>
      </c>
      <c r="H1951" s="12">
        <v>7340.05</v>
      </c>
      <c r="I1951" t="s">
        <v>3183</v>
      </c>
      <c r="J1951" t="s">
        <v>5</v>
      </c>
      <c r="K1951" t="s">
        <v>147</v>
      </c>
      <c r="L1951" t="s">
        <v>649</v>
      </c>
      <c r="M1951" t="s">
        <v>5</v>
      </c>
    </row>
    <row r="1952" spans="1:13">
      <c r="A1952" t="s">
        <v>851</v>
      </c>
      <c r="B1952" t="s">
        <v>686</v>
      </c>
      <c r="C1952" t="s">
        <v>686</v>
      </c>
      <c r="D1952" t="s">
        <v>3185</v>
      </c>
      <c r="E1952" t="s">
        <v>242</v>
      </c>
      <c r="F1952" t="s">
        <v>663</v>
      </c>
      <c r="G1952">
        <v>2040</v>
      </c>
      <c r="H1952" s="12">
        <v>6593.4</v>
      </c>
      <c r="I1952" t="s">
        <v>3183</v>
      </c>
      <c r="J1952" t="s">
        <v>5</v>
      </c>
      <c r="K1952" t="s">
        <v>147</v>
      </c>
      <c r="L1952" t="s">
        <v>649</v>
      </c>
      <c r="M1952" t="s">
        <v>5</v>
      </c>
    </row>
    <row r="1953" spans="1:13">
      <c r="A1953" t="s">
        <v>851</v>
      </c>
      <c r="B1953" t="s">
        <v>686</v>
      </c>
      <c r="C1953" t="s">
        <v>686</v>
      </c>
      <c r="D1953" t="s">
        <v>3185</v>
      </c>
      <c r="E1953" t="s">
        <v>242</v>
      </c>
      <c r="F1953" t="s">
        <v>663</v>
      </c>
      <c r="G1953">
        <v>2045</v>
      </c>
      <c r="H1953" s="12">
        <v>5942.74</v>
      </c>
      <c r="I1953" t="s">
        <v>3183</v>
      </c>
      <c r="J1953" t="s">
        <v>5</v>
      </c>
      <c r="K1953" t="s">
        <v>147</v>
      </c>
      <c r="L1953" t="s">
        <v>649</v>
      </c>
      <c r="M1953" t="s">
        <v>5</v>
      </c>
    </row>
    <row r="1954" spans="1:13">
      <c r="A1954" t="s">
        <v>851</v>
      </c>
      <c r="B1954" t="s">
        <v>686</v>
      </c>
      <c r="C1954" t="s">
        <v>686</v>
      </c>
      <c r="D1954" t="s">
        <v>3185</v>
      </c>
      <c r="E1954" t="s">
        <v>242</v>
      </c>
      <c r="F1954" t="s">
        <v>663</v>
      </c>
      <c r="G1954">
        <v>2050</v>
      </c>
      <c r="H1954" s="12">
        <v>5283.55</v>
      </c>
      <c r="I1954" t="s">
        <v>3183</v>
      </c>
      <c r="J1954" t="s">
        <v>5</v>
      </c>
      <c r="K1954" t="s">
        <v>147</v>
      </c>
      <c r="L1954" t="s">
        <v>649</v>
      </c>
      <c r="M1954" t="s">
        <v>5</v>
      </c>
    </row>
    <row r="1955" spans="1:13">
      <c r="A1955" t="s">
        <v>851</v>
      </c>
      <c r="B1955" t="s">
        <v>687</v>
      </c>
      <c r="C1955" t="s">
        <v>687</v>
      </c>
      <c r="D1955" t="s">
        <v>3185</v>
      </c>
      <c r="E1955" t="s">
        <v>242</v>
      </c>
      <c r="F1955" t="s">
        <v>663</v>
      </c>
      <c r="G1955">
        <v>2030</v>
      </c>
      <c r="H1955" s="12">
        <v>7393.43</v>
      </c>
      <c r="I1955" t="s">
        <v>3183</v>
      </c>
      <c r="J1955" t="s">
        <v>5</v>
      </c>
      <c r="K1955" t="s">
        <v>147</v>
      </c>
      <c r="L1955" t="s">
        <v>649</v>
      </c>
      <c r="M1955" t="s">
        <v>5</v>
      </c>
    </row>
    <row r="1956" spans="1:13">
      <c r="A1956" t="s">
        <v>851</v>
      </c>
      <c r="B1956" t="s">
        <v>687</v>
      </c>
      <c r="C1956" t="s">
        <v>687</v>
      </c>
      <c r="D1956" t="s">
        <v>3185</v>
      </c>
      <c r="E1956" t="s">
        <v>242</v>
      </c>
      <c r="F1956" t="s">
        <v>663</v>
      </c>
      <c r="G1956">
        <v>2035</v>
      </c>
      <c r="H1956" s="12">
        <v>6052.09</v>
      </c>
      <c r="I1956" t="s">
        <v>3183</v>
      </c>
      <c r="J1956" t="s">
        <v>5</v>
      </c>
      <c r="K1956" t="s">
        <v>147</v>
      </c>
      <c r="L1956" t="s">
        <v>649</v>
      </c>
      <c r="M1956" t="s">
        <v>5</v>
      </c>
    </row>
    <row r="1957" spans="1:13">
      <c r="A1957" t="s">
        <v>851</v>
      </c>
      <c r="B1957" t="s">
        <v>687</v>
      </c>
      <c r="C1957" t="s">
        <v>687</v>
      </c>
      <c r="D1957" t="s">
        <v>3185</v>
      </c>
      <c r="E1957" t="s">
        <v>242</v>
      </c>
      <c r="F1957" t="s">
        <v>663</v>
      </c>
      <c r="G1957">
        <v>2040</v>
      </c>
      <c r="H1957" s="12">
        <v>3948.39</v>
      </c>
      <c r="I1957" t="s">
        <v>3183</v>
      </c>
      <c r="J1957" t="s">
        <v>5</v>
      </c>
      <c r="K1957" t="s">
        <v>147</v>
      </c>
      <c r="L1957" t="s">
        <v>649</v>
      </c>
      <c r="M1957" t="s">
        <v>5</v>
      </c>
    </row>
    <row r="1958" spans="1:13">
      <c r="A1958" t="s">
        <v>851</v>
      </c>
      <c r="B1958" t="s">
        <v>687</v>
      </c>
      <c r="C1958" t="s">
        <v>687</v>
      </c>
      <c r="D1958" t="s">
        <v>3185</v>
      </c>
      <c r="E1958" t="s">
        <v>242</v>
      </c>
      <c r="F1958" t="s">
        <v>663</v>
      </c>
      <c r="G1958">
        <v>2045</v>
      </c>
      <c r="H1958" s="12">
        <v>2560.6999999999998</v>
      </c>
      <c r="I1958" t="s">
        <v>3183</v>
      </c>
      <c r="J1958" t="s">
        <v>5</v>
      </c>
      <c r="K1958" t="s">
        <v>147</v>
      </c>
      <c r="L1958" t="s">
        <v>649</v>
      </c>
      <c r="M1958" t="s">
        <v>5</v>
      </c>
    </row>
    <row r="1959" spans="1:13">
      <c r="A1959" t="s">
        <v>851</v>
      </c>
      <c r="B1959" t="s">
        <v>687</v>
      </c>
      <c r="C1959" t="s">
        <v>687</v>
      </c>
      <c r="D1959" t="s">
        <v>3185</v>
      </c>
      <c r="E1959" t="s">
        <v>242</v>
      </c>
      <c r="F1959" t="s">
        <v>663</v>
      </c>
      <c r="G1959">
        <v>2050</v>
      </c>
      <c r="H1959" s="12">
        <v>414.53</v>
      </c>
      <c r="I1959" t="s">
        <v>3183</v>
      </c>
      <c r="J1959" t="s">
        <v>6</v>
      </c>
      <c r="K1959" t="s">
        <v>147</v>
      </c>
      <c r="L1959" t="s">
        <v>649</v>
      </c>
      <c r="M1959" t="s">
        <v>659</v>
      </c>
    </row>
    <row r="1960" spans="1:13">
      <c r="A1960" t="s">
        <v>851</v>
      </c>
      <c r="B1960" t="s">
        <v>686</v>
      </c>
      <c r="C1960" t="s">
        <v>686</v>
      </c>
      <c r="D1960" t="s">
        <v>3185</v>
      </c>
      <c r="E1960" t="s">
        <v>660</v>
      </c>
      <c r="F1960" t="s">
        <v>40</v>
      </c>
      <c r="G1960">
        <v>2015</v>
      </c>
      <c r="H1960" s="12">
        <v>885</v>
      </c>
      <c r="I1960" t="s">
        <v>3183</v>
      </c>
      <c r="J1960" t="s">
        <v>18</v>
      </c>
      <c r="K1960" t="s">
        <v>657</v>
      </c>
      <c r="L1960" t="s">
        <v>649</v>
      </c>
      <c r="M1960" t="s">
        <v>18</v>
      </c>
    </row>
    <row r="1961" spans="1:13">
      <c r="A1961" t="s">
        <v>851</v>
      </c>
      <c r="B1961" t="s">
        <v>686</v>
      </c>
      <c r="C1961" t="s">
        <v>686</v>
      </c>
      <c r="D1961" t="s">
        <v>3185</v>
      </c>
      <c r="E1961" t="s">
        <v>660</v>
      </c>
      <c r="F1961" t="s">
        <v>40</v>
      </c>
      <c r="G1961">
        <v>2020</v>
      </c>
      <c r="H1961" s="12">
        <v>7096</v>
      </c>
      <c r="I1961" t="s">
        <v>3183</v>
      </c>
      <c r="J1961" t="s">
        <v>15</v>
      </c>
      <c r="K1961" t="s">
        <v>657</v>
      </c>
      <c r="L1961" t="s">
        <v>649</v>
      </c>
      <c r="M1961" t="s">
        <v>15</v>
      </c>
    </row>
    <row r="1962" spans="1:13">
      <c r="A1962" t="s">
        <v>851</v>
      </c>
      <c r="B1962" t="s">
        <v>686</v>
      </c>
      <c r="C1962" t="s">
        <v>686</v>
      </c>
      <c r="D1962" t="s">
        <v>3185</v>
      </c>
      <c r="E1962" t="s">
        <v>660</v>
      </c>
      <c r="F1962" t="s">
        <v>40</v>
      </c>
      <c r="G1962">
        <v>2030</v>
      </c>
      <c r="H1962" s="12">
        <v>13793</v>
      </c>
      <c r="I1962" t="s">
        <v>3183</v>
      </c>
      <c r="J1962" t="s">
        <v>15</v>
      </c>
      <c r="K1962" t="s">
        <v>657</v>
      </c>
      <c r="L1962" t="s">
        <v>649</v>
      </c>
      <c r="M1962" t="s">
        <v>15</v>
      </c>
    </row>
    <row r="1963" spans="1:13">
      <c r="A1963" t="s">
        <v>851</v>
      </c>
      <c r="B1963" t="s">
        <v>686</v>
      </c>
      <c r="C1963" t="s">
        <v>686</v>
      </c>
      <c r="D1963" t="s">
        <v>3185</v>
      </c>
      <c r="E1963" t="s">
        <v>660</v>
      </c>
      <c r="F1963" t="s">
        <v>40</v>
      </c>
      <c r="G1963">
        <v>2035</v>
      </c>
      <c r="H1963" s="12">
        <v>17336</v>
      </c>
      <c r="I1963" t="s">
        <v>3183</v>
      </c>
      <c r="J1963" t="s">
        <v>15</v>
      </c>
      <c r="K1963" t="s">
        <v>657</v>
      </c>
      <c r="L1963" t="s">
        <v>649</v>
      </c>
      <c r="M1963" t="s">
        <v>15</v>
      </c>
    </row>
    <row r="1964" spans="1:13">
      <c r="A1964" t="s">
        <v>851</v>
      </c>
      <c r="B1964" t="s">
        <v>686</v>
      </c>
      <c r="C1964" t="s">
        <v>686</v>
      </c>
      <c r="D1964" t="s">
        <v>3185</v>
      </c>
      <c r="E1964" t="s">
        <v>660</v>
      </c>
      <c r="F1964" t="s">
        <v>40</v>
      </c>
      <c r="G1964">
        <v>2040</v>
      </c>
      <c r="H1964" s="12">
        <v>19789</v>
      </c>
      <c r="I1964" t="s">
        <v>3183</v>
      </c>
      <c r="J1964" t="s">
        <v>15</v>
      </c>
      <c r="K1964" t="s">
        <v>657</v>
      </c>
      <c r="L1964" t="s">
        <v>649</v>
      </c>
      <c r="M1964" t="s">
        <v>15</v>
      </c>
    </row>
    <row r="1965" spans="1:13">
      <c r="A1965" t="s">
        <v>851</v>
      </c>
      <c r="B1965" t="s">
        <v>686</v>
      </c>
      <c r="C1965" t="s">
        <v>686</v>
      </c>
      <c r="D1965" t="s">
        <v>3185</v>
      </c>
      <c r="E1965" t="s">
        <v>660</v>
      </c>
      <c r="F1965" t="s">
        <v>40</v>
      </c>
      <c r="G1965">
        <v>2045</v>
      </c>
      <c r="H1965" s="12">
        <v>21431</v>
      </c>
      <c r="I1965" t="s">
        <v>3183</v>
      </c>
      <c r="J1965" t="s">
        <v>15</v>
      </c>
      <c r="K1965" t="s">
        <v>657</v>
      </c>
      <c r="L1965" t="s">
        <v>649</v>
      </c>
      <c r="M1965" t="s">
        <v>15</v>
      </c>
    </row>
    <row r="1966" spans="1:13">
      <c r="A1966" t="s">
        <v>851</v>
      </c>
      <c r="B1966" t="s">
        <v>686</v>
      </c>
      <c r="C1966" t="s">
        <v>686</v>
      </c>
      <c r="D1966" t="s">
        <v>3185</v>
      </c>
      <c r="E1966" t="s">
        <v>660</v>
      </c>
      <c r="F1966" t="s">
        <v>40</v>
      </c>
      <c r="G1966">
        <v>2050</v>
      </c>
      <c r="H1966" s="12">
        <v>22946</v>
      </c>
      <c r="I1966" t="s">
        <v>3183</v>
      </c>
      <c r="J1966" t="s">
        <v>15</v>
      </c>
      <c r="K1966" t="s">
        <v>657</v>
      </c>
      <c r="L1966" t="s">
        <v>649</v>
      </c>
      <c r="M1966" t="s">
        <v>15</v>
      </c>
    </row>
    <row r="1967" spans="1:13">
      <c r="A1967" t="s">
        <v>851</v>
      </c>
      <c r="B1967" t="s">
        <v>687</v>
      </c>
      <c r="C1967" t="s">
        <v>687</v>
      </c>
      <c r="D1967" t="s">
        <v>3185</v>
      </c>
      <c r="E1967" t="s">
        <v>660</v>
      </c>
      <c r="F1967" t="s">
        <v>40</v>
      </c>
      <c r="G1967">
        <v>2030</v>
      </c>
      <c r="H1967" s="12">
        <v>14914</v>
      </c>
      <c r="I1967" t="s">
        <v>3183</v>
      </c>
      <c r="J1967" t="s">
        <v>15</v>
      </c>
      <c r="K1967" t="s">
        <v>657</v>
      </c>
      <c r="L1967" t="s">
        <v>649</v>
      </c>
      <c r="M1967" t="s">
        <v>15</v>
      </c>
    </row>
    <row r="1968" spans="1:13">
      <c r="A1968" t="s">
        <v>851</v>
      </c>
      <c r="B1968" t="s">
        <v>687</v>
      </c>
      <c r="C1968" t="s">
        <v>687</v>
      </c>
      <c r="D1968" t="s">
        <v>3185</v>
      </c>
      <c r="E1968" t="s">
        <v>660</v>
      </c>
      <c r="F1968" t="s">
        <v>40</v>
      </c>
      <c r="G1968">
        <v>2035</v>
      </c>
      <c r="H1968" s="12">
        <v>18736</v>
      </c>
      <c r="I1968" t="s">
        <v>3183</v>
      </c>
      <c r="J1968" t="s">
        <v>15</v>
      </c>
      <c r="K1968" t="s">
        <v>657</v>
      </c>
      <c r="L1968" t="s">
        <v>649</v>
      </c>
      <c r="M1968" t="s">
        <v>15</v>
      </c>
    </row>
    <row r="1969" spans="1:13">
      <c r="A1969" t="s">
        <v>851</v>
      </c>
      <c r="B1969" t="s">
        <v>687</v>
      </c>
      <c r="C1969" t="s">
        <v>687</v>
      </c>
      <c r="D1969" t="s">
        <v>3185</v>
      </c>
      <c r="E1969" t="s">
        <v>660</v>
      </c>
      <c r="F1969" t="s">
        <v>40</v>
      </c>
      <c r="G1969">
        <v>2040</v>
      </c>
      <c r="H1969" s="12">
        <v>23118</v>
      </c>
      <c r="I1969" t="s">
        <v>3183</v>
      </c>
      <c r="J1969" t="s">
        <v>15</v>
      </c>
      <c r="K1969" t="s">
        <v>657</v>
      </c>
      <c r="L1969" t="s">
        <v>649</v>
      </c>
      <c r="M1969" t="s">
        <v>15</v>
      </c>
    </row>
    <row r="1970" spans="1:13">
      <c r="A1970" t="s">
        <v>851</v>
      </c>
      <c r="B1970" t="s">
        <v>687</v>
      </c>
      <c r="C1970" t="s">
        <v>687</v>
      </c>
      <c r="D1970" t="s">
        <v>3185</v>
      </c>
      <c r="E1970" t="s">
        <v>660</v>
      </c>
      <c r="F1970" t="s">
        <v>40</v>
      </c>
      <c r="G1970">
        <v>2045</v>
      </c>
      <c r="H1970" s="12">
        <v>25638</v>
      </c>
      <c r="I1970" t="s">
        <v>3183</v>
      </c>
      <c r="J1970" t="s">
        <v>15</v>
      </c>
      <c r="K1970" t="s">
        <v>657</v>
      </c>
      <c r="L1970" t="s">
        <v>649</v>
      </c>
      <c r="M1970" t="s">
        <v>15</v>
      </c>
    </row>
    <row r="1971" spans="1:13">
      <c r="A1971" t="s">
        <v>851</v>
      </c>
      <c r="B1971" t="s">
        <v>687</v>
      </c>
      <c r="C1971" t="s">
        <v>687</v>
      </c>
      <c r="D1971" t="s">
        <v>3185</v>
      </c>
      <c r="E1971" t="s">
        <v>660</v>
      </c>
      <c r="F1971" t="s">
        <v>40</v>
      </c>
      <c r="G1971">
        <v>2050</v>
      </c>
      <c r="H1971" s="12">
        <v>28392</v>
      </c>
      <c r="I1971" t="s">
        <v>3183</v>
      </c>
      <c r="J1971" t="s">
        <v>15</v>
      </c>
      <c r="K1971" t="s">
        <v>657</v>
      </c>
      <c r="L1971" t="s">
        <v>649</v>
      </c>
      <c r="M1971" t="s">
        <v>15</v>
      </c>
    </row>
    <row r="1972" spans="1:13">
      <c r="A1972" t="s">
        <v>851</v>
      </c>
      <c r="B1972" t="s">
        <v>686</v>
      </c>
      <c r="C1972" t="s">
        <v>686</v>
      </c>
      <c r="D1972" t="s">
        <v>3185</v>
      </c>
      <c r="E1972" t="s">
        <v>660</v>
      </c>
      <c r="F1972" t="s">
        <v>40</v>
      </c>
      <c r="G1972">
        <v>2010</v>
      </c>
      <c r="H1972" s="12">
        <v>20280</v>
      </c>
      <c r="I1972" t="s">
        <v>3183</v>
      </c>
      <c r="J1972" t="s">
        <v>6</v>
      </c>
      <c r="K1972" t="s">
        <v>657</v>
      </c>
      <c r="L1972" t="s">
        <v>649</v>
      </c>
      <c r="M1972" t="s">
        <v>659</v>
      </c>
    </row>
    <row r="1973" spans="1:13">
      <c r="A1973" t="s">
        <v>851</v>
      </c>
      <c r="B1973" t="s">
        <v>686</v>
      </c>
      <c r="C1973" t="s">
        <v>686</v>
      </c>
      <c r="D1973" t="s">
        <v>3185</v>
      </c>
      <c r="E1973" t="s">
        <v>660</v>
      </c>
      <c r="F1973" t="s">
        <v>40</v>
      </c>
      <c r="G1973">
        <v>2015</v>
      </c>
      <c r="H1973" s="12">
        <v>25017</v>
      </c>
      <c r="I1973" t="s">
        <v>3183</v>
      </c>
      <c r="J1973" t="s">
        <v>6</v>
      </c>
      <c r="K1973" t="s">
        <v>657</v>
      </c>
      <c r="L1973" t="s">
        <v>649</v>
      </c>
      <c r="M1973" t="s">
        <v>659</v>
      </c>
    </row>
    <row r="1974" spans="1:13">
      <c r="A1974" t="s">
        <v>851</v>
      </c>
      <c r="B1974" t="s">
        <v>686</v>
      </c>
      <c r="C1974" t="s">
        <v>686</v>
      </c>
      <c r="D1974" t="s">
        <v>3185</v>
      </c>
      <c r="E1974" t="s">
        <v>660</v>
      </c>
      <c r="F1974" t="s">
        <v>40</v>
      </c>
      <c r="G1974">
        <v>2020</v>
      </c>
      <c r="H1974" s="12">
        <v>29892</v>
      </c>
      <c r="I1974" t="s">
        <v>3183</v>
      </c>
      <c r="J1974" t="s">
        <v>6</v>
      </c>
      <c r="K1974" t="s">
        <v>657</v>
      </c>
      <c r="L1974" t="s">
        <v>649</v>
      </c>
      <c r="M1974" t="s">
        <v>659</v>
      </c>
    </row>
    <row r="1975" spans="1:13">
      <c r="A1975" t="s">
        <v>851</v>
      </c>
      <c r="B1975" t="s">
        <v>686</v>
      </c>
      <c r="C1975" t="s">
        <v>686</v>
      </c>
      <c r="D1975" t="s">
        <v>3185</v>
      </c>
      <c r="E1975" t="s">
        <v>660</v>
      </c>
      <c r="F1975" t="s">
        <v>40</v>
      </c>
      <c r="G1975">
        <v>2030</v>
      </c>
      <c r="H1975" s="12">
        <v>35703</v>
      </c>
      <c r="I1975" t="s">
        <v>3183</v>
      </c>
      <c r="J1975" t="s">
        <v>6</v>
      </c>
      <c r="K1975" t="s">
        <v>657</v>
      </c>
      <c r="L1975" t="s">
        <v>649</v>
      </c>
      <c r="M1975" t="s">
        <v>659</v>
      </c>
    </row>
    <row r="1976" spans="1:13">
      <c r="A1976" t="s">
        <v>851</v>
      </c>
      <c r="B1976" t="s">
        <v>686</v>
      </c>
      <c r="C1976" t="s">
        <v>686</v>
      </c>
      <c r="D1976" t="s">
        <v>3185</v>
      </c>
      <c r="E1976" t="s">
        <v>660</v>
      </c>
      <c r="F1976" t="s">
        <v>40</v>
      </c>
      <c r="G1976">
        <v>2035</v>
      </c>
      <c r="H1976" s="12">
        <v>37473</v>
      </c>
      <c r="I1976" t="s">
        <v>3183</v>
      </c>
      <c r="J1976" t="s">
        <v>6</v>
      </c>
      <c r="K1976" t="s">
        <v>657</v>
      </c>
      <c r="L1976" t="s">
        <v>649</v>
      </c>
      <c r="M1976" t="s">
        <v>659</v>
      </c>
    </row>
    <row r="1977" spans="1:13">
      <c r="A1977" t="s">
        <v>851</v>
      </c>
      <c r="B1977" t="s">
        <v>686</v>
      </c>
      <c r="C1977" t="s">
        <v>686</v>
      </c>
      <c r="D1977" t="s">
        <v>3185</v>
      </c>
      <c r="E1977" t="s">
        <v>660</v>
      </c>
      <c r="F1977" t="s">
        <v>40</v>
      </c>
      <c r="G1977">
        <v>2040</v>
      </c>
      <c r="H1977" s="12">
        <v>39018</v>
      </c>
      <c r="I1977" t="s">
        <v>3183</v>
      </c>
      <c r="J1977" t="s">
        <v>6</v>
      </c>
      <c r="K1977" t="s">
        <v>657</v>
      </c>
      <c r="L1977" t="s">
        <v>649</v>
      </c>
      <c r="M1977" t="s">
        <v>659</v>
      </c>
    </row>
    <row r="1978" spans="1:13">
      <c r="A1978" t="s">
        <v>851</v>
      </c>
      <c r="B1978" t="s">
        <v>686</v>
      </c>
      <c r="C1978" t="s">
        <v>686</v>
      </c>
      <c r="D1978" t="s">
        <v>3185</v>
      </c>
      <c r="E1978" t="s">
        <v>660</v>
      </c>
      <c r="F1978" t="s">
        <v>40</v>
      </c>
      <c r="G1978">
        <v>2045</v>
      </c>
      <c r="H1978" s="12">
        <v>39844</v>
      </c>
      <c r="I1978" t="s">
        <v>3183</v>
      </c>
      <c r="J1978" t="s">
        <v>6</v>
      </c>
      <c r="K1978" t="s">
        <v>657</v>
      </c>
      <c r="L1978" t="s">
        <v>649</v>
      </c>
      <c r="M1978" t="s">
        <v>659</v>
      </c>
    </row>
    <row r="1979" spans="1:13">
      <c r="A1979" t="s">
        <v>851</v>
      </c>
      <c r="B1979" t="s">
        <v>686</v>
      </c>
      <c r="C1979" t="s">
        <v>686</v>
      </c>
      <c r="D1979" t="s">
        <v>3185</v>
      </c>
      <c r="E1979" t="s">
        <v>660</v>
      </c>
      <c r="F1979" t="s">
        <v>40</v>
      </c>
      <c r="G1979">
        <v>2050</v>
      </c>
      <c r="H1979" s="12">
        <v>40160</v>
      </c>
      <c r="I1979" t="s">
        <v>3183</v>
      </c>
      <c r="J1979" t="s">
        <v>6</v>
      </c>
      <c r="K1979" t="s">
        <v>657</v>
      </c>
      <c r="L1979" t="s">
        <v>649</v>
      </c>
      <c r="M1979" t="s">
        <v>659</v>
      </c>
    </row>
    <row r="1980" spans="1:13">
      <c r="A1980" t="s">
        <v>851</v>
      </c>
      <c r="B1980" t="s">
        <v>687</v>
      </c>
      <c r="C1980" t="s">
        <v>687</v>
      </c>
      <c r="D1980" t="s">
        <v>3185</v>
      </c>
      <c r="E1980" t="s">
        <v>660</v>
      </c>
      <c r="F1980" t="s">
        <v>40</v>
      </c>
      <c r="G1980">
        <v>2030</v>
      </c>
      <c r="H1980" s="12">
        <v>33570</v>
      </c>
      <c r="I1980" t="s">
        <v>3183</v>
      </c>
      <c r="J1980" t="s">
        <v>6</v>
      </c>
      <c r="K1980" t="s">
        <v>657</v>
      </c>
      <c r="L1980" t="s">
        <v>649</v>
      </c>
      <c r="M1980" t="s">
        <v>659</v>
      </c>
    </row>
    <row r="1981" spans="1:13">
      <c r="A1981" t="s">
        <v>851</v>
      </c>
      <c r="B1981" t="s">
        <v>687</v>
      </c>
      <c r="C1981" t="s">
        <v>687</v>
      </c>
      <c r="D1981" t="s">
        <v>3185</v>
      </c>
      <c r="E1981" t="s">
        <v>660</v>
      </c>
      <c r="F1981" t="s">
        <v>40</v>
      </c>
      <c r="G1981">
        <v>2035</v>
      </c>
      <c r="H1981" s="12">
        <v>32866</v>
      </c>
      <c r="I1981" t="s">
        <v>3183</v>
      </c>
      <c r="J1981" t="s">
        <v>6</v>
      </c>
      <c r="K1981" t="s">
        <v>657</v>
      </c>
      <c r="L1981" t="s">
        <v>649</v>
      </c>
      <c r="M1981" t="s">
        <v>659</v>
      </c>
    </row>
    <row r="1982" spans="1:13">
      <c r="A1982" t="s">
        <v>851</v>
      </c>
      <c r="B1982" t="s">
        <v>687</v>
      </c>
      <c r="C1982" t="s">
        <v>687</v>
      </c>
      <c r="D1982" t="s">
        <v>3185</v>
      </c>
      <c r="E1982" t="s">
        <v>660</v>
      </c>
      <c r="F1982" t="s">
        <v>40</v>
      </c>
      <c r="G1982">
        <v>2040</v>
      </c>
      <c r="H1982" s="12">
        <v>31157</v>
      </c>
      <c r="I1982" t="s">
        <v>3183</v>
      </c>
      <c r="J1982" t="s">
        <v>6</v>
      </c>
      <c r="K1982" t="s">
        <v>657</v>
      </c>
      <c r="L1982" t="s">
        <v>649</v>
      </c>
      <c r="M1982" t="s">
        <v>659</v>
      </c>
    </row>
    <row r="1983" spans="1:13">
      <c r="A1983" t="s">
        <v>851</v>
      </c>
      <c r="B1983" t="s">
        <v>687</v>
      </c>
      <c r="C1983" t="s">
        <v>687</v>
      </c>
      <c r="D1983" t="s">
        <v>3185</v>
      </c>
      <c r="E1983" t="s">
        <v>660</v>
      </c>
      <c r="F1983" t="s">
        <v>40</v>
      </c>
      <c r="G1983">
        <v>2045</v>
      </c>
      <c r="H1983" s="12">
        <v>28414</v>
      </c>
      <c r="I1983" t="s">
        <v>3183</v>
      </c>
      <c r="J1983" t="s">
        <v>6</v>
      </c>
      <c r="K1983" t="s">
        <v>657</v>
      </c>
      <c r="L1983" t="s">
        <v>649</v>
      </c>
      <c r="M1983" t="s">
        <v>659</v>
      </c>
    </row>
    <row r="1984" spans="1:13">
      <c r="A1984" t="s">
        <v>851</v>
      </c>
      <c r="B1984" t="s">
        <v>687</v>
      </c>
      <c r="C1984" t="s">
        <v>687</v>
      </c>
      <c r="D1984" t="s">
        <v>3185</v>
      </c>
      <c r="E1984" t="s">
        <v>660</v>
      </c>
      <c r="F1984" t="s">
        <v>40</v>
      </c>
      <c r="G1984">
        <v>2050</v>
      </c>
      <c r="H1984" s="12">
        <v>25305</v>
      </c>
      <c r="I1984" t="s">
        <v>3183</v>
      </c>
      <c r="J1984" t="s">
        <v>6</v>
      </c>
      <c r="K1984" t="s">
        <v>657</v>
      </c>
      <c r="L1984" t="s">
        <v>649</v>
      </c>
      <c r="M1984" t="s">
        <v>659</v>
      </c>
    </row>
    <row r="1985" spans="1:13">
      <c r="A1985" t="s">
        <v>851</v>
      </c>
      <c r="B1985" t="s">
        <v>686</v>
      </c>
      <c r="C1985" t="s">
        <v>686</v>
      </c>
      <c r="D1985" t="s">
        <v>3185</v>
      </c>
      <c r="E1985" t="s">
        <v>660</v>
      </c>
      <c r="F1985" t="s">
        <v>40</v>
      </c>
      <c r="G1985">
        <v>2010</v>
      </c>
      <c r="H1985" s="12">
        <v>50701</v>
      </c>
      <c r="I1985" t="s">
        <v>3183</v>
      </c>
      <c r="J1985" t="s">
        <v>394</v>
      </c>
      <c r="K1985" t="s">
        <v>657</v>
      </c>
      <c r="L1985" t="s">
        <v>649</v>
      </c>
      <c r="M1985" t="s">
        <v>16</v>
      </c>
    </row>
    <row r="1986" spans="1:13">
      <c r="A1986" t="s">
        <v>851</v>
      </c>
      <c r="B1986" t="s">
        <v>686</v>
      </c>
      <c r="C1986" t="s">
        <v>686</v>
      </c>
      <c r="D1986" t="s">
        <v>3185</v>
      </c>
      <c r="E1986" t="s">
        <v>660</v>
      </c>
      <c r="F1986" t="s">
        <v>40</v>
      </c>
      <c r="G1986">
        <v>2015</v>
      </c>
      <c r="H1986" s="12">
        <v>58288</v>
      </c>
      <c r="I1986" t="s">
        <v>3183</v>
      </c>
      <c r="J1986" t="s">
        <v>394</v>
      </c>
      <c r="K1986" t="s">
        <v>657</v>
      </c>
      <c r="L1986" t="s">
        <v>649</v>
      </c>
      <c r="M1986" t="s">
        <v>16</v>
      </c>
    </row>
    <row r="1987" spans="1:13">
      <c r="A1987" t="s">
        <v>851</v>
      </c>
      <c r="B1987" t="s">
        <v>686</v>
      </c>
      <c r="C1987" t="s">
        <v>686</v>
      </c>
      <c r="D1987" t="s">
        <v>3185</v>
      </c>
      <c r="E1987" t="s">
        <v>660</v>
      </c>
      <c r="F1987" t="s">
        <v>40</v>
      </c>
      <c r="G1987">
        <v>2020</v>
      </c>
      <c r="H1987" s="12">
        <v>61935</v>
      </c>
      <c r="I1987" t="s">
        <v>3183</v>
      </c>
      <c r="J1987" t="s">
        <v>394</v>
      </c>
      <c r="K1987" t="s">
        <v>657</v>
      </c>
      <c r="L1987" t="s">
        <v>649</v>
      </c>
      <c r="M1987" t="s">
        <v>16</v>
      </c>
    </row>
    <row r="1988" spans="1:13">
      <c r="A1988" t="s">
        <v>851</v>
      </c>
      <c r="B1988" t="s">
        <v>686</v>
      </c>
      <c r="C1988" t="s">
        <v>686</v>
      </c>
      <c r="D1988" t="s">
        <v>3185</v>
      </c>
      <c r="E1988" t="s">
        <v>660</v>
      </c>
      <c r="F1988" t="s">
        <v>40</v>
      </c>
      <c r="G1988">
        <v>2030</v>
      </c>
      <c r="H1988" s="12">
        <v>74057</v>
      </c>
      <c r="I1988" t="s">
        <v>3183</v>
      </c>
      <c r="J1988" t="s">
        <v>394</v>
      </c>
      <c r="K1988" t="s">
        <v>657</v>
      </c>
      <c r="L1988" t="s">
        <v>649</v>
      </c>
      <c r="M1988" t="s">
        <v>16</v>
      </c>
    </row>
    <row r="1989" spans="1:13">
      <c r="A1989" t="s">
        <v>851</v>
      </c>
      <c r="B1989" t="s">
        <v>686</v>
      </c>
      <c r="C1989" t="s">
        <v>686</v>
      </c>
      <c r="D1989" t="s">
        <v>3185</v>
      </c>
      <c r="E1989" t="s">
        <v>660</v>
      </c>
      <c r="F1989" t="s">
        <v>40</v>
      </c>
      <c r="G1989">
        <v>2035</v>
      </c>
      <c r="H1989" s="12">
        <v>75295</v>
      </c>
      <c r="I1989" t="s">
        <v>3183</v>
      </c>
      <c r="J1989" t="s">
        <v>394</v>
      </c>
      <c r="K1989" t="s">
        <v>657</v>
      </c>
      <c r="L1989" t="s">
        <v>649</v>
      </c>
      <c r="M1989" t="s">
        <v>16</v>
      </c>
    </row>
    <row r="1990" spans="1:13">
      <c r="A1990" t="s">
        <v>851</v>
      </c>
      <c r="B1990" t="s">
        <v>686</v>
      </c>
      <c r="C1990" t="s">
        <v>686</v>
      </c>
      <c r="D1990" t="s">
        <v>3185</v>
      </c>
      <c r="E1990" t="s">
        <v>660</v>
      </c>
      <c r="F1990" t="s">
        <v>40</v>
      </c>
      <c r="G1990">
        <v>2040</v>
      </c>
      <c r="H1990" s="12">
        <v>74350</v>
      </c>
      <c r="I1990" t="s">
        <v>3183</v>
      </c>
      <c r="J1990" t="s">
        <v>394</v>
      </c>
      <c r="K1990" t="s">
        <v>657</v>
      </c>
      <c r="L1990" t="s">
        <v>649</v>
      </c>
      <c r="M1990" t="s">
        <v>16</v>
      </c>
    </row>
    <row r="1991" spans="1:13">
      <c r="A1991" t="s">
        <v>851</v>
      </c>
      <c r="B1991" t="s">
        <v>686</v>
      </c>
      <c r="C1991" t="s">
        <v>686</v>
      </c>
      <c r="D1991" t="s">
        <v>3185</v>
      </c>
      <c r="E1991" t="s">
        <v>660</v>
      </c>
      <c r="F1991" t="s">
        <v>40</v>
      </c>
      <c r="G1991">
        <v>2045</v>
      </c>
      <c r="H1991" s="12">
        <v>72546</v>
      </c>
      <c r="I1991" t="s">
        <v>3183</v>
      </c>
      <c r="J1991" t="s">
        <v>394</v>
      </c>
      <c r="K1991" t="s">
        <v>657</v>
      </c>
      <c r="L1991" t="s">
        <v>649</v>
      </c>
      <c r="M1991" t="s">
        <v>16</v>
      </c>
    </row>
    <row r="1992" spans="1:13">
      <c r="A1992" t="s">
        <v>851</v>
      </c>
      <c r="B1992" t="s">
        <v>686</v>
      </c>
      <c r="C1992" t="s">
        <v>686</v>
      </c>
      <c r="D1992" t="s">
        <v>3185</v>
      </c>
      <c r="E1992" t="s">
        <v>660</v>
      </c>
      <c r="F1992" t="s">
        <v>40</v>
      </c>
      <c r="G1992">
        <v>2050</v>
      </c>
      <c r="H1992" s="12">
        <v>70355</v>
      </c>
      <c r="I1992" t="s">
        <v>3183</v>
      </c>
      <c r="J1992" t="s">
        <v>394</v>
      </c>
      <c r="K1992" t="s">
        <v>657</v>
      </c>
      <c r="L1992" t="s">
        <v>649</v>
      </c>
      <c r="M1992" t="s">
        <v>16</v>
      </c>
    </row>
    <row r="1993" spans="1:13">
      <c r="A1993" t="s">
        <v>851</v>
      </c>
      <c r="B1993" t="s">
        <v>687</v>
      </c>
      <c r="C1993" t="s">
        <v>687</v>
      </c>
      <c r="D1993" t="s">
        <v>3185</v>
      </c>
      <c r="E1993" t="s">
        <v>660</v>
      </c>
      <c r="F1993" t="s">
        <v>40</v>
      </c>
      <c r="G1993">
        <v>2030</v>
      </c>
      <c r="H1993" s="12">
        <v>67958</v>
      </c>
      <c r="I1993" t="s">
        <v>3183</v>
      </c>
      <c r="J1993" t="s">
        <v>394</v>
      </c>
      <c r="K1993" t="s">
        <v>657</v>
      </c>
      <c r="L1993" t="s">
        <v>649</v>
      </c>
      <c r="M1993" t="s">
        <v>16</v>
      </c>
    </row>
    <row r="1994" spans="1:13">
      <c r="A1994" t="s">
        <v>851</v>
      </c>
      <c r="B1994" t="s">
        <v>687</v>
      </c>
      <c r="C1994" t="s">
        <v>687</v>
      </c>
      <c r="D1994" t="s">
        <v>3185</v>
      </c>
      <c r="E1994" t="s">
        <v>660</v>
      </c>
      <c r="F1994" t="s">
        <v>40</v>
      </c>
      <c r="G1994">
        <v>2035</v>
      </c>
      <c r="H1994" s="12">
        <v>62378</v>
      </c>
      <c r="I1994" t="s">
        <v>3183</v>
      </c>
      <c r="J1994" t="s">
        <v>394</v>
      </c>
      <c r="K1994" t="s">
        <v>657</v>
      </c>
      <c r="L1994" t="s">
        <v>649</v>
      </c>
      <c r="M1994" t="s">
        <v>16</v>
      </c>
    </row>
    <row r="1995" spans="1:13">
      <c r="A1995" t="s">
        <v>851</v>
      </c>
      <c r="B1995" t="s">
        <v>687</v>
      </c>
      <c r="C1995" t="s">
        <v>687</v>
      </c>
      <c r="D1995" t="s">
        <v>3185</v>
      </c>
      <c r="E1995" t="s">
        <v>660</v>
      </c>
      <c r="F1995" t="s">
        <v>40</v>
      </c>
      <c r="G1995">
        <v>2040</v>
      </c>
      <c r="H1995" s="12">
        <v>53987</v>
      </c>
      <c r="I1995" t="s">
        <v>3183</v>
      </c>
      <c r="J1995" t="s">
        <v>394</v>
      </c>
      <c r="K1995" t="s">
        <v>657</v>
      </c>
      <c r="L1995" t="s">
        <v>649</v>
      </c>
      <c r="M1995" t="s">
        <v>16</v>
      </c>
    </row>
    <row r="1996" spans="1:13">
      <c r="A1996" t="s">
        <v>851</v>
      </c>
      <c r="B1996" t="s">
        <v>687</v>
      </c>
      <c r="C1996" t="s">
        <v>687</v>
      </c>
      <c r="D1996" t="s">
        <v>3185</v>
      </c>
      <c r="E1996" t="s">
        <v>660</v>
      </c>
      <c r="F1996" t="s">
        <v>40</v>
      </c>
      <c r="G1996">
        <v>2045</v>
      </c>
      <c r="H1996" s="12">
        <v>46136</v>
      </c>
      <c r="I1996" t="s">
        <v>3183</v>
      </c>
      <c r="J1996" t="s">
        <v>394</v>
      </c>
      <c r="K1996" t="s">
        <v>657</v>
      </c>
      <c r="L1996" t="s">
        <v>649</v>
      </c>
      <c r="M1996" t="s">
        <v>16</v>
      </c>
    </row>
    <row r="1997" spans="1:13">
      <c r="A1997" t="s">
        <v>851</v>
      </c>
      <c r="B1997" t="s">
        <v>687</v>
      </c>
      <c r="C1997" t="s">
        <v>687</v>
      </c>
      <c r="D1997" t="s">
        <v>3185</v>
      </c>
      <c r="E1997" t="s">
        <v>660</v>
      </c>
      <c r="F1997" t="s">
        <v>40</v>
      </c>
      <c r="G1997">
        <v>2050</v>
      </c>
      <c r="H1997" s="12">
        <v>39625</v>
      </c>
      <c r="I1997" t="s">
        <v>3183</v>
      </c>
      <c r="J1997" t="s">
        <v>394</v>
      </c>
      <c r="K1997" t="s">
        <v>657</v>
      </c>
      <c r="L1997" t="s">
        <v>649</v>
      </c>
      <c r="M1997" t="s">
        <v>16</v>
      </c>
    </row>
    <row r="1998" spans="1:13">
      <c r="A1998" t="s">
        <v>851</v>
      </c>
      <c r="B1998" t="s">
        <v>686</v>
      </c>
      <c r="C1998" t="s">
        <v>686</v>
      </c>
      <c r="D1998" t="s">
        <v>3185</v>
      </c>
      <c r="E1998" t="s">
        <v>646</v>
      </c>
      <c r="F1998" t="s">
        <v>40</v>
      </c>
      <c r="G1998">
        <v>2010</v>
      </c>
      <c r="H1998" s="12">
        <v>9313</v>
      </c>
      <c r="I1998" t="s">
        <v>3183</v>
      </c>
      <c r="J1998" t="s">
        <v>394</v>
      </c>
      <c r="K1998" t="s">
        <v>272</v>
      </c>
      <c r="L1998" t="s">
        <v>649</v>
      </c>
      <c r="M1998" t="s">
        <v>16</v>
      </c>
    </row>
    <row r="1999" spans="1:13">
      <c r="A1999" t="s">
        <v>851</v>
      </c>
      <c r="B1999" t="s">
        <v>686</v>
      </c>
      <c r="C1999" t="s">
        <v>686</v>
      </c>
      <c r="D1999" t="s">
        <v>3185</v>
      </c>
      <c r="E1999" t="s">
        <v>646</v>
      </c>
      <c r="F1999" t="s">
        <v>40</v>
      </c>
      <c r="G1999">
        <v>2015</v>
      </c>
      <c r="H1999" s="12">
        <v>11229</v>
      </c>
      <c r="I1999" t="s">
        <v>3183</v>
      </c>
      <c r="J1999" t="s">
        <v>394</v>
      </c>
      <c r="K1999" t="s">
        <v>272</v>
      </c>
      <c r="L1999" t="s">
        <v>649</v>
      </c>
      <c r="M1999" t="s">
        <v>16</v>
      </c>
    </row>
    <row r="2000" spans="1:13">
      <c r="A2000" t="s">
        <v>851</v>
      </c>
      <c r="B2000" t="s">
        <v>686</v>
      </c>
      <c r="C2000" t="s">
        <v>686</v>
      </c>
      <c r="D2000" t="s">
        <v>3185</v>
      </c>
      <c r="E2000" t="s">
        <v>646</v>
      </c>
      <c r="F2000" t="s">
        <v>40</v>
      </c>
      <c r="G2000">
        <v>2020</v>
      </c>
      <c r="H2000" s="12">
        <v>12962</v>
      </c>
      <c r="I2000" t="s">
        <v>3183</v>
      </c>
      <c r="J2000" t="s">
        <v>394</v>
      </c>
      <c r="K2000" t="s">
        <v>272</v>
      </c>
      <c r="L2000" t="s">
        <v>649</v>
      </c>
      <c r="M2000" t="s">
        <v>16</v>
      </c>
    </row>
    <row r="2001" spans="1:13">
      <c r="A2001" t="s">
        <v>851</v>
      </c>
      <c r="B2001" t="s">
        <v>686</v>
      </c>
      <c r="C2001" t="s">
        <v>686</v>
      </c>
      <c r="D2001" t="s">
        <v>3185</v>
      </c>
      <c r="E2001" t="s">
        <v>646</v>
      </c>
      <c r="F2001" t="s">
        <v>40</v>
      </c>
      <c r="G2001">
        <v>2030</v>
      </c>
      <c r="H2001" s="12">
        <v>17604</v>
      </c>
      <c r="I2001" t="s">
        <v>3183</v>
      </c>
      <c r="J2001" t="s">
        <v>394</v>
      </c>
      <c r="K2001" t="s">
        <v>272</v>
      </c>
      <c r="L2001" t="s">
        <v>649</v>
      </c>
      <c r="M2001" t="s">
        <v>16</v>
      </c>
    </row>
    <row r="2002" spans="1:13">
      <c r="A2002" t="s">
        <v>851</v>
      </c>
      <c r="B2002" t="s">
        <v>686</v>
      </c>
      <c r="C2002" t="s">
        <v>686</v>
      </c>
      <c r="D2002" t="s">
        <v>3185</v>
      </c>
      <c r="E2002" t="s">
        <v>646</v>
      </c>
      <c r="F2002" t="s">
        <v>40</v>
      </c>
      <c r="G2002">
        <v>2035</v>
      </c>
      <c r="H2002" s="12">
        <v>18656</v>
      </c>
      <c r="I2002" t="s">
        <v>3183</v>
      </c>
      <c r="J2002" t="s">
        <v>394</v>
      </c>
      <c r="K2002" t="s">
        <v>272</v>
      </c>
      <c r="L2002" t="s">
        <v>649</v>
      </c>
      <c r="M2002" t="s">
        <v>16</v>
      </c>
    </row>
    <row r="2003" spans="1:13">
      <c r="A2003" t="s">
        <v>851</v>
      </c>
      <c r="B2003" t="s">
        <v>686</v>
      </c>
      <c r="C2003" t="s">
        <v>686</v>
      </c>
      <c r="D2003" t="s">
        <v>3185</v>
      </c>
      <c r="E2003" t="s">
        <v>646</v>
      </c>
      <c r="F2003" t="s">
        <v>40</v>
      </c>
      <c r="G2003">
        <v>2040</v>
      </c>
      <c r="H2003" s="12">
        <v>19378</v>
      </c>
      <c r="I2003" t="s">
        <v>3183</v>
      </c>
      <c r="J2003" t="s">
        <v>394</v>
      </c>
      <c r="K2003" t="s">
        <v>272</v>
      </c>
      <c r="L2003" t="s">
        <v>649</v>
      </c>
      <c r="M2003" t="s">
        <v>16</v>
      </c>
    </row>
    <row r="2004" spans="1:13">
      <c r="A2004" t="s">
        <v>851</v>
      </c>
      <c r="B2004" t="s">
        <v>686</v>
      </c>
      <c r="C2004" t="s">
        <v>686</v>
      </c>
      <c r="D2004" t="s">
        <v>3185</v>
      </c>
      <c r="E2004" t="s">
        <v>646</v>
      </c>
      <c r="F2004" t="s">
        <v>40</v>
      </c>
      <c r="G2004">
        <v>2045</v>
      </c>
      <c r="H2004" s="12">
        <v>19771</v>
      </c>
      <c r="I2004" t="s">
        <v>3183</v>
      </c>
      <c r="J2004" t="s">
        <v>394</v>
      </c>
      <c r="K2004" t="s">
        <v>272</v>
      </c>
      <c r="L2004" t="s">
        <v>649</v>
      </c>
      <c r="M2004" t="s">
        <v>16</v>
      </c>
    </row>
    <row r="2005" spans="1:13">
      <c r="A2005" t="s">
        <v>851</v>
      </c>
      <c r="B2005" t="s">
        <v>686</v>
      </c>
      <c r="C2005" t="s">
        <v>686</v>
      </c>
      <c r="D2005" t="s">
        <v>3185</v>
      </c>
      <c r="E2005" t="s">
        <v>646</v>
      </c>
      <c r="F2005" t="s">
        <v>40</v>
      </c>
      <c r="G2005">
        <v>2050</v>
      </c>
      <c r="H2005" s="12">
        <v>19897</v>
      </c>
      <c r="I2005" t="s">
        <v>3183</v>
      </c>
      <c r="J2005" t="s">
        <v>394</v>
      </c>
      <c r="K2005" t="s">
        <v>272</v>
      </c>
      <c r="L2005" t="s">
        <v>649</v>
      </c>
      <c r="M2005" t="s">
        <v>16</v>
      </c>
    </row>
    <row r="2006" spans="1:13">
      <c r="A2006" t="s">
        <v>851</v>
      </c>
      <c r="B2006" t="s">
        <v>687</v>
      </c>
      <c r="C2006" t="s">
        <v>687</v>
      </c>
      <c r="D2006" t="s">
        <v>3185</v>
      </c>
      <c r="E2006" t="s">
        <v>646</v>
      </c>
      <c r="F2006" t="s">
        <v>40</v>
      </c>
      <c r="G2006">
        <v>2030</v>
      </c>
      <c r="H2006" s="12">
        <v>16941</v>
      </c>
      <c r="I2006" t="s">
        <v>3183</v>
      </c>
      <c r="J2006" t="s">
        <v>394</v>
      </c>
      <c r="K2006" t="s">
        <v>272</v>
      </c>
      <c r="L2006" t="s">
        <v>649</v>
      </c>
      <c r="M2006" t="s">
        <v>16</v>
      </c>
    </row>
    <row r="2007" spans="1:13">
      <c r="A2007" t="s">
        <v>851</v>
      </c>
      <c r="B2007" t="s">
        <v>687</v>
      </c>
      <c r="C2007" t="s">
        <v>687</v>
      </c>
      <c r="D2007" t="s">
        <v>3185</v>
      </c>
      <c r="E2007" t="s">
        <v>646</v>
      </c>
      <c r="F2007" t="s">
        <v>40</v>
      </c>
      <c r="G2007">
        <v>2035</v>
      </c>
      <c r="H2007" s="12">
        <v>17406</v>
      </c>
      <c r="I2007" t="s">
        <v>3183</v>
      </c>
      <c r="J2007" t="s">
        <v>394</v>
      </c>
      <c r="K2007" t="s">
        <v>272</v>
      </c>
      <c r="L2007" t="s">
        <v>649</v>
      </c>
      <c r="M2007" t="s">
        <v>16</v>
      </c>
    </row>
    <row r="2008" spans="1:13">
      <c r="A2008" t="s">
        <v>851</v>
      </c>
      <c r="B2008" t="s">
        <v>687</v>
      </c>
      <c r="C2008" t="s">
        <v>687</v>
      </c>
      <c r="D2008" t="s">
        <v>3185</v>
      </c>
      <c r="E2008" t="s">
        <v>646</v>
      </c>
      <c r="F2008" t="s">
        <v>40</v>
      </c>
      <c r="G2008">
        <v>2040</v>
      </c>
      <c r="H2008" s="12">
        <v>17416</v>
      </c>
      <c r="I2008" t="s">
        <v>3183</v>
      </c>
      <c r="J2008" t="s">
        <v>394</v>
      </c>
      <c r="K2008" t="s">
        <v>272</v>
      </c>
      <c r="L2008" t="s">
        <v>649</v>
      </c>
      <c r="M2008" t="s">
        <v>16</v>
      </c>
    </row>
    <row r="2009" spans="1:13">
      <c r="A2009" t="s">
        <v>851</v>
      </c>
      <c r="B2009" t="s">
        <v>687</v>
      </c>
      <c r="C2009" t="s">
        <v>687</v>
      </c>
      <c r="D2009" t="s">
        <v>3185</v>
      </c>
      <c r="E2009" t="s">
        <v>646</v>
      </c>
      <c r="F2009" t="s">
        <v>40</v>
      </c>
      <c r="G2009">
        <v>2045</v>
      </c>
      <c r="H2009" s="12">
        <v>17035</v>
      </c>
      <c r="I2009" t="s">
        <v>3183</v>
      </c>
      <c r="J2009" t="s">
        <v>394</v>
      </c>
      <c r="K2009" t="s">
        <v>272</v>
      </c>
      <c r="L2009" t="s">
        <v>649</v>
      </c>
      <c r="M2009" t="s">
        <v>16</v>
      </c>
    </row>
    <row r="2010" spans="1:13">
      <c r="A2010" t="s">
        <v>851</v>
      </c>
      <c r="B2010" t="s">
        <v>687</v>
      </c>
      <c r="C2010" t="s">
        <v>687</v>
      </c>
      <c r="D2010" t="s">
        <v>3185</v>
      </c>
      <c r="E2010" t="s">
        <v>646</v>
      </c>
      <c r="F2010" t="s">
        <v>40</v>
      </c>
      <c r="G2010">
        <v>2050</v>
      </c>
      <c r="H2010" s="12">
        <v>16428</v>
      </c>
      <c r="I2010" t="s">
        <v>3183</v>
      </c>
      <c r="J2010" t="s">
        <v>394</v>
      </c>
      <c r="K2010" t="s">
        <v>272</v>
      </c>
      <c r="L2010" t="s">
        <v>649</v>
      </c>
      <c r="M2010" t="s">
        <v>16</v>
      </c>
    </row>
    <row r="2011" spans="1:13">
      <c r="A2011" t="s">
        <v>851</v>
      </c>
      <c r="B2011" t="s">
        <v>686</v>
      </c>
      <c r="C2011" t="s">
        <v>686</v>
      </c>
      <c r="D2011" t="s">
        <v>3185</v>
      </c>
      <c r="E2011" t="s">
        <v>660</v>
      </c>
      <c r="F2011" t="s">
        <v>40</v>
      </c>
      <c r="G2011">
        <v>2010</v>
      </c>
      <c r="H2011" s="12">
        <v>102961</v>
      </c>
      <c r="I2011" t="s">
        <v>3183</v>
      </c>
      <c r="J2011" t="s">
        <v>5</v>
      </c>
      <c r="K2011" t="s">
        <v>657</v>
      </c>
      <c r="L2011" t="s">
        <v>649</v>
      </c>
      <c r="M2011" t="s">
        <v>5</v>
      </c>
    </row>
    <row r="2012" spans="1:13">
      <c r="A2012" t="s">
        <v>851</v>
      </c>
      <c r="B2012" t="s">
        <v>686</v>
      </c>
      <c r="C2012" t="s">
        <v>686</v>
      </c>
      <c r="D2012" t="s">
        <v>3185</v>
      </c>
      <c r="E2012" t="s">
        <v>660</v>
      </c>
      <c r="F2012" t="s">
        <v>40</v>
      </c>
      <c r="G2012">
        <v>2015</v>
      </c>
      <c r="H2012" s="12">
        <v>117004</v>
      </c>
      <c r="I2012" t="s">
        <v>3183</v>
      </c>
      <c r="J2012" t="s">
        <v>5</v>
      </c>
      <c r="K2012" t="s">
        <v>657</v>
      </c>
      <c r="L2012" t="s">
        <v>649</v>
      </c>
      <c r="M2012" t="s">
        <v>5</v>
      </c>
    </row>
    <row r="2013" spans="1:13">
      <c r="A2013" t="s">
        <v>851</v>
      </c>
      <c r="B2013" t="s">
        <v>686</v>
      </c>
      <c r="C2013" t="s">
        <v>686</v>
      </c>
      <c r="D2013" t="s">
        <v>3185</v>
      </c>
      <c r="E2013" t="s">
        <v>660</v>
      </c>
      <c r="F2013" t="s">
        <v>40</v>
      </c>
      <c r="G2013">
        <v>2020</v>
      </c>
      <c r="H2013" s="12">
        <v>124720</v>
      </c>
      <c r="I2013" t="s">
        <v>3183</v>
      </c>
      <c r="J2013" t="s">
        <v>5</v>
      </c>
      <c r="K2013" t="s">
        <v>657</v>
      </c>
      <c r="L2013" t="s">
        <v>649</v>
      </c>
      <c r="M2013" t="s">
        <v>5</v>
      </c>
    </row>
    <row r="2014" spans="1:13">
      <c r="A2014" t="s">
        <v>851</v>
      </c>
      <c r="B2014" t="s">
        <v>686</v>
      </c>
      <c r="C2014" t="s">
        <v>686</v>
      </c>
      <c r="D2014" t="s">
        <v>3185</v>
      </c>
      <c r="E2014" t="s">
        <v>660</v>
      </c>
      <c r="F2014" t="s">
        <v>40</v>
      </c>
      <c r="G2014">
        <v>2030</v>
      </c>
      <c r="H2014" s="12">
        <v>130261</v>
      </c>
      <c r="I2014" t="s">
        <v>3183</v>
      </c>
      <c r="J2014" t="s">
        <v>5</v>
      </c>
      <c r="K2014" t="s">
        <v>657</v>
      </c>
      <c r="L2014" t="s">
        <v>649</v>
      </c>
      <c r="M2014" t="s">
        <v>5</v>
      </c>
    </row>
    <row r="2015" spans="1:13">
      <c r="A2015" t="s">
        <v>851</v>
      </c>
      <c r="B2015" t="s">
        <v>686</v>
      </c>
      <c r="C2015" t="s">
        <v>686</v>
      </c>
      <c r="D2015" t="s">
        <v>3185</v>
      </c>
      <c r="E2015" t="s">
        <v>660</v>
      </c>
      <c r="F2015" t="s">
        <v>40</v>
      </c>
      <c r="G2015">
        <v>2035</v>
      </c>
      <c r="H2015" s="12">
        <v>121250</v>
      </c>
      <c r="I2015" t="s">
        <v>3183</v>
      </c>
      <c r="J2015" t="s">
        <v>5</v>
      </c>
      <c r="K2015" t="s">
        <v>657</v>
      </c>
      <c r="L2015" t="s">
        <v>649</v>
      </c>
      <c r="M2015" t="s">
        <v>5</v>
      </c>
    </row>
    <row r="2016" spans="1:13">
      <c r="A2016" t="s">
        <v>851</v>
      </c>
      <c r="B2016" t="s">
        <v>686</v>
      </c>
      <c r="C2016" t="s">
        <v>686</v>
      </c>
      <c r="D2016" t="s">
        <v>3185</v>
      </c>
      <c r="E2016" t="s">
        <v>660</v>
      </c>
      <c r="F2016" t="s">
        <v>40</v>
      </c>
      <c r="G2016">
        <v>2040</v>
      </c>
      <c r="H2016" s="12">
        <v>111844</v>
      </c>
      <c r="I2016" t="s">
        <v>3183</v>
      </c>
      <c r="J2016" t="s">
        <v>5</v>
      </c>
      <c r="K2016" t="s">
        <v>657</v>
      </c>
      <c r="L2016" t="s">
        <v>649</v>
      </c>
      <c r="M2016" t="s">
        <v>5</v>
      </c>
    </row>
    <row r="2017" spans="1:13">
      <c r="A2017" t="s">
        <v>851</v>
      </c>
      <c r="B2017" t="s">
        <v>686</v>
      </c>
      <c r="C2017" t="s">
        <v>686</v>
      </c>
      <c r="D2017" t="s">
        <v>3185</v>
      </c>
      <c r="E2017" t="s">
        <v>573</v>
      </c>
      <c r="F2017" t="s">
        <v>40</v>
      </c>
      <c r="G2017">
        <v>2010</v>
      </c>
      <c r="H2017" s="12">
        <v>6349</v>
      </c>
      <c r="I2017" t="s">
        <v>3183</v>
      </c>
      <c r="J2017" t="s">
        <v>15</v>
      </c>
      <c r="K2017" t="s">
        <v>147</v>
      </c>
      <c r="L2017" t="s">
        <v>649</v>
      </c>
      <c r="M2017" t="s">
        <v>15</v>
      </c>
    </row>
    <row r="2018" spans="1:13">
      <c r="A2018" t="s">
        <v>851</v>
      </c>
      <c r="B2018" t="s">
        <v>686</v>
      </c>
      <c r="C2018" t="s">
        <v>686</v>
      </c>
      <c r="D2018" t="s">
        <v>3185</v>
      </c>
      <c r="E2018" t="s">
        <v>573</v>
      </c>
      <c r="F2018" t="s">
        <v>40</v>
      </c>
      <c r="G2018">
        <v>2015</v>
      </c>
      <c r="H2018" s="12">
        <v>4620</v>
      </c>
      <c r="I2018" t="s">
        <v>3183</v>
      </c>
      <c r="J2018" t="s">
        <v>15</v>
      </c>
      <c r="K2018" t="s">
        <v>147</v>
      </c>
      <c r="L2018" t="s">
        <v>649</v>
      </c>
      <c r="M2018" t="s">
        <v>15</v>
      </c>
    </row>
    <row r="2019" spans="1:13">
      <c r="A2019" t="s">
        <v>851</v>
      </c>
      <c r="B2019" t="s">
        <v>686</v>
      </c>
      <c r="C2019" t="s">
        <v>686</v>
      </c>
      <c r="D2019" t="s">
        <v>3185</v>
      </c>
      <c r="E2019" t="s">
        <v>573</v>
      </c>
      <c r="F2019" t="s">
        <v>40</v>
      </c>
      <c r="G2019">
        <v>2020</v>
      </c>
      <c r="H2019" s="12">
        <v>7096</v>
      </c>
      <c r="I2019" t="s">
        <v>3183</v>
      </c>
      <c r="J2019" t="s">
        <v>15</v>
      </c>
      <c r="K2019" t="s">
        <v>147</v>
      </c>
      <c r="L2019" t="s">
        <v>649</v>
      </c>
      <c r="M2019" t="s">
        <v>15</v>
      </c>
    </row>
    <row r="2020" spans="1:13">
      <c r="A2020" t="s">
        <v>851</v>
      </c>
      <c r="B2020" t="s">
        <v>686</v>
      </c>
      <c r="C2020" t="s">
        <v>686</v>
      </c>
      <c r="D2020" t="s">
        <v>3185</v>
      </c>
      <c r="E2020" t="s">
        <v>573</v>
      </c>
      <c r="F2020" t="s">
        <v>40</v>
      </c>
      <c r="G2020">
        <v>2030</v>
      </c>
      <c r="H2020" s="12">
        <v>13793</v>
      </c>
      <c r="I2020" t="s">
        <v>3183</v>
      </c>
      <c r="J2020" t="s">
        <v>15</v>
      </c>
      <c r="K2020" t="s">
        <v>147</v>
      </c>
      <c r="L2020" t="s">
        <v>649</v>
      </c>
      <c r="M2020" t="s">
        <v>15</v>
      </c>
    </row>
    <row r="2021" spans="1:13">
      <c r="A2021" t="s">
        <v>851</v>
      </c>
      <c r="B2021" t="s">
        <v>686</v>
      </c>
      <c r="C2021" t="s">
        <v>686</v>
      </c>
      <c r="D2021" t="s">
        <v>3185</v>
      </c>
      <c r="E2021" t="s">
        <v>573</v>
      </c>
      <c r="F2021" t="s">
        <v>40</v>
      </c>
      <c r="G2021">
        <v>2035</v>
      </c>
      <c r="H2021" s="12">
        <v>17336</v>
      </c>
      <c r="I2021" t="s">
        <v>3183</v>
      </c>
      <c r="J2021" t="s">
        <v>15</v>
      </c>
      <c r="K2021" t="s">
        <v>147</v>
      </c>
      <c r="L2021" t="s">
        <v>649</v>
      </c>
      <c r="M2021" t="s">
        <v>15</v>
      </c>
    </row>
    <row r="2022" spans="1:13">
      <c r="A2022" t="s">
        <v>851</v>
      </c>
      <c r="B2022" t="s">
        <v>686</v>
      </c>
      <c r="C2022" t="s">
        <v>686</v>
      </c>
      <c r="D2022" t="s">
        <v>3185</v>
      </c>
      <c r="E2022" t="s">
        <v>573</v>
      </c>
      <c r="F2022" t="s">
        <v>40</v>
      </c>
      <c r="G2022">
        <v>2040</v>
      </c>
      <c r="H2022" s="12">
        <v>19789</v>
      </c>
      <c r="I2022" t="s">
        <v>3183</v>
      </c>
      <c r="J2022" t="s">
        <v>15</v>
      </c>
      <c r="K2022" t="s">
        <v>147</v>
      </c>
      <c r="L2022" t="s">
        <v>649</v>
      </c>
      <c r="M2022" t="s">
        <v>15</v>
      </c>
    </row>
    <row r="2023" spans="1:13">
      <c r="A2023" t="s">
        <v>851</v>
      </c>
      <c r="B2023" t="s">
        <v>686</v>
      </c>
      <c r="C2023" t="s">
        <v>686</v>
      </c>
      <c r="D2023" t="s">
        <v>3185</v>
      </c>
      <c r="E2023" t="s">
        <v>573</v>
      </c>
      <c r="F2023" t="s">
        <v>40</v>
      </c>
      <c r="G2023">
        <v>2045</v>
      </c>
      <c r="H2023" s="12">
        <v>21431</v>
      </c>
      <c r="I2023" t="s">
        <v>3183</v>
      </c>
      <c r="J2023" t="s">
        <v>15</v>
      </c>
      <c r="K2023" t="s">
        <v>147</v>
      </c>
      <c r="L2023" t="s">
        <v>649</v>
      </c>
      <c r="M2023" t="s">
        <v>15</v>
      </c>
    </row>
    <row r="2024" spans="1:13">
      <c r="A2024" t="s">
        <v>851</v>
      </c>
      <c r="B2024" t="s">
        <v>686</v>
      </c>
      <c r="C2024" t="s">
        <v>686</v>
      </c>
      <c r="D2024" t="s">
        <v>3185</v>
      </c>
      <c r="E2024" t="s">
        <v>573</v>
      </c>
      <c r="F2024" t="s">
        <v>40</v>
      </c>
      <c r="G2024">
        <v>2050</v>
      </c>
      <c r="H2024" s="12">
        <v>22946</v>
      </c>
      <c r="I2024" t="s">
        <v>3183</v>
      </c>
      <c r="J2024" t="s">
        <v>15</v>
      </c>
      <c r="K2024" t="s">
        <v>147</v>
      </c>
      <c r="L2024" t="s">
        <v>649</v>
      </c>
      <c r="M2024" t="s">
        <v>15</v>
      </c>
    </row>
    <row r="2025" spans="1:13">
      <c r="A2025" t="s">
        <v>851</v>
      </c>
      <c r="B2025" t="s">
        <v>687</v>
      </c>
      <c r="C2025" t="s">
        <v>687</v>
      </c>
      <c r="D2025" t="s">
        <v>3185</v>
      </c>
      <c r="E2025" t="s">
        <v>573</v>
      </c>
      <c r="F2025" t="s">
        <v>40</v>
      </c>
      <c r="G2025">
        <v>2030</v>
      </c>
      <c r="H2025" s="12">
        <v>14914</v>
      </c>
      <c r="I2025" t="s">
        <v>3183</v>
      </c>
      <c r="J2025" t="s">
        <v>15</v>
      </c>
      <c r="K2025" t="s">
        <v>147</v>
      </c>
      <c r="L2025" t="s">
        <v>649</v>
      </c>
      <c r="M2025" t="s">
        <v>15</v>
      </c>
    </row>
    <row r="2026" spans="1:13">
      <c r="A2026" t="s">
        <v>851</v>
      </c>
      <c r="B2026" t="s">
        <v>687</v>
      </c>
      <c r="C2026" t="s">
        <v>687</v>
      </c>
      <c r="D2026" t="s">
        <v>3185</v>
      </c>
      <c r="E2026" t="s">
        <v>573</v>
      </c>
      <c r="F2026" t="s">
        <v>40</v>
      </c>
      <c r="G2026">
        <v>2035</v>
      </c>
      <c r="H2026" s="12">
        <v>18736</v>
      </c>
      <c r="I2026" t="s">
        <v>3183</v>
      </c>
      <c r="J2026" t="s">
        <v>15</v>
      </c>
      <c r="K2026" t="s">
        <v>147</v>
      </c>
      <c r="L2026" t="s">
        <v>649</v>
      </c>
      <c r="M2026" t="s">
        <v>15</v>
      </c>
    </row>
    <row r="2027" spans="1:13">
      <c r="A2027" t="s">
        <v>851</v>
      </c>
      <c r="B2027" t="s">
        <v>687</v>
      </c>
      <c r="C2027" t="s">
        <v>687</v>
      </c>
      <c r="D2027" t="s">
        <v>3185</v>
      </c>
      <c r="E2027" t="s">
        <v>573</v>
      </c>
      <c r="F2027" t="s">
        <v>40</v>
      </c>
      <c r="G2027">
        <v>2040</v>
      </c>
      <c r="H2027" s="12">
        <v>23118</v>
      </c>
      <c r="I2027" t="s">
        <v>3183</v>
      </c>
      <c r="J2027" t="s">
        <v>15</v>
      </c>
      <c r="K2027" t="s">
        <v>147</v>
      </c>
      <c r="L2027" t="s">
        <v>649</v>
      </c>
      <c r="M2027" t="s">
        <v>15</v>
      </c>
    </row>
    <row r="2028" spans="1:13">
      <c r="A2028" t="s">
        <v>851</v>
      </c>
      <c r="B2028" t="s">
        <v>687</v>
      </c>
      <c r="C2028" t="s">
        <v>687</v>
      </c>
      <c r="D2028" t="s">
        <v>3185</v>
      </c>
      <c r="E2028" t="s">
        <v>573</v>
      </c>
      <c r="F2028" t="s">
        <v>40</v>
      </c>
      <c r="G2028">
        <v>2045</v>
      </c>
      <c r="H2028" s="12">
        <v>25638</v>
      </c>
      <c r="I2028" t="s">
        <v>3183</v>
      </c>
      <c r="J2028" t="s">
        <v>15</v>
      </c>
      <c r="K2028" t="s">
        <v>147</v>
      </c>
      <c r="L2028" t="s">
        <v>649</v>
      </c>
      <c r="M2028" t="s">
        <v>15</v>
      </c>
    </row>
    <row r="2029" spans="1:13">
      <c r="A2029" t="s">
        <v>851</v>
      </c>
      <c r="B2029" t="s">
        <v>687</v>
      </c>
      <c r="C2029" t="s">
        <v>687</v>
      </c>
      <c r="D2029" t="s">
        <v>3185</v>
      </c>
      <c r="E2029" t="s">
        <v>573</v>
      </c>
      <c r="F2029" t="s">
        <v>40</v>
      </c>
      <c r="G2029">
        <v>2050</v>
      </c>
      <c r="H2029" s="12">
        <v>28392</v>
      </c>
      <c r="I2029" t="s">
        <v>3183</v>
      </c>
      <c r="J2029" t="s">
        <v>15</v>
      </c>
      <c r="K2029" t="s">
        <v>147</v>
      </c>
      <c r="L2029" t="s">
        <v>649</v>
      </c>
      <c r="M2029" t="s">
        <v>15</v>
      </c>
    </row>
    <row r="2030" spans="1:13">
      <c r="A2030" t="s">
        <v>851</v>
      </c>
      <c r="B2030" t="s">
        <v>686</v>
      </c>
      <c r="C2030" t="s">
        <v>686</v>
      </c>
      <c r="D2030" t="s">
        <v>3185</v>
      </c>
      <c r="E2030" t="s">
        <v>573</v>
      </c>
      <c r="F2030" t="s">
        <v>40</v>
      </c>
      <c r="G2030">
        <v>2010</v>
      </c>
      <c r="H2030" s="12">
        <v>9503</v>
      </c>
      <c r="I2030" t="s">
        <v>3183</v>
      </c>
      <c r="J2030" t="s">
        <v>6</v>
      </c>
      <c r="K2030" t="s">
        <v>147</v>
      </c>
      <c r="L2030" t="s">
        <v>649</v>
      </c>
      <c r="M2030" t="s">
        <v>659</v>
      </c>
    </row>
    <row r="2031" spans="1:13">
      <c r="A2031" t="s">
        <v>851</v>
      </c>
      <c r="B2031" t="s">
        <v>686</v>
      </c>
      <c r="C2031" t="s">
        <v>686</v>
      </c>
      <c r="D2031" t="s">
        <v>3185</v>
      </c>
      <c r="E2031" t="s">
        <v>573</v>
      </c>
      <c r="F2031" t="s">
        <v>40</v>
      </c>
      <c r="G2031">
        <v>2015</v>
      </c>
      <c r="H2031" s="12">
        <v>10849</v>
      </c>
      <c r="I2031" t="s">
        <v>3183</v>
      </c>
      <c r="J2031" t="s">
        <v>6</v>
      </c>
      <c r="K2031" t="s">
        <v>147</v>
      </c>
      <c r="L2031" t="s">
        <v>649</v>
      </c>
      <c r="M2031" t="s">
        <v>659</v>
      </c>
    </row>
    <row r="2032" spans="1:13">
      <c r="A2032" t="s">
        <v>851</v>
      </c>
      <c r="B2032" t="s">
        <v>686</v>
      </c>
      <c r="C2032" t="s">
        <v>686</v>
      </c>
      <c r="D2032" t="s">
        <v>3185</v>
      </c>
      <c r="E2032" t="s">
        <v>573</v>
      </c>
      <c r="F2032" t="s">
        <v>40</v>
      </c>
      <c r="G2032">
        <v>2020</v>
      </c>
      <c r="H2032" s="12">
        <v>11819</v>
      </c>
      <c r="I2032" t="s">
        <v>3183</v>
      </c>
      <c r="J2032" t="s">
        <v>6</v>
      </c>
      <c r="K2032" t="s">
        <v>147</v>
      </c>
      <c r="L2032" t="s">
        <v>649</v>
      </c>
      <c r="M2032" t="s">
        <v>659</v>
      </c>
    </row>
    <row r="2033" spans="1:13">
      <c r="A2033" t="s">
        <v>851</v>
      </c>
      <c r="B2033" t="s">
        <v>686</v>
      </c>
      <c r="C2033" t="s">
        <v>686</v>
      </c>
      <c r="D2033" t="s">
        <v>3185</v>
      </c>
      <c r="E2033" t="s">
        <v>573</v>
      </c>
      <c r="F2033" t="s">
        <v>40</v>
      </c>
      <c r="G2033">
        <v>2030</v>
      </c>
      <c r="H2033" s="12">
        <v>12447</v>
      </c>
      <c r="I2033" t="s">
        <v>3183</v>
      </c>
      <c r="J2033" t="s">
        <v>6</v>
      </c>
      <c r="K2033" t="s">
        <v>147</v>
      </c>
      <c r="L2033" t="s">
        <v>649</v>
      </c>
      <c r="M2033" t="s">
        <v>659</v>
      </c>
    </row>
    <row r="2034" spans="1:13">
      <c r="A2034" t="s">
        <v>851</v>
      </c>
      <c r="B2034" t="s">
        <v>686</v>
      </c>
      <c r="C2034" t="s">
        <v>686</v>
      </c>
      <c r="D2034" t="s">
        <v>3185</v>
      </c>
      <c r="E2034" t="s">
        <v>573</v>
      </c>
      <c r="F2034" t="s">
        <v>40</v>
      </c>
      <c r="G2034">
        <v>2035</v>
      </c>
      <c r="H2034" s="12">
        <v>12569</v>
      </c>
      <c r="I2034" t="s">
        <v>3183</v>
      </c>
      <c r="J2034" t="s">
        <v>6</v>
      </c>
      <c r="K2034" t="s">
        <v>147</v>
      </c>
      <c r="L2034" t="s">
        <v>649</v>
      </c>
      <c r="M2034" t="s">
        <v>659</v>
      </c>
    </row>
    <row r="2035" spans="1:13">
      <c r="A2035" t="s">
        <v>851</v>
      </c>
      <c r="B2035" t="s">
        <v>686</v>
      </c>
      <c r="C2035" t="s">
        <v>686</v>
      </c>
      <c r="D2035" t="s">
        <v>3185</v>
      </c>
      <c r="E2035" t="s">
        <v>573</v>
      </c>
      <c r="F2035" t="s">
        <v>40</v>
      </c>
      <c r="G2035">
        <v>2040</v>
      </c>
      <c r="H2035" s="12">
        <v>12973</v>
      </c>
      <c r="I2035" t="s">
        <v>3183</v>
      </c>
      <c r="J2035" t="s">
        <v>6</v>
      </c>
      <c r="K2035" t="s">
        <v>147</v>
      </c>
      <c r="L2035" t="s">
        <v>649</v>
      </c>
      <c r="M2035" t="s">
        <v>659</v>
      </c>
    </row>
    <row r="2036" spans="1:13">
      <c r="A2036" t="s">
        <v>851</v>
      </c>
      <c r="B2036" t="s">
        <v>686</v>
      </c>
      <c r="C2036" t="s">
        <v>686</v>
      </c>
      <c r="D2036" t="s">
        <v>3185</v>
      </c>
      <c r="E2036" t="s">
        <v>573</v>
      </c>
      <c r="F2036" t="s">
        <v>40</v>
      </c>
      <c r="G2036">
        <v>2045</v>
      </c>
      <c r="H2036" s="12">
        <v>13231</v>
      </c>
      <c r="I2036" t="s">
        <v>3183</v>
      </c>
      <c r="J2036" t="s">
        <v>6</v>
      </c>
      <c r="K2036" t="s">
        <v>147</v>
      </c>
      <c r="L2036" t="s">
        <v>649</v>
      </c>
      <c r="M2036" t="s">
        <v>659</v>
      </c>
    </row>
    <row r="2037" spans="1:13">
      <c r="A2037" t="s">
        <v>851</v>
      </c>
      <c r="B2037" t="s">
        <v>686</v>
      </c>
      <c r="C2037" t="s">
        <v>686</v>
      </c>
      <c r="D2037" t="s">
        <v>3185</v>
      </c>
      <c r="E2037" t="s">
        <v>573</v>
      </c>
      <c r="F2037" t="s">
        <v>40</v>
      </c>
      <c r="G2037">
        <v>2050</v>
      </c>
      <c r="H2037" s="12">
        <v>13784</v>
      </c>
      <c r="I2037" t="s">
        <v>3183</v>
      </c>
      <c r="J2037" t="s">
        <v>6</v>
      </c>
      <c r="K2037" t="s">
        <v>147</v>
      </c>
      <c r="L2037" t="s">
        <v>649</v>
      </c>
      <c r="M2037" t="s">
        <v>659</v>
      </c>
    </row>
    <row r="2038" spans="1:13">
      <c r="A2038" t="s">
        <v>851</v>
      </c>
      <c r="B2038" t="s">
        <v>687</v>
      </c>
      <c r="C2038" t="s">
        <v>687</v>
      </c>
      <c r="D2038" t="s">
        <v>3185</v>
      </c>
      <c r="E2038" t="s">
        <v>573</v>
      </c>
      <c r="F2038" t="s">
        <v>40</v>
      </c>
      <c r="G2038">
        <v>2030</v>
      </c>
      <c r="H2038" s="12">
        <v>12309</v>
      </c>
      <c r="I2038" t="s">
        <v>3183</v>
      </c>
      <c r="J2038" t="s">
        <v>6</v>
      </c>
      <c r="K2038" t="s">
        <v>147</v>
      </c>
      <c r="L2038" t="s">
        <v>649</v>
      </c>
      <c r="M2038" t="s">
        <v>659</v>
      </c>
    </row>
    <row r="2039" spans="1:13">
      <c r="A2039" t="s">
        <v>851</v>
      </c>
      <c r="B2039" t="s">
        <v>686</v>
      </c>
      <c r="C2039" t="s">
        <v>686</v>
      </c>
      <c r="D2039" t="s">
        <v>3185</v>
      </c>
      <c r="E2039" t="s">
        <v>660</v>
      </c>
      <c r="F2039" t="s">
        <v>40</v>
      </c>
      <c r="G2039">
        <v>2020</v>
      </c>
      <c r="H2039" s="12">
        <v>2090</v>
      </c>
      <c r="I2039" t="s">
        <v>3183</v>
      </c>
      <c r="J2039" t="s">
        <v>18</v>
      </c>
      <c r="K2039" t="s">
        <v>657</v>
      </c>
      <c r="L2039" t="s">
        <v>649</v>
      </c>
      <c r="M2039" t="s">
        <v>18</v>
      </c>
    </row>
    <row r="2040" spans="1:13">
      <c r="A2040" t="s">
        <v>851</v>
      </c>
      <c r="B2040" t="s">
        <v>686</v>
      </c>
      <c r="C2040" t="s">
        <v>686</v>
      </c>
      <c r="D2040" t="s">
        <v>3185</v>
      </c>
      <c r="E2040" t="s">
        <v>660</v>
      </c>
      <c r="F2040" t="s">
        <v>40</v>
      </c>
      <c r="G2040">
        <v>2030</v>
      </c>
      <c r="H2040" s="12">
        <v>7239</v>
      </c>
      <c r="I2040" t="s">
        <v>3183</v>
      </c>
      <c r="J2040" t="s">
        <v>18</v>
      </c>
      <c r="K2040" t="s">
        <v>657</v>
      </c>
      <c r="L2040" t="s">
        <v>649</v>
      </c>
      <c r="M2040" t="s">
        <v>18</v>
      </c>
    </row>
    <row r="2041" spans="1:13">
      <c r="A2041" t="s">
        <v>851</v>
      </c>
      <c r="B2041" t="s">
        <v>686</v>
      </c>
      <c r="C2041" t="s">
        <v>686</v>
      </c>
      <c r="D2041" t="s">
        <v>3185</v>
      </c>
      <c r="E2041" t="s">
        <v>660</v>
      </c>
      <c r="F2041" t="s">
        <v>40</v>
      </c>
      <c r="G2041">
        <v>2035</v>
      </c>
      <c r="H2041" s="12">
        <v>10426</v>
      </c>
      <c r="I2041" t="s">
        <v>3183</v>
      </c>
      <c r="J2041" t="s">
        <v>18</v>
      </c>
      <c r="K2041" t="s">
        <v>657</v>
      </c>
      <c r="L2041" t="s">
        <v>649</v>
      </c>
      <c r="M2041" t="s">
        <v>18</v>
      </c>
    </row>
    <row r="2042" spans="1:13">
      <c r="A2042" t="s">
        <v>851</v>
      </c>
      <c r="B2042" t="s">
        <v>686</v>
      </c>
      <c r="C2042" t="s">
        <v>686</v>
      </c>
      <c r="D2042" t="s">
        <v>3185</v>
      </c>
      <c r="E2042" t="s">
        <v>660</v>
      </c>
      <c r="F2042" t="s">
        <v>40</v>
      </c>
      <c r="G2042">
        <v>2040</v>
      </c>
      <c r="H2042" s="12">
        <v>13475</v>
      </c>
      <c r="I2042" t="s">
        <v>3183</v>
      </c>
      <c r="J2042" t="s">
        <v>18</v>
      </c>
      <c r="K2042" t="s">
        <v>657</v>
      </c>
      <c r="L2042" t="s">
        <v>649</v>
      </c>
      <c r="M2042" t="s">
        <v>18</v>
      </c>
    </row>
    <row r="2043" spans="1:13">
      <c r="A2043" t="s">
        <v>851</v>
      </c>
      <c r="B2043" t="s">
        <v>686</v>
      </c>
      <c r="C2043" t="s">
        <v>686</v>
      </c>
      <c r="D2043" t="s">
        <v>3185</v>
      </c>
      <c r="E2043" t="s">
        <v>660</v>
      </c>
      <c r="F2043" t="s">
        <v>40</v>
      </c>
      <c r="G2043">
        <v>2045</v>
      </c>
      <c r="H2043" s="12">
        <v>16505</v>
      </c>
      <c r="I2043" t="s">
        <v>3183</v>
      </c>
      <c r="J2043" t="s">
        <v>18</v>
      </c>
      <c r="K2043" t="s">
        <v>657</v>
      </c>
      <c r="L2043" t="s">
        <v>649</v>
      </c>
      <c r="M2043" t="s">
        <v>18</v>
      </c>
    </row>
    <row r="2044" spans="1:13">
      <c r="A2044" t="s">
        <v>851</v>
      </c>
      <c r="B2044" t="s">
        <v>686</v>
      </c>
      <c r="C2044" t="s">
        <v>686</v>
      </c>
      <c r="D2044" t="s">
        <v>3185</v>
      </c>
      <c r="E2044" t="s">
        <v>660</v>
      </c>
      <c r="F2044" t="s">
        <v>40</v>
      </c>
      <c r="G2044">
        <v>2050</v>
      </c>
      <c r="H2044" s="12">
        <v>19183</v>
      </c>
      <c r="I2044" t="s">
        <v>3183</v>
      </c>
      <c r="J2044" t="s">
        <v>18</v>
      </c>
      <c r="K2044" t="s">
        <v>657</v>
      </c>
      <c r="L2044" t="s">
        <v>649</v>
      </c>
      <c r="M2044" t="s">
        <v>18</v>
      </c>
    </row>
    <row r="2045" spans="1:13">
      <c r="A2045" t="s">
        <v>851</v>
      </c>
      <c r="B2045" t="s">
        <v>687</v>
      </c>
      <c r="C2045" t="s">
        <v>687</v>
      </c>
      <c r="D2045" t="s">
        <v>3185</v>
      </c>
      <c r="E2045" t="s">
        <v>660</v>
      </c>
      <c r="F2045" t="s">
        <v>40</v>
      </c>
      <c r="G2045">
        <v>2030</v>
      </c>
      <c r="H2045" s="12">
        <v>8049</v>
      </c>
      <c r="I2045" t="s">
        <v>3183</v>
      </c>
      <c r="J2045" t="s">
        <v>18</v>
      </c>
      <c r="K2045" t="s">
        <v>657</v>
      </c>
      <c r="L2045" t="s">
        <v>649</v>
      </c>
      <c r="M2045" t="s">
        <v>18</v>
      </c>
    </row>
    <row r="2046" spans="1:13">
      <c r="A2046" t="s">
        <v>851</v>
      </c>
      <c r="B2046" t="s">
        <v>687</v>
      </c>
      <c r="C2046" t="s">
        <v>687</v>
      </c>
      <c r="D2046" t="s">
        <v>3185</v>
      </c>
      <c r="E2046" t="s">
        <v>660</v>
      </c>
      <c r="F2046" t="s">
        <v>40</v>
      </c>
      <c r="G2046">
        <v>2035</v>
      </c>
      <c r="H2046" s="12">
        <v>12316</v>
      </c>
      <c r="I2046" t="s">
        <v>3183</v>
      </c>
      <c r="J2046" t="s">
        <v>18</v>
      </c>
      <c r="K2046" t="s">
        <v>657</v>
      </c>
      <c r="L2046" t="s">
        <v>649</v>
      </c>
      <c r="M2046" t="s">
        <v>18</v>
      </c>
    </row>
    <row r="2047" spans="1:13">
      <c r="A2047" t="s">
        <v>851</v>
      </c>
      <c r="B2047" t="s">
        <v>687</v>
      </c>
      <c r="C2047" t="s">
        <v>687</v>
      </c>
      <c r="D2047" t="s">
        <v>3185</v>
      </c>
      <c r="E2047" t="s">
        <v>660</v>
      </c>
      <c r="F2047" t="s">
        <v>40</v>
      </c>
      <c r="G2047">
        <v>2040</v>
      </c>
      <c r="H2047" s="12">
        <v>18182</v>
      </c>
      <c r="I2047" t="s">
        <v>3183</v>
      </c>
      <c r="J2047" t="s">
        <v>18</v>
      </c>
      <c r="K2047" t="s">
        <v>657</v>
      </c>
      <c r="L2047" t="s">
        <v>649</v>
      </c>
      <c r="M2047" t="s">
        <v>18</v>
      </c>
    </row>
    <row r="2048" spans="1:13">
      <c r="A2048" t="s">
        <v>851</v>
      </c>
      <c r="B2048" t="s">
        <v>687</v>
      </c>
      <c r="C2048" t="s">
        <v>687</v>
      </c>
      <c r="D2048" t="s">
        <v>3185</v>
      </c>
      <c r="E2048" t="s">
        <v>660</v>
      </c>
      <c r="F2048" t="s">
        <v>40</v>
      </c>
      <c r="G2048">
        <v>2045</v>
      </c>
      <c r="H2048" s="12">
        <v>24317</v>
      </c>
      <c r="I2048" t="s">
        <v>3183</v>
      </c>
      <c r="J2048" t="s">
        <v>18</v>
      </c>
      <c r="K2048" t="s">
        <v>657</v>
      </c>
      <c r="L2048" t="s">
        <v>649</v>
      </c>
      <c r="M2048" t="s">
        <v>18</v>
      </c>
    </row>
    <row r="2049" spans="1:13">
      <c r="A2049" t="s">
        <v>851</v>
      </c>
      <c r="B2049" t="s">
        <v>687</v>
      </c>
      <c r="C2049" t="s">
        <v>687</v>
      </c>
      <c r="D2049" t="s">
        <v>3185</v>
      </c>
      <c r="E2049" t="s">
        <v>660</v>
      </c>
      <c r="F2049" t="s">
        <v>40</v>
      </c>
      <c r="G2049">
        <v>2050</v>
      </c>
      <c r="H2049" s="12">
        <v>28860</v>
      </c>
      <c r="I2049" t="s">
        <v>3183</v>
      </c>
      <c r="J2049" t="s">
        <v>18</v>
      </c>
      <c r="K2049" t="s">
        <v>657</v>
      </c>
      <c r="L2049" t="s">
        <v>649</v>
      </c>
      <c r="M2049" t="s">
        <v>18</v>
      </c>
    </row>
    <row r="2050" spans="1:13">
      <c r="A2050" t="s">
        <v>851</v>
      </c>
      <c r="B2050" t="s">
        <v>686</v>
      </c>
      <c r="C2050" t="s">
        <v>686</v>
      </c>
      <c r="D2050" t="s">
        <v>3185</v>
      </c>
      <c r="E2050" t="s">
        <v>660</v>
      </c>
      <c r="F2050" t="s">
        <v>40</v>
      </c>
      <c r="G2050">
        <v>2010</v>
      </c>
      <c r="H2050" s="12">
        <v>3998</v>
      </c>
      <c r="I2050" t="s">
        <v>3183</v>
      </c>
      <c r="J2050" t="s">
        <v>14</v>
      </c>
      <c r="K2050" t="s">
        <v>657</v>
      </c>
      <c r="L2050" t="s">
        <v>649</v>
      </c>
      <c r="M2050" t="s">
        <v>14</v>
      </c>
    </row>
    <row r="2051" spans="1:13">
      <c r="A2051" t="s">
        <v>851</v>
      </c>
      <c r="B2051" t="s">
        <v>686</v>
      </c>
      <c r="C2051" t="s">
        <v>686</v>
      </c>
      <c r="D2051" t="s">
        <v>3185</v>
      </c>
      <c r="E2051" t="s">
        <v>660</v>
      </c>
      <c r="F2051" t="s">
        <v>40</v>
      </c>
      <c r="G2051">
        <v>2015</v>
      </c>
      <c r="H2051" s="12">
        <v>5652</v>
      </c>
      <c r="I2051" t="s">
        <v>3183</v>
      </c>
      <c r="J2051" t="s">
        <v>14</v>
      </c>
      <c r="K2051" t="s">
        <v>657</v>
      </c>
      <c r="L2051" t="s">
        <v>649</v>
      </c>
      <c r="M2051" t="s">
        <v>14</v>
      </c>
    </row>
    <row r="2052" spans="1:13">
      <c r="A2052" t="s">
        <v>851</v>
      </c>
      <c r="B2052" t="s">
        <v>686</v>
      </c>
      <c r="C2052" t="s">
        <v>686</v>
      </c>
      <c r="D2052" t="s">
        <v>3185</v>
      </c>
      <c r="E2052" t="s">
        <v>660</v>
      </c>
      <c r="F2052" t="s">
        <v>40</v>
      </c>
      <c r="G2052">
        <v>2020</v>
      </c>
      <c r="H2052" s="12">
        <v>6693</v>
      </c>
      <c r="I2052" t="s">
        <v>3183</v>
      </c>
      <c r="J2052" t="s">
        <v>14</v>
      </c>
      <c r="K2052" t="s">
        <v>657</v>
      </c>
      <c r="L2052" t="s">
        <v>649</v>
      </c>
      <c r="M2052" t="s">
        <v>14</v>
      </c>
    </row>
    <row r="2053" spans="1:13">
      <c r="A2053" t="s">
        <v>851</v>
      </c>
      <c r="B2053" t="s">
        <v>686</v>
      </c>
      <c r="C2053" t="s">
        <v>686</v>
      </c>
      <c r="D2053" t="s">
        <v>3185</v>
      </c>
      <c r="E2053" t="s">
        <v>660</v>
      </c>
      <c r="F2053" t="s">
        <v>40</v>
      </c>
      <c r="G2053">
        <v>2030</v>
      </c>
      <c r="H2053" s="12">
        <v>8009</v>
      </c>
      <c r="I2053" t="s">
        <v>3183</v>
      </c>
      <c r="J2053" t="s">
        <v>14</v>
      </c>
      <c r="K2053" t="s">
        <v>657</v>
      </c>
      <c r="L2053" t="s">
        <v>649</v>
      </c>
      <c r="M2053" t="s">
        <v>14</v>
      </c>
    </row>
    <row r="2054" spans="1:13">
      <c r="A2054" t="s">
        <v>851</v>
      </c>
      <c r="B2054" t="s">
        <v>686</v>
      </c>
      <c r="C2054" t="s">
        <v>686</v>
      </c>
      <c r="D2054" t="s">
        <v>3185</v>
      </c>
      <c r="E2054" t="s">
        <v>660</v>
      </c>
      <c r="F2054" t="s">
        <v>40</v>
      </c>
      <c r="G2054">
        <v>2035</v>
      </c>
      <c r="H2054" s="12">
        <v>8788</v>
      </c>
      <c r="I2054" t="s">
        <v>3183</v>
      </c>
      <c r="J2054" t="s">
        <v>14</v>
      </c>
      <c r="K2054" t="s">
        <v>657</v>
      </c>
      <c r="L2054" t="s">
        <v>649</v>
      </c>
      <c r="M2054" t="s">
        <v>14</v>
      </c>
    </row>
    <row r="2055" spans="1:13">
      <c r="A2055" t="s">
        <v>851</v>
      </c>
      <c r="B2055" t="s">
        <v>686</v>
      </c>
      <c r="C2055" t="s">
        <v>686</v>
      </c>
      <c r="D2055" t="s">
        <v>3185</v>
      </c>
      <c r="E2055" t="s">
        <v>660</v>
      </c>
      <c r="F2055" t="s">
        <v>40</v>
      </c>
      <c r="G2055">
        <v>2040</v>
      </c>
      <c r="H2055" s="12">
        <v>9616</v>
      </c>
      <c r="I2055" t="s">
        <v>3183</v>
      </c>
      <c r="J2055" t="s">
        <v>14</v>
      </c>
      <c r="K2055" t="s">
        <v>657</v>
      </c>
      <c r="L2055" t="s">
        <v>649</v>
      </c>
      <c r="M2055" t="s">
        <v>14</v>
      </c>
    </row>
    <row r="2056" spans="1:13">
      <c r="A2056" t="s">
        <v>851</v>
      </c>
      <c r="B2056" t="s">
        <v>686</v>
      </c>
      <c r="C2056" t="s">
        <v>686</v>
      </c>
      <c r="D2056" t="s">
        <v>3185</v>
      </c>
      <c r="E2056" t="s">
        <v>660</v>
      </c>
      <c r="F2056" t="s">
        <v>40</v>
      </c>
      <c r="G2056">
        <v>2045</v>
      </c>
      <c r="H2056" s="12">
        <v>10364</v>
      </c>
      <c r="I2056" t="s">
        <v>3183</v>
      </c>
      <c r="J2056" t="s">
        <v>14</v>
      </c>
      <c r="K2056" t="s">
        <v>657</v>
      </c>
      <c r="L2056" t="s">
        <v>649</v>
      </c>
      <c r="M2056" t="s">
        <v>14</v>
      </c>
    </row>
    <row r="2057" spans="1:13">
      <c r="A2057" t="s">
        <v>851</v>
      </c>
      <c r="B2057" t="s">
        <v>686</v>
      </c>
      <c r="C2057" t="s">
        <v>686</v>
      </c>
      <c r="D2057" t="s">
        <v>3185</v>
      </c>
      <c r="E2057" t="s">
        <v>660</v>
      </c>
      <c r="F2057" t="s">
        <v>40</v>
      </c>
      <c r="G2057">
        <v>2050</v>
      </c>
      <c r="H2057" s="12">
        <v>11005</v>
      </c>
      <c r="I2057" t="s">
        <v>3183</v>
      </c>
      <c r="J2057" t="s">
        <v>14</v>
      </c>
      <c r="K2057" t="s">
        <v>657</v>
      </c>
      <c r="L2057" t="s">
        <v>649</v>
      </c>
      <c r="M2057" t="s">
        <v>14</v>
      </c>
    </row>
    <row r="2058" spans="1:13">
      <c r="A2058" t="s">
        <v>851</v>
      </c>
      <c r="B2058" t="s">
        <v>687</v>
      </c>
      <c r="C2058" t="s">
        <v>687</v>
      </c>
      <c r="D2058" t="s">
        <v>3185</v>
      </c>
      <c r="E2058" t="s">
        <v>660</v>
      </c>
      <c r="F2058" t="s">
        <v>40</v>
      </c>
      <c r="G2058">
        <v>2030</v>
      </c>
      <c r="H2058" s="12">
        <v>8162</v>
      </c>
      <c r="I2058" t="s">
        <v>3183</v>
      </c>
      <c r="J2058" t="s">
        <v>14</v>
      </c>
      <c r="K2058" t="s">
        <v>657</v>
      </c>
      <c r="L2058" t="s">
        <v>649</v>
      </c>
      <c r="M2058" t="s">
        <v>14</v>
      </c>
    </row>
    <row r="2059" spans="1:13">
      <c r="A2059" t="s">
        <v>851</v>
      </c>
      <c r="B2059" t="s">
        <v>687</v>
      </c>
      <c r="C2059" t="s">
        <v>687</v>
      </c>
      <c r="D2059" t="s">
        <v>3185</v>
      </c>
      <c r="E2059" t="s">
        <v>660</v>
      </c>
      <c r="F2059" t="s">
        <v>40</v>
      </c>
      <c r="G2059">
        <v>2035</v>
      </c>
      <c r="H2059" s="12">
        <v>9540</v>
      </c>
      <c r="I2059" t="s">
        <v>3183</v>
      </c>
      <c r="J2059" t="s">
        <v>14</v>
      </c>
      <c r="K2059" t="s">
        <v>657</v>
      </c>
      <c r="L2059" t="s">
        <v>649</v>
      </c>
      <c r="M2059" t="s">
        <v>14</v>
      </c>
    </row>
    <row r="2060" spans="1:13">
      <c r="A2060" t="s">
        <v>851</v>
      </c>
      <c r="B2060" t="s">
        <v>687</v>
      </c>
      <c r="C2060" t="s">
        <v>687</v>
      </c>
      <c r="D2060" t="s">
        <v>3185</v>
      </c>
      <c r="E2060" t="s">
        <v>660</v>
      </c>
      <c r="F2060" t="s">
        <v>40</v>
      </c>
      <c r="G2060">
        <v>2040</v>
      </c>
      <c r="H2060" s="12">
        <v>10986</v>
      </c>
      <c r="I2060" t="s">
        <v>3183</v>
      </c>
      <c r="J2060" t="s">
        <v>14</v>
      </c>
      <c r="K2060" t="s">
        <v>657</v>
      </c>
      <c r="L2060" t="s">
        <v>649</v>
      </c>
      <c r="M2060" t="s">
        <v>14</v>
      </c>
    </row>
    <row r="2061" spans="1:13">
      <c r="A2061" t="s">
        <v>851</v>
      </c>
      <c r="B2061" t="s">
        <v>687</v>
      </c>
      <c r="C2061" t="s">
        <v>687</v>
      </c>
      <c r="D2061" t="s">
        <v>3185</v>
      </c>
      <c r="E2061" t="s">
        <v>660</v>
      </c>
      <c r="F2061" t="s">
        <v>40</v>
      </c>
      <c r="G2061">
        <v>2045</v>
      </c>
      <c r="H2061" s="12">
        <v>12231</v>
      </c>
      <c r="I2061" t="s">
        <v>3183</v>
      </c>
      <c r="J2061" t="s">
        <v>14</v>
      </c>
      <c r="K2061" t="s">
        <v>657</v>
      </c>
      <c r="L2061" t="s">
        <v>649</v>
      </c>
      <c r="M2061" t="s">
        <v>14</v>
      </c>
    </row>
    <row r="2062" spans="1:13">
      <c r="A2062" t="s">
        <v>851</v>
      </c>
      <c r="B2062" t="s">
        <v>687</v>
      </c>
      <c r="C2062" t="s">
        <v>687</v>
      </c>
      <c r="D2062" t="s">
        <v>3185</v>
      </c>
      <c r="E2062" t="s">
        <v>660</v>
      </c>
      <c r="F2062" t="s">
        <v>40</v>
      </c>
      <c r="G2062">
        <v>2050</v>
      </c>
      <c r="H2062" s="12">
        <v>13188</v>
      </c>
      <c r="I2062" t="s">
        <v>3183</v>
      </c>
      <c r="J2062" t="s">
        <v>14</v>
      </c>
      <c r="K2062" t="s">
        <v>657</v>
      </c>
      <c r="L2062" t="s">
        <v>649</v>
      </c>
      <c r="M2062" t="s">
        <v>14</v>
      </c>
    </row>
    <row r="2063" spans="1:13">
      <c r="A2063" t="s">
        <v>851</v>
      </c>
      <c r="B2063" t="s">
        <v>686</v>
      </c>
      <c r="C2063" t="s">
        <v>686</v>
      </c>
      <c r="D2063" t="s">
        <v>3185</v>
      </c>
      <c r="E2063" t="s">
        <v>660</v>
      </c>
      <c r="F2063" t="s">
        <v>40</v>
      </c>
      <c r="G2063">
        <v>2010</v>
      </c>
      <c r="H2063" s="12">
        <v>6295</v>
      </c>
      <c r="I2063" t="s">
        <v>3183</v>
      </c>
      <c r="J2063" t="s">
        <v>41</v>
      </c>
      <c r="K2063" t="s">
        <v>657</v>
      </c>
      <c r="L2063" t="s">
        <v>649</v>
      </c>
      <c r="M2063" t="s">
        <v>662</v>
      </c>
    </row>
    <row r="2064" spans="1:13">
      <c r="A2064" t="s">
        <v>851</v>
      </c>
      <c r="B2064" t="s">
        <v>686</v>
      </c>
      <c r="C2064" t="s">
        <v>686</v>
      </c>
      <c r="D2064" t="s">
        <v>3185</v>
      </c>
      <c r="E2064" t="s">
        <v>660</v>
      </c>
      <c r="F2064" t="s">
        <v>40</v>
      </c>
      <c r="G2064">
        <v>2015</v>
      </c>
      <c r="H2064" s="12">
        <v>8007</v>
      </c>
      <c r="I2064" t="s">
        <v>3183</v>
      </c>
      <c r="J2064" t="s">
        <v>41</v>
      </c>
      <c r="K2064" t="s">
        <v>657</v>
      </c>
      <c r="L2064" t="s">
        <v>649</v>
      </c>
      <c r="M2064" t="s">
        <v>662</v>
      </c>
    </row>
    <row r="2065" spans="1:13">
      <c r="A2065" t="s">
        <v>851</v>
      </c>
      <c r="B2065" t="s">
        <v>686</v>
      </c>
      <c r="C2065" t="s">
        <v>686</v>
      </c>
      <c r="D2065" t="s">
        <v>3185</v>
      </c>
      <c r="E2065" t="s">
        <v>660</v>
      </c>
      <c r="F2065" t="s">
        <v>40</v>
      </c>
      <c r="G2065">
        <v>2020</v>
      </c>
      <c r="H2065" s="12">
        <v>11592</v>
      </c>
      <c r="I2065" t="s">
        <v>3183</v>
      </c>
      <c r="J2065" t="s">
        <v>41</v>
      </c>
      <c r="K2065" t="s">
        <v>657</v>
      </c>
      <c r="L2065" t="s">
        <v>649</v>
      </c>
      <c r="M2065" t="s">
        <v>662</v>
      </c>
    </row>
    <row r="2066" spans="1:13">
      <c r="A2066" t="s">
        <v>851</v>
      </c>
      <c r="B2066" t="s">
        <v>686</v>
      </c>
      <c r="C2066" t="s">
        <v>686</v>
      </c>
      <c r="D2066" t="s">
        <v>3185</v>
      </c>
      <c r="E2066" t="s">
        <v>660</v>
      </c>
      <c r="F2066" t="s">
        <v>40</v>
      </c>
      <c r="G2066">
        <v>2030</v>
      </c>
      <c r="H2066" s="12">
        <v>19851</v>
      </c>
      <c r="I2066" t="s">
        <v>3183</v>
      </c>
      <c r="J2066" t="s">
        <v>41</v>
      </c>
      <c r="K2066" t="s">
        <v>657</v>
      </c>
      <c r="L2066" t="s">
        <v>649</v>
      </c>
      <c r="M2066" t="s">
        <v>662</v>
      </c>
    </row>
    <row r="2067" spans="1:13">
      <c r="A2067" t="s">
        <v>851</v>
      </c>
      <c r="B2067" t="s">
        <v>686</v>
      </c>
      <c r="C2067" t="s">
        <v>686</v>
      </c>
      <c r="D2067" t="s">
        <v>3185</v>
      </c>
      <c r="E2067" t="s">
        <v>660</v>
      </c>
      <c r="F2067" t="s">
        <v>40</v>
      </c>
      <c r="G2067">
        <v>2035</v>
      </c>
      <c r="H2067" s="12">
        <v>23128</v>
      </c>
      <c r="I2067" t="s">
        <v>3183</v>
      </c>
      <c r="J2067" t="s">
        <v>41</v>
      </c>
      <c r="K2067" t="s">
        <v>657</v>
      </c>
      <c r="L2067" t="s">
        <v>649</v>
      </c>
      <c r="M2067" t="s">
        <v>662</v>
      </c>
    </row>
    <row r="2068" spans="1:13">
      <c r="A2068" t="s">
        <v>851</v>
      </c>
      <c r="B2068" t="s">
        <v>686</v>
      </c>
      <c r="C2068" t="s">
        <v>686</v>
      </c>
      <c r="D2068" t="s">
        <v>3185</v>
      </c>
      <c r="E2068" t="s">
        <v>660</v>
      </c>
      <c r="F2068" t="s">
        <v>40</v>
      </c>
      <c r="G2068">
        <v>2040</v>
      </c>
      <c r="H2068" s="12">
        <v>26095</v>
      </c>
      <c r="I2068" t="s">
        <v>3183</v>
      </c>
      <c r="J2068" t="s">
        <v>41</v>
      </c>
      <c r="K2068" t="s">
        <v>657</v>
      </c>
      <c r="L2068" t="s">
        <v>649</v>
      </c>
      <c r="M2068" t="s">
        <v>662</v>
      </c>
    </row>
    <row r="2069" spans="1:13">
      <c r="A2069" t="s">
        <v>851</v>
      </c>
      <c r="B2069" t="s">
        <v>686</v>
      </c>
      <c r="C2069" t="s">
        <v>686</v>
      </c>
      <c r="D2069" t="s">
        <v>3185</v>
      </c>
      <c r="E2069" t="s">
        <v>660</v>
      </c>
      <c r="F2069" t="s">
        <v>40</v>
      </c>
      <c r="G2069">
        <v>2045</v>
      </c>
      <c r="H2069" s="12">
        <v>29130</v>
      </c>
      <c r="I2069" t="s">
        <v>3183</v>
      </c>
      <c r="J2069" t="s">
        <v>41</v>
      </c>
      <c r="K2069" t="s">
        <v>657</v>
      </c>
      <c r="L2069" t="s">
        <v>649</v>
      </c>
      <c r="M2069" t="s">
        <v>662</v>
      </c>
    </row>
    <row r="2070" spans="1:13">
      <c r="A2070" t="s">
        <v>851</v>
      </c>
      <c r="B2070" t="s">
        <v>686</v>
      </c>
      <c r="C2070" t="s">
        <v>686</v>
      </c>
      <c r="D2070" t="s">
        <v>3185</v>
      </c>
      <c r="E2070" t="s">
        <v>660</v>
      </c>
      <c r="F2070" t="s">
        <v>40</v>
      </c>
      <c r="G2070">
        <v>2050</v>
      </c>
      <c r="H2070" s="12">
        <v>32000</v>
      </c>
      <c r="I2070" t="s">
        <v>3183</v>
      </c>
      <c r="J2070" t="s">
        <v>41</v>
      </c>
      <c r="K2070" t="s">
        <v>657</v>
      </c>
      <c r="L2070" t="s">
        <v>649</v>
      </c>
      <c r="M2070" t="s">
        <v>662</v>
      </c>
    </row>
    <row r="2071" spans="1:13">
      <c r="A2071" t="s">
        <v>851</v>
      </c>
      <c r="B2071" t="s">
        <v>687</v>
      </c>
      <c r="C2071" t="s">
        <v>687</v>
      </c>
      <c r="D2071" t="s">
        <v>3185</v>
      </c>
      <c r="E2071" t="s">
        <v>660</v>
      </c>
      <c r="F2071" t="s">
        <v>40</v>
      </c>
      <c r="G2071">
        <v>2030</v>
      </c>
      <c r="H2071" s="12">
        <v>24618</v>
      </c>
      <c r="I2071" t="s">
        <v>3183</v>
      </c>
      <c r="J2071" t="s">
        <v>41</v>
      </c>
      <c r="K2071" t="s">
        <v>657</v>
      </c>
      <c r="L2071" t="s">
        <v>649</v>
      </c>
      <c r="M2071" t="s">
        <v>662</v>
      </c>
    </row>
    <row r="2072" spans="1:13">
      <c r="A2072" t="s">
        <v>851</v>
      </c>
      <c r="B2072" t="s">
        <v>687</v>
      </c>
      <c r="C2072" t="s">
        <v>687</v>
      </c>
      <c r="D2072" t="s">
        <v>3185</v>
      </c>
      <c r="E2072" t="s">
        <v>660</v>
      </c>
      <c r="F2072" t="s">
        <v>40</v>
      </c>
      <c r="G2072">
        <v>2035</v>
      </c>
      <c r="H2072" s="12">
        <v>31268</v>
      </c>
      <c r="I2072" t="s">
        <v>3183</v>
      </c>
      <c r="J2072" t="s">
        <v>41</v>
      </c>
      <c r="K2072" t="s">
        <v>657</v>
      </c>
      <c r="L2072" t="s">
        <v>649</v>
      </c>
      <c r="M2072" t="s">
        <v>662</v>
      </c>
    </row>
    <row r="2073" spans="1:13">
      <c r="A2073" t="s">
        <v>851</v>
      </c>
      <c r="B2073" t="s">
        <v>687</v>
      </c>
      <c r="C2073" t="s">
        <v>687</v>
      </c>
      <c r="D2073" t="s">
        <v>3185</v>
      </c>
      <c r="E2073" t="s">
        <v>660</v>
      </c>
      <c r="F2073" t="s">
        <v>40</v>
      </c>
      <c r="G2073">
        <v>2040</v>
      </c>
      <c r="H2073" s="12">
        <v>37450</v>
      </c>
      <c r="I2073" t="s">
        <v>3183</v>
      </c>
      <c r="J2073" t="s">
        <v>41</v>
      </c>
      <c r="K2073" t="s">
        <v>657</v>
      </c>
      <c r="L2073" t="s">
        <v>649</v>
      </c>
      <c r="M2073" t="s">
        <v>662</v>
      </c>
    </row>
    <row r="2074" spans="1:13">
      <c r="A2074" t="s">
        <v>851</v>
      </c>
      <c r="B2074" t="s">
        <v>687</v>
      </c>
      <c r="C2074" t="s">
        <v>687</v>
      </c>
      <c r="D2074" t="s">
        <v>3185</v>
      </c>
      <c r="E2074" t="s">
        <v>660</v>
      </c>
      <c r="F2074" t="s">
        <v>40</v>
      </c>
      <c r="G2074">
        <v>2045</v>
      </c>
      <c r="H2074" s="12">
        <v>43503</v>
      </c>
      <c r="I2074" t="s">
        <v>3183</v>
      </c>
      <c r="J2074" t="s">
        <v>41</v>
      </c>
      <c r="K2074" t="s">
        <v>657</v>
      </c>
      <c r="L2074" t="s">
        <v>649</v>
      </c>
      <c r="M2074" t="s">
        <v>662</v>
      </c>
    </row>
    <row r="2075" spans="1:13">
      <c r="A2075" t="s">
        <v>851</v>
      </c>
      <c r="B2075" t="s">
        <v>687</v>
      </c>
      <c r="C2075" t="s">
        <v>687</v>
      </c>
      <c r="D2075" t="s">
        <v>3185</v>
      </c>
      <c r="E2075" t="s">
        <v>660</v>
      </c>
      <c r="F2075" t="s">
        <v>40</v>
      </c>
      <c r="G2075">
        <v>2050</v>
      </c>
      <c r="H2075" s="12">
        <v>48132</v>
      </c>
      <c r="I2075" t="s">
        <v>3183</v>
      </c>
      <c r="J2075" t="s">
        <v>41</v>
      </c>
      <c r="K2075" t="s">
        <v>657</v>
      </c>
      <c r="L2075" t="s">
        <v>649</v>
      </c>
      <c r="M2075" t="s">
        <v>662</v>
      </c>
    </row>
    <row r="2076" spans="1:13">
      <c r="A2076" t="s">
        <v>851</v>
      </c>
      <c r="B2076" t="s">
        <v>686</v>
      </c>
      <c r="C2076" t="s">
        <v>686</v>
      </c>
      <c r="D2076" t="s">
        <v>3185</v>
      </c>
      <c r="E2076" t="s">
        <v>660</v>
      </c>
      <c r="F2076" t="s">
        <v>40</v>
      </c>
      <c r="G2076">
        <v>2010</v>
      </c>
      <c r="H2076" s="12">
        <v>14140</v>
      </c>
      <c r="I2076" t="s">
        <v>3183</v>
      </c>
      <c r="J2076" t="s">
        <v>41</v>
      </c>
      <c r="K2076" t="s">
        <v>657</v>
      </c>
      <c r="L2076" t="s">
        <v>649</v>
      </c>
      <c r="M2076" t="s">
        <v>661</v>
      </c>
    </row>
    <row r="2077" spans="1:13">
      <c r="A2077" t="s">
        <v>851</v>
      </c>
      <c r="B2077" t="s">
        <v>686</v>
      </c>
      <c r="C2077" t="s">
        <v>686</v>
      </c>
      <c r="D2077" t="s">
        <v>3185</v>
      </c>
      <c r="E2077" t="s">
        <v>660</v>
      </c>
      <c r="F2077" t="s">
        <v>40</v>
      </c>
      <c r="G2077">
        <v>2015</v>
      </c>
      <c r="H2077" s="12">
        <v>12202</v>
      </c>
      <c r="I2077" t="s">
        <v>3183</v>
      </c>
      <c r="J2077" t="s">
        <v>41</v>
      </c>
      <c r="K2077" t="s">
        <v>657</v>
      </c>
      <c r="L2077" t="s">
        <v>649</v>
      </c>
      <c r="M2077" t="s">
        <v>661</v>
      </c>
    </row>
    <row r="2078" spans="1:13">
      <c r="A2078" t="s">
        <v>851</v>
      </c>
      <c r="B2078" t="s">
        <v>686</v>
      </c>
      <c r="C2078" t="s">
        <v>686</v>
      </c>
      <c r="D2078" t="s">
        <v>3185</v>
      </c>
      <c r="E2078" t="s">
        <v>660</v>
      </c>
      <c r="F2078" t="s">
        <v>40</v>
      </c>
      <c r="G2078">
        <v>2020</v>
      </c>
      <c r="H2078" s="12">
        <v>11054</v>
      </c>
      <c r="I2078" t="s">
        <v>3183</v>
      </c>
      <c r="J2078" t="s">
        <v>41</v>
      </c>
      <c r="K2078" t="s">
        <v>657</v>
      </c>
      <c r="L2078" t="s">
        <v>649</v>
      </c>
      <c r="M2078" t="s">
        <v>661</v>
      </c>
    </row>
    <row r="2079" spans="1:13">
      <c r="A2079" t="s">
        <v>851</v>
      </c>
      <c r="B2079" t="s">
        <v>686</v>
      </c>
      <c r="C2079" t="s">
        <v>686</v>
      </c>
      <c r="D2079" t="s">
        <v>3185</v>
      </c>
      <c r="E2079" t="s">
        <v>660</v>
      </c>
      <c r="F2079" t="s">
        <v>40</v>
      </c>
      <c r="G2079">
        <v>2030</v>
      </c>
      <c r="H2079" s="12">
        <v>6155</v>
      </c>
      <c r="I2079" t="s">
        <v>3183</v>
      </c>
      <c r="J2079" t="s">
        <v>41</v>
      </c>
      <c r="K2079" t="s">
        <v>657</v>
      </c>
      <c r="L2079" t="s">
        <v>649</v>
      </c>
      <c r="M2079" t="s">
        <v>661</v>
      </c>
    </row>
    <row r="2080" spans="1:13">
      <c r="A2080" t="s">
        <v>851</v>
      </c>
      <c r="B2080" t="s">
        <v>686</v>
      </c>
      <c r="C2080" t="s">
        <v>686</v>
      </c>
      <c r="D2080" t="s">
        <v>3185</v>
      </c>
      <c r="E2080" t="s">
        <v>660</v>
      </c>
      <c r="F2080" t="s">
        <v>40</v>
      </c>
      <c r="G2080">
        <v>2035</v>
      </c>
      <c r="H2080" s="12">
        <v>5611</v>
      </c>
      <c r="I2080" t="s">
        <v>3183</v>
      </c>
      <c r="J2080" t="s">
        <v>41</v>
      </c>
      <c r="K2080" t="s">
        <v>657</v>
      </c>
      <c r="L2080" t="s">
        <v>649</v>
      </c>
      <c r="M2080" t="s">
        <v>661</v>
      </c>
    </row>
    <row r="2081" spans="1:13">
      <c r="A2081" t="s">
        <v>851</v>
      </c>
      <c r="B2081" t="s">
        <v>686</v>
      </c>
      <c r="C2081" t="s">
        <v>686</v>
      </c>
      <c r="D2081" t="s">
        <v>3185</v>
      </c>
      <c r="E2081" t="s">
        <v>660</v>
      </c>
      <c r="F2081" t="s">
        <v>40</v>
      </c>
      <c r="G2081">
        <v>2040</v>
      </c>
      <c r="H2081" s="12">
        <v>4921</v>
      </c>
      <c r="I2081" t="s">
        <v>3183</v>
      </c>
      <c r="J2081" t="s">
        <v>41</v>
      </c>
      <c r="K2081" t="s">
        <v>657</v>
      </c>
      <c r="L2081" t="s">
        <v>649</v>
      </c>
      <c r="M2081" t="s">
        <v>661</v>
      </c>
    </row>
    <row r="2082" spans="1:13">
      <c r="A2082" t="s">
        <v>851</v>
      </c>
      <c r="B2082" t="s">
        <v>686</v>
      </c>
      <c r="C2082" t="s">
        <v>686</v>
      </c>
      <c r="D2082" t="s">
        <v>3185</v>
      </c>
      <c r="E2082" t="s">
        <v>660</v>
      </c>
      <c r="F2082" t="s">
        <v>40</v>
      </c>
      <c r="G2082">
        <v>2045</v>
      </c>
      <c r="H2082" s="12">
        <v>4386</v>
      </c>
      <c r="I2082" t="s">
        <v>3183</v>
      </c>
      <c r="J2082" t="s">
        <v>41</v>
      </c>
      <c r="K2082" t="s">
        <v>657</v>
      </c>
      <c r="L2082" t="s">
        <v>649</v>
      </c>
      <c r="M2082" t="s">
        <v>661</v>
      </c>
    </row>
    <row r="2083" spans="1:13">
      <c r="A2083" t="s">
        <v>851</v>
      </c>
      <c r="B2083" t="s">
        <v>686</v>
      </c>
      <c r="C2083" t="s">
        <v>686</v>
      </c>
      <c r="D2083" t="s">
        <v>3185</v>
      </c>
      <c r="E2083" t="s">
        <v>660</v>
      </c>
      <c r="F2083" t="s">
        <v>40</v>
      </c>
      <c r="G2083">
        <v>2050</v>
      </c>
      <c r="H2083" s="12">
        <v>3802</v>
      </c>
      <c r="I2083" t="s">
        <v>3183</v>
      </c>
      <c r="J2083" t="s">
        <v>41</v>
      </c>
      <c r="K2083" t="s">
        <v>657</v>
      </c>
      <c r="L2083" t="s">
        <v>649</v>
      </c>
      <c r="M2083" t="s">
        <v>661</v>
      </c>
    </row>
    <row r="2084" spans="1:13">
      <c r="A2084" t="s">
        <v>851</v>
      </c>
      <c r="B2084" t="s">
        <v>687</v>
      </c>
      <c r="C2084" t="s">
        <v>687</v>
      </c>
      <c r="D2084" t="s">
        <v>3185</v>
      </c>
      <c r="E2084" t="s">
        <v>660</v>
      </c>
      <c r="F2084" t="s">
        <v>40</v>
      </c>
      <c r="G2084">
        <v>2030</v>
      </c>
      <c r="H2084" s="12">
        <v>1214</v>
      </c>
      <c r="I2084" t="s">
        <v>3183</v>
      </c>
      <c r="J2084" t="s">
        <v>41</v>
      </c>
      <c r="K2084" t="s">
        <v>657</v>
      </c>
      <c r="L2084" t="s">
        <v>649</v>
      </c>
      <c r="M2084" t="s">
        <v>661</v>
      </c>
    </row>
    <row r="2085" spans="1:13">
      <c r="A2085" t="s">
        <v>851</v>
      </c>
      <c r="B2085" t="s">
        <v>687</v>
      </c>
      <c r="C2085" t="s">
        <v>687</v>
      </c>
      <c r="D2085" t="s">
        <v>3185</v>
      </c>
      <c r="E2085" t="s">
        <v>660</v>
      </c>
      <c r="F2085" t="s">
        <v>40</v>
      </c>
      <c r="G2085">
        <v>2035</v>
      </c>
      <c r="H2085" s="12">
        <v>1070</v>
      </c>
      <c r="I2085" t="s">
        <v>3183</v>
      </c>
      <c r="J2085" t="s">
        <v>41</v>
      </c>
      <c r="K2085" t="s">
        <v>657</v>
      </c>
      <c r="L2085" t="s">
        <v>649</v>
      </c>
      <c r="M2085" t="s">
        <v>661</v>
      </c>
    </row>
    <row r="2086" spans="1:13">
      <c r="A2086" t="s">
        <v>851</v>
      </c>
      <c r="B2086" t="s">
        <v>687</v>
      </c>
      <c r="C2086" t="s">
        <v>687</v>
      </c>
      <c r="D2086" t="s">
        <v>3185</v>
      </c>
      <c r="E2086" t="s">
        <v>660</v>
      </c>
      <c r="F2086" t="s">
        <v>40</v>
      </c>
      <c r="G2086">
        <v>2040</v>
      </c>
      <c r="H2086" s="12">
        <v>1041</v>
      </c>
      <c r="I2086" t="s">
        <v>3183</v>
      </c>
      <c r="J2086" t="s">
        <v>41</v>
      </c>
      <c r="K2086" t="s">
        <v>657</v>
      </c>
      <c r="L2086" t="s">
        <v>649</v>
      </c>
      <c r="M2086" t="s">
        <v>661</v>
      </c>
    </row>
    <row r="2087" spans="1:13">
      <c r="A2087" t="s">
        <v>851</v>
      </c>
      <c r="B2087" t="s">
        <v>687</v>
      </c>
      <c r="C2087" t="s">
        <v>687</v>
      </c>
      <c r="D2087" t="s">
        <v>3185</v>
      </c>
      <c r="E2087" t="s">
        <v>660</v>
      </c>
      <c r="F2087" t="s">
        <v>40</v>
      </c>
      <c r="G2087">
        <v>2045</v>
      </c>
      <c r="H2087" s="12">
        <v>1016</v>
      </c>
      <c r="I2087" t="s">
        <v>3183</v>
      </c>
      <c r="J2087" t="s">
        <v>41</v>
      </c>
      <c r="K2087" t="s">
        <v>657</v>
      </c>
      <c r="L2087" t="s">
        <v>649</v>
      </c>
      <c r="M2087" t="s">
        <v>661</v>
      </c>
    </row>
    <row r="2088" spans="1:13">
      <c r="A2088" t="s">
        <v>851</v>
      </c>
      <c r="B2088" t="s">
        <v>687</v>
      </c>
      <c r="C2088" t="s">
        <v>687</v>
      </c>
      <c r="D2088" t="s">
        <v>3185</v>
      </c>
      <c r="E2088" t="s">
        <v>660</v>
      </c>
      <c r="F2088" t="s">
        <v>40</v>
      </c>
      <c r="G2088">
        <v>2050</v>
      </c>
      <c r="H2088" s="12">
        <v>991</v>
      </c>
      <c r="I2088" t="s">
        <v>3183</v>
      </c>
      <c r="J2088" t="s">
        <v>41</v>
      </c>
      <c r="K2088" t="s">
        <v>657</v>
      </c>
      <c r="L2088" t="s">
        <v>649</v>
      </c>
      <c r="M2088" t="s">
        <v>661</v>
      </c>
    </row>
    <row r="2089" spans="1:13">
      <c r="A2089" t="s">
        <v>851</v>
      </c>
      <c r="B2089" t="s">
        <v>686</v>
      </c>
      <c r="C2089" t="s">
        <v>686</v>
      </c>
      <c r="D2089" t="s">
        <v>3185</v>
      </c>
      <c r="E2089" t="s">
        <v>660</v>
      </c>
      <c r="F2089" t="s">
        <v>40</v>
      </c>
      <c r="G2089">
        <v>2010</v>
      </c>
      <c r="H2089" s="12">
        <v>6349</v>
      </c>
      <c r="I2089" t="s">
        <v>3183</v>
      </c>
      <c r="J2089" t="s">
        <v>15</v>
      </c>
      <c r="K2089" t="s">
        <v>657</v>
      </c>
      <c r="L2089" t="s">
        <v>649</v>
      </c>
      <c r="M2089" t="s">
        <v>15</v>
      </c>
    </row>
    <row r="2090" spans="1:13">
      <c r="A2090" t="s">
        <v>851</v>
      </c>
      <c r="B2090" t="s">
        <v>686</v>
      </c>
      <c r="C2090" t="s">
        <v>686</v>
      </c>
      <c r="D2090" t="s">
        <v>3185</v>
      </c>
      <c r="E2090" t="s">
        <v>660</v>
      </c>
      <c r="F2090" t="s">
        <v>40</v>
      </c>
      <c r="G2090">
        <v>2015</v>
      </c>
      <c r="H2090" s="12">
        <v>4620</v>
      </c>
      <c r="I2090" t="s">
        <v>3183</v>
      </c>
      <c r="J2090" t="s">
        <v>15</v>
      </c>
      <c r="K2090" t="s">
        <v>657</v>
      </c>
      <c r="L2090" t="s">
        <v>649</v>
      </c>
      <c r="M2090" t="s">
        <v>15</v>
      </c>
    </row>
    <row r="2091" spans="1:13">
      <c r="A2091" t="s">
        <v>851</v>
      </c>
      <c r="B2091" t="s">
        <v>686</v>
      </c>
      <c r="C2091" t="s">
        <v>686</v>
      </c>
      <c r="D2091" t="s">
        <v>12</v>
      </c>
      <c r="E2091" t="s">
        <v>242</v>
      </c>
      <c r="F2091" t="s">
        <v>663</v>
      </c>
      <c r="G2091">
        <v>2010</v>
      </c>
      <c r="H2091" s="12">
        <v>110.41</v>
      </c>
      <c r="I2091" t="s">
        <v>3183</v>
      </c>
      <c r="J2091" t="s">
        <v>5</v>
      </c>
      <c r="K2091" t="s">
        <v>664</v>
      </c>
      <c r="L2091" t="s">
        <v>3184</v>
      </c>
      <c r="M2091" t="s">
        <v>5</v>
      </c>
    </row>
    <row r="2092" spans="1:13">
      <c r="A2092" t="s">
        <v>851</v>
      </c>
      <c r="B2092" t="s">
        <v>686</v>
      </c>
      <c r="C2092" t="s">
        <v>686</v>
      </c>
      <c r="D2092" t="s">
        <v>12</v>
      </c>
      <c r="E2092" t="s">
        <v>242</v>
      </c>
      <c r="F2092" t="s">
        <v>663</v>
      </c>
      <c r="G2092">
        <v>2015</v>
      </c>
      <c r="H2092" s="12">
        <v>179.44</v>
      </c>
      <c r="I2092" t="s">
        <v>3183</v>
      </c>
      <c r="J2092" t="s">
        <v>5</v>
      </c>
      <c r="K2092" t="s">
        <v>664</v>
      </c>
      <c r="L2092" t="s">
        <v>3184</v>
      </c>
      <c r="M2092" t="s">
        <v>5</v>
      </c>
    </row>
    <row r="2093" spans="1:13">
      <c r="A2093" t="s">
        <v>851</v>
      </c>
      <c r="B2093" t="s">
        <v>686</v>
      </c>
      <c r="C2093" t="s">
        <v>686</v>
      </c>
      <c r="D2093" t="s">
        <v>12</v>
      </c>
      <c r="E2093" t="s">
        <v>242</v>
      </c>
      <c r="F2093" t="s">
        <v>663</v>
      </c>
      <c r="G2093">
        <v>2020</v>
      </c>
      <c r="H2093" s="12">
        <v>196.65</v>
      </c>
      <c r="I2093" t="s">
        <v>3183</v>
      </c>
      <c r="J2093" t="s">
        <v>5</v>
      </c>
      <c r="K2093" t="s">
        <v>664</v>
      </c>
      <c r="L2093" t="s">
        <v>3184</v>
      </c>
      <c r="M2093" t="s">
        <v>5</v>
      </c>
    </row>
    <row r="2094" spans="1:13">
      <c r="A2094" t="s">
        <v>851</v>
      </c>
      <c r="B2094" t="s">
        <v>686</v>
      </c>
      <c r="C2094" t="s">
        <v>686</v>
      </c>
      <c r="D2094" t="s">
        <v>12</v>
      </c>
      <c r="E2094" t="s">
        <v>242</v>
      </c>
      <c r="F2094" t="s">
        <v>663</v>
      </c>
      <c r="G2094">
        <v>2030</v>
      </c>
      <c r="H2094" s="12">
        <v>144.04</v>
      </c>
      <c r="I2094" t="s">
        <v>3183</v>
      </c>
      <c r="J2094" t="s">
        <v>5</v>
      </c>
      <c r="K2094" t="s">
        <v>664</v>
      </c>
      <c r="L2094" t="s">
        <v>3184</v>
      </c>
      <c r="M2094" t="s">
        <v>5</v>
      </c>
    </row>
    <row r="2095" spans="1:13">
      <c r="A2095" t="s">
        <v>851</v>
      </c>
      <c r="B2095" t="s">
        <v>686</v>
      </c>
      <c r="C2095" t="s">
        <v>686</v>
      </c>
      <c r="D2095" t="s">
        <v>12</v>
      </c>
      <c r="E2095" t="s">
        <v>242</v>
      </c>
      <c r="F2095" t="s">
        <v>663</v>
      </c>
      <c r="G2095">
        <v>2035</v>
      </c>
      <c r="H2095" s="12">
        <v>141.16999999999999</v>
      </c>
      <c r="I2095" t="s">
        <v>3183</v>
      </c>
      <c r="J2095" t="s">
        <v>5</v>
      </c>
      <c r="K2095" t="s">
        <v>664</v>
      </c>
      <c r="L2095" t="s">
        <v>3184</v>
      </c>
      <c r="M2095" t="s">
        <v>5</v>
      </c>
    </row>
    <row r="2096" spans="1:13">
      <c r="A2096" t="s">
        <v>851</v>
      </c>
      <c r="B2096" t="s">
        <v>686</v>
      </c>
      <c r="C2096" t="s">
        <v>686</v>
      </c>
      <c r="D2096" t="s">
        <v>12</v>
      </c>
      <c r="E2096" t="s">
        <v>242</v>
      </c>
      <c r="F2096" t="s">
        <v>663</v>
      </c>
      <c r="G2096">
        <v>2050</v>
      </c>
      <c r="H2096" s="12">
        <v>283.02999999999997</v>
      </c>
      <c r="I2096" t="s">
        <v>3183</v>
      </c>
      <c r="J2096" t="s">
        <v>6</v>
      </c>
      <c r="K2096" t="s">
        <v>664</v>
      </c>
      <c r="L2096" t="s">
        <v>3184</v>
      </c>
      <c r="M2096" t="s">
        <v>659</v>
      </c>
    </row>
    <row r="2097" spans="1:13">
      <c r="A2097" t="s">
        <v>851</v>
      </c>
      <c r="B2097" t="s">
        <v>687</v>
      </c>
      <c r="C2097" t="s">
        <v>687</v>
      </c>
      <c r="D2097" t="s">
        <v>12</v>
      </c>
      <c r="E2097" t="s">
        <v>242</v>
      </c>
      <c r="F2097" t="s">
        <v>663</v>
      </c>
      <c r="G2097">
        <v>2030</v>
      </c>
      <c r="H2097" s="12">
        <v>296.69</v>
      </c>
      <c r="I2097" t="s">
        <v>3183</v>
      </c>
      <c r="J2097" t="s">
        <v>6</v>
      </c>
      <c r="K2097" t="s">
        <v>664</v>
      </c>
      <c r="L2097" t="s">
        <v>3184</v>
      </c>
      <c r="M2097" t="s">
        <v>659</v>
      </c>
    </row>
    <row r="2098" spans="1:13">
      <c r="A2098" t="s">
        <v>851</v>
      </c>
      <c r="B2098" t="s">
        <v>687</v>
      </c>
      <c r="C2098" t="s">
        <v>687</v>
      </c>
      <c r="D2098" t="s">
        <v>12</v>
      </c>
      <c r="E2098" t="s">
        <v>242</v>
      </c>
      <c r="F2098" t="s">
        <v>663</v>
      </c>
      <c r="G2098">
        <v>2035</v>
      </c>
      <c r="H2098" s="12">
        <v>286.02999999999997</v>
      </c>
      <c r="I2098" t="s">
        <v>3183</v>
      </c>
      <c r="J2098" t="s">
        <v>6</v>
      </c>
      <c r="K2098" t="s">
        <v>664</v>
      </c>
      <c r="L2098" t="s">
        <v>3184</v>
      </c>
      <c r="M2098" t="s">
        <v>659</v>
      </c>
    </row>
    <row r="2099" spans="1:13">
      <c r="A2099" t="s">
        <v>851</v>
      </c>
      <c r="B2099" t="s">
        <v>687</v>
      </c>
      <c r="C2099" t="s">
        <v>687</v>
      </c>
      <c r="D2099" t="s">
        <v>12</v>
      </c>
      <c r="E2099" t="s">
        <v>242</v>
      </c>
      <c r="F2099" t="s">
        <v>663</v>
      </c>
      <c r="G2099">
        <v>2040</v>
      </c>
      <c r="H2099" s="12">
        <v>275.83999999999997</v>
      </c>
      <c r="I2099" t="s">
        <v>3183</v>
      </c>
      <c r="J2099" t="s">
        <v>6</v>
      </c>
      <c r="K2099" t="s">
        <v>664</v>
      </c>
      <c r="L2099" t="s">
        <v>3184</v>
      </c>
      <c r="M2099" t="s">
        <v>659</v>
      </c>
    </row>
    <row r="2100" spans="1:13">
      <c r="A2100" t="s">
        <v>851</v>
      </c>
      <c r="B2100" t="s">
        <v>687</v>
      </c>
      <c r="C2100" t="s">
        <v>687</v>
      </c>
      <c r="D2100" t="s">
        <v>12</v>
      </c>
      <c r="E2100" t="s">
        <v>242</v>
      </c>
      <c r="F2100" t="s">
        <v>663</v>
      </c>
      <c r="G2100">
        <v>2045</v>
      </c>
      <c r="H2100" s="12">
        <v>269.04000000000002</v>
      </c>
      <c r="I2100" t="s">
        <v>3183</v>
      </c>
      <c r="J2100" t="s">
        <v>6</v>
      </c>
      <c r="K2100" t="s">
        <v>664</v>
      </c>
      <c r="L2100" t="s">
        <v>3184</v>
      </c>
      <c r="M2100" t="s">
        <v>659</v>
      </c>
    </row>
    <row r="2101" spans="1:13">
      <c r="A2101" t="s">
        <v>851</v>
      </c>
      <c r="B2101" t="s">
        <v>687</v>
      </c>
      <c r="C2101" t="s">
        <v>687</v>
      </c>
      <c r="D2101" t="s">
        <v>12</v>
      </c>
      <c r="E2101" t="s">
        <v>242</v>
      </c>
      <c r="F2101" t="s">
        <v>663</v>
      </c>
      <c r="G2101">
        <v>2050</v>
      </c>
      <c r="H2101" s="12">
        <v>261.95999999999998</v>
      </c>
      <c r="I2101" t="s">
        <v>3183</v>
      </c>
      <c r="J2101" t="s">
        <v>6</v>
      </c>
      <c r="K2101" t="s">
        <v>664</v>
      </c>
      <c r="L2101" t="s">
        <v>3184</v>
      </c>
      <c r="M2101" t="s">
        <v>659</v>
      </c>
    </row>
    <row r="2102" spans="1:13">
      <c r="A2102" t="s">
        <v>851</v>
      </c>
      <c r="B2102" t="s">
        <v>686</v>
      </c>
      <c r="C2102" t="s">
        <v>686</v>
      </c>
      <c r="D2102" t="s">
        <v>3185</v>
      </c>
      <c r="E2102" t="s">
        <v>660</v>
      </c>
      <c r="F2102" t="s">
        <v>40</v>
      </c>
      <c r="G2102">
        <v>2010</v>
      </c>
      <c r="H2102" s="12">
        <v>418</v>
      </c>
      <c r="I2102" t="s">
        <v>3183</v>
      </c>
      <c r="J2102" t="s">
        <v>17</v>
      </c>
      <c r="K2102" t="s">
        <v>657</v>
      </c>
      <c r="L2102" t="s">
        <v>649</v>
      </c>
      <c r="M2102" t="s">
        <v>17</v>
      </c>
    </row>
    <row r="2103" spans="1:13">
      <c r="A2103" t="s">
        <v>851</v>
      </c>
      <c r="B2103" t="s">
        <v>686</v>
      </c>
      <c r="C2103" t="s">
        <v>686</v>
      </c>
      <c r="D2103" t="s">
        <v>3185</v>
      </c>
      <c r="E2103" t="s">
        <v>660</v>
      </c>
      <c r="F2103" t="s">
        <v>40</v>
      </c>
      <c r="G2103">
        <v>2015</v>
      </c>
      <c r="H2103" s="12">
        <v>1305</v>
      </c>
      <c r="I2103" t="s">
        <v>3183</v>
      </c>
      <c r="J2103" t="s">
        <v>17</v>
      </c>
      <c r="K2103" t="s">
        <v>657</v>
      </c>
      <c r="L2103" t="s">
        <v>649</v>
      </c>
      <c r="M2103" t="s">
        <v>17</v>
      </c>
    </row>
    <row r="2104" spans="1:13">
      <c r="A2104" t="s">
        <v>851</v>
      </c>
      <c r="B2104" t="s">
        <v>686</v>
      </c>
      <c r="C2104" t="s">
        <v>686</v>
      </c>
      <c r="D2104" t="s">
        <v>3185</v>
      </c>
      <c r="E2104" t="s">
        <v>660</v>
      </c>
      <c r="F2104" t="s">
        <v>40</v>
      </c>
      <c r="G2104">
        <v>2020</v>
      </c>
      <c r="H2104" s="12">
        <v>2733</v>
      </c>
      <c r="I2104" t="s">
        <v>3183</v>
      </c>
      <c r="J2104" t="s">
        <v>17</v>
      </c>
      <c r="K2104" t="s">
        <v>657</v>
      </c>
      <c r="L2104" t="s">
        <v>649</v>
      </c>
      <c r="M2104" t="s">
        <v>17</v>
      </c>
    </row>
    <row r="2105" spans="1:13">
      <c r="A2105" t="s">
        <v>851</v>
      </c>
      <c r="B2105" t="s">
        <v>686</v>
      </c>
      <c r="C2105" t="s">
        <v>686</v>
      </c>
      <c r="D2105" t="s">
        <v>3185</v>
      </c>
      <c r="E2105" t="s">
        <v>660</v>
      </c>
      <c r="F2105" t="s">
        <v>40</v>
      </c>
      <c r="G2105">
        <v>2030</v>
      </c>
      <c r="H2105" s="12">
        <v>10238</v>
      </c>
      <c r="I2105" t="s">
        <v>3183</v>
      </c>
      <c r="J2105" t="s">
        <v>17</v>
      </c>
      <c r="K2105" t="s">
        <v>657</v>
      </c>
      <c r="L2105" t="s">
        <v>649</v>
      </c>
      <c r="M2105" t="s">
        <v>17</v>
      </c>
    </row>
    <row r="2106" spans="1:13">
      <c r="A2106" t="s">
        <v>851</v>
      </c>
      <c r="B2106" t="s">
        <v>686</v>
      </c>
      <c r="C2106" t="s">
        <v>686</v>
      </c>
      <c r="D2106" t="s">
        <v>3185</v>
      </c>
      <c r="E2106" t="s">
        <v>660</v>
      </c>
      <c r="F2106" t="s">
        <v>40</v>
      </c>
      <c r="G2106">
        <v>2035</v>
      </c>
      <c r="H2106" s="12">
        <v>15368</v>
      </c>
      <c r="I2106" t="s">
        <v>3183</v>
      </c>
      <c r="J2106" t="s">
        <v>17</v>
      </c>
      <c r="K2106" t="s">
        <v>657</v>
      </c>
      <c r="L2106" t="s">
        <v>649</v>
      </c>
      <c r="M2106" t="s">
        <v>17</v>
      </c>
    </row>
    <row r="2107" spans="1:13">
      <c r="A2107" t="s">
        <v>851</v>
      </c>
      <c r="B2107" t="s">
        <v>686</v>
      </c>
      <c r="C2107" t="s">
        <v>686</v>
      </c>
      <c r="D2107" t="s">
        <v>3185</v>
      </c>
      <c r="E2107" t="s">
        <v>660</v>
      </c>
      <c r="F2107" t="s">
        <v>40</v>
      </c>
      <c r="G2107">
        <v>2040</v>
      </c>
      <c r="H2107" s="12">
        <v>20754</v>
      </c>
      <c r="I2107" t="s">
        <v>3183</v>
      </c>
      <c r="J2107" t="s">
        <v>17</v>
      </c>
      <c r="K2107" t="s">
        <v>657</v>
      </c>
      <c r="L2107" t="s">
        <v>649</v>
      </c>
      <c r="M2107" t="s">
        <v>17</v>
      </c>
    </row>
    <row r="2108" spans="1:13">
      <c r="A2108" t="s">
        <v>851</v>
      </c>
      <c r="B2108" t="s">
        <v>686</v>
      </c>
      <c r="C2108" t="s">
        <v>686</v>
      </c>
      <c r="D2108" t="s">
        <v>3185</v>
      </c>
      <c r="E2108" t="s">
        <v>660</v>
      </c>
      <c r="F2108" t="s">
        <v>40</v>
      </c>
      <c r="G2108">
        <v>2045</v>
      </c>
      <c r="H2108" s="12">
        <v>25784</v>
      </c>
      <c r="I2108" t="s">
        <v>3183</v>
      </c>
      <c r="J2108" t="s">
        <v>17</v>
      </c>
      <c r="K2108" t="s">
        <v>657</v>
      </c>
      <c r="L2108" t="s">
        <v>649</v>
      </c>
      <c r="M2108" t="s">
        <v>17</v>
      </c>
    </row>
    <row r="2109" spans="1:13">
      <c r="A2109" t="s">
        <v>851</v>
      </c>
      <c r="B2109" t="s">
        <v>686</v>
      </c>
      <c r="C2109" t="s">
        <v>686</v>
      </c>
      <c r="D2109" t="s">
        <v>3185</v>
      </c>
      <c r="E2109" t="s">
        <v>660</v>
      </c>
      <c r="F2109" t="s">
        <v>40</v>
      </c>
      <c r="G2109">
        <v>2050</v>
      </c>
      <c r="H2109" s="12">
        <v>29822</v>
      </c>
      <c r="I2109" t="s">
        <v>3183</v>
      </c>
      <c r="J2109" t="s">
        <v>17</v>
      </c>
      <c r="K2109" t="s">
        <v>657</v>
      </c>
      <c r="L2109" t="s">
        <v>649</v>
      </c>
      <c r="M2109" t="s">
        <v>17</v>
      </c>
    </row>
    <row r="2110" spans="1:13">
      <c r="A2110" t="s">
        <v>851</v>
      </c>
      <c r="B2110" t="s">
        <v>687</v>
      </c>
      <c r="C2110" t="s">
        <v>687</v>
      </c>
      <c r="D2110" t="s">
        <v>3185</v>
      </c>
      <c r="E2110" t="s">
        <v>660</v>
      </c>
      <c r="F2110" t="s">
        <v>40</v>
      </c>
      <c r="G2110">
        <v>2030</v>
      </c>
      <c r="H2110" s="12">
        <v>11770</v>
      </c>
      <c r="I2110" t="s">
        <v>3183</v>
      </c>
      <c r="J2110" t="s">
        <v>17</v>
      </c>
      <c r="K2110" t="s">
        <v>657</v>
      </c>
      <c r="L2110" t="s">
        <v>649</v>
      </c>
      <c r="M2110" t="s">
        <v>17</v>
      </c>
    </row>
    <row r="2111" spans="1:13">
      <c r="A2111" t="s">
        <v>851</v>
      </c>
      <c r="B2111" t="s">
        <v>687</v>
      </c>
      <c r="C2111" t="s">
        <v>687</v>
      </c>
      <c r="D2111" t="s">
        <v>3185</v>
      </c>
      <c r="E2111" t="s">
        <v>660</v>
      </c>
      <c r="F2111" t="s">
        <v>40</v>
      </c>
      <c r="G2111">
        <v>2035</v>
      </c>
      <c r="H2111" s="12">
        <v>19898</v>
      </c>
      <c r="I2111" t="s">
        <v>3183</v>
      </c>
      <c r="J2111" t="s">
        <v>17</v>
      </c>
      <c r="K2111" t="s">
        <v>657</v>
      </c>
      <c r="L2111" t="s">
        <v>649</v>
      </c>
      <c r="M2111" t="s">
        <v>17</v>
      </c>
    </row>
    <row r="2112" spans="1:13">
      <c r="A2112" t="s">
        <v>851</v>
      </c>
      <c r="B2112" t="s">
        <v>687</v>
      </c>
      <c r="C2112" t="s">
        <v>687</v>
      </c>
      <c r="D2112" t="s">
        <v>3185</v>
      </c>
      <c r="E2112" t="s">
        <v>660</v>
      </c>
      <c r="F2112" t="s">
        <v>40</v>
      </c>
      <c r="G2112">
        <v>2040</v>
      </c>
      <c r="H2112" s="12">
        <v>30456</v>
      </c>
      <c r="I2112" t="s">
        <v>3183</v>
      </c>
      <c r="J2112" t="s">
        <v>17</v>
      </c>
      <c r="K2112" t="s">
        <v>657</v>
      </c>
      <c r="L2112" t="s">
        <v>649</v>
      </c>
      <c r="M2112" t="s">
        <v>17</v>
      </c>
    </row>
    <row r="2113" spans="1:13">
      <c r="A2113" t="s">
        <v>851</v>
      </c>
      <c r="B2113" t="s">
        <v>687</v>
      </c>
      <c r="C2113" t="s">
        <v>687</v>
      </c>
      <c r="D2113" t="s">
        <v>3185</v>
      </c>
      <c r="E2113" t="s">
        <v>660</v>
      </c>
      <c r="F2113" t="s">
        <v>40</v>
      </c>
      <c r="G2113">
        <v>2045</v>
      </c>
      <c r="H2113" s="12">
        <v>39843</v>
      </c>
      <c r="I2113" t="s">
        <v>3183</v>
      </c>
      <c r="J2113" t="s">
        <v>17</v>
      </c>
      <c r="K2113" t="s">
        <v>657</v>
      </c>
      <c r="L2113" t="s">
        <v>649</v>
      </c>
      <c r="M2113" t="s">
        <v>17</v>
      </c>
    </row>
    <row r="2114" spans="1:13">
      <c r="A2114" t="s">
        <v>851</v>
      </c>
      <c r="B2114" t="s">
        <v>687</v>
      </c>
      <c r="C2114" t="s">
        <v>687</v>
      </c>
      <c r="D2114" t="s">
        <v>3185</v>
      </c>
      <c r="E2114" t="s">
        <v>660</v>
      </c>
      <c r="F2114" t="s">
        <v>40</v>
      </c>
      <c r="G2114">
        <v>2050</v>
      </c>
      <c r="H2114" s="12">
        <v>48142</v>
      </c>
      <c r="I2114" t="s">
        <v>3183</v>
      </c>
      <c r="J2114" t="s">
        <v>17</v>
      </c>
      <c r="K2114" t="s">
        <v>657</v>
      </c>
      <c r="L2114" t="s">
        <v>649</v>
      </c>
      <c r="M2114" t="s">
        <v>17</v>
      </c>
    </row>
    <row r="2115" spans="1:13">
      <c r="A2115" t="s">
        <v>851</v>
      </c>
      <c r="B2115" t="s">
        <v>686</v>
      </c>
      <c r="C2115" t="s">
        <v>686</v>
      </c>
      <c r="D2115" t="s">
        <v>3185</v>
      </c>
      <c r="E2115" t="s">
        <v>660</v>
      </c>
      <c r="F2115" t="s">
        <v>40</v>
      </c>
      <c r="G2115">
        <v>2010</v>
      </c>
      <c r="H2115" s="12">
        <v>277</v>
      </c>
      <c r="I2115" t="s">
        <v>3183</v>
      </c>
      <c r="J2115" t="s">
        <v>18</v>
      </c>
      <c r="K2115" t="s">
        <v>657</v>
      </c>
      <c r="L2115" t="s">
        <v>649</v>
      </c>
      <c r="M2115" t="s">
        <v>18</v>
      </c>
    </row>
    <row r="2116" spans="1:13">
      <c r="A2116" t="s">
        <v>851</v>
      </c>
      <c r="B2116" t="s">
        <v>687</v>
      </c>
      <c r="C2116" t="s">
        <v>687</v>
      </c>
      <c r="D2116" t="s">
        <v>12</v>
      </c>
      <c r="E2116" t="s">
        <v>242</v>
      </c>
      <c r="F2116" t="s">
        <v>663</v>
      </c>
      <c r="G2116">
        <v>2030</v>
      </c>
      <c r="H2116" s="12">
        <v>175.56</v>
      </c>
      <c r="I2116" t="s">
        <v>3183</v>
      </c>
      <c r="J2116" t="s">
        <v>5</v>
      </c>
      <c r="K2116" t="s">
        <v>147</v>
      </c>
      <c r="L2116" t="s">
        <v>3184</v>
      </c>
      <c r="M2116" t="s">
        <v>5</v>
      </c>
    </row>
    <row r="2117" spans="1:13">
      <c r="A2117" t="s">
        <v>851</v>
      </c>
      <c r="B2117" t="s">
        <v>687</v>
      </c>
      <c r="C2117" t="s">
        <v>687</v>
      </c>
      <c r="D2117" t="s">
        <v>12</v>
      </c>
      <c r="E2117" t="s">
        <v>242</v>
      </c>
      <c r="F2117" t="s">
        <v>663</v>
      </c>
      <c r="G2117">
        <v>2035</v>
      </c>
      <c r="H2117" s="12">
        <v>162.75</v>
      </c>
      <c r="I2117" t="s">
        <v>3183</v>
      </c>
      <c r="J2117" t="s">
        <v>5</v>
      </c>
      <c r="K2117" t="s">
        <v>147</v>
      </c>
      <c r="L2117" t="s">
        <v>3184</v>
      </c>
      <c r="M2117" t="s">
        <v>5</v>
      </c>
    </row>
    <row r="2118" spans="1:13">
      <c r="A2118" t="s">
        <v>851</v>
      </c>
      <c r="B2118" t="s">
        <v>687</v>
      </c>
      <c r="C2118" t="s">
        <v>687</v>
      </c>
      <c r="D2118" t="s">
        <v>12</v>
      </c>
      <c r="E2118" t="s">
        <v>242</v>
      </c>
      <c r="F2118" t="s">
        <v>663</v>
      </c>
      <c r="G2118">
        <v>2040</v>
      </c>
      <c r="H2118" s="12">
        <v>149.58000000000001</v>
      </c>
      <c r="I2118" t="s">
        <v>3183</v>
      </c>
      <c r="J2118" t="s">
        <v>5</v>
      </c>
      <c r="K2118" t="s">
        <v>147</v>
      </c>
      <c r="L2118" t="s">
        <v>3184</v>
      </c>
      <c r="M2118" t="s">
        <v>5</v>
      </c>
    </row>
    <row r="2119" spans="1:13">
      <c r="A2119" t="s">
        <v>851</v>
      </c>
      <c r="B2119" t="s">
        <v>687</v>
      </c>
      <c r="C2119" t="s">
        <v>687</v>
      </c>
      <c r="D2119" t="s">
        <v>12</v>
      </c>
      <c r="E2119" t="s">
        <v>242</v>
      </c>
      <c r="F2119" t="s">
        <v>663</v>
      </c>
      <c r="G2119">
        <v>2045</v>
      </c>
      <c r="H2119" s="12">
        <v>141.5</v>
      </c>
      <c r="I2119" t="s">
        <v>3183</v>
      </c>
      <c r="J2119" t="s">
        <v>5</v>
      </c>
      <c r="K2119" t="s">
        <v>147</v>
      </c>
      <c r="L2119" t="s">
        <v>3184</v>
      </c>
      <c r="M2119" t="s">
        <v>5</v>
      </c>
    </row>
    <row r="2120" spans="1:13">
      <c r="A2120" t="s">
        <v>851</v>
      </c>
      <c r="B2120" t="s">
        <v>687</v>
      </c>
      <c r="C2120" t="s">
        <v>687</v>
      </c>
      <c r="D2120" t="s">
        <v>12</v>
      </c>
      <c r="E2120" t="s">
        <v>242</v>
      </c>
      <c r="F2120" t="s">
        <v>663</v>
      </c>
      <c r="G2120">
        <v>2050</v>
      </c>
      <c r="H2120" s="12">
        <v>141.06</v>
      </c>
      <c r="I2120" t="s">
        <v>3183</v>
      </c>
      <c r="J2120" t="s">
        <v>5</v>
      </c>
      <c r="K2120" t="s">
        <v>147</v>
      </c>
      <c r="L2120" t="s">
        <v>3184</v>
      </c>
      <c r="M2120" t="s">
        <v>5</v>
      </c>
    </row>
    <row r="2121" spans="1:13">
      <c r="A2121" t="s">
        <v>851</v>
      </c>
      <c r="B2121" t="s">
        <v>686</v>
      </c>
      <c r="C2121" t="s">
        <v>686</v>
      </c>
      <c r="D2121" t="s">
        <v>12</v>
      </c>
      <c r="E2121" t="s">
        <v>242</v>
      </c>
      <c r="F2121" t="s">
        <v>663</v>
      </c>
      <c r="G2121">
        <v>2010</v>
      </c>
      <c r="H2121" s="12">
        <v>35.92</v>
      </c>
      <c r="I2121" t="s">
        <v>3183</v>
      </c>
      <c r="J2121" t="s">
        <v>394</v>
      </c>
      <c r="K2121" t="s">
        <v>147</v>
      </c>
      <c r="L2121" t="s">
        <v>3184</v>
      </c>
      <c r="M2121" t="s">
        <v>16</v>
      </c>
    </row>
    <row r="2122" spans="1:13">
      <c r="A2122" t="s">
        <v>851</v>
      </c>
      <c r="B2122" t="s">
        <v>686</v>
      </c>
      <c r="C2122" t="s">
        <v>686</v>
      </c>
      <c r="D2122" t="s">
        <v>12</v>
      </c>
      <c r="E2122" t="s">
        <v>242</v>
      </c>
      <c r="F2122" t="s">
        <v>663</v>
      </c>
      <c r="G2122">
        <v>2015</v>
      </c>
      <c r="H2122" s="12">
        <v>31.51</v>
      </c>
      <c r="I2122" t="s">
        <v>3183</v>
      </c>
      <c r="J2122" t="s">
        <v>394</v>
      </c>
      <c r="K2122" t="s">
        <v>147</v>
      </c>
      <c r="L2122" t="s">
        <v>3184</v>
      </c>
      <c r="M2122" t="s">
        <v>16</v>
      </c>
    </row>
    <row r="2123" spans="1:13">
      <c r="A2123" t="s">
        <v>851</v>
      </c>
      <c r="B2123" t="s">
        <v>686</v>
      </c>
      <c r="C2123" t="s">
        <v>686</v>
      </c>
      <c r="D2123" t="s">
        <v>12</v>
      </c>
      <c r="E2123" t="s">
        <v>242</v>
      </c>
      <c r="F2123" t="s">
        <v>663</v>
      </c>
      <c r="G2123">
        <v>2020</v>
      </c>
      <c r="H2123" s="12">
        <v>20.350000000000001</v>
      </c>
      <c r="I2123" t="s">
        <v>3183</v>
      </c>
      <c r="J2123" t="s">
        <v>394</v>
      </c>
      <c r="K2123" t="s">
        <v>147</v>
      </c>
      <c r="L2123" t="s">
        <v>3184</v>
      </c>
      <c r="M2123" t="s">
        <v>16</v>
      </c>
    </row>
    <row r="2124" spans="1:13">
      <c r="A2124" t="s">
        <v>851</v>
      </c>
      <c r="B2124" t="s">
        <v>686</v>
      </c>
      <c r="C2124" t="s">
        <v>686</v>
      </c>
      <c r="D2124" t="s">
        <v>12</v>
      </c>
      <c r="E2124" t="s">
        <v>242</v>
      </c>
      <c r="F2124" t="s">
        <v>663</v>
      </c>
      <c r="G2124">
        <v>2030</v>
      </c>
      <c r="H2124" s="12">
        <v>11.46</v>
      </c>
      <c r="I2124" t="s">
        <v>3183</v>
      </c>
      <c r="J2124" t="s">
        <v>394</v>
      </c>
      <c r="K2124" t="s">
        <v>147</v>
      </c>
      <c r="L2124" t="s">
        <v>3184</v>
      </c>
      <c r="M2124" t="s">
        <v>16</v>
      </c>
    </row>
    <row r="2125" spans="1:13">
      <c r="A2125" t="s">
        <v>851</v>
      </c>
      <c r="B2125" t="s">
        <v>686</v>
      </c>
      <c r="C2125" t="s">
        <v>686</v>
      </c>
      <c r="D2125" t="s">
        <v>12</v>
      </c>
      <c r="E2125" t="s">
        <v>242</v>
      </c>
      <c r="F2125" t="s">
        <v>663</v>
      </c>
      <c r="G2125">
        <v>2035</v>
      </c>
      <c r="H2125" s="12">
        <v>9.3800000000000008</v>
      </c>
      <c r="I2125" t="s">
        <v>3183</v>
      </c>
      <c r="J2125" t="s">
        <v>394</v>
      </c>
      <c r="K2125" t="s">
        <v>147</v>
      </c>
      <c r="L2125" t="s">
        <v>3184</v>
      </c>
      <c r="M2125" t="s">
        <v>16</v>
      </c>
    </row>
    <row r="2126" spans="1:13">
      <c r="A2126" t="s">
        <v>851</v>
      </c>
      <c r="B2126" t="s">
        <v>686</v>
      </c>
      <c r="C2126" t="s">
        <v>686</v>
      </c>
      <c r="D2126" t="s">
        <v>12</v>
      </c>
      <c r="E2126" t="s">
        <v>242</v>
      </c>
      <c r="F2126" t="s">
        <v>663</v>
      </c>
      <c r="G2126">
        <v>2040</v>
      </c>
      <c r="H2126" s="12">
        <v>7.88</v>
      </c>
      <c r="I2126" t="s">
        <v>3183</v>
      </c>
      <c r="J2126" t="s">
        <v>394</v>
      </c>
      <c r="K2126" t="s">
        <v>147</v>
      </c>
      <c r="L2126" t="s">
        <v>3184</v>
      </c>
      <c r="M2126" t="s">
        <v>16</v>
      </c>
    </row>
    <row r="2127" spans="1:13">
      <c r="A2127" t="s">
        <v>851</v>
      </c>
      <c r="B2127" t="s">
        <v>686</v>
      </c>
      <c r="C2127" t="s">
        <v>686</v>
      </c>
      <c r="D2127" t="s">
        <v>12</v>
      </c>
      <c r="E2127" t="s">
        <v>242</v>
      </c>
      <c r="F2127" t="s">
        <v>663</v>
      </c>
      <c r="G2127">
        <v>2045</v>
      </c>
      <c r="H2127" s="12">
        <v>6.84</v>
      </c>
      <c r="I2127" t="s">
        <v>3183</v>
      </c>
      <c r="J2127" t="s">
        <v>394</v>
      </c>
      <c r="K2127" t="s">
        <v>147</v>
      </c>
      <c r="L2127" t="s">
        <v>3184</v>
      </c>
      <c r="M2127" t="s">
        <v>16</v>
      </c>
    </row>
    <row r="2128" spans="1:13">
      <c r="A2128" t="s">
        <v>851</v>
      </c>
      <c r="B2128" t="s">
        <v>686</v>
      </c>
      <c r="C2128" t="s">
        <v>686</v>
      </c>
      <c r="D2128" t="s">
        <v>12</v>
      </c>
      <c r="E2128" t="s">
        <v>242</v>
      </c>
      <c r="F2128" t="s">
        <v>663</v>
      </c>
      <c r="G2128">
        <v>2050</v>
      </c>
      <c r="H2128" s="12">
        <v>5.96</v>
      </c>
      <c r="I2128" t="s">
        <v>3183</v>
      </c>
      <c r="J2128" t="s">
        <v>394</v>
      </c>
      <c r="K2128" t="s">
        <v>147</v>
      </c>
      <c r="L2128" t="s">
        <v>3184</v>
      </c>
      <c r="M2128" t="s">
        <v>16</v>
      </c>
    </row>
    <row r="2129" spans="1:13">
      <c r="A2129" t="s">
        <v>851</v>
      </c>
      <c r="B2129" t="s">
        <v>687</v>
      </c>
      <c r="C2129" t="s">
        <v>687</v>
      </c>
      <c r="D2129" t="s">
        <v>12</v>
      </c>
      <c r="E2129" t="s">
        <v>242</v>
      </c>
      <c r="F2129" t="s">
        <v>663</v>
      </c>
      <c r="G2129">
        <v>2030</v>
      </c>
      <c r="H2129" s="12">
        <v>11.3</v>
      </c>
      <c r="I2129" t="s">
        <v>3183</v>
      </c>
      <c r="J2129" t="s">
        <v>394</v>
      </c>
      <c r="K2129" t="s">
        <v>147</v>
      </c>
      <c r="L2129" t="s">
        <v>3184</v>
      </c>
      <c r="M2129" t="s">
        <v>16</v>
      </c>
    </row>
    <row r="2130" spans="1:13">
      <c r="A2130" t="s">
        <v>851</v>
      </c>
      <c r="B2130" t="s">
        <v>687</v>
      </c>
      <c r="C2130" t="s">
        <v>687</v>
      </c>
      <c r="D2130" t="s">
        <v>12</v>
      </c>
      <c r="E2130" t="s">
        <v>242</v>
      </c>
      <c r="F2130" t="s">
        <v>663</v>
      </c>
      <c r="G2130">
        <v>2035</v>
      </c>
      <c r="H2130" s="12">
        <v>9.3800000000000008</v>
      </c>
      <c r="I2130" t="s">
        <v>3183</v>
      </c>
      <c r="J2130" t="s">
        <v>394</v>
      </c>
      <c r="K2130" t="s">
        <v>147</v>
      </c>
      <c r="L2130" t="s">
        <v>3184</v>
      </c>
      <c r="M2130" t="s">
        <v>16</v>
      </c>
    </row>
    <row r="2131" spans="1:13">
      <c r="A2131" t="s">
        <v>851</v>
      </c>
      <c r="B2131" t="s">
        <v>687</v>
      </c>
      <c r="C2131" t="s">
        <v>687</v>
      </c>
      <c r="D2131" t="s">
        <v>12</v>
      </c>
      <c r="E2131" t="s">
        <v>242</v>
      </c>
      <c r="F2131" t="s">
        <v>663</v>
      </c>
      <c r="G2131">
        <v>2040</v>
      </c>
      <c r="H2131" s="12">
        <v>7.88</v>
      </c>
      <c r="I2131" t="s">
        <v>3183</v>
      </c>
      <c r="J2131" t="s">
        <v>394</v>
      </c>
      <c r="K2131" t="s">
        <v>147</v>
      </c>
      <c r="L2131" t="s">
        <v>3184</v>
      </c>
      <c r="M2131" t="s">
        <v>16</v>
      </c>
    </row>
    <row r="2132" spans="1:13">
      <c r="A2132" t="s">
        <v>851</v>
      </c>
      <c r="B2132" t="s">
        <v>687</v>
      </c>
      <c r="C2132" t="s">
        <v>687</v>
      </c>
      <c r="D2132" t="s">
        <v>12</v>
      </c>
      <c r="E2132" t="s">
        <v>242</v>
      </c>
      <c r="F2132" t="s">
        <v>663</v>
      </c>
      <c r="G2132">
        <v>2045</v>
      </c>
      <c r="H2132" s="12">
        <v>6.84</v>
      </c>
      <c r="I2132" t="s">
        <v>3183</v>
      </c>
      <c r="J2132" t="s">
        <v>394</v>
      </c>
      <c r="K2132" t="s">
        <v>147</v>
      </c>
      <c r="L2132" t="s">
        <v>3184</v>
      </c>
      <c r="M2132" t="s">
        <v>16</v>
      </c>
    </row>
    <row r="2133" spans="1:13">
      <c r="A2133" t="s">
        <v>851</v>
      </c>
      <c r="B2133" t="s">
        <v>687</v>
      </c>
      <c r="C2133" t="s">
        <v>687</v>
      </c>
      <c r="D2133" t="s">
        <v>12</v>
      </c>
      <c r="E2133" t="s">
        <v>242</v>
      </c>
      <c r="F2133" t="s">
        <v>663</v>
      </c>
      <c r="G2133">
        <v>2050</v>
      </c>
      <c r="H2133" s="12">
        <v>5.95</v>
      </c>
      <c r="I2133" t="s">
        <v>3183</v>
      </c>
      <c r="J2133" t="s">
        <v>394</v>
      </c>
      <c r="K2133" t="s">
        <v>147</v>
      </c>
      <c r="L2133" t="s">
        <v>3184</v>
      </c>
      <c r="M2133" t="s">
        <v>16</v>
      </c>
    </row>
    <row r="2134" spans="1:13">
      <c r="A2134" t="s">
        <v>851</v>
      </c>
      <c r="B2134" t="s">
        <v>686</v>
      </c>
      <c r="C2134" t="s">
        <v>686</v>
      </c>
      <c r="D2134" t="s">
        <v>12</v>
      </c>
      <c r="E2134" t="s">
        <v>242</v>
      </c>
      <c r="F2134" t="s">
        <v>663</v>
      </c>
      <c r="G2134">
        <v>2010</v>
      </c>
      <c r="H2134" s="12">
        <v>522.66</v>
      </c>
      <c r="I2134" t="s">
        <v>3183</v>
      </c>
      <c r="J2134" t="s">
        <v>6</v>
      </c>
      <c r="K2134" t="s">
        <v>147</v>
      </c>
      <c r="L2134" t="s">
        <v>3184</v>
      </c>
      <c r="M2134" t="s">
        <v>659</v>
      </c>
    </row>
    <row r="2135" spans="1:13">
      <c r="A2135" t="s">
        <v>851</v>
      </c>
      <c r="B2135" t="s">
        <v>686</v>
      </c>
      <c r="C2135" t="s">
        <v>686</v>
      </c>
      <c r="D2135" t="s">
        <v>12</v>
      </c>
      <c r="E2135" t="s">
        <v>242</v>
      </c>
      <c r="F2135" t="s">
        <v>663</v>
      </c>
      <c r="G2135">
        <v>2015</v>
      </c>
      <c r="H2135" s="12">
        <v>485.88</v>
      </c>
      <c r="I2135" t="s">
        <v>3183</v>
      </c>
      <c r="J2135" t="s">
        <v>6</v>
      </c>
      <c r="K2135" t="s">
        <v>147</v>
      </c>
      <c r="L2135" t="s">
        <v>3184</v>
      </c>
      <c r="M2135" t="s">
        <v>659</v>
      </c>
    </row>
    <row r="2136" spans="1:13">
      <c r="A2136" t="s">
        <v>851</v>
      </c>
      <c r="B2136" t="s">
        <v>686</v>
      </c>
      <c r="C2136" t="s">
        <v>686</v>
      </c>
      <c r="D2136" t="s">
        <v>12</v>
      </c>
      <c r="E2136" t="s">
        <v>242</v>
      </c>
      <c r="F2136" t="s">
        <v>663</v>
      </c>
      <c r="G2136">
        <v>2020</v>
      </c>
      <c r="H2136" s="12">
        <v>462.3</v>
      </c>
      <c r="I2136" t="s">
        <v>3183</v>
      </c>
      <c r="J2136" t="s">
        <v>6</v>
      </c>
      <c r="K2136" t="s">
        <v>147</v>
      </c>
      <c r="L2136" t="s">
        <v>3184</v>
      </c>
      <c r="M2136" t="s">
        <v>659</v>
      </c>
    </row>
    <row r="2137" spans="1:13">
      <c r="A2137" t="s">
        <v>851</v>
      </c>
      <c r="B2137" t="s">
        <v>686</v>
      </c>
      <c r="C2137" t="s">
        <v>686</v>
      </c>
      <c r="D2137" t="s">
        <v>12</v>
      </c>
      <c r="E2137" t="s">
        <v>242</v>
      </c>
      <c r="F2137" t="s">
        <v>663</v>
      </c>
      <c r="G2137">
        <v>2030</v>
      </c>
      <c r="H2137" s="12">
        <v>456.34</v>
      </c>
      <c r="I2137" t="s">
        <v>3183</v>
      </c>
      <c r="J2137" t="s">
        <v>6</v>
      </c>
      <c r="K2137" t="s">
        <v>147</v>
      </c>
      <c r="L2137" t="s">
        <v>3184</v>
      </c>
      <c r="M2137" t="s">
        <v>659</v>
      </c>
    </row>
    <row r="2138" spans="1:13">
      <c r="A2138" t="s">
        <v>851</v>
      </c>
      <c r="B2138" t="s">
        <v>686</v>
      </c>
      <c r="C2138" t="s">
        <v>686</v>
      </c>
      <c r="D2138" t="s">
        <v>12</v>
      </c>
      <c r="E2138" t="s">
        <v>242</v>
      </c>
      <c r="F2138" t="s">
        <v>663</v>
      </c>
      <c r="G2138">
        <v>2035</v>
      </c>
      <c r="H2138" s="12">
        <v>432.54</v>
      </c>
      <c r="I2138" t="s">
        <v>3183</v>
      </c>
      <c r="J2138" t="s">
        <v>6</v>
      </c>
      <c r="K2138" t="s">
        <v>147</v>
      </c>
      <c r="L2138" t="s">
        <v>3184</v>
      </c>
      <c r="M2138" t="s">
        <v>659</v>
      </c>
    </row>
    <row r="2139" spans="1:13">
      <c r="A2139" t="s">
        <v>851</v>
      </c>
      <c r="B2139" t="s">
        <v>686</v>
      </c>
      <c r="C2139" t="s">
        <v>686</v>
      </c>
      <c r="D2139" t="s">
        <v>12</v>
      </c>
      <c r="E2139" t="s">
        <v>242</v>
      </c>
      <c r="F2139" t="s">
        <v>663</v>
      </c>
      <c r="G2139">
        <v>2040</v>
      </c>
      <c r="H2139" s="12">
        <v>433.07</v>
      </c>
      <c r="I2139" t="s">
        <v>3183</v>
      </c>
      <c r="J2139" t="s">
        <v>6</v>
      </c>
      <c r="K2139" t="s">
        <v>147</v>
      </c>
      <c r="L2139" t="s">
        <v>3184</v>
      </c>
      <c r="M2139" t="s">
        <v>659</v>
      </c>
    </row>
    <row r="2140" spans="1:13">
      <c r="A2140" t="s">
        <v>851</v>
      </c>
      <c r="B2140" t="s">
        <v>686</v>
      </c>
      <c r="C2140" t="s">
        <v>686</v>
      </c>
      <c r="D2140" t="s">
        <v>12</v>
      </c>
      <c r="E2140" t="s">
        <v>242</v>
      </c>
      <c r="F2140" t="s">
        <v>663</v>
      </c>
      <c r="G2140">
        <v>2045</v>
      </c>
      <c r="H2140" s="12">
        <v>432.48</v>
      </c>
      <c r="I2140" t="s">
        <v>3183</v>
      </c>
      <c r="J2140" t="s">
        <v>6</v>
      </c>
      <c r="K2140" t="s">
        <v>147</v>
      </c>
      <c r="L2140" t="s">
        <v>3184</v>
      </c>
      <c r="M2140" t="s">
        <v>659</v>
      </c>
    </row>
    <row r="2141" spans="1:13">
      <c r="A2141" t="s">
        <v>851</v>
      </c>
      <c r="B2141" t="s">
        <v>686</v>
      </c>
      <c r="C2141" t="s">
        <v>686</v>
      </c>
      <c r="D2141" t="s">
        <v>12</v>
      </c>
      <c r="E2141" t="s">
        <v>242</v>
      </c>
      <c r="F2141" t="s">
        <v>663</v>
      </c>
      <c r="G2141">
        <v>2050</v>
      </c>
      <c r="H2141" s="12">
        <v>425.16</v>
      </c>
      <c r="I2141" t="s">
        <v>3183</v>
      </c>
      <c r="J2141" t="s">
        <v>6</v>
      </c>
      <c r="K2141" t="s">
        <v>147</v>
      </c>
      <c r="L2141" t="s">
        <v>3184</v>
      </c>
      <c r="M2141" t="s">
        <v>659</v>
      </c>
    </row>
    <row r="2142" spans="1:13">
      <c r="A2142" t="s">
        <v>851</v>
      </c>
      <c r="B2142" t="s">
        <v>687</v>
      </c>
      <c r="C2142" t="s">
        <v>687</v>
      </c>
      <c r="D2142" t="s">
        <v>12</v>
      </c>
      <c r="E2142" t="s">
        <v>242</v>
      </c>
      <c r="F2142" t="s">
        <v>663</v>
      </c>
      <c r="G2142">
        <v>2030</v>
      </c>
      <c r="H2142" s="12">
        <v>418.05</v>
      </c>
      <c r="I2142" t="s">
        <v>3183</v>
      </c>
      <c r="J2142" t="s">
        <v>6</v>
      </c>
      <c r="K2142" t="s">
        <v>147</v>
      </c>
      <c r="L2142" t="s">
        <v>3184</v>
      </c>
      <c r="M2142" t="s">
        <v>659</v>
      </c>
    </row>
    <row r="2143" spans="1:13">
      <c r="A2143" t="s">
        <v>851</v>
      </c>
      <c r="B2143" t="s">
        <v>687</v>
      </c>
      <c r="C2143" t="s">
        <v>687</v>
      </c>
      <c r="D2143" t="s">
        <v>12</v>
      </c>
      <c r="E2143" t="s">
        <v>242</v>
      </c>
      <c r="F2143" t="s">
        <v>663</v>
      </c>
      <c r="G2143">
        <v>2035</v>
      </c>
      <c r="H2143" s="12">
        <v>397.68</v>
      </c>
      <c r="I2143" t="s">
        <v>3183</v>
      </c>
      <c r="J2143" t="s">
        <v>6</v>
      </c>
      <c r="K2143" t="s">
        <v>147</v>
      </c>
      <c r="L2143" t="s">
        <v>3184</v>
      </c>
      <c r="M2143" t="s">
        <v>659</v>
      </c>
    </row>
    <row r="2144" spans="1:13">
      <c r="A2144" t="s">
        <v>851</v>
      </c>
      <c r="B2144" t="s">
        <v>687</v>
      </c>
      <c r="C2144" t="s">
        <v>687</v>
      </c>
      <c r="D2144" t="s">
        <v>12</v>
      </c>
      <c r="E2144" t="s">
        <v>242</v>
      </c>
      <c r="F2144" t="s">
        <v>663</v>
      </c>
      <c r="G2144">
        <v>2040</v>
      </c>
      <c r="H2144" s="12">
        <v>392.27</v>
      </c>
      <c r="I2144" t="s">
        <v>3183</v>
      </c>
      <c r="J2144" t="s">
        <v>6</v>
      </c>
      <c r="K2144" t="s">
        <v>147</v>
      </c>
      <c r="L2144" t="s">
        <v>3184</v>
      </c>
      <c r="M2144" t="s">
        <v>659</v>
      </c>
    </row>
    <row r="2145" spans="1:13">
      <c r="A2145" t="s">
        <v>851</v>
      </c>
      <c r="B2145" t="s">
        <v>687</v>
      </c>
      <c r="C2145" t="s">
        <v>687</v>
      </c>
      <c r="D2145" t="s">
        <v>12</v>
      </c>
      <c r="E2145" t="s">
        <v>242</v>
      </c>
      <c r="F2145" t="s">
        <v>663</v>
      </c>
      <c r="G2145">
        <v>2045</v>
      </c>
      <c r="H2145" s="12">
        <v>384.38</v>
      </c>
      <c r="I2145" t="s">
        <v>3183</v>
      </c>
      <c r="J2145" t="s">
        <v>6</v>
      </c>
      <c r="K2145" t="s">
        <v>147</v>
      </c>
      <c r="L2145" t="s">
        <v>3184</v>
      </c>
      <c r="M2145" t="s">
        <v>659</v>
      </c>
    </row>
    <row r="2146" spans="1:13">
      <c r="A2146" t="s">
        <v>851</v>
      </c>
      <c r="B2146" t="s">
        <v>687</v>
      </c>
      <c r="C2146" t="s">
        <v>687</v>
      </c>
      <c r="D2146" t="s">
        <v>12</v>
      </c>
      <c r="E2146" t="s">
        <v>242</v>
      </c>
      <c r="F2146" t="s">
        <v>663</v>
      </c>
      <c r="G2146">
        <v>2050</v>
      </c>
      <c r="H2146" s="12">
        <v>369.53</v>
      </c>
      <c r="I2146" t="s">
        <v>3183</v>
      </c>
      <c r="J2146" t="s">
        <v>6</v>
      </c>
      <c r="K2146" t="s">
        <v>147</v>
      </c>
      <c r="L2146" t="s">
        <v>3184</v>
      </c>
      <c r="M2146" t="s">
        <v>659</v>
      </c>
    </row>
    <row r="2147" spans="1:13">
      <c r="A2147" t="s">
        <v>851</v>
      </c>
      <c r="B2147" t="s">
        <v>686</v>
      </c>
      <c r="C2147" t="s">
        <v>686</v>
      </c>
      <c r="D2147" t="s">
        <v>12</v>
      </c>
      <c r="E2147" t="s">
        <v>242</v>
      </c>
      <c r="F2147" t="s">
        <v>663</v>
      </c>
      <c r="G2147">
        <v>2040</v>
      </c>
      <c r="H2147" s="12">
        <v>139.47</v>
      </c>
      <c r="I2147" t="s">
        <v>3183</v>
      </c>
      <c r="J2147" t="s">
        <v>5</v>
      </c>
      <c r="K2147" t="s">
        <v>664</v>
      </c>
      <c r="L2147" t="s">
        <v>3184</v>
      </c>
      <c r="M2147" t="s">
        <v>5</v>
      </c>
    </row>
    <row r="2148" spans="1:13">
      <c r="A2148" t="s">
        <v>851</v>
      </c>
      <c r="B2148" t="s">
        <v>686</v>
      </c>
      <c r="C2148" t="s">
        <v>686</v>
      </c>
      <c r="D2148" t="s">
        <v>12</v>
      </c>
      <c r="E2148" t="s">
        <v>242</v>
      </c>
      <c r="F2148" t="s">
        <v>663</v>
      </c>
      <c r="G2148">
        <v>2045</v>
      </c>
      <c r="H2148" s="12">
        <v>137.76</v>
      </c>
      <c r="I2148" t="s">
        <v>3183</v>
      </c>
      <c r="J2148" t="s">
        <v>5</v>
      </c>
      <c r="K2148" t="s">
        <v>664</v>
      </c>
      <c r="L2148" t="s">
        <v>3184</v>
      </c>
      <c r="M2148" t="s">
        <v>5</v>
      </c>
    </row>
    <row r="2149" spans="1:13">
      <c r="A2149" t="s">
        <v>851</v>
      </c>
      <c r="B2149" t="s">
        <v>686</v>
      </c>
      <c r="C2149" t="s">
        <v>686</v>
      </c>
      <c r="D2149" t="s">
        <v>12</v>
      </c>
      <c r="E2149" t="s">
        <v>242</v>
      </c>
      <c r="F2149" t="s">
        <v>663</v>
      </c>
      <c r="G2149">
        <v>2050</v>
      </c>
      <c r="H2149" s="12">
        <v>136.15</v>
      </c>
      <c r="I2149" t="s">
        <v>3183</v>
      </c>
      <c r="J2149" t="s">
        <v>5</v>
      </c>
      <c r="K2149" t="s">
        <v>664</v>
      </c>
      <c r="L2149" t="s">
        <v>3184</v>
      </c>
      <c r="M2149" t="s">
        <v>5</v>
      </c>
    </row>
    <row r="2150" spans="1:13">
      <c r="A2150" t="s">
        <v>851</v>
      </c>
      <c r="B2150" t="s">
        <v>687</v>
      </c>
      <c r="C2150" t="s">
        <v>687</v>
      </c>
      <c r="D2150" t="s">
        <v>12</v>
      </c>
      <c r="E2150" t="s">
        <v>242</v>
      </c>
      <c r="F2150" t="s">
        <v>663</v>
      </c>
      <c r="G2150">
        <v>2030</v>
      </c>
      <c r="H2150" s="12">
        <v>137.4</v>
      </c>
      <c r="I2150" t="s">
        <v>3183</v>
      </c>
      <c r="J2150" t="s">
        <v>5</v>
      </c>
      <c r="K2150" t="s">
        <v>664</v>
      </c>
      <c r="L2150" t="s">
        <v>3184</v>
      </c>
      <c r="M2150" t="s">
        <v>5</v>
      </c>
    </row>
    <row r="2151" spans="1:13">
      <c r="A2151" t="s">
        <v>851</v>
      </c>
      <c r="B2151" t="s">
        <v>687</v>
      </c>
      <c r="C2151" t="s">
        <v>687</v>
      </c>
      <c r="D2151" t="s">
        <v>12</v>
      </c>
      <c r="E2151" t="s">
        <v>242</v>
      </c>
      <c r="F2151" t="s">
        <v>663</v>
      </c>
      <c r="G2151">
        <v>2035</v>
      </c>
      <c r="H2151" s="12">
        <v>132.11000000000001</v>
      </c>
      <c r="I2151" t="s">
        <v>3183</v>
      </c>
      <c r="J2151" t="s">
        <v>5</v>
      </c>
      <c r="K2151" t="s">
        <v>664</v>
      </c>
      <c r="L2151" t="s">
        <v>3184</v>
      </c>
      <c r="M2151" t="s">
        <v>5</v>
      </c>
    </row>
    <row r="2152" spans="1:13">
      <c r="A2152" t="s">
        <v>851</v>
      </c>
      <c r="B2152" t="s">
        <v>687</v>
      </c>
      <c r="C2152" t="s">
        <v>687</v>
      </c>
      <c r="D2152" t="s">
        <v>12</v>
      </c>
      <c r="E2152" t="s">
        <v>242</v>
      </c>
      <c r="F2152" t="s">
        <v>663</v>
      </c>
      <c r="G2152">
        <v>2040</v>
      </c>
      <c r="H2152" s="12">
        <v>128.29</v>
      </c>
      <c r="I2152" t="s">
        <v>3183</v>
      </c>
      <c r="J2152" t="s">
        <v>5</v>
      </c>
      <c r="K2152" t="s">
        <v>664</v>
      </c>
      <c r="L2152" t="s">
        <v>3184</v>
      </c>
      <c r="M2152" t="s">
        <v>5</v>
      </c>
    </row>
    <row r="2153" spans="1:13">
      <c r="A2153" t="s">
        <v>851</v>
      </c>
      <c r="B2153" t="s">
        <v>687</v>
      </c>
      <c r="C2153" t="s">
        <v>687</v>
      </c>
      <c r="D2153" t="s">
        <v>12</v>
      </c>
      <c r="E2153" t="s">
        <v>242</v>
      </c>
      <c r="F2153" t="s">
        <v>663</v>
      </c>
      <c r="G2153">
        <v>2045</v>
      </c>
      <c r="H2153" s="12">
        <v>125.05</v>
      </c>
      <c r="I2153" t="s">
        <v>3183</v>
      </c>
      <c r="J2153" t="s">
        <v>5</v>
      </c>
      <c r="K2153" t="s">
        <v>664</v>
      </c>
      <c r="L2153" t="s">
        <v>3184</v>
      </c>
      <c r="M2153" t="s">
        <v>5</v>
      </c>
    </row>
    <row r="2154" spans="1:13">
      <c r="A2154" t="s">
        <v>851</v>
      </c>
      <c r="B2154" t="s">
        <v>687</v>
      </c>
      <c r="C2154" t="s">
        <v>687</v>
      </c>
      <c r="D2154" t="s">
        <v>12</v>
      </c>
      <c r="E2154" t="s">
        <v>242</v>
      </c>
      <c r="F2154" t="s">
        <v>663</v>
      </c>
      <c r="G2154">
        <v>2050</v>
      </c>
      <c r="H2154" s="12">
        <v>122.45</v>
      </c>
      <c r="I2154" t="s">
        <v>3183</v>
      </c>
      <c r="J2154" t="s">
        <v>5</v>
      </c>
      <c r="K2154" t="s">
        <v>664</v>
      </c>
      <c r="L2154" t="s">
        <v>3184</v>
      </c>
      <c r="M2154" t="s">
        <v>5</v>
      </c>
    </row>
    <row r="2155" spans="1:13">
      <c r="A2155" t="s">
        <v>851</v>
      </c>
      <c r="B2155" t="s">
        <v>686</v>
      </c>
      <c r="C2155" t="s">
        <v>686</v>
      </c>
      <c r="D2155" t="s">
        <v>12</v>
      </c>
      <c r="E2155" t="s">
        <v>242</v>
      </c>
      <c r="F2155" t="s">
        <v>663</v>
      </c>
      <c r="G2155">
        <v>2010</v>
      </c>
      <c r="H2155" s="12">
        <v>225.38</v>
      </c>
      <c r="I2155" t="s">
        <v>3183</v>
      </c>
      <c r="J2155" t="s">
        <v>394</v>
      </c>
      <c r="K2155" t="s">
        <v>664</v>
      </c>
      <c r="L2155" t="s">
        <v>3184</v>
      </c>
      <c r="M2155" t="s">
        <v>16</v>
      </c>
    </row>
    <row r="2156" spans="1:13">
      <c r="A2156" t="s">
        <v>851</v>
      </c>
      <c r="B2156" t="s">
        <v>686</v>
      </c>
      <c r="C2156" t="s">
        <v>686</v>
      </c>
      <c r="D2156" t="s">
        <v>12</v>
      </c>
      <c r="E2156" t="s">
        <v>242</v>
      </c>
      <c r="F2156" t="s">
        <v>663</v>
      </c>
      <c r="G2156">
        <v>2015</v>
      </c>
      <c r="H2156" s="12">
        <v>255.39</v>
      </c>
      <c r="I2156" t="s">
        <v>3183</v>
      </c>
      <c r="J2156" t="s">
        <v>394</v>
      </c>
      <c r="K2156" t="s">
        <v>664</v>
      </c>
      <c r="L2156" t="s">
        <v>3184</v>
      </c>
      <c r="M2156" t="s">
        <v>16</v>
      </c>
    </row>
    <row r="2157" spans="1:13">
      <c r="A2157" t="s">
        <v>851</v>
      </c>
      <c r="B2157" t="s">
        <v>686</v>
      </c>
      <c r="C2157" t="s">
        <v>686</v>
      </c>
      <c r="D2157" t="s">
        <v>12</v>
      </c>
      <c r="E2157" t="s">
        <v>242</v>
      </c>
      <c r="F2157" t="s">
        <v>663</v>
      </c>
      <c r="G2157">
        <v>2020</v>
      </c>
      <c r="H2157" s="12">
        <v>258.89999999999998</v>
      </c>
      <c r="I2157" t="s">
        <v>3183</v>
      </c>
      <c r="J2157" t="s">
        <v>394</v>
      </c>
      <c r="K2157" t="s">
        <v>664</v>
      </c>
      <c r="L2157" t="s">
        <v>3184</v>
      </c>
      <c r="M2157" t="s">
        <v>16</v>
      </c>
    </row>
    <row r="2158" spans="1:13">
      <c r="A2158" t="s">
        <v>851</v>
      </c>
      <c r="B2158" t="s">
        <v>686</v>
      </c>
      <c r="C2158" t="s">
        <v>686</v>
      </c>
      <c r="D2158" t="s">
        <v>12</v>
      </c>
      <c r="E2158" t="s">
        <v>242</v>
      </c>
      <c r="F2158" t="s">
        <v>663</v>
      </c>
      <c r="G2158">
        <v>2030</v>
      </c>
      <c r="H2158" s="12">
        <v>263.8</v>
      </c>
      <c r="I2158" t="s">
        <v>3183</v>
      </c>
      <c r="J2158" t="s">
        <v>394</v>
      </c>
      <c r="K2158" t="s">
        <v>664</v>
      </c>
      <c r="L2158" t="s">
        <v>3184</v>
      </c>
      <c r="M2158" t="s">
        <v>16</v>
      </c>
    </row>
    <row r="2159" spans="1:13">
      <c r="A2159" t="s">
        <v>851</v>
      </c>
      <c r="B2159" t="s">
        <v>686</v>
      </c>
      <c r="C2159" t="s">
        <v>686</v>
      </c>
      <c r="D2159" t="s">
        <v>12</v>
      </c>
      <c r="E2159" t="s">
        <v>242</v>
      </c>
      <c r="F2159" t="s">
        <v>663</v>
      </c>
      <c r="G2159">
        <v>2035</v>
      </c>
      <c r="H2159" s="12">
        <v>258.02999999999997</v>
      </c>
      <c r="I2159" t="s">
        <v>3183</v>
      </c>
      <c r="J2159" t="s">
        <v>394</v>
      </c>
      <c r="K2159" t="s">
        <v>664</v>
      </c>
      <c r="L2159" t="s">
        <v>3184</v>
      </c>
      <c r="M2159" t="s">
        <v>16</v>
      </c>
    </row>
    <row r="2160" spans="1:13">
      <c r="A2160" t="s">
        <v>851</v>
      </c>
      <c r="B2160" t="s">
        <v>686</v>
      </c>
      <c r="C2160" t="s">
        <v>686</v>
      </c>
      <c r="D2160" t="s">
        <v>12</v>
      </c>
      <c r="E2160" t="s">
        <v>242</v>
      </c>
      <c r="F2160" t="s">
        <v>663</v>
      </c>
      <c r="G2160">
        <v>2040</v>
      </c>
      <c r="H2160" s="12">
        <v>243.63</v>
      </c>
      <c r="I2160" t="s">
        <v>3183</v>
      </c>
      <c r="J2160" t="s">
        <v>394</v>
      </c>
      <c r="K2160" t="s">
        <v>664</v>
      </c>
      <c r="L2160" t="s">
        <v>3184</v>
      </c>
      <c r="M2160" t="s">
        <v>16</v>
      </c>
    </row>
    <row r="2161" spans="1:13">
      <c r="A2161" t="s">
        <v>851</v>
      </c>
      <c r="B2161" t="s">
        <v>686</v>
      </c>
      <c r="C2161" t="s">
        <v>686</v>
      </c>
      <c r="D2161" t="s">
        <v>12</v>
      </c>
      <c r="E2161" t="s">
        <v>242</v>
      </c>
      <c r="F2161" t="s">
        <v>663</v>
      </c>
      <c r="G2161">
        <v>2045</v>
      </c>
      <c r="H2161" s="12">
        <v>228.63</v>
      </c>
      <c r="I2161" t="s">
        <v>3183</v>
      </c>
      <c r="J2161" t="s">
        <v>394</v>
      </c>
      <c r="K2161" t="s">
        <v>664</v>
      </c>
      <c r="L2161" t="s">
        <v>3184</v>
      </c>
      <c r="M2161" t="s">
        <v>16</v>
      </c>
    </row>
    <row r="2162" spans="1:13">
      <c r="A2162" t="s">
        <v>851</v>
      </c>
      <c r="B2162" t="s">
        <v>686</v>
      </c>
      <c r="C2162" t="s">
        <v>686</v>
      </c>
      <c r="D2162" t="s">
        <v>12</v>
      </c>
      <c r="E2162" t="s">
        <v>242</v>
      </c>
      <c r="F2162" t="s">
        <v>663</v>
      </c>
      <c r="G2162">
        <v>2050</v>
      </c>
      <c r="H2162" s="12">
        <v>214.1</v>
      </c>
      <c r="I2162" t="s">
        <v>3183</v>
      </c>
      <c r="J2162" t="s">
        <v>394</v>
      </c>
      <c r="K2162" t="s">
        <v>664</v>
      </c>
      <c r="L2162" t="s">
        <v>3184</v>
      </c>
      <c r="M2162" t="s">
        <v>16</v>
      </c>
    </row>
    <row r="2163" spans="1:13">
      <c r="A2163" t="s">
        <v>851</v>
      </c>
      <c r="B2163" t="s">
        <v>687</v>
      </c>
      <c r="C2163" t="s">
        <v>687</v>
      </c>
      <c r="D2163" t="s">
        <v>12</v>
      </c>
      <c r="E2163" t="s">
        <v>242</v>
      </c>
      <c r="F2163" t="s">
        <v>663</v>
      </c>
      <c r="G2163">
        <v>2030</v>
      </c>
      <c r="H2163" s="12">
        <v>254.6</v>
      </c>
      <c r="I2163" t="s">
        <v>3183</v>
      </c>
      <c r="J2163" t="s">
        <v>394</v>
      </c>
      <c r="K2163" t="s">
        <v>664</v>
      </c>
      <c r="L2163" t="s">
        <v>3184</v>
      </c>
      <c r="M2163" t="s">
        <v>16</v>
      </c>
    </row>
    <row r="2164" spans="1:13">
      <c r="A2164" t="s">
        <v>851</v>
      </c>
      <c r="B2164" t="s">
        <v>687</v>
      </c>
      <c r="C2164" t="s">
        <v>687</v>
      </c>
      <c r="D2164" t="s">
        <v>12</v>
      </c>
      <c r="E2164" t="s">
        <v>242</v>
      </c>
      <c r="F2164" t="s">
        <v>663</v>
      </c>
      <c r="G2164">
        <v>2035</v>
      </c>
      <c r="H2164" s="12">
        <v>243.52</v>
      </c>
      <c r="I2164" t="s">
        <v>3183</v>
      </c>
      <c r="J2164" t="s">
        <v>394</v>
      </c>
      <c r="K2164" t="s">
        <v>664</v>
      </c>
      <c r="L2164" t="s">
        <v>3184</v>
      </c>
      <c r="M2164" t="s">
        <v>16</v>
      </c>
    </row>
    <row r="2165" spans="1:13">
      <c r="A2165" t="s">
        <v>851</v>
      </c>
      <c r="B2165" t="s">
        <v>687</v>
      </c>
      <c r="C2165" t="s">
        <v>687</v>
      </c>
      <c r="D2165" t="s">
        <v>12</v>
      </c>
      <c r="E2165" t="s">
        <v>242</v>
      </c>
      <c r="F2165" t="s">
        <v>663</v>
      </c>
      <c r="G2165">
        <v>2040</v>
      </c>
      <c r="H2165" s="12">
        <v>227.57</v>
      </c>
      <c r="I2165" t="s">
        <v>3183</v>
      </c>
      <c r="J2165" t="s">
        <v>394</v>
      </c>
      <c r="K2165" t="s">
        <v>664</v>
      </c>
      <c r="L2165" t="s">
        <v>3184</v>
      </c>
      <c r="M2165" t="s">
        <v>16</v>
      </c>
    </row>
    <row r="2166" spans="1:13">
      <c r="A2166" t="s">
        <v>851</v>
      </c>
      <c r="B2166" t="s">
        <v>687</v>
      </c>
      <c r="C2166" t="s">
        <v>687</v>
      </c>
      <c r="D2166" t="s">
        <v>12</v>
      </c>
      <c r="E2166" t="s">
        <v>242</v>
      </c>
      <c r="F2166" t="s">
        <v>663</v>
      </c>
      <c r="G2166">
        <v>2045</v>
      </c>
      <c r="H2166" s="12">
        <v>213.06</v>
      </c>
      <c r="I2166" t="s">
        <v>3183</v>
      </c>
      <c r="J2166" t="s">
        <v>394</v>
      </c>
      <c r="K2166" t="s">
        <v>664</v>
      </c>
      <c r="L2166" t="s">
        <v>3184</v>
      </c>
      <c r="M2166" t="s">
        <v>16</v>
      </c>
    </row>
    <row r="2167" spans="1:13">
      <c r="A2167" t="s">
        <v>851</v>
      </c>
      <c r="B2167" t="s">
        <v>687</v>
      </c>
      <c r="C2167" t="s">
        <v>687</v>
      </c>
      <c r="D2167" t="s">
        <v>12</v>
      </c>
      <c r="E2167" t="s">
        <v>242</v>
      </c>
      <c r="F2167" t="s">
        <v>663</v>
      </c>
      <c r="G2167">
        <v>2050</v>
      </c>
      <c r="H2167" s="12">
        <v>200.43</v>
      </c>
      <c r="I2167" t="s">
        <v>3183</v>
      </c>
      <c r="J2167" t="s">
        <v>394</v>
      </c>
      <c r="K2167" t="s">
        <v>664</v>
      </c>
      <c r="L2167" t="s">
        <v>3184</v>
      </c>
      <c r="M2167" t="s">
        <v>16</v>
      </c>
    </row>
    <row r="2168" spans="1:13">
      <c r="A2168" t="s">
        <v>851</v>
      </c>
      <c r="B2168" t="s">
        <v>686</v>
      </c>
      <c r="C2168" t="s">
        <v>686</v>
      </c>
      <c r="D2168" t="s">
        <v>12</v>
      </c>
      <c r="E2168" t="s">
        <v>242</v>
      </c>
      <c r="F2168" t="s">
        <v>663</v>
      </c>
      <c r="G2168">
        <v>2010</v>
      </c>
      <c r="H2168" s="12">
        <v>266.51</v>
      </c>
      <c r="I2168" t="s">
        <v>3183</v>
      </c>
      <c r="J2168" t="s">
        <v>6</v>
      </c>
      <c r="K2168" t="s">
        <v>664</v>
      </c>
      <c r="L2168" t="s">
        <v>3184</v>
      </c>
      <c r="M2168" t="s">
        <v>659</v>
      </c>
    </row>
    <row r="2169" spans="1:13">
      <c r="A2169" t="s">
        <v>851</v>
      </c>
      <c r="B2169" t="s">
        <v>686</v>
      </c>
      <c r="C2169" t="s">
        <v>686</v>
      </c>
      <c r="D2169" t="s">
        <v>12</v>
      </c>
      <c r="E2169" t="s">
        <v>242</v>
      </c>
      <c r="F2169" t="s">
        <v>663</v>
      </c>
      <c r="G2169">
        <v>2015</v>
      </c>
      <c r="H2169" s="12">
        <v>261.7</v>
      </c>
      <c r="I2169" t="s">
        <v>3183</v>
      </c>
      <c r="J2169" t="s">
        <v>6</v>
      </c>
      <c r="K2169" t="s">
        <v>664</v>
      </c>
      <c r="L2169" t="s">
        <v>3184</v>
      </c>
      <c r="M2169" t="s">
        <v>659</v>
      </c>
    </row>
    <row r="2170" spans="1:13">
      <c r="A2170" t="s">
        <v>851</v>
      </c>
      <c r="B2170" t="s">
        <v>686</v>
      </c>
      <c r="C2170" t="s">
        <v>686</v>
      </c>
      <c r="D2170" t="s">
        <v>12</v>
      </c>
      <c r="E2170" t="s">
        <v>242</v>
      </c>
      <c r="F2170" t="s">
        <v>663</v>
      </c>
      <c r="G2170">
        <v>2020</v>
      </c>
      <c r="H2170" s="12">
        <v>308</v>
      </c>
      <c r="I2170" t="s">
        <v>3183</v>
      </c>
      <c r="J2170" t="s">
        <v>6</v>
      </c>
      <c r="K2170" t="s">
        <v>664</v>
      </c>
      <c r="L2170" t="s">
        <v>3184</v>
      </c>
      <c r="M2170" t="s">
        <v>659</v>
      </c>
    </row>
    <row r="2171" spans="1:13">
      <c r="A2171" t="s">
        <v>851</v>
      </c>
      <c r="B2171" t="s">
        <v>686</v>
      </c>
      <c r="C2171" t="s">
        <v>686</v>
      </c>
      <c r="D2171" t="s">
        <v>12</v>
      </c>
      <c r="E2171" t="s">
        <v>242</v>
      </c>
      <c r="F2171" t="s">
        <v>663</v>
      </c>
      <c r="G2171">
        <v>2030</v>
      </c>
      <c r="H2171" s="12">
        <v>306.37</v>
      </c>
      <c r="I2171" t="s">
        <v>3183</v>
      </c>
      <c r="J2171" t="s">
        <v>6</v>
      </c>
      <c r="K2171" t="s">
        <v>664</v>
      </c>
      <c r="L2171" t="s">
        <v>3184</v>
      </c>
      <c r="M2171" t="s">
        <v>659</v>
      </c>
    </row>
    <row r="2172" spans="1:13">
      <c r="A2172" t="s">
        <v>851</v>
      </c>
      <c r="B2172" t="s">
        <v>686</v>
      </c>
      <c r="C2172" t="s">
        <v>686</v>
      </c>
      <c r="D2172" t="s">
        <v>12</v>
      </c>
      <c r="E2172" t="s">
        <v>242</v>
      </c>
      <c r="F2172" t="s">
        <v>663</v>
      </c>
      <c r="G2172">
        <v>2035</v>
      </c>
      <c r="H2172" s="12">
        <v>296.82</v>
      </c>
      <c r="I2172" t="s">
        <v>3183</v>
      </c>
      <c r="J2172" t="s">
        <v>6</v>
      </c>
      <c r="K2172" t="s">
        <v>664</v>
      </c>
      <c r="L2172" t="s">
        <v>3184</v>
      </c>
      <c r="M2172" t="s">
        <v>659</v>
      </c>
    </row>
    <row r="2173" spans="1:13">
      <c r="A2173" t="s">
        <v>851</v>
      </c>
      <c r="B2173" t="s">
        <v>686</v>
      </c>
      <c r="C2173" t="s">
        <v>686</v>
      </c>
      <c r="D2173" t="s">
        <v>12</v>
      </c>
      <c r="E2173" t="s">
        <v>242</v>
      </c>
      <c r="F2173" t="s">
        <v>663</v>
      </c>
      <c r="G2173">
        <v>2040</v>
      </c>
      <c r="H2173" s="12">
        <v>290.38</v>
      </c>
      <c r="I2173" t="s">
        <v>3183</v>
      </c>
      <c r="J2173" t="s">
        <v>6</v>
      </c>
      <c r="K2173" t="s">
        <v>664</v>
      </c>
      <c r="L2173" t="s">
        <v>3184</v>
      </c>
      <c r="M2173" t="s">
        <v>659</v>
      </c>
    </row>
    <row r="2174" spans="1:13">
      <c r="A2174" t="s">
        <v>851</v>
      </c>
      <c r="B2174" t="s">
        <v>686</v>
      </c>
      <c r="C2174" t="s">
        <v>686</v>
      </c>
      <c r="D2174" t="s">
        <v>12</v>
      </c>
      <c r="E2174" t="s">
        <v>242</v>
      </c>
      <c r="F2174" t="s">
        <v>663</v>
      </c>
      <c r="G2174">
        <v>2045</v>
      </c>
      <c r="H2174" s="12">
        <v>286.92</v>
      </c>
      <c r="I2174" t="s">
        <v>3183</v>
      </c>
      <c r="J2174" t="s">
        <v>6</v>
      </c>
      <c r="K2174" t="s">
        <v>664</v>
      </c>
      <c r="L2174" t="s">
        <v>3184</v>
      </c>
      <c r="M2174" t="s">
        <v>659</v>
      </c>
    </row>
    <row r="2175" spans="1:13">
      <c r="A2175" t="s">
        <v>851</v>
      </c>
      <c r="B2175" t="s">
        <v>686</v>
      </c>
      <c r="C2175" t="s">
        <v>686</v>
      </c>
      <c r="D2175" t="s">
        <v>12</v>
      </c>
      <c r="E2175" t="s">
        <v>656</v>
      </c>
      <c r="F2175" t="s">
        <v>31</v>
      </c>
      <c r="G2175">
        <v>2045</v>
      </c>
      <c r="H2175" s="12">
        <v>2.67</v>
      </c>
      <c r="I2175" t="s">
        <v>3183</v>
      </c>
      <c r="J2175" t="s">
        <v>484</v>
      </c>
      <c r="K2175" t="s">
        <v>147</v>
      </c>
      <c r="L2175" t="s">
        <v>3184</v>
      </c>
      <c r="M2175" t="s">
        <v>667</v>
      </c>
    </row>
    <row r="2176" spans="1:13">
      <c r="A2176" t="s">
        <v>851</v>
      </c>
      <c r="B2176" t="s">
        <v>686</v>
      </c>
      <c r="C2176" t="s">
        <v>686</v>
      </c>
      <c r="D2176" t="s">
        <v>12</v>
      </c>
      <c r="E2176" t="s">
        <v>656</v>
      </c>
      <c r="F2176" t="s">
        <v>31</v>
      </c>
      <c r="G2176">
        <v>2050</v>
      </c>
      <c r="H2176" s="12">
        <v>3.44</v>
      </c>
      <c r="I2176" t="s">
        <v>3183</v>
      </c>
      <c r="J2176" t="s">
        <v>484</v>
      </c>
      <c r="K2176" t="s">
        <v>147</v>
      </c>
      <c r="L2176" t="s">
        <v>3184</v>
      </c>
      <c r="M2176" t="s">
        <v>667</v>
      </c>
    </row>
    <row r="2177" spans="1:13">
      <c r="A2177" t="s">
        <v>851</v>
      </c>
      <c r="B2177" t="s">
        <v>687</v>
      </c>
      <c r="C2177" t="s">
        <v>687</v>
      </c>
      <c r="D2177" t="s">
        <v>12</v>
      </c>
      <c r="E2177" t="s">
        <v>656</v>
      </c>
      <c r="F2177" t="s">
        <v>31</v>
      </c>
      <c r="G2177">
        <v>2030</v>
      </c>
      <c r="H2177" s="12">
        <v>0.95</v>
      </c>
      <c r="I2177" t="s">
        <v>3183</v>
      </c>
      <c r="J2177" t="s">
        <v>484</v>
      </c>
      <c r="K2177" t="s">
        <v>147</v>
      </c>
      <c r="L2177" t="s">
        <v>3184</v>
      </c>
      <c r="M2177" t="s">
        <v>667</v>
      </c>
    </row>
    <row r="2178" spans="1:13">
      <c r="A2178" t="s">
        <v>851</v>
      </c>
      <c r="B2178" t="s">
        <v>687</v>
      </c>
      <c r="C2178" t="s">
        <v>687</v>
      </c>
      <c r="D2178" t="s">
        <v>12</v>
      </c>
      <c r="E2178" t="s">
        <v>656</v>
      </c>
      <c r="F2178" t="s">
        <v>31</v>
      </c>
      <c r="G2178">
        <v>2035</v>
      </c>
      <c r="H2178" s="12">
        <v>1.45</v>
      </c>
      <c r="I2178" t="s">
        <v>3183</v>
      </c>
      <c r="J2178" t="s">
        <v>484</v>
      </c>
      <c r="K2178" t="s">
        <v>147</v>
      </c>
      <c r="L2178" t="s">
        <v>3184</v>
      </c>
      <c r="M2178" t="s">
        <v>667</v>
      </c>
    </row>
    <row r="2179" spans="1:13">
      <c r="A2179" t="s">
        <v>851</v>
      </c>
      <c r="B2179" t="s">
        <v>687</v>
      </c>
      <c r="C2179" t="s">
        <v>687</v>
      </c>
      <c r="D2179" t="s">
        <v>12</v>
      </c>
      <c r="E2179" t="s">
        <v>656</v>
      </c>
      <c r="F2179" t="s">
        <v>31</v>
      </c>
      <c r="G2179">
        <v>2040</v>
      </c>
      <c r="H2179" s="12">
        <v>2.2400000000000002</v>
      </c>
      <c r="I2179" t="s">
        <v>3183</v>
      </c>
      <c r="J2179" t="s">
        <v>484</v>
      </c>
      <c r="K2179" t="s">
        <v>147</v>
      </c>
      <c r="L2179" t="s">
        <v>3184</v>
      </c>
      <c r="M2179" t="s">
        <v>667</v>
      </c>
    </row>
    <row r="2180" spans="1:13">
      <c r="A2180" t="s">
        <v>851</v>
      </c>
      <c r="B2180" t="s">
        <v>687</v>
      </c>
      <c r="C2180" t="s">
        <v>687</v>
      </c>
      <c r="D2180" t="s">
        <v>12</v>
      </c>
      <c r="E2180" t="s">
        <v>656</v>
      </c>
      <c r="F2180" t="s">
        <v>31</v>
      </c>
      <c r="G2180">
        <v>2045</v>
      </c>
      <c r="H2180" s="12">
        <v>3.1</v>
      </c>
      <c r="I2180" t="s">
        <v>3183</v>
      </c>
      <c r="J2180" t="s">
        <v>484</v>
      </c>
      <c r="K2180" t="s">
        <v>147</v>
      </c>
      <c r="L2180" t="s">
        <v>3184</v>
      </c>
      <c r="M2180" t="s">
        <v>667</v>
      </c>
    </row>
    <row r="2181" spans="1:13">
      <c r="A2181" t="s">
        <v>851</v>
      </c>
      <c r="B2181" t="s">
        <v>687</v>
      </c>
      <c r="C2181" t="s">
        <v>687</v>
      </c>
      <c r="D2181" t="s">
        <v>12</v>
      </c>
      <c r="E2181" t="s">
        <v>656</v>
      </c>
      <c r="F2181" t="s">
        <v>31</v>
      </c>
      <c r="G2181">
        <v>2050</v>
      </c>
      <c r="H2181" s="12">
        <v>4.0199999999999996</v>
      </c>
      <c r="I2181" t="s">
        <v>3183</v>
      </c>
      <c r="J2181" t="s">
        <v>484</v>
      </c>
      <c r="K2181" t="s">
        <v>147</v>
      </c>
      <c r="L2181" t="s">
        <v>3184</v>
      </c>
      <c r="M2181" t="s">
        <v>667</v>
      </c>
    </row>
    <row r="2182" spans="1:13">
      <c r="A2182" t="s">
        <v>851</v>
      </c>
      <c r="B2182" t="s">
        <v>686</v>
      </c>
      <c r="C2182" t="s">
        <v>686</v>
      </c>
      <c r="D2182" t="s">
        <v>12</v>
      </c>
      <c r="E2182" t="s">
        <v>242</v>
      </c>
      <c r="F2182" t="s">
        <v>663</v>
      </c>
      <c r="G2182">
        <v>2010</v>
      </c>
      <c r="H2182" s="12">
        <v>312.64</v>
      </c>
      <c r="I2182" t="s">
        <v>3183</v>
      </c>
      <c r="J2182" t="s">
        <v>5</v>
      </c>
      <c r="K2182" t="s">
        <v>147</v>
      </c>
      <c r="L2182" t="s">
        <v>3184</v>
      </c>
      <c r="M2182" t="s">
        <v>5</v>
      </c>
    </row>
    <row r="2183" spans="1:13">
      <c r="A2183" t="s">
        <v>851</v>
      </c>
      <c r="B2183" t="s">
        <v>686</v>
      </c>
      <c r="C2183" t="s">
        <v>686</v>
      </c>
      <c r="D2183" t="s">
        <v>12</v>
      </c>
      <c r="E2183" t="s">
        <v>242</v>
      </c>
      <c r="F2183" t="s">
        <v>663</v>
      </c>
      <c r="G2183">
        <v>2015</v>
      </c>
      <c r="H2183" s="12">
        <v>271.88</v>
      </c>
      <c r="I2183" t="s">
        <v>3183</v>
      </c>
      <c r="J2183" t="s">
        <v>5</v>
      </c>
      <c r="K2183" t="s">
        <v>147</v>
      </c>
      <c r="L2183" t="s">
        <v>3184</v>
      </c>
      <c r="M2183" t="s">
        <v>5</v>
      </c>
    </row>
    <row r="2184" spans="1:13">
      <c r="A2184" t="s">
        <v>851</v>
      </c>
      <c r="B2184" t="s">
        <v>686</v>
      </c>
      <c r="C2184" t="s">
        <v>686</v>
      </c>
      <c r="D2184" t="s">
        <v>12</v>
      </c>
      <c r="E2184" t="s">
        <v>242</v>
      </c>
      <c r="F2184" t="s">
        <v>663</v>
      </c>
      <c r="G2184">
        <v>2020</v>
      </c>
      <c r="H2184" s="12">
        <v>263.10000000000002</v>
      </c>
      <c r="I2184" t="s">
        <v>3183</v>
      </c>
      <c r="J2184" t="s">
        <v>5</v>
      </c>
      <c r="K2184" t="s">
        <v>147</v>
      </c>
      <c r="L2184" t="s">
        <v>3184</v>
      </c>
      <c r="M2184" t="s">
        <v>5</v>
      </c>
    </row>
    <row r="2185" spans="1:13">
      <c r="A2185" t="s">
        <v>851</v>
      </c>
      <c r="B2185" t="s">
        <v>686</v>
      </c>
      <c r="C2185" t="s">
        <v>686</v>
      </c>
      <c r="D2185" t="s">
        <v>12</v>
      </c>
      <c r="E2185" t="s">
        <v>242</v>
      </c>
      <c r="F2185" t="s">
        <v>663</v>
      </c>
      <c r="G2185">
        <v>2030</v>
      </c>
      <c r="H2185" s="12">
        <v>173.02</v>
      </c>
      <c r="I2185" t="s">
        <v>3183</v>
      </c>
      <c r="J2185" t="s">
        <v>5</v>
      </c>
      <c r="K2185" t="s">
        <v>147</v>
      </c>
      <c r="L2185" t="s">
        <v>3184</v>
      </c>
      <c r="M2185" t="s">
        <v>5</v>
      </c>
    </row>
    <row r="2186" spans="1:13">
      <c r="A2186" t="s">
        <v>851</v>
      </c>
      <c r="B2186" t="s">
        <v>686</v>
      </c>
      <c r="C2186" t="s">
        <v>686</v>
      </c>
      <c r="D2186" t="s">
        <v>12</v>
      </c>
      <c r="E2186" t="s">
        <v>242</v>
      </c>
      <c r="F2186" t="s">
        <v>663</v>
      </c>
      <c r="G2186">
        <v>2035</v>
      </c>
      <c r="H2186" s="12">
        <v>160.97</v>
      </c>
      <c r="I2186" t="s">
        <v>3183</v>
      </c>
      <c r="J2186" t="s">
        <v>5</v>
      </c>
      <c r="K2186" t="s">
        <v>147</v>
      </c>
      <c r="L2186" t="s">
        <v>3184</v>
      </c>
      <c r="M2186" t="s">
        <v>5</v>
      </c>
    </row>
    <row r="2187" spans="1:13">
      <c r="A2187" t="s">
        <v>851</v>
      </c>
      <c r="B2187" t="s">
        <v>686</v>
      </c>
      <c r="C2187" t="s">
        <v>686</v>
      </c>
      <c r="D2187" t="s">
        <v>12</v>
      </c>
      <c r="E2187" t="s">
        <v>242</v>
      </c>
      <c r="F2187" t="s">
        <v>663</v>
      </c>
      <c r="G2187">
        <v>2040</v>
      </c>
      <c r="H2187" s="12">
        <v>146.37</v>
      </c>
      <c r="I2187" t="s">
        <v>3183</v>
      </c>
      <c r="J2187" t="s">
        <v>5</v>
      </c>
      <c r="K2187" t="s">
        <v>147</v>
      </c>
      <c r="L2187" t="s">
        <v>3184</v>
      </c>
      <c r="M2187" t="s">
        <v>5</v>
      </c>
    </row>
    <row r="2188" spans="1:13">
      <c r="A2188" t="s">
        <v>851</v>
      </c>
      <c r="B2188" t="s">
        <v>686</v>
      </c>
      <c r="C2188" t="s">
        <v>686</v>
      </c>
      <c r="D2188" t="s">
        <v>12</v>
      </c>
      <c r="E2188" t="s">
        <v>242</v>
      </c>
      <c r="F2188" t="s">
        <v>663</v>
      </c>
      <c r="G2188">
        <v>2045</v>
      </c>
      <c r="H2188" s="12">
        <v>144.24</v>
      </c>
      <c r="I2188" t="s">
        <v>3183</v>
      </c>
      <c r="J2188" t="s">
        <v>5</v>
      </c>
      <c r="K2188" t="s">
        <v>147</v>
      </c>
      <c r="L2188" t="s">
        <v>3184</v>
      </c>
      <c r="M2188" t="s">
        <v>5</v>
      </c>
    </row>
    <row r="2189" spans="1:13">
      <c r="A2189" t="s">
        <v>851</v>
      </c>
      <c r="B2189" t="s">
        <v>686</v>
      </c>
      <c r="C2189" t="s">
        <v>686</v>
      </c>
      <c r="D2189" t="s">
        <v>12</v>
      </c>
      <c r="E2189" t="s">
        <v>242</v>
      </c>
      <c r="F2189" t="s">
        <v>663</v>
      </c>
      <c r="G2189">
        <v>2050</v>
      </c>
      <c r="H2189" s="12">
        <v>145.6</v>
      </c>
      <c r="I2189" t="s">
        <v>3183</v>
      </c>
      <c r="J2189" t="s">
        <v>5</v>
      </c>
      <c r="K2189" t="s">
        <v>147</v>
      </c>
      <c r="L2189" t="s">
        <v>3184</v>
      </c>
      <c r="M2189" t="s">
        <v>5</v>
      </c>
    </row>
    <row r="2190" spans="1:13">
      <c r="A2190" t="s">
        <v>851</v>
      </c>
      <c r="B2190" t="s">
        <v>687</v>
      </c>
      <c r="C2190" t="s">
        <v>687</v>
      </c>
      <c r="D2190" t="s">
        <v>12</v>
      </c>
      <c r="E2190" t="s">
        <v>656</v>
      </c>
      <c r="F2190" t="s">
        <v>31</v>
      </c>
      <c r="G2190">
        <v>2045</v>
      </c>
      <c r="H2190" s="12">
        <v>60.34</v>
      </c>
      <c r="I2190" t="s">
        <v>3183</v>
      </c>
      <c r="J2190" t="s">
        <v>14</v>
      </c>
      <c r="K2190" t="s">
        <v>147</v>
      </c>
      <c r="L2190" t="s">
        <v>3184</v>
      </c>
      <c r="M2190" t="s">
        <v>14</v>
      </c>
    </row>
    <row r="2191" spans="1:13">
      <c r="A2191" t="s">
        <v>851</v>
      </c>
      <c r="B2191" t="s">
        <v>687</v>
      </c>
      <c r="C2191" t="s">
        <v>687</v>
      </c>
      <c r="D2191" t="s">
        <v>12</v>
      </c>
      <c r="E2191" t="s">
        <v>656</v>
      </c>
      <c r="F2191" t="s">
        <v>31</v>
      </c>
      <c r="G2191">
        <v>2050</v>
      </c>
      <c r="H2191" s="12">
        <v>60.38</v>
      </c>
      <c r="I2191" t="s">
        <v>3183</v>
      </c>
      <c r="J2191" t="s">
        <v>14</v>
      </c>
      <c r="K2191" t="s">
        <v>147</v>
      </c>
      <c r="L2191" t="s">
        <v>3184</v>
      </c>
      <c r="M2191" t="s">
        <v>14</v>
      </c>
    </row>
    <row r="2192" spans="1:13">
      <c r="A2192" t="s">
        <v>851</v>
      </c>
      <c r="B2192" t="s">
        <v>686</v>
      </c>
      <c r="C2192" t="s">
        <v>686</v>
      </c>
      <c r="D2192" t="s">
        <v>12</v>
      </c>
      <c r="E2192" t="s">
        <v>656</v>
      </c>
      <c r="F2192" t="s">
        <v>31</v>
      </c>
      <c r="G2192">
        <v>2010</v>
      </c>
      <c r="H2192" s="12">
        <v>1.29</v>
      </c>
      <c r="I2192" t="s">
        <v>3183</v>
      </c>
      <c r="J2192" t="s">
        <v>41</v>
      </c>
      <c r="K2192" t="s">
        <v>147</v>
      </c>
      <c r="L2192" t="s">
        <v>3184</v>
      </c>
      <c r="M2192" t="s">
        <v>669</v>
      </c>
    </row>
    <row r="2193" spans="1:13">
      <c r="A2193" t="s">
        <v>851</v>
      </c>
      <c r="B2193" t="s">
        <v>686</v>
      </c>
      <c r="C2193" t="s">
        <v>686</v>
      </c>
      <c r="D2193" t="s">
        <v>12</v>
      </c>
      <c r="E2193" t="s">
        <v>656</v>
      </c>
      <c r="F2193" t="s">
        <v>31</v>
      </c>
      <c r="G2193">
        <v>2015</v>
      </c>
      <c r="H2193" s="12">
        <v>1.61</v>
      </c>
      <c r="I2193" t="s">
        <v>3183</v>
      </c>
      <c r="J2193" t="s">
        <v>41</v>
      </c>
      <c r="K2193" t="s">
        <v>147</v>
      </c>
      <c r="L2193" t="s">
        <v>3184</v>
      </c>
      <c r="M2193" t="s">
        <v>669</v>
      </c>
    </row>
    <row r="2194" spans="1:13">
      <c r="A2194" t="s">
        <v>851</v>
      </c>
      <c r="B2194" t="s">
        <v>686</v>
      </c>
      <c r="C2194" t="s">
        <v>686</v>
      </c>
      <c r="D2194" t="s">
        <v>12</v>
      </c>
      <c r="E2194" t="s">
        <v>656</v>
      </c>
      <c r="F2194" t="s">
        <v>31</v>
      </c>
      <c r="G2194">
        <v>2020</v>
      </c>
      <c r="H2194" s="12">
        <v>1.62</v>
      </c>
      <c r="I2194" t="s">
        <v>3183</v>
      </c>
      <c r="J2194" t="s">
        <v>41</v>
      </c>
      <c r="K2194" t="s">
        <v>147</v>
      </c>
      <c r="L2194" t="s">
        <v>3184</v>
      </c>
      <c r="M2194" t="s">
        <v>669</v>
      </c>
    </row>
    <row r="2195" spans="1:13">
      <c r="A2195" t="s">
        <v>851</v>
      </c>
      <c r="B2195" t="s">
        <v>686</v>
      </c>
      <c r="C2195" t="s">
        <v>686</v>
      </c>
      <c r="D2195" t="s">
        <v>12</v>
      </c>
      <c r="E2195" t="s">
        <v>656</v>
      </c>
      <c r="F2195" t="s">
        <v>31</v>
      </c>
      <c r="G2195">
        <v>2030</v>
      </c>
      <c r="H2195" s="12">
        <v>2.5499999999999998</v>
      </c>
      <c r="I2195" t="s">
        <v>3183</v>
      </c>
      <c r="J2195" t="s">
        <v>41</v>
      </c>
      <c r="K2195" t="s">
        <v>147</v>
      </c>
      <c r="L2195" t="s">
        <v>3184</v>
      </c>
      <c r="M2195" t="s">
        <v>669</v>
      </c>
    </row>
    <row r="2196" spans="1:13">
      <c r="A2196" t="s">
        <v>851</v>
      </c>
      <c r="B2196" t="s">
        <v>686</v>
      </c>
      <c r="C2196" t="s">
        <v>686</v>
      </c>
      <c r="D2196" t="s">
        <v>12</v>
      </c>
      <c r="E2196" t="s">
        <v>656</v>
      </c>
      <c r="F2196" t="s">
        <v>31</v>
      </c>
      <c r="G2196">
        <v>2035</v>
      </c>
      <c r="H2196" s="12">
        <v>4.4800000000000004</v>
      </c>
      <c r="I2196" t="s">
        <v>3183</v>
      </c>
      <c r="J2196" t="s">
        <v>41</v>
      </c>
      <c r="K2196" t="s">
        <v>147</v>
      </c>
      <c r="L2196" t="s">
        <v>3184</v>
      </c>
      <c r="M2196" t="s">
        <v>669</v>
      </c>
    </row>
    <row r="2197" spans="1:13">
      <c r="A2197" t="s">
        <v>851</v>
      </c>
      <c r="B2197" t="s">
        <v>686</v>
      </c>
      <c r="C2197" t="s">
        <v>686</v>
      </c>
      <c r="D2197" t="s">
        <v>12</v>
      </c>
      <c r="E2197" t="s">
        <v>656</v>
      </c>
      <c r="F2197" t="s">
        <v>31</v>
      </c>
      <c r="G2197">
        <v>2040</v>
      </c>
      <c r="H2197" s="12">
        <v>7.5</v>
      </c>
      <c r="I2197" t="s">
        <v>3183</v>
      </c>
      <c r="J2197" t="s">
        <v>41</v>
      </c>
      <c r="K2197" t="s">
        <v>147</v>
      </c>
      <c r="L2197" t="s">
        <v>3184</v>
      </c>
      <c r="M2197" t="s">
        <v>669</v>
      </c>
    </row>
    <row r="2198" spans="1:13">
      <c r="A2198" t="s">
        <v>851</v>
      </c>
      <c r="B2198" t="s">
        <v>686</v>
      </c>
      <c r="C2198" t="s">
        <v>686</v>
      </c>
      <c r="D2198" t="s">
        <v>12</v>
      </c>
      <c r="E2198" t="s">
        <v>656</v>
      </c>
      <c r="F2198" t="s">
        <v>31</v>
      </c>
      <c r="G2198">
        <v>2045</v>
      </c>
      <c r="H2198" s="12">
        <v>10.95</v>
      </c>
      <c r="I2198" t="s">
        <v>3183</v>
      </c>
      <c r="J2198" t="s">
        <v>41</v>
      </c>
      <c r="K2198" t="s">
        <v>147</v>
      </c>
      <c r="L2198" t="s">
        <v>3184</v>
      </c>
      <c r="M2198" t="s">
        <v>669</v>
      </c>
    </row>
    <row r="2199" spans="1:13">
      <c r="A2199" t="s">
        <v>851</v>
      </c>
      <c r="B2199" t="s">
        <v>686</v>
      </c>
      <c r="C2199" t="s">
        <v>686</v>
      </c>
      <c r="D2199" t="s">
        <v>12</v>
      </c>
      <c r="E2199" t="s">
        <v>656</v>
      </c>
      <c r="F2199" t="s">
        <v>31</v>
      </c>
      <c r="G2199">
        <v>2050</v>
      </c>
      <c r="H2199" s="12">
        <v>14.56</v>
      </c>
      <c r="I2199" t="s">
        <v>3183</v>
      </c>
      <c r="J2199" t="s">
        <v>41</v>
      </c>
      <c r="K2199" t="s">
        <v>147</v>
      </c>
      <c r="L2199" t="s">
        <v>3184</v>
      </c>
      <c r="M2199" t="s">
        <v>669</v>
      </c>
    </row>
    <row r="2200" spans="1:13">
      <c r="A2200" t="s">
        <v>851</v>
      </c>
      <c r="B2200" t="s">
        <v>687</v>
      </c>
      <c r="C2200" t="s">
        <v>687</v>
      </c>
      <c r="D2200" t="s">
        <v>12</v>
      </c>
      <c r="E2200" t="s">
        <v>656</v>
      </c>
      <c r="F2200" t="s">
        <v>31</v>
      </c>
      <c r="G2200">
        <v>2030</v>
      </c>
      <c r="H2200" s="12">
        <v>2.85</v>
      </c>
      <c r="I2200" t="s">
        <v>3183</v>
      </c>
      <c r="J2200" t="s">
        <v>41</v>
      </c>
      <c r="K2200" t="s">
        <v>147</v>
      </c>
      <c r="L2200" t="s">
        <v>3184</v>
      </c>
      <c r="M2200" t="s">
        <v>669</v>
      </c>
    </row>
    <row r="2201" spans="1:13">
      <c r="A2201" t="s">
        <v>851</v>
      </c>
      <c r="B2201" t="s">
        <v>687</v>
      </c>
      <c r="C2201" t="s">
        <v>687</v>
      </c>
      <c r="D2201" t="s">
        <v>12</v>
      </c>
      <c r="E2201" t="s">
        <v>656</v>
      </c>
      <c r="F2201" t="s">
        <v>31</v>
      </c>
      <c r="G2201">
        <v>2035</v>
      </c>
      <c r="H2201" s="12">
        <v>4.93</v>
      </c>
      <c r="I2201" t="s">
        <v>3183</v>
      </c>
      <c r="J2201" t="s">
        <v>41</v>
      </c>
      <c r="K2201" t="s">
        <v>147</v>
      </c>
      <c r="L2201" t="s">
        <v>3184</v>
      </c>
      <c r="M2201" t="s">
        <v>669</v>
      </c>
    </row>
    <row r="2202" spans="1:13">
      <c r="A2202" t="s">
        <v>851</v>
      </c>
      <c r="B2202" t="s">
        <v>687</v>
      </c>
      <c r="C2202" t="s">
        <v>687</v>
      </c>
      <c r="D2202" t="s">
        <v>12</v>
      </c>
      <c r="E2202" t="s">
        <v>656</v>
      </c>
      <c r="F2202" t="s">
        <v>31</v>
      </c>
      <c r="G2202">
        <v>2040</v>
      </c>
      <c r="H2202" s="12">
        <v>8.11</v>
      </c>
      <c r="I2202" t="s">
        <v>3183</v>
      </c>
      <c r="J2202" t="s">
        <v>41</v>
      </c>
      <c r="K2202" t="s">
        <v>147</v>
      </c>
      <c r="L2202" t="s">
        <v>3184</v>
      </c>
      <c r="M2202" t="s">
        <v>669</v>
      </c>
    </row>
    <row r="2203" spans="1:13">
      <c r="A2203" t="s">
        <v>851</v>
      </c>
      <c r="B2203" t="s">
        <v>687</v>
      </c>
      <c r="C2203" t="s">
        <v>687</v>
      </c>
      <c r="D2203" t="s">
        <v>12</v>
      </c>
      <c r="E2203" t="s">
        <v>656</v>
      </c>
      <c r="F2203" t="s">
        <v>31</v>
      </c>
      <c r="G2203">
        <v>2045</v>
      </c>
      <c r="H2203" s="12">
        <v>11.7</v>
      </c>
      <c r="I2203" t="s">
        <v>3183</v>
      </c>
      <c r="J2203" t="s">
        <v>41</v>
      </c>
      <c r="K2203" t="s">
        <v>147</v>
      </c>
      <c r="L2203" t="s">
        <v>3184</v>
      </c>
      <c r="M2203" t="s">
        <v>669</v>
      </c>
    </row>
    <row r="2204" spans="1:13">
      <c r="A2204" t="s">
        <v>851</v>
      </c>
      <c r="B2204" t="s">
        <v>687</v>
      </c>
      <c r="C2204" t="s">
        <v>687</v>
      </c>
      <c r="D2204" t="s">
        <v>12</v>
      </c>
      <c r="E2204" t="s">
        <v>656</v>
      </c>
      <c r="F2204" t="s">
        <v>31</v>
      </c>
      <c r="G2204">
        <v>2050</v>
      </c>
      <c r="H2204" s="12">
        <v>15.41</v>
      </c>
      <c r="I2204" t="s">
        <v>3183</v>
      </c>
      <c r="J2204" t="s">
        <v>41</v>
      </c>
      <c r="K2204" t="s">
        <v>147</v>
      </c>
      <c r="L2204" t="s">
        <v>3184</v>
      </c>
      <c r="M2204" t="s">
        <v>669</v>
      </c>
    </row>
    <row r="2205" spans="1:13">
      <c r="A2205" t="s">
        <v>851</v>
      </c>
      <c r="B2205" t="s">
        <v>686</v>
      </c>
      <c r="C2205" t="s">
        <v>686</v>
      </c>
      <c r="D2205" t="s">
        <v>12</v>
      </c>
      <c r="E2205" t="s">
        <v>656</v>
      </c>
      <c r="F2205" t="s">
        <v>31</v>
      </c>
      <c r="G2205">
        <v>2010</v>
      </c>
      <c r="H2205" s="12">
        <v>24.66</v>
      </c>
      <c r="I2205" t="s">
        <v>3183</v>
      </c>
      <c r="J2205" t="s">
        <v>15</v>
      </c>
      <c r="K2205" t="s">
        <v>147</v>
      </c>
      <c r="L2205" t="s">
        <v>3184</v>
      </c>
      <c r="M2205" t="s">
        <v>15</v>
      </c>
    </row>
    <row r="2206" spans="1:13">
      <c r="A2206" t="s">
        <v>851</v>
      </c>
      <c r="B2206" t="s">
        <v>686</v>
      </c>
      <c r="C2206" t="s">
        <v>686</v>
      </c>
      <c r="D2206" t="s">
        <v>12</v>
      </c>
      <c r="E2206" t="s">
        <v>656</v>
      </c>
      <c r="F2206" t="s">
        <v>31</v>
      </c>
      <c r="G2206">
        <v>2015</v>
      </c>
      <c r="H2206" s="12">
        <v>27.64</v>
      </c>
      <c r="I2206" t="s">
        <v>3183</v>
      </c>
      <c r="J2206" t="s">
        <v>15</v>
      </c>
      <c r="K2206" t="s">
        <v>147</v>
      </c>
      <c r="L2206" t="s">
        <v>3184</v>
      </c>
      <c r="M2206" t="s">
        <v>15</v>
      </c>
    </row>
    <row r="2207" spans="1:13">
      <c r="A2207" t="s">
        <v>851</v>
      </c>
      <c r="B2207" t="s">
        <v>686</v>
      </c>
      <c r="C2207" t="s">
        <v>686</v>
      </c>
      <c r="D2207" t="s">
        <v>12</v>
      </c>
      <c r="E2207" t="s">
        <v>656</v>
      </c>
      <c r="F2207" t="s">
        <v>31</v>
      </c>
      <c r="G2207">
        <v>2020</v>
      </c>
      <c r="H2207" s="12">
        <v>30.6</v>
      </c>
      <c r="I2207" t="s">
        <v>3183</v>
      </c>
      <c r="J2207" t="s">
        <v>15</v>
      </c>
      <c r="K2207" t="s">
        <v>147</v>
      </c>
      <c r="L2207" t="s">
        <v>3184</v>
      </c>
      <c r="M2207" t="s">
        <v>15</v>
      </c>
    </row>
    <row r="2208" spans="1:13">
      <c r="A2208" t="s">
        <v>851</v>
      </c>
      <c r="B2208" t="s">
        <v>686</v>
      </c>
      <c r="C2208" t="s">
        <v>686</v>
      </c>
      <c r="D2208" t="s">
        <v>12</v>
      </c>
      <c r="E2208" t="s">
        <v>656</v>
      </c>
      <c r="F2208" t="s">
        <v>31</v>
      </c>
      <c r="G2208">
        <v>2030</v>
      </c>
      <c r="H2208" s="12">
        <v>32.659999999999997</v>
      </c>
      <c r="I2208" t="s">
        <v>3183</v>
      </c>
      <c r="J2208" t="s">
        <v>15</v>
      </c>
      <c r="K2208" t="s">
        <v>147</v>
      </c>
      <c r="L2208" t="s">
        <v>3184</v>
      </c>
      <c r="M2208" t="s">
        <v>15</v>
      </c>
    </row>
    <row r="2209" spans="1:13">
      <c r="A2209" t="s">
        <v>851</v>
      </c>
      <c r="B2209" t="s">
        <v>686</v>
      </c>
      <c r="C2209" t="s">
        <v>686</v>
      </c>
      <c r="D2209" t="s">
        <v>12</v>
      </c>
      <c r="E2209" t="s">
        <v>656</v>
      </c>
      <c r="F2209" t="s">
        <v>31</v>
      </c>
      <c r="G2209">
        <v>2035</v>
      </c>
      <c r="H2209" s="12">
        <v>34.79</v>
      </c>
      <c r="I2209" t="s">
        <v>3183</v>
      </c>
      <c r="J2209" t="s">
        <v>15</v>
      </c>
      <c r="K2209" t="s">
        <v>147</v>
      </c>
      <c r="L2209" t="s">
        <v>3184</v>
      </c>
      <c r="M2209" t="s">
        <v>15</v>
      </c>
    </row>
    <row r="2210" spans="1:13">
      <c r="A2210" t="s">
        <v>851</v>
      </c>
      <c r="B2210" t="s">
        <v>686</v>
      </c>
      <c r="C2210" t="s">
        <v>686</v>
      </c>
      <c r="D2210" t="s">
        <v>12</v>
      </c>
      <c r="E2210" t="s">
        <v>656</v>
      </c>
      <c r="F2210" t="s">
        <v>31</v>
      </c>
      <c r="G2210">
        <v>2040</v>
      </c>
      <c r="H2210" s="12">
        <v>35.19</v>
      </c>
      <c r="I2210" t="s">
        <v>3183</v>
      </c>
      <c r="J2210" t="s">
        <v>15</v>
      </c>
      <c r="K2210" t="s">
        <v>147</v>
      </c>
      <c r="L2210" t="s">
        <v>3184</v>
      </c>
      <c r="M2210" t="s">
        <v>15</v>
      </c>
    </row>
    <row r="2211" spans="1:13">
      <c r="A2211" t="s">
        <v>851</v>
      </c>
      <c r="B2211" t="s">
        <v>686</v>
      </c>
      <c r="C2211" t="s">
        <v>686</v>
      </c>
      <c r="D2211" t="s">
        <v>12</v>
      </c>
      <c r="E2211" t="s">
        <v>656</v>
      </c>
      <c r="F2211" t="s">
        <v>31</v>
      </c>
      <c r="G2211">
        <v>2045</v>
      </c>
      <c r="H2211" s="12">
        <v>36.69</v>
      </c>
      <c r="I2211" t="s">
        <v>3183</v>
      </c>
      <c r="J2211" t="s">
        <v>15</v>
      </c>
      <c r="K2211" t="s">
        <v>147</v>
      </c>
      <c r="L2211" t="s">
        <v>3184</v>
      </c>
      <c r="M2211" t="s">
        <v>15</v>
      </c>
    </row>
    <row r="2212" spans="1:13">
      <c r="A2212" t="s">
        <v>851</v>
      </c>
      <c r="B2212" t="s">
        <v>686</v>
      </c>
      <c r="C2212" t="s">
        <v>686</v>
      </c>
      <c r="D2212" t="s">
        <v>12</v>
      </c>
      <c r="E2212" t="s">
        <v>656</v>
      </c>
      <c r="F2212" t="s">
        <v>31</v>
      </c>
      <c r="G2212">
        <v>2050</v>
      </c>
      <c r="H2212" s="12">
        <v>38.19</v>
      </c>
      <c r="I2212" t="s">
        <v>3183</v>
      </c>
      <c r="J2212" t="s">
        <v>15</v>
      </c>
      <c r="K2212" t="s">
        <v>147</v>
      </c>
      <c r="L2212" t="s">
        <v>3184</v>
      </c>
      <c r="M2212" t="s">
        <v>15</v>
      </c>
    </row>
    <row r="2213" spans="1:13">
      <c r="A2213" t="s">
        <v>851</v>
      </c>
      <c r="B2213" t="s">
        <v>687</v>
      </c>
      <c r="C2213" t="s">
        <v>687</v>
      </c>
      <c r="D2213" t="s">
        <v>12</v>
      </c>
      <c r="E2213" t="s">
        <v>656</v>
      </c>
      <c r="F2213" t="s">
        <v>31</v>
      </c>
      <c r="G2213">
        <v>2030</v>
      </c>
      <c r="H2213" s="12">
        <v>32.659999999999997</v>
      </c>
      <c r="I2213" t="s">
        <v>3183</v>
      </c>
      <c r="J2213" t="s">
        <v>15</v>
      </c>
      <c r="K2213" t="s">
        <v>147</v>
      </c>
      <c r="L2213" t="s">
        <v>3184</v>
      </c>
      <c r="M2213" t="s">
        <v>15</v>
      </c>
    </row>
    <row r="2214" spans="1:13">
      <c r="A2214" t="s">
        <v>851</v>
      </c>
      <c r="B2214" t="s">
        <v>687</v>
      </c>
      <c r="C2214" t="s">
        <v>687</v>
      </c>
      <c r="D2214" t="s">
        <v>12</v>
      </c>
      <c r="E2214" t="s">
        <v>656</v>
      </c>
      <c r="F2214" t="s">
        <v>31</v>
      </c>
      <c r="G2214">
        <v>2035</v>
      </c>
      <c r="H2214" s="12">
        <v>34.79</v>
      </c>
      <c r="I2214" t="s">
        <v>3183</v>
      </c>
      <c r="J2214" t="s">
        <v>15</v>
      </c>
      <c r="K2214" t="s">
        <v>147</v>
      </c>
      <c r="L2214" t="s">
        <v>3184</v>
      </c>
      <c r="M2214" t="s">
        <v>15</v>
      </c>
    </row>
    <row r="2215" spans="1:13">
      <c r="A2215" t="s">
        <v>851</v>
      </c>
      <c r="B2215" t="s">
        <v>687</v>
      </c>
      <c r="C2215" t="s">
        <v>687</v>
      </c>
      <c r="D2215" t="s">
        <v>12</v>
      </c>
      <c r="E2215" t="s">
        <v>656</v>
      </c>
      <c r="F2215" t="s">
        <v>31</v>
      </c>
      <c r="G2215">
        <v>2040</v>
      </c>
      <c r="H2215" s="12">
        <v>35.19</v>
      </c>
      <c r="I2215" t="s">
        <v>3183</v>
      </c>
      <c r="J2215" t="s">
        <v>15</v>
      </c>
      <c r="K2215" t="s">
        <v>147</v>
      </c>
      <c r="L2215" t="s">
        <v>3184</v>
      </c>
      <c r="M2215" t="s">
        <v>15</v>
      </c>
    </row>
    <row r="2216" spans="1:13">
      <c r="A2216" t="s">
        <v>851</v>
      </c>
      <c r="B2216" t="s">
        <v>687</v>
      </c>
      <c r="C2216" t="s">
        <v>687</v>
      </c>
      <c r="D2216" t="s">
        <v>12</v>
      </c>
      <c r="E2216" t="s">
        <v>656</v>
      </c>
      <c r="F2216" t="s">
        <v>31</v>
      </c>
      <c r="G2216">
        <v>2045</v>
      </c>
      <c r="H2216" s="12">
        <v>36.69</v>
      </c>
      <c r="I2216" t="s">
        <v>3183</v>
      </c>
      <c r="J2216" t="s">
        <v>15</v>
      </c>
      <c r="K2216" t="s">
        <v>147</v>
      </c>
      <c r="L2216" t="s">
        <v>3184</v>
      </c>
      <c r="M2216" t="s">
        <v>15</v>
      </c>
    </row>
    <row r="2217" spans="1:13">
      <c r="A2217" t="s">
        <v>851</v>
      </c>
      <c r="B2217" t="s">
        <v>687</v>
      </c>
      <c r="C2217" t="s">
        <v>687</v>
      </c>
      <c r="D2217" t="s">
        <v>12</v>
      </c>
      <c r="E2217" t="s">
        <v>656</v>
      </c>
      <c r="F2217" t="s">
        <v>31</v>
      </c>
      <c r="G2217">
        <v>2050</v>
      </c>
      <c r="H2217" s="12">
        <v>38.19</v>
      </c>
      <c r="I2217" t="s">
        <v>3183</v>
      </c>
      <c r="J2217" t="s">
        <v>15</v>
      </c>
      <c r="K2217" t="s">
        <v>147</v>
      </c>
      <c r="L2217" t="s">
        <v>3184</v>
      </c>
      <c r="M2217" t="s">
        <v>15</v>
      </c>
    </row>
    <row r="2218" spans="1:13">
      <c r="A2218" t="s">
        <v>851</v>
      </c>
      <c r="B2218" t="s">
        <v>686</v>
      </c>
      <c r="C2218" t="s">
        <v>686</v>
      </c>
      <c r="D2218" t="s">
        <v>12</v>
      </c>
      <c r="E2218" t="s">
        <v>656</v>
      </c>
      <c r="F2218" t="s">
        <v>31</v>
      </c>
      <c r="G2218">
        <v>2010</v>
      </c>
      <c r="H2218" s="12">
        <v>0</v>
      </c>
      <c r="I2218" t="s">
        <v>3183</v>
      </c>
      <c r="J2218" t="s">
        <v>8</v>
      </c>
      <c r="K2218" t="s">
        <v>147</v>
      </c>
      <c r="L2218" t="s">
        <v>3184</v>
      </c>
      <c r="M2218" t="s">
        <v>670</v>
      </c>
    </row>
    <row r="2219" spans="1:13">
      <c r="A2219" t="s">
        <v>851</v>
      </c>
      <c r="B2219" t="s">
        <v>686</v>
      </c>
      <c r="C2219" t="s">
        <v>686</v>
      </c>
      <c r="D2219" t="s">
        <v>12</v>
      </c>
      <c r="E2219" t="s">
        <v>656</v>
      </c>
      <c r="F2219" t="s">
        <v>31</v>
      </c>
      <c r="G2219">
        <v>2015</v>
      </c>
      <c r="H2219" s="12">
        <v>0</v>
      </c>
      <c r="I2219" t="s">
        <v>3183</v>
      </c>
      <c r="J2219" t="s">
        <v>8</v>
      </c>
      <c r="K2219" t="s">
        <v>147</v>
      </c>
      <c r="L2219" t="s">
        <v>3184</v>
      </c>
      <c r="M2219" t="s">
        <v>670</v>
      </c>
    </row>
    <row r="2220" spans="1:13">
      <c r="A2220" t="s">
        <v>851</v>
      </c>
      <c r="B2220" t="s">
        <v>686</v>
      </c>
      <c r="C2220" t="s">
        <v>686</v>
      </c>
      <c r="D2220" t="s">
        <v>12</v>
      </c>
      <c r="E2220" t="s">
        <v>656</v>
      </c>
      <c r="F2220" t="s">
        <v>31</v>
      </c>
      <c r="G2220">
        <v>2020</v>
      </c>
      <c r="H2220" s="12">
        <v>0</v>
      </c>
      <c r="I2220" t="s">
        <v>3183</v>
      </c>
      <c r="J2220" t="s">
        <v>8</v>
      </c>
      <c r="K2220" t="s">
        <v>147</v>
      </c>
      <c r="L2220" t="s">
        <v>3184</v>
      </c>
      <c r="M2220" t="s">
        <v>670</v>
      </c>
    </row>
    <row r="2221" spans="1:13">
      <c r="A2221" t="s">
        <v>851</v>
      </c>
      <c r="B2221" t="s">
        <v>686</v>
      </c>
      <c r="C2221" t="s">
        <v>686</v>
      </c>
      <c r="D2221" t="s">
        <v>12</v>
      </c>
      <c r="E2221" t="s">
        <v>656</v>
      </c>
      <c r="F2221" t="s">
        <v>31</v>
      </c>
      <c r="G2221">
        <v>2030</v>
      </c>
      <c r="H2221" s="12">
        <v>0</v>
      </c>
      <c r="I2221" t="s">
        <v>3183</v>
      </c>
      <c r="J2221" t="s">
        <v>8</v>
      </c>
      <c r="K2221" t="s">
        <v>147</v>
      </c>
      <c r="L2221" t="s">
        <v>3184</v>
      </c>
      <c r="M2221" t="s">
        <v>670</v>
      </c>
    </row>
    <row r="2222" spans="1:13">
      <c r="A2222" t="s">
        <v>851</v>
      </c>
      <c r="B2222" t="s">
        <v>686</v>
      </c>
      <c r="C2222" t="s">
        <v>686</v>
      </c>
      <c r="D2222" t="s">
        <v>12</v>
      </c>
      <c r="E2222" t="s">
        <v>656</v>
      </c>
      <c r="F2222" t="s">
        <v>31</v>
      </c>
      <c r="G2222">
        <v>2035</v>
      </c>
      <c r="H2222" s="12">
        <v>0</v>
      </c>
      <c r="I2222" t="s">
        <v>3183</v>
      </c>
      <c r="J2222" t="s">
        <v>8</v>
      </c>
      <c r="K2222" t="s">
        <v>147</v>
      </c>
      <c r="L2222" t="s">
        <v>3184</v>
      </c>
      <c r="M2222" t="s">
        <v>670</v>
      </c>
    </row>
    <row r="2223" spans="1:13">
      <c r="A2223" t="s">
        <v>851</v>
      </c>
      <c r="B2223" t="s">
        <v>686</v>
      </c>
      <c r="C2223" t="s">
        <v>686</v>
      </c>
      <c r="D2223" t="s">
        <v>12</v>
      </c>
      <c r="E2223" t="s">
        <v>656</v>
      </c>
      <c r="F2223" t="s">
        <v>31</v>
      </c>
      <c r="G2223">
        <v>2040</v>
      </c>
      <c r="H2223" s="12">
        <v>0</v>
      </c>
      <c r="I2223" t="s">
        <v>3183</v>
      </c>
      <c r="J2223" t="s">
        <v>8</v>
      </c>
      <c r="K2223" t="s">
        <v>147</v>
      </c>
      <c r="L2223" t="s">
        <v>3184</v>
      </c>
      <c r="M2223" t="s">
        <v>670</v>
      </c>
    </row>
    <row r="2224" spans="1:13">
      <c r="A2224" t="s">
        <v>851</v>
      </c>
      <c r="B2224" t="s">
        <v>686</v>
      </c>
      <c r="C2224" t="s">
        <v>686</v>
      </c>
      <c r="D2224" t="s">
        <v>12</v>
      </c>
      <c r="E2224" t="s">
        <v>656</v>
      </c>
      <c r="F2224" t="s">
        <v>31</v>
      </c>
      <c r="G2224">
        <v>2045</v>
      </c>
      <c r="H2224" s="12">
        <v>0</v>
      </c>
      <c r="I2224" t="s">
        <v>3183</v>
      </c>
      <c r="J2224" t="s">
        <v>8</v>
      </c>
      <c r="K2224" t="s">
        <v>147</v>
      </c>
      <c r="L2224" t="s">
        <v>3184</v>
      </c>
      <c r="M2224" t="s">
        <v>670</v>
      </c>
    </row>
    <row r="2225" spans="1:13">
      <c r="A2225" t="s">
        <v>851</v>
      </c>
      <c r="B2225" t="s">
        <v>686</v>
      </c>
      <c r="C2225" t="s">
        <v>686</v>
      </c>
      <c r="D2225" t="s">
        <v>12</v>
      </c>
      <c r="E2225" t="s">
        <v>656</v>
      </c>
      <c r="F2225" t="s">
        <v>31</v>
      </c>
      <c r="G2225">
        <v>2050</v>
      </c>
      <c r="H2225" s="12">
        <v>0</v>
      </c>
      <c r="I2225" t="s">
        <v>3183</v>
      </c>
      <c r="J2225" t="s">
        <v>8</v>
      </c>
      <c r="K2225" t="s">
        <v>147</v>
      </c>
      <c r="L2225" t="s">
        <v>3184</v>
      </c>
      <c r="M2225" t="s">
        <v>670</v>
      </c>
    </row>
    <row r="2226" spans="1:13">
      <c r="A2226" t="s">
        <v>851</v>
      </c>
      <c r="B2226" t="s">
        <v>687</v>
      </c>
      <c r="C2226" t="s">
        <v>687</v>
      </c>
      <c r="D2226" t="s">
        <v>12</v>
      </c>
      <c r="E2226" t="s">
        <v>656</v>
      </c>
      <c r="F2226" t="s">
        <v>31</v>
      </c>
      <c r="G2226">
        <v>2030</v>
      </c>
      <c r="H2226" s="12">
        <v>0</v>
      </c>
      <c r="I2226" t="s">
        <v>3183</v>
      </c>
      <c r="J2226" t="s">
        <v>8</v>
      </c>
      <c r="K2226" t="s">
        <v>147</v>
      </c>
      <c r="L2226" t="s">
        <v>3184</v>
      </c>
      <c r="M2226" t="s">
        <v>670</v>
      </c>
    </row>
    <row r="2227" spans="1:13">
      <c r="A2227" t="s">
        <v>851</v>
      </c>
      <c r="B2227" t="s">
        <v>687</v>
      </c>
      <c r="C2227" t="s">
        <v>687</v>
      </c>
      <c r="D2227" t="s">
        <v>12</v>
      </c>
      <c r="E2227" t="s">
        <v>656</v>
      </c>
      <c r="F2227" t="s">
        <v>31</v>
      </c>
      <c r="G2227">
        <v>2035</v>
      </c>
      <c r="H2227" s="12">
        <v>0</v>
      </c>
      <c r="I2227" t="s">
        <v>3183</v>
      </c>
      <c r="J2227" t="s">
        <v>8</v>
      </c>
      <c r="K2227" t="s">
        <v>147</v>
      </c>
      <c r="L2227" t="s">
        <v>3184</v>
      </c>
      <c r="M2227" t="s">
        <v>670</v>
      </c>
    </row>
    <row r="2228" spans="1:13">
      <c r="A2228" t="s">
        <v>851</v>
      </c>
      <c r="B2228" t="s">
        <v>687</v>
      </c>
      <c r="C2228" t="s">
        <v>687</v>
      </c>
      <c r="D2228" t="s">
        <v>12</v>
      </c>
      <c r="E2228" t="s">
        <v>656</v>
      </c>
      <c r="F2228" t="s">
        <v>31</v>
      </c>
      <c r="G2228">
        <v>2040</v>
      </c>
      <c r="H2228" s="12">
        <v>0</v>
      </c>
      <c r="I2228" t="s">
        <v>3183</v>
      </c>
      <c r="J2228" t="s">
        <v>8</v>
      </c>
      <c r="K2228" t="s">
        <v>147</v>
      </c>
      <c r="L2228" t="s">
        <v>3184</v>
      </c>
      <c r="M2228" t="s">
        <v>670</v>
      </c>
    </row>
    <row r="2229" spans="1:13">
      <c r="A2229" t="s">
        <v>851</v>
      </c>
      <c r="B2229" t="s">
        <v>687</v>
      </c>
      <c r="C2229" t="s">
        <v>687</v>
      </c>
      <c r="D2229" t="s">
        <v>12</v>
      </c>
      <c r="E2229" t="s">
        <v>656</v>
      </c>
      <c r="F2229" t="s">
        <v>31</v>
      </c>
      <c r="G2229">
        <v>2045</v>
      </c>
      <c r="H2229" s="12">
        <v>0</v>
      </c>
      <c r="I2229" t="s">
        <v>3183</v>
      </c>
      <c r="J2229" t="s">
        <v>8</v>
      </c>
      <c r="K2229" t="s">
        <v>147</v>
      </c>
      <c r="L2229" t="s">
        <v>3184</v>
      </c>
      <c r="M2229" t="s">
        <v>670</v>
      </c>
    </row>
    <row r="2230" spans="1:13">
      <c r="A2230" t="s">
        <v>851</v>
      </c>
      <c r="B2230" t="s">
        <v>687</v>
      </c>
      <c r="C2230" t="s">
        <v>687</v>
      </c>
      <c r="D2230" t="s">
        <v>12</v>
      </c>
      <c r="E2230" t="s">
        <v>656</v>
      </c>
      <c r="F2230" t="s">
        <v>31</v>
      </c>
      <c r="G2230">
        <v>2050</v>
      </c>
      <c r="H2230" s="12">
        <v>0</v>
      </c>
      <c r="I2230" t="s">
        <v>3183</v>
      </c>
      <c r="J2230" t="s">
        <v>8</v>
      </c>
      <c r="K2230" t="s">
        <v>147</v>
      </c>
      <c r="L2230" t="s">
        <v>3184</v>
      </c>
      <c r="M2230" t="s">
        <v>670</v>
      </c>
    </row>
    <row r="2231" spans="1:13">
      <c r="A2231" t="s">
        <v>851</v>
      </c>
      <c r="B2231" t="s">
        <v>686</v>
      </c>
      <c r="C2231" t="s">
        <v>686</v>
      </c>
      <c r="D2231" t="s">
        <v>12</v>
      </c>
      <c r="E2231" t="s">
        <v>656</v>
      </c>
      <c r="F2231" t="s">
        <v>31</v>
      </c>
      <c r="G2231">
        <v>2010</v>
      </c>
      <c r="H2231" s="12">
        <v>46.35</v>
      </c>
      <c r="I2231" t="s">
        <v>3183</v>
      </c>
      <c r="J2231" t="s">
        <v>5</v>
      </c>
      <c r="K2231" t="s">
        <v>147</v>
      </c>
      <c r="L2231" t="s">
        <v>3184</v>
      </c>
      <c r="M2231" t="s">
        <v>665</v>
      </c>
    </row>
    <row r="2232" spans="1:13">
      <c r="A2232" t="s">
        <v>851</v>
      </c>
      <c r="B2232" t="s">
        <v>686</v>
      </c>
      <c r="C2232" t="s">
        <v>686</v>
      </c>
      <c r="D2232" t="s">
        <v>12</v>
      </c>
      <c r="E2232" t="s">
        <v>656</v>
      </c>
      <c r="F2232" t="s">
        <v>31</v>
      </c>
      <c r="G2232">
        <v>2015</v>
      </c>
      <c r="H2232" s="12">
        <v>48.84</v>
      </c>
      <c r="I2232" t="s">
        <v>3183</v>
      </c>
      <c r="J2232" t="s">
        <v>5</v>
      </c>
      <c r="K2232" t="s">
        <v>147</v>
      </c>
      <c r="L2232" t="s">
        <v>3184</v>
      </c>
      <c r="M2232" t="s">
        <v>665</v>
      </c>
    </row>
    <row r="2233" spans="1:13">
      <c r="A2233" t="s">
        <v>851</v>
      </c>
      <c r="B2233" t="s">
        <v>686</v>
      </c>
      <c r="C2233" t="s">
        <v>686</v>
      </c>
      <c r="D2233" t="s">
        <v>12</v>
      </c>
      <c r="E2233" t="s">
        <v>656</v>
      </c>
      <c r="F2233" t="s">
        <v>31</v>
      </c>
      <c r="G2233">
        <v>2020</v>
      </c>
      <c r="H2233" s="12">
        <v>49.58</v>
      </c>
      <c r="I2233" t="s">
        <v>3183</v>
      </c>
      <c r="J2233" t="s">
        <v>5</v>
      </c>
      <c r="K2233" t="s">
        <v>147</v>
      </c>
      <c r="L2233" t="s">
        <v>3184</v>
      </c>
      <c r="M2233" t="s">
        <v>665</v>
      </c>
    </row>
    <row r="2234" spans="1:13">
      <c r="A2234" t="s">
        <v>851</v>
      </c>
      <c r="B2234" t="s">
        <v>686</v>
      </c>
      <c r="C2234" t="s">
        <v>686</v>
      </c>
      <c r="D2234" t="s">
        <v>12</v>
      </c>
      <c r="E2234" t="s">
        <v>656</v>
      </c>
      <c r="F2234" t="s">
        <v>31</v>
      </c>
      <c r="G2234">
        <v>2030</v>
      </c>
      <c r="H2234" s="12">
        <v>26.4</v>
      </c>
      <c r="I2234" t="s">
        <v>3183</v>
      </c>
      <c r="J2234" t="s">
        <v>5</v>
      </c>
      <c r="K2234" t="s">
        <v>147</v>
      </c>
      <c r="L2234" t="s">
        <v>3184</v>
      </c>
      <c r="M2234" t="s">
        <v>665</v>
      </c>
    </row>
    <row r="2235" spans="1:13">
      <c r="A2235" t="s">
        <v>851</v>
      </c>
      <c r="B2235" t="s">
        <v>686</v>
      </c>
      <c r="C2235" t="s">
        <v>686</v>
      </c>
      <c r="D2235" t="s">
        <v>12</v>
      </c>
      <c r="E2235" t="s">
        <v>656</v>
      </c>
      <c r="F2235" t="s">
        <v>31</v>
      </c>
      <c r="G2235">
        <v>2035</v>
      </c>
      <c r="H2235" s="12">
        <v>22.34</v>
      </c>
      <c r="I2235" t="s">
        <v>3183</v>
      </c>
      <c r="J2235" t="s">
        <v>5</v>
      </c>
      <c r="K2235" t="s">
        <v>147</v>
      </c>
      <c r="L2235" t="s">
        <v>3184</v>
      </c>
      <c r="M2235" t="s">
        <v>665</v>
      </c>
    </row>
    <row r="2236" spans="1:13">
      <c r="A2236" t="s">
        <v>851</v>
      </c>
      <c r="B2236" t="s">
        <v>686</v>
      </c>
      <c r="C2236" t="s">
        <v>686</v>
      </c>
      <c r="D2236" t="s">
        <v>12</v>
      </c>
      <c r="E2236" t="s">
        <v>656</v>
      </c>
      <c r="F2236" t="s">
        <v>31</v>
      </c>
      <c r="G2236">
        <v>2040</v>
      </c>
      <c r="H2236" s="12">
        <v>18.829999999999998</v>
      </c>
      <c r="I2236" t="s">
        <v>3183</v>
      </c>
      <c r="J2236" t="s">
        <v>5</v>
      </c>
      <c r="K2236" t="s">
        <v>147</v>
      </c>
      <c r="L2236" t="s">
        <v>3184</v>
      </c>
      <c r="M2236" t="s">
        <v>665</v>
      </c>
    </row>
    <row r="2237" spans="1:13">
      <c r="A2237" t="s">
        <v>851</v>
      </c>
      <c r="B2237" t="s">
        <v>686</v>
      </c>
      <c r="C2237" t="s">
        <v>686</v>
      </c>
      <c r="D2237" t="s">
        <v>12</v>
      </c>
      <c r="E2237" t="s">
        <v>656</v>
      </c>
      <c r="F2237" t="s">
        <v>31</v>
      </c>
      <c r="G2237">
        <v>2045</v>
      </c>
      <c r="H2237" s="12">
        <v>18.350000000000001</v>
      </c>
      <c r="I2237" t="s">
        <v>3183</v>
      </c>
      <c r="J2237" t="s">
        <v>5</v>
      </c>
      <c r="K2237" t="s">
        <v>147</v>
      </c>
      <c r="L2237" t="s">
        <v>3184</v>
      </c>
      <c r="M2237" t="s">
        <v>665</v>
      </c>
    </row>
    <row r="2238" spans="1:13">
      <c r="A2238" t="s">
        <v>851</v>
      </c>
      <c r="B2238" t="s">
        <v>686</v>
      </c>
      <c r="C2238" t="s">
        <v>686</v>
      </c>
      <c r="D2238" t="s">
        <v>12</v>
      </c>
      <c r="E2238" t="s">
        <v>656</v>
      </c>
      <c r="F2238" t="s">
        <v>31</v>
      </c>
      <c r="G2238">
        <v>2050</v>
      </c>
      <c r="H2238" s="12">
        <v>18.64</v>
      </c>
      <c r="I2238" t="s">
        <v>3183</v>
      </c>
      <c r="J2238" t="s">
        <v>5</v>
      </c>
      <c r="K2238" t="s">
        <v>147</v>
      </c>
      <c r="L2238" t="s">
        <v>3184</v>
      </c>
      <c r="M2238" t="s">
        <v>665</v>
      </c>
    </row>
    <row r="2239" spans="1:13">
      <c r="A2239" t="s">
        <v>851</v>
      </c>
      <c r="B2239" t="s">
        <v>687</v>
      </c>
      <c r="C2239" t="s">
        <v>687</v>
      </c>
      <c r="D2239" t="s">
        <v>12</v>
      </c>
      <c r="E2239" t="s">
        <v>656</v>
      </c>
      <c r="F2239" t="s">
        <v>31</v>
      </c>
      <c r="G2239">
        <v>2030</v>
      </c>
      <c r="H2239" s="12">
        <v>26.63</v>
      </c>
      <c r="I2239" t="s">
        <v>3183</v>
      </c>
      <c r="J2239" t="s">
        <v>5</v>
      </c>
      <c r="K2239" t="s">
        <v>147</v>
      </c>
      <c r="L2239" t="s">
        <v>3184</v>
      </c>
      <c r="M2239" t="s">
        <v>665</v>
      </c>
    </row>
    <row r="2240" spans="1:13">
      <c r="A2240" t="s">
        <v>851</v>
      </c>
      <c r="B2240" t="s">
        <v>687</v>
      </c>
      <c r="C2240" t="s">
        <v>687</v>
      </c>
      <c r="D2240" t="s">
        <v>12</v>
      </c>
      <c r="E2240" t="s">
        <v>656</v>
      </c>
      <c r="F2240" t="s">
        <v>31</v>
      </c>
      <c r="G2240">
        <v>2035</v>
      </c>
      <c r="H2240" s="12">
        <v>22.73</v>
      </c>
      <c r="I2240" t="s">
        <v>3183</v>
      </c>
      <c r="J2240" t="s">
        <v>5</v>
      </c>
      <c r="K2240" t="s">
        <v>147</v>
      </c>
      <c r="L2240" t="s">
        <v>3184</v>
      </c>
      <c r="M2240" t="s">
        <v>665</v>
      </c>
    </row>
    <row r="2241" spans="1:13">
      <c r="A2241" t="s">
        <v>851</v>
      </c>
      <c r="B2241" t="s">
        <v>687</v>
      </c>
      <c r="C2241" t="s">
        <v>687</v>
      </c>
      <c r="D2241" t="s">
        <v>12</v>
      </c>
      <c r="E2241" t="s">
        <v>656</v>
      </c>
      <c r="F2241" t="s">
        <v>31</v>
      </c>
      <c r="G2241">
        <v>2040</v>
      </c>
      <c r="H2241" s="12">
        <v>19.41</v>
      </c>
      <c r="I2241" t="s">
        <v>3183</v>
      </c>
      <c r="J2241" t="s">
        <v>5</v>
      </c>
      <c r="K2241" t="s">
        <v>147</v>
      </c>
      <c r="L2241" t="s">
        <v>3184</v>
      </c>
      <c r="M2241" t="s">
        <v>665</v>
      </c>
    </row>
    <row r="2242" spans="1:13">
      <c r="A2242" t="s">
        <v>851</v>
      </c>
      <c r="B2242" t="s">
        <v>687</v>
      </c>
      <c r="C2242" t="s">
        <v>687</v>
      </c>
      <c r="D2242" t="s">
        <v>12</v>
      </c>
      <c r="E2242" t="s">
        <v>656</v>
      </c>
      <c r="F2242" t="s">
        <v>31</v>
      </c>
      <c r="G2242">
        <v>2045</v>
      </c>
      <c r="H2242" s="12">
        <v>18.850000000000001</v>
      </c>
      <c r="I2242" t="s">
        <v>3183</v>
      </c>
      <c r="J2242" t="s">
        <v>5</v>
      </c>
      <c r="K2242" t="s">
        <v>147</v>
      </c>
      <c r="L2242" t="s">
        <v>3184</v>
      </c>
      <c r="M2242" t="s">
        <v>665</v>
      </c>
    </row>
    <row r="2243" spans="1:13">
      <c r="A2243" t="s">
        <v>851</v>
      </c>
      <c r="B2243" t="s">
        <v>687</v>
      </c>
      <c r="C2243" t="s">
        <v>687</v>
      </c>
      <c r="D2243" t="s">
        <v>12</v>
      </c>
      <c r="E2243" t="s">
        <v>656</v>
      </c>
      <c r="F2243" t="s">
        <v>31</v>
      </c>
      <c r="G2243">
        <v>2050</v>
      </c>
      <c r="H2243" s="12">
        <v>18.77</v>
      </c>
      <c r="I2243" t="s">
        <v>3183</v>
      </c>
      <c r="J2243" t="s">
        <v>5</v>
      </c>
      <c r="K2243" t="s">
        <v>147</v>
      </c>
      <c r="L2243" t="s">
        <v>3184</v>
      </c>
      <c r="M2243" t="s">
        <v>665</v>
      </c>
    </row>
    <row r="2244" spans="1:13">
      <c r="A2244" t="s">
        <v>851</v>
      </c>
      <c r="B2244" t="s">
        <v>686</v>
      </c>
      <c r="C2244" t="s">
        <v>686</v>
      </c>
      <c r="D2244" t="s">
        <v>12</v>
      </c>
      <c r="E2244" t="s">
        <v>656</v>
      </c>
      <c r="F2244" t="s">
        <v>31</v>
      </c>
      <c r="G2244">
        <v>2010</v>
      </c>
      <c r="H2244" s="12">
        <v>102.02</v>
      </c>
      <c r="I2244" t="s">
        <v>3183</v>
      </c>
      <c r="J2244" t="s">
        <v>6</v>
      </c>
      <c r="K2244" t="s">
        <v>147</v>
      </c>
      <c r="L2244" t="s">
        <v>3184</v>
      </c>
      <c r="M2244" t="s">
        <v>666</v>
      </c>
    </row>
    <row r="2245" spans="1:13">
      <c r="A2245" t="s">
        <v>851</v>
      </c>
      <c r="B2245" t="s">
        <v>686</v>
      </c>
      <c r="C2245" t="s">
        <v>686</v>
      </c>
      <c r="D2245" t="s">
        <v>12</v>
      </c>
      <c r="E2245" t="s">
        <v>656</v>
      </c>
      <c r="F2245" t="s">
        <v>31</v>
      </c>
      <c r="G2245">
        <v>2015</v>
      </c>
      <c r="H2245" s="12">
        <v>120.55</v>
      </c>
      <c r="I2245" t="s">
        <v>3183</v>
      </c>
      <c r="J2245" t="s">
        <v>6</v>
      </c>
      <c r="K2245" t="s">
        <v>147</v>
      </c>
      <c r="L2245" t="s">
        <v>3184</v>
      </c>
      <c r="M2245" t="s">
        <v>666</v>
      </c>
    </row>
    <row r="2246" spans="1:13">
      <c r="A2246" t="s">
        <v>851</v>
      </c>
      <c r="B2246" t="s">
        <v>686</v>
      </c>
      <c r="C2246" t="s">
        <v>686</v>
      </c>
      <c r="D2246" t="s">
        <v>12</v>
      </c>
      <c r="E2246" t="s">
        <v>656</v>
      </c>
      <c r="F2246" t="s">
        <v>31</v>
      </c>
      <c r="G2246">
        <v>2020</v>
      </c>
      <c r="H2246" s="12">
        <v>127.71</v>
      </c>
      <c r="I2246" t="s">
        <v>3183</v>
      </c>
      <c r="J2246" t="s">
        <v>6</v>
      </c>
      <c r="K2246" t="s">
        <v>147</v>
      </c>
      <c r="L2246" t="s">
        <v>3184</v>
      </c>
      <c r="M2246" t="s">
        <v>666</v>
      </c>
    </row>
    <row r="2247" spans="1:13">
      <c r="A2247" t="s">
        <v>851</v>
      </c>
      <c r="B2247" t="s">
        <v>686</v>
      </c>
      <c r="C2247" t="s">
        <v>686</v>
      </c>
      <c r="D2247" t="s">
        <v>12</v>
      </c>
      <c r="E2247" t="s">
        <v>656</v>
      </c>
      <c r="F2247" t="s">
        <v>31</v>
      </c>
      <c r="G2247">
        <v>2030</v>
      </c>
      <c r="H2247" s="12">
        <v>117.37</v>
      </c>
      <c r="I2247" t="s">
        <v>3183</v>
      </c>
      <c r="J2247" t="s">
        <v>6</v>
      </c>
      <c r="K2247" t="s">
        <v>147</v>
      </c>
      <c r="L2247" t="s">
        <v>3184</v>
      </c>
      <c r="M2247" t="s">
        <v>666</v>
      </c>
    </row>
    <row r="2248" spans="1:13">
      <c r="A2248" t="s">
        <v>851</v>
      </c>
      <c r="B2248" t="s">
        <v>686</v>
      </c>
      <c r="C2248" t="s">
        <v>686</v>
      </c>
      <c r="D2248" t="s">
        <v>12</v>
      </c>
      <c r="E2248" t="s">
        <v>656</v>
      </c>
      <c r="F2248" t="s">
        <v>31</v>
      </c>
      <c r="G2248">
        <v>2035</v>
      </c>
      <c r="H2248" s="12">
        <v>123.02</v>
      </c>
      <c r="I2248" t="s">
        <v>3183</v>
      </c>
      <c r="J2248" t="s">
        <v>6</v>
      </c>
      <c r="K2248" t="s">
        <v>147</v>
      </c>
      <c r="L2248" t="s">
        <v>3184</v>
      </c>
      <c r="M2248" t="s">
        <v>666</v>
      </c>
    </row>
    <row r="2249" spans="1:13">
      <c r="A2249" t="s">
        <v>851</v>
      </c>
      <c r="B2249" t="s">
        <v>686</v>
      </c>
      <c r="C2249" t="s">
        <v>686</v>
      </c>
      <c r="D2249" t="s">
        <v>12</v>
      </c>
      <c r="E2249" t="s">
        <v>656</v>
      </c>
      <c r="F2249" t="s">
        <v>31</v>
      </c>
      <c r="G2249">
        <v>2040</v>
      </c>
      <c r="H2249" s="12">
        <v>130.88</v>
      </c>
      <c r="I2249" t="s">
        <v>3183</v>
      </c>
      <c r="J2249" t="s">
        <v>6</v>
      </c>
      <c r="K2249" t="s">
        <v>147</v>
      </c>
      <c r="L2249" t="s">
        <v>3184</v>
      </c>
      <c r="M2249" t="s">
        <v>666</v>
      </c>
    </row>
    <row r="2250" spans="1:13">
      <c r="A2250" t="s">
        <v>851</v>
      </c>
      <c r="B2250" t="s">
        <v>686</v>
      </c>
      <c r="C2250" t="s">
        <v>686</v>
      </c>
      <c r="D2250" t="s">
        <v>12</v>
      </c>
      <c r="E2250" t="s">
        <v>656</v>
      </c>
      <c r="F2250" t="s">
        <v>31</v>
      </c>
      <c r="G2250">
        <v>2045</v>
      </c>
      <c r="H2250" s="12">
        <v>135.08000000000001</v>
      </c>
      <c r="I2250" t="s">
        <v>3183</v>
      </c>
      <c r="J2250" t="s">
        <v>6</v>
      </c>
      <c r="K2250" t="s">
        <v>147</v>
      </c>
      <c r="L2250" t="s">
        <v>3184</v>
      </c>
      <c r="M2250" t="s">
        <v>666</v>
      </c>
    </row>
    <row r="2251" spans="1:13">
      <c r="A2251" t="s">
        <v>851</v>
      </c>
      <c r="B2251" t="s">
        <v>686</v>
      </c>
      <c r="C2251" t="s">
        <v>686</v>
      </c>
      <c r="D2251" t="s">
        <v>12</v>
      </c>
      <c r="E2251" t="s">
        <v>656</v>
      </c>
      <c r="F2251" t="s">
        <v>31</v>
      </c>
      <c r="G2251">
        <v>2050</v>
      </c>
      <c r="H2251" s="12">
        <v>136.94999999999999</v>
      </c>
      <c r="I2251" t="s">
        <v>3183</v>
      </c>
      <c r="J2251" t="s">
        <v>6</v>
      </c>
      <c r="K2251" t="s">
        <v>147</v>
      </c>
      <c r="L2251" t="s">
        <v>3184</v>
      </c>
      <c r="M2251" t="s">
        <v>666</v>
      </c>
    </row>
    <row r="2252" spans="1:13">
      <c r="A2252" t="s">
        <v>851</v>
      </c>
      <c r="B2252" t="s">
        <v>687</v>
      </c>
      <c r="C2252" t="s">
        <v>687</v>
      </c>
      <c r="D2252" t="s">
        <v>12</v>
      </c>
      <c r="E2252" t="s">
        <v>656</v>
      </c>
      <c r="F2252" t="s">
        <v>31</v>
      </c>
      <c r="G2252">
        <v>2030</v>
      </c>
      <c r="H2252" s="12">
        <v>124.23</v>
      </c>
      <c r="I2252" t="s">
        <v>3183</v>
      </c>
      <c r="J2252" t="s">
        <v>6</v>
      </c>
      <c r="K2252" t="s">
        <v>147</v>
      </c>
      <c r="L2252" t="s">
        <v>3184</v>
      </c>
      <c r="M2252" t="s">
        <v>666</v>
      </c>
    </row>
    <row r="2253" spans="1:13">
      <c r="A2253" t="s">
        <v>851</v>
      </c>
      <c r="B2253" t="s">
        <v>687</v>
      </c>
      <c r="C2253" t="s">
        <v>687</v>
      </c>
      <c r="D2253" t="s">
        <v>12</v>
      </c>
      <c r="E2253" t="s">
        <v>656</v>
      </c>
      <c r="F2253" t="s">
        <v>31</v>
      </c>
      <c r="G2253">
        <v>2035</v>
      </c>
      <c r="H2253" s="12">
        <v>129.97</v>
      </c>
      <c r="I2253" t="s">
        <v>3183</v>
      </c>
      <c r="J2253" t="s">
        <v>6</v>
      </c>
      <c r="K2253" t="s">
        <v>147</v>
      </c>
      <c r="L2253" t="s">
        <v>3184</v>
      </c>
      <c r="M2253" t="s">
        <v>666</v>
      </c>
    </row>
    <row r="2254" spans="1:13">
      <c r="A2254" t="s">
        <v>851</v>
      </c>
      <c r="B2254" t="s">
        <v>687</v>
      </c>
      <c r="C2254" t="s">
        <v>687</v>
      </c>
      <c r="D2254" t="s">
        <v>12</v>
      </c>
      <c r="E2254" t="s">
        <v>656</v>
      </c>
      <c r="F2254" t="s">
        <v>31</v>
      </c>
      <c r="G2254">
        <v>2040</v>
      </c>
      <c r="H2254" s="12">
        <v>135.12</v>
      </c>
      <c r="I2254" t="s">
        <v>3183</v>
      </c>
      <c r="J2254" t="s">
        <v>6</v>
      </c>
      <c r="K2254" t="s">
        <v>147</v>
      </c>
      <c r="L2254" t="s">
        <v>3184</v>
      </c>
      <c r="M2254" t="s">
        <v>666</v>
      </c>
    </row>
    <row r="2255" spans="1:13">
      <c r="A2255" t="s">
        <v>851</v>
      </c>
      <c r="B2255" t="s">
        <v>687</v>
      </c>
      <c r="C2255" t="s">
        <v>687</v>
      </c>
      <c r="D2255" t="s">
        <v>12</v>
      </c>
      <c r="E2255" t="s">
        <v>656</v>
      </c>
      <c r="F2255" t="s">
        <v>31</v>
      </c>
      <c r="G2255">
        <v>2045</v>
      </c>
      <c r="H2255" s="12">
        <v>136.34</v>
      </c>
      <c r="I2255" t="s">
        <v>3183</v>
      </c>
      <c r="J2255" t="s">
        <v>6</v>
      </c>
      <c r="K2255" t="s">
        <v>147</v>
      </c>
      <c r="L2255" t="s">
        <v>3184</v>
      </c>
      <c r="M2255" t="s">
        <v>666</v>
      </c>
    </row>
    <row r="2256" spans="1:13">
      <c r="A2256" t="s">
        <v>851</v>
      </c>
      <c r="B2256" t="s">
        <v>687</v>
      </c>
      <c r="C2256" t="s">
        <v>687</v>
      </c>
      <c r="D2256" t="s">
        <v>12</v>
      </c>
      <c r="E2256" t="s">
        <v>656</v>
      </c>
      <c r="F2256" t="s">
        <v>31</v>
      </c>
      <c r="G2256">
        <v>2050</v>
      </c>
      <c r="H2256" s="12">
        <v>135.49</v>
      </c>
      <c r="I2256" t="s">
        <v>3183</v>
      </c>
      <c r="J2256" t="s">
        <v>6</v>
      </c>
      <c r="K2256" t="s">
        <v>147</v>
      </c>
      <c r="L2256" t="s">
        <v>3184</v>
      </c>
      <c r="M2256" t="s">
        <v>666</v>
      </c>
    </row>
    <row r="2257" spans="1:13">
      <c r="A2257" t="s">
        <v>851</v>
      </c>
      <c r="B2257" t="s">
        <v>686</v>
      </c>
      <c r="C2257" t="s">
        <v>686</v>
      </c>
      <c r="D2257" t="s">
        <v>12</v>
      </c>
      <c r="E2257" t="s">
        <v>656</v>
      </c>
      <c r="F2257" t="s">
        <v>31</v>
      </c>
      <c r="G2257">
        <v>2010</v>
      </c>
      <c r="H2257" s="12">
        <v>3.55</v>
      </c>
      <c r="I2257" t="s">
        <v>3183</v>
      </c>
      <c r="J2257" t="s">
        <v>394</v>
      </c>
      <c r="K2257" t="s">
        <v>147</v>
      </c>
      <c r="L2257" t="s">
        <v>3184</v>
      </c>
      <c r="M2257" t="s">
        <v>16</v>
      </c>
    </row>
    <row r="2258" spans="1:13">
      <c r="A2258" t="s">
        <v>851</v>
      </c>
      <c r="B2258" t="s">
        <v>686</v>
      </c>
      <c r="C2258" t="s">
        <v>686</v>
      </c>
      <c r="D2258" t="s">
        <v>12</v>
      </c>
      <c r="E2258" t="s">
        <v>656</v>
      </c>
      <c r="F2258" t="s">
        <v>31</v>
      </c>
      <c r="G2258">
        <v>2015</v>
      </c>
      <c r="H2258" s="12">
        <v>3.85</v>
      </c>
      <c r="I2258" t="s">
        <v>3183</v>
      </c>
      <c r="J2258" t="s">
        <v>394</v>
      </c>
      <c r="K2258" t="s">
        <v>147</v>
      </c>
      <c r="L2258" t="s">
        <v>3184</v>
      </c>
      <c r="M2258" t="s">
        <v>16</v>
      </c>
    </row>
    <row r="2259" spans="1:13">
      <c r="A2259" t="s">
        <v>851</v>
      </c>
      <c r="B2259" t="s">
        <v>686</v>
      </c>
      <c r="C2259" t="s">
        <v>686</v>
      </c>
      <c r="D2259" t="s">
        <v>12</v>
      </c>
      <c r="E2259" t="s">
        <v>656</v>
      </c>
      <c r="F2259" t="s">
        <v>31</v>
      </c>
      <c r="G2259">
        <v>2020</v>
      </c>
      <c r="H2259" s="12">
        <v>3.86</v>
      </c>
      <c r="I2259" t="s">
        <v>3183</v>
      </c>
      <c r="J2259" t="s">
        <v>394</v>
      </c>
      <c r="K2259" t="s">
        <v>147</v>
      </c>
      <c r="L2259" t="s">
        <v>3184</v>
      </c>
      <c r="M2259" t="s">
        <v>16</v>
      </c>
    </row>
    <row r="2260" spans="1:13">
      <c r="A2260" t="s">
        <v>851</v>
      </c>
      <c r="B2260" t="s">
        <v>686</v>
      </c>
      <c r="C2260" t="s">
        <v>686</v>
      </c>
      <c r="D2260" t="s">
        <v>12</v>
      </c>
      <c r="E2260" t="s">
        <v>656</v>
      </c>
      <c r="F2260" t="s">
        <v>31</v>
      </c>
      <c r="G2260">
        <v>2030</v>
      </c>
      <c r="H2260" s="12">
        <v>1.83</v>
      </c>
      <c r="I2260" t="s">
        <v>3183</v>
      </c>
      <c r="J2260" t="s">
        <v>394</v>
      </c>
      <c r="K2260" t="s">
        <v>147</v>
      </c>
      <c r="L2260" t="s">
        <v>3184</v>
      </c>
      <c r="M2260" t="s">
        <v>16</v>
      </c>
    </row>
    <row r="2261" spans="1:13">
      <c r="A2261" t="s">
        <v>851</v>
      </c>
      <c r="B2261" t="s">
        <v>686</v>
      </c>
      <c r="C2261" t="s">
        <v>686</v>
      </c>
      <c r="D2261" t="s">
        <v>12</v>
      </c>
      <c r="E2261" t="s">
        <v>656</v>
      </c>
      <c r="F2261" t="s">
        <v>31</v>
      </c>
      <c r="G2261">
        <v>2035</v>
      </c>
      <c r="H2261" s="12">
        <v>1.24</v>
      </c>
      <c r="I2261" t="s">
        <v>3183</v>
      </c>
      <c r="J2261" t="s">
        <v>394</v>
      </c>
      <c r="K2261" t="s">
        <v>147</v>
      </c>
      <c r="L2261" t="s">
        <v>3184</v>
      </c>
      <c r="M2261" t="s">
        <v>16</v>
      </c>
    </row>
    <row r="2262" spans="1:13">
      <c r="A2262" t="s">
        <v>851</v>
      </c>
      <c r="B2262" t="s">
        <v>686</v>
      </c>
      <c r="C2262" t="s">
        <v>686</v>
      </c>
      <c r="D2262" t="s">
        <v>12</v>
      </c>
      <c r="E2262" t="s">
        <v>656</v>
      </c>
      <c r="F2262" t="s">
        <v>31</v>
      </c>
      <c r="G2262">
        <v>2040</v>
      </c>
      <c r="H2262" s="12">
        <v>0.81</v>
      </c>
      <c r="I2262" t="s">
        <v>3183</v>
      </c>
      <c r="J2262" t="s">
        <v>394</v>
      </c>
      <c r="K2262" t="s">
        <v>147</v>
      </c>
      <c r="L2262" t="s">
        <v>3184</v>
      </c>
      <c r="M2262" t="s">
        <v>16</v>
      </c>
    </row>
    <row r="2263" spans="1:13">
      <c r="A2263" t="s">
        <v>851</v>
      </c>
      <c r="B2263" t="s">
        <v>686</v>
      </c>
      <c r="C2263" t="s">
        <v>686</v>
      </c>
      <c r="D2263" t="s">
        <v>12</v>
      </c>
      <c r="E2263" t="s">
        <v>656</v>
      </c>
      <c r="F2263" t="s">
        <v>31</v>
      </c>
      <c r="G2263">
        <v>2045</v>
      </c>
      <c r="H2263" s="12">
        <v>0.66</v>
      </c>
      <c r="I2263" t="s">
        <v>3183</v>
      </c>
      <c r="J2263" t="s">
        <v>394</v>
      </c>
      <c r="K2263" t="s">
        <v>147</v>
      </c>
      <c r="L2263" t="s">
        <v>3184</v>
      </c>
      <c r="M2263" t="s">
        <v>16</v>
      </c>
    </row>
    <row r="2264" spans="1:13">
      <c r="A2264" t="s">
        <v>851</v>
      </c>
      <c r="B2264" t="s">
        <v>686</v>
      </c>
      <c r="C2264" t="s">
        <v>686</v>
      </c>
      <c r="D2264" t="s">
        <v>12</v>
      </c>
      <c r="E2264" t="s">
        <v>656</v>
      </c>
      <c r="F2264" t="s">
        <v>31</v>
      </c>
      <c r="G2264">
        <v>2050</v>
      </c>
      <c r="H2264" s="12">
        <v>0.56000000000000005</v>
      </c>
      <c r="I2264" t="s">
        <v>3183</v>
      </c>
      <c r="J2264" t="s">
        <v>394</v>
      </c>
      <c r="K2264" t="s">
        <v>147</v>
      </c>
      <c r="L2264" t="s">
        <v>3184</v>
      </c>
      <c r="M2264" t="s">
        <v>16</v>
      </c>
    </row>
    <row r="2265" spans="1:13">
      <c r="A2265" t="s">
        <v>851</v>
      </c>
      <c r="B2265" t="s">
        <v>687</v>
      </c>
      <c r="C2265" t="s">
        <v>687</v>
      </c>
      <c r="D2265" t="s">
        <v>12</v>
      </c>
      <c r="E2265" t="s">
        <v>656</v>
      </c>
      <c r="F2265" t="s">
        <v>31</v>
      </c>
      <c r="G2265">
        <v>2030</v>
      </c>
      <c r="H2265" s="12">
        <v>1.82</v>
      </c>
      <c r="I2265" t="s">
        <v>3183</v>
      </c>
      <c r="J2265" t="s">
        <v>394</v>
      </c>
      <c r="K2265" t="s">
        <v>147</v>
      </c>
      <c r="L2265" t="s">
        <v>3184</v>
      </c>
      <c r="M2265" t="s">
        <v>16</v>
      </c>
    </row>
    <row r="2266" spans="1:13">
      <c r="A2266" t="s">
        <v>851</v>
      </c>
      <c r="B2266" t="s">
        <v>687</v>
      </c>
      <c r="C2266" t="s">
        <v>687</v>
      </c>
      <c r="D2266" t="s">
        <v>12</v>
      </c>
      <c r="E2266" t="s">
        <v>656</v>
      </c>
      <c r="F2266" t="s">
        <v>31</v>
      </c>
      <c r="G2266">
        <v>2035</v>
      </c>
      <c r="H2266" s="12">
        <v>1.21</v>
      </c>
      <c r="I2266" t="s">
        <v>3183</v>
      </c>
      <c r="J2266" t="s">
        <v>394</v>
      </c>
      <c r="K2266" t="s">
        <v>147</v>
      </c>
      <c r="L2266" t="s">
        <v>3184</v>
      </c>
      <c r="M2266" t="s">
        <v>16</v>
      </c>
    </row>
    <row r="2267" spans="1:13">
      <c r="A2267" t="s">
        <v>851</v>
      </c>
      <c r="B2267" t="s">
        <v>687</v>
      </c>
      <c r="C2267" t="s">
        <v>687</v>
      </c>
      <c r="D2267" t="s">
        <v>12</v>
      </c>
      <c r="E2267" t="s">
        <v>656</v>
      </c>
      <c r="F2267" t="s">
        <v>31</v>
      </c>
      <c r="G2267">
        <v>2040</v>
      </c>
      <c r="H2267" s="12">
        <v>0.77</v>
      </c>
      <c r="I2267" t="s">
        <v>3183</v>
      </c>
      <c r="J2267" t="s">
        <v>394</v>
      </c>
      <c r="K2267" t="s">
        <v>147</v>
      </c>
      <c r="L2267" t="s">
        <v>3184</v>
      </c>
      <c r="M2267" t="s">
        <v>16</v>
      </c>
    </row>
    <row r="2268" spans="1:13">
      <c r="A2268" t="s">
        <v>851</v>
      </c>
      <c r="B2268" t="s">
        <v>687</v>
      </c>
      <c r="C2268" t="s">
        <v>687</v>
      </c>
      <c r="D2268" t="s">
        <v>12</v>
      </c>
      <c r="E2268" t="s">
        <v>656</v>
      </c>
      <c r="F2268" t="s">
        <v>31</v>
      </c>
      <c r="G2268">
        <v>2045</v>
      </c>
      <c r="H2268" s="12">
        <v>0.62</v>
      </c>
      <c r="I2268" t="s">
        <v>3183</v>
      </c>
      <c r="J2268" t="s">
        <v>394</v>
      </c>
      <c r="K2268" t="s">
        <v>147</v>
      </c>
      <c r="L2268" t="s">
        <v>3184</v>
      </c>
      <c r="M2268" t="s">
        <v>16</v>
      </c>
    </row>
    <row r="2269" spans="1:13">
      <c r="A2269" t="s">
        <v>851</v>
      </c>
      <c r="B2269" t="s">
        <v>687</v>
      </c>
      <c r="C2269" t="s">
        <v>687</v>
      </c>
      <c r="D2269" t="s">
        <v>12</v>
      </c>
      <c r="E2269" t="s">
        <v>656</v>
      </c>
      <c r="F2269" t="s">
        <v>31</v>
      </c>
      <c r="G2269">
        <v>2050</v>
      </c>
      <c r="H2269" s="12">
        <v>0.51</v>
      </c>
      <c r="I2269" t="s">
        <v>3183</v>
      </c>
      <c r="J2269" t="s">
        <v>394</v>
      </c>
      <c r="K2269" t="s">
        <v>147</v>
      </c>
      <c r="L2269" t="s">
        <v>3184</v>
      </c>
      <c r="M2269" t="s">
        <v>16</v>
      </c>
    </row>
    <row r="2270" spans="1:13">
      <c r="A2270" t="s">
        <v>851</v>
      </c>
      <c r="B2270" t="s">
        <v>686</v>
      </c>
      <c r="C2270" t="s">
        <v>686</v>
      </c>
      <c r="D2270" t="s">
        <v>12</v>
      </c>
      <c r="E2270" t="s">
        <v>656</v>
      </c>
      <c r="F2270" t="s">
        <v>31</v>
      </c>
      <c r="G2270">
        <v>2010</v>
      </c>
      <c r="H2270" s="12">
        <v>0</v>
      </c>
      <c r="I2270" t="s">
        <v>3183</v>
      </c>
      <c r="J2270" t="s">
        <v>484</v>
      </c>
      <c r="K2270" t="s">
        <v>147</v>
      </c>
      <c r="L2270" t="s">
        <v>3184</v>
      </c>
      <c r="M2270" t="s">
        <v>667</v>
      </c>
    </row>
    <row r="2271" spans="1:13">
      <c r="A2271" t="s">
        <v>851</v>
      </c>
      <c r="B2271" t="s">
        <v>686</v>
      </c>
      <c r="C2271" t="s">
        <v>686</v>
      </c>
      <c r="D2271" t="s">
        <v>12</v>
      </c>
      <c r="E2271" t="s">
        <v>656</v>
      </c>
      <c r="F2271" t="s">
        <v>31</v>
      </c>
      <c r="G2271">
        <v>2015</v>
      </c>
      <c r="H2271" s="12">
        <v>0</v>
      </c>
      <c r="I2271" t="s">
        <v>3183</v>
      </c>
      <c r="J2271" t="s">
        <v>484</v>
      </c>
      <c r="K2271" t="s">
        <v>147</v>
      </c>
      <c r="L2271" t="s">
        <v>3184</v>
      </c>
      <c r="M2271" t="s">
        <v>667</v>
      </c>
    </row>
    <row r="2272" spans="1:13">
      <c r="A2272" t="s">
        <v>851</v>
      </c>
      <c r="B2272" t="s">
        <v>686</v>
      </c>
      <c r="C2272" t="s">
        <v>686</v>
      </c>
      <c r="D2272" t="s">
        <v>12</v>
      </c>
      <c r="E2272" t="s">
        <v>656</v>
      </c>
      <c r="F2272" t="s">
        <v>31</v>
      </c>
      <c r="G2272">
        <v>2020</v>
      </c>
      <c r="H2272" s="12">
        <v>0</v>
      </c>
      <c r="I2272" t="s">
        <v>3183</v>
      </c>
      <c r="J2272" t="s">
        <v>484</v>
      </c>
      <c r="K2272" t="s">
        <v>147</v>
      </c>
      <c r="L2272" t="s">
        <v>3184</v>
      </c>
      <c r="M2272" t="s">
        <v>667</v>
      </c>
    </row>
    <row r="2273" spans="1:13">
      <c r="A2273" t="s">
        <v>851</v>
      </c>
      <c r="B2273" t="s">
        <v>686</v>
      </c>
      <c r="C2273" t="s">
        <v>686</v>
      </c>
      <c r="D2273" t="s">
        <v>12</v>
      </c>
      <c r="E2273" t="s">
        <v>656</v>
      </c>
      <c r="F2273" t="s">
        <v>31</v>
      </c>
      <c r="G2273">
        <v>2030</v>
      </c>
      <c r="H2273" s="12">
        <v>0.81</v>
      </c>
      <c r="I2273" t="s">
        <v>3183</v>
      </c>
      <c r="J2273" t="s">
        <v>484</v>
      </c>
      <c r="K2273" t="s">
        <v>147</v>
      </c>
      <c r="L2273" t="s">
        <v>3184</v>
      </c>
      <c r="M2273" t="s">
        <v>667</v>
      </c>
    </row>
    <row r="2274" spans="1:13">
      <c r="A2274" t="s">
        <v>851</v>
      </c>
      <c r="B2274" t="s">
        <v>686</v>
      </c>
      <c r="C2274" t="s">
        <v>686</v>
      </c>
      <c r="D2274" t="s">
        <v>12</v>
      </c>
      <c r="E2274" t="s">
        <v>656</v>
      </c>
      <c r="F2274" t="s">
        <v>31</v>
      </c>
      <c r="G2274">
        <v>2035</v>
      </c>
      <c r="H2274" s="12">
        <v>1.3</v>
      </c>
      <c r="I2274" t="s">
        <v>3183</v>
      </c>
      <c r="J2274" t="s">
        <v>484</v>
      </c>
      <c r="K2274" t="s">
        <v>147</v>
      </c>
      <c r="L2274" t="s">
        <v>3184</v>
      </c>
      <c r="M2274" t="s">
        <v>667</v>
      </c>
    </row>
    <row r="2275" spans="1:13">
      <c r="A2275" t="s">
        <v>851</v>
      </c>
      <c r="B2275" t="s">
        <v>686</v>
      </c>
      <c r="C2275" t="s">
        <v>686</v>
      </c>
      <c r="D2275" t="s">
        <v>12</v>
      </c>
      <c r="E2275" t="s">
        <v>656</v>
      </c>
      <c r="F2275" t="s">
        <v>31</v>
      </c>
      <c r="G2275">
        <v>2040</v>
      </c>
      <c r="H2275" s="12">
        <v>1.95</v>
      </c>
      <c r="I2275" t="s">
        <v>3183</v>
      </c>
      <c r="J2275" t="s">
        <v>484</v>
      </c>
      <c r="K2275" t="s">
        <v>147</v>
      </c>
      <c r="L2275" t="s">
        <v>3184</v>
      </c>
      <c r="M2275" t="s">
        <v>667</v>
      </c>
    </row>
    <row r="2276" spans="1:13">
      <c r="A2276" t="s">
        <v>851</v>
      </c>
      <c r="B2276" t="s">
        <v>686</v>
      </c>
      <c r="C2276" t="s">
        <v>686</v>
      </c>
      <c r="D2276" t="s">
        <v>12</v>
      </c>
      <c r="E2276" t="s">
        <v>461</v>
      </c>
      <c r="F2276" t="s">
        <v>668</v>
      </c>
      <c r="G2276">
        <v>2040</v>
      </c>
      <c r="H2276" s="12">
        <v>92</v>
      </c>
      <c r="I2276" t="s">
        <v>3183</v>
      </c>
      <c r="J2276" t="s">
        <v>5</v>
      </c>
      <c r="K2276" t="s">
        <v>147</v>
      </c>
      <c r="L2276" t="s">
        <v>3184</v>
      </c>
      <c r="M2276" t="s">
        <v>665</v>
      </c>
    </row>
    <row r="2277" spans="1:13">
      <c r="A2277" t="s">
        <v>851</v>
      </c>
      <c r="B2277" t="s">
        <v>686</v>
      </c>
      <c r="C2277" t="s">
        <v>686</v>
      </c>
      <c r="D2277" t="s">
        <v>12</v>
      </c>
      <c r="E2277" t="s">
        <v>461</v>
      </c>
      <c r="F2277" t="s">
        <v>668</v>
      </c>
      <c r="G2277">
        <v>2045</v>
      </c>
      <c r="H2277" s="12">
        <v>92.44</v>
      </c>
      <c r="I2277" t="s">
        <v>3183</v>
      </c>
      <c r="J2277" t="s">
        <v>5</v>
      </c>
      <c r="K2277" t="s">
        <v>147</v>
      </c>
      <c r="L2277" t="s">
        <v>3184</v>
      </c>
      <c r="M2277" t="s">
        <v>665</v>
      </c>
    </row>
    <row r="2278" spans="1:13">
      <c r="A2278" t="s">
        <v>851</v>
      </c>
      <c r="B2278" t="s">
        <v>686</v>
      </c>
      <c r="C2278" t="s">
        <v>686</v>
      </c>
      <c r="D2278" t="s">
        <v>12</v>
      </c>
      <c r="E2278" t="s">
        <v>461</v>
      </c>
      <c r="F2278" t="s">
        <v>668</v>
      </c>
      <c r="G2278">
        <v>2050</v>
      </c>
      <c r="H2278" s="12">
        <v>95.96</v>
      </c>
      <c r="I2278" t="s">
        <v>3183</v>
      </c>
      <c r="J2278" t="s">
        <v>5</v>
      </c>
      <c r="K2278" t="s">
        <v>147</v>
      </c>
      <c r="L2278" t="s">
        <v>3184</v>
      </c>
      <c r="M2278" t="s">
        <v>665</v>
      </c>
    </row>
    <row r="2279" spans="1:13">
      <c r="A2279" t="s">
        <v>851</v>
      </c>
      <c r="B2279" t="s">
        <v>687</v>
      </c>
      <c r="C2279" t="s">
        <v>687</v>
      </c>
      <c r="D2279" t="s">
        <v>12</v>
      </c>
      <c r="E2279" t="s">
        <v>461</v>
      </c>
      <c r="F2279" t="s">
        <v>668</v>
      </c>
      <c r="G2279">
        <v>2030</v>
      </c>
      <c r="H2279" s="12">
        <v>110.19</v>
      </c>
      <c r="I2279" t="s">
        <v>3183</v>
      </c>
      <c r="J2279" t="s">
        <v>5</v>
      </c>
      <c r="K2279" t="s">
        <v>147</v>
      </c>
      <c r="L2279" t="s">
        <v>3184</v>
      </c>
      <c r="M2279" t="s">
        <v>665</v>
      </c>
    </row>
    <row r="2280" spans="1:13">
      <c r="A2280" t="s">
        <v>851</v>
      </c>
      <c r="B2280" t="s">
        <v>687</v>
      </c>
      <c r="C2280" t="s">
        <v>687</v>
      </c>
      <c r="D2280" t="s">
        <v>12</v>
      </c>
      <c r="E2280" t="s">
        <v>461</v>
      </c>
      <c r="F2280" t="s">
        <v>668</v>
      </c>
      <c r="G2280">
        <v>2035</v>
      </c>
      <c r="H2280" s="12">
        <v>103.78</v>
      </c>
      <c r="I2280" t="s">
        <v>3183</v>
      </c>
      <c r="J2280" t="s">
        <v>5</v>
      </c>
      <c r="K2280" t="s">
        <v>147</v>
      </c>
      <c r="L2280" t="s">
        <v>3184</v>
      </c>
      <c r="M2280" t="s">
        <v>665</v>
      </c>
    </row>
    <row r="2281" spans="1:13">
      <c r="A2281" t="s">
        <v>851</v>
      </c>
      <c r="B2281" t="s">
        <v>687</v>
      </c>
      <c r="C2281" t="s">
        <v>687</v>
      </c>
      <c r="D2281" t="s">
        <v>12</v>
      </c>
      <c r="E2281" t="s">
        <v>461</v>
      </c>
      <c r="F2281" t="s">
        <v>668</v>
      </c>
      <c r="G2281">
        <v>2040</v>
      </c>
      <c r="H2281" s="12">
        <v>95.09</v>
      </c>
      <c r="I2281" t="s">
        <v>3183</v>
      </c>
      <c r="J2281" t="s">
        <v>5</v>
      </c>
      <c r="K2281" t="s">
        <v>147</v>
      </c>
      <c r="L2281" t="s">
        <v>3184</v>
      </c>
      <c r="M2281" t="s">
        <v>665</v>
      </c>
    </row>
    <row r="2282" spans="1:13">
      <c r="A2282" t="s">
        <v>851</v>
      </c>
      <c r="B2282" t="s">
        <v>687</v>
      </c>
      <c r="C2282" t="s">
        <v>687</v>
      </c>
      <c r="D2282" t="s">
        <v>12</v>
      </c>
      <c r="E2282" t="s">
        <v>461</v>
      </c>
      <c r="F2282" t="s">
        <v>668</v>
      </c>
      <c r="G2282">
        <v>2045</v>
      </c>
      <c r="H2282" s="12">
        <v>88.96</v>
      </c>
      <c r="I2282" t="s">
        <v>3183</v>
      </c>
      <c r="J2282" t="s">
        <v>5</v>
      </c>
      <c r="K2282" t="s">
        <v>147</v>
      </c>
      <c r="L2282" t="s">
        <v>3184</v>
      </c>
      <c r="M2282" t="s">
        <v>665</v>
      </c>
    </row>
    <row r="2283" spans="1:13">
      <c r="A2283" t="s">
        <v>851</v>
      </c>
      <c r="B2283" t="s">
        <v>687</v>
      </c>
      <c r="C2283" t="s">
        <v>687</v>
      </c>
      <c r="D2283" t="s">
        <v>12</v>
      </c>
      <c r="E2283" t="s">
        <v>461</v>
      </c>
      <c r="F2283" t="s">
        <v>668</v>
      </c>
      <c r="G2283">
        <v>2050</v>
      </c>
      <c r="H2283" s="12">
        <v>90.68</v>
      </c>
      <c r="I2283" t="s">
        <v>3183</v>
      </c>
      <c r="J2283" t="s">
        <v>5</v>
      </c>
      <c r="K2283" t="s">
        <v>147</v>
      </c>
      <c r="L2283" t="s">
        <v>3184</v>
      </c>
      <c r="M2283" t="s">
        <v>665</v>
      </c>
    </row>
    <row r="2284" spans="1:13">
      <c r="A2284" t="s">
        <v>851</v>
      </c>
      <c r="B2284" t="s">
        <v>686</v>
      </c>
      <c r="C2284" t="s">
        <v>686</v>
      </c>
      <c r="D2284" t="s">
        <v>12</v>
      </c>
      <c r="E2284" t="s">
        <v>461</v>
      </c>
      <c r="F2284" t="s">
        <v>668</v>
      </c>
      <c r="G2284">
        <v>2010</v>
      </c>
      <c r="H2284" s="12">
        <v>520.53</v>
      </c>
      <c r="I2284" t="s">
        <v>3183</v>
      </c>
      <c r="J2284" t="s">
        <v>6</v>
      </c>
      <c r="K2284" t="s">
        <v>147</v>
      </c>
      <c r="L2284" t="s">
        <v>3184</v>
      </c>
      <c r="M2284" t="s">
        <v>666</v>
      </c>
    </row>
    <row r="2285" spans="1:13">
      <c r="A2285" t="s">
        <v>851</v>
      </c>
      <c r="B2285" t="s">
        <v>686</v>
      </c>
      <c r="C2285" t="s">
        <v>686</v>
      </c>
      <c r="D2285" t="s">
        <v>12</v>
      </c>
      <c r="E2285" t="s">
        <v>461</v>
      </c>
      <c r="F2285" t="s">
        <v>668</v>
      </c>
      <c r="G2285">
        <v>2015</v>
      </c>
      <c r="H2285" s="12">
        <v>529.75</v>
      </c>
      <c r="I2285" t="s">
        <v>3183</v>
      </c>
      <c r="J2285" t="s">
        <v>6</v>
      </c>
      <c r="K2285" t="s">
        <v>147</v>
      </c>
      <c r="L2285" t="s">
        <v>3184</v>
      </c>
      <c r="M2285" t="s">
        <v>666</v>
      </c>
    </row>
    <row r="2286" spans="1:13">
      <c r="A2286" t="s">
        <v>851</v>
      </c>
      <c r="B2286" t="s">
        <v>686</v>
      </c>
      <c r="C2286" t="s">
        <v>686</v>
      </c>
      <c r="D2286" t="s">
        <v>12</v>
      </c>
      <c r="E2286" t="s">
        <v>461</v>
      </c>
      <c r="F2286" t="s">
        <v>668</v>
      </c>
      <c r="G2286">
        <v>2020</v>
      </c>
      <c r="H2286" s="12">
        <v>468.75</v>
      </c>
      <c r="I2286" t="s">
        <v>3183</v>
      </c>
      <c r="J2286" t="s">
        <v>6</v>
      </c>
      <c r="K2286" t="s">
        <v>147</v>
      </c>
      <c r="L2286" t="s">
        <v>3184</v>
      </c>
      <c r="M2286" t="s">
        <v>666</v>
      </c>
    </row>
    <row r="2287" spans="1:13">
      <c r="A2287" t="s">
        <v>851</v>
      </c>
      <c r="B2287" t="s">
        <v>686</v>
      </c>
      <c r="C2287" t="s">
        <v>686</v>
      </c>
      <c r="D2287" t="s">
        <v>12</v>
      </c>
      <c r="E2287" t="s">
        <v>461</v>
      </c>
      <c r="F2287" t="s">
        <v>668</v>
      </c>
      <c r="G2287">
        <v>2030</v>
      </c>
      <c r="H2287" s="12">
        <v>589.05999999999995</v>
      </c>
      <c r="I2287" t="s">
        <v>3183</v>
      </c>
      <c r="J2287" t="s">
        <v>6</v>
      </c>
      <c r="K2287" t="s">
        <v>147</v>
      </c>
      <c r="L2287" t="s">
        <v>3184</v>
      </c>
      <c r="M2287" t="s">
        <v>666</v>
      </c>
    </row>
    <row r="2288" spans="1:13">
      <c r="A2288" t="s">
        <v>851</v>
      </c>
      <c r="B2288" t="s">
        <v>686</v>
      </c>
      <c r="C2288" t="s">
        <v>686</v>
      </c>
      <c r="D2288" t="s">
        <v>12</v>
      </c>
      <c r="E2288" t="s">
        <v>461</v>
      </c>
      <c r="F2288" t="s">
        <v>668</v>
      </c>
      <c r="G2288">
        <v>2035</v>
      </c>
      <c r="H2288" s="12">
        <v>586.77</v>
      </c>
      <c r="I2288" t="s">
        <v>3183</v>
      </c>
      <c r="J2288" t="s">
        <v>6</v>
      </c>
      <c r="K2288" t="s">
        <v>147</v>
      </c>
      <c r="L2288" t="s">
        <v>3184</v>
      </c>
      <c r="M2288" t="s">
        <v>666</v>
      </c>
    </row>
    <row r="2289" spans="1:13">
      <c r="A2289" t="s">
        <v>851</v>
      </c>
      <c r="B2289" t="s">
        <v>686</v>
      </c>
      <c r="C2289" t="s">
        <v>686</v>
      </c>
      <c r="D2289" t="s">
        <v>12</v>
      </c>
      <c r="E2289" t="s">
        <v>461</v>
      </c>
      <c r="F2289" t="s">
        <v>668</v>
      </c>
      <c r="G2289">
        <v>2040</v>
      </c>
      <c r="H2289" s="12">
        <v>602.20000000000005</v>
      </c>
      <c r="I2289" t="s">
        <v>3183</v>
      </c>
      <c r="J2289" t="s">
        <v>6</v>
      </c>
      <c r="K2289" t="s">
        <v>147</v>
      </c>
      <c r="L2289" t="s">
        <v>3184</v>
      </c>
      <c r="M2289" t="s">
        <v>666</v>
      </c>
    </row>
    <row r="2290" spans="1:13">
      <c r="A2290" t="s">
        <v>851</v>
      </c>
      <c r="B2290" t="s">
        <v>686</v>
      </c>
      <c r="C2290" t="s">
        <v>686</v>
      </c>
      <c r="D2290" t="s">
        <v>12</v>
      </c>
      <c r="E2290" t="s">
        <v>461</v>
      </c>
      <c r="F2290" t="s">
        <v>668</v>
      </c>
      <c r="G2290">
        <v>2045</v>
      </c>
      <c r="H2290" s="12">
        <v>606.41</v>
      </c>
      <c r="I2290" t="s">
        <v>3183</v>
      </c>
      <c r="J2290" t="s">
        <v>6</v>
      </c>
      <c r="K2290" t="s">
        <v>147</v>
      </c>
      <c r="L2290" t="s">
        <v>3184</v>
      </c>
      <c r="M2290" t="s">
        <v>666</v>
      </c>
    </row>
    <row r="2291" spans="1:13">
      <c r="A2291" t="s">
        <v>851</v>
      </c>
      <c r="B2291" t="s">
        <v>686</v>
      </c>
      <c r="C2291" t="s">
        <v>686</v>
      </c>
      <c r="D2291" t="s">
        <v>12</v>
      </c>
      <c r="E2291" t="s">
        <v>461</v>
      </c>
      <c r="F2291" t="s">
        <v>668</v>
      </c>
      <c r="G2291">
        <v>2050</v>
      </c>
      <c r="H2291" s="12">
        <v>598.23</v>
      </c>
      <c r="I2291" t="s">
        <v>3183</v>
      </c>
      <c r="J2291" t="s">
        <v>6</v>
      </c>
      <c r="K2291" t="s">
        <v>147</v>
      </c>
      <c r="L2291" t="s">
        <v>3184</v>
      </c>
      <c r="M2291" t="s">
        <v>666</v>
      </c>
    </row>
    <row r="2292" spans="1:13">
      <c r="A2292" t="s">
        <v>851</v>
      </c>
      <c r="B2292" t="s">
        <v>687</v>
      </c>
      <c r="C2292" t="s">
        <v>687</v>
      </c>
      <c r="D2292" t="s">
        <v>12</v>
      </c>
      <c r="E2292" t="s">
        <v>461</v>
      </c>
      <c r="F2292" t="s">
        <v>668</v>
      </c>
      <c r="G2292">
        <v>2030</v>
      </c>
      <c r="H2292" s="12">
        <v>553.83000000000004</v>
      </c>
      <c r="I2292" t="s">
        <v>3183</v>
      </c>
      <c r="J2292" t="s">
        <v>6</v>
      </c>
      <c r="K2292" t="s">
        <v>147</v>
      </c>
      <c r="L2292" t="s">
        <v>3184</v>
      </c>
      <c r="M2292" t="s">
        <v>666</v>
      </c>
    </row>
    <row r="2293" spans="1:13">
      <c r="A2293" t="s">
        <v>851</v>
      </c>
      <c r="B2293" t="s">
        <v>687</v>
      </c>
      <c r="C2293" t="s">
        <v>687</v>
      </c>
      <c r="D2293" t="s">
        <v>12</v>
      </c>
      <c r="E2293" t="s">
        <v>461</v>
      </c>
      <c r="F2293" t="s">
        <v>668</v>
      </c>
      <c r="G2293">
        <v>2035</v>
      </c>
      <c r="H2293" s="12">
        <v>541.47</v>
      </c>
      <c r="I2293" t="s">
        <v>3183</v>
      </c>
      <c r="J2293" t="s">
        <v>6</v>
      </c>
      <c r="K2293" t="s">
        <v>147</v>
      </c>
      <c r="L2293" t="s">
        <v>3184</v>
      </c>
      <c r="M2293" t="s">
        <v>666</v>
      </c>
    </row>
    <row r="2294" spans="1:13">
      <c r="A2294" t="s">
        <v>851</v>
      </c>
      <c r="B2294" t="s">
        <v>687</v>
      </c>
      <c r="C2294" t="s">
        <v>687</v>
      </c>
      <c r="D2294" t="s">
        <v>12</v>
      </c>
      <c r="E2294" t="s">
        <v>461</v>
      </c>
      <c r="F2294" t="s">
        <v>668</v>
      </c>
      <c r="G2294">
        <v>2040</v>
      </c>
      <c r="H2294" s="12">
        <v>539.04</v>
      </c>
      <c r="I2294" t="s">
        <v>3183</v>
      </c>
      <c r="J2294" t="s">
        <v>6</v>
      </c>
      <c r="K2294" t="s">
        <v>147</v>
      </c>
      <c r="L2294" t="s">
        <v>3184</v>
      </c>
      <c r="M2294" t="s">
        <v>666</v>
      </c>
    </row>
    <row r="2295" spans="1:13">
      <c r="A2295" t="s">
        <v>851</v>
      </c>
      <c r="B2295" t="s">
        <v>687</v>
      </c>
      <c r="C2295" t="s">
        <v>687</v>
      </c>
      <c r="D2295" t="s">
        <v>12</v>
      </c>
      <c r="E2295" t="s">
        <v>461</v>
      </c>
      <c r="F2295" t="s">
        <v>668</v>
      </c>
      <c r="G2295">
        <v>2045</v>
      </c>
      <c r="H2295" s="12">
        <v>528.61</v>
      </c>
      <c r="I2295" t="s">
        <v>3183</v>
      </c>
      <c r="J2295" t="s">
        <v>6</v>
      </c>
      <c r="K2295" t="s">
        <v>147</v>
      </c>
      <c r="L2295" t="s">
        <v>3184</v>
      </c>
      <c r="M2295" t="s">
        <v>666</v>
      </c>
    </row>
    <row r="2296" spans="1:13">
      <c r="A2296" t="s">
        <v>851</v>
      </c>
      <c r="B2296" t="s">
        <v>687</v>
      </c>
      <c r="C2296" t="s">
        <v>687</v>
      </c>
      <c r="D2296" t="s">
        <v>12</v>
      </c>
      <c r="E2296" t="s">
        <v>461</v>
      </c>
      <c r="F2296" t="s">
        <v>668</v>
      </c>
      <c r="G2296">
        <v>2050</v>
      </c>
      <c r="H2296" s="12">
        <v>500.63</v>
      </c>
      <c r="I2296" t="s">
        <v>3183</v>
      </c>
      <c r="J2296" t="s">
        <v>6</v>
      </c>
      <c r="K2296" t="s">
        <v>147</v>
      </c>
      <c r="L2296" t="s">
        <v>3184</v>
      </c>
      <c r="M2296" t="s">
        <v>666</v>
      </c>
    </row>
    <row r="2297" spans="1:13">
      <c r="A2297" t="s">
        <v>851</v>
      </c>
      <c r="B2297" t="s">
        <v>686</v>
      </c>
      <c r="C2297" t="s">
        <v>686</v>
      </c>
      <c r="D2297" t="s">
        <v>12</v>
      </c>
      <c r="E2297" t="s">
        <v>461</v>
      </c>
      <c r="F2297" t="s">
        <v>668</v>
      </c>
      <c r="G2297">
        <v>2010</v>
      </c>
      <c r="H2297" s="12">
        <v>9.31</v>
      </c>
      <c r="I2297" t="s">
        <v>3183</v>
      </c>
      <c r="J2297" t="s">
        <v>394</v>
      </c>
      <c r="K2297" t="s">
        <v>147</v>
      </c>
      <c r="L2297" t="s">
        <v>3184</v>
      </c>
      <c r="M2297" t="s">
        <v>16</v>
      </c>
    </row>
    <row r="2298" spans="1:13">
      <c r="A2298" t="s">
        <v>851</v>
      </c>
      <c r="B2298" t="s">
        <v>686</v>
      </c>
      <c r="C2298" t="s">
        <v>686</v>
      </c>
      <c r="D2298" t="s">
        <v>12</v>
      </c>
      <c r="E2298" t="s">
        <v>461</v>
      </c>
      <c r="F2298" t="s">
        <v>668</v>
      </c>
      <c r="G2298">
        <v>2015</v>
      </c>
      <c r="H2298" s="12">
        <v>10.1</v>
      </c>
      <c r="I2298" t="s">
        <v>3183</v>
      </c>
      <c r="J2298" t="s">
        <v>394</v>
      </c>
      <c r="K2298" t="s">
        <v>147</v>
      </c>
      <c r="L2298" t="s">
        <v>3184</v>
      </c>
      <c r="M2298" t="s">
        <v>16</v>
      </c>
    </row>
    <row r="2299" spans="1:13">
      <c r="A2299" t="s">
        <v>851</v>
      </c>
      <c r="B2299" t="s">
        <v>686</v>
      </c>
      <c r="C2299" t="s">
        <v>686</v>
      </c>
      <c r="D2299" t="s">
        <v>12</v>
      </c>
      <c r="E2299" t="s">
        <v>461</v>
      </c>
      <c r="F2299" t="s">
        <v>668</v>
      </c>
      <c r="G2299">
        <v>2020</v>
      </c>
      <c r="H2299" s="12">
        <v>7.49</v>
      </c>
      <c r="I2299" t="s">
        <v>3183</v>
      </c>
      <c r="J2299" t="s">
        <v>394</v>
      </c>
      <c r="K2299" t="s">
        <v>147</v>
      </c>
      <c r="L2299" t="s">
        <v>3184</v>
      </c>
      <c r="M2299" t="s">
        <v>16</v>
      </c>
    </row>
    <row r="2300" spans="1:13">
      <c r="A2300" t="s">
        <v>851</v>
      </c>
      <c r="B2300" t="s">
        <v>686</v>
      </c>
      <c r="C2300" t="s">
        <v>686</v>
      </c>
      <c r="D2300" t="s">
        <v>12</v>
      </c>
      <c r="E2300" t="s">
        <v>461</v>
      </c>
      <c r="F2300" t="s">
        <v>668</v>
      </c>
      <c r="G2300">
        <v>2030</v>
      </c>
      <c r="H2300" s="12">
        <v>1.61</v>
      </c>
      <c r="I2300" t="s">
        <v>3183</v>
      </c>
      <c r="J2300" t="s">
        <v>394</v>
      </c>
      <c r="K2300" t="s">
        <v>147</v>
      </c>
      <c r="L2300" t="s">
        <v>3184</v>
      </c>
      <c r="M2300" t="s">
        <v>16</v>
      </c>
    </row>
    <row r="2301" spans="1:13">
      <c r="A2301" t="s">
        <v>851</v>
      </c>
      <c r="B2301" t="s">
        <v>686</v>
      </c>
      <c r="C2301" t="s">
        <v>686</v>
      </c>
      <c r="D2301" t="s">
        <v>12</v>
      </c>
      <c r="E2301" t="s">
        <v>461</v>
      </c>
      <c r="F2301" t="s">
        <v>668</v>
      </c>
      <c r="G2301">
        <v>2035</v>
      </c>
      <c r="H2301" s="12">
        <v>0.93</v>
      </c>
      <c r="I2301" t="s">
        <v>3183</v>
      </c>
      <c r="J2301" t="s">
        <v>394</v>
      </c>
      <c r="K2301" t="s">
        <v>147</v>
      </c>
      <c r="L2301" t="s">
        <v>3184</v>
      </c>
      <c r="M2301" t="s">
        <v>16</v>
      </c>
    </row>
    <row r="2302" spans="1:13">
      <c r="A2302" t="s">
        <v>851</v>
      </c>
      <c r="B2302" t="s">
        <v>686</v>
      </c>
      <c r="C2302" t="s">
        <v>686</v>
      </c>
      <c r="D2302" t="s">
        <v>12</v>
      </c>
      <c r="E2302" t="s">
        <v>461</v>
      </c>
      <c r="F2302" t="s">
        <v>668</v>
      </c>
      <c r="G2302">
        <v>2040</v>
      </c>
      <c r="H2302" s="12">
        <v>0.6</v>
      </c>
      <c r="I2302" t="s">
        <v>3183</v>
      </c>
      <c r="J2302" t="s">
        <v>394</v>
      </c>
      <c r="K2302" t="s">
        <v>147</v>
      </c>
      <c r="L2302" t="s">
        <v>3184</v>
      </c>
      <c r="M2302" t="s">
        <v>16</v>
      </c>
    </row>
    <row r="2303" spans="1:13">
      <c r="A2303" t="s">
        <v>851</v>
      </c>
      <c r="B2303" t="s">
        <v>686</v>
      </c>
      <c r="C2303" t="s">
        <v>686</v>
      </c>
      <c r="D2303" t="s">
        <v>12</v>
      </c>
      <c r="E2303" t="s">
        <v>461</v>
      </c>
      <c r="F2303" t="s">
        <v>668</v>
      </c>
      <c r="G2303">
        <v>2045</v>
      </c>
      <c r="H2303" s="12">
        <v>0.48</v>
      </c>
      <c r="I2303" t="s">
        <v>3183</v>
      </c>
      <c r="J2303" t="s">
        <v>394</v>
      </c>
      <c r="K2303" t="s">
        <v>147</v>
      </c>
      <c r="L2303" t="s">
        <v>3184</v>
      </c>
      <c r="M2303" t="s">
        <v>16</v>
      </c>
    </row>
    <row r="2304" spans="1:13">
      <c r="A2304" t="s">
        <v>851</v>
      </c>
      <c r="B2304" t="s">
        <v>686</v>
      </c>
      <c r="C2304" t="s">
        <v>686</v>
      </c>
      <c r="D2304" t="s">
        <v>12</v>
      </c>
      <c r="E2304" t="s">
        <v>461</v>
      </c>
      <c r="F2304" t="s">
        <v>668</v>
      </c>
      <c r="G2304">
        <v>2050</v>
      </c>
      <c r="H2304" s="12">
        <v>0.38</v>
      </c>
      <c r="I2304" t="s">
        <v>3183</v>
      </c>
      <c r="J2304" t="s">
        <v>394</v>
      </c>
      <c r="K2304" t="s">
        <v>147</v>
      </c>
      <c r="L2304" t="s">
        <v>3184</v>
      </c>
      <c r="M2304" t="s">
        <v>16</v>
      </c>
    </row>
    <row r="2305" spans="1:13">
      <c r="A2305" t="s">
        <v>851</v>
      </c>
      <c r="B2305" t="s">
        <v>687</v>
      </c>
      <c r="C2305" t="s">
        <v>687</v>
      </c>
      <c r="D2305" t="s">
        <v>12</v>
      </c>
      <c r="E2305" t="s">
        <v>461</v>
      </c>
      <c r="F2305" t="s">
        <v>668</v>
      </c>
      <c r="G2305">
        <v>2030</v>
      </c>
      <c r="H2305" s="12">
        <v>1.41</v>
      </c>
      <c r="I2305" t="s">
        <v>3183</v>
      </c>
      <c r="J2305" t="s">
        <v>394</v>
      </c>
      <c r="K2305" t="s">
        <v>147</v>
      </c>
      <c r="L2305" t="s">
        <v>3184</v>
      </c>
      <c r="M2305" t="s">
        <v>16</v>
      </c>
    </row>
    <row r="2306" spans="1:13">
      <c r="A2306" t="s">
        <v>851</v>
      </c>
      <c r="B2306" t="s">
        <v>687</v>
      </c>
      <c r="C2306" t="s">
        <v>687</v>
      </c>
      <c r="D2306" t="s">
        <v>12</v>
      </c>
      <c r="E2306" t="s">
        <v>461</v>
      </c>
      <c r="F2306" t="s">
        <v>668</v>
      </c>
      <c r="G2306">
        <v>2035</v>
      </c>
      <c r="H2306" s="12">
        <v>0.93</v>
      </c>
      <c r="I2306" t="s">
        <v>3183</v>
      </c>
      <c r="J2306" t="s">
        <v>394</v>
      </c>
      <c r="K2306" t="s">
        <v>147</v>
      </c>
      <c r="L2306" t="s">
        <v>3184</v>
      </c>
      <c r="M2306" t="s">
        <v>16</v>
      </c>
    </row>
    <row r="2307" spans="1:13">
      <c r="A2307" t="s">
        <v>851</v>
      </c>
      <c r="B2307" t="s">
        <v>687</v>
      </c>
      <c r="C2307" t="s">
        <v>687</v>
      </c>
      <c r="D2307" t="s">
        <v>12</v>
      </c>
      <c r="E2307" t="s">
        <v>461</v>
      </c>
      <c r="F2307" t="s">
        <v>668</v>
      </c>
      <c r="G2307">
        <v>2040</v>
      </c>
      <c r="H2307" s="12">
        <v>0.6</v>
      </c>
      <c r="I2307" t="s">
        <v>3183</v>
      </c>
      <c r="J2307" t="s">
        <v>394</v>
      </c>
      <c r="K2307" t="s">
        <v>147</v>
      </c>
      <c r="L2307" t="s">
        <v>3184</v>
      </c>
      <c r="M2307" t="s">
        <v>16</v>
      </c>
    </row>
    <row r="2308" spans="1:13">
      <c r="A2308" t="s">
        <v>851</v>
      </c>
      <c r="B2308" t="s">
        <v>687</v>
      </c>
      <c r="C2308" t="s">
        <v>687</v>
      </c>
      <c r="D2308" t="s">
        <v>12</v>
      </c>
      <c r="E2308" t="s">
        <v>461</v>
      </c>
      <c r="F2308" t="s">
        <v>668</v>
      </c>
      <c r="G2308">
        <v>2045</v>
      </c>
      <c r="H2308" s="12">
        <v>0.47</v>
      </c>
      <c r="I2308" t="s">
        <v>3183</v>
      </c>
      <c r="J2308" t="s">
        <v>394</v>
      </c>
      <c r="K2308" t="s">
        <v>147</v>
      </c>
      <c r="L2308" t="s">
        <v>3184</v>
      </c>
      <c r="M2308" t="s">
        <v>16</v>
      </c>
    </row>
    <row r="2309" spans="1:13">
      <c r="A2309" t="s">
        <v>851</v>
      </c>
      <c r="B2309" t="s">
        <v>686</v>
      </c>
      <c r="C2309" t="s">
        <v>686</v>
      </c>
      <c r="D2309" t="s">
        <v>12</v>
      </c>
      <c r="E2309" t="s">
        <v>656</v>
      </c>
      <c r="F2309" t="s">
        <v>31</v>
      </c>
      <c r="G2309">
        <v>2010</v>
      </c>
      <c r="H2309" s="12">
        <v>0</v>
      </c>
      <c r="I2309" t="s">
        <v>3183</v>
      </c>
      <c r="J2309" t="s">
        <v>17</v>
      </c>
      <c r="K2309" t="s">
        <v>147</v>
      </c>
      <c r="L2309" t="s">
        <v>3184</v>
      </c>
      <c r="M2309" t="s">
        <v>671</v>
      </c>
    </row>
    <row r="2310" spans="1:13">
      <c r="A2310" t="s">
        <v>851</v>
      </c>
      <c r="B2310" t="s">
        <v>686</v>
      </c>
      <c r="C2310" t="s">
        <v>686</v>
      </c>
      <c r="D2310" t="s">
        <v>12</v>
      </c>
      <c r="E2310" t="s">
        <v>656</v>
      </c>
      <c r="F2310" t="s">
        <v>31</v>
      </c>
      <c r="G2310">
        <v>2015</v>
      </c>
      <c r="H2310" s="12">
        <v>0.06</v>
      </c>
      <c r="I2310" t="s">
        <v>3183</v>
      </c>
      <c r="J2310" t="s">
        <v>17</v>
      </c>
      <c r="K2310" t="s">
        <v>147</v>
      </c>
      <c r="L2310" t="s">
        <v>3184</v>
      </c>
      <c r="M2310" t="s">
        <v>671</v>
      </c>
    </row>
    <row r="2311" spans="1:13">
      <c r="A2311" t="s">
        <v>851</v>
      </c>
      <c r="B2311" t="s">
        <v>686</v>
      </c>
      <c r="C2311" t="s">
        <v>686</v>
      </c>
      <c r="D2311" t="s">
        <v>12</v>
      </c>
      <c r="E2311" t="s">
        <v>656</v>
      </c>
      <c r="F2311" t="s">
        <v>31</v>
      </c>
      <c r="G2311">
        <v>2020</v>
      </c>
      <c r="H2311" s="12">
        <v>1.43</v>
      </c>
      <c r="I2311" t="s">
        <v>3183</v>
      </c>
      <c r="J2311" t="s">
        <v>17</v>
      </c>
      <c r="K2311" t="s">
        <v>147</v>
      </c>
      <c r="L2311" t="s">
        <v>3184</v>
      </c>
      <c r="M2311" t="s">
        <v>671</v>
      </c>
    </row>
    <row r="2312" spans="1:13">
      <c r="A2312" t="s">
        <v>851</v>
      </c>
      <c r="B2312" t="s">
        <v>686</v>
      </c>
      <c r="C2312" t="s">
        <v>686</v>
      </c>
      <c r="D2312" t="s">
        <v>12</v>
      </c>
      <c r="E2312" t="s">
        <v>656</v>
      </c>
      <c r="F2312" t="s">
        <v>31</v>
      </c>
      <c r="G2312">
        <v>2030</v>
      </c>
      <c r="H2312" s="12">
        <v>4.24</v>
      </c>
      <c r="I2312" t="s">
        <v>3183</v>
      </c>
      <c r="J2312" t="s">
        <v>17</v>
      </c>
      <c r="K2312" t="s">
        <v>147</v>
      </c>
      <c r="L2312" t="s">
        <v>3184</v>
      </c>
      <c r="M2312" t="s">
        <v>671</v>
      </c>
    </row>
    <row r="2313" spans="1:13">
      <c r="A2313" t="s">
        <v>851</v>
      </c>
      <c r="B2313" t="s">
        <v>686</v>
      </c>
      <c r="C2313" t="s">
        <v>686</v>
      </c>
      <c r="D2313" t="s">
        <v>12</v>
      </c>
      <c r="E2313" t="s">
        <v>656</v>
      </c>
      <c r="F2313" t="s">
        <v>31</v>
      </c>
      <c r="G2313">
        <v>2035</v>
      </c>
      <c r="H2313" s="12">
        <v>5.33</v>
      </c>
      <c r="I2313" t="s">
        <v>3183</v>
      </c>
      <c r="J2313" t="s">
        <v>17</v>
      </c>
      <c r="K2313" t="s">
        <v>147</v>
      </c>
      <c r="L2313" t="s">
        <v>3184</v>
      </c>
      <c r="M2313" t="s">
        <v>671</v>
      </c>
    </row>
    <row r="2314" spans="1:13">
      <c r="A2314" t="s">
        <v>851</v>
      </c>
      <c r="B2314" t="s">
        <v>686</v>
      </c>
      <c r="C2314" t="s">
        <v>686</v>
      </c>
      <c r="D2314" t="s">
        <v>12</v>
      </c>
      <c r="E2314" t="s">
        <v>656</v>
      </c>
      <c r="F2314" t="s">
        <v>31</v>
      </c>
      <c r="G2314">
        <v>2040</v>
      </c>
      <c r="H2314" s="12">
        <v>6.76</v>
      </c>
      <c r="I2314" t="s">
        <v>3183</v>
      </c>
      <c r="J2314" t="s">
        <v>17</v>
      </c>
      <c r="K2314" t="s">
        <v>147</v>
      </c>
      <c r="L2314" t="s">
        <v>3184</v>
      </c>
      <c r="M2314" t="s">
        <v>671</v>
      </c>
    </row>
    <row r="2315" spans="1:13">
      <c r="A2315" t="s">
        <v>851</v>
      </c>
      <c r="B2315" t="s">
        <v>686</v>
      </c>
      <c r="C2315" t="s">
        <v>686</v>
      </c>
      <c r="D2315" t="s">
        <v>12</v>
      </c>
      <c r="E2315" t="s">
        <v>656</v>
      </c>
      <c r="F2315" t="s">
        <v>31</v>
      </c>
      <c r="G2315">
        <v>2045</v>
      </c>
      <c r="H2315" s="12">
        <v>8.2899999999999991</v>
      </c>
      <c r="I2315" t="s">
        <v>3183</v>
      </c>
      <c r="J2315" t="s">
        <v>17</v>
      </c>
      <c r="K2315" t="s">
        <v>147</v>
      </c>
      <c r="L2315" t="s">
        <v>3184</v>
      </c>
      <c r="M2315" t="s">
        <v>671</v>
      </c>
    </row>
    <row r="2316" spans="1:13">
      <c r="A2316" t="s">
        <v>851</v>
      </c>
      <c r="B2316" t="s">
        <v>686</v>
      </c>
      <c r="C2316" t="s">
        <v>686</v>
      </c>
      <c r="D2316" t="s">
        <v>12</v>
      </c>
      <c r="E2316" t="s">
        <v>656</v>
      </c>
      <c r="F2316" t="s">
        <v>31</v>
      </c>
      <c r="G2316">
        <v>2050</v>
      </c>
      <c r="H2316" s="12">
        <v>10.029999999999999</v>
      </c>
      <c r="I2316" t="s">
        <v>3183</v>
      </c>
      <c r="J2316" t="s">
        <v>17</v>
      </c>
      <c r="K2316" t="s">
        <v>147</v>
      </c>
      <c r="L2316" t="s">
        <v>3184</v>
      </c>
      <c r="M2316" t="s">
        <v>671</v>
      </c>
    </row>
    <row r="2317" spans="1:13">
      <c r="A2317" t="s">
        <v>851</v>
      </c>
      <c r="B2317" t="s">
        <v>687</v>
      </c>
      <c r="C2317" t="s">
        <v>687</v>
      </c>
      <c r="D2317" t="s">
        <v>12</v>
      </c>
      <c r="E2317" t="s">
        <v>656</v>
      </c>
      <c r="F2317" t="s">
        <v>31</v>
      </c>
      <c r="G2317">
        <v>2030</v>
      </c>
      <c r="H2317" s="12">
        <v>4.42</v>
      </c>
      <c r="I2317" t="s">
        <v>3183</v>
      </c>
      <c r="J2317" t="s">
        <v>17</v>
      </c>
      <c r="K2317" t="s">
        <v>147</v>
      </c>
      <c r="L2317" t="s">
        <v>3184</v>
      </c>
      <c r="M2317" t="s">
        <v>671</v>
      </c>
    </row>
    <row r="2318" spans="1:13">
      <c r="A2318" t="s">
        <v>851</v>
      </c>
      <c r="B2318" t="s">
        <v>687</v>
      </c>
      <c r="C2318" t="s">
        <v>687</v>
      </c>
      <c r="D2318" t="s">
        <v>12</v>
      </c>
      <c r="E2318" t="s">
        <v>656</v>
      </c>
      <c r="F2318" t="s">
        <v>31</v>
      </c>
      <c r="G2318">
        <v>2035</v>
      </c>
      <c r="H2318" s="12">
        <v>5.52</v>
      </c>
      <c r="I2318" t="s">
        <v>3183</v>
      </c>
      <c r="J2318" t="s">
        <v>17</v>
      </c>
      <c r="K2318" t="s">
        <v>147</v>
      </c>
      <c r="L2318" t="s">
        <v>3184</v>
      </c>
      <c r="M2318" t="s">
        <v>671</v>
      </c>
    </row>
    <row r="2319" spans="1:13">
      <c r="A2319" t="s">
        <v>851</v>
      </c>
      <c r="B2319" t="s">
        <v>687</v>
      </c>
      <c r="C2319" t="s">
        <v>687</v>
      </c>
      <c r="D2319" t="s">
        <v>12</v>
      </c>
      <c r="E2319" t="s">
        <v>656</v>
      </c>
      <c r="F2319" t="s">
        <v>31</v>
      </c>
      <c r="G2319">
        <v>2040</v>
      </c>
      <c r="H2319" s="12">
        <v>7.26</v>
      </c>
      <c r="I2319" t="s">
        <v>3183</v>
      </c>
      <c r="J2319" t="s">
        <v>17</v>
      </c>
      <c r="K2319" t="s">
        <v>147</v>
      </c>
      <c r="L2319" t="s">
        <v>3184</v>
      </c>
      <c r="M2319" t="s">
        <v>671</v>
      </c>
    </row>
    <row r="2320" spans="1:13">
      <c r="A2320" t="s">
        <v>851</v>
      </c>
      <c r="B2320" t="s">
        <v>687</v>
      </c>
      <c r="C2320" t="s">
        <v>687</v>
      </c>
      <c r="D2320" t="s">
        <v>12</v>
      </c>
      <c r="E2320" t="s">
        <v>656</v>
      </c>
      <c r="F2320" t="s">
        <v>31</v>
      </c>
      <c r="G2320">
        <v>2045</v>
      </c>
      <c r="H2320" s="12">
        <v>9.15</v>
      </c>
      <c r="I2320" t="s">
        <v>3183</v>
      </c>
      <c r="J2320" t="s">
        <v>17</v>
      </c>
      <c r="K2320" t="s">
        <v>147</v>
      </c>
      <c r="L2320" t="s">
        <v>3184</v>
      </c>
      <c r="M2320" t="s">
        <v>671</v>
      </c>
    </row>
    <row r="2321" spans="1:13">
      <c r="A2321" t="s">
        <v>851</v>
      </c>
      <c r="B2321" t="s">
        <v>687</v>
      </c>
      <c r="C2321" t="s">
        <v>687</v>
      </c>
      <c r="D2321" t="s">
        <v>12</v>
      </c>
      <c r="E2321" t="s">
        <v>656</v>
      </c>
      <c r="F2321" t="s">
        <v>31</v>
      </c>
      <c r="G2321">
        <v>2050</v>
      </c>
      <c r="H2321" s="12">
        <v>11.42</v>
      </c>
      <c r="I2321" t="s">
        <v>3183</v>
      </c>
      <c r="J2321" t="s">
        <v>17</v>
      </c>
      <c r="K2321" t="s">
        <v>147</v>
      </c>
      <c r="L2321" t="s">
        <v>3184</v>
      </c>
      <c r="M2321" t="s">
        <v>671</v>
      </c>
    </row>
    <row r="2322" spans="1:13">
      <c r="A2322" t="s">
        <v>851</v>
      </c>
      <c r="B2322" t="s">
        <v>686</v>
      </c>
      <c r="C2322" t="s">
        <v>686</v>
      </c>
      <c r="D2322" t="s">
        <v>12</v>
      </c>
      <c r="E2322" t="s">
        <v>656</v>
      </c>
      <c r="F2322" t="s">
        <v>31</v>
      </c>
      <c r="G2322">
        <v>2010</v>
      </c>
      <c r="H2322" s="12">
        <v>0.01</v>
      </c>
      <c r="I2322" t="s">
        <v>3183</v>
      </c>
      <c r="J2322" t="s">
        <v>18</v>
      </c>
      <c r="K2322" t="s">
        <v>147</v>
      </c>
      <c r="L2322" t="s">
        <v>3184</v>
      </c>
      <c r="M2322" t="s">
        <v>18</v>
      </c>
    </row>
    <row r="2323" spans="1:13">
      <c r="A2323" t="s">
        <v>851</v>
      </c>
      <c r="B2323" t="s">
        <v>686</v>
      </c>
      <c r="C2323" t="s">
        <v>686</v>
      </c>
      <c r="D2323" t="s">
        <v>12</v>
      </c>
      <c r="E2323" t="s">
        <v>656</v>
      </c>
      <c r="F2323" t="s">
        <v>31</v>
      </c>
      <c r="G2323">
        <v>2015</v>
      </c>
      <c r="H2323" s="12">
        <v>0.1</v>
      </c>
      <c r="I2323" t="s">
        <v>3183</v>
      </c>
      <c r="J2323" t="s">
        <v>18</v>
      </c>
      <c r="K2323" t="s">
        <v>147</v>
      </c>
      <c r="L2323" t="s">
        <v>3184</v>
      </c>
      <c r="M2323" t="s">
        <v>18</v>
      </c>
    </row>
    <row r="2324" spans="1:13">
      <c r="A2324" t="s">
        <v>851</v>
      </c>
      <c r="B2324" t="s">
        <v>686</v>
      </c>
      <c r="C2324" t="s">
        <v>686</v>
      </c>
      <c r="D2324" t="s">
        <v>12</v>
      </c>
      <c r="E2324" t="s">
        <v>656</v>
      </c>
      <c r="F2324" t="s">
        <v>31</v>
      </c>
      <c r="G2324">
        <v>2020</v>
      </c>
      <c r="H2324" s="12">
        <v>0.87</v>
      </c>
      <c r="I2324" t="s">
        <v>3183</v>
      </c>
      <c r="J2324" t="s">
        <v>18</v>
      </c>
      <c r="K2324" t="s">
        <v>147</v>
      </c>
      <c r="L2324" t="s">
        <v>3184</v>
      </c>
      <c r="M2324" t="s">
        <v>18</v>
      </c>
    </row>
    <row r="2325" spans="1:13">
      <c r="A2325" t="s">
        <v>851</v>
      </c>
      <c r="B2325" t="s">
        <v>686</v>
      </c>
      <c r="C2325" t="s">
        <v>686</v>
      </c>
      <c r="D2325" t="s">
        <v>12</v>
      </c>
      <c r="E2325" t="s">
        <v>656</v>
      </c>
      <c r="F2325" t="s">
        <v>31</v>
      </c>
      <c r="G2325">
        <v>2030</v>
      </c>
      <c r="H2325" s="12">
        <v>7.24</v>
      </c>
      <c r="I2325" t="s">
        <v>3183</v>
      </c>
      <c r="J2325" t="s">
        <v>18</v>
      </c>
      <c r="K2325" t="s">
        <v>147</v>
      </c>
      <c r="L2325" t="s">
        <v>3184</v>
      </c>
      <c r="M2325" t="s">
        <v>18</v>
      </c>
    </row>
    <row r="2326" spans="1:13">
      <c r="A2326" t="s">
        <v>851</v>
      </c>
      <c r="B2326" t="s">
        <v>686</v>
      </c>
      <c r="C2326" t="s">
        <v>686</v>
      </c>
      <c r="D2326" t="s">
        <v>12</v>
      </c>
      <c r="E2326" t="s">
        <v>656</v>
      </c>
      <c r="F2326" t="s">
        <v>31</v>
      </c>
      <c r="G2326">
        <v>2035</v>
      </c>
      <c r="H2326" s="12">
        <v>10.95</v>
      </c>
      <c r="I2326" t="s">
        <v>3183</v>
      </c>
      <c r="J2326" t="s">
        <v>18</v>
      </c>
      <c r="K2326" t="s">
        <v>147</v>
      </c>
      <c r="L2326" t="s">
        <v>3184</v>
      </c>
      <c r="M2326" t="s">
        <v>18</v>
      </c>
    </row>
    <row r="2327" spans="1:13">
      <c r="A2327" t="s">
        <v>851</v>
      </c>
      <c r="B2327" t="s">
        <v>686</v>
      </c>
      <c r="C2327" t="s">
        <v>686</v>
      </c>
      <c r="D2327" t="s">
        <v>12</v>
      </c>
      <c r="E2327" t="s">
        <v>656</v>
      </c>
      <c r="F2327" t="s">
        <v>31</v>
      </c>
      <c r="G2327">
        <v>2040</v>
      </c>
      <c r="H2327" s="12">
        <v>14.97</v>
      </c>
      <c r="I2327" t="s">
        <v>3183</v>
      </c>
      <c r="J2327" t="s">
        <v>18</v>
      </c>
      <c r="K2327" t="s">
        <v>147</v>
      </c>
      <c r="L2327" t="s">
        <v>3184</v>
      </c>
      <c r="M2327" t="s">
        <v>18</v>
      </c>
    </row>
    <row r="2328" spans="1:13">
      <c r="A2328" t="s">
        <v>851</v>
      </c>
      <c r="B2328" t="s">
        <v>686</v>
      </c>
      <c r="C2328" t="s">
        <v>686</v>
      </c>
      <c r="D2328" t="s">
        <v>12</v>
      </c>
      <c r="E2328" t="s">
        <v>656</v>
      </c>
      <c r="F2328" t="s">
        <v>31</v>
      </c>
      <c r="G2328">
        <v>2045</v>
      </c>
      <c r="H2328" s="12">
        <v>20.14</v>
      </c>
      <c r="I2328" t="s">
        <v>3183</v>
      </c>
      <c r="J2328" t="s">
        <v>18</v>
      </c>
      <c r="K2328" t="s">
        <v>147</v>
      </c>
      <c r="L2328" t="s">
        <v>3184</v>
      </c>
      <c r="M2328" t="s">
        <v>18</v>
      </c>
    </row>
    <row r="2329" spans="1:13">
      <c r="A2329" t="s">
        <v>851</v>
      </c>
      <c r="B2329" t="s">
        <v>686</v>
      </c>
      <c r="C2329" t="s">
        <v>686</v>
      </c>
      <c r="D2329" t="s">
        <v>12</v>
      </c>
      <c r="E2329" t="s">
        <v>656</v>
      </c>
      <c r="F2329" t="s">
        <v>31</v>
      </c>
      <c r="G2329">
        <v>2050</v>
      </c>
      <c r="H2329" s="12">
        <v>25.06</v>
      </c>
      <c r="I2329" t="s">
        <v>3183</v>
      </c>
      <c r="J2329" t="s">
        <v>18</v>
      </c>
      <c r="K2329" t="s">
        <v>147</v>
      </c>
      <c r="L2329" t="s">
        <v>3184</v>
      </c>
      <c r="M2329" t="s">
        <v>18</v>
      </c>
    </row>
    <row r="2330" spans="1:13">
      <c r="A2330" t="s">
        <v>851</v>
      </c>
      <c r="B2330" t="s">
        <v>687</v>
      </c>
      <c r="C2330" t="s">
        <v>687</v>
      </c>
      <c r="D2330" t="s">
        <v>12</v>
      </c>
      <c r="E2330" t="s">
        <v>656</v>
      </c>
      <c r="F2330" t="s">
        <v>31</v>
      </c>
      <c r="G2330">
        <v>2030</v>
      </c>
      <c r="H2330" s="12">
        <v>7.78</v>
      </c>
      <c r="I2330" t="s">
        <v>3183</v>
      </c>
      <c r="J2330" t="s">
        <v>18</v>
      </c>
      <c r="K2330" t="s">
        <v>147</v>
      </c>
      <c r="L2330" t="s">
        <v>3184</v>
      </c>
      <c r="M2330" t="s">
        <v>18</v>
      </c>
    </row>
    <row r="2331" spans="1:13">
      <c r="A2331" t="s">
        <v>851</v>
      </c>
      <c r="B2331" t="s">
        <v>687</v>
      </c>
      <c r="C2331" t="s">
        <v>687</v>
      </c>
      <c r="D2331" t="s">
        <v>12</v>
      </c>
      <c r="E2331" t="s">
        <v>656</v>
      </c>
      <c r="F2331" t="s">
        <v>31</v>
      </c>
      <c r="G2331">
        <v>2035</v>
      </c>
      <c r="H2331" s="12">
        <v>11.63</v>
      </c>
      <c r="I2331" t="s">
        <v>3183</v>
      </c>
      <c r="J2331" t="s">
        <v>18</v>
      </c>
      <c r="K2331" t="s">
        <v>147</v>
      </c>
      <c r="L2331" t="s">
        <v>3184</v>
      </c>
      <c r="M2331" t="s">
        <v>18</v>
      </c>
    </row>
    <row r="2332" spans="1:13">
      <c r="A2332" t="s">
        <v>851</v>
      </c>
      <c r="B2332" t="s">
        <v>687</v>
      </c>
      <c r="C2332" t="s">
        <v>687</v>
      </c>
      <c r="D2332" t="s">
        <v>12</v>
      </c>
      <c r="E2332" t="s">
        <v>656</v>
      </c>
      <c r="F2332" t="s">
        <v>31</v>
      </c>
      <c r="G2332">
        <v>2040</v>
      </c>
      <c r="H2332" s="12">
        <v>16.559999999999999</v>
      </c>
      <c r="I2332" t="s">
        <v>3183</v>
      </c>
      <c r="J2332" t="s">
        <v>18</v>
      </c>
      <c r="K2332" t="s">
        <v>147</v>
      </c>
      <c r="L2332" t="s">
        <v>3184</v>
      </c>
      <c r="M2332" t="s">
        <v>18</v>
      </c>
    </row>
    <row r="2333" spans="1:13">
      <c r="A2333" t="s">
        <v>851</v>
      </c>
      <c r="B2333" t="s">
        <v>687</v>
      </c>
      <c r="C2333" t="s">
        <v>687</v>
      </c>
      <c r="D2333" t="s">
        <v>12</v>
      </c>
      <c r="E2333" t="s">
        <v>656</v>
      </c>
      <c r="F2333" t="s">
        <v>31</v>
      </c>
      <c r="G2333">
        <v>2045</v>
      </c>
      <c r="H2333" s="12">
        <v>22.93</v>
      </c>
      <c r="I2333" t="s">
        <v>3183</v>
      </c>
      <c r="J2333" t="s">
        <v>18</v>
      </c>
      <c r="K2333" t="s">
        <v>147</v>
      </c>
      <c r="L2333" t="s">
        <v>3184</v>
      </c>
      <c r="M2333" t="s">
        <v>18</v>
      </c>
    </row>
    <row r="2334" spans="1:13">
      <c r="A2334" t="s">
        <v>851</v>
      </c>
      <c r="B2334" t="s">
        <v>687</v>
      </c>
      <c r="C2334" t="s">
        <v>687</v>
      </c>
      <c r="D2334" t="s">
        <v>12</v>
      </c>
      <c r="E2334" t="s">
        <v>656</v>
      </c>
      <c r="F2334" t="s">
        <v>31</v>
      </c>
      <c r="G2334">
        <v>2050</v>
      </c>
      <c r="H2334" s="12">
        <v>29.05</v>
      </c>
      <c r="I2334" t="s">
        <v>3183</v>
      </c>
      <c r="J2334" t="s">
        <v>18</v>
      </c>
      <c r="K2334" t="s">
        <v>147</v>
      </c>
      <c r="L2334" t="s">
        <v>3184</v>
      </c>
      <c r="M2334" t="s">
        <v>18</v>
      </c>
    </row>
    <row r="2335" spans="1:13">
      <c r="A2335" t="s">
        <v>851</v>
      </c>
      <c r="B2335" t="s">
        <v>686</v>
      </c>
      <c r="C2335" t="s">
        <v>686</v>
      </c>
      <c r="D2335" t="s">
        <v>12</v>
      </c>
      <c r="E2335" t="s">
        <v>656</v>
      </c>
      <c r="F2335" t="s">
        <v>31</v>
      </c>
      <c r="G2335">
        <v>2010</v>
      </c>
      <c r="H2335" s="12">
        <v>47.43</v>
      </c>
      <c r="I2335" t="s">
        <v>3183</v>
      </c>
      <c r="J2335" t="s">
        <v>14</v>
      </c>
      <c r="K2335" t="s">
        <v>147</v>
      </c>
      <c r="L2335" t="s">
        <v>3184</v>
      </c>
      <c r="M2335" t="s">
        <v>14</v>
      </c>
    </row>
    <row r="2336" spans="1:13">
      <c r="A2336" t="s">
        <v>851</v>
      </c>
      <c r="B2336" t="s">
        <v>686</v>
      </c>
      <c r="C2336" t="s">
        <v>686</v>
      </c>
      <c r="D2336" t="s">
        <v>12</v>
      </c>
      <c r="E2336" t="s">
        <v>656</v>
      </c>
      <c r="F2336" t="s">
        <v>31</v>
      </c>
      <c r="G2336">
        <v>2015</v>
      </c>
      <c r="H2336" s="12">
        <v>51</v>
      </c>
      <c r="I2336" t="s">
        <v>3183</v>
      </c>
      <c r="J2336" t="s">
        <v>14</v>
      </c>
      <c r="K2336" t="s">
        <v>147</v>
      </c>
      <c r="L2336" t="s">
        <v>3184</v>
      </c>
      <c r="M2336" t="s">
        <v>14</v>
      </c>
    </row>
    <row r="2337" spans="1:13">
      <c r="A2337" t="s">
        <v>851</v>
      </c>
      <c r="B2337" t="s">
        <v>686</v>
      </c>
      <c r="C2337" t="s">
        <v>686</v>
      </c>
      <c r="D2337" t="s">
        <v>12</v>
      </c>
      <c r="E2337" t="s">
        <v>656</v>
      </c>
      <c r="F2337" t="s">
        <v>31</v>
      </c>
      <c r="G2337">
        <v>2020</v>
      </c>
      <c r="H2337" s="12">
        <v>52.04</v>
      </c>
      <c r="I2337" t="s">
        <v>3183</v>
      </c>
      <c r="J2337" t="s">
        <v>14</v>
      </c>
      <c r="K2337" t="s">
        <v>147</v>
      </c>
      <c r="L2337" t="s">
        <v>3184</v>
      </c>
      <c r="M2337" t="s">
        <v>14</v>
      </c>
    </row>
    <row r="2338" spans="1:13">
      <c r="A2338" t="s">
        <v>851</v>
      </c>
      <c r="B2338" t="s">
        <v>686</v>
      </c>
      <c r="C2338" t="s">
        <v>686</v>
      </c>
      <c r="D2338" t="s">
        <v>12</v>
      </c>
      <c r="E2338" t="s">
        <v>656</v>
      </c>
      <c r="F2338" t="s">
        <v>31</v>
      </c>
      <c r="G2338">
        <v>2030</v>
      </c>
      <c r="H2338" s="12">
        <v>55.89</v>
      </c>
      <c r="I2338" t="s">
        <v>3183</v>
      </c>
      <c r="J2338" t="s">
        <v>14</v>
      </c>
      <c r="K2338" t="s">
        <v>147</v>
      </c>
      <c r="L2338" t="s">
        <v>3184</v>
      </c>
      <c r="M2338" t="s">
        <v>14</v>
      </c>
    </row>
    <row r="2339" spans="1:13">
      <c r="A2339" t="s">
        <v>851</v>
      </c>
      <c r="B2339" t="s">
        <v>686</v>
      </c>
      <c r="C2339" t="s">
        <v>686</v>
      </c>
      <c r="D2339" t="s">
        <v>12</v>
      </c>
      <c r="E2339" t="s">
        <v>656</v>
      </c>
      <c r="F2339" t="s">
        <v>31</v>
      </c>
      <c r="G2339">
        <v>2035</v>
      </c>
      <c r="H2339" s="12">
        <v>58.46</v>
      </c>
      <c r="I2339" t="s">
        <v>3183</v>
      </c>
      <c r="J2339" t="s">
        <v>14</v>
      </c>
      <c r="K2339" t="s">
        <v>147</v>
      </c>
      <c r="L2339" t="s">
        <v>3184</v>
      </c>
      <c r="M2339" t="s">
        <v>14</v>
      </c>
    </row>
    <row r="2340" spans="1:13">
      <c r="A2340" t="s">
        <v>851</v>
      </c>
      <c r="B2340" t="s">
        <v>686</v>
      </c>
      <c r="C2340" t="s">
        <v>686</v>
      </c>
      <c r="D2340" t="s">
        <v>12</v>
      </c>
      <c r="E2340" t="s">
        <v>656</v>
      </c>
      <c r="F2340" t="s">
        <v>31</v>
      </c>
      <c r="G2340">
        <v>2040</v>
      </c>
      <c r="H2340" s="12">
        <v>59.86</v>
      </c>
      <c r="I2340" t="s">
        <v>3183</v>
      </c>
      <c r="J2340" t="s">
        <v>14</v>
      </c>
      <c r="K2340" t="s">
        <v>147</v>
      </c>
      <c r="L2340" t="s">
        <v>3184</v>
      </c>
      <c r="M2340" t="s">
        <v>14</v>
      </c>
    </row>
    <row r="2341" spans="1:13">
      <c r="A2341" t="s">
        <v>851</v>
      </c>
      <c r="B2341" t="s">
        <v>686</v>
      </c>
      <c r="C2341" t="s">
        <v>686</v>
      </c>
      <c r="D2341" t="s">
        <v>12</v>
      </c>
      <c r="E2341" t="s">
        <v>656</v>
      </c>
      <c r="F2341" t="s">
        <v>31</v>
      </c>
      <c r="G2341">
        <v>2045</v>
      </c>
      <c r="H2341" s="12">
        <v>60.34</v>
      </c>
      <c r="I2341" t="s">
        <v>3183</v>
      </c>
      <c r="J2341" t="s">
        <v>14</v>
      </c>
      <c r="K2341" t="s">
        <v>147</v>
      </c>
      <c r="L2341" t="s">
        <v>3184</v>
      </c>
      <c r="M2341" t="s">
        <v>14</v>
      </c>
    </row>
    <row r="2342" spans="1:13">
      <c r="A2342" t="s">
        <v>851</v>
      </c>
      <c r="B2342" t="s">
        <v>686</v>
      </c>
      <c r="C2342" t="s">
        <v>686</v>
      </c>
      <c r="D2342" t="s">
        <v>12</v>
      </c>
      <c r="E2342" t="s">
        <v>656</v>
      </c>
      <c r="F2342" t="s">
        <v>31</v>
      </c>
      <c r="G2342">
        <v>2050</v>
      </c>
      <c r="H2342" s="12">
        <v>60.38</v>
      </c>
      <c r="I2342" t="s">
        <v>3183</v>
      </c>
      <c r="J2342" t="s">
        <v>14</v>
      </c>
      <c r="K2342" t="s">
        <v>147</v>
      </c>
      <c r="L2342" t="s">
        <v>3184</v>
      </c>
      <c r="M2342" t="s">
        <v>14</v>
      </c>
    </row>
    <row r="2343" spans="1:13">
      <c r="A2343" t="s">
        <v>851</v>
      </c>
      <c r="B2343" t="s">
        <v>687</v>
      </c>
      <c r="C2343" t="s">
        <v>687</v>
      </c>
      <c r="D2343" t="s">
        <v>12</v>
      </c>
      <c r="E2343" t="s">
        <v>656</v>
      </c>
      <c r="F2343" t="s">
        <v>31</v>
      </c>
      <c r="G2343">
        <v>2030</v>
      </c>
      <c r="H2343" s="12">
        <v>55.89</v>
      </c>
      <c r="I2343" t="s">
        <v>3183</v>
      </c>
      <c r="J2343" t="s">
        <v>14</v>
      </c>
      <c r="K2343" t="s">
        <v>147</v>
      </c>
      <c r="L2343" t="s">
        <v>3184</v>
      </c>
      <c r="M2343" t="s">
        <v>14</v>
      </c>
    </row>
    <row r="2344" spans="1:13">
      <c r="A2344" t="s">
        <v>851</v>
      </c>
      <c r="B2344" t="s">
        <v>687</v>
      </c>
      <c r="C2344" t="s">
        <v>687</v>
      </c>
      <c r="D2344" t="s">
        <v>12</v>
      </c>
      <c r="E2344" t="s">
        <v>656</v>
      </c>
      <c r="F2344" t="s">
        <v>31</v>
      </c>
      <c r="G2344">
        <v>2035</v>
      </c>
      <c r="H2344" s="12">
        <v>58.46</v>
      </c>
      <c r="I2344" t="s">
        <v>3183</v>
      </c>
      <c r="J2344" t="s">
        <v>14</v>
      </c>
      <c r="K2344" t="s">
        <v>147</v>
      </c>
      <c r="L2344" t="s">
        <v>3184</v>
      </c>
      <c r="M2344" t="s">
        <v>14</v>
      </c>
    </row>
    <row r="2345" spans="1:13">
      <c r="A2345" t="s">
        <v>851</v>
      </c>
      <c r="B2345" t="s">
        <v>687</v>
      </c>
      <c r="C2345" t="s">
        <v>687</v>
      </c>
      <c r="D2345" t="s">
        <v>12</v>
      </c>
      <c r="E2345" t="s">
        <v>656</v>
      </c>
      <c r="F2345" t="s">
        <v>31</v>
      </c>
      <c r="G2345">
        <v>2040</v>
      </c>
      <c r="H2345" s="12">
        <v>59.86</v>
      </c>
      <c r="I2345" t="s">
        <v>3183</v>
      </c>
      <c r="J2345" t="s">
        <v>14</v>
      </c>
      <c r="K2345" t="s">
        <v>147</v>
      </c>
      <c r="L2345" t="s">
        <v>3184</v>
      </c>
      <c r="M2345" t="s">
        <v>14</v>
      </c>
    </row>
    <row r="2346" spans="1:13">
      <c r="A2346" t="s">
        <v>851</v>
      </c>
      <c r="B2346" t="s">
        <v>686</v>
      </c>
      <c r="C2346" t="s">
        <v>686</v>
      </c>
      <c r="D2346" t="s">
        <v>12</v>
      </c>
      <c r="E2346" t="s">
        <v>461</v>
      </c>
      <c r="F2346" t="s">
        <v>668</v>
      </c>
      <c r="G2346">
        <v>2010</v>
      </c>
      <c r="H2346" s="12">
        <v>0</v>
      </c>
      <c r="I2346" t="s">
        <v>3183</v>
      </c>
      <c r="J2346" t="s">
        <v>17</v>
      </c>
      <c r="K2346" t="s">
        <v>147</v>
      </c>
      <c r="L2346" t="s">
        <v>3184</v>
      </c>
      <c r="M2346" t="s">
        <v>671</v>
      </c>
    </row>
    <row r="2347" spans="1:13">
      <c r="A2347" t="s">
        <v>851</v>
      </c>
      <c r="B2347" t="s">
        <v>686</v>
      </c>
      <c r="C2347" t="s">
        <v>686</v>
      </c>
      <c r="D2347" t="s">
        <v>12</v>
      </c>
      <c r="E2347" t="s">
        <v>461</v>
      </c>
      <c r="F2347" t="s">
        <v>668</v>
      </c>
      <c r="G2347">
        <v>2015</v>
      </c>
      <c r="H2347" s="12">
        <v>0.34</v>
      </c>
      <c r="I2347" t="s">
        <v>3183</v>
      </c>
      <c r="J2347" t="s">
        <v>17</v>
      </c>
      <c r="K2347" t="s">
        <v>147</v>
      </c>
      <c r="L2347" t="s">
        <v>3184</v>
      </c>
      <c r="M2347" t="s">
        <v>671</v>
      </c>
    </row>
    <row r="2348" spans="1:13">
      <c r="A2348" t="s">
        <v>851</v>
      </c>
      <c r="B2348" t="s">
        <v>686</v>
      </c>
      <c r="C2348" t="s">
        <v>686</v>
      </c>
      <c r="D2348" t="s">
        <v>12</v>
      </c>
      <c r="E2348" t="s">
        <v>461</v>
      </c>
      <c r="F2348" t="s">
        <v>668</v>
      </c>
      <c r="G2348">
        <v>2020</v>
      </c>
      <c r="H2348" s="12">
        <v>2.02</v>
      </c>
      <c r="I2348" t="s">
        <v>3183</v>
      </c>
      <c r="J2348" t="s">
        <v>17</v>
      </c>
      <c r="K2348" t="s">
        <v>147</v>
      </c>
      <c r="L2348" t="s">
        <v>3184</v>
      </c>
      <c r="M2348" t="s">
        <v>671</v>
      </c>
    </row>
    <row r="2349" spans="1:13">
      <c r="A2349" t="s">
        <v>851</v>
      </c>
      <c r="B2349" t="s">
        <v>686</v>
      </c>
      <c r="C2349" t="s">
        <v>686</v>
      </c>
      <c r="D2349" t="s">
        <v>12</v>
      </c>
      <c r="E2349" t="s">
        <v>461</v>
      </c>
      <c r="F2349" t="s">
        <v>668</v>
      </c>
      <c r="G2349">
        <v>2030</v>
      </c>
      <c r="H2349" s="12">
        <v>4.91</v>
      </c>
      <c r="I2349" t="s">
        <v>3183</v>
      </c>
      <c r="J2349" t="s">
        <v>17</v>
      </c>
      <c r="K2349" t="s">
        <v>147</v>
      </c>
      <c r="L2349" t="s">
        <v>3184</v>
      </c>
      <c r="M2349" t="s">
        <v>671</v>
      </c>
    </row>
    <row r="2350" spans="1:13">
      <c r="A2350" t="s">
        <v>851</v>
      </c>
      <c r="B2350" t="s">
        <v>686</v>
      </c>
      <c r="C2350" t="s">
        <v>686</v>
      </c>
      <c r="D2350" t="s">
        <v>12</v>
      </c>
      <c r="E2350" t="s">
        <v>461</v>
      </c>
      <c r="F2350" t="s">
        <v>668</v>
      </c>
      <c r="G2350">
        <v>2035</v>
      </c>
      <c r="H2350" s="12">
        <v>6.34</v>
      </c>
      <c r="I2350" t="s">
        <v>3183</v>
      </c>
      <c r="J2350" t="s">
        <v>17</v>
      </c>
      <c r="K2350" t="s">
        <v>147</v>
      </c>
      <c r="L2350" t="s">
        <v>3184</v>
      </c>
      <c r="M2350" t="s">
        <v>671</v>
      </c>
    </row>
    <row r="2351" spans="1:13">
      <c r="A2351" t="s">
        <v>851</v>
      </c>
      <c r="B2351" t="s">
        <v>686</v>
      </c>
      <c r="C2351" t="s">
        <v>686</v>
      </c>
      <c r="D2351" t="s">
        <v>12</v>
      </c>
      <c r="E2351" t="s">
        <v>461</v>
      </c>
      <c r="F2351" t="s">
        <v>668</v>
      </c>
      <c r="G2351">
        <v>2040</v>
      </c>
      <c r="H2351" s="12">
        <v>8.1</v>
      </c>
      <c r="I2351" t="s">
        <v>3183</v>
      </c>
      <c r="J2351" t="s">
        <v>17</v>
      </c>
      <c r="K2351" t="s">
        <v>147</v>
      </c>
      <c r="L2351" t="s">
        <v>3184</v>
      </c>
      <c r="M2351" t="s">
        <v>671</v>
      </c>
    </row>
    <row r="2352" spans="1:13">
      <c r="A2352" t="s">
        <v>851</v>
      </c>
      <c r="B2352" t="s">
        <v>686</v>
      </c>
      <c r="C2352" t="s">
        <v>686</v>
      </c>
      <c r="D2352" t="s">
        <v>12</v>
      </c>
      <c r="E2352" t="s">
        <v>461</v>
      </c>
      <c r="F2352" t="s">
        <v>668</v>
      </c>
      <c r="G2352">
        <v>2045</v>
      </c>
      <c r="H2352" s="12">
        <v>9.9700000000000006</v>
      </c>
      <c r="I2352" t="s">
        <v>3183</v>
      </c>
      <c r="J2352" t="s">
        <v>17</v>
      </c>
      <c r="K2352" t="s">
        <v>147</v>
      </c>
      <c r="L2352" t="s">
        <v>3184</v>
      </c>
      <c r="M2352" t="s">
        <v>671</v>
      </c>
    </row>
    <row r="2353" spans="1:13">
      <c r="A2353" t="s">
        <v>851</v>
      </c>
      <c r="B2353" t="s">
        <v>686</v>
      </c>
      <c r="C2353" t="s">
        <v>686</v>
      </c>
      <c r="D2353" t="s">
        <v>12</v>
      </c>
      <c r="E2353" t="s">
        <v>461</v>
      </c>
      <c r="F2353" t="s">
        <v>668</v>
      </c>
      <c r="G2353">
        <v>2050</v>
      </c>
      <c r="H2353" s="12">
        <v>12.1</v>
      </c>
      <c r="I2353" t="s">
        <v>3183</v>
      </c>
      <c r="J2353" t="s">
        <v>17</v>
      </c>
      <c r="K2353" t="s">
        <v>147</v>
      </c>
      <c r="L2353" t="s">
        <v>3184</v>
      </c>
      <c r="M2353" t="s">
        <v>671</v>
      </c>
    </row>
    <row r="2354" spans="1:13">
      <c r="A2354" t="s">
        <v>851</v>
      </c>
      <c r="B2354" t="s">
        <v>687</v>
      </c>
      <c r="C2354" t="s">
        <v>687</v>
      </c>
      <c r="D2354" t="s">
        <v>12</v>
      </c>
      <c r="E2354" t="s">
        <v>461</v>
      </c>
      <c r="F2354" t="s">
        <v>668</v>
      </c>
      <c r="G2354">
        <v>2030</v>
      </c>
      <c r="H2354" s="12">
        <v>5.09</v>
      </c>
      <c r="I2354" t="s">
        <v>3183</v>
      </c>
      <c r="J2354" t="s">
        <v>17</v>
      </c>
      <c r="K2354" t="s">
        <v>147</v>
      </c>
      <c r="L2354" t="s">
        <v>3184</v>
      </c>
      <c r="M2354" t="s">
        <v>671</v>
      </c>
    </row>
    <row r="2355" spans="1:13">
      <c r="A2355" t="s">
        <v>851</v>
      </c>
      <c r="B2355" t="s">
        <v>686</v>
      </c>
      <c r="C2355" t="s">
        <v>686</v>
      </c>
      <c r="D2355" t="s">
        <v>12</v>
      </c>
      <c r="E2355" t="s">
        <v>461</v>
      </c>
      <c r="F2355" t="s">
        <v>668</v>
      </c>
      <c r="G2355">
        <v>2040</v>
      </c>
      <c r="H2355" s="12">
        <v>30.91</v>
      </c>
      <c r="I2355" t="s">
        <v>3183</v>
      </c>
      <c r="J2355" t="s">
        <v>41</v>
      </c>
      <c r="K2355" t="s">
        <v>147</v>
      </c>
      <c r="L2355" t="s">
        <v>3184</v>
      </c>
      <c r="M2355" t="s">
        <v>669</v>
      </c>
    </row>
    <row r="2356" spans="1:13">
      <c r="A2356" t="s">
        <v>851</v>
      </c>
      <c r="B2356" t="s">
        <v>686</v>
      </c>
      <c r="C2356" t="s">
        <v>686</v>
      </c>
      <c r="D2356" t="s">
        <v>12</v>
      </c>
      <c r="E2356" t="s">
        <v>461</v>
      </c>
      <c r="F2356" t="s">
        <v>668</v>
      </c>
      <c r="G2356">
        <v>2045</v>
      </c>
      <c r="H2356" s="12">
        <v>47.56</v>
      </c>
      <c r="I2356" t="s">
        <v>3183</v>
      </c>
      <c r="J2356" t="s">
        <v>41</v>
      </c>
      <c r="K2356" t="s">
        <v>147</v>
      </c>
      <c r="L2356" t="s">
        <v>3184</v>
      </c>
      <c r="M2356" t="s">
        <v>669</v>
      </c>
    </row>
    <row r="2357" spans="1:13">
      <c r="A2357" t="s">
        <v>851</v>
      </c>
      <c r="B2357" t="s">
        <v>686</v>
      </c>
      <c r="C2357" t="s">
        <v>686</v>
      </c>
      <c r="D2357" t="s">
        <v>12</v>
      </c>
      <c r="E2357" t="s">
        <v>461</v>
      </c>
      <c r="F2357" t="s">
        <v>668</v>
      </c>
      <c r="G2357">
        <v>2050</v>
      </c>
      <c r="H2357" s="12">
        <v>68.41</v>
      </c>
      <c r="I2357" t="s">
        <v>3183</v>
      </c>
      <c r="J2357" t="s">
        <v>41</v>
      </c>
      <c r="K2357" t="s">
        <v>147</v>
      </c>
      <c r="L2357" t="s">
        <v>3184</v>
      </c>
      <c r="M2357" t="s">
        <v>669</v>
      </c>
    </row>
    <row r="2358" spans="1:13">
      <c r="A2358" t="s">
        <v>851</v>
      </c>
      <c r="B2358" t="s">
        <v>687</v>
      </c>
      <c r="C2358" t="s">
        <v>687</v>
      </c>
      <c r="D2358" t="s">
        <v>12</v>
      </c>
      <c r="E2358" t="s">
        <v>461</v>
      </c>
      <c r="F2358" t="s">
        <v>668</v>
      </c>
      <c r="G2358">
        <v>2030</v>
      </c>
      <c r="H2358" s="12">
        <v>9.08</v>
      </c>
      <c r="I2358" t="s">
        <v>3183</v>
      </c>
      <c r="J2358" t="s">
        <v>41</v>
      </c>
      <c r="K2358" t="s">
        <v>147</v>
      </c>
      <c r="L2358" t="s">
        <v>3184</v>
      </c>
      <c r="M2358" t="s">
        <v>669</v>
      </c>
    </row>
    <row r="2359" spans="1:13">
      <c r="A2359" t="s">
        <v>851</v>
      </c>
      <c r="B2359" t="s">
        <v>687</v>
      </c>
      <c r="C2359" t="s">
        <v>687</v>
      </c>
      <c r="D2359" t="s">
        <v>12</v>
      </c>
      <c r="E2359" t="s">
        <v>461</v>
      </c>
      <c r="F2359" t="s">
        <v>668</v>
      </c>
      <c r="G2359">
        <v>2035</v>
      </c>
      <c r="H2359" s="12">
        <v>18.71</v>
      </c>
      <c r="I2359" t="s">
        <v>3183</v>
      </c>
      <c r="J2359" t="s">
        <v>41</v>
      </c>
      <c r="K2359" t="s">
        <v>147</v>
      </c>
      <c r="L2359" t="s">
        <v>3184</v>
      </c>
      <c r="M2359" t="s">
        <v>669</v>
      </c>
    </row>
    <row r="2360" spans="1:13">
      <c r="A2360" t="s">
        <v>851</v>
      </c>
      <c r="B2360" t="s">
        <v>687</v>
      </c>
      <c r="C2360" t="s">
        <v>687</v>
      </c>
      <c r="D2360" t="s">
        <v>12</v>
      </c>
      <c r="E2360" t="s">
        <v>461</v>
      </c>
      <c r="F2360" t="s">
        <v>668</v>
      </c>
      <c r="G2360">
        <v>2040</v>
      </c>
      <c r="H2360" s="12">
        <v>33.35</v>
      </c>
      <c r="I2360" t="s">
        <v>3183</v>
      </c>
      <c r="J2360" t="s">
        <v>41</v>
      </c>
      <c r="K2360" t="s">
        <v>147</v>
      </c>
      <c r="L2360" t="s">
        <v>3184</v>
      </c>
      <c r="M2360" t="s">
        <v>669</v>
      </c>
    </row>
    <row r="2361" spans="1:13">
      <c r="A2361" t="s">
        <v>851</v>
      </c>
      <c r="B2361" t="s">
        <v>687</v>
      </c>
      <c r="C2361" t="s">
        <v>687</v>
      </c>
      <c r="D2361" t="s">
        <v>12</v>
      </c>
      <c r="E2361" t="s">
        <v>461</v>
      </c>
      <c r="F2361" t="s">
        <v>668</v>
      </c>
      <c r="G2361">
        <v>2045</v>
      </c>
      <c r="H2361" s="12">
        <v>50.48</v>
      </c>
      <c r="I2361" t="s">
        <v>3183</v>
      </c>
      <c r="J2361" t="s">
        <v>41</v>
      </c>
      <c r="K2361" t="s">
        <v>147</v>
      </c>
      <c r="L2361" t="s">
        <v>3184</v>
      </c>
      <c r="M2361" t="s">
        <v>669</v>
      </c>
    </row>
    <row r="2362" spans="1:13">
      <c r="A2362" t="s">
        <v>851</v>
      </c>
      <c r="B2362" t="s">
        <v>687</v>
      </c>
      <c r="C2362" t="s">
        <v>687</v>
      </c>
      <c r="D2362" t="s">
        <v>12</v>
      </c>
      <c r="E2362" t="s">
        <v>461</v>
      </c>
      <c r="F2362" t="s">
        <v>668</v>
      </c>
      <c r="G2362">
        <v>2050</v>
      </c>
      <c r="H2362" s="12">
        <v>71.56</v>
      </c>
      <c r="I2362" t="s">
        <v>3183</v>
      </c>
      <c r="J2362" t="s">
        <v>41</v>
      </c>
      <c r="K2362" t="s">
        <v>147</v>
      </c>
      <c r="L2362" t="s">
        <v>3184</v>
      </c>
      <c r="M2362" t="s">
        <v>669</v>
      </c>
    </row>
    <row r="2363" spans="1:13">
      <c r="A2363" t="s">
        <v>851</v>
      </c>
      <c r="B2363" t="s">
        <v>686</v>
      </c>
      <c r="C2363" t="s">
        <v>686</v>
      </c>
      <c r="D2363" t="s">
        <v>12</v>
      </c>
      <c r="E2363" t="s">
        <v>461</v>
      </c>
      <c r="F2363" t="s">
        <v>668</v>
      </c>
      <c r="G2363">
        <v>2010</v>
      </c>
      <c r="H2363" s="12">
        <v>170.41</v>
      </c>
      <c r="I2363" t="s">
        <v>3183</v>
      </c>
      <c r="J2363" t="s">
        <v>15</v>
      </c>
      <c r="K2363" t="s">
        <v>147</v>
      </c>
      <c r="L2363" t="s">
        <v>3184</v>
      </c>
      <c r="M2363" t="s">
        <v>15</v>
      </c>
    </row>
    <row r="2364" spans="1:13">
      <c r="A2364" t="s">
        <v>851</v>
      </c>
      <c r="B2364" t="s">
        <v>686</v>
      </c>
      <c r="C2364" t="s">
        <v>686</v>
      </c>
      <c r="D2364" t="s">
        <v>12</v>
      </c>
      <c r="E2364" t="s">
        <v>461</v>
      </c>
      <c r="F2364" t="s">
        <v>668</v>
      </c>
      <c r="G2364">
        <v>2015</v>
      </c>
      <c r="H2364" s="12">
        <v>195.47</v>
      </c>
      <c r="I2364" t="s">
        <v>3183</v>
      </c>
      <c r="J2364" t="s">
        <v>15</v>
      </c>
      <c r="K2364" t="s">
        <v>147</v>
      </c>
      <c r="L2364" t="s">
        <v>3184</v>
      </c>
      <c r="M2364" t="s">
        <v>15</v>
      </c>
    </row>
    <row r="2365" spans="1:13">
      <c r="A2365" t="s">
        <v>851</v>
      </c>
      <c r="B2365" t="s">
        <v>686</v>
      </c>
      <c r="C2365" t="s">
        <v>686</v>
      </c>
      <c r="D2365" t="s">
        <v>12</v>
      </c>
      <c r="E2365" t="s">
        <v>461</v>
      </c>
      <c r="F2365" t="s">
        <v>668</v>
      </c>
      <c r="G2365">
        <v>2020</v>
      </c>
      <c r="H2365" s="12">
        <v>215.75</v>
      </c>
      <c r="I2365" t="s">
        <v>3183</v>
      </c>
      <c r="J2365" t="s">
        <v>15</v>
      </c>
      <c r="K2365" t="s">
        <v>147</v>
      </c>
      <c r="L2365" t="s">
        <v>3184</v>
      </c>
      <c r="M2365" t="s">
        <v>15</v>
      </c>
    </row>
    <row r="2366" spans="1:13">
      <c r="A2366" t="s">
        <v>851</v>
      </c>
      <c r="B2366" t="s">
        <v>686</v>
      </c>
      <c r="C2366" t="s">
        <v>686</v>
      </c>
      <c r="D2366" t="s">
        <v>12</v>
      </c>
      <c r="E2366" t="s">
        <v>461</v>
      </c>
      <c r="F2366" t="s">
        <v>668</v>
      </c>
      <c r="G2366">
        <v>2030</v>
      </c>
      <c r="H2366" s="12">
        <v>229.66</v>
      </c>
      <c r="I2366" t="s">
        <v>3183</v>
      </c>
      <c r="J2366" t="s">
        <v>15</v>
      </c>
      <c r="K2366" t="s">
        <v>147</v>
      </c>
      <c r="L2366" t="s">
        <v>3184</v>
      </c>
      <c r="M2366" t="s">
        <v>15</v>
      </c>
    </row>
    <row r="2367" spans="1:13">
      <c r="A2367" t="s">
        <v>851</v>
      </c>
      <c r="B2367" t="s">
        <v>686</v>
      </c>
      <c r="C2367" t="s">
        <v>686</v>
      </c>
      <c r="D2367" t="s">
        <v>12</v>
      </c>
      <c r="E2367" t="s">
        <v>461</v>
      </c>
      <c r="F2367" t="s">
        <v>668</v>
      </c>
      <c r="G2367">
        <v>2035</v>
      </c>
      <c r="H2367" s="12">
        <v>254.18</v>
      </c>
      <c r="I2367" t="s">
        <v>3183</v>
      </c>
      <c r="J2367" t="s">
        <v>15</v>
      </c>
      <c r="K2367" t="s">
        <v>147</v>
      </c>
      <c r="L2367" t="s">
        <v>3184</v>
      </c>
      <c r="M2367" t="s">
        <v>15</v>
      </c>
    </row>
    <row r="2368" spans="1:13">
      <c r="A2368" t="s">
        <v>851</v>
      </c>
      <c r="B2368" t="s">
        <v>686</v>
      </c>
      <c r="C2368" t="s">
        <v>686</v>
      </c>
      <c r="D2368" t="s">
        <v>12</v>
      </c>
      <c r="E2368" t="s">
        <v>461</v>
      </c>
      <c r="F2368" t="s">
        <v>668</v>
      </c>
      <c r="G2368">
        <v>2040</v>
      </c>
      <c r="H2368" s="12">
        <v>262.06</v>
      </c>
      <c r="I2368" t="s">
        <v>3183</v>
      </c>
      <c r="J2368" t="s">
        <v>15</v>
      </c>
      <c r="K2368" t="s">
        <v>147</v>
      </c>
      <c r="L2368" t="s">
        <v>3184</v>
      </c>
      <c r="M2368" t="s">
        <v>15</v>
      </c>
    </row>
    <row r="2369" spans="1:13">
      <c r="A2369" t="s">
        <v>851</v>
      </c>
      <c r="B2369" t="s">
        <v>686</v>
      </c>
      <c r="C2369" t="s">
        <v>686</v>
      </c>
      <c r="D2369" t="s">
        <v>12</v>
      </c>
      <c r="E2369" t="s">
        <v>461</v>
      </c>
      <c r="F2369" t="s">
        <v>668</v>
      </c>
      <c r="G2369">
        <v>2045</v>
      </c>
      <c r="H2369" s="12">
        <v>272.11</v>
      </c>
      <c r="I2369" t="s">
        <v>3183</v>
      </c>
      <c r="J2369" t="s">
        <v>15</v>
      </c>
      <c r="K2369" t="s">
        <v>147</v>
      </c>
      <c r="L2369" t="s">
        <v>3184</v>
      </c>
      <c r="M2369" t="s">
        <v>15</v>
      </c>
    </row>
    <row r="2370" spans="1:13">
      <c r="A2370" t="s">
        <v>851</v>
      </c>
      <c r="B2370" t="s">
        <v>686</v>
      </c>
      <c r="C2370" t="s">
        <v>686</v>
      </c>
      <c r="D2370" t="s">
        <v>12</v>
      </c>
      <c r="E2370" t="s">
        <v>461</v>
      </c>
      <c r="F2370" t="s">
        <v>668</v>
      </c>
      <c r="G2370">
        <v>2050</v>
      </c>
      <c r="H2370" s="12">
        <v>283.27999999999997</v>
      </c>
      <c r="I2370" t="s">
        <v>3183</v>
      </c>
      <c r="J2370" t="s">
        <v>15</v>
      </c>
      <c r="K2370" t="s">
        <v>147</v>
      </c>
      <c r="L2370" t="s">
        <v>3184</v>
      </c>
      <c r="M2370" t="s">
        <v>15</v>
      </c>
    </row>
    <row r="2371" spans="1:13">
      <c r="A2371" t="s">
        <v>851</v>
      </c>
      <c r="B2371" t="s">
        <v>687</v>
      </c>
      <c r="C2371" t="s">
        <v>687</v>
      </c>
      <c r="D2371" t="s">
        <v>12</v>
      </c>
      <c r="E2371" t="s">
        <v>461</v>
      </c>
      <c r="F2371" t="s">
        <v>668</v>
      </c>
      <c r="G2371">
        <v>2030</v>
      </c>
      <c r="H2371" s="12">
        <v>232.13</v>
      </c>
      <c r="I2371" t="s">
        <v>3183</v>
      </c>
      <c r="J2371" t="s">
        <v>15</v>
      </c>
      <c r="K2371" t="s">
        <v>147</v>
      </c>
      <c r="L2371" t="s">
        <v>3184</v>
      </c>
      <c r="M2371" t="s">
        <v>15</v>
      </c>
    </row>
    <row r="2372" spans="1:13">
      <c r="A2372" t="s">
        <v>851</v>
      </c>
      <c r="B2372" t="s">
        <v>687</v>
      </c>
      <c r="C2372" t="s">
        <v>687</v>
      </c>
      <c r="D2372" t="s">
        <v>12</v>
      </c>
      <c r="E2372" t="s">
        <v>461</v>
      </c>
      <c r="F2372" t="s">
        <v>668</v>
      </c>
      <c r="G2372">
        <v>2035</v>
      </c>
      <c r="H2372" s="12">
        <v>257.92</v>
      </c>
      <c r="I2372" t="s">
        <v>3183</v>
      </c>
      <c r="J2372" t="s">
        <v>15</v>
      </c>
      <c r="K2372" t="s">
        <v>147</v>
      </c>
      <c r="L2372" t="s">
        <v>3184</v>
      </c>
      <c r="M2372" t="s">
        <v>15</v>
      </c>
    </row>
    <row r="2373" spans="1:13">
      <c r="A2373" t="s">
        <v>851</v>
      </c>
      <c r="B2373" t="s">
        <v>687</v>
      </c>
      <c r="C2373" t="s">
        <v>687</v>
      </c>
      <c r="D2373" t="s">
        <v>12</v>
      </c>
      <c r="E2373" t="s">
        <v>461</v>
      </c>
      <c r="F2373" t="s">
        <v>668</v>
      </c>
      <c r="G2373">
        <v>2040</v>
      </c>
      <c r="H2373" s="12">
        <v>266.16000000000003</v>
      </c>
      <c r="I2373" t="s">
        <v>3183</v>
      </c>
      <c r="J2373" t="s">
        <v>15</v>
      </c>
      <c r="K2373" t="s">
        <v>147</v>
      </c>
      <c r="L2373" t="s">
        <v>3184</v>
      </c>
      <c r="M2373" t="s">
        <v>15</v>
      </c>
    </row>
    <row r="2374" spans="1:13">
      <c r="A2374" t="s">
        <v>851</v>
      </c>
      <c r="B2374" t="s">
        <v>687</v>
      </c>
      <c r="C2374" t="s">
        <v>687</v>
      </c>
      <c r="D2374" t="s">
        <v>12</v>
      </c>
      <c r="E2374" t="s">
        <v>461</v>
      </c>
      <c r="F2374" t="s">
        <v>668</v>
      </c>
      <c r="G2374">
        <v>2045</v>
      </c>
      <c r="H2374" s="12">
        <v>276.44</v>
      </c>
      <c r="I2374" t="s">
        <v>3183</v>
      </c>
      <c r="J2374" t="s">
        <v>15</v>
      </c>
      <c r="K2374" t="s">
        <v>147</v>
      </c>
      <c r="L2374" t="s">
        <v>3184</v>
      </c>
      <c r="M2374" t="s">
        <v>15</v>
      </c>
    </row>
    <row r="2375" spans="1:13">
      <c r="A2375" t="s">
        <v>851</v>
      </c>
      <c r="B2375" t="s">
        <v>687</v>
      </c>
      <c r="C2375" t="s">
        <v>687</v>
      </c>
      <c r="D2375" t="s">
        <v>12</v>
      </c>
      <c r="E2375" t="s">
        <v>461</v>
      </c>
      <c r="F2375" t="s">
        <v>668</v>
      </c>
      <c r="G2375">
        <v>2050</v>
      </c>
      <c r="H2375" s="12">
        <v>288.63</v>
      </c>
      <c r="I2375" t="s">
        <v>3183</v>
      </c>
      <c r="J2375" t="s">
        <v>15</v>
      </c>
      <c r="K2375" t="s">
        <v>147</v>
      </c>
      <c r="L2375" t="s">
        <v>3184</v>
      </c>
      <c r="M2375" t="s">
        <v>15</v>
      </c>
    </row>
    <row r="2376" spans="1:13">
      <c r="A2376" t="s">
        <v>851</v>
      </c>
      <c r="B2376" t="s">
        <v>686</v>
      </c>
      <c r="C2376" t="s">
        <v>686</v>
      </c>
      <c r="D2376" t="s">
        <v>12</v>
      </c>
      <c r="E2376" t="s">
        <v>461</v>
      </c>
      <c r="F2376" t="s">
        <v>668</v>
      </c>
      <c r="G2376">
        <v>2010</v>
      </c>
      <c r="H2376" s="12">
        <v>0</v>
      </c>
      <c r="I2376" t="s">
        <v>3183</v>
      </c>
      <c r="J2376" t="s">
        <v>8</v>
      </c>
      <c r="K2376" t="s">
        <v>147</v>
      </c>
      <c r="L2376" t="s">
        <v>3184</v>
      </c>
      <c r="M2376" t="s">
        <v>670</v>
      </c>
    </row>
    <row r="2377" spans="1:13">
      <c r="A2377" t="s">
        <v>851</v>
      </c>
      <c r="B2377" t="s">
        <v>686</v>
      </c>
      <c r="C2377" t="s">
        <v>686</v>
      </c>
      <c r="D2377" t="s">
        <v>12</v>
      </c>
      <c r="E2377" t="s">
        <v>461</v>
      </c>
      <c r="F2377" t="s">
        <v>668</v>
      </c>
      <c r="G2377">
        <v>2015</v>
      </c>
      <c r="H2377" s="12">
        <v>0</v>
      </c>
      <c r="I2377" t="s">
        <v>3183</v>
      </c>
      <c r="J2377" t="s">
        <v>8</v>
      </c>
      <c r="K2377" t="s">
        <v>147</v>
      </c>
      <c r="L2377" t="s">
        <v>3184</v>
      </c>
      <c r="M2377" t="s">
        <v>670</v>
      </c>
    </row>
    <row r="2378" spans="1:13">
      <c r="A2378" t="s">
        <v>851</v>
      </c>
      <c r="B2378" t="s">
        <v>686</v>
      </c>
      <c r="C2378" t="s">
        <v>686</v>
      </c>
      <c r="D2378" t="s">
        <v>12</v>
      </c>
      <c r="E2378" t="s">
        <v>461</v>
      </c>
      <c r="F2378" t="s">
        <v>668</v>
      </c>
      <c r="G2378">
        <v>2020</v>
      </c>
      <c r="H2378" s="12">
        <v>0</v>
      </c>
      <c r="I2378" t="s">
        <v>3183</v>
      </c>
      <c r="J2378" t="s">
        <v>8</v>
      </c>
      <c r="K2378" t="s">
        <v>147</v>
      </c>
      <c r="L2378" t="s">
        <v>3184</v>
      </c>
      <c r="M2378" t="s">
        <v>670</v>
      </c>
    </row>
    <row r="2379" spans="1:13">
      <c r="A2379" t="s">
        <v>851</v>
      </c>
      <c r="B2379" t="s">
        <v>686</v>
      </c>
      <c r="C2379" t="s">
        <v>686</v>
      </c>
      <c r="D2379" t="s">
        <v>12</v>
      </c>
      <c r="E2379" t="s">
        <v>461</v>
      </c>
      <c r="F2379" t="s">
        <v>668</v>
      </c>
      <c r="G2379">
        <v>2030</v>
      </c>
      <c r="H2379" s="12">
        <v>0</v>
      </c>
      <c r="I2379" t="s">
        <v>3183</v>
      </c>
      <c r="J2379" t="s">
        <v>8</v>
      </c>
      <c r="K2379" t="s">
        <v>147</v>
      </c>
      <c r="L2379" t="s">
        <v>3184</v>
      </c>
      <c r="M2379" t="s">
        <v>670</v>
      </c>
    </row>
    <row r="2380" spans="1:13">
      <c r="A2380" t="s">
        <v>851</v>
      </c>
      <c r="B2380" t="s">
        <v>686</v>
      </c>
      <c r="C2380" t="s">
        <v>686</v>
      </c>
      <c r="D2380" t="s">
        <v>12</v>
      </c>
      <c r="E2380" t="s">
        <v>461</v>
      </c>
      <c r="F2380" t="s">
        <v>668</v>
      </c>
      <c r="G2380">
        <v>2035</v>
      </c>
      <c r="H2380" s="12">
        <v>0</v>
      </c>
      <c r="I2380" t="s">
        <v>3183</v>
      </c>
      <c r="J2380" t="s">
        <v>8</v>
      </c>
      <c r="K2380" t="s">
        <v>147</v>
      </c>
      <c r="L2380" t="s">
        <v>3184</v>
      </c>
      <c r="M2380" t="s">
        <v>670</v>
      </c>
    </row>
    <row r="2381" spans="1:13">
      <c r="A2381" t="s">
        <v>851</v>
      </c>
      <c r="B2381" t="s">
        <v>686</v>
      </c>
      <c r="C2381" t="s">
        <v>686</v>
      </c>
      <c r="D2381" t="s">
        <v>12</v>
      </c>
      <c r="E2381" t="s">
        <v>461</v>
      </c>
      <c r="F2381" t="s">
        <v>668</v>
      </c>
      <c r="G2381">
        <v>2040</v>
      </c>
      <c r="H2381" s="12">
        <v>0</v>
      </c>
      <c r="I2381" t="s">
        <v>3183</v>
      </c>
      <c r="J2381" t="s">
        <v>8</v>
      </c>
      <c r="K2381" t="s">
        <v>147</v>
      </c>
      <c r="L2381" t="s">
        <v>3184</v>
      </c>
      <c r="M2381" t="s">
        <v>670</v>
      </c>
    </row>
    <row r="2382" spans="1:13">
      <c r="A2382" t="s">
        <v>851</v>
      </c>
      <c r="B2382" t="s">
        <v>686</v>
      </c>
      <c r="C2382" t="s">
        <v>686</v>
      </c>
      <c r="D2382" t="s">
        <v>12</v>
      </c>
      <c r="E2382" t="s">
        <v>461</v>
      </c>
      <c r="F2382" t="s">
        <v>668</v>
      </c>
      <c r="G2382">
        <v>2045</v>
      </c>
      <c r="H2382" s="12">
        <v>0</v>
      </c>
      <c r="I2382" t="s">
        <v>3183</v>
      </c>
      <c r="J2382" t="s">
        <v>8</v>
      </c>
      <c r="K2382" t="s">
        <v>147</v>
      </c>
      <c r="L2382" t="s">
        <v>3184</v>
      </c>
      <c r="M2382" t="s">
        <v>670</v>
      </c>
    </row>
    <row r="2383" spans="1:13">
      <c r="A2383" t="s">
        <v>851</v>
      </c>
      <c r="B2383" t="s">
        <v>686</v>
      </c>
      <c r="C2383" t="s">
        <v>686</v>
      </c>
      <c r="D2383" t="s">
        <v>12</v>
      </c>
      <c r="E2383" t="s">
        <v>461</v>
      </c>
      <c r="F2383" t="s">
        <v>668</v>
      </c>
      <c r="G2383">
        <v>2050</v>
      </c>
      <c r="H2383" s="12">
        <v>0</v>
      </c>
      <c r="I2383" t="s">
        <v>3183</v>
      </c>
      <c r="J2383" t="s">
        <v>8</v>
      </c>
      <c r="K2383" t="s">
        <v>147</v>
      </c>
      <c r="L2383" t="s">
        <v>3184</v>
      </c>
      <c r="M2383" t="s">
        <v>670</v>
      </c>
    </row>
    <row r="2384" spans="1:13">
      <c r="A2384" t="s">
        <v>851</v>
      </c>
      <c r="B2384" t="s">
        <v>687</v>
      </c>
      <c r="C2384" t="s">
        <v>687</v>
      </c>
      <c r="D2384" t="s">
        <v>12</v>
      </c>
      <c r="E2384" t="s">
        <v>461</v>
      </c>
      <c r="F2384" t="s">
        <v>668</v>
      </c>
      <c r="G2384">
        <v>2030</v>
      </c>
      <c r="H2384" s="12">
        <v>0</v>
      </c>
      <c r="I2384" t="s">
        <v>3183</v>
      </c>
      <c r="J2384" t="s">
        <v>8</v>
      </c>
      <c r="K2384" t="s">
        <v>147</v>
      </c>
      <c r="L2384" t="s">
        <v>3184</v>
      </c>
      <c r="M2384" t="s">
        <v>670</v>
      </c>
    </row>
    <row r="2385" spans="1:13">
      <c r="A2385" t="s">
        <v>851</v>
      </c>
      <c r="B2385" t="s">
        <v>687</v>
      </c>
      <c r="C2385" t="s">
        <v>687</v>
      </c>
      <c r="D2385" t="s">
        <v>12</v>
      </c>
      <c r="E2385" t="s">
        <v>461</v>
      </c>
      <c r="F2385" t="s">
        <v>668</v>
      </c>
      <c r="G2385">
        <v>2035</v>
      </c>
      <c r="H2385" s="12">
        <v>0</v>
      </c>
      <c r="I2385" t="s">
        <v>3183</v>
      </c>
      <c r="J2385" t="s">
        <v>8</v>
      </c>
      <c r="K2385" t="s">
        <v>147</v>
      </c>
      <c r="L2385" t="s">
        <v>3184</v>
      </c>
      <c r="M2385" t="s">
        <v>670</v>
      </c>
    </row>
    <row r="2386" spans="1:13">
      <c r="A2386" t="s">
        <v>851</v>
      </c>
      <c r="B2386" t="s">
        <v>687</v>
      </c>
      <c r="C2386" t="s">
        <v>687</v>
      </c>
      <c r="D2386" t="s">
        <v>12</v>
      </c>
      <c r="E2386" t="s">
        <v>461</v>
      </c>
      <c r="F2386" t="s">
        <v>668</v>
      </c>
      <c r="G2386">
        <v>2040</v>
      </c>
      <c r="H2386" s="12">
        <v>0</v>
      </c>
      <c r="I2386" t="s">
        <v>3183</v>
      </c>
      <c r="J2386" t="s">
        <v>8</v>
      </c>
      <c r="K2386" t="s">
        <v>147</v>
      </c>
      <c r="L2386" t="s">
        <v>3184</v>
      </c>
      <c r="M2386" t="s">
        <v>670</v>
      </c>
    </row>
    <row r="2387" spans="1:13">
      <c r="A2387" t="s">
        <v>851</v>
      </c>
      <c r="B2387" t="s">
        <v>687</v>
      </c>
      <c r="C2387" t="s">
        <v>687</v>
      </c>
      <c r="D2387" t="s">
        <v>12</v>
      </c>
      <c r="E2387" t="s">
        <v>461</v>
      </c>
      <c r="F2387" t="s">
        <v>668</v>
      </c>
      <c r="G2387">
        <v>2045</v>
      </c>
      <c r="H2387" s="12">
        <v>0</v>
      </c>
      <c r="I2387" t="s">
        <v>3183</v>
      </c>
      <c r="J2387" t="s">
        <v>8</v>
      </c>
      <c r="K2387" t="s">
        <v>147</v>
      </c>
      <c r="L2387" t="s">
        <v>3184</v>
      </c>
      <c r="M2387" t="s">
        <v>670</v>
      </c>
    </row>
    <row r="2388" spans="1:13">
      <c r="A2388" t="s">
        <v>851</v>
      </c>
      <c r="B2388" t="s">
        <v>687</v>
      </c>
      <c r="C2388" t="s">
        <v>687</v>
      </c>
      <c r="D2388" t="s">
        <v>12</v>
      </c>
      <c r="E2388" t="s">
        <v>461</v>
      </c>
      <c r="F2388" t="s">
        <v>668</v>
      </c>
      <c r="G2388">
        <v>2050</v>
      </c>
      <c r="H2388" s="12">
        <v>0</v>
      </c>
      <c r="I2388" t="s">
        <v>3183</v>
      </c>
      <c r="J2388" t="s">
        <v>8</v>
      </c>
      <c r="K2388" t="s">
        <v>147</v>
      </c>
      <c r="L2388" t="s">
        <v>3184</v>
      </c>
      <c r="M2388" t="s">
        <v>670</v>
      </c>
    </row>
    <row r="2389" spans="1:13">
      <c r="A2389" t="s">
        <v>851</v>
      </c>
      <c r="B2389" t="s">
        <v>686</v>
      </c>
      <c r="C2389" t="s">
        <v>686</v>
      </c>
      <c r="D2389" t="s">
        <v>12</v>
      </c>
      <c r="E2389" t="s">
        <v>461</v>
      </c>
      <c r="F2389" t="s">
        <v>668</v>
      </c>
      <c r="G2389">
        <v>2010</v>
      </c>
      <c r="H2389" s="12">
        <v>166.09</v>
      </c>
      <c r="I2389" t="s">
        <v>3183</v>
      </c>
      <c r="J2389" t="s">
        <v>5</v>
      </c>
      <c r="K2389" t="s">
        <v>147</v>
      </c>
      <c r="L2389" t="s">
        <v>3184</v>
      </c>
      <c r="M2389" t="s">
        <v>665</v>
      </c>
    </row>
    <row r="2390" spans="1:13">
      <c r="A2390" t="s">
        <v>851</v>
      </c>
      <c r="B2390" t="s">
        <v>686</v>
      </c>
      <c r="C2390" t="s">
        <v>686</v>
      </c>
      <c r="D2390" t="s">
        <v>12</v>
      </c>
      <c r="E2390" t="s">
        <v>461</v>
      </c>
      <c r="F2390" t="s">
        <v>668</v>
      </c>
      <c r="G2390">
        <v>2015</v>
      </c>
      <c r="H2390" s="12">
        <v>158.55000000000001</v>
      </c>
      <c r="I2390" t="s">
        <v>3183</v>
      </c>
      <c r="J2390" t="s">
        <v>5</v>
      </c>
      <c r="K2390" t="s">
        <v>147</v>
      </c>
      <c r="L2390" t="s">
        <v>3184</v>
      </c>
      <c r="M2390" t="s">
        <v>665</v>
      </c>
    </row>
    <row r="2391" spans="1:13">
      <c r="A2391" t="s">
        <v>851</v>
      </c>
      <c r="B2391" t="s">
        <v>686</v>
      </c>
      <c r="C2391" t="s">
        <v>686</v>
      </c>
      <c r="D2391" t="s">
        <v>12</v>
      </c>
      <c r="E2391" t="s">
        <v>461</v>
      </c>
      <c r="F2391" t="s">
        <v>668</v>
      </c>
      <c r="G2391">
        <v>2020</v>
      </c>
      <c r="H2391" s="12">
        <v>176.03</v>
      </c>
      <c r="I2391" t="s">
        <v>3183</v>
      </c>
      <c r="J2391" t="s">
        <v>5</v>
      </c>
      <c r="K2391" t="s">
        <v>147</v>
      </c>
      <c r="L2391" t="s">
        <v>3184</v>
      </c>
      <c r="M2391" t="s">
        <v>665</v>
      </c>
    </row>
    <row r="2392" spans="1:13">
      <c r="A2392" t="s">
        <v>851</v>
      </c>
      <c r="B2392" t="s">
        <v>686</v>
      </c>
      <c r="C2392" t="s">
        <v>686</v>
      </c>
      <c r="D2392" t="s">
        <v>12</v>
      </c>
      <c r="E2392" t="s">
        <v>461</v>
      </c>
      <c r="F2392" t="s">
        <v>668</v>
      </c>
      <c r="G2392">
        <v>2030</v>
      </c>
      <c r="H2392" s="12">
        <v>106.97</v>
      </c>
      <c r="I2392" t="s">
        <v>3183</v>
      </c>
      <c r="J2392" t="s">
        <v>5</v>
      </c>
      <c r="K2392" t="s">
        <v>147</v>
      </c>
      <c r="L2392" t="s">
        <v>3184</v>
      </c>
      <c r="M2392" t="s">
        <v>665</v>
      </c>
    </row>
    <row r="2393" spans="1:13">
      <c r="A2393" t="s">
        <v>851</v>
      </c>
      <c r="B2393" t="s">
        <v>686</v>
      </c>
      <c r="C2393" t="s">
        <v>686</v>
      </c>
      <c r="D2393" t="s">
        <v>12</v>
      </c>
      <c r="E2393" t="s">
        <v>461</v>
      </c>
      <c r="F2393" t="s">
        <v>668</v>
      </c>
      <c r="G2393">
        <v>2035</v>
      </c>
      <c r="H2393" s="12">
        <v>101.47</v>
      </c>
      <c r="I2393" t="s">
        <v>3183</v>
      </c>
      <c r="J2393" t="s">
        <v>5</v>
      </c>
      <c r="K2393" t="s">
        <v>147</v>
      </c>
      <c r="L2393" t="s">
        <v>3184</v>
      </c>
      <c r="M2393" t="s">
        <v>665</v>
      </c>
    </row>
    <row r="2394" spans="1:13">
      <c r="A2394" t="s">
        <v>851</v>
      </c>
      <c r="B2394" t="s">
        <v>687</v>
      </c>
      <c r="C2394" t="s">
        <v>687</v>
      </c>
      <c r="D2394" t="s">
        <v>12</v>
      </c>
      <c r="E2394" t="s">
        <v>461</v>
      </c>
      <c r="F2394" t="s">
        <v>668</v>
      </c>
      <c r="G2394">
        <v>2050</v>
      </c>
      <c r="H2394" s="12">
        <v>0.38</v>
      </c>
      <c r="I2394" t="s">
        <v>3183</v>
      </c>
      <c r="J2394" t="s">
        <v>394</v>
      </c>
      <c r="K2394" t="s">
        <v>147</v>
      </c>
      <c r="L2394" t="s">
        <v>3184</v>
      </c>
      <c r="M2394" t="s">
        <v>16</v>
      </c>
    </row>
    <row r="2395" spans="1:13">
      <c r="A2395" t="s">
        <v>851</v>
      </c>
      <c r="B2395" t="s">
        <v>686</v>
      </c>
      <c r="C2395" t="s">
        <v>686</v>
      </c>
      <c r="D2395" t="s">
        <v>12</v>
      </c>
      <c r="E2395" t="s">
        <v>646</v>
      </c>
      <c r="F2395" t="s">
        <v>40</v>
      </c>
      <c r="G2395">
        <v>2050</v>
      </c>
      <c r="H2395" s="12">
        <v>2445</v>
      </c>
      <c r="I2395" t="s">
        <v>3183</v>
      </c>
      <c r="J2395" t="s">
        <v>6</v>
      </c>
      <c r="K2395" t="s">
        <v>658</v>
      </c>
      <c r="L2395" t="s">
        <v>3184</v>
      </c>
      <c r="M2395" t="s">
        <v>659</v>
      </c>
    </row>
    <row r="2396" spans="1:13">
      <c r="A2396" t="s">
        <v>851</v>
      </c>
      <c r="B2396" t="s">
        <v>687</v>
      </c>
      <c r="C2396" t="s">
        <v>687</v>
      </c>
      <c r="D2396" t="s">
        <v>12</v>
      </c>
      <c r="E2396" t="s">
        <v>646</v>
      </c>
      <c r="F2396" t="s">
        <v>40</v>
      </c>
      <c r="G2396">
        <v>2030</v>
      </c>
      <c r="H2396" s="12">
        <v>2791</v>
      </c>
      <c r="I2396" t="s">
        <v>3183</v>
      </c>
      <c r="J2396" t="s">
        <v>6</v>
      </c>
      <c r="K2396" t="s">
        <v>658</v>
      </c>
      <c r="L2396" t="s">
        <v>3184</v>
      </c>
      <c r="M2396" t="s">
        <v>659</v>
      </c>
    </row>
    <row r="2397" spans="1:13">
      <c r="A2397" t="s">
        <v>851</v>
      </c>
      <c r="B2397" t="s">
        <v>687</v>
      </c>
      <c r="C2397" t="s">
        <v>687</v>
      </c>
      <c r="D2397" t="s">
        <v>12</v>
      </c>
      <c r="E2397" t="s">
        <v>646</v>
      </c>
      <c r="F2397" t="s">
        <v>40</v>
      </c>
      <c r="G2397">
        <v>2035</v>
      </c>
      <c r="H2397" s="12">
        <v>2679</v>
      </c>
      <c r="I2397" t="s">
        <v>3183</v>
      </c>
      <c r="J2397" t="s">
        <v>6</v>
      </c>
      <c r="K2397" t="s">
        <v>658</v>
      </c>
      <c r="L2397" t="s">
        <v>3184</v>
      </c>
      <c r="M2397" t="s">
        <v>659</v>
      </c>
    </row>
    <row r="2398" spans="1:13">
      <c r="A2398" t="s">
        <v>851</v>
      </c>
      <c r="B2398" t="s">
        <v>687</v>
      </c>
      <c r="C2398" t="s">
        <v>687</v>
      </c>
      <c r="D2398" t="s">
        <v>12</v>
      </c>
      <c r="E2398" t="s">
        <v>646</v>
      </c>
      <c r="F2398" t="s">
        <v>40</v>
      </c>
      <c r="G2398">
        <v>2040</v>
      </c>
      <c r="H2398" s="12">
        <v>2590</v>
      </c>
      <c r="I2398" t="s">
        <v>3183</v>
      </c>
      <c r="J2398" t="s">
        <v>6</v>
      </c>
      <c r="K2398" t="s">
        <v>658</v>
      </c>
      <c r="L2398" t="s">
        <v>3184</v>
      </c>
      <c r="M2398" t="s">
        <v>659</v>
      </c>
    </row>
    <row r="2399" spans="1:13">
      <c r="A2399" t="s">
        <v>851</v>
      </c>
      <c r="B2399" t="s">
        <v>687</v>
      </c>
      <c r="C2399" t="s">
        <v>687</v>
      </c>
      <c r="D2399" t="s">
        <v>12</v>
      </c>
      <c r="E2399" t="s">
        <v>646</v>
      </c>
      <c r="F2399" t="s">
        <v>40</v>
      </c>
      <c r="G2399">
        <v>2045</v>
      </c>
      <c r="H2399" s="12">
        <v>2567</v>
      </c>
      <c r="I2399" t="s">
        <v>3183</v>
      </c>
      <c r="J2399" t="s">
        <v>6</v>
      </c>
      <c r="K2399" t="s">
        <v>658</v>
      </c>
      <c r="L2399" t="s">
        <v>3184</v>
      </c>
      <c r="M2399" t="s">
        <v>659</v>
      </c>
    </row>
    <row r="2400" spans="1:13">
      <c r="A2400" t="s">
        <v>851</v>
      </c>
      <c r="B2400" t="s">
        <v>687</v>
      </c>
      <c r="C2400" t="s">
        <v>687</v>
      </c>
      <c r="D2400" t="s">
        <v>12</v>
      </c>
      <c r="E2400" t="s">
        <v>646</v>
      </c>
      <c r="F2400" t="s">
        <v>40</v>
      </c>
      <c r="G2400">
        <v>2050</v>
      </c>
      <c r="H2400" s="12">
        <v>2546</v>
      </c>
      <c r="I2400" t="s">
        <v>3183</v>
      </c>
      <c r="J2400" t="s">
        <v>6</v>
      </c>
      <c r="K2400" t="s">
        <v>658</v>
      </c>
      <c r="L2400" t="s">
        <v>3184</v>
      </c>
      <c r="M2400" t="s">
        <v>659</v>
      </c>
    </row>
    <row r="2401" spans="1:13">
      <c r="A2401" t="s">
        <v>851</v>
      </c>
      <c r="B2401" t="s">
        <v>686</v>
      </c>
      <c r="C2401" t="s">
        <v>686</v>
      </c>
      <c r="D2401" t="s">
        <v>12</v>
      </c>
      <c r="E2401" t="s">
        <v>646</v>
      </c>
      <c r="F2401" t="s">
        <v>40</v>
      </c>
      <c r="G2401">
        <v>2010</v>
      </c>
      <c r="H2401" s="12">
        <v>168</v>
      </c>
      <c r="I2401" t="s">
        <v>3183</v>
      </c>
      <c r="J2401" t="s">
        <v>5</v>
      </c>
      <c r="K2401" t="s">
        <v>658</v>
      </c>
      <c r="L2401" t="s">
        <v>3184</v>
      </c>
      <c r="M2401" t="s">
        <v>5</v>
      </c>
    </row>
    <row r="2402" spans="1:13">
      <c r="A2402" t="s">
        <v>851</v>
      </c>
      <c r="B2402" t="s">
        <v>686</v>
      </c>
      <c r="C2402" t="s">
        <v>686</v>
      </c>
      <c r="D2402" t="s">
        <v>12</v>
      </c>
      <c r="E2402" t="s">
        <v>646</v>
      </c>
      <c r="F2402" t="s">
        <v>40</v>
      </c>
      <c r="G2402">
        <v>2015</v>
      </c>
      <c r="H2402" s="12">
        <v>145</v>
      </c>
      <c r="I2402" t="s">
        <v>3183</v>
      </c>
      <c r="J2402" t="s">
        <v>5</v>
      </c>
      <c r="K2402" t="s">
        <v>658</v>
      </c>
      <c r="L2402" t="s">
        <v>3184</v>
      </c>
      <c r="M2402" t="s">
        <v>5</v>
      </c>
    </row>
    <row r="2403" spans="1:13">
      <c r="A2403" t="s">
        <v>851</v>
      </c>
      <c r="B2403" t="s">
        <v>686</v>
      </c>
      <c r="C2403" t="s">
        <v>686</v>
      </c>
      <c r="D2403" t="s">
        <v>12</v>
      </c>
      <c r="E2403" t="s">
        <v>646</v>
      </c>
      <c r="F2403" t="s">
        <v>40</v>
      </c>
      <c r="G2403">
        <v>2020</v>
      </c>
      <c r="H2403" s="12">
        <v>97</v>
      </c>
      <c r="I2403" t="s">
        <v>3183</v>
      </c>
      <c r="J2403" t="s">
        <v>5</v>
      </c>
      <c r="K2403" t="s">
        <v>658</v>
      </c>
      <c r="L2403" t="s">
        <v>3184</v>
      </c>
      <c r="M2403" t="s">
        <v>5</v>
      </c>
    </row>
    <row r="2404" spans="1:13">
      <c r="A2404" t="s">
        <v>851</v>
      </c>
      <c r="B2404" t="s">
        <v>686</v>
      </c>
      <c r="C2404" t="s">
        <v>686</v>
      </c>
      <c r="D2404" t="s">
        <v>12</v>
      </c>
      <c r="E2404" t="s">
        <v>646</v>
      </c>
      <c r="F2404" t="s">
        <v>40</v>
      </c>
      <c r="G2404">
        <v>2030</v>
      </c>
      <c r="H2404" s="12">
        <v>52</v>
      </c>
      <c r="I2404" t="s">
        <v>3183</v>
      </c>
      <c r="J2404" t="s">
        <v>5</v>
      </c>
      <c r="K2404" t="s">
        <v>658</v>
      </c>
      <c r="L2404" t="s">
        <v>3184</v>
      </c>
      <c r="M2404" t="s">
        <v>5</v>
      </c>
    </row>
    <row r="2405" spans="1:13">
      <c r="A2405" t="s">
        <v>851</v>
      </c>
      <c r="B2405" t="s">
        <v>686</v>
      </c>
      <c r="C2405" t="s">
        <v>686</v>
      </c>
      <c r="D2405" t="s">
        <v>12</v>
      </c>
      <c r="E2405" t="s">
        <v>646</v>
      </c>
      <c r="F2405" t="s">
        <v>40</v>
      </c>
      <c r="G2405">
        <v>2035</v>
      </c>
      <c r="H2405" s="12">
        <v>33</v>
      </c>
      <c r="I2405" t="s">
        <v>3183</v>
      </c>
      <c r="J2405" t="s">
        <v>5</v>
      </c>
      <c r="K2405" t="s">
        <v>658</v>
      </c>
      <c r="L2405" t="s">
        <v>3184</v>
      </c>
      <c r="M2405" t="s">
        <v>5</v>
      </c>
    </row>
    <row r="2406" spans="1:13">
      <c r="A2406" t="s">
        <v>851</v>
      </c>
      <c r="B2406" t="s">
        <v>686</v>
      </c>
      <c r="C2406" t="s">
        <v>686</v>
      </c>
      <c r="D2406" t="s">
        <v>12</v>
      </c>
      <c r="E2406" t="s">
        <v>646</v>
      </c>
      <c r="F2406" t="s">
        <v>40</v>
      </c>
      <c r="G2406">
        <v>2040</v>
      </c>
      <c r="H2406" s="12">
        <v>24</v>
      </c>
      <c r="I2406" t="s">
        <v>3183</v>
      </c>
      <c r="J2406" t="s">
        <v>5</v>
      </c>
      <c r="K2406" t="s">
        <v>658</v>
      </c>
      <c r="L2406" t="s">
        <v>3184</v>
      </c>
      <c r="M2406" t="s">
        <v>5</v>
      </c>
    </row>
    <row r="2407" spans="1:13">
      <c r="A2407" t="s">
        <v>851</v>
      </c>
      <c r="B2407" t="s">
        <v>686</v>
      </c>
      <c r="C2407" t="s">
        <v>686</v>
      </c>
      <c r="D2407" t="s">
        <v>12</v>
      </c>
      <c r="E2407" t="s">
        <v>646</v>
      </c>
      <c r="F2407" t="s">
        <v>40</v>
      </c>
      <c r="G2407">
        <v>2045</v>
      </c>
      <c r="H2407" s="12">
        <v>15</v>
      </c>
      <c r="I2407" t="s">
        <v>3183</v>
      </c>
      <c r="J2407" t="s">
        <v>5</v>
      </c>
      <c r="K2407" t="s">
        <v>658</v>
      </c>
      <c r="L2407" t="s">
        <v>3184</v>
      </c>
      <c r="M2407" t="s">
        <v>5</v>
      </c>
    </row>
    <row r="2408" spans="1:13">
      <c r="A2408" t="s">
        <v>851</v>
      </c>
      <c r="B2408" t="s">
        <v>686</v>
      </c>
      <c r="C2408" t="s">
        <v>686</v>
      </c>
      <c r="D2408" t="s">
        <v>12</v>
      </c>
      <c r="E2408" t="s">
        <v>646</v>
      </c>
      <c r="F2408" t="s">
        <v>40</v>
      </c>
      <c r="G2408">
        <v>2050</v>
      </c>
      <c r="H2408" s="12">
        <v>8</v>
      </c>
      <c r="I2408" t="s">
        <v>3183</v>
      </c>
      <c r="J2408" t="s">
        <v>5</v>
      </c>
      <c r="K2408" t="s">
        <v>658</v>
      </c>
      <c r="L2408" t="s">
        <v>3184</v>
      </c>
      <c r="M2408" t="s">
        <v>5</v>
      </c>
    </row>
    <row r="2409" spans="1:13">
      <c r="A2409" t="s">
        <v>851</v>
      </c>
      <c r="B2409" t="s">
        <v>687</v>
      </c>
      <c r="C2409" t="s">
        <v>687</v>
      </c>
      <c r="D2409" t="s">
        <v>12</v>
      </c>
      <c r="E2409" t="s">
        <v>646</v>
      </c>
      <c r="F2409" t="s">
        <v>40</v>
      </c>
      <c r="G2409">
        <v>2030</v>
      </c>
      <c r="H2409" s="12">
        <v>46</v>
      </c>
      <c r="I2409" t="s">
        <v>3183</v>
      </c>
      <c r="J2409" t="s">
        <v>5</v>
      </c>
      <c r="K2409" t="s">
        <v>658</v>
      </c>
      <c r="L2409" t="s">
        <v>3184</v>
      </c>
      <c r="M2409" t="s">
        <v>5</v>
      </c>
    </row>
    <row r="2410" spans="1:13">
      <c r="A2410" t="s">
        <v>851</v>
      </c>
      <c r="B2410" t="s">
        <v>687</v>
      </c>
      <c r="C2410" t="s">
        <v>687</v>
      </c>
      <c r="D2410" t="s">
        <v>12</v>
      </c>
      <c r="E2410" t="s">
        <v>646</v>
      </c>
      <c r="F2410" t="s">
        <v>40</v>
      </c>
      <c r="G2410">
        <v>2035</v>
      </c>
      <c r="H2410" s="12">
        <v>30</v>
      </c>
      <c r="I2410" t="s">
        <v>3183</v>
      </c>
      <c r="J2410" t="s">
        <v>5</v>
      </c>
      <c r="K2410" t="s">
        <v>658</v>
      </c>
      <c r="L2410" t="s">
        <v>3184</v>
      </c>
      <c r="M2410" t="s">
        <v>5</v>
      </c>
    </row>
    <row r="2411" spans="1:13">
      <c r="A2411" t="s">
        <v>851</v>
      </c>
      <c r="B2411" t="s">
        <v>687</v>
      </c>
      <c r="C2411" t="s">
        <v>687</v>
      </c>
      <c r="D2411" t="s">
        <v>12</v>
      </c>
      <c r="E2411" t="s">
        <v>646</v>
      </c>
      <c r="F2411" t="s">
        <v>40</v>
      </c>
      <c r="G2411">
        <v>2040</v>
      </c>
      <c r="H2411" s="12">
        <v>24</v>
      </c>
      <c r="I2411" t="s">
        <v>3183</v>
      </c>
      <c r="J2411" t="s">
        <v>5</v>
      </c>
      <c r="K2411" t="s">
        <v>658</v>
      </c>
      <c r="L2411" t="s">
        <v>3184</v>
      </c>
      <c r="M2411" t="s">
        <v>5</v>
      </c>
    </row>
    <row r="2412" spans="1:13">
      <c r="A2412" t="s">
        <v>851</v>
      </c>
      <c r="B2412" t="s">
        <v>687</v>
      </c>
      <c r="C2412" t="s">
        <v>687</v>
      </c>
      <c r="D2412" t="s">
        <v>12</v>
      </c>
      <c r="E2412" t="s">
        <v>646</v>
      </c>
      <c r="F2412" t="s">
        <v>40</v>
      </c>
      <c r="G2412">
        <v>2045</v>
      </c>
      <c r="H2412" s="12">
        <v>18</v>
      </c>
      <c r="I2412" t="s">
        <v>3183</v>
      </c>
      <c r="J2412" t="s">
        <v>5</v>
      </c>
      <c r="K2412" t="s">
        <v>658</v>
      </c>
      <c r="L2412" t="s">
        <v>3184</v>
      </c>
      <c r="M2412" t="s">
        <v>5</v>
      </c>
    </row>
    <row r="2413" spans="1:13">
      <c r="A2413" t="s">
        <v>851</v>
      </c>
      <c r="B2413" t="s">
        <v>687</v>
      </c>
      <c r="C2413" t="s">
        <v>687</v>
      </c>
      <c r="D2413" t="s">
        <v>12</v>
      </c>
      <c r="E2413" t="s">
        <v>646</v>
      </c>
      <c r="F2413" t="s">
        <v>40</v>
      </c>
      <c r="G2413">
        <v>2050</v>
      </c>
      <c r="H2413" s="12">
        <v>13</v>
      </c>
      <c r="I2413" t="s">
        <v>3183</v>
      </c>
      <c r="J2413" t="s">
        <v>5</v>
      </c>
      <c r="K2413" t="s">
        <v>658</v>
      </c>
      <c r="L2413" t="s">
        <v>3184</v>
      </c>
      <c r="M2413" t="s">
        <v>5</v>
      </c>
    </row>
    <row r="2414" spans="1:13">
      <c r="A2414" t="s">
        <v>851</v>
      </c>
      <c r="B2414" t="s">
        <v>687</v>
      </c>
      <c r="C2414" t="s">
        <v>687</v>
      </c>
      <c r="D2414" t="s">
        <v>12</v>
      </c>
      <c r="E2414" t="s">
        <v>461</v>
      </c>
      <c r="F2414" t="s">
        <v>668</v>
      </c>
      <c r="G2414">
        <v>2035</v>
      </c>
      <c r="H2414" s="12">
        <v>6.58</v>
      </c>
      <c r="I2414" t="s">
        <v>3183</v>
      </c>
      <c r="J2414" t="s">
        <v>17</v>
      </c>
      <c r="K2414" t="s">
        <v>147</v>
      </c>
      <c r="L2414" t="s">
        <v>3184</v>
      </c>
      <c r="M2414" t="s">
        <v>671</v>
      </c>
    </row>
    <row r="2415" spans="1:13">
      <c r="A2415" t="s">
        <v>851</v>
      </c>
      <c r="B2415" t="s">
        <v>687</v>
      </c>
      <c r="C2415" t="s">
        <v>687</v>
      </c>
      <c r="D2415" t="s">
        <v>12</v>
      </c>
      <c r="E2415" t="s">
        <v>461</v>
      </c>
      <c r="F2415" t="s">
        <v>668</v>
      </c>
      <c r="G2415">
        <v>2040</v>
      </c>
      <c r="H2415" s="12">
        <v>8.6999999999999993</v>
      </c>
      <c r="I2415" t="s">
        <v>3183</v>
      </c>
      <c r="J2415" t="s">
        <v>17</v>
      </c>
      <c r="K2415" t="s">
        <v>147</v>
      </c>
      <c r="L2415" t="s">
        <v>3184</v>
      </c>
      <c r="M2415" t="s">
        <v>671</v>
      </c>
    </row>
    <row r="2416" spans="1:13">
      <c r="A2416" t="s">
        <v>851</v>
      </c>
      <c r="B2416" t="s">
        <v>687</v>
      </c>
      <c r="C2416" t="s">
        <v>687</v>
      </c>
      <c r="D2416" t="s">
        <v>12</v>
      </c>
      <c r="E2416" t="s">
        <v>461</v>
      </c>
      <c r="F2416" t="s">
        <v>668</v>
      </c>
      <c r="G2416">
        <v>2045</v>
      </c>
      <c r="H2416" s="12">
        <v>11.01</v>
      </c>
      <c r="I2416" t="s">
        <v>3183</v>
      </c>
      <c r="J2416" t="s">
        <v>17</v>
      </c>
      <c r="K2416" t="s">
        <v>147</v>
      </c>
      <c r="L2416" t="s">
        <v>3184</v>
      </c>
      <c r="M2416" t="s">
        <v>671</v>
      </c>
    </row>
    <row r="2417" spans="1:13">
      <c r="A2417" t="s">
        <v>851</v>
      </c>
      <c r="B2417" t="s">
        <v>687</v>
      </c>
      <c r="C2417" t="s">
        <v>687</v>
      </c>
      <c r="D2417" t="s">
        <v>12</v>
      </c>
      <c r="E2417" t="s">
        <v>461</v>
      </c>
      <c r="F2417" t="s">
        <v>668</v>
      </c>
      <c r="G2417">
        <v>2050</v>
      </c>
      <c r="H2417" s="12">
        <v>13.97</v>
      </c>
      <c r="I2417" t="s">
        <v>3183</v>
      </c>
      <c r="J2417" t="s">
        <v>17</v>
      </c>
      <c r="K2417" t="s">
        <v>147</v>
      </c>
      <c r="L2417" t="s">
        <v>3184</v>
      </c>
      <c r="M2417" t="s">
        <v>671</v>
      </c>
    </row>
    <row r="2418" spans="1:13">
      <c r="A2418" t="s">
        <v>851</v>
      </c>
      <c r="B2418" t="s">
        <v>686</v>
      </c>
      <c r="C2418" t="s">
        <v>686</v>
      </c>
      <c r="D2418" t="s">
        <v>12</v>
      </c>
      <c r="E2418" t="s">
        <v>461</v>
      </c>
      <c r="F2418" t="s">
        <v>668</v>
      </c>
      <c r="G2418">
        <v>2010</v>
      </c>
      <c r="H2418" s="12">
        <v>0</v>
      </c>
      <c r="I2418" t="s">
        <v>3183</v>
      </c>
      <c r="J2418" t="s">
        <v>18</v>
      </c>
      <c r="K2418" t="s">
        <v>147</v>
      </c>
      <c r="L2418" t="s">
        <v>3184</v>
      </c>
      <c r="M2418" t="s">
        <v>18</v>
      </c>
    </row>
    <row r="2419" spans="1:13">
      <c r="A2419" t="s">
        <v>851</v>
      </c>
      <c r="B2419" t="s">
        <v>686</v>
      </c>
      <c r="C2419" t="s">
        <v>686</v>
      </c>
      <c r="D2419" t="s">
        <v>12</v>
      </c>
      <c r="E2419" t="s">
        <v>461</v>
      </c>
      <c r="F2419" t="s">
        <v>668</v>
      </c>
      <c r="G2419">
        <v>2015</v>
      </c>
      <c r="H2419" s="12">
        <v>0.15</v>
      </c>
      <c r="I2419" t="s">
        <v>3183</v>
      </c>
      <c r="J2419" t="s">
        <v>18</v>
      </c>
      <c r="K2419" t="s">
        <v>147</v>
      </c>
      <c r="L2419" t="s">
        <v>3184</v>
      </c>
      <c r="M2419" t="s">
        <v>18</v>
      </c>
    </row>
    <row r="2420" spans="1:13">
      <c r="A2420" t="s">
        <v>851</v>
      </c>
      <c r="B2420" t="s">
        <v>686</v>
      </c>
      <c r="C2420" t="s">
        <v>686</v>
      </c>
      <c r="D2420" t="s">
        <v>12</v>
      </c>
      <c r="E2420" t="s">
        <v>461</v>
      </c>
      <c r="F2420" t="s">
        <v>668</v>
      </c>
      <c r="G2420">
        <v>2020</v>
      </c>
      <c r="H2420" s="12">
        <v>0</v>
      </c>
      <c r="I2420" t="s">
        <v>3183</v>
      </c>
      <c r="J2420" t="s">
        <v>18</v>
      </c>
      <c r="K2420" t="s">
        <v>147</v>
      </c>
      <c r="L2420" t="s">
        <v>3184</v>
      </c>
      <c r="M2420" t="s">
        <v>18</v>
      </c>
    </row>
    <row r="2421" spans="1:13">
      <c r="A2421" t="s">
        <v>851</v>
      </c>
      <c r="B2421" t="s">
        <v>686</v>
      </c>
      <c r="C2421" t="s">
        <v>686</v>
      </c>
      <c r="D2421" t="s">
        <v>12</v>
      </c>
      <c r="E2421" t="s">
        <v>461</v>
      </c>
      <c r="F2421" t="s">
        <v>668</v>
      </c>
      <c r="G2421">
        <v>2030</v>
      </c>
      <c r="H2421" s="12">
        <v>14.4</v>
      </c>
      <c r="I2421" t="s">
        <v>3183</v>
      </c>
      <c r="J2421" t="s">
        <v>18</v>
      </c>
      <c r="K2421" t="s">
        <v>147</v>
      </c>
      <c r="L2421" t="s">
        <v>3184</v>
      </c>
      <c r="M2421" t="s">
        <v>18</v>
      </c>
    </row>
    <row r="2422" spans="1:13">
      <c r="A2422" t="s">
        <v>851</v>
      </c>
      <c r="B2422" t="s">
        <v>686</v>
      </c>
      <c r="C2422" t="s">
        <v>686</v>
      </c>
      <c r="D2422" t="s">
        <v>12</v>
      </c>
      <c r="E2422" t="s">
        <v>461</v>
      </c>
      <c r="F2422" t="s">
        <v>668</v>
      </c>
      <c r="G2422">
        <v>2035</v>
      </c>
      <c r="H2422" s="12">
        <v>24.86</v>
      </c>
      <c r="I2422" t="s">
        <v>3183</v>
      </c>
      <c r="J2422" t="s">
        <v>18</v>
      </c>
      <c r="K2422" t="s">
        <v>147</v>
      </c>
      <c r="L2422" t="s">
        <v>3184</v>
      </c>
      <c r="M2422" t="s">
        <v>18</v>
      </c>
    </row>
    <row r="2423" spans="1:13">
      <c r="A2423" t="s">
        <v>851</v>
      </c>
      <c r="B2423" t="s">
        <v>686</v>
      </c>
      <c r="C2423" t="s">
        <v>686</v>
      </c>
      <c r="D2423" t="s">
        <v>12</v>
      </c>
      <c r="E2423" t="s">
        <v>461</v>
      </c>
      <c r="F2423" t="s">
        <v>668</v>
      </c>
      <c r="G2423">
        <v>2040</v>
      </c>
      <c r="H2423" s="12">
        <v>36.81</v>
      </c>
      <c r="I2423" t="s">
        <v>3183</v>
      </c>
      <c r="J2423" t="s">
        <v>18</v>
      </c>
      <c r="K2423" t="s">
        <v>147</v>
      </c>
      <c r="L2423" t="s">
        <v>3184</v>
      </c>
      <c r="M2423" t="s">
        <v>18</v>
      </c>
    </row>
    <row r="2424" spans="1:13">
      <c r="A2424" t="s">
        <v>851</v>
      </c>
      <c r="B2424" t="s">
        <v>686</v>
      </c>
      <c r="C2424" t="s">
        <v>686</v>
      </c>
      <c r="D2424" t="s">
        <v>12</v>
      </c>
      <c r="E2424" t="s">
        <v>461</v>
      </c>
      <c r="F2424" t="s">
        <v>668</v>
      </c>
      <c r="G2424">
        <v>2045</v>
      </c>
      <c r="H2424" s="12">
        <v>53.68</v>
      </c>
      <c r="I2424" t="s">
        <v>3183</v>
      </c>
      <c r="J2424" t="s">
        <v>18</v>
      </c>
      <c r="K2424" t="s">
        <v>147</v>
      </c>
      <c r="L2424" t="s">
        <v>3184</v>
      </c>
      <c r="M2424" t="s">
        <v>18</v>
      </c>
    </row>
    <row r="2425" spans="1:13">
      <c r="A2425" t="s">
        <v>851</v>
      </c>
      <c r="B2425" t="s">
        <v>686</v>
      </c>
      <c r="C2425" t="s">
        <v>686</v>
      </c>
      <c r="D2425" t="s">
        <v>12</v>
      </c>
      <c r="E2425" t="s">
        <v>461</v>
      </c>
      <c r="F2425" t="s">
        <v>668</v>
      </c>
      <c r="G2425">
        <v>2050</v>
      </c>
      <c r="H2425" s="12">
        <v>70.22</v>
      </c>
      <c r="I2425" t="s">
        <v>3183</v>
      </c>
      <c r="J2425" t="s">
        <v>18</v>
      </c>
      <c r="K2425" t="s">
        <v>147</v>
      </c>
      <c r="L2425" t="s">
        <v>3184</v>
      </c>
      <c r="M2425" t="s">
        <v>18</v>
      </c>
    </row>
    <row r="2426" spans="1:13">
      <c r="A2426" t="s">
        <v>851</v>
      </c>
      <c r="B2426" t="s">
        <v>687</v>
      </c>
      <c r="C2426" t="s">
        <v>687</v>
      </c>
      <c r="D2426" t="s">
        <v>12</v>
      </c>
      <c r="E2426" t="s">
        <v>461</v>
      </c>
      <c r="F2426" t="s">
        <v>668</v>
      </c>
      <c r="G2426">
        <v>2030</v>
      </c>
      <c r="H2426" s="12">
        <v>15.63</v>
      </c>
      <c r="I2426" t="s">
        <v>3183</v>
      </c>
      <c r="J2426" t="s">
        <v>18</v>
      </c>
      <c r="K2426" t="s">
        <v>147</v>
      </c>
      <c r="L2426" t="s">
        <v>3184</v>
      </c>
      <c r="M2426" t="s">
        <v>18</v>
      </c>
    </row>
    <row r="2427" spans="1:13">
      <c r="A2427" t="s">
        <v>851</v>
      </c>
      <c r="B2427" t="s">
        <v>687</v>
      </c>
      <c r="C2427" t="s">
        <v>687</v>
      </c>
      <c r="D2427" t="s">
        <v>12</v>
      </c>
      <c r="E2427" t="s">
        <v>461</v>
      </c>
      <c r="F2427" t="s">
        <v>668</v>
      </c>
      <c r="G2427">
        <v>2035</v>
      </c>
      <c r="H2427" s="12">
        <v>26.8</v>
      </c>
      <c r="I2427" t="s">
        <v>3183</v>
      </c>
      <c r="J2427" t="s">
        <v>18</v>
      </c>
      <c r="K2427" t="s">
        <v>147</v>
      </c>
      <c r="L2427" t="s">
        <v>3184</v>
      </c>
      <c r="M2427" t="s">
        <v>18</v>
      </c>
    </row>
    <row r="2428" spans="1:13">
      <c r="A2428" t="s">
        <v>851</v>
      </c>
      <c r="B2428" t="s">
        <v>687</v>
      </c>
      <c r="C2428" t="s">
        <v>687</v>
      </c>
      <c r="D2428" t="s">
        <v>12</v>
      </c>
      <c r="E2428" t="s">
        <v>461</v>
      </c>
      <c r="F2428" t="s">
        <v>668</v>
      </c>
      <c r="G2428">
        <v>2040</v>
      </c>
      <c r="H2428" s="12">
        <v>41.45</v>
      </c>
      <c r="I2428" t="s">
        <v>3183</v>
      </c>
      <c r="J2428" t="s">
        <v>18</v>
      </c>
      <c r="K2428" t="s">
        <v>147</v>
      </c>
      <c r="L2428" t="s">
        <v>3184</v>
      </c>
      <c r="M2428" t="s">
        <v>18</v>
      </c>
    </row>
    <row r="2429" spans="1:13">
      <c r="A2429" t="s">
        <v>851</v>
      </c>
      <c r="B2429" t="s">
        <v>687</v>
      </c>
      <c r="C2429" t="s">
        <v>687</v>
      </c>
      <c r="D2429" t="s">
        <v>12</v>
      </c>
      <c r="E2429" t="s">
        <v>461</v>
      </c>
      <c r="F2429" t="s">
        <v>668</v>
      </c>
      <c r="G2429">
        <v>2045</v>
      </c>
      <c r="H2429" s="12">
        <v>62.12</v>
      </c>
      <c r="I2429" t="s">
        <v>3183</v>
      </c>
      <c r="J2429" t="s">
        <v>18</v>
      </c>
      <c r="K2429" t="s">
        <v>147</v>
      </c>
      <c r="L2429" t="s">
        <v>3184</v>
      </c>
      <c r="M2429" t="s">
        <v>18</v>
      </c>
    </row>
    <row r="2430" spans="1:13">
      <c r="A2430" t="s">
        <v>851</v>
      </c>
      <c r="B2430" t="s">
        <v>687</v>
      </c>
      <c r="C2430" t="s">
        <v>687</v>
      </c>
      <c r="D2430" t="s">
        <v>12</v>
      </c>
      <c r="E2430" t="s">
        <v>461</v>
      </c>
      <c r="F2430" t="s">
        <v>668</v>
      </c>
      <c r="G2430">
        <v>2050</v>
      </c>
      <c r="H2430" s="12">
        <v>82.82</v>
      </c>
      <c r="I2430" t="s">
        <v>3183</v>
      </c>
      <c r="J2430" t="s">
        <v>18</v>
      </c>
      <c r="K2430" t="s">
        <v>147</v>
      </c>
      <c r="L2430" t="s">
        <v>3184</v>
      </c>
      <c r="M2430" t="s">
        <v>18</v>
      </c>
    </row>
    <row r="2431" spans="1:13">
      <c r="A2431" t="s">
        <v>851</v>
      </c>
      <c r="B2431" t="s">
        <v>686</v>
      </c>
      <c r="C2431" t="s">
        <v>686</v>
      </c>
      <c r="D2431" t="s">
        <v>12</v>
      </c>
      <c r="E2431" t="s">
        <v>461</v>
      </c>
      <c r="F2431" t="s">
        <v>668</v>
      </c>
      <c r="G2431">
        <v>2010</v>
      </c>
      <c r="H2431" s="12">
        <v>166.48</v>
      </c>
      <c r="I2431" t="s">
        <v>3183</v>
      </c>
      <c r="J2431" t="s">
        <v>14</v>
      </c>
      <c r="K2431" t="s">
        <v>147</v>
      </c>
      <c r="L2431" t="s">
        <v>3184</v>
      </c>
      <c r="M2431" t="s">
        <v>14</v>
      </c>
    </row>
    <row r="2432" spans="1:13">
      <c r="A2432" t="s">
        <v>851</v>
      </c>
      <c r="B2432" t="s">
        <v>686</v>
      </c>
      <c r="C2432" t="s">
        <v>686</v>
      </c>
      <c r="D2432" t="s">
        <v>12</v>
      </c>
      <c r="E2432" t="s">
        <v>461</v>
      </c>
      <c r="F2432" t="s">
        <v>668</v>
      </c>
      <c r="G2432">
        <v>2015</v>
      </c>
      <c r="H2432" s="12">
        <v>167.99</v>
      </c>
      <c r="I2432" t="s">
        <v>3183</v>
      </c>
      <c r="J2432" t="s">
        <v>14</v>
      </c>
      <c r="K2432" t="s">
        <v>147</v>
      </c>
      <c r="L2432" t="s">
        <v>3184</v>
      </c>
      <c r="M2432" t="s">
        <v>14</v>
      </c>
    </row>
    <row r="2433" spans="1:13">
      <c r="A2433" t="s">
        <v>851</v>
      </c>
      <c r="B2433" t="s">
        <v>686</v>
      </c>
      <c r="C2433" t="s">
        <v>686</v>
      </c>
      <c r="D2433" t="s">
        <v>12</v>
      </c>
      <c r="E2433" t="s">
        <v>461</v>
      </c>
      <c r="F2433" t="s">
        <v>668</v>
      </c>
      <c r="G2433">
        <v>2020</v>
      </c>
      <c r="H2433" s="12">
        <v>212.59</v>
      </c>
      <c r="I2433" t="s">
        <v>3183</v>
      </c>
      <c r="J2433" t="s">
        <v>14</v>
      </c>
      <c r="K2433" t="s">
        <v>147</v>
      </c>
      <c r="L2433" t="s">
        <v>3184</v>
      </c>
      <c r="M2433" t="s">
        <v>14</v>
      </c>
    </row>
    <row r="2434" spans="1:13">
      <c r="A2434" t="s">
        <v>851</v>
      </c>
      <c r="B2434" t="s">
        <v>686</v>
      </c>
      <c r="C2434" t="s">
        <v>686</v>
      </c>
      <c r="D2434" t="s">
        <v>12</v>
      </c>
      <c r="E2434" t="s">
        <v>461</v>
      </c>
      <c r="F2434" t="s">
        <v>668</v>
      </c>
      <c r="G2434">
        <v>2030</v>
      </c>
      <c r="H2434" s="12">
        <v>220.56</v>
      </c>
      <c r="I2434" t="s">
        <v>3183</v>
      </c>
      <c r="J2434" t="s">
        <v>14</v>
      </c>
      <c r="K2434" t="s">
        <v>147</v>
      </c>
      <c r="L2434" t="s">
        <v>3184</v>
      </c>
      <c r="M2434" t="s">
        <v>14</v>
      </c>
    </row>
    <row r="2435" spans="1:13">
      <c r="A2435" t="s">
        <v>851</v>
      </c>
      <c r="B2435" t="s">
        <v>686</v>
      </c>
      <c r="C2435" t="s">
        <v>686</v>
      </c>
      <c r="D2435" t="s">
        <v>12</v>
      </c>
      <c r="E2435" t="s">
        <v>461</v>
      </c>
      <c r="F2435" t="s">
        <v>668</v>
      </c>
      <c r="G2435">
        <v>2035</v>
      </c>
      <c r="H2435" s="12">
        <v>231.2</v>
      </c>
      <c r="I2435" t="s">
        <v>3183</v>
      </c>
      <c r="J2435" t="s">
        <v>14</v>
      </c>
      <c r="K2435" t="s">
        <v>147</v>
      </c>
      <c r="L2435" t="s">
        <v>3184</v>
      </c>
      <c r="M2435" t="s">
        <v>14</v>
      </c>
    </row>
    <row r="2436" spans="1:13">
      <c r="A2436" t="s">
        <v>851</v>
      </c>
      <c r="B2436" t="s">
        <v>686</v>
      </c>
      <c r="C2436" t="s">
        <v>686</v>
      </c>
      <c r="D2436" t="s">
        <v>12</v>
      </c>
      <c r="E2436" t="s">
        <v>461</v>
      </c>
      <c r="F2436" t="s">
        <v>668</v>
      </c>
      <c r="G2436">
        <v>2040</v>
      </c>
      <c r="H2436" s="12">
        <v>237.21</v>
      </c>
      <c r="I2436" t="s">
        <v>3183</v>
      </c>
      <c r="J2436" t="s">
        <v>14</v>
      </c>
      <c r="K2436" t="s">
        <v>147</v>
      </c>
      <c r="L2436" t="s">
        <v>3184</v>
      </c>
      <c r="M2436" t="s">
        <v>14</v>
      </c>
    </row>
    <row r="2437" spans="1:13">
      <c r="A2437" t="s">
        <v>851</v>
      </c>
      <c r="B2437" t="s">
        <v>686</v>
      </c>
      <c r="C2437" t="s">
        <v>686</v>
      </c>
      <c r="D2437" t="s">
        <v>12</v>
      </c>
      <c r="E2437" t="s">
        <v>461</v>
      </c>
      <c r="F2437" t="s">
        <v>668</v>
      </c>
      <c r="G2437">
        <v>2045</v>
      </c>
      <c r="H2437" s="12">
        <v>239.4</v>
      </c>
      <c r="I2437" t="s">
        <v>3183</v>
      </c>
      <c r="J2437" t="s">
        <v>14</v>
      </c>
      <c r="K2437" t="s">
        <v>147</v>
      </c>
      <c r="L2437" t="s">
        <v>3184</v>
      </c>
      <c r="M2437" t="s">
        <v>14</v>
      </c>
    </row>
    <row r="2438" spans="1:13">
      <c r="A2438" t="s">
        <v>851</v>
      </c>
      <c r="B2438" t="s">
        <v>686</v>
      </c>
      <c r="C2438" t="s">
        <v>686</v>
      </c>
      <c r="D2438" t="s">
        <v>12</v>
      </c>
      <c r="E2438" t="s">
        <v>461</v>
      </c>
      <c r="F2438" t="s">
        <v>668</v>
      </c>
      <c r="G2438">
        <v>2050</v>
      </c>
      <c r="H2438" s="12">
        <v>239.62</v>
      </c>
      <c r="I2438" t="s">
        <v>3183</v>
      </c>
      <c r="J2438" t="s">
        <v>14</v>
      </c>
      <c r="K2438" t="s">
        <v>147</v>
      </c>
      <c r="L2438" t="s">
        <v>3184</v>
      </c>
      <c r="M2438" t="s">
        <v>14</v>
      </c>
    </row>
    <row r="2439" spans="1:13">
      <c r="A2439" t="s">
        <v>851</v>
      </c>
      <c r="B2439" t="s">
        <v>687</v>
      </c>
      <c r="C2439" t="s">
        <v>687</v>
      </c>
      <c r="D2439" t="s">
        <v>12</v>
      </c>
      <c r="E2439" t="s">
        <v>461</v>
      </c>
      <c r="F2439" t="s">
        <v>668</v>
      </c>
      <c r="G2439">
        <v>2030</v>
      </c>
      <c r="H2439" s="12">
        <v>220.56</v>
      </c>
      <c r="I2439" t="s">
        <v>3183</v>
      </c>
      <c r="J2439" t="s">
        <v>14</v>
      </c>
      <c r="K2439" t="s">
        <v>147</v>
      </c>
      <c r="L2439" t="s">
        <v>3184</v>
      </c>
      <c r="M2439" t="s">
        <v>14</v>
      </c>
    </row>
    <row r="2440" spans="1:13">
      <c r="A2440" t="s">
        <v>851</v>
      </c>
      <c r="B2440" t="s">
        <v>687</v>
      </c>
      <c r="C2440" t="s">
        <v>687</v>
      </c>
      <c r="D2440" t="s">
        <v>12</v>
      </c>
      <c r="E2440" t="s">
        <v>461</v>
      </c>
      <c r="F2440" t="s">
        <v>668</v>
      </c>
      <c r="G2440">
        <v>2035</v>
      </c>
      <c r="H2440" s="12">
        <v>231.2</v>
      </c>
      <c r="I2440" t="s">
        <v>3183</v>
      </c>
      <c r="J2440" t="s">
        <v>14</v>
      </c>
      <c r="K2440" t="s">
        <v>147</v>
      </c>
      <c r="L2440" t="s">
        <v>3184</v>
      </c>
      <c r="M2440" t="s">
        <v>14</v>
      </c>
    </row>
    <row r="2441" spans="1:13">
      <c r="A2441" t="s">
        <v>851</v>
      </c>
      <c r="B2441" t="s">
        <v>687</v>
      </c>
      <c r="C2441" t="s">
        <v>687</v>
      </c>
      <c r="D2441" t="s">
        <v>12</v>
      </c>
      <c r="E2441" t="s">
        <v>461</v>
      </c>
      <c r="F2441" t="s">
        <v>668</v>
      </c>
      <c r="G2441">
        <v>2040</v>
      </c>
      <c r="H2441" s="12">
        <v>237.21</v>
      </c>
      <c r="I2441" t="s">
        <v>3183</v>
      </c>
      <c r="J2441" t="s">
        <v>14</v>
      </c>
      <c r="K2441" t="s">
        <v>147</v>
      </c>
      <c r="L2441" t="s">
        <v>3184</v>
      </c>
      <c r="M2441" t="s">
        <v>14</v>
      </c>
    </row>
    <row r="2442" spans="1:13">
      <c r="A2442" t="s">
        <v>851</v>
      </c>
      <c r="B2442" t="s">
        <v>687</v>
      </c>
      <c r="C2442" t="s">
        <v>687</v>
      </c>
      <c r="D2442" t="s">
        <v>12</v>
      </c>
      <c r="E2442" t="s">
        <v>461</v>
      </c>
      <c r="F2442" t="s">
        <v>668</v>
      </c>
      <c r="G2442">
        <v>2045</v>
      </c>
      <c r="H2442" s="12">
        <v>239.4</v>
      </c>
      <c r="I2442" t="s">
        <v>3183</v>
      </c>
      <c r="J2442" t="s">
        <v>14</v>
      </c>
      <c r="K2442" t="s">
        <v>147</v>
      </c>
      <c r="L2442" t="s">
        <v>3184</v>
      </c>
      <c r="M2442" t="s">
        <v>14</v>
      </c>
    </row>
    <row r="2443" spans="1:13">
      <c r="A2443" t="s">
        <v>851</v>
      </c>
      <c r="B2443" t="s">
        <v>687</v>
      </c>
      <c r="C2443" t="s">
        <v>687</v>
      </c>
      <c r="D2443" t="s">
        <v>12</v>
      </c>
      <c r="E2443" t="s">
        <v>461</v>
      </c>
      <c r="F2443" t="s">
        <v>668</v>
      </c>
      <c r="G2443">
        <v>2050</v>
      </c>
      <c r="H2443" s="12">
        <v>239.62</v>
      </c>
      <c r="I2443" t="s">
        <v>3183</v>
      </c>
      <c r="J2443" t="s">
        <v>14</v>
      </c>
      <c r="K2443" t="s">
        <v>147</v>
      </c>
      <c r="L2443" t="s">
        <v>3184</v>
      </c>
      <c r="M2443" t="s">
        <v>14</v>
      </c>
    </row>
    <row r="2444" spans="1:13">
      <c r="A2444" t="s">
        <v>851</v>
      </c>
      <c r="B2444" t="s">
        <v>686</v>
      </c>
      <c r="C2444" t="s">
        <v>686</v>
      </c>
      <c r="D2444" t="s">
        <v>12</v>
      </c>
      <c r="E2444" t="s">
        <v>461</v>
      </c>
      <c r="F2444" t="s">
        <v>668</v>
      </c>
      <c r="G2444">
        <v>2010</v>
      </c>
      <c r="H2444" s="12">
        <v>2.71</v>
      </c>
      <c r="I2444" t="s">
        <v>3183</v>
      </c>
      <c r="J2444" t="s">
        <v>41</v>
      </c>
      <c r="K2444" t="s">
        <v>147</v>
      </c>
      <c r="L2444" t="s">
        <v>3184</v>
      </c>
      <c r="M2444" t="s">
        <v>669</v>
      </c>
    </row>
    <row r="2445" spans="1:13">
      <c r="A2445" t="s">
        <v>851</v>
      </c>
      <c r="B2445" t="s">
        <v>686</v>
      </c>
      <c r="C2445" t="s">
        <v>686</v>
      </c>
      <c r="D2445" t="s">
        <v>12</v>
      </c>
      <c r="E2445" t="s">
        <v>461</v>
      </c>
      <c r="F2445" t="s">
        <v>668</v>
      </c>
      <c r="G2445">
        <v>2015</v>
      </c>
      <c r="H2445" s="12">
        <v>2.77</v>
      </c>
      <c r="I2445" t="s">
        <v>3183</v>
      </c>
      <c r="J2445" t="s">
        <v>41</v>
      </c>
      <c r="K2445" t="s">
        <v>147</v>
      </c>
      <c r="L2445" t="s">
        <v>3184</v>
      </c>
      <c r="M2445" t="s">
        <v>669</v>
      </c>
    </row>
    <row r="2446" spans="1:13">
      <c r="A2446" t="s">
        <v>851</v>
      </c>
      <c r="B2446" t="s">
        <v>686</v>
      </c>
      <c r="C2446" t="s">
        <v>686</v>
      </c>
      <c r="D2446" t="s">
        <v>12</v>
      </c>
      <c r="E2446" t="s">
        <v>461</v>
      </c>
      <c r="F2446" t="s">
        <v>668</v>
      </c>
      <c r="G2446">
        <v>2020</v>
      </c>
      <c r="H2446" s="12">
        <v>3.51</v>
      </c>
      <c r="I2446" t="s">
        <v>3183</v>
      </c>
      <c r="J2446" t="s">
        <v>41</v>
      </c>
      <c r="K2446" t="s">
        <v>147</v>
      </c>
      <c r="L2446" t="s">
        <v>3184</v>
      </c>
      <c r="M2446" t="s">
        <v>669</v>
      </c>
    </row>
    <row r="2447" spans="1:13">
      <c r="A2447" t="s">
        <v>851</v>
      </c>
      <c r="B2447" t="s">
        <v>686</v>
      </c>
      <c r="C2447" t="s">
        <v>686</v>
      </c>
      <c r="D2447" t="s">
        <v>12</v>
      </c>
      <c r="E2447" t="s">
        <v>461</v>
      </c>
      <c r="F2447" t="s">
        <v>668</v>
      </c>
      <c r="G2447">
        <v>2030</v>
      </c>
      <c r="H2447" s="12">
        <v>7.94</v>
      </c>
      <c r="I2447" t="s">
        <v>3183</v>
      </c>
      <c r="J2447" t="s">
        <v>41</v>
      </c>
      <c r="K2447" t="s">
        <v>147</v>
      </c>
      <c r="L2447" t="s">
        <v>3184</v>
      </c>
      <c r="M2447" t="s">
        <v>669</v>
      </c>
    </row>
    <row r="2448" spans="1:13">
      <c r="A2448" t="s">
        <v>851</v>
      </c>
      <c r="B2448" t="s">
        <v>686</v>
      </c>
      <c r="C2448" t="s">
        <v>686</v>
      </c>
      <c r="D2448" t="s">
        <v>12</v>
      </c>
      <c r="E2448" t="s">
        <v>461</v>
      </c>
      <c r="F2448" t="s">
        <v>668</v>
      </c>
      <c r="G2448">
        <v>2035</v>
      </c>
      <c r="H2448" s="12">
        <v>16.850000000000001</v>
      </c>
      <c r="I2448" t="s">
        <v>3183</v>
      </c>
      <c r="J2448" t="s">
        <v>41</v>
      </c>
      <c r="K2448" t="s">
        <v>147</v>
      </c>
      <c r="L2448" t="s">
        <v>3184</v>
      </c>
      <c r="M2448" t="s">
        <v>669</v>
      </c>
    </row>
    <row r="2449" spans="1:13">
      <c r="A2449" t="s">
        <v>851</v>
      </c>
      <c r="B2449" t="s">
        <v>686</v>
      </c>
      <c r="C2449" t="s">
        <v>686</v>
      </c>
      <c r="D2449" t="s">
        <v>12</v>
      </c>
      <c r="E2449" t="s">
        <v>646</v>
      </c>
      <c r="F2449" t="s">
        <v>40</v>
      </c>
      <c r="G2449">
        <v>2010</v>
      </c>
      <c r="H2449" s="12">
        <v>307</v>
      </c>
      <c r="I2449" t="s">
        <v>3183</v>
      </c>
      <c r="J2449" t="s">
        <v>344</v>
      </c>
      <c r="K2449" t="s">
        <v>11</v>
      </c>
      <c r="L2449" t="s">
        <v>3184</v>
      </c>
      <c r="M2449" t="s">
        <v>10</v>
      </c>
    </row>
    <row r="2450" spans="1:13">
      <c r="A2450" t="s">
        <v>851</v>
      </c>
      <c r="B2450" t="s">
        <v>686</v>
      </c>
      <c r="C2450" t="s">
        <v>686</v>
      </c>
      <c r="D2450" t="s">
        <v>12</v>
      </c>
      <c r="E2450" t="s">
        <v>646</v>
      </c>
      <c r="F2450" t="s">
        <v>40</v>
      </c>
      <c r="G2450">
        <v>2015</v>
      </c>
      <c r="H2450" s="12">
        <v>296</v>
      </c>
      <c r="I2450" t="s">
        <v>3183</v>
      </c>
      <c r="J2450" t="s">
        <v>344</v>
      </c>
      <c r="K2450" t="s">
        <v>11</v>
      </c>
      <c r="L2450" t="s">
        <v>3184</v>
      </c>
      <c r="M2450" t="s">
        <v>10</v>
      </c>
    </row>
    <row r="2451" spans="1:13">
      <c r="A2451" t="s">
        <v>851</v>
      </c>
      <c r="B2451" t="s">
        <v>686</v>
      </c>
      <c r="C2451" t="s">
        <v>686</v>
      </c>
      <c r="D2451" t="s">
        <v>12</v>
      </c>
      <c r="E2451" t="s">
        <v>646</v>
      </c>
      <c r="F2451" t="s">
        <v>40</v>
      </c>
      <c r="G2451">
        <v>2020</v>
      </c>
      <c r="H2451" s="12">
        <v>279</v>
      </c>
      <c r="I2451" t="s">
        <v>3183</v>
      </c>
      <c r="J2451" t="s">
        <v>344</v>
      </c>
      <c r="K2451" t="s">
        <v>11</v>
      </c>
      <c r="L2451" t="s">
        <v>3184</v>
      </c>
      <c r="M2451" t="s">
        <v>10</v>
      </c>
    </row>
    <row r="2452" spans="1:13">
      <c r="A2452" t="s">
        <v>851</v>
      </c>
      <c r="B2452" t="s">
        <v>686</v>
      </c>
      <c r="C2452" t="s">
        <v>686</v>
      </c>
      <c r="D2452" t="s">
        <v>12</v>
      </c>
      <c r="E2452" t="s">
        <v>646</v>
      </c>
      <c r="F2452" t="s">
        <v>40</v>
      </c>
      <c r="G2452">
        <v>2030</v>
      </c>
      <c r="H2452" s="12">
        <v>310</v>
      </c>
      <c r="I2452" t="s">
        <v>3183</v>
      </c>
      <c r="J2452" t="s">
        <v>344</v>
      </c>
      <c r="K2452" t="s">
        <v>11</v>
      </c>
      <c r="L2452" t="s">
        <v>3184</v>
      </c>
      <c r="M2452" t="s">
        <v>10</v>
      </c>
    </row>
    <row r="2453" spans="1:13">
      <c r="A2453" t="s">
        <v>851</v>
      </c>
      <c r="B2453" t="s">
        <v>686</v>
      </c>
      <c r="C2453" t="s">
        <v>686</v>
      </c>
      <c r="D2453" t="s">
        <v>12</v>
      </c>
      <c r="E2453" t="s">
        <v>646</v>
      </c>
      <c r="F2453" t="s">
        <v>40</v>
      </c>
      <c r="G2453">
        <v>2035</v>
      </c>
      <c r="H2453" s="12">
        <v>333</v>
      </c>
      <c r="I2453" t="s">
        <v>3183</v>
      </c>
      <c r="J2453" t="s">
        <v>344</v>
      </c>
      <c r="K2453" t="s">
        <v>11</v>
      </c>
      <c r="L2453" t="s">
        <v>3184</v>
      </c>
      <c r="M2453" t="s">
        <v>10</v>
      </c>
    </row>
    <row r="2454" spans="1:13">
      <c r="A2454" t="s">
        <v>851</v>
      </c>
      <c r="B2454" t="s">
        <v>686</v>
      </c>
      <c r="C2454" t="s">
        <v>686</v>
      </c>
      <c r="D2454" t="s">
        <v>12</v>
      </c>
      <c r="E2454" t="s">
        <v>646</v>
      </c>
      <c r="F2454" t="s">
        <v>40</v>
      </c>
      <c r="G2454">
        <v>2040</v>
      </c>
      <c r="H2454" s="12">
        <v>354</v>
      </c>
      <c r="I2454" t="s">
        <v>3183</v>
      </c>
      <c r="J2454" t="s">
        <v>344</v>
      </c>
      <c r="K2454" t="s">
        <v>11</v>
      </c>
      <c r="L2454" t="s">
        <v>3184</v>
      </c>
      <c r="M2454" t="s">
        <v>10</v>
      </c>
    </row>
    <row r="2455" spans="1:13">
      <c r="A2455" t="s">
        <v>851</v>
      </c>
      <c r="B2455" t="s">
        <v>686</v>
      </c>
      <c r="C2455" t="s">
        <v>686</v>
      </c>
      <c r="D2455" t="s">
        <v>12</v>
      </c>
      <c r="E2455" t="s">
        <v>646</v>
      </c>
      <c r="F2455" t="s">
        <v>40</v>
      </c>
      <c r="G2455">
        <v>2045</v>
      </c>
      <c r="H2455" s="12">
        <v>371</v>
      </c>
      <c r="I2455" t="s">
        <v>3183</v>
      </c>
      <c r="J2455" t="s">
        <v>344</v>
      </c>
      <c r="K2455" t="s">
        <v>11</v>
      </c>
      <c r="L2455" t="s">
        <v>3184</v>
      </c>
      <c r="M2455" t="s">
        <v>10</v>
      </c>
    </row>
    <row r="2456" spans="1:13">
      <c r="A2456" t="s">
        <v>851</v>
      </c>
      <c r="B2456" t="s">
        <v>686</v>
      </c>
      <c r="C2456" t="s">
        <v>686</v>
      </c>
      <c r="D2456" t="s">
        <v>12</v>
      </c>
      <c r="E2456" t="s">
        <v>646</v>
      </c>
      <c r="F2456" t="s">
        <v>40</v>
      </c>
      <c r="G2456">
        <v>2050</v>
      </c>
      <c r="H2456" s="12">
        <v>386</v>
      </c>
      <c r="I2456" t="s">
        <v>3183</v>
      </c>
      <c r="J2456" t="s">
        <v>344</v>
      </c>
      <c r="K2456" t="s">
        <v>11</v>
      </c>
      <c r="L2456" t="s">
        <v>3184</v>
      </c>
      <c r="M2456" t="s">
        <v>10</v>
      </c>
    </row>
    <row r="2457" spans="1:13">
      <c r="A2457" t="s">
        <v>851</v>
      </c>
      <c r="B2457" t="s">
        <v>687</v>
      </c>
      <c r="C2457" t="s">
        <v>687</v>
      </c>
      <c r="D2457" t="s">
        <v>12</v>
      </c>
      <c r="E2457" t="s">
        <v>646</v>
      </c>
      <c r="F2457" t="s">
        <v>40</v>
      </c>
      <c r="G2457">
        <v>2030</v>
      </c>
      <c r="H2457" s="12">
        <v>315</v>
      </c>
      <c r="I2457" t="s">
        <v>3183</v>
      </c>
      <c r="J2457" t="s">
        <v>344</v>
      </c>
      <c r="K2457" t="s">
        <v>11</v>
      </c>
      <c r="L2457" t="s">
        <v>3184</v>
      </c>
      <c r="M2457" t="s">
        <v>10</v>
      </c>
    </row>
    <row r="2458" spans="1:13">
      <c r="A2458" t="s">
        <v>851</v>
      </c>
      <c r="B2458" t="s">
        <v>687</v>
      </c>
      <c r="C2458" t="s">
        <v>687</v>
      </c>
      <c r="D2458" t="s">
        <v>12</v>
      </c>
      <c r="E2458" t="s">
        <v>646</v>
      </c>
      <c r="F2458" t="s">
        <v>40</v>
      </c>
      <c r="G2458">
        <v>2035</v>
      </c>
      <c r="H2458" s="12">
        <v>341</v>
      </c>
      <c r="I2458" t="s">
        <v>3183</v>
      </c>
      <c r="J2458" t="s">
        <v>344</v>
      </c>
      <c r="K2458" t="s">
        <v>11</v>
      </c>
      <c r="L2458" t="s">
        <v>3184</v>
      </c>
      <c r="M2458" t="s">
        <v>10</v>
      </c>
    </row>
    <row r="2459" spans="1:13">
      <c r="A2459" t="s">
        <v>851</v>
      </c>
      <c r="B2459" t="s">
        <v>687</v>
      </c>
      <c r="C2459" t="s">
        <v>687</v>
      </c>
      <c r="D2459" t="s">
        <v>12</v>
      </c>
      <c r="E2459" t="s">
        <v>646</v>
      </c>
      <c r="F2459" t="s">
        <v>40</v>
      </c>
      <c r="G2459">
        <v>2040</v>
      </c>
      <c r="H2459" s="12">
        <v>366</v>
      </c>
      <c r="I2459" t="s">
        <v>3183</v>
      </c>
      <c r="J2459" t="s">
        <v>344</v>
      </c>
      <c r="K2459" t="s">
        <v>11</v>
      </c>
      <c r="L2459" t="s">
        <v>3184</v>
      </c>
      <c r="M2459" t="s">
        <v>10</v>
      </c>
    </row>
    <row r="2460" spans="1:13">
      <c r="A2460" t="s">
        <v>851</v>
      </c>
      <c r="B2460" t="s">
        <v>687</v>
      </c>
      <c r="C2460" t="s">
        <v>687</v>
      </c>
      <c r="D2460" t="s">
        <v>12</v>
      </c>
      <c r="E2460" t="s">
        <v>646</v>
      </c>
      <c r="F2460" t="s">
        <v>40</v>
      </c>
      <c r="G2460">
        <v>2045</v>
      </c>
      <c r="H2460" s="12">
        <v>391</v>
      </c>
      <c r="I2460" t="s">
        <v>3183</v>
      </c>
      <c r="J2460" t="s">
        <v>344</v>
      </c>
      <c r="K2460" t="s">
        <v>11</v>
      </c>
      <c r="L2460" t="s">
        <v>3184</v>
      </c>
      <c r="M2460" t="s">
        <v>10</v>
      </c>
    </row>
    <row r="2461" spans="1:13">
      <c r="A2461" t="s">
        <v>851</v>
      </c>
      <c r="B2461" t="s">
        <v>687</v>
      </c>
      <c r="C2461" t="s">
        <v>687</v>
      </c>
      <c r="D2461" t="s">
        <v>12</v>
      </c>
      <c r="E2461" t="s">
        <v>646</v>
      </c>
      <c r="F2461" t="s">
        <v>40</v>
      </c>
      <c r="G2461">
        <v>2050</v>
      </c>
      <c r="H2461" s="12">
        <v>412</v>
      </c>
      <c r="I2461" t="s">
        <v>3183</v>
      </c>
      <c r="J2461" t="s">
        <v>344</v>
      </c>
      <c r="K2461" t="s">
        <v>11</v>
      </c>
      <c r="L2461" t="s">
        <v>3184</v>
      </c>
      <c r="M2461" t="s">
        <v>10</v>
      </c>
    </row>
    <row r="2462" spans="1:13">
      <c r="A2462" t="s">
        <v>851</v>
      </c>
      <c r="B2462" t="s">
        <v>686</v>
      </c>
      <c r="C2462" t="s">
        <v>686</v>
      </c>
      <c r="D2462" t="s">
        <v>12</v>
      </c>
      <c r="E2462" t="s">
        <v>646</v>
      </c>
      <c r="F2462" t="s">
        <v>40</v>
      </c>
      <c r="G2462">
        <v>2010</v>
      </c>
      <c r="H2462" s="12">
        <v>2357</v>
      </c>
      <c r="I2462" t="s">
        <v>3183</v>
      </c>
      <c r="J2462" t="s">
        <v>394</v>
      </c>
      <c r="K2462" t="s">
        <v>11</v>
      </c>
      <c r="L2462" t="s">
        <v>3184</v>
      </c>
      <c r="M2462" t="s">
        <v>16</v>
      </c>
    </row>
    <row r="2463" spans="1:13">
      <c r="A2463" t="s">
        <v>851</v>
      </c>
      <c r="B2463" t="s">
        <v>686</v>
      </c>
      <c r="C2463" t="s">
        <v>686</v>
      </c>
      <c r="D2463" t="s">
        <v>12</v>
      </c>
      <c r="E2463" t="s">
        <v>646</v>
      </c>
      <c r="F2463" t="s">
        <v>40</v>
      </c>
      <c r="G2463">
        <v>2015</v>
      </c>
      <c r="H2463" s="12">
        <v>2495</v>
      </c>
      <c r="I2463" t="s">
        <v>3183</v>
      </c>
      <c r="J2463" t="s">
        <v>394</v>
      </c>
      <c r="K2463" t="s">
        <v>11</v>
      </c>
      <c r="L2463" t="s">
        <v>3184</v>
      </c>
      <c r="M2463" t="s">
        <v>16</v>
      </c>
    </row>
    <row r="2464" spans="1:13">
      <c r="A2464" t="s">
        <v>851</v>
      </c>
      <c r="B2464" t="s">
        <v>686</v>
      </c>
      <c r="C2464" t="s">
        <v>686</v>
      </c>
      <c r="D2464" t="s">
        <v>12</v>
      </c>
      <c r="E2464" t="s">
        <v>646</v>
      </c>
      <c r="F2464" t="s">
        <v>40</v>
      </c>
      <c r="G2464">
        <v>2020</v>
      </c>
      <c r="H2464" s="12">
        <v>2512</v>
      </c>
      <c r="I2464" t="s">
        <v>3183</v>
      </c>
      <c r="J2464" t="s">
        <v>394</v>
      </c>
      <c r="K2464" t="s">
        <v>11</v>
      </c>
      <c r="L2464" t="s">
        <v>3184</v>
      </c>
      <c r="M2464" t="s">
        <v>16</v>
      </c>
    </row>
    <row r="2465" spans="1:13">
      <c r="A2465" t="s">
        <v>851</v>
      </c>
      <c r="B2465" t="s">
        <v>687</v>
      </c>
      <c r="C2465" t="s">
        <v>687</v>
      </c>
      <c r="D2465" t="s">
        <v>12</v>
      </c>
      <c r="E2465" t="s">
        <v>646</v>
      </c>
      <c r="F2465" t="s">
        <v>40</v>
      </c>
      <c r="G2465">
        <v>2040</v>
      </c>
      <c r="H2465" s="12">
        <v>661</v>
      </c>
      <c r="I2465" t="s">
        <v>3183</v>
      </c>
      <c r="J2465" t="s">
        <v>6</v>
      </c>
      <c r="K2465" t="s">
        <v>11</v>
      </c>
      <c r="L2465" t="s">
        <v>3184</v>
      </c>
      <c r="M2465" t="s">
        <v>659</v>
      </c>
    </row>
    <row r="2466" spans="1:13">
      <c r="A2466" t="s">
        <v>851</v>
      </c>
      <c r="B2466" t="s">
        <v>687</v>
      </c>
      <c r="C2466" t="s">
        <v>687</v>
      </c>
      <c r="D2466" t="s">
        <v>12</v>
      </c>
      <c r="E2466" t="s">
        <v>646</v>
      </c>
      <c r="F2466" t="s">
        <v>40</v>
      </c>
      <c r="G2466">
        <v>2045</v>
      </c>
      <c r="H2466" s="12">
        <v>578</v>
      </c>
      <c r="I2466" t="s">
        <v>3183</v>
      </c>
      <c r="J2466" t="s">
        <v>6</v>
      </c>
      <c r="K2466" t="s">
        <v>11</v>
      </c>
      <c r="L2466" t="s">
        <v>3184</v>
      </c>
      <c r="M2466" t="s">
        <v>659</v>
      </c>
    </row>
    <row r="2467" spans="1:13">
      <c r="A2467" t="s">
        <v>851</v>
      </c>
      <c r="B2467" t="s">
        <v>687</v>
      </c>
      <c r="C2467" t="s">
        <v>687</v>
      </c>
      <c r="D2467" t="s">
        <v>12</v>
      </c>
      <c r="E2467" t="s">
        <v>646</v>
      </c>
      <c r="F2467" t="s">
        <v>40</v>
      </c>
      <c r="G2467">
        <v>2050</v>
      </c>
      <c r="H2467" s="12">
        <v>498</v>
      </c>
      <c r="I2467" t="s">
        <v>3183</v>
      </c>
      <c r="J2467" t="s">
        <v>6</v>
      </c>
      <c r="K2467" t="s">
        <v>11</v>
      </c>
      <c r="L2467" t="s">
        <v>3184</v>
      </c>
      <c r="M2467" t="s">
        <v>659</v>
      </c>
    </row>
    <row r="2468" spans="1:13">
      <c r="A2468" t="s">
        <v>851</v>
      </c>
      <c r="B2468" t="s">
        <v>686</v>
      </c>
      <c r="C2468" t="s">
        <v>686</v>
      </c>
      <c r="D2468" t="s">
        <v>12</v>
      </c>
      <c r="E2468" t="s">
        <v>646</v>
      </c>
      <c r="F2468" t="s">
        <v>40</v>
      </c>
      <c r="G2468">
        <v>2010</v>
      </c>
      <c r="H2468" s="12">
        <v>1075</v>
      </c>
      <c r="I2468" t="s">
        <v>3183</v>
      </c>
      <c r="J2468" t="s">
        <v>344</v>
      </c>
      <c r="K2468" t="s">
        <v>658</v>
      </c>
      <c r="L2468" t="s">
        <v>3184</v>
      </c>
      <c r="M2468" t="s">
        <v>10</v>
      </c>
    </row>
    <row r="2469" spans="1:13">
      <c r="A2469" t="s">
        <v>851</v>
      </c>
      <c r="B2469" t="s">
        <v>686</v>
      </c>
      <c r="C2469" t="s">
        <v>686</v>
      </c>
      <c r="D2469" t="s">
        <v>12</v>
      </c>
      <c r="E2469" t="s">
        <v>646</v>
      </c>
      <c r="F2469" t="s">
        <v>40</v>
      </c>
      <c r="G2469">
        <v>2015</v>
      </c>
      <c r="H2469" s="12">
        <v>1097</v>
      </c>
      <c r="I2469" t="s">
        <v>3183</v>
      </c>
      <c r="J2469" t="s">
        <v>344</v>
      </c>
      <c r="K2469" t="s">
        <v>658</v>
      </c>
      <c r="L2469" t="s">
        <v>3184</v>
      </c>
      <c r="M2469" t="s">
        <v>10</v>
      </c>
    </row>
    <row r="2470" spans="1:13">
      <c r="A2470" t="s">
        <v>851</v>
      </c>
      <c r="B2470" t="s">
        <v>686</v>
      </c>
      <c r="C2470" t="s">
        <v>686</v>
      </c>
      <c r="D2470" t="s">
        <v>12</v>
      </c>
      <c r="E2470" t="s">
        <v>646</v>
      </c>
      <c r="F2470" t="s">
        <v>40</v>
      </c>
      <c r="G2470">
        <v>2020</v>
      </c>
      <c r="H2470" s="12">
        <v>1150</v>
      </c>
      <c r="I2470" t="s">
        <v>3183</v>
      </c>
      <c r="J2470" t="s">
        <v>344</v>
      </c>
      <c r="K2470" t="s">
        <v>658</v>
      </c>
      <c r="L2470" t="s">
        <v>3184</v>
      </c>
      <c r="M2470" t="s">
        <v>10</v>
      </c>
    </row>
    <row r="2471" spans="1:13">
      <c r="A2471" t="s">
        <v>851</v>
      </c>
      <c r="B2471" t="s">
        <v>686</v>
      </c>
      <c r="C2471" t="s">
        <v>686</v>
      </c>
      <c r="D2471" t="s">
        <v>12</v>
      </c>
      <c r="E2471" t="s">
        <v>646</v>
      </c>
      <c r="F2471" t="s">
        <v>40</v>
      </c>
      <c r="G2471">
        <v>2030</v>
      </c>
      <c r="H2471" s="12">
        <v>1291</v>
      </c>
      <c r="I2471" t="s">
        <v>3183</v>
      </c>
      <c r="J2471" t="s">
        <v>344</v>
      </c>
      <c r="K2471" t="s">
        <v>658</v>
      </c>
      <c r="L2471" t="s">
        <v>3184</v>
      </c>
      <c r="M2471" t="s">
        <v>10</v>
      </c>
    </row>
    <row r="2472" spans="1:13">
      <c r="A2472" t="s">
        <v>851</v>
      </c>
      <c r="B2472" t="s">
        <v>686</v>
      </c>
      <c r="C2472" t="s">
        <v>686</v>
      </c>
      <c r="D2472" t="s">
        <v>12</v>
      </c>
      <c r="E2472" t="s">
        <v>646</v>
      </c>
      <c r="F2472" t="s">
        <v>40</v>
      </c>
      <c r="G2472">
        <v>2035</v>
      </c>
      <c r="H2472" s="12">
        <v>1364</v>
      </c>
      <c r="I2472" t="s">
        <v>3183</v>
      </c>
      <c r="J2472" t="s">
        <v>344</v>
      </c>
      <c r="K2472" t="s">
        <v>658</v>
      </c>
      <c r="L2472" t="s">
        <v>3184</v>
      </c>
      <c r="M2472" t="s">
        <v>10</v>
      </c>
    </row>
    <row r="2473" spans="1:13">
      <c r="A2473" t="s">
        <v>851</v>
      </c>
      <c r="B2473" t="s">
        <v>686</v>
      </c>
      <c r="C2473" t="s">
        <v>686</v>
      </c>
      <c r="D2473" t="s">
        <v>12</v>
      </c>
      <c r="E2473" t="s">
        <v>646</v>
      </c>
      <c r="F2473" t="s">
        <v>40</v>
      </c>
      <c r="G2473">
        <v>2040</v>
      </c>
      <c r="H2473" s="12">
        <v>1436</v>
      </c>
      <c r="I2473" t="s">
        <v>3183</v>
      </c>
      <c r="J2473" t="s">
        <v>344</v>
      </c>
      <c r="K2473" t="s">
        <v>658</v>
      </c>
      <c r="L2473" t="s">
        <v>3184</v>
      </c>
      <c r="M2473" t="s">
        <v>10</v>
      </c>
    </row>
    <row r="2474" spans="1:13">
      <c r="A2474" t="s">
        <v>851</v>
      </c>
      <c r="B2474" t="s">
        <v>686</v>
      </c>
      <c r="C2474" t="s">
        <v>686</v>
      </c>
      <c r="D2474" t="s">
        <v>12</v>
      </c>
      <c r="E2474" t="s">
        <v>646</v>
      </c>
      <c r="F2474" t="s">
        <v>40</v>
      </c>
      <c r="G2474">
        <v>2045</v>
      </c>
      <c r="H2474" s="12">
        <v>1513</v>
      </c>
      <c r="I2474" t="s">
        <v>3183</v>
      </c>
      <c r="J2474" t="s">
        <v>344</v>
      </c>
      <c r="K2474" t="s">
        <v>658</v>
      </c>
      <c r="L2474" t="s">
        <v>3184</v>
      </c>
      <c r="M2474" t="s">
        <v>10</v>
      </c>
    </row>
    <row r="2475" spans="1:13">
      <c r="A2475" t="s">
        <v>851</v>
      </c>
      <c r="B2475" t="s">
        <v>686</v>
      </c>
      <c r="C2475" t="s">
        <v>686</v>
      </c>
      <c r="D2475" t="s">
        <v>12</v>
      </c>
      <c r="E2475" t="s">
        <v>646</v>
      </c>
      <c r="F2475" t="s">
        <v>40</v>
      </c>
      <c r="G2475">
        <v>2050</v>
      </c>
      <c r="H2475" s="12">
        <v>1585</v>
      </c>
      <c r="I2475" t="s">
        <v>3183</v>
      </c>
      <c r="J2475" t="s">
        <v>344</v>
      </c>
      <c r="K2475" t="s">
        <v>658</v>
      </c>
      <c r="L2475" t="s">
        <v>3184</v>
      </c>
      <c r="M2475" t="s">
        <v>10</v>
      </c>
    </row>
    <row r="2476" spans="1:13">
      <c r="A2476" t="s">
        <v>851</v>
      </c>
      <c r="B2476" t="s">
        <v>687</v>
      </c>
      <c r="C2476" t="s">
        <v>687</v>
      </c>
      <c r="D2476" t="s">
        <v>12</v>
      </c>
      <c r="E2476" t="s">
        <v>646</v>
      </c>
      <c r="F2476" t="s">
        <v>40</v>
      </c>
      <c r="G2476">
        <v>2030</v>
      </c>
      <c r="H2476" s="12">
        <v>1302</v>
      </c>
      <c r="I2476" t="s">
        <v>3183</v>
      </c>
      <c r="J2476" t="s">
        <v>344</v>
      </c>
      <c r="K2476" t="s">
        <v>658</v>
      </c>
      <c r="L2476" t="s">
        <v>3184</v>
      </c>
      <c r="M2476" t="s">
        <v>10</v>
      </c>
    </row>
    <row r="2477" spans="1:13">
      <c r="A2477" t="s">
        <v>851</v>
      </c>
      <c r="B2477" t="s">
        <v>687</v>
      </c>
      <c r="C2477" t="s">
        <v>687</v>
      </c>
      <c r="D2477" t="s">
        <v>12</v>
      </c>
      <c r="E2477" t="s">
        <v>646</v>
      </c>
      <c r="F2477" t="s">
        <v>40</v>
      </c>
      <c r="G2477">
        <v>2035</v>
      </c>
      <c r="H2477" s="12">
        <v>1375</v>
      </c>
      <c r="I2477" t="s">
        <v>3183</v>
      </c>
      <c r="J2477" t="s">
        <v>344</v>
      </c>
      <c r="K2477" t="s">
        <v>658</v>
      </c>
      <c r="L2477" t="s">
        <v>3184</v>
      </c>
      <c r="M2477" t="s">
        <v>10</v>
      </c>
    </row>
    <row r="2478" spans="1:13">
      <c r="A2478" t="s">
        <v>851</v>
      </c>
      <c r="B2478" t="s">
        <v>687</v>
      </c>
      <c r="C2478" t="s">
        <v>687</v>
      </c>
      <c r="D2478" t="s">
        <v>12</v>
      </c>
      <c r="E2478" t="s">
        <v>646</v>
      </c>
      <c r="F2478" t="s">
        <v>40</v>
      </c>
      <c r="G2478">
        <v>2040</v>
      </c>
      <c r="H2478" s="12">
        <v>1438</v>
      </c>
      <c r="I2478" t="s">
        <v>3183</v>
      </c>
      <c r="J2478" t="s">
        <v>344</v>
      </c>
      <c r="K2478" t="s">
        <v>658</v>
      </c>
      <c r="L2478" t="s">
        <v>3184</v>
      </c>
      <c r="M2478" t="s">
        <v>10</v>
      </c>
    </row>
    <row r="2479" spans="1:13">
      <c r="A2479" t="s">
        <v>851</v>
      </c>
      <c r="B2479" t="s">
        <v>687</v>
      </c>
      <c r="C2479" t="s">
        <v>687</v>
      </c>
      <c r="D2479" t="s">
        <v>12</v>
      </c>
      <c r="E2479" t="s">
        <v>646</v>
      </c>
      <c r="F2479" t="s">
        <v>40</v>
      </c>
      <c r="G2479">
        <v>2045</v>
      </c>
      <c r="H2479" s="12">
        <v>1501</v>
      </c>
      <c r="I2479" t="s">
        <v>3183</v>
      </c>
      <c r="J2479" t="s">
        <v>344</v>
      </c>
      <c r="K2479" t="s">
        <v>658</v>
      </c>
      <c r="L2479" t="s">
        <v>3184</v>
      </c>
      <c r="M2479" t="s">
        <v>10</v>
      </c>
    </row>
    <row r="2480" spans="1:13">
      <c r="A2480" t="s">
        <v>851</v>
      </c>
      <c r="B2480" t="s">
        <v>687</v>
      </c>
      <c r="C2480" t="s">
        <v>687</v>
      </c>
      <c r="D2480" t="s">
        <v>12</v>
      </c>
      <c r="E2480" t="s">
        <v>646</v>
      </c>
      <c r="F2480" t="s">
        <v>40</v>
      </c>
      <c r="G2480">
        <v>2050</v>
      </c>
      <c r="H2480" s="12">
        <v>1555</v>
      </c>
      <c r="I2480" t="s">
        <v>3183</v>
      </c>
      <c r="J2480" t="s">
        <v>344</v>
      </c>
      <c r="K2480" t="s">
        <v>658</v>
      </c>
      <c r="L2480" t="s">
        <v>3184</v>
      </c>
      <c r="M2480" t="s">
        <v>10</v>
      </c>
    </row>
    <row r="2481" spans="1:13">
      <c r="A2481" t="s">
        <v>851</v>
      </c>
      <c r="B2481" t="s">
        <v>686</v>
      </c>
      <c r="C2481" t="s">
        <v>686</v>
      </c>
      <c r="D2481" t="s">
        <v>12</v>
      </c>
      <c r="E2481" t="s">
        <v>646</v>
      </c>
      <c r="F2481" t="s">
        <v>40</v>
      </c>
      <c r="G2481">
        <v>2010</v>
      </c>
      <c r="H2481" s="12">
        <v>1820</v>
      </c>
      <c r="I2481" t="s">
        <v>3183</v>
      </c>
      <c r="J2481" t="s">
        <v>6</v>
      </c>
      <c r="K2481" t="s">
        <v>658</v>
      </c>
      <c r="L2481" t="s">
        <v>3184</v>
      </c>
      <c r="M2481" t="s">
        <v>659</v>
      </c>
    </row>
    <row r="2482" spans="1:13">
      <c r="A2482" t="s">
        <v>851</v>
      </c>
      <c r="B2482" t="s">
        <v>686</v>
      </c>
      <c r="C2482" t="s">
        <v>686</v>
      </c>
      <c r="D2482" t="s">
        <v>12</v>
      </c>
      <c r="E2482" t="s">
        <v>646</v>
      </c>
      <c r="F2482" t="s">
        <v>40</v>
      </c>
      <c r="G2482">
        <v>2015</v>
      </c>
      <c r="H2482" s="12">
        <v>1863</v>
      </c>
      <c r="I2482" t="s">
        <v>3183</v>
      </c>
      <c r="J2482" t="s">
        <v>6</v>
      </c>
      <c r="K2482" t="s">
        <v>658</v>
      </c>
      <c r="L2482" t="s">
        <v>3184</v>
      </c>
      <c r="M2482" t="s">
        <v>659</v>
      </c>
    </row>
    <row r="2483" spans="1:13">
      <c r="A2483" t="s">
        <v>851</v>
      </c>
      <c r="B2483" t="s">
        <v>686</v>
      </c>
      <c r="C2483" t="s">
        <v>686</v>
      </c>
      <c r="D2483" t="s">
        <v>12</v>
      </c>
      <c r="E2483" t="s">
        <v>646</v>
      </c>
      <c r="F2483" t="s">
        <v>40</v>
      </c>
      <c r="G2483">
        <v>2020</v>
      </c>
      <c r="H2483" s="12">
        <v>2805</v>
      </c>
      <c r="I2483" t="s">
        <v>3183</v>
      </c>
      <c r="J2483" t="s">
        <v>6</v>
      </c>
      <c r="K2483" t="s">
        <v>658</v>
      </c>
      <c r="L2483" t="s">
        <v>3184</v>
      </c>
      <c r="M2483" t="s">
        <v>659</v>
      </c>
    </row>
    <row r="2484" spans="1:13">
      <c r="A2484" t="s">
        <v>851</v>
      </c>
      <c r="B2484" t="s">
        <v>686</v>
      </c>
      <c r="C2484" t="s">
        <v>686</v>
      </c>
      <c r="D2484" t="s">
        <v>12</v>
      </c>
      <c r="E2484" t="s">
        <v>646</v>
      </c>
      <c r="F2484" t="s">
        <v>40</v>
      </c>
      <c r="G2484">
        <v>2030</v>
      </c>
      <c r="H2484" s="12">
        <v>2848</v>
      </c>
      <c r="I2484" t="s">
        <v>3183</v>
      </c>
      <c r="J2484" t="s">
        <v>6</v>
      </c>
      <c r="K2484" t="s">
        <v>658</v>
      </c>
      <c r="L2484" t="s">
        <v>3184</v>
      </c>
      <c r="M2484" t="s">
        <v>659</v>
      </c>
    </row>
    <row r="2485" spans="1:13">
      <c r="A2485" t="s">
        <v>851</v>
      </c>
      <c r="B2485" t="s">
        <v>686</v>
      </c>
      <c r="C2485" t="s">
        <v>686</v>
      </c>
      <c r="D2485" t="s">
        <v>12</v>
      </c>
      <c r="E2485" t="s">
        <v>646</v>
      </c>
      <c r="F2485" t="s">
        <v>40</v>
      </c>
      <c r="G2485">
        <v>2035</v>
      </c>
      <c r="H2485" s="12">
        <v>2663</v>
      </c>
      <c r="I2485" t="s">
        <v>3183</v>
      </c>
      <c r="J2485" t="s">
        <v>6</v>
      </c>
      <c r="K2485" t="s">
        <v>658</v>
      </c>
      <c r="L2485" t="s">
        <v>3184</v>
      </c>
      <c r="M2485" t="s">
        <v>659</v>
      </c>
    </row>
    <row r="2486" spans="1:13">
      <c r="A2486" t="s">
        <v>851</v>
      </c>
      <c r="B2486" t="s">
        <v>686</v>
      </c>
      <c r="C2486" t="s">
        <v>686</v>
      </c>
      <c r="D2486" t="s">
        <v>12</v>
      </c>
      <c r="E2486" t="s">
        <v>646</v>
      </c>
      <c r="F2486" t="s">
        <v>40</v>
      </c>
      <c r="G2486">
        <v>2040</v>
      </c>
      <c r="H2486" s="12">
        <v>2545</v>
      </c>
      <c r="I2486" t="s">
        <v>3183</v>
      </c>
      <c r="J2486" t="s">
        <v>6</v>
      </c>
      <c r="K2486" t="s">
        <v>658</v>
      </c>
      <c r="L2486" t="s">
        <v>3184</v>
      </c>
      <c r="M2486" t="s">
        <v>659</v>
      </c>
    </row>
    <row r="2487" spans="1:13">
      <c r="A2487" t="s">
        <v>851</v>
      </c>
      <c r="B2487" t="s">
        <v>686</v>
      </c>
      <c r="C2487" t="s">
        <v>686</v>
      </c>
      <c r="D2487" t="s">
        <v>12</v>
      </c>
      <c r="E2487" t="s">
        <v>646</v>
      </c>
      <c r="F2487" t="s">
        <v>40</v>
      </c>
      <c r="G2487">
        <v>2045</v>
      </c>
      <c r="H2487" s="12">
        <v>2494</v>
      </c>
      <c r="I2487" t="s">
        <v>3183</v>
      </c>
      <c r="J2487" t="s">
        <v>6</v>
      </c>
      <c r="K2487" t="s">
        <v>658</v>
      </c>
      <c r="L2487" t="s">
        <v>3184</v>
      </c>
      <c r="M2487" t="s">
        <v>659</v>
      </c>
    </row>
    <row r="2488" spans="1:13">
      <c r="A2488" t="s">
        <v>851</v>
      </c>
      <c r="B2488" t="s">
        <v>686</v>
      </c>
      <c r="C2488" t="s">
        <v>686</v>
      </c>
      <c r="D2488" t="s">
        <v>12</v>
      </c>
      <c r="E2488" t="s">
        <v>646</v>
      </c>
      <c r="F2488" t="s">
        <v>40</v>
      </c>
      <c r="G2488">
        <v>2010</v>
      </c>
      <c r="H2488" s="12">
        <v>1834</v>
      </c>
      <c r="I2488" t="s">
        <v>3183</v>
      </c>
      <c r="J2488" t="s">
        <v>6</v>
      </c>
      <c r="K2488" t="s">
        <v>9</v>
      </c>
      <c r="L2488" t="s">
        <v>3184</v>
      </c>
      <c r="M2488" t="s">
        <v>666</v>
      </c>
    </row>
    <row r="2489" spans="1:13">
      <c r="A2489" t="s">
        <v>851</v>
      </c>
      <c r="B2489" t="s">
        <v>686</v>
      </c>
      <c r="C2489" t="s">
        <v>686</v>
      </c>
      <c r="D2489" t="s">
        <v>12</v>
      </c>
      <c r="E2489" t="s">
        <v>646</v>
      </c>
      <c r="F2489" t="s">
        <v>40</v>
      </c>
      <c r="G2489">
        <v>2015</v>
      </c>
      <c r="H2489" s="12">
        <v>1971</v>
      </c>
      <c r="I2489" t="s">
        <v>3183</v>
      </c>
      <c r="J2489" t="s">
        <v>6</v>
      </c>
      <c r="K2489" t="s">
        <v>9</v>
      </c>
      <c r="L2489" t="s">
        <v>3184</v>
      </c>
      <c r="M2489" t="s">
        <v>666</v>
      </c>
    </row>
    <row r="2490" spans="1:13">
      <c r="A2490" t="s">
        <v>851</v>
      </c>
      <c r="B2490" t="s">
        <v>686</v>
      </c>
      <c r="C2490" t="s">
        <v>686</v>
      </c>
      <c r="D2490" t="s">
        <v>12</v>
      </c>
      <c r="E2490" t="s">
        <v>646</v>
      </c>
      <c r="F2490" t="s">
        <v>40</v>
      </c>
      <c r="G2490">
        <v>2020</v>
      </c>
      <c r="H2490" s="12">
        <v>2083</v>
      </c>
      <c r="I2490" t="s">
        <v>3183</v>
      </c>
      <c r="J2490" t="s">
        <v>6</v>
      </c>
      <c r="K2490" t="s">
        <v>9</v>
      </c>
      <c r="L2490" t="s">
        <v>3184</v>
      </c>
      <c r="M2490" t="s">
        <v>666</v>
      </c>
    </row>
    <row r="2491" spans="1:13">
      <c r="A2491" t="s">
        <v>851</v>
      </c>
      <c r="B2491" t="s">
        <v>686</v>
      </c>
      <c r="C2491" t="s">
        <v>686</v>
      </c>
      <c r="D2491" t="s">
        <v>12</v>
      </c>
      <c r="E2491" t="s">
        <v>646</v>
      </c>
      <c r="F2491" t="s">
        <v>40</v>
      </c>
      <c r="G2491">
        <v>2030</v>
      </c>
      <c r="H2491" s="12">
        <v>2098</v>
      </c>
      <c r="I2491" t="s">
        <v>3183</v>
      </c>
      <c r="J2491" t="s">
        <v>6</v>
      </c>
      <c r="K2491" t="s">
        <v>9</v>
      </c>
      <c r="L2491" t="s">
        <v>3184</v>
      </c>
      <c r="M2491" t="s">
        <v>666</v>
      </c>
    </row>
    <row r="2492" spans="1:13">
      <c r="A2492" t="s">
        <v>851</v>
      </c>
      <c r="B2492" t="s">
        <v>686</v>
      </c>
      <c r="C2492" t="s">
        <v>686</v>
      </c>
      <c r="D2492" t="s">
        <v>12</v>
      </c>
      <c r="E2492" t="s">
        <v>646</v>
      </c>
      <c r="F2492" t="s">
        <v>40</v>
      </c>
      <c r="G2492">
        <v>2035</v>
      </c>
      <c r="H2492" s="12">
        <v>2165</v>
      </c>
      <c r="I2492" t="s">
        <v>3183</v>
      </c>
      <c r="J2492" t="s">
        <v>6</v>
      </c>
      <c r="K2492" t="s">
        <v>9</v>
      </c>
      <c r="L2492" t="s">
        <v>3184</v>
      </c>
      <c r="M2492" t="s">
        <v>666</v>
      </c>
    </row>
    <row r="2493" spans="1:13">
      <c r="A2493" t="s">
        <v>851</v>
      </c>
      <c r="B2493" t="s">
        <v>686</v>
      </c>
      <c r="C2493" t="s">
        <v>686</v>
      </c>
      <c r="D2493" t="s">
        <v>12</v>
      </c>
      <c r="E2493" t="s">
        <v>646</v>
      </c>
      <c r="F2493" t="s">
        <v>40</v>
      </c>
      <c r="G2493">
        <v>2040</v>
      </c>
      <c r="H2493" s="12">
        <v>2220</v>
      </c>
      <c r="I2493" t="s">
        <v>3183</v>
      </c>
      <c r="J2493" t="s">
        <v>6</v>
      </c>
      <c r="K2493" t="s">
        <v>9</v>
      </c>
      <c r="L2493" t="s">
        <v>3184</v>
      </c>
      <c r="M2493" t="s">
        <v>666</v>
      </c>
    </row>
    <row r="2494" spans="1:13">
      <c r="A2494" t="s">
        <v>851</v>
      </c>
      <c r="B2494" t="s">
        <v>686</v>
      </c>
      <c r="C2494" t="s">
        <v>686</v>
      </c>
      <c r="D2494" t="s">
        <v>12</v>
      </c>
      <c r="E2494" t="s">
        <v>646</v>
      </c>
      <c r="F2494" t="s">
        <v>40</v>
      </c>
      <c r="G2494">
        <v>2045</v>
      </c>
      <c r="H2494" s="12">
        <v>2260</v>
      </c>
      <c r="I2494" t="s">
        <v>3183</v>
      </c>
      <c r="J2494" t="s">
        <v>6</v>
      </c>
      <c r="K2494" t="s">
        <v>9</v>
      </c>
      <c r="L2494" t="s">
        <v>3184</v>
      </c>
      <c r="M2494" t="s">
        <v>666</v>
      </c>
    </row>
    <row r="2495" spans="1:13">
      <c r="A2495" t="s">
        <v>851</v>
      </c>
      <c r="B2495" t="s">
        <v>686</v>
      </c>
      <c r="C2495" t="s">
        <v>686</v>
      </c>
      <c r="D2495" t="s">
        <v>12</v>
      </c>
      <c r="E2495" t="s">
        <v>646</v>
      </c>
      <c r="F2495" t="s">
        <v>40</v>
      </c>
      <c r="G2495">
        <v>2050</v>
      </c>
      <c r="H2495" s="12">
        <v>2280</v>
      </c>
      <c r="I2495" t="s">
        <v>3183</v>
      </c>
      <c r="J2495" t="s">
        <v>6</v>
      </c>
      <c r="K2495" t="s">
        <v>9</v>
      </c>
      <c r="L2495" t="s">
        <v>3184</v>
      </c>
      <c r="M2495" t="s">
        <v>666</v>
      </c>
    </row>
    <row r="2496" spans="1:13">
      <c r="A2496" t="s">
        <v>851</v>
      </c>
      <c r="B2496" t="s">
        <v>687</v>
      </c>
      <c r="C2496" t="s">
        <v>687</v>
      </c>
      <c r="D2496" t="s">
        <v>12</v>
      </c>
      <c r="E2496" t="s">
        <v>646</v>
      </c>
      <c r="F2496" t="s">
        <v>40</v>
      </c>
      <c r="G2496">
        <v>2030</v>
      </c>
      <c r="H2496" s="12">
        <v>2040</v>
      </c>
      <c r="I2496" t="s">
        <v>3183</v>
      </c>
      <c r="J2496" t="s">
        <v>6</v>
      </c>
      <c r="K2496" t="s">
        <v>9</v>
      </c>
      <c r="L2496" t="s">
        <v>3184</v>
      </c>
      <c r="M2496" t="s">
        <v>666</v>
      </c>
    </row>
    <row r="2497" spans="1:13">
      <c r="A2497" t="s">
        <v>851</v>
      </c>
      <c r="B2497" t="s">
        <v>687</v>
      </c>
      <c r="C2497" t="s">
        <v>687</v>
      </c>
      <c r="D2497" t="s">
        <v>12</v>
      </c>
      <c r="E2497" t="s">
        <v>646</v>
      </c>
      <c r="F2497" t="s">
        <v>40</v>
      </c>
      <c r="G2497">
        <v>2035</v>
      </c>
      <c r="H2497" s="12">
        <v>2062</v>
      </c>
      <c r="I2497" t="s">
        <v>3183</v>
      </c>
      <c r="J2497" t="s">
        <v>6</v>
      </c>
      <c r="K2497" t="s">
        <v>9</v>
      </c>
      <c r="L2497" t="s">
        <v>3184</v>
      </c>
      <c r="M2497" t="s">
        <v>666</v>
      </c>
    </row>
    <row r="2498" spans="1:13">
      <c r="A2498" t="s">
        <v>851</v>
      </c>
      <c r="B2498" t="s">
        <v>687</v>
      </c>
      <c r="C2498" t="s">
        <v>687</v>
      </c>
      <c r="D2498" t="s">
        <v>12</v>
      </c>
      <c r="E2498" t="s">
        <v>646</v>
      </c>
      <c r="F2498" t="s">
        <v>40</v>
      </c>
      <c r="G2498">
        <v>2040</v>
      </c>
      <c r="H2498" s="12">
        <v>2069</v>
      </c>
      <c r="I2498" t="s">
        <v>3183</v>
      </c>
      <c r="J2498" t="s">
        <v>6</v>
      </c>
      <c r="K2498" t="s">
        <v>9</v>
      </c>
      <c r="L2498" t="s">
        <v>3184</v>
      </c>
      <c r="M2498" t="s">
        <v>666</v>
      </c>
    </row>
    <row r="2499" spans="1:13">
      <c r="A2499" t="s">
        <v>851</v>
      </c>
      <c r="B2499" t="s">
        <v>687</v>
      </c>
      <c r="C2499" t="s">
        <v>687</v>
      </c>
      <c r="D2499" t="s">
        <v>12</v>
      </c>
      <c r="E2499" t="s">
        <v>646</v>
      </c>
      <c r="F2499" t="s">
        <v>40</v>
      </c>
      <c r="G2499">
        <v>2045</v>
      </c>
      <c r="H2499" s="12">
        <v>2063</v>
      </c>
      <c r="I2499" t="s">
        <v>3183</v>
      </c>
      <c r="J2499" t="s">
        <v>6</v>
      </c>
      <c r="K2499" t="s">
        <v>9</v>
      </c>
      <c r="L2499" t="s">
        <v>3184</v>
      </c>
      <c r="M2499" t="s">
        <v>666</v>
      </c>
    </row>
    <row r="2500" spans="1:13">
      <c r="A2500" t="s">
        <v>851</v>
      </c>
      <c r="B2500" t="s">
        <v>687</v>
      </c>
      <c r="C2500" t="s">
        <v>687</v>
      </c>
      <c r="D2500" t="s">
        <v>12</v>
      </c>
      <c r="E2500" t="s">
        <v>646</v>
      </c>
      <c r="F2500" t="s">
        <v>40</v>
      </c>
      <c r="G2500">
        <v>2050</v>
      </c>
      <c r="H2500" s="12">
        <v>2044</v>
      </c>
      <c r="I2500" t="s">
        <v>3183</v>
      </c>
      <c r="J2500" t="s">
        <v>6</v>
      </c>
      <c r="K2500" t="s">
        <v>9</v>
      </c>
      <c r="L2500" t="s">
        <v>3184</v>
      </c>
      <c r="M2500" t="s">
        <v>666</v>
      </c>
    </row>
    <row r="2501" spans="1:13">
      <c r="A2501" t="s">
        <v>851</v>
      </c>
      <c r="B2501" t="s">
        <v>686</v>
      </c>
      <c r="C2501" t="s">
        <v>686</v>
      </c>
      <c r="D2501" t="s">
        <v>12</v>
      </c>
      <c r="E2501" t="s">
        <v>646</v>
      </c>
      <c r="F2501" t="s">
        <v>40</v>
      </c>
      <c r="G2501">
        <v>2010</v>
      </c>
      <c r="H2501" s="12">
        <v>1260</v>
      </c>
      <c r="I2501" t="s">
        <v>3183</v>
      </c>
      <c r="J2501" t="s">
        <v>5</v>
      </c>
      <c r="K2501" t="s">
        <v>9</v>
      </c>
      <c r="L2501" t="s">
        <v>3184</v>
      </c>
      <c r="M2501" t="s">
        <v>665</v>
      </c>
    </row>
    <row r="2502" spans="1:13">
      <c r="A2502" t="s">
        <v>851</v>
      </c>
      <c r="B2502" t="s">
        <v>686</v>
      </c>
      <c r="C2502" t="s">
        <v>686</v>
      </c>
      <c r="D2502" t="s">
        <v>12</v>
      </c>
      <c r="E2502" t="s">
        <v>646</v>
      </c>
      <c r="F2502" t="s">
        <v>40</v>
      </c>
      <c r="G2502">
        <v>2015</v>
      </c>
      <c r="H2502" s="12">
        <v>1834</v>
      </c>
      <c r="I2502" t="s">
        <v>3183</v>
      </c>
      <c r="J2502" t="s">
        <v>5</v>
      </c>
      <c r="K2502" t="s">
        <v>9</v>
      </c>
      <c r="L2502" t="s">
        <v>3184</v>
      </c>
      <c r="M2502" t="s">
        <v>665</v>
      </c>
    </row>
    <row r="2503" spans="1:13">
      <c r="A2503" t="s">
        <v>851</v>
      </c>
      <c r="B2503" t="s">
        <v>686</v>
      </c>
      <c r="C2503" t="s">
        <v>686</v>
      </c>
      <c r="D2503" t="s">
        <v>12</v>
      </c>
      <c r="E2503" t="s">
        <v>646</v>
      </c>
      <c r="F2503" t="s">
        <v>40</v>
      </c>
      <c r="G2503">
        <v>2020</v>
      </c>
      <c r="H2503" s="12">
        <v>2086</v>
      </c>
      <c r="I2503" t="s">
        <v>3183</v>
      </c>
      <c r="J2503" t="s">
        <v>5</v>
      </c>
      <c r="K2503" t="s">
        <v>9</v>
      </c>
      <c r="L2503" t="s">
        <v>3184</v>
      </c>
      <c r="M2503" t="s">
        <v>665</v>
      </c>
    </row>
    <row r="2504" spans="1:13">
      <c r="A2504" t="s">
        <v>851</v>
      </c>
      <c r="B2504" t="s">
        <v>686</v>
      </c>
      <c r="C2504" t="s">
        <v>686</v>
      </c>
      <c r="D2504" t="s">
        <v>12</v>
      </c>
      <c r="E2504" t="s">
        <v>646</v>
      </c>
      <c r="F2504" t="s">
        <v>40</v>
      </c>
      <c r="G2504">
        <v>2030</v>
      </c>
      <c r="H2504" s="12">
        <v>1568</v>
      </c>
      <c r="I2504" t="s">
        <v>3183</v>
      </c>
      <c r="J2504" t="s">
        <v>5</v>
      </c>
      <c r="K2504" t="s">
        <v>9</v>
      </c>
      <c r="L2504" t="s">
        <v>3184</v>
      </c>
      <c r="M2504" t="s">
        <v>665</v>
      </c>
    </row>
    <row r="2505" spans="1:13">
      <c r="A2505" t="s">
        <v>851</v>
      </c>
      <c r="B2505" t="s">
        <v>686</v>
      </c>
      <c r="C2505" t="s">
        <v>686</v>
      </c>
      <c r="D2505" t="s">
        <v>12</v>
      </c>
      <c r="E2505" t="s">
        <v>646</v>
      </c>
      <c r="F2505" t="s">
        <v>40</v>
      </c>
      <c r="G2505">
        <v>2035</v>
      </c>
      <c r="H2505" s="12">
        <v>1555</v>
      </c>
      <c r="I2505" t="s">
        <v>3183</v>
      </c>
      <c r="J2505" t="s">
        <v>5</v>
      </c>
      <c r="K2505" t="s">
        <v>9</v>
      </c>
      <c r="L2505" t="s">
        <v>3184</v>
      </c>
      <c r="M2505" t="s">
        <v>665</v>
      </c>
    </row>
    <row r="2506" spans="1:13">
      <c r="A2506" t="s">
        <v>851</v>
      </c>
      <c r="B2506" t="s">
        <v>686</v>
      </c>
      <c r="C2506" t="s">
        <v>686</v>
      </c>
      <c r="D2506" t="s">
        <v>12</v>
      </c>
      <c r="E2506" t="s">
        <v>646</v>
      </c>
      <c r="F2506" t="s">
        <v>40</v>
      </c>
      <c r="G2506">
        <v>2040</v>
      </c>
      <c r="H2506" s="12">
        <v>1543</v>
      </c>
      <c r="I2506" t="s">
        <v>3183</v>
      </c>
      <c r="J2506" t="s">
        <v>5</v>
      </c>
      <c r="K2506" t="s">
        <v>9</v>
      </c>
      <c r="L2506" t="s">
        <v>3184</v>
      </c>
      <c r="M2506" t="s">
        <v>665</v>
      </c>
    </row>
    <row r="2507" spans="1:13">
      <c r="A2507" t="s">
        <v>851</v>
      </c>
      <c r="B2507" t="s">
        <v>686</v>
      </c>
      <c r="C2507" t="s">
        <v>686</v>
      </c>
      <c r="D2507" t="s">
        <v>12</v>
      </c>
      <c r="E2507" t="s">
        <v>646</v>
      </c>
      <c r="F2507" t="s">
        <v>40</v>
      </c>
      <c r="G2507">
        <v>2045</v>
      </c>
      <c r="H2507" s="12">
        <v>1531</v>
      </c>
      <c r="I2507" t="s">
        <v>3183</v>
      </c>
      <c r="J2507" t="s">
        <v>5</v>
      </c>
      <c r="K2507" t="s">
        <v>9</v>
      </c>
      <c r="L2507" t="s">
        <v>3184</v>
      </c>
      <c r="M2507" t="s">
        <v>665</v>
      </c>
    </row>
    <row r="2508" spans="1:13">
      <c r="A2508" t="s">
        <v>851</v>
      </c>
      <c r="B2508" t="s">
        <v>686</v>
      </c>
      <c r="C2508" t="s">
        <v>686</v>
      </c>
      <c r="D2508" t="s">
        <v>12</v>
      </c>
      <c r="E2508" t="s">
        <v>646</v>
      </c>
      <c r="F2508" t="s">
        <v>40</v>
      </c>
      <c r="G2508">
        <v>2050</v>
      </c>
      <c r="H2508" s="12">
        <v>1518</v>
      </c>
      <c r="I2508" t="s">
        <v>3183</v>
      </c>
      <c r="J2508" t="s">
        <v>5</v>
      </c>
      <c r="K2508" t="s">
        <v>9</v>
      </c>
      <c r="L2508" t="s">
        <v>3184</v>
      </c>
      <c r="M2508" t="s">
        <v>665</v>
      </c>
    </row>
    <row r="2509" spans="1:13">
      <c r="A2509" t="s">
        <v>851</v>
      </c>
      <c r="B2509" t="s">
        <v>687</v>
      </c>
      <c r="C2509" t="s">
        <v>687</v>
      </c>
      <c r="D2509" t="s">
        <v>12</v>
      </c>
      <c r="E2509" t="s">
        <v>646</v>
      </c>
      <c r="F2509" t="s">
        <v>40</v>
      </c>
      <c r="G2509">
        <v>2030</v>
      </c>
      <c r="H2509" s="12">
        <v>1496</v>
      </c>
      <c r="I2509" t="s">
        <v>3183</v>
      </c>
      <c r="J2509" t="s">
        <v>5</v>
      </c>
      <c r="K2509" t="s">
        <v>9</v>
      </c>
      <c r="L2509" t="s">
        <v>3184</v>
      </c>
      <c r="M2509" t="s">
        <v>665</v>
      </c>
    </row>
    <row r="2510" spans="1:13">
      <c r="A2510" t="s">
        <v>851</v>
      </c>
      <c r="B2510" t="s">
        <v>687</v>
      </c>
      <c r="C2510" t="s">
        <v>687</v>
      </c>
      <c r="D2510" t="s">
        <v>12</v>
      </c>
      <c r="E2510" t="s">
        <v>646</v>
      </c>
      <c r="F2510" t="s">
        <v>40</v>
      </c>
      <c r="G2510">
        <v>2035</v>
      </c>
      <c r="H2510" s="12">
        <v>1450</v>
      </c>
      <c r="I2510" t="s">
        <v>3183</v>
      </c>
      <c r="J2510" t="s">
        <v>5</v>
      </c>
      <c r="K2510" t="s">
        <v>9</v>
      </c>
      <c r="L2510" t="s">
        <v>3184</v>
      </c>
      <c r="M2510" t="s">
        <v>665</v>
      </c>
    </row>
    <row r="2511" spans="1:13">
      <c r="A2511" t="s">
        <v>851</v>
      </c>
      <c r="B2511" t="s">
        <v>687</v>
      </c>
      <c r="C2511" t="s">
        <v>687</v>
      </c>
      <c r="D2511" t="s">
        <v>12</v>
      </c>
      <c r="E2511" t="s">
        <v>646</v>
      </c>
      <c r="F2511" t="s">
        <v>40</v>
      </c>
      <c r="G2511">
        <v>2040</v>
      </c>
      <c r="H2511" s="12">
        <v>1409</v>
      </c>
      <c r="I2511" t="s">
        <v>3183</v>
      </c>
      <c r="J2511" t="s">
        <v>5</v>
      </c>
      <c r="K2511" t="s">
        <v>9</v>
      </c>
      <c r="L2511" t="s">
        <v>3184</v>
      </c>
      <c r="M2511" t="s">
        <v>665</v>
      </c>
    </row>
    <row r="2512" spans="1:13">
      <c r="A2512" t="s">
        <v>851</v>
      </c>
      <c r="B2512" t="s">
        <v>687</v>
      </c>
      <c r="C2512" t="s">
        <v>687</v>
      </c>
      <c r="D2512" t="s">
        <v>12</v>
      </c>
      <c r="E2512" t="s">
        <v>646</v>
      </c>
      <c r="F2512" t="s">
        <v>40</v>
      </c>
      <c r="G2512">
        <v>2045</v>
      </c>
      <c r="H2512" s="12">
        <v>1376</v>
      </c>
      <c r="I2512" t="s">
        <v>3183</v>
      </c>
      <c r="J2512" t="s">
        <v>5</v>
      </c>
      <c r="K2512" t="s">
        <v>9</v>
      </c>
      <c r="L2512" t="s">
        <v>3184</v>
      </c>
      <c r="M2512" t="s">
        <v>665</v>
      </c>
    </row>
    <row r="2513" spans="1:13">
      <c r="A2513" t="s">
        <v>851</v>
      </c>
      <c r="B2513" t="s">
        <v>687</v>
      </c>
      <c r="C2513" t="s">
        <v>687</v>
      </c>
      <c r="D2513" t="s">
        <v>12</v>
      </c>
      <c r="E2513" t="s">
        <v>646</v>
      </c>
      <c r="F2513" t="s">
        <v>40</v>
      </c>
      <c r="G2513">
        <v>2050</v>
      </c>
      <c r="H2513" s="12">
        <v>1349</v>
      </c>
      <c r="I2513" t="s">
        <v>3183</v>
      </c>
      <c r="J2513" t="s">
        <v>5</v>
      </c>
      <c r="K2513" t="s">
        <v>9</v>
      </c>
      <c r="L2513" t="s">
        <v>3184</v>
      </c>
      <c r="M2513" t="s">
        <v>665</v>
      </c>
    </row>
    <row r="2514" spans="1:13">
      <c r="A2514" t="s">
        <v>851</v>
      </c>
      <c r="B2514" t="s">
        <v>686</v>
      </c>
      <c r="C2514" t="s">
        <v>686</v>
      </c>
      <c r="D2514" t="s">
        <v>12</v>
      </c>
      <c r="E2514" t="s">
        <v>646</v>
      </c>
      <c r="F2514" t="s">
        <v>40</v>
      </c>
      <c r="G2514">
        <v>2030</v>
      </c>
      <c r="H2514" s="12">
        <v>2611</v>
      </c>
      <c r="I2514" t="s">
        <v>3183</v>
      </c>
      <c r="J2514" t="s">
        <v>394</v>
      </c>
      <c r="K2514" t="s">
        <v>11</v>
      </c>
      <c r="L2514" t="s">
        <v>3184</v>
      </c>
      <c r="M2514" t="s">
        <v>16</v>
      </c>
    </row>
    <row r="2515" spans="1:13">
      <c r="A2515" t="s">
        <v>851</v>
      </c>
      <c r="B2515" t="s">
        <v>686</v>
      </c>
      <c r="C2515" t="s">
        <v>686</v>
      </c>
      <c r="D2515" t="s">
        <v>12</v>
      </c>
      <c r="E2515" t="s">
        <v>646</v>
      </c>
      <c r="F2515" t="s">
        <v>40</v>
      </c>
      <c r="G2515">
        <v>2035</v>
      </c>
      <c r="H2515" s="12">
        <v>2572</v>
      </c>
      <c r="I2515" t="s">
        <v>3183</v>
      </c>
      <c r="J2515" t="s">
        <v>394</v>
      </c>
      <c r="K2515" t="s">
        <v>11</v>
      </c>
      <c r="L2515" t="s">
        <v>3184</v>
      </c>
      <c r="M2515" t="s">
        <v>16</v>
      </c>
    </row>
    <row r="2516" spans="1:13">
      <c r="A2516" t="s">
        <v>851</v>
      </c>
      <c r="B2516" t="s">
        <v>686</v>
      </c>
      <c r="C2516" t="s">
        <v>686</v>
      </c>
      <c r="D2516" t="s">
        <v>12</v>
      </c>
      <c r="E2516" t="s">
        <v>646</v>
      </c>
      <c r="F2516" t="s">
        <v>40</v>
      </c>
      <c r="G2516">
        <v>2040</v>
      </c>
      <c r="H2516" s="12">
        <v>2425</v>
      </c>
      <c r="I2516" t="s">
        <v>3183</v>
      </c>
      <c r="J2516" t="s">
        <v>394</v>
      </c>
      <c r="K2516" t="s">
        <v>11</v>
      </c>
      <c r="L2516" t="s">
        <v>3184</v>
      </c>
      <c r="M2516" t="s">
        <v>16</v>
      </c>
    </row>
    <row r="2517" spans="1:13">
      <c r="A2517" t="s">
        <v>851</v>
      </c>
      <c r="B2517" t="s">
        <v>686</v>
      </c>
      <c r="C2517" t="s">
        <v>686</v>
      </c>
      <c r="D2517" t="s">
        <v>12</v>
      </c>
      <c r="E2517" t="s">
        <v>646</v>
      </c>
      <c r="F2517" t="s">
        <v>40</v>
      </c>
      <c r="G2517">
        <v>2045</v>
      </c>
      <c r="H2517" s="12">
        <v>2283</v>
      </c>
      <c r="I2517" t="s">
        <v>3183</v>
      </c>
      <c r="J2517" t="s">
        <v>394</v>
      </c>
      <c r="K2517" t="s">
        <v>11</v>
      </c>
      <c r="L2517" t="s">
        <v>3184</v>
      </c>
      <c r="M2517" t="s">
        <v>16</v>
      </c>
    </row>
    <row r="2518" spans="1:13">
      <c r="A2518" t="s">
        <v>851</v>
      </c>
      <c r="B2518" t="s">
        <v>686</v>
      </c>
      <c r="C2518" t="s">
        <v>686</v>
      </c>
      <c r="D2518" t="s">
        <v>12</v>
      </c>
      <c r="E2518" t="s">
        <v>646</v>
      </c>
      <c r="F2518" t="s">
        <v>40</v>
      </c>
      <c r="G2518">
        <v>2050</v>
      </c>
      <c r="H2518" s="12">
        <v>2173</v>
      </c>
      <c r="I2518" t="s">
        <v>3183</v>
      </c>
      <c r="J2518" t="s">
        <v>394</v>
      </c>
      <c r="K2518" t="s">
        <v>11</v>
      </c>
      <c r="L2518" t="s">
        <v>3184</v>
      </c>
      <c r="M2518" t="s">
        <v>16</v>
      </c>
    </row>
    <row r="2519" spans="1:13">
      <c r="A2519" t="s">
        <v>851</v>
      </c>
      <c r="B2519" t="s">
        <v>687</v>
      </c>
      <c r="C2519" t="s">
        <v>687</v>
      </c>
      <c r="D2519" t="s">
        <v>12</v>
      </c>
      <c r="E2519" t="s">
        <v>646</v>
      </c>
      <c r="F2519" t="s">
        <v>40</v>
      </c>
      <c r="G2519">
        <v>2030</v>
      </c>
      <c r="H2519" s="12">
        <v>2595</v>
      </c>
      <c r="I2519" t="s">
        <v>3183</v>
      </c>
      <c r="J2519" t="s">
        <v>394</v>
      </c>
      <c r="K2519" t="s">
        <v>11</v>
      </c>
      <c r="L2519" t="s">
        <v>3184</v>
      </c>
      <c r="M2519" t="s">
        <v>16</v>
      </c>
    </row>
    <row r="2520" spans="1:13">
      <c r="A2520" t="s">
        <v>851</v>
      </c>
      <c r="B2520" t="s">
        <v>687</v>
      </c>
      <c r="C2520" t="s">
        <v>687</v>
      </c>
      <c r="D2520" t="s">
        <v>12</v>
      </c>
      <c r="E2520" t="s">
        <v>646</v>
      </c>
      <c r="F2520" t="s">
        <v>40</v>
      </c>
      <c r="G2520">
        <v>2035</v>
      </c>
      <c r="H2520" s="12">
        <v>2528</v>
      </c>
      <c r="I2520" t="s">
        <v>3183</v>
      </c>
      <c r="J2520" t="s">
        <v>394</v>
      </c>
      <c r="K2520" t="s">
        <v>11</v>
      </c>
      <c r="L2520" t="s">
        <v>3184</v>
      </c>
      <c r="M2520" t="s">
        <v>16</v>
      </c>
    </row>
    <row r="2521" spans="1:13">
      <c r="A2521" t="s">
        <v>851</v>
      </c>
      <c r="B2521" t="s">
        <v>687</v>
      </c>
      <c r="C2521" t="s">
        <v>687</v>
      </c>
      <c r="D2521" t="s">
        <v>12</v>
      </c>
      <c r="E2521" t="s">
        <v>646</v>
      </c>
      <c r="F2521" t="s">
        <v>40</v>
      </c>
      <c r="G2521">
        <v>2040</v>
      </c>
      <c r="H2521" s="12">
        <v>2345</v>
      </c>
      <c r="I2521" t="s">
        <v>3183</v>
      </c>
      <c r="J2521" t="s">
        <v>394</v>
      </c>
      <c r="K2521" t="s">
        <v>11</v>
      </c>
      <c r="L2521" t="s">
        <v>3184</v>
      </c>
      <c r="M2521" t="s">
        <v>16</v>
      </c>
    </row>
    <row r="2522" spans="1:13">
      <c r="A2522" t="s">
        <v>851</v>
      </c>
      <c r="B2522" t="s">
        <v>687</v>
      </c>
      <c r="C2522" t="s">
        <v>687</v>
      </c>
      <c r="D2522" t="s">
        <v>12</v>
      </c>
      <c r="E2522" t="s">
        <v>646</v>
      </c>
      <c r="F2522" t="s">
        <v>40</v>
      </c>
      <c r="G2522">
        <v>2045</v>
      </c>
      <c r="H2522" s="12">
        <v>2172</v>
      </c>
      <c r="I2522" t="s">
        <v>3183</v>
      </c>
      <c r="J2522" t="s">
        <v>394</v>
      </c>
      <c r="K2522" t="s">
        <v>11</v>
      </c>
      <c r="L2522" t="s">
        <v>3184</v>
      </c>
      <c r="M2522" t="s">
        <v>16</v>
      </c>
    </row>
    <row r="2523" spans="1:13">
      <c r="A2523" t="s">
        <v>851</v>
      </c>
      <c r="B2523" t="s">
        <v>687</v>
      </c>
      <c r="C2523" t="s">
        <v>687</v>
      </c>
      <c r="D2523" t="s">
        <v>12</v>
      </c>
      <c r="E2523" t="s">
        <v>646</v>
      </c>
      <c r="F2523" t="s">
        <v>40</v>
      </c>
      <c r="G2523">
        <v>2050</v>
      </c>
      <c r="H2523" s="12">
        <v>2037</v>
      </c>
      <c r="I2523" t="s">
        <v>3183</v>
      </c>
      <c r="J2523" t="s">
        <v>394</v>
      </c>
      <c r="K2523" t="s">
        <v>11</v>
      </c>
      <c r="L2523" t="s">
        <v>3184</v>
      </c>
      <c r="M2523" t="s">
        <v>16</v>
      </c>
    </row>
    <row r="2524" spans="1:13">
      <c r="A2524" t="s">
        <v>851</v>
      </c>
      <c r="B2524" t="s">
        <v>686</v>
      </c>
      <c r="C2524" t="s">
        <v>686</v>
      </c>
      <c r="D2524" t="s">
        <v>12</v>
      </c>
      <c r="E2524" t="s">
        <v>646</v>
      </c>
      <c r="F2524" t="s">
        <v>40</v>
      </c>
      <c r="G2524">
        <v>2010</v>
      </c>
      <c r="H2524" s="12">
        <v>1376</v>
      </c>
      <c r="I2524" t="s">
        <v>3183</v>
      </c>
      <c r="J2524" t="s">
        <v>6</v>
      </c>
      <c r="K2524" t="s">
        <v>11</v>
      </c>
      <c r="L2524" t="s">
        <v>3184</v>
      </c>
      <c r="M2524" t="s">
        <v>659</v>
      </c>
    </row>
    <row r="2525" spans="1:13">
      <c r="A2525" t="s">
        <v>851</v>
      </c>
      <c r="B2525" t="s">
        <v>686</v>
      </c>
      <c r="C2525" t="s">
        <v>686</v>
      </c>
      <c r="D2525" t="s">
        <v>12</v>
      </c>
      <c r="E2525" t="s">
        <v>646</v>
      </c>
      <c r="F2525" t="s">
        <v>40</v>
      </c>
      <c r="G2525">
        <v>2015</v>
      </c>
      <c r="H2525" s="12">
        <v>1140</v>
      </c>
      <c r="I2525" t="s">
        <v>3183</v>
      </c>
      <c r="J2525" t="s">
        <v>6</v>
      </c>
      <c r="K2525" t="s">
        <v>11</v>
      </c>
      <c r="L2525" t="s">
        <v>3184</v>
      </c>
      <c r="M2525" t="s">
        <v>659</v>
      </c>
    </row>
    <row r="2526" spans="1:13">
      <c r="A2526" t="s">
        <v>851</v>
      </c>
      <c r="B2526" t="s">
        <v>686</v>
      </c>
      <c r="C2526" t="s">
        <v>686</v>
      </c>
      <c r="D2526" t="s">
        <v>12</v>
      </c>
      <c r="E2526" t="s">
        <v>646</v>
      </c>
      <c r="F2526" t="s">
        <v>40</v>
      </c>
      <c r="G2526">
        <v>2020</v>
      </c>
      <c r="H2526" s="12">
        <v>995</v>
      </c>
      <c r="I2526" t="s">
        <v>3183</v>
      </c>
      <c r="J2526" t="s">
        <v>6</v>
      </c>
      <c r="K2526" t="s">
        <v>11</v>
      </c>
      <c r="L2526" t="s">
        <v>3184</v>
      </c>
      <c r="M2526" t="s">
        <v>659</v>
      </c>
    </row>
    <row r="2527" spans="1:13">
      <c r="A2527" t="s">
        <v>851</v>
      </c>
      <c r="B2527" t="s">
        <v>686</v>
      </c>
      <c r="C2527" t="s">
        <v>686</v>
      </c>
      <c r="D2527" t="s">
        <v>12</v>
      </c>
      <c r="E2527" t="s">
        <v>646</v>
      </c>
      <c r="F2527" t="s">
        <v>40</v>
      </c>
      <c r="G2527">
        <v>2030</v>
      </c>
      <c r="H2527" s="12">
        <v>913</v>
      </c>
      <c r="I2527" t="s">
        <v>3183</v>
      </c>
      <c r="J2527" t="s">
        <v>6</v>
      </c>
      <c r="K2527" t="s">
        <v>11</v>
      </c>
      <c r="L2527" t="s">
        <v>3184</v>
      </c>
      <c r="M2527" t="s">
        <v>659</v>
      </c>
    </row>
    <row r="2528" spans="1:13">
      <c r="A2528" t="s">
        <v>851</v>
      </c>
      <c r="B2528" t="s">
        <v>686</v>
      </c>
      <c r="C2528" t="s">
        <v>686</v>
      </c>
      <c r="D2528" t="s">
        <v>12</v>
      </c>
      <c r="E2528" t="s">
        <v>646</v>
      </c>
      <c r="F2528" t="s">
        <v>40</v>
      </c>
      <c r="G2528">
        <v>2035</v>
      </c>
      <c r="H2528" s="12">
        <v>878</v>
      </c>
      <c r="I2528" t="s">
        <v>3183</v>
      </c>
      <c r="J2528" t="s">
        <v>6</v>
      </c>
      <c r="K2528" t="s">
        <v>11</v>
      </c>
      <c r="L2528" t="s">
        <v>3184</v>
      </c>
      <c r="M2528" t="s">
        <v>659</v>
      </c>
    </row>
    <row r="2529" spans="1:13">
      <c r="A2529" t="s">
        <v>851</v>
      </c>
      <c r="B2529" t="s">
        <v>686</v>
      </c>
      <c r="C2529" t="s">
        <v>686</v>
      </c>
      <c r="D2529" t="s">
        <v>12</v>
      </c>
      <c r="E2529" t="s">
        <v>646</v>
      </c>
      <c r="F2529" t="s">
        <v>40</v>
      </c>
      <c r="G2529">
        <v>2040</v>
      </c>
      <c r="H2529" s="12">
        <v>843</v>
      </c>
      <c r="I2529" t="s">
        <v>3183</v>
      </c>
      <c r="J2529" t="s">
        <v>6</v>
      </c>
      <c r="K2529" t="s">
        <v>11</v>
      </c>
      <c r="L2529" t="s">
        <v>3184</v>
      </c>
      <c r="M2529" t="s">
        <v>659</v>
      </c>
    </row>
    <row r="2530" spans="1:13">
      <c r="A2530" t="s">
        <v>851</v>
      </c>
      <c r="B2530" t="s">
        <v>686</v>
      </c>
      <c r="C2530" t="s">
        <v>686</v>
      </c>
      <c r="D2530" t="s">
        <v>12</v>
      </c>
      <c r="E2530" t="s">
        <v>646</v>
      </c>
      <c r="F2530" t="s">
        <v>40</v>
      </c>
      <c r="G2530">
        <v>2045</v>
      </c>
      <c r="H2530" s="12">
        <v>809</v>
      </c>
      <c r="I2530" t="s">
        <v>3183</v>
      </c>
      <c r="J2530" t="s">
        <v>6</v>
      </c>
      <c r="K2530" t="s">
        <v>11</v>
      </c>
      <c r="L2530" t="s">
        <v>3184</v>
      </c>
      <c r="M2530" t="s">
        <v>659</v>
      </c>
    </row>
    <row r="2531" spans="1:13">
      <c r="A2531" t="s">
        <v>851</v>
      </c>
      <c r="B2531" t="s">
        <v>686</v>
      </c>
      <c r="C2531" t="s">
        <v>686</v>
      </c>
      <c r="D2531" t="s">
        <v>12</v>
      </c>
      <c r="E2531" t="s">
        <v>646</v>
      </c>
      <c r="F2531" t="s">
        <v>40</v>
      </c>
      <c r="G2531">
        <v>2050</v>
      </c>
      <c r="H2531" s="12">
        <v>779</v>
      </c>
      <c r="I2531" t="s">
        <v>3183</v>
      </c>
      <c r="J2531" t="s">
        <v>6</v>
      </c>
      <c r="K2531" t="s">
        <v>11</v>
      </c>
      <c r="L2531" t="s">
        <v>3184</v>
      </c>
      <c r="M2531" t="s">
        <v>659</v>
      </c>
    </row>
    <row r="2532" spans="1:13">
      <c r="A2532" t="s">
        <v>851</v>
      </c>
      <c r="B2532" t="s">
        <v>687</v>
      </c>
      <c r="C2532" t="s">
        <v>687</v>
      </c>
      <c r="D2532" t="s">
        <v>12</v>
      </c>
      <c r="E2532" t="s">
        <v>646</v>
      </c>
      <c r="F2532" t="s">
        <v>40</v>
      </c>
      <c r="G2532">
        <v>2030</v>
      </c>
      <c r="H2532" s="12">
        <v>840</v>
      </c>
      <c r="I2532" t="s">
        <v>3183</v>
      </c>
      <c r="J2532" t="s">
        <v>6</v>
      </c>
      <c r="K2532" t="s">
        <v>11</v>
      </c>
      <c r="L2532" t="s">
        <v>3184</v>
      </c>
      <c r="M2532" t="s">
        <v>659</v>
      </c>
    </row>
    <row r="2533" spans="1:13">
      <c r="A2533" t="s">
        <v>851</v>
      </c>
      <c r="B2533" t="s">
        <v>687</v>
      </c>
      <c r="C2533" t="s">
        <v>687</v>
      </c>
      <c r="D2533" t="s">
        <v>12</v>
      </c>
      <c r="E2533" t="s">
        <v>646</v>
      </c>
      <c r="F2533" t="s">
        <v>40</v>
      </c>
      <c r="G2533">
        <v>2035</v>
      </c>
      <c r="H2533" s="12">
        <v>750</v>
      </c>
      <c r="I2533" t="s">
        <v>3183</v>
      </c>
      <c r="J2533" t="s">
        <v>6</v>
      </c>
      <c r="K2533" t="s">
        <v>11</v>
      </c>
      <c r="L2533" t="s">
        <v>3184</v>
      </c>
      <c r="M2533" t="s">
        <v>659</v>
      </c>
    </row>
    <row r="2534" spans="1:13">
      <c r="A2534" t="s">
        <v>851</v>
      </c>
      <c r="B2534" t="s">
        <v>686</v>
      </c>
      <c r="C2534" t="s">
        <v>686</v>
      </c>
      <c r="D2534" t="s">
        <v>12</v>
      </c>
      <c r="E2534" t="s">
        <v>646</v>
      </c>
      <c r="F2534" t="s">
        <v>40</v>
      </c>
      <c r="G2534">
        <v>2010</v>
      </c>
      <c r="H2534" s="12">
        <v>1177</v>
      </c>
      <c r="I2534" t="s">
        <v>3183</v>
      </c>
      <c r="J2534" t="s">
        <v>344</v>
      </c>
      <c r="K2534" t="s">
        <v>9</v>
      </c>
      <c r="L2534" t="s">
        <v>3184</v>
      </c>
      <c r="M2534" t="s">
        <v>10</v>
      </c>
    </row>
    <row r="2535" spans="1:13">
      <c r="A2535" t="s">
        <v>851</v>
      </c>
      <c r="B2535" t="s">
        <v>686</v>
      </c>
      <c r="C2535" t="s">
        <v>686</v>
      </c>
      <c r="D2535" t="s">
        <v>12</v>
      </c>
      <c r="E2535" t="s">
        <v>646</v>
      </c>
      <c r="F2535" t="s">
        <v>40</v>
      </c>
      <c r="G2535">
        <v>2015</v>
      </c>
      <c r="H2535" s="12">
        <v>1184</v>
      </c>
      <c r="I2535" t="s">
        <v>3183</v>
      </c>
      <c r="J2535" t="s">
        <v>344</v>
      </c>
      <c r="K2535" t="s">
        <v>9</v>
      </c>
      <c r="L2535" t="s">
        <v>3184</v>
      </c>
      <c r="M2535" t="s">
        <v>10</v>
      </c>
    </row>
    <row r="2536" spans="1:13">
      <c r="A2536" t="s">
        <v>851</v>
      </c>
      <c r="B2536" t="s">
        <v>686</v>
      </c>
      <c r="C2536" t="s">
        <v>686</v>
      </c>
      <c r="D2536" t="s">
        <v>12</v>
      </c>
      <c r="E2536" t="s">
        <v>646</v>
      </c>
      <c r="F2536" t="s">
        <v>40</v>
      </c>
      <c r="G2536">
        <v>2020</v>
      </c>
      <c r="H2536" s="12">
        <v>1199</v>
      </c>
      <c r="I2536" t="s">
        <v>3183</v>
      </c>
      <c r="J2536" t="s">
        <v>344</v>
      </c>
      <c r="K2536" t="s">
        <v>9</v>
      </c>
      <c r="L2536" t="s">
        <v>3184</v>
      </c>
      <c r="M2536" t="s">
        <v>10</v>
      </c>
    </row>
    <row r="2537" spans="1:13">
      <c r="A2537" t="s">
        <v>851</v>
      </c>
      <c r="B2537" t="s">
        <v>686</v>
      </c>
      <c r="C2537" t="s">
        <v>686</v>
      </c>
      <c r="D2537" t="s">
        <v>12</v>
      </c>
      <c r="E2537" t="s">
        <v>646</v>
      </c>
      <c r="F2537" t="s">
        <v>40</v>
      </c>
      <c r="G2537">
        <v>2030</v>
      </c>
      <c r="H2537" s="12">
        <v>1355</v>
      </c>
      <c r="I2537" t="s">
        <v>3183</v>
      </c>
      <c r="J2537" t="s">
        <v>344</v>
      </c>
      <c r="K2537" t="s">
        <v>9</v>
      </c>
      <c r="L2537" t="s">
        <v>3184</v>
      </c>
      <c r="M2537" t="s">
        <v>10</v>
      </c>
    </row>
    <row r="2538" spans="1:13">
      <c r="A2538" t="s">
        <v>851</v>
      </c>
      <c r="B2538" t="s">
        <v>686</v>
      </c>
      <c r="C2538" t="s">
        <v>686</v>
      </c>
      <c r="D2538" t="s">
        <v>12</v>
      </c>
      <c r="E2538" t="s">
        <v>646</v>
      </c>
      <c r="F2538" t="s">
        <v>40</v>
      </c>
      <c r="G2538">
        <v>2035</v>
      </c>
      <c r="H2538" s="12">
        <v>1426</v>
      </c>
      <c r="I2538" t="s">
        <v>3183</v>
      </c>
      <c r="J2538" t="s">
        <v>344</v>
      </c>
      <c r="K2538" t="s">
        <v>9</v>
      </c>
      <c r="L2538" t="s">
        <v>3184</v>
      </c>
      <c r="M2538" t="s">
        <v>10</v>
      </c>
    </row>
    <row r="2539" spans="1:13">
      <c r="A2539" t="s">
        <v>851</v>
      </c>
      <c r="B2539" t="s">
        <v>686</v>
      </c>
      <c r="C2539" t="s">
        <v>686</v>
      </c>
      <c r="D2539" t="s">
        <v>12</v>
      </c>
      <c r="E2539" t="s">
        <v>646</v>
      </c>
      <c r="F2539" t="s">
        <v>40</v>
      </c>
      <c r="G2539">
        <v>2040</v>
      </c>
      <c r="H2539" s="12">
        <v>1488</v>
      </c>
      <c r="I2539" t="s">
        <v>3183</v>
      </c>
      <c r="J2539" t="s">
        <v>344</v>
      </c>
      <c r="K2539" t="s">
        <v>9</v>
      </c>
      <c r="L2539" t="s">
        <v>3184</v>
      </c>
      <c r="M2539" t="s">
        <v>10</v>
      </c>
    </row>
    <row r="2540" spans="1:13">
      <c r="A2540" t="s">
        <v>851</v>
      </c>
      <c r="B2540" t="s">
        <v>686</v>
      </c>
      <c r="C2540" t="s">
        <v>686</v>
      </c>
      <c r="D2540" t="s">
        <v>12</v>
      </c>
      <c r="E2540" t="s">
        <v>646</v>
      </c>
      <c r="F2540" t="s">
        <v>40</v>
      </c>
      <c r="G2540">
        <v>2045</v>
      </c>
      <c r="H2540" s="12">
        <v>1541</v>
      </c>
      <c r="I2540" t="s">
        <v>3183</v>
      </c>
      <c r="J2540" t="s">
        <v>344</v>
      </c>
      <c r="K2540" t="s">
        <v>9</v>
      </c>
      <c r="L2540" t="s">
        <v>3184</v>
      </c>
      <c r="M2540" t="s">
        <v>10</v>
      </c>
    </row>
    <row r="2541" spans="1:13">
      <c r="A2541" t="s">
        <v>851</v>
      </c>
      <c r="B2541" t="s">
        <v>686</v>
      </c>
      <c r="C2541" t="s">
        <v>686</v>
      </c>
      <c r="D2541" t="s">
        <v>12</v>
      </c>
      <c r="E2541" t="s">
        <v>646</v>
      </c>
      <c r="F2541" t="s">
        <v>40</v>
      </c>
      <c r="G2541">
        <v>2050</v>
      </c>
      <c r="H2541" s="12">
        <v>1583</v>
      </c>
      <c r="I2541" t="s">
        <v>3183</v>
      </c>
      <c r="J2541" t="s">
        <v>344</v>
      </c>
      <c r="K2541" t="s">
        <v>9</v>
      </c>
      <c r="L2541" t="s">
        <v>3184</v>
      </c>
      <c r="M2541" t="s">
        <v>10</v>
      </c>
    </row>
    <row r="2542" spans="1:13">
      <c r="A2542" t="s">
        <v>851</v>
      </c>
      <c r="B2542" t="s">
        <v>687</v>
      </c>
      <c r="C2542" t="s">
        <v>687</v>
      </c>
      <c r="D2542" t="s">
        <v>12</v>
      </c>
      <c r="E2542" t="s">
        <v>646</v>
      </c>
      <c r="F2542" t="s">
        <v>40</v>
      </c>
      <c r="G2542">
        <v>2030</v>
      </c>
      <c r="H2542" s="12">
        <v>1296</v>
      </c>
      <c r="I2542" t="s">
        <v>3183</v>
      </c>
      <c r="J2542" t="s">
        <v>344</v>
      </c>
      <c r="K2542" t="s">
        <v>9</v>
      </c>
      <c r="L2542" t="s">
        <v>3184</v>
      </c>
      <c r="M2542" t="s">
        <v>10</v>
      </c>
    </row>
    <row r="2543" spans="1:13">
      <c r="A2543" t="s">
        <v>851</v>
      </c>
      <c r="B2543" t="s">
        <v>687</v>
      </c>
      <c r="C2543" t="s">
        <v>687</v>
      </c>
      <c r="D2543" t="s">
        <v>12</v>
      </c>
      <c r="E2543" t="s">
        <v>646</v>
      </c>
      <c r="F2543" t="s">
        <v>40</v>
      </c>
      <c r="G2543">
        <v>2035</v>
      </c>
      <c r="H2543" s="12">
        <v>1338</v>
      </c>
      <c r="I2543" t="s">
        <v>3183</v>
      </c>
      <c r="J2543" t="s">
        <v>344</v>
      </c>
      <c r="K2543" t="s">
        <v>9</v>
      </c>
      <c r="L2543" t="s">
        <v>3184</v>
      </c>
      <c r="M2543" t="s">
        <v>10</v>
      </c>
    </row>
    <row r="2544" spans="1:13">
      <c r="A2544" t="s">
        <v>851</v>
      </c>
      <c r="B2544" t="s">
        <v>687</v>
      </c>
      <c r="C2544" t="s">
        <v>687</v>
      </c>
      <c r="D2544" t="s">
        <v>12</v>
      </c>
      <c r="E2544" t="s">
        <v>646</v>
      </c>
      <c r="F2544" t="s">
        <v>40</v>
      </c>
      <c r="G2544">
        <v>2040</v>
      </c>
      <c r="H2544" s="12">
        <v>1369</v>
      </c>
      <c r="I2544" t="s">
        <v>3183</v>
      </c>
      <c r="J2544" t="s">
        <v>344</v>
      </c>
      <c r="K2544" t="s">
        <v>9</v>
      </c>
      <c r="L2544" t="s">
        <v>3184</v>
      </c>
      <c r="M2544" t="s">
        <v>10</v>
      </c>
    </row>
    <row r="2545" spans="1:13">
      <c r="A2545" t="s">
        <v>851</v>
      </c>
      <c r="B2545" t="s">
        <v>687</v>
      </c>
      <c r="C2545" t="s">
        <v>687</v>
      </c>
      <c r="D2545" t="s">
        <v>12</v>
      </c>
      <c r="E2545" t="s">
        <v>646</v>
      </c>
      <c r="F2545" t="s">
        <v>40</v>
      </c>
      <c r="G2545">
        <v>2045</v>
      </c>
      <c r="H2545" s="12">
        <v>1393</v>
      </c>
      <c r="I2545" t="s">
        <v>3183</v>
      </c>
      <c r="J2545" t="s">
        <v>344</v>
      </c>
      <c r="K2545" t="s">
        <v>9</v>
      </c>
      <c r="L2545" t="s">
        <v>3184</v>
      </c>
      <c r="M2545" t="s">
        <v>10</v>
      </c>
    </row>
    <row r="2546" spans="1:13">
      <c r="A2546" t="s">
        <v>851</v>
      </c>
      <c r="B2546" t="s">
        <v>687</v>
      </c>
      <c r="C2546" t="s">
        <v>687</v>
      </c>
      <c r="D2546" t="s">
        <v>12</v>
      </c>
      <c r="E2546" t="s">
        <v>646</v>
      </c>
      <c r="F2546" t="s">
        <v>40</v>
      </c>
      <c r="G2546">
        <v>2050</v>
      </c>
      <c r="H2546" s="12">
        <v>1409</v>
      </c>
      <c r="I2546" t="s">
        <v>3183</v>
      </c>
      <c r="J2546" t="s">
        <v>344</v>
      </c>
      <c r="K2546" t="s">
        <v>9</v>
      </c>
      <c r="L2546" t="s">
        <v>3184</v>
      </c>
      <c r="M2546" t="s">
        <v>10</v>
      </c>
    </row>
    <row r="2547" spans="1:13">
      <c r="A2547" t="s">
        <v>851</v>
      </c>
      <c r="B2547" t="s">
        <v>687</v>
      </c>
      <c r="C2547" t="s">
        <v>687</v>
      </c>
      <c r="D2547" t="s">
        <v>12</v>
      </c>
      <c r="E2547" t="s">
        <v>573</v>
      </c>
      <c r="F2547" t="s">
        <v>40</v>
      </c>
      <c r="G2547">
        <v>2050</v>
      </c>
      <c r="H2547" s="12">
        <v>6503</v>
      </c>
      <c r="I2547" t="s">
        <v>3183</v>
      </c>
      <c r="J2547" t="s">
        <v>6</v>
      </c>
      <c r="K2547" t="s">
        <v>147</v>
      </c>
      <c r="L2547" t="s">
        <v>3184</v>
      </c>
      <c r="M2547" t="s">
        <v>659</v>
      </c>
    </row>
    <row r="2548" spans="1:13">
      <c r="A2548" t="s">
        <v>851</v>
      </c>
      <c r="B2548" t="s">
        <v>686</v>
      </c>
      <c r="C2548" t="s">
        <v>686</v>
      </c>
      <c r="D2548" t="s">
        <v>12</v>
      </c>
      <c r="E2548" t="s">
        <v>573</v>
      </c>
      <c r="F2548" t="s">
        <v>40</v>
      </c>
      <c r="G2548">
        <v>2010</v>
      </c>
      <c r="H2548" s="12">
        <v>465</v>
      </c>
      <c r="I2548" t="s">
        <v>3183</v>
      </c>
      <c r="J2548" t="s">
        <v>394</v>
      </c>
      <c r="K2548" t="s">
        <v>147</v>
      </c>
      <c r="L2548" t="s">
        <v>3184</v>
      </c>
      <c r="M2548" t="s">
        <v>16</v>
      </c>
    </row>
    <row r="2549" spans="1:13">
      <c r="A2549" t="s">
        <v>851</v>
      </c>
      <c r="B2549" t="s">
        <v>686</v>
      </c>
      <c r="C2549" t="s">
        <v>686</v>
      </c>
      <c r="D2549" t="s">
        <v>12</v>
      </c>
      <c r="E2549" t="s">
        <v>573</v>
      </c>
      <c r="F2549" t="s">
        <v>40</v>
      </c>
      <c r="G2549">
        <v>2015</v>
      </c>
      <c r="H2549" s="12">
        <v>393</v>
      </c>
      <c r="I2549" t="s">
        <v>3183</v>
      </c>
      <c r="J2549" t="s">
        <v>394</v>
      </c>
      <c r="K2549" t="s">
        <v>147</v>
      </c>
      <c r="L2549" t="s">
        <v>3184</v>
      </c>
      <c r="M2549" t="s">
        <v>16</v>
      </c>
    </row>
    <row r="2550" spans="1:13">
      <c r="A2550" t="s">
        <v>851</v>
      </c>
      <c r="B2550" t="s">
        <v>686</v>
      </c>
      <c r="C2550" t="s">
        <v>686</v>
      </c>
      <c r="D2550" t="s">
        <v>12</v>
      </c>
      <c r="E2550" t="s">
        <v>573</v>
      </c>
      <c r="F2550" t="s">
        <v>40</v>
      </c>
      <c r="G2550">
        <v>2020</v>
      </c>
      <c r="H2550" s="12">
        <v>237</v>
      </c>
      <c r="I2550" t="s">
        <v>3183</v>
      </c>
      <c r="J2550" t="s">
        <v>394</v>
      </c>
      <c r="K2550" t="s">
        <v>147</v>
      </c>
      <c r="L2550" t="s">
        <v>3184</v>
      </c>
      <c r="M2550" t="s">
        <v>16</v>
      </c>
    </row>
    <row r="2551" spans="1:13">
      <c r="A2551" t="s">
        <v>851</v>
      </c>
      <c r="B2551" t="s">
        <v>686</v>
      </c>
      <c r="C2551" t="s">
        <v>686</v>
      </c>
      <c r="D2551" t="s">
        <v>12</v>
      </c>
      <c r="E2551" t="s">
        <v>573</v>
      </c>
      <c r="F2551" t="s">
        <v>40</v>
      </c>
      <c r="G2551">
        <v>2030</v>
      </c>
      <c r="H2551" s="12">
        <v>135</v>
      </c>
      <c r="I2551" t="s">
        <v>3183</v>
      </c>
      <c r="J2551" t="s">
        <v>394</v>
      </c>
      <c r="K2551" t="s">
        <v>147</v>
      </c>
      <c r="L2551" t="s">
        <v>3184</v>
      </c>
      <c r="M2551" t="s">
        <v>16</v>
      </c>
    </row>
    <row r="2552" spans="1:13">
      <c r="A2552" t="s">
        <v>851</v>
      </c>
      <c r="B2552" t="s">
        <v>686</v>
      </c>
      <c r="C2552" t="s">
        <v>686</v>
      </c>
      <c r="D2552" t="s">
        <v>12</v>
      </c>
      <c r="E2552" t="s">
        <v>573</v>
      </c>
      <c r="F2552" t="s">
        <v>40</v>
      </c>
      <c r="G2552">
        <v>2035</v>
      </c>
      <c r="H2552" s="12">
        <v>110</v>
      </c>
      <c r="I2552" t="s">
        <v>3183</v>
      </c>
      <c r="J2552" t="s">
        <v>394</v>
      </c>
      <c r="K2552" t="s">
        <v>147</v>
      </c>
      <c r="L2552" t="s">
        <v>3184</v>
      </c>
      <c r="M2552" t="s">
        <v>16</v>
      </c>
    </row>
    <row r="2553" spans="1:13">
      <c r="A2553" t="s">
        <v>851</v>
      </c>
      <c r="B2553" t="s">
        <v>686</v>
      </c>
      <c r="C2553" t="s">
        <v>686</v>
      </c>
      <c r="D2553" t="s">
        <v>12</v>
      </c>
      <c r="E2553" t="s">
        <v>573</v>
      </c>
      <c r="F2553" t="s">
        <v>40</v>
      </c>
      <c r="G2553">
        <v>2040</v>
      </c>
      <c r="H2553" s="12">
        <v>93</v>
      </c>
      <c r="I2553" t="s">
        <v>3183</v>
      </c>
      <c r="J2553" t="s">
        <v>394</v>
      </c>
      <c r="K2553" t="s">
        <v>147</v>
      </c>
      <c r="L2553" t="s">
        <v>3184</v>
      </c>
      <c r="M2553" t="s">
        <v>16</v>
      </c>
    </row>
    <row r="2554" spans="1:13">
      <c r="A2554" t="s">
        <v>851</v>
      </c>
      <c r="B2554" t="s">
        <v>686</v>
      </c>
      <c r="C2554" t="s">
        <v>686</v>
      </c>
      <c r="D2554" t="s">
        <v>12</v>
      </c>
      <c r="E2554" t="s">
        <v>573</v>
      </c>
      <c r="F2554" t="s">
        <v>40</v>
      </c>
      <c r="G2554">
        <v>2045</v>
      </c>
      <c r="H2554" s="12">
        <v>80</v>
      </c>
      <c r="I2554" t="s">
        <v>3183</v>
      </c>
      <c r="J2554" t="s">
        <v>394</v>
      </c>
      <c r="K2554" t="s">
        <v>147</v>
      </c>
      <c r="L2554" t="s">
        <v>3184</v>
      </c>
      <c r="M2554" t="s">
        <v>16</v>
      </c>
    </row>
    <row r="2555" spans="1:13">
      <c r="A2555" t="s">
        <v>851</v>
      </c>
      <c r="B2555" t="s">
        <v>686</v>
      </c>
      <c r="C2555" t="s">
        <v>686</v>
      </c>
      <c r="D2555" t="s">
        <v>12</v>
      </c>
      <c r="E2555" t="s">
        <v>573</v>
      </c>
      <c r="F2555" t="s">
        <v>40</v>
      </c>
      <c r="G2555">
        <v>2050</v>
      </c>
      <c r="H2555" s="12">
        <v>70</v>
      </c>
      <c r="I2555" t="s">
        <v>3183</v>
      </c>
      <c r="J2555" t="s">
        <v>394</v>
      </c>
      <c r="K2555" t="s">
        <v>147</v>
      </c>
      <c r="L2555" t="s">
        <v>3184</v>
      </c>
      <c r="M2555" t="s">
        <v>16</v>
      </c>
    </row>
    <row r="2556" spans="1:13">
      <c r="A2556" t="s">
        <v>851</v>
      </c>
      <c r="B2556" t="s">
        <v>687</v>
      </c>
      <c r="C2556" t="s">
        <v>687</v>
      </c>
      <c r="D2556" t="s">
        <v>12</v>
      </c>
      <c r="E2556" t="s">
        <v>573</v>
      </c>
      <c r="F2556" t="s">
        <v>40</v>
      </c>
      <c r="G2556">
        <v>2030</v>
      </c>
      <c r="H2556" s="12">
        <v>133</v>
      </c>
      <c r="I2556" t="s">
        <v>3183</v>
      </c>
      <c r="J2556" t="s">
        <v>394</v>
      </c>
      <c r="K2556" t="s">
        <v>147</v>
      </c>
      <c r="L2556" t="s">
        <v>3184</v>
      </c>
      <c r="M2556" t="s">
        <v>16</v>
      </c>
    </row>
    <row r="2557" spans="1:13">
      <c r="A2557" t="s">
        <v>851</v>
      </c>
      <c r="B2557" t="s">
        <v>687</v>
      </c>
      <c r="C2557" t="s">
        <v>687</v>
      </c>
      <c r="D2557" t="s">
        <v>12</v>
      </c>
      <c r="E2557" t="s">
        <v>573</v>
      </c>
      <c r="F2557" t="s">
        <v>40</v>
      </c>
      <c r="G2557">
        <v>2035</v>
      </c>
      <c r="H2557" s="12">
        <v>110</v>
      </c>
      <c r="I2557" t="s">
        <v>3183</v>
      </c>
      <c r="J2557" t="s">
        <v>394</v>
      </c>
      <c r="K2557" t="s">
        <v>147</v>
      </c>
      <c r="L2557" t="s">
        <v>3184</v>
      </c>
      <c r="M2557" t="s">
        <v>16</v>
      </c>
    </row>
    <row r="2558" spans="1:13">
      <c r="A2558" t="s">
        <v>851</v>
      </c>
      <c r="B2558" t="s">
        <v>687</v>
      </c>
      <c r="C2558" t="s">
        <v>687</v>
      </c>
      <c r="D2558" t="s">
        <v>12</v>
      </c>
      <c r="E2558" t="s">
        <v>573</v>
      </c>
      <c r="F2558" t="s">
        <v>40</v>
      </c>
      <c r="G2558">
        <v>2040</v>
      </c>
      <c r="H2558" s="12">
        <v>93</v>
      </c>
      <c r="I2558" t="s">
        <v>3183</v>
      </c>
      <c r="J2558" t="s">
        <v>394</v>
      </c>
      <c r="K2558" t="s">
        <v>147</v>
      </c>
      <c r="L2558" t="s">
        <v>3184</v>
      </c>
      <c r="M2558" t="s">
        <v>16</v>
      </c>
    </row>
    <row r="2559" spans="1:13">
      <c r="A2559" t="s">
        <v>851</v>
      </c>
      <c r="B2559" t="s">
        <v>687</v>
      </c>
      <c r="C2559" t="s">
        <v>687</v>
      </c>
      <c r="D2559" t="s">
        <v>12</v>
      </c>
      <c r="E2559" t="s">
        <v>573</v>
      </c>
      <c r="F2559" t="s">
        <v>40</v>
      </c>
      <c r="G2559">
        <v>2045</v>
      </c>
      <c r="H2559" s="12">
        <v>80</v>
      </c>
      <c r="I2559" t="s">
        <v>3183</v>
      </c>
      <c r="J2559" t="s">
        <v>394</v>
      </c>
      <c r="K2559" t="s">
        <v>147</v>
      </c>
      <c r="L2559" t="s">
        <v>3184</v>
      </c>
      <c r="M2559" t="s">
        <v>16</v>
      </c>
    </row>
    <row r="2560" spans="1:13">
      <c r="A2560" t="s">
        <v>851</v>
      </c>
      <c r="B2560" t="s">
        <v>687</v>
      </c>
      <c r="C2560" t="s">
        <v>687</v>
      </c>
      <c r="D2560" t="s">
        <v>12</v>
      </c>
      <c r="E2560" t="s">
        <v>573</v>
      </c>
      <c r="F2560" t="s">
        <v>40</v>
      </c>
      <c r="G2560">
        <v>2050</v>
      </c>
      <c r="H2560" s="12">
        <v>70</v>
      </c>
      <c r="I2560" t="s">
        <v>3183</v>
      </c>
      <c r="J2560" t="s">
        <v>394</v>
      </c>
      <c r="K2560" t="s">
        <v>147</v>
      </c>
      <c r="L2560" t="s">
        <v>3184</v>
      </c>
      <c r="M2560" t="s">
        <v>16</v>
      </c>
    </row>
    <row r="2561" spans="1:13">
      <c r="A2561" t="s">
        <v>851</v>
      </c>
      <c r="B2561" t="s">
        <v>686</v>
      </c>
      <c r="C2561" t="s">
        <v>686</v>
      </c>
      <c r="D2561" t="s">
        <v>12</v>
      </c>
      <c r="E2561" t="s">
        <v>573</v>
      </c>
      <c r="F2561" t="s">
        <v>40</v>
      </c>
      <c r="G2561">
        <v>2010</v>
      </c>
      <c r="H2561" s="12">
        <v>2966</v>
      </c>
      <c r="I2561" t="s">
        <v>3183</v>
      </c>
      <c r="J2561" t="s">
        <v>5</v>
      </c>
      <c r="K2561" t="s">
        <v>147</v>
      </c>
      <c r="L2561" t="s">
        <v>3184</v>
      </c>
      <c r="M2561" t="s">
        <v>5</v>
      </c>
    </row>
    <row r="2562" spans="1:13">
      <c r="A2562" t="s">
        <v>851</v>
      </c>
      <c r="B2562" t="s">
        <v>686</v>
      </c>
      <c r="C2562" t="s">
        <v>686</v>
      </c>
      <c r="D2562" t="s">
        <v>12</v>
      </c>
      <c r="E2562" t="s">
        <v>573</v>
      </c>
      <c r="F2562" t="s">
        <v>40</v>
      </c>
      <c r="G2562">
        <v>2015</v>
      </c>
      <c r="H2562" s="12">
        <v>2706</v>
      </c>
      <c r="I2562" t="s">
        <v>3183</v>
      </c>
      <c r="J2562" t="s">
        <v>5</v>
      </c>
      <c r="K2562" t="s">
        <v>147</v>
      </c>
      <c r="L2562" t="s">
        <v>3184</v>
      </c>
      <c r="M2562" t="s">
        <v>5</v>
      </c>
    </row>
    <row r="2563" spans="1:13">
      <c r="A2563" t="s">
        <v>851</v>
      </c>
      <c r="B2563" t="s">
        <v>686</v>
      </c>
      <c r="C2563" t="s">
        <v>686</v>
      </c>
      <c r="D2563" t="s">
        <v>12</v>
      </c>
      <c r="E2563" t="s">
        <v>573</v>
      </c>
      <c r="F2563" t="s">
        <v>40</v>
      </c>
      <c r="G2563">
        <v>2020</v>
      </c>
      <c r="H2563" s="12">
        <v>2604</v>
      </c>
      <c r="I2563" t="s">
        <v>3183</v>
      </c>
      <c r="J2563" t="s">
        <v>5</v>
      </c>
      <c r="K2563" t="s">
        <v>147</v>
      </c>
      <c r="L2563" t="s">
        <v>3184</v>
      </c>
      <c r="M2563" t="s">
        <v>5</v>
      </c>
    </row>
    <row r="2564" spans="1:13">
      <c r="A2564" t="s">
        <v>851</v>
      </c>
      <c r="B2564" t="s">
        <v>686</v>
      </c>
      <c r="C2564" t="s">
        <v>686</v>
      </c>
      <c r="D2564" t="s">
        <v>12</v>
      </c>
      <c r="E2564" t="s">
        <v>660</v>
      </c>
      <c r="F2564" t="s">
        <v>40</v>
      </c>
      <c r="G2564">
        <v>2045</v>
      </c>
      <c r="H2564" s="12">
        <v>3000</v>
      </c>
      <c r="I2564" t="s">
        <v>3183</v>
      </c>
      <c r="J2564" t="s">
        <v>5</v>
      </c>
      <c r="K2564" t="s">
        <v>657</v>
      </c>
      <c r="L2564" t="s">
        <v>3184</v>
      </c>
      <c r="M2564" t="s">
        <v>5</v>
      </c>
    </row>
    <row r="2565" spans="1:13">
      <c r="A2565" t="s">
        <v>851</v>
      </c>
      <c r="B2565" t="s">
        <v>686</v>
      </c>
      <c r="C2565" t="s">
        <v>686</v>
      </c>
      <c r="D2565" t="s">
        <v>12</v>
      </c>
      <c r="E2565" t="s">
        <v>660</v>
      </c>
      <c r="F2565" t="s">
        <v>40</v>
      </c>
      <c r="G2565">
        <v>2050</v>
      </c>
      <c r="H2565" s="12">
        <v>2994</v>
      </c>
      <c r="I2565" t="s">
        <v>3183</v>
      </c>
      <c r="J2565" t="s">
        <v>5</v>
      </c>
      <c r="K2565" t="s">
        <v>657</v>
      </c>
      <c r="L2565" t="s">
        <v>3184</v>
      </c>
      <c r="M2565" t="s">
        <v>5</v>
      </c>
    </row>
    <row r="2566" spans="1:13">
      <c r="A2566" t="s">
        <v>851</v>
      </c>
      <c r="B2566" t="s">
        <v>687</v>
      </c>
      <c r="C2566" t="s">
        <v>687</v>
      </c>
      <c r="D2566" t="s">
        <v>12</v>
      </c>
      <c r="E2566" t="s">
        <v>660</v>
      </c>
      <c r="F2566" t="s">
        <v>40</v>
      </c>
      <c r="G2566">
        <v>2030</v>
      </c>
      <c r="H2566" s="12">
        <v>3297</v>
      </c>
      <c r="I2566" t="s">
        <v>3183</v>
      </c>
      <c r="J2566" t="s">
        <v>5</v>
      </c>
      <c r="K2566" t="s">
        <v>657</v>
      </c>
      <c r="L2566" t="s">
        <v>3184</v>
      </c>
      <c r="M2566" t="s">
        <v>5</v>
      </c>
    </row>
    <row r="2567" spans="1:13">
      <c r="A2567" t="s">
        <v>851</v>
      </c>
      <c r="B2567" t="s">
        <v>687</v>
      </c>
      <c r="C2567" t="s">
        <v>687</v>
      </c>
      <c r="D2567" t="s">
        <v>12</v>
      </c>
      <c r="E2567" t="s">
        <v>660</v>
      </c>
      <c r="F2567" t="s">
        <v>40</v>
      </c>
      <c r="G2567">
        <v>2035</v>
      </c>
      <c r="H2567" s="12">
        <v>3113</v>
      </c>
      <c r="I2567" t="s">
        <v>3183</v>
      </c>
      <c r="J2567" t="s">
        <v>5</v>
      </c>
      <c r="K2567" t="s">
        <v>657</v>
      </c>
      <c r="L2567" t="s">
        <v>3184</v>
      </c>
      <c r="M2567" t="s">
        <v>5</v>
      </c>
    </row>
    <row r="2568" spans="1:13">
      <c r="A2568" t="s">
        <v>851</v>
      </c>
      <c r="B2568" t="s">
        <v>687</v>
      </c>
      <c r="C2568" t="s">
        <v>687</v>
      </c>
      <c r="D2568" t="s">
        <v>12</v>
      </c>
      <c r="E2568" t="s">
        <v>660</v>
      </c>
      <c r="F2568" t="s">
        <v>40</v>
      </c>
      <c r="G2568">
        <v>2040</v>
      </c>
      <c r="H2568" s="12">
        <v>2941</v>
      </c>
      <c r="I2568" t="s">
        <v>3183</v>
      </c>
      <c r="J2568" t="s">
        <v>5</v>
      </c>
      <c r="K2568" t="s">
        <v>657</v>
      </c>
      <c r="L2568" t="s">
        <v>3184</v>
      </c>
      <c r="M2568" t="s">
        <v>5</v>
      </c>
    </row>
    <row r="2569" spans="1:13">
      <c r="A2569" t="s">
        <v>851</v>
      </c>
      <c r="B2569" t="s">
        <v>687</v>
      </c>
      <c r="C2569" t="s">
        <v>687</v>
      </c>
      <c r="D2569" t="s">
        <v>12</v>
      </c>
      <c r="E2569" t="s">
        <v>660</v>
      </c>
      <c r="F2569" t="s">
        <v>40</v>
      </c>
      <c r="G2569">
        <v>2045</v>
      </c>
      <c r="H2569" s="12">
        <v>2821</v>
      </c>
      <c r="I2569" t="s">
        <v>3183</v>
      </c>
      <c r="J2569" t="s">
        <v>5</v>
      </c>
      <c r="K2569" t="s">
        <v>657</v>
      </c>
      <c r="L2569" t="s">
        <v>3184</v>
      </c>
      <c r="M2569" t="s">
        <v>5</v>
      </c>
    </row>
    <row r="2570" spans="1:13">
      <c r="A2570" t="s">
        <v>851</v>
      </c>
      <c r="B2570" t="s">
        <v>687</v>
      </c>
      <c r="C2570" t="s">
        <v>687</v>
      </c>
      <c r="D2570" t="s">
        <v>12</v>
      </c>
      <c r="E2570" t="s">
        <v>660</v>
      </c>
      <c r="F2570" t="s">
        <v>40</v>
      </c>
      <c r="G2570">
        <v>2050</v>
      </c>
      <c r="H2570" s="12">
        <v>2784</v>
      </c>
      <c r="I2570" t="s">
        <v>3183</v>
      </c>
      <c r="J2570" t="s">
        <v>5</v>
      </c>
      <c r="K2570" t="s">
        <v>657</v>
      </c>
      <c r="L2570" t="s">
        <v>3184</v>
      </c>
      <c r="M2570" t="s">
        <v>5</v>
      </c>
    </row>
    <row r="2571" spans="1:13">
      <c r="A2571" t="s">
        <v>851</v>
      </c>
      <c r="B2571" t="s">
        <v>686</v>
      </c>
      <c r="C2571" t="s">
        <v>686</v>
      </c>
      <c r="D2571" t="s">
        <v>12</v>
      </c>
      <c r="E2571" t="s">
        <v>573</v>
      </c>
      <c r="F2571" t="s">
        <v>40</v>
      </c>
      <c r="G2571">
        <v>2010</v>
      </c>
      <c r="H2571" s="12">
        <v>1874</v>
      </c>
      <c r="I2571" t="s">
        <v>3183</v>
      </c>
      <c r="J2571" t="s">
        <v>15</v>
      </c>
      <c r="K2571" t="s">
        <v>147</v>
      </c>
      <c r="L2571" t="s">
        <v>3184</v>
      </c>
      <c r="M2571" t="s">
        <v>15</v>
      </c>
    </row>
    <row r="2572" spans="1:13">
      <c r="A2572" t="s">
        <v>851</v>
      </c>
      <c r="B2572" t="s">
        <v>686</v>
      </c>
      <c r="C2572" t="s">
        <v>686</v>
      </c>
      <c r="D2572" t="s">
        <v>12</v>
      </c>
      <c r="E2572" t="s">
        <v>573</v>
      </c>
      <c r="F2572" t="s">
        <v>40</v>
      </c>
      <c r="G2572">
        <v>2015</v>
      </c>
      <c r="H2572" s="12">
        <v>2147</v>
      </c>
      <c r="I2572" t="s">
        <v>3183</v>
      </c>
      <c r="J2572" t="s">
        <v>15</v>
      </c>
      <c r="K2572" t="s">
        <v>147</v>
      </c>
      <c r="L2572" t="s">
        <v>3184</v>
      </c>
      <c r="M2572" t="s">
        <v>15</v>
      </c>
    </row>
    <row r="2573" spans="1:13">
      <c r="A2573" t="s">
        <v>851</v>
      </c>
      <c r="B2573" t="s">
        <v>686</v>
      </c>
      <c r="C2573" t="s">
        <v>686</v>
      </c>
      <c r="D2573" t="s">
        <v>12</v>
      </c>
      <c r="E2573" t="s">
        <v>573</v>
      </c>
      <c r="F2573" t="s">
        <v>40</v>
      </c>
      <c r="G2573">
        <v>2020</v>
      </c>
      <c r="H2573" s="12">
        <v>2368</v>
      </c>
      <c r="I2573" t="s">
        <v>3183</v>
      </c>
      <c r="J2573" t="s">
        <v>15</v>
      </c>
      <c r="K2573" t="s">
        <v>147</v>
      </c>
      <c r="L2573" t="s">
        <v>3184</v>
      </c>
      <c r="M2573" t="s">
        <v>15</v>
      </c>
    </row>
    <row r="2574" spans="1:13">
      <c r="A2574" t="s">
        <v>851</v>
      </c>
      <c r="B2574" t="s">
        <v>686</v>
      </c>
      <c r="C2574" t="s">
        <v>686</v>
      </c>
      <c r="D2574" t="s">
        <v>12</v>
      </c>
      <c r="E2574" t="s">
        <v>573</v>
      </c>
      <c r="F2574" t="s">
        <v>40</v>
      </c>
      <c r="G2574">
        <v>2030</v>
      </c>
      <c r="H2574" s="12">
        <v>2505</v>
      </c>
      <c r="I2574" t="s">
        <v>3183</v>
      </c>
      <c r="J2574" t="s">
        <v>15</v>
      </c>
      <c r="K2574" t="s">
        <v>147</v>
      </c>
      <c r="L2574" t="s">
        <v>3184</v>
      </c>
      <c r="M2574" t="s">
        <v>15</v>
      </c>
    </row>
    <row r="2575" spans="1:13">
      <c r="A2575" t="s">
        <v>851</v>
      </c>
      <c r="B2575" t="s">
        <v>686</v>
      </c>
      <c r="C2575" t="s">
        <v>686</v>
      </c>
      <c r="D2575" t="s">
        <v>12</v>
      </c>
      <c r="E2575" t="s">
        <v>573</v>
      </c>
      <c r="F2575" t="s">
        <v>40</v>
      </c>
      <c r="G2575">
        <v>2035</v>
      </c>
      <c r="H2575" s="12">
        <v>2773</v>
      </c>
      <c r="I2575" t="s">
        <v>3183</v>
      </c>
      <c r="J2575" t="s">
        <v>15</v>
      </c>
      <c r="K2575" t="s">
        <v>147</v>
      </c>
      <c r="L2575" t="s">
        <v>3184</v>
      </c>
      <c r="M2575" t="s">
        <v>15</v>
      </c>
    </row>
    <row r="2576" spans="1:13">
      <c r="A2576" t="s">
        <v>851</v>
      </c>
      <c r="B2576" t="s">
        <v>686</v>
      </c>
      <c r="C2576" t="s">
        <v>686</v>
      </c>
      <c r="D2576" t="s">
        <v>12</v>
      </c>
      <c r="E2576" t="s">
        <v>573</v>
      </c>
      <c r="F2576" t="s">
        <v>40</v>
      </c>
      <c r="G2576">
        <v>2040</v>
      </c>
      <c r="H2576" s="12">
        <v>2859</v>
      </c>
      <c r="I2576" t="s">
        <v>3183</v>
      </c>
      <c r="J2576" t="s">
        <v>15</v>
      </c>
      <c r="K2576" t="s">
        <v>147</v>
      </c>
      <c r="L2576" t="s">
        <v>3184</v>
      </c>
      <c r="M2576" t="s">
        <v>15</v>
      </c>
    </row>
    <row r="2577" spans="1:13">
      <c r="A2577" t="s">
        <v>851</v>
      </c>
      <c r="B2577" t="s">
        <v>686</v>
      </c>
      <c r="C2577" t="s">
        <v>686</v>
      </c>
      <c r="D2577" t="s">
        <v>12</v>
      </c>
      <c r="E2577" t="s">
        <v>573</v>
      </c>
      <c r="F2577" t="s">
        <v>40</v>
      </c>
      <c r="G2577">
        <v>2045</v>
      </c>
      <c r="H2577" s="12">
        <v>2968</v>
      </c>
      <c r="I2577" t="s">
        <v>3183</v>
      </c>
      <c r="J2577" t="s">
        <v>15</v>
      </c>
      <c r="K2577" t="s">
        <v>147</v>
      </c>
      <c r="L2577" t="s">
        <v>3184</v>
      </c>
      <c r="M2577" t="s">
        <v>15</v>
      </c>
    </row>
    <row r="2578" spans="1:13">
      <c r="A2578" t="s">
        <v>851</v>
      </c>
      <c r="B2578" t="s">
        <v>686</v>
      </c>
      <c r="C2578" t="s">
        <v>686</v>
      </c>
      <c r="D2578" t="s">
        <v>12</v>
      </c>
      <c r="E2578" t="s">
        <v>573</v>
      </c>
      <c r="F2578" t="s">
        <v>40</v>
      </c>
      <c r="G2578">
        <v>2050</v>
      </c>
      <c r="H2578" s="12">
        <v>3090</v>
      </c>
      <c r="I2578" t="s">
        <v>3183</v>
      </c>
      <c r="J2578" t="s">
        <v>15</v>
      </c>
      <c r="K2578" t="s">
        <v>147</v>
      </c>
      <c r="L2578" t="s">
        <v>3184</v>
      </c>
      <c r="M2578" t="s">
        <v>15</v>
      </c>
    </row>
    <row r="2579" spans="1:13">
      <c r="A2579" t="s">
        <v>851</v>
      </c>
      <c r="B2579" t="s">
        <v>687</v>
      </c>
      <c r="C2579" t="s">
        <v>687</v>
      </c>
      <c r="D2579" t="s">
        <v>12</v>
      </c>
      <c r="E2579" t="s">
        <v>573</v>
      </c>
      <c r="F2579" t="s">
        <v>40</v>
      </c>
      <c r="G2579">
        <v>2030</v>
      </c>
      <c r="H2579" s="12">
        <v>2532</v>
      </c>
      <c r="I2579" t="s">
        <v>3183</v>
      </c>
      <c r="J2579" t="s">
        <v>15</v>
      </c>
      <c r="K2579" t="s">
        <v>147</v>
      </c>
      <c r="L2579" t="s">
        <v>3184</v>
      </c>
      <c r="M2579" t="s">
        <v>15</v>
      </c>
    </row>
    <row r="2580" spans="1:13">
      <c r="A2580" t="s">
        <v>851</v>
      </c>
      <c r="B2580" t="s">
        <v>687</v>
      </c>
      <c r="C2580" t="s">
        <v>687</v>
      </c>
      <c r="D2580" t="s">
        <v>12</v>
      </c>
      <c r="E2580" t="s">
        <v>573</v>
      </c>
      <c r="F2580" t="s">
        <v>40</v>
      </c>
      <c r="G2580">
        <v>2035</v>
      </c>
      <c r="H2580" s="12">
        <v>2814</v>
      </c>
      <c r="I2580" t="s">
        <v>3183</v>
      </c>
      <c r="J2580" t="s">
        <v>15</v>
      </c>
      <c r="K2580" t="s">
        <v>147</v>
      </c>
      <c r="L2580" t="s">
        <v>3184</v>
      </c>
      <c r="M2580" t="s">
        <v>15</v>
      </c>
    </row>
    <row r="2581" spans="1:13">
      <c r="A2581" t="s">
        <v>851</v>
      </c>
      <c r="B2581" t="s">
        <v>687</v>
      </c>
      <c r="C2581" t="s">
        <v>687</v>
      </c>
      <c r="D2581" t="s">
        <v>12</v>
      </c>
      <c r="E2581" t="s">
        <v>573</v>
      </c>
      <c r="F2581" t="s">
        <v>40</v>
      </c>
      <c r="G2581">
        <v>2040</v>
      </c>
      <c r="H2581" s="12">
        <v>2904</v>
      </c>
      <c r="I2581" t="s">
        <v>3183</v>
      </c>
      <c r="J2581" t="s">
        <v>15</v>
      </c>
      <c r="K2581" t="s">
        <v>147</v>
      </c>
      <c r="L2581" t="s">
        <v>3184</v>
      </c>
      <c r="M2581" t="s">
        <v>15</v>
      </c>
    </row>
    <row r="2582" spans="1:13">
      <c r="A2582" t="s">
        <v>851</v>
      </c>
      <c r="B2582" t="s">
        <v>687</v>
      </c>
      <c r="C2582" t="s">
        <v>687</v>
      </c>
      <c r="D2582" t="s">
        <v>12</v>
      </c>
      <c r="E2582" t="s">
        <v>573</v>
      </c>
      <c r="F2582" t="s">
        <v>40</v>
      </c>
      <c r="G2582">
        <v>2045</v>
      </c>
      <c r="H2582" s="12">
        <v>3016</v>
      </c>
      <c r="I2582" t="s">
        <v>3183</v>
      </c>
      <c r="J2582" t="s">
        <v>15</v>
      </c>
      <c r="K2582" t="s">
        <v>147</v>
      </c>
      <c r="L2582" t="s">
        <v>3184</v>
      </c>
      <c r="M2582" t="s">
        <v>15</v>
      </c>
    </row>
    <row r="2583" spans="1:13">
      <c r="A2583" t="s">
        <v>851</v>
      </c>
      <c r="B2583" t="s">
        <v>687</v>
      </c>
      <c r="C2583" t="s">
        <v>687</v>
      </c>
      <c r="D2583" t="s">
        <v>12</v>
      </c>
      <c r="E2583" t="s">
        <v>573</v>
      </c>
      <c r="F2583" t="s">
        <v>40</v>
      </c>
      <c r="G2583">
        <v>2050</v>
      </c>
      <c r="H2583" s="12">
        <v>3149</v>
      </c>
      <c r="I2583" t="s">
        <v>3183</v>
      </c>
      <c r="J2583" t="s">
        <v>15</v>
      </c>
      <c r="K2583" t="s">
        <v>147</v>
      </c>
      <c r="L2583" t="s">
        <v>3184</v>
      </c>
      <c r="M2583" t="s">
        <v>15</v>
      </c>
    </row>
    <row r="2584" spans="1:13">
      <c r="A2584" t="s">
        <v>851</v>
      </c>
      <c r="B2584" t="s">
        <v>686</v>
      </c>
      <c r="C2584" t="s">
        <v>686</v>
      </c>
      <c r="D2584" t="s">
        <v>12</v>
      </c>
      <c r="E2584" t="s">
        <v>573</v>
      </c>
      <c r="F2584" t="s">
        <v>40</v>
      </c>
      <c r="G2584">
        <v>2010</v>
      </c>
      <c r="H2584" s="12">
        <v>9266</v>
      </c>
      <c r="I2584" t="s">
        <v>3183</v>
      </c>
      <c r="J2584" t="s">
        <v>6</v>
      </c>
      <c r="K2584" t="s">
        <v>147</v>
      </c>
      <c r="L2584" t="s">
        <v>3184</v>
      </c>
      <c r="M2584" t="s">
        <v>659</v>
      </c>
    </row>
    <row r="2585" spans="1:13">
      <c r="A2585" t="s">
        <v>851</v>
      </c>
      <c r="B2585" t="s">
        <v>686</v>
      </c>
      <c r="C2585" t="s">
        <v>686</v>
      </c>
      <c r="D2585" t="s">
        <v>12</v>
      </c>
      <c r="E2585" t="s">
        <v>573</v>
      </c>
      <c r="F2585" t="s">
        <v>40</v>
      </c>
      <c r="G2585">
        <v>2015</v>
      </c>
      <c r="H2585" s="12">
        <v>8602</v>
      </c>
      <c r="I2585" t="s">
        <v>3183</v>
      </c>
      <c r="J2585" t="s">
        <v>6</v>
      </c>
      <c r="K2585" t="s">
        <v>147</v>
      </c>
      <c r="L2585" t="s">
        <v>3184</v>
      </c>
      <c r="M2585" t="s">
        <v>659</v>
      </c>
    </row>
    <row r="2586" spans="1:13">
      <c r="A2586" t="s">
        <v>851</v>
      </c>
      <c r="B2586" t="s">
        <v>686</v>
      </c>
      <c r="C2586" t="s">
        <v>686</v>
      </c>
      <c r="D2586" t="s">
        <v>12</v>
      </c>
      <c r="E2586" t="s">
        <v>573</v>
      </c>
      <c r="F2586" t="s">
        <v>40</v>
      </c>
      <c r="G2586">
        <v>2020</v>
      </c>
      <c r="H2586" s="12">
        <v>8138</v>
      </c>
      <c r="I2586" t="s">
        <v>3183</v>
      </c>
      <c r="J2586" t="s">
        <v>6</v>
      </c>
      <c r="K2586" t="s">
        <v>147</v>
      </c>
      <c r="L2586" t="s">
        <v>3184</v>
      </c>
      <c r="M2586" t="s">
        <v>659</v>
      </c>
    </row>
    <row r="2587" spans="1:13">
      <c r="A2587" t="s">
        <v>851</v>
      </c>
      <c r="B2587" t="s">
        <v>686</v>
      </c>
      <c r="C2587" t="s">
        <v>686</v>
      </c>
      <c r="D2587" t="s">
        <v>12</v>
      </c>
      <c r="E2587" t="s">
        <v>573</v>
      </c>
      <c r="F2587" t="s">
        <v>40</v>
      </c>
      <c r="G2587">
        <v>2030</v>
      </c>
      <c r="H2587" s="12">
        <v>8031</v>
      </c>
      <c r="I2587" t="s">
        <v>3183</v>
      </c>
      <c r="J2587" t="s">
        <v>6</v>
      </c>
      <c r="K2587" t="s">
        <v>147</v>
      </c>
      <c r="L2587" t="s">
        <v>3184</v>
      </c>
      <c r="M2587" t="s">
        <v>659</v>
      </c>
    </row>
    <row r="2588" spans="1:13">
      <c r="A2588" t="s">
        <v>851</v>
      </c>
      <c r="B2588" t="s">
        <v>686</v>
      </c>
      <c r="C2588" t="s">
        <v>686</v>
      </c>
      <c r="D2588" t="s">
        <v>12</v>
      </c>
      <c r="E2588" t="s">
        <v>573</v>
      </c>
      <c r="F2588" t="s">
        <v>40</v>
      </c>
      <c r="G2588">
        <v>2035</v>
      </c>
      <c r="H2588" s="12">
        <v>7612</v>
      </c>
      <c r="I2588" t="s">
        <v>3183</v>
      </c>
      <c r="J2588" t="s">
        <v>6</v>
      </c>
      <c r="K2588" t="s">
        <v>147</v>
      </c>
      <c r="L2588" t="s">
        <v>3184</v>
      </c>
      <c r="M2588" t="s">
        <v>659</v>
      </c>
    </row>
    <row r="2589" spans="1:13">
      <c r="A2589" t="s">
        <v>851</v>
      </c>
      <c r="B2589" t="s">
        <v>686</v>
      </c>
      <c r="C2589" t="s">
        <v>686</v>
      </c>
      <c r="D2589" t="s">
        <v>12</v>
      </c>
      <c r="E2589" t="s">
        <v>573</v>
      </c>
      <c r="F2589" t="s">
        <v>40</v>
      </c>
      <c r="G2589">
        <v>2030</v>
      </c>
      <c r="H2589" s="12">
        <v>1717</v>
      </c>
      <c r="I2589" t="s">
        <v>3183</v>
      </c>
      <c r="J2589" t="s">
        <v>5</v>
      </c>
      <c r="K2589" t="s">
        <v>147</v>
      </c>
      <c r="L2589" t="s">
        <v>3184</v>
      </c>
      <c r="M2589" t="s">
        <v>5</v>
      </c>
    </row>
    <row r="2590" spans="1:13">
      <c r="A2590" t="s">
        <v>851</v>
      </c>
      <c r="B2590" t="s">
        <v>686</v>
      </c>
      <c r="C2590" t="s">
        <v>686</v>
      </c>
      <c r="D2590" t="s">
        <v>12</v>
      </c>
      <c r="E2590" t="s">
        <v>573</v>
      </c>
      <c r="F2590" t="s">
        <v>40</v>
      </c>
      <c r="G2590">
        <v>2035</v>
      </c>
      <c r="H2590" s="12">
        <v>1597</v>
      </c>
      <c r="I2590" t="s">
        <v>3183</v>
      </c>
      <c r="J2590" t="s">
        <v>5</v>
      </c>
      <c r="K2590" t="s">
        <v>147</v>
      </c>
      <c r="L2590" t="s">
        <v>3184</v>
      </c>
      <c r="M2590" t="s">
        <v>5</v>
      </c>
    </row>
    <row r="2591" spans="1:13">
      <c r="A2591" t="s">
        <v>851</v>
      </c>
      <c r="B2591" t="s">
        <v>686</v>
      </c>
      <c r="C2591" t="s">
        <v>686</v>
      </c>
      <c r="D2591" t="s">
        <v>12</v>
      </c>
      <c r="E2591" t="s">
        <v>573</v>
      </c>
      <c r="F2591" t="s">
        <v>40</v>
      </c>
      <c r="G2591">
        <v>2040</v>
      </c>
      <c r="H2591" s="12">
        <v>1453</v>
      </c>
      <c r="I2591" t="s">
        <v>3183</v>
      </c>
      <c r="J2591" t="s">
        <v>5</v>
      </c>
      <c r="K2591" t="s">
        <v>147</v>
      </c>
      <c r="L2591" t="s">
        <v>3184</v>
      </c>
      <c r="M2591" t="s">
        <v>5</v>
      </c>
    </row>
    <row r="2592" spans="1:13">
      <c r="A2592" t="s">
        <v>851</v>
      </c>
      <c r="B2592" t="s">
        <v>686</v>
      </c>
      <c r="C2592" t="s">
        <v>686</v>
      </c>
      <c r="D2592" t="s">
        <v>12</v>
      </c>
      <c r="E2592" t="s">
        <v>573</v>
      </c>
      <c r="F2592" t="s">
        <v>40</v>
      </c>
      <c r="G2592">
        <v>2045</v>
      </c>
      <c r="H2592" s="12">
        <v>1431</v>
      </c>
      <c r="I2592" t="s">
        <v>3183</v>
      </c>
      <c r="J2592" t="s">
        <v>5</v>
      </c>
      <c r="K2592" t="s">
        <v>147</v>
      </c>
      <c r="L2592" t="s">
        <v>3184</v>
      </c>
      <c r="M2592" t="s">
        <v>5</v>
      </c>
    </row>
    <row r="2593" spans="1:13">
      <c r="A2593" t="s">
        <v>851</v>
      </c>
      <c r="B2593" t="s">
        <v>686</v>
      </c>
      <c r="C2593" t="s">
        <v>686</v>
      </c>
      <c r="D2593" t="s">
        <v>12</v>
      </c>
      <c r="E2593" t="s">
        <v>573</v>
      </c>
      <c r="F2593" t="s">
        <v>40</v>
      </c>
      <c r="G2593">
        <v>2050</v>
      </c>
      <c r="H2593" s="12">
        <v>1445</v>
      </c>
      <c r="I2593" t="s">
        <v>3183</v>
      </c>
      <c r="J2593" t="s">
        <v>5</v>
      </c>
      <c r="K2593" t="s">
        <v>147</v>
      </c>
      <c r="L2593" t="s">
        <v>3184</v>
      </c>
      <c r="M2593" t="s">
        <v>5</v>
      </c>
    </row>
    <row r="2594" spans="1:13">
      <c r="A2594" t="s">
        <v>851</v>
      </c>
      <c r="B2594" t="s">
        <v>687</v>
      </c>
      <c r="C2594" t="s">
        <v>687</v>
      </c>
      <c r="D2594" t="s">
        <v>12</v>
      </c>
      <c r="E2594" t="s">
        <v>573</v>
      </c>
      <c r="F2594" t="s">
        <v>40</v>
      </c>
      <c r="G2594">
        <v>2030</v>
      </c>
      <c r="H2594" s="12">
        <v>1742</v>
      </c>
      <c r="I2594" t="s">
        <v>3183</v>
      </c>
      <c r="J2594" t="s">
        <v>5</v>
      </c>
      <c r="K2594" t="s">
        <v>147</v>
      </c>
      <c r="L2594" t="s">
        <v>3184</v>
      </c>
      <c r="M2594" t="s">
        <v>5</v>
      </c>
    </row>
    <row r="2595" spans="1:13">
      <c r="A2595" t="s">
        <v>851</v>
      </c>
      <c r="B2595" t="s">
        <v>687</v>
      </c>
      <c r="C2595" t="s">
        <v>687</v>
      </c>
      <c r="D2595" t="s">
        <v>12</v>
      </c>
      <c r="E2595" t="s">
        <v>573</v>
      </c>
      <c r="F2595" t="s">
        <v>40</v>
      </c>
      <c r="G2595">
        <v>2035</v>
      </c>
      <c r="H2595" s="12">
        <v>1615</v>
      </c>
      <c r="I2595" t="s">
        <v>3183</v>
      </c>
      <c r="J2595" t="s">
        <v>5</v>
      </c>
      <c r="K2595" t="s">
        <v>147</v>
      </c>
      <c r="L2595" t="s">
        <v>3184</v>
      </c>
      <c r="M2595" t="s">
        <v>5</v>
      </c>
    </row>
    <row r="2596" spans="1:13">
      <c r="A2596" t="s">
        <v>851</v>
      </c>
      <c r="B2596" t="s">
        <v>687</v>
      </c>
      <c r="C2596" t="s">
        <v>687</v>
      </c>
      <c r="D2596" t="s">
        <v>12</v>
      </c>
      <c r="E2596" t="s">
        <v>573</v>
      </c>
      <c r="F2596" t="s">
        <v>40</v>
      </c>
      <c r="G2596">
        <v>2040</v>
      </c>
      <c r="H2596" s="12">
        <v>1484</v>
      </c>
      <c r="I2596" t="s">
        <v>3183</v>
      </c>
      <c r="J2596" t="s">
        <v>5</v>
      </c>
      <c r="K2596" t="s">
        <v>147</v>
      </c>
      <c r="L2596" t="s">
        <v>3184</v>
      </c>
      <c r="M2596" t="s">
        <v>5</v>
      </c>
    </row>
    <row r="2597" spans="1:13">
      <c r="A2597" t="s">
        <v>851</v>
      </c>
      <c r="B2597" t="s">
        <v>687</v>
      </c>
      <c r="C2597" t="s">
        <v>687</v>
      </c>
      <c r="D2597" t="s">
        <v>12</v>
      </c>
      <c r="E2597" t="s">
        <v>573</v>
      </c>
      <c r="F2597" t="s">
        <v>40</v>
      </c>
      <c r="G2597">
        <v>2045</v>
      </c>
      <c r="H2597" s="12">
        <v>1404</v>
      </c>
      <c r="I2597" t="s">
        <v>3183</v>
      </c>
      <c r="J2597" t="s">
        <v>5</v>
      </c>
      <c r="K2597" t="s">
        <v>147</v>
      </c>
      <c r="L2597" t="s">
        <v>3184</v>
      </c>
      <c r="M2597" t="s">
        <v>5</v>
      </c>
    </row>
    <row r="2598" spans="1:13">
      <c r="A2598" t="s">
        <v>851</v>
      </c>
      <c r="B2598" t="s">
        <v>687</v>
      </c>
      <c r="C2598" t="s">
        <v>687</v>
      </c>
      <c r="D2598" t="s">
        <v>12</v>
      </c>
      <c r="E2598" t="s">
        <v>573</v>
      </c>
      <c r="F2598" t="s">
        <v>40</v>
      </c>
      <c r="G2598">
        <v>2050</v>
      </c>
      <c r="H2598" s="12">
        <v>1400</v>
      </c>
      <c r="I2598" t="s">
        <v>3183</v>
      </c>
      <c r="J2598" t="s">
        <v>5</v>
      </c>
      <c r="K2598" t="s">
        <v>147</v>
      </c>
      <c r="L2598" t="s">
        <v>3184</v>
      </c>
      <c r="M2598" t="s">
        <v>5</v>
      </c>
    </row>
    <row r="2599" spans="1:13">
      <c r="A2599" t="s">
        <v>851</v>
      </c>
      <c r="B2599" t="s">
        <v>686</v>
      </c>
      <c r="C2599" t="s">
        <v>686</v>
      </c>
      <c r="D2599" t="s">
        <v>3185</v>
      </c>
      <c r="E2599" t="s">
        <v>656</v>
      </c>
      <c r="F2599" t="s">
        <v>31</v>
      </c>
      <c r="G2599">
        <v>2035</v>
      </c>
      <c r="H2599" s="12">
        <v>1804.73</v>
      </c>
      <c r="I2599" t="s">
        <v>3183</v>
      </c>
      <c r="J2599" t="s">
        <v>5</v>
      </c>
      <c r="K2599" t="s">
        <v>147</v>
      </c>
      <c r="L2599" t="s">
        <v>649</v>
      </c>
      <c r="M2599" t="s">
        <v>665</v>
      </c>
    </row>
    <row r="2600" spans="1:13">
      <c r="A2600" t="s">
        <v>851</v>
      </c>
      <c r="B2600" t="s">
        <v>686</v>
      </c>
      <c r="C2600" t="s">
        <v>686</v>
      </c>
      <c r="D2600" t="s">
        <v>3185</v>
      </c>
      <c r="E2600" t="s">
        <v>656</v>
      </c>
      <c r="F2600" t="s">
        <v>31</v>
      </c>
      <c r="G2600">
        <v>2040</v>
      </c>
      <c r="H2600" s="12">
        <v>1755.4</v>
      </c>
      <c r="I2600" t="s">
        <v>3183</v>
      </c>
      <c r="J2600" t="s">
        <v>5</v>
      </c>
      <c r="K2600" t="s">
        <v>147</v>
      </c>
      <c r="L2600" t="s">
        <v>649</v>
      </c>
      <c r="M2600" t="s">
        <v>665</v>
      </c>
    </row>
    <row r="2601" spans="1:13">
      <c r="A2601" t="s">
        <v>851</v>
      </c>
      <c r="B2601" t="s">
        <v>686</v>
      </c>
      <c r="C2601" t="s">
        <v>686</v>
      </c>
      <c r="D2601" t="s">
        <v>3185</v>
      </c>
      <c r="E2601" t="s">
        <v>656</v>
      </c>
      <c r="F2601" t="s">
        <v>31</v>
      </c>
      <c r="G2601">
        <v>2045</v>
      </c>
      <c r="H2601" s="12">
        <v>1576.15</v>
      </c>
      <c r="I2601" t="s">
        <v>3183</v>
      </c>
      <c r="J2601" t="s">
        <v>5</v>
      </c>
      <c r="K2601" t="s">
        <v>147</v>
      </c>
      <c r="L2601" t="s">
        <v>649</v>
      </c>
      <c r="M2601" t="s">
        <v>665</v>
      </c>
    </row>
    <row r="2602" spans="1:13">
      <c r="A2602" t="s">
        <v>851</v>
      </c>
      <c r="B2602" t="s">
        <v>686</v>
      </c>
      <c r="C2602" t="s">
        <v>686</v>
      </c>
      <c r="D2602" t="s">
        <v>3185</v>
      </c>
      <c r="E2602" t="s">
        <v>656</v>
      </c>
      <c r="F2602" t="s">
        <v>31</v>
      </c>
      <c r="G2602">
        <v>2050</v>
      </c>
      <c r="H2602" s="12">
        <v>1413.41</v>
      </c>
      <c r="I2602" t="s">
        <v>3183</v>
      </c>
      <c r="J2602" t="s">
        <v>5</v>
      </c>
      <c r="K2602" t="s">
        <v>147</v>
      </c>
      <c r="L2602" t="s">
        <v>649</v>
      </c>
      <c r="M2602" t="s">
        <v>665</v>
      </c>
    </row>
    <row r="2603" spans="1:13">
      <c r="A2603" t="s">
        <v>851</v>
      </c>
      <c r="B2603" t="s">
        <v>687</v>
      </c>
      <c r="C2603" t="s">
        <v>687</v>
      </c>
      <c r="D2603" t="s">
        <v>3185</v>
      </c>
      <c r="E2603" t="s">
        <v>656</v>
      </c>
      <c r="F2603" t="s">
        <v>31</v>
      </c>
      <c r="G2603">
        <v>2030</v>
      </c>
      <c r="H2603" s="12">
        <v>1759.93</v>
      </c>
      <c r="I2603" t="s">
        <v>3183</v>
      </c>
      <c r="J2603" t="s">
        <v>5</v>
      </c>
      <c r="K2603" t="s">
        <v>147</v>
      </c>
      <c r="L2603" t="s">
        <v>649</v>
      </c>
      <c r="M2603" t="s">
        <v>665</v>
      </c>
    </row>
    <row r="2604" spans="1:13">
      <c r="A2604" t="s">
        <v>851</v>
      </c>
      <c r="B2604" t="s">
        <v>687</v>
      </c>
      <c r="C2604" t="s">
        <v>687</v>
      </c>
      <c r="D2604" t="s">
        <v>3185</v>
      </c>
      <c r="E2604" t="s">
        <v>656</v>
      </c>
      <c r="F2604" t="s">
        <v>31</v>
      </c>
      <c r="G2604">
        <v>2035</v>
      </c>
      <c r="H2604" s="12">
        <v>1629.16</v>
      </c>
      <c r="I2604" t="s">
        <v>3183</v>
      </c>
      <c r="J2604" t="s">
        <v>5</v>
      </c>
      <c r="K2604" t="s">
        <v>147</v>
      </c>
      <c r="L2604" t="s">
        <v>649</v>
      </c>
      <c r="M2604" t="s">
        <v>665</v>
      </c>
    </row>
    <row r="2605" spans="1:13">
      <c r="A2605" t="s">
        <v>851</v>
      </c>
      <c r="B2605" t="s">
        <v>687</v>
      </c>
      <c r="C2605" t="s">
        <v>687</v>
      </c>
      <c r="D2605" t="s">
        <v>3185</v>
      </c>
      <c r="E2605" t="s">
        <v>656</v>
      </c>
      <c r="F2605" t="s">
        <v>31</v>
      </c>
      <c r="G2605">
        <v>2040</v>
      </c>
      <c r="H2605" s="12">
        <v>1449.68</v>
      </c>
      <c r="I2605" t="s">
        <v>3183</v>
      </c>
      <c r="J2605" t="s">
        <v>5</v>
      </c>
      <c r="K2605" t="s">
        <v>147</v>
      </c>
      <c r="L2605" t="s">
        <v>649</v>
      </c>
      <c r="M2605" t="s">
        <v>665</v>
      </c>
    </row>
    <row r="2606" spans="1:13">
      <c r="A2606" t="s">
        <v>851</v>
      </c>
      <c r="B2606" t="s">
        <v>687</v>
      </c>
      <c r="C2606" t="s">
        <v>687</v>
      </c>
      <c r="D2606" t="s">
        <v>3185</v>
      </c>
      <c r="E2606" t="s">
        <v>656</v>
      </c>
      <c r="F2606" t="s">
        <v>31</v>
      </c>
      <c r="G2606">
        <v>2045</v>
      </c>
      <c r="H2606" s="12">
        <v>1160.75</v>
      </c>
      <c r="I2606" t="s">
        <v>3183</v>
      </c>
      <c r="J2606" t="s">
        <v>5</v>
      </c>
      <c r="K2606" t="s">
        <v>147</v>
      </c>
      <c r="L2606" t="s">
        <v>649</v>
      </c>
      <c r="M2606" t="s">
        <v>665</v>
      </c>
    </row>
    <row r="2607" spans="1:13">
      <c r="A2607" t="s">
        <v>851</v>
      </c>
      <c r="B2607" t="s">
        <v>687</v>
      </c>
      <c r="C2607" t="s">
        <v>687</v>
      </c>
      <c r="D2607" t="s">
        <v>3185</v>
      </c>
      <c r="E2607" t="s">
        <v>656</v>
      </c>
      <c r="F2607" t="s">
        <v>31</v>
      </c>
      <c r="G2607">
        <v>2050</v>
      </c>
      <c r="H2607" s="12">
        <v>881.75</v>
      </c>
      <c r="I2607" t="s">
        <v>3183</v>
      </c>
      <c r="J2607" t="s">
        <v>5</v>
      </c>
      <c r="K2607" t="s">
        <v>147</v>
      </c>
      <c r="L2607" t="s">
        <v>649</v>
      </c>
      <c r="M2607" t="s">
        <v>665</v>
      </c>
    </row>
    <row r="2608" spans="1:13">
      <c r="A2608" t="s">
        <v>851</v>
      </c>
      <c r="B2608" t="s">
        <v>686</v>
      </c>
      <c r="C2608" t="s">
        <v>686</v>
      </c>
      <c r="D2608" t="s">
        <v>3185</v>
      </c>
      <c r="E2608" t="s">
        <v>656</v>
      </c>
      <c r="F2608" t="s">
        <v>31</v>
      </c>
      <c r="G2608">
        <v>2010</v>
      </c>
      <c r="H2608" s="12">
        <v>273.44</v>
      </c>
      <c r="I2608" t="s">
        <v>3183</v>
      </c>
      <c r="J2608" t="s">
        <v>6</v>
      </c>
      <c r="K2608" t="s">
        <v>147</v>
      </c>
      <c r="L2608" t="s">
        <v>649</v>
      </c>
      <c r="M2608" t="s">
        <v>666</v>
      </c>
    </row>
    <row r="2609" spans="1:13">
      <c r="A2609" t="s">
        <v>851</v>
      </c>
      <c r="B2609" t="s">
        <v>686</v>
      </c>
      <c r="C2609" t="s">
        <v>686</v>
      </c>
      <c r="D2609" t="s">
        <v>3185</v>
      </c>
      <c r="E2609" t="s">
        <v>656</v>
      </c>
      <c r="F2609" t="s">
        <v>31</v>
      </c>
      <c r="G2609">
        <v>2015</v>
      </c>
      <c r="H2609" s="12">
        <v>352.17</v>
      </c>
      <c r="I2609" t="s">
        <v>3183</v>
      </c>
      <c r="J2609" t="s">
        <v>6</v>
      </c>
      <c r="K2609" t="s">
        <v>147</v>
      </c>
      <c r="L2609" t="s">
        <v>649</v>
      </c>
      <c r="M2609" t="s">
        <v>666</v>
      </c>
    </row>
    <row r="2610" spans="1:13">
      <c r="A2610" t="s">
        <v>851</v>
      </c>
      <c r="B2610" t="s">
        <v>686</v>
      </c>
      <c r="C2610" t="s">
        <v>686</v>
      </c>
      <c r="D2610" t="s">
        <v>3185</v>
      </c>
      <c r="E2610" t="s">
        <v>656</v>
      </c>
      <c r="F2610" t="s">
        <v>31</v>
      </c>
      <c r="G2610">
        <v>2020</v>
      </c>
      <c r="H2610" s="12">
        <v>420.79</v>
      </c>
      <c r="I2610" t="s">
        <v>3183</v>
      </c>
      <c r="J2610" t="s">
        <v>6</v>
      </c>
      <c r="K2610" t="s">
        <v>147</v>
      </c>
      <c r="L2610" t="s">
        <v>649</v>
      </c>
      <c r="M2610" t="s">
        <v>666</v>
      </c>
    </row>
    <row r="2611" spans="1:13">
      <c r="A2611" t="s">
        <v>851</v>
      </c>
      <c r="B2611" t="s">
        <v>686</v>
      </c>
      <c r="C2611" t="s">
        <v>686</v>
      </c>
      <c r="D2611" t="s">
        <v>3185</v>
      </c>
      <c r="E2611" t="s">
        <v>656</v>
      </c>
      <c r="F2611" t="s">
        <v>31</v>
      </c>
      <c r="G2611">
        <v>2030</v>
      </c>
      <c r="H2611" s="12">
        <v>526.69000000000005</v>
      </c>
      <c r="I2611" t="s">
        <v>3183</v>
      </c>
      <c r="J2611" t="s">
        <v>6</v>
      </c>
      <c r="K2611" t="s">
        <v>147</v>
      </c>
      <c r="L2611" t="s">
        <v>649</v>
      </c>
      <c r="M2611" t="s">
        <v>666</v>
      </c>
    </row>
    <row r="2612" spans="1:13">
      <c r="A2612" t="s">
        <v>851</v>
      </c>
      <c r="B2612" t="s">
        <v>686</v>
      </c>
      <c r="C2612" t="s">
        <v>686</v>
      </c>
      <c r="D2612" t="s">
        <v>3185</v>
      </c>
      <c r="E2612" t="s">
        <v>656</v>
      </c>
      <c r="F2612" t="s">
        <v>31</v>
      </c>
      <c r="G2612">
        <v>2035</v>
      </c>
      <c r="H2612" s="12">
        <v>570.04999999999995</v>
      </c>
      <c r="I2612" t="s">
        <v>3183</v>
      </c>
      <c r="J2612" t="s">
        <v>6</v>
      </c>
      <c r="K2612" t="s">
        <v>147</v>
      </c>
      <c r="L2612" t="s">
        <v>649</v>
      </c>
      <c r="M2612" t="s">
        <v>666</v>
      </c>
    </row>
    <row r="2613" spans="1:13">
      <c r="A2613" t="s">
        <v>851</v>
      </c>
      <c r="B2613" t="s">
        <v>686</v>
      </c>
      <c r="C2613" t="s">
        <v>686</v>
      </c>
      <c r="D2613" t="s">
        <v>3185</v>
      </c>
      <c r="E2613" t="s">
        <v>656</v>
      </c>
      <c r="F2613" t="s">
        <v>31</v>
      </c>
      <c r="G2613">
        <v>2040</v>
      </c>
      <c r="H2613" s="12">
        <v>614.85</v>
      </c>
      <c r="I2613" t="s">
        <v>3183</v>
      </c>
      <c r="J2613" t="s">
        <v>6</v>
      </c>
      <c r="K2613" t="s">
        <v>147</v>
      </c>
      <c r="L2613" t="s">
        <v>649</v>
      </c>
      <c r="M2613" t="s">
        <v>666</v>
      </c>
    </row>
    <row r="2614" spans="1:13">
      <c r="A2614" t="s">
        <v>851</v>
      </c>
      <c r="B2614" t="s">
        <v>686</v>
      </c>
      <c r="C2614" t="s">
        <v>686</v>
      </c>
      <c r="D2614" t="s">
        <v>3185</v>
      </c>
      <c r="E2614" t="s">
        <v>656</v>
      </c>
      <c r="F2614" t="s">
        <v>31</v>
      </c>
      <c r="G2614">
        <v>2045</v>
      </c>
      <c r="H2614" s="12">
        <v>649.52</v>
      </c>
      <c r="I2614" t="s">
        <v>3183</v>
      </c>
      <c r="J2614" t="s">
        <v>6</v>
      </c>
      <c r="K2614" t="s">
        <v>147</v>
      </c>
      <c r="L2614" t="s">
        <v>649</v>
      </c>
      <c r="M2614" t="s">
        <v>666</v>
      </c>
    </row>
    <row r="2615" spans="1:13">
      <c r="A2615" t="s">
        <v>851</v>
      </c>
      <c r="B2615" t="s">
        <v>686</v>
      </c>
      <c r="C2615" t="s">
        <v>686</v>
      </c>
      <c r="D2615" t="s">
        <v>3185</v>
      </c>
      <c r="E2615" t="s">
        <v>656</v>
      </c>
      <c r="F2615" t="s">
        <v>31</v>
      </c>
      <c r="G2615">
        <v>2050</v>
      </c>
      <c r="H2615" s="12">
        <v>698.7</v>
      </c>
      <c r="I2615" t="s">
        <v>3183</v>
      </c>
      <c r="J2615" t="s">
        <v>6</v>
      </c>
      <c r="K2615" t="s">
        <v>147</v>
      </c>
      <c r="L2615" t="s">
        <v>649</v>
      </c>
      <c r="M2615" t="s">
        <v>666</v>
      </c>
    </row>
    <row r="2616" spans="1:13">
      <c r="A2616" t="s">
        <v>851</v>
      </c>
      <c r="B2616" t="s">
        <v>687</v>
      </c>
      <c r="C2616" t="s">
        <v>687</v>
      </c>
      <c r="D2616" t="s">
        <v>3185</v>
      </c>
      <c r="E2616" t="s">
        <v>656</v>
      </c>
      <c r="F2616" t="s">
        <v>31</v>
      </c>
      <c r="G2616">
        <v>2030</v>
      </c>
      <c r="H2616" s="12">
        <v>479.03</v>
      </c>
      <c r="I2616" t="s">
        <v>3183</v>
      </c>
      <c r="J2616" t="s">
        <v>6</v>
      </c>
      <c r="K2616" t="s">
        <v>147</v>
      </c>
      <c r="L2616" t="s">
        <v>649</v>
      </c>
      <c r="M2616" t="s">
        <v>666</v>
      </c>
    </row>
    <row r="2617" spans="1:13">
      <c r="A2617" t="s">
        <v>851</v>
      </c>
      <c r="B2617" t="s">
        <v>687</v>
      </c>
      <c r="C2617" t="s">
        <v>687</v>
      </c>
      <c r="D2617" t="s">
        <v>3185</v>
      </c>
      <c r="E2617" t="s">
        <v>656</v>
      </c>
      <c r="F2617" t="s">
        <v>31</v>
      </c>
      <c r="G2617">
        <v>2035</v>
      </c>
      <c r="H2617" s="12">
        <v>476.52</v>
      </c>
      <c r="I2617" t="s">
        <v>3183</v>
      </c>
      <c r="J2617" t="s">
        <v>6</v>
      </c>
      <c r="K2617" t="s">
        <v>147</v>
      </c>
      <c r="L2617" t="s">
        <v>649</v>
      </c>
      <c r="M2617" t="s">
        <v>666</v>
      </c>
    </row>
    <row r="2618" spans="1:13">
      <c r="A2618" t="s">
        <v>851</v>
      </c>
      <c r="B2618" t="s">
        <v>687</v>
      </c>
      <c r="C2618" t="s">
        <v>687</v>
      </c>
      <c r="D2618" t="s">
        <v>3185</v>
      </c>
      <c r="E2618" t="s">
        <v>656</v>
      </c>
      <c r="F2618" t="s">
        <v>31</v>
      </c>
      <c r="G2618">
        <v>2040</v>
      </c>
      <c r="H2618" s="12">
        <v>475.55</v>
      </c>
      <c r="I2618" t="s">
        <v>3183</v>
      </c>
      <c r="J2618" t="s">
        <v>6</v>
      </c>
      <c r="K2618" t="s">
        <v>147</v>
      </c>
      <c r="L2618" t="s">
        <v>649</v>
      </c>
      <c r="M2618" t="s">
        <v>666</v>
      </c>
    </row>
    <row r="2619" spans="1:13">
      <c r="A2619" t="s">
        <v>851</v>
      </c>
      <c r="B2619" t="s">
        <v>687</v>
      </c>
      <c r="C2619" t="s">
        <v>687</v>
      </c>
      <c r="D2619" t="s">
        <v>3185</v>
      </c>
      <c r="E2619" t="s">
        <v>656</v>
      </c>
      <c r="F2619" t="s">
        <v>31</v>
      </c>
      <c r="G2619">
        <v>2045</v>
      </c>
      <c r="H2619" s="12">
        <v>456.83</v>
      </c>
      <c r="I2619" t="s">
        <v>3183</v>
      </c>
      <c r="J2619" t="s">
        <v>6</v>
      </c>
      <c r="K2619" t="s">
        <v>147</v>
      </c>
      <c r="L2619" t="s">
        <v>649</v>
      </c>
      <c r="M2619" t="s">
        <v>666</v>
      </c>
    </row>
    <row r="2620" spans="1:13">
      <c r="A2620" t="s">
        <v>851</v>
      </c>
      <c r="B2620" t="s">
        <v>687</v>
      </c>
      <c r="C2620" t="s">
        <v>687</v>
      </c>
      <c r="D2620" t="s">
        <v>3185</v>
      </c>
      <c r="E2620" t="s">
        <v>656</v>
      </c>
      <c r="F2620" t="s">
        <v>31</v>
      </c>
      <c r="G2620">
        <v>2050</v>
      </c>
      <c r="H2620" s="12">
        <v>426.44</v>
      </c>
      <c r="I2620" t="s">
        <v>3183</v>
      </c>
      <c r="J2620" t="s">
        <v>6</v>
      </c>
      <c r="K2620" t="s">
        <v>147</v>
      </c>
      <c r="L2620" t="s">
        <v>649</v>
      </c>
      <c r="M2620" t="s">
        <v>666</v>
      </c>
    </row>
    <row r="2621" spans="1:13">
      <c r="A2621" t="s">
        <v>851</v>
      </c>
      <c r="B2621" t="s">
        <v>686</v>
      </c>
      <c r="C2621" t="s">
        <v>686</v>
      </c>
      <c r="D2621" t="s">
        <v>3185</v>
      </c>
      <c r="E2621" t="s">
        <v>656</v>
      </c>
      <c r="F2621" t="s">
        <v>31</v>
      </c>
      <c r="G2621">
        <v>2010</v>
      </c>
      <c r="H2621" s="12">
        <v>120.13</v>
      </c>
      <c r="I2621" t="s">
        <v>3183</v>
      </c>
      <c r="J2621" t="s">
        <v>394</v>
      </c>
      <c r="K2621" t="s">
        <v>147</v>
      </c>
      <c r="L2621" t="s">
        <v>649</v>
      </c>
      <c r="M2621" t="s">
        <v>16</v>
      </c>
    </row>
    <row r="2622" spans="1:13">
      <c r="A2622" t="s">
        <v>851</v>
      </c>
      <c r="B2622" t="s">
        <v>686</v>
      </c>
      <c r="C2622" t="s">
        <v>686</v>
      </c>
      <c r="D2622" t="s">
        <v>3185</v>
      </c>
      <c r="E2622" t="s">
        <v>656</v>
      </c>
      <c r="F2622" t="s">
        <v>31</v>
      </c>
      <c r="G2622">
        <v>2015</v>
      </c>
      <c r="H2622" s="12">
        <v>109.97</v>
      </c>
      <c r="I2622" t="s">
        <v>3183</v>
      </c>
      <c r="J2622" t="s">
        <v>394</v>
      </c>
      <c r="K2622" t="s">
        <v>147</v>
      </c>
      <c r="L2622" t="s">
        <v>649</v>
      </c>
      <c r="M2622" t="s">
        <v>16</v>
      </c>
    </row>
    <row r="2623" spans="1:13">
      <c r="A2623" t="s">
        <v>851</v>
      </c>
      <c r="B2623" t="s">
        <v>686</v>
      </c>
      <c r="C2623" t="s">
        <v>686</v>
      </c>
      <c r="D2623" t="s">
        <v>3185</v>
      </c>
      <c r="E2623" t="s">
        <v>656</v>
      </c>
      <c r="F2623" t="s">
        <v>31</v>
      </c>
      <c r="G2623">
        <v>2020</v>
      </c>
      <c r="H2623" s="12">
        <v>105.86</v>
      </c>
      <c r="I2623" t="s">
        <v>3183</v>
      </c>
      <c r="J2623" t="s">
        <v>394</v>
      </c>
      <c r="K2623" t="s">
        <v>147</v>
      </c>
      <c r="L2623" t="s">
        <v>649</v>
      </c>
      <c r="M2623" t="s">
        <v>16</v>
      </c>
    </row>
    <row r="2624" spans="1:13">
      <c r="A2624" t="s">
        <v>851</v>
      </c>
      <c r="B2624" t="s">
        <v>686</v>
      </c>
      <c r="C2624" t="s">
        <v>686</v>
      </c>
      <c r="D2624" t="s">
        <v>3185</v>
      </c>
      <c r="E2624" t="s">
        <v>656</v>
      </c>
      <c r="F2624" t="s">
        <v>31</v>
      </c>
      <c r="G2624">
        <v>2030</v>
      </c>
      <c r="H2624" s="12">
        <v>72.430000000000007</v>
      </c>
      <c r="I2624" t="s">
        <v>3183</v>
      </c>
      <c r="J2624" t="s">
        <v>394</v>
      </c>
      <c r="K2624" t="s">
        <v>147</v>
      </c>
      <c r="L2624" t="s">
        <v>649</v>
      </c>
      <c r="M2624" t="s">
        <v>16</v>
      </c>
    </row>
    <row r="2625" spans="1:13">
      <c r="A2625" t="s">
        <v>851</v>
      </c>
      <c r="B2625" t="s">
        <v>686</v>
      </c>
      <c r="C2625" t="s">
        <v>686</v>
      </c>
      <c r="D2625" t="s">
        <v>3185</v>
      </c>
      <c r="E2625" t="s">
        <v>656</v>
      </c>
      <c r="F2625" t="s">
        <v>31</v>
      </c>
      <c r="G2625">
        <v>2035</v>
      </c>
      <c r="H2625" s="12">
        <v>60.96</v>
      </c>
      <c r="I2625" t="s">
        <v>3183</v>
      </c>
      <c r="J2625" t="s">
        <v>394</v>
      </c>
      <c r="K2625" t="s">
        <v>147</v>
      </c>
      <c r="L2625" t="s">
        <v>649</v>
      </c>
      <c r="M2625" t="s">
        <v>16</v>
      </c>
    </row>
    <row r="2626" spans="1:13">
      <c r="A2626" t="s">
        <v>851</v>
      </c>
      <c r="B2626" t="s">
        <v>686</v>
      </c>
      <c r="C2626" t="s">
        <v>686</v>
      </c>
      <c r="D2626" t="s">
        <v>3185</v>
      </c>
      <c r="E2626" t="s">
        <v>656</v>
      </c>
      <c r="F2626" t="s">
        <v>31</v>
      </c>
      <c r="G2626">
        <v>2040</v>
      </c>
      <c r="H2626" s="12">
        <v>50.03</v>
      </c>
      <c r="I2626" t="s">
        <v>3183</v>
      </c>
      <c r="J2626" t="s">
        <v>394</v>
      </c>
      <c r="K2626" t="s">
        <v>147</v>
      </c>
      <c r="L2626" t="s">
        <v>649</v>
      </c>
      <c r="M2626" t="s">
        <v>16</v>
      </c>
    </row>
    <row r="2627" spans="1:13">
      <c r="A2627" t="s">
        <v>851</v>
      </c>
      <c r="B2627" t="s">
        <v>686</v>
      </c>
      <c r="C2627" t="s">
        <v>686</v>
      </c>
      <c r="D2627" t="s">
        <v>3185</v>
      </c>
      <c r="E2627" t="s">
        <v>656</v>
      </c>
      <c r="F2627" t="s">
        <v>31</v>
      </c>
      <c r="G2627">
        <v>2045</v>
      </c>
      <c r="H2627" s="12">
        <v>39.549999999999997</v>
      </c>
      <c r="I2627" t="s">
        <v>3183</v>
      </c>
      <c r="J2627" t="s">
        <v>394</v>
      </c>
      <c r="K2627" t="s">
        <v>147</v>
      </c>
      <c r="L2627" t="s">
        <v>649</v>
      </c>
      <c r="M2627" t="s">
        <v>16</v>
      </c>
    </row>
    <row r="2628" spans="1:13">
      <c r="A2628" t="s">
        <v>851</v>
      </c>
      <c r="B2628" t="s">
        <v>686</v>
      </c>
      <c r="C2628" t="s">
        <v>686</v>
      </c>
      <c r="D2628" t="s">
        <v>3185</v>
      </c>
      <c r="E2628" t="s">
        <v>656</v>
      </c>
      <c r="F2628" t="s">
        <v>31</v>
      </c>
      <c r="G2628">
        <v>2050</v>
      </c>
      <c r="H2628" s="12">
        <v>33.65</v>
      </c>
      <c r="I2628" t="s">
        <v>3183</v>
      </c>
      <c r="J2628" t="s">
        <v>394</v>
      </c>
      <c r="K2628" t="s">
        <v>147</v>
      </c>
      <c r="L2628" t="s">
        <v>649</v>
      </c>
      <c r="M2628" t="s">
        <v>16</v>
      </c>
    </row>
    <row r="2629" spans="1:13">
      <c r="A2629" t="s">
        <v>851</v>
      </c>
      <c r="B2629" t="s">
        <v>687</v>
      </c>
      <c r="C2629" t="s">
        <v>687</v>
      </c>
      <c r="D2629" t="s">
        <v>3185</v>
      </c>
      <c r="E2629" t="s">
        <v>656</v>
      </c>
      <c r="F2629" t="s">
        <v>31</v>
      </c>
      <c r="G2629">
        <v>2030</v>
      </c>
      <c r="H2629" s="12">
        <v>73.3</v>
      </c>
      <c r="I2629" t="s">
        <v>3183</v>
      </c>
      <c r="J2629" t="s">
        <v>394</v>
      </c>
      <c r="K2629" t="s">
        <v>147</v>
      </c>
      <c r="L2629" t="s">
        <v>649</v>
      </c>
      <c r="M2629" t="s">
        <v>16</v>
      </c>
    </row>
    <row r="2630" spans="1:13">
      <c r="A2630" t="s">
        <v>851</v>
      </c>
      <c r="B2630" t="s">
        <v>687</v>
      </c>
      <c r="C2630" t="s">
        <v>687</v>
      </c>
      <c r="D2630" t="s">
        <v>3185</v>
      </c>
      <c r="E2630" t="s">
        <v>656</v>
      </c>
      <c r="F2630" t="s">
        <v>31</v>
      </c>
      <c r="G2630">
        <v>2035</v>
      </c>
      <c r="H2630" s="12">
        <v>54.73</v>
      </c>
      <c r="I2630" t="s">
        <v>3183</v>
      </c>
      <c r="J2630" t="s">
        <v>394</v>
      </c>
      <c r="K2630" t="s">
        <v>147</v>
      </c>
      <c r="L2630" t="s">
        <v>649</v>
      </c>
      <c r="M2630" t="s">
        <v>16</v>
      </c>
    </row>
    <row r="2631" spans="1:13">
      <c r="A2631" t="s">
        <v>851</v>
      </c>
      <c r="B2631" t="s">
        <v>687</v>
      </c>
      <c r="C2631" t="s">
        <v>687</v>
      </c>
      <c r="D2631" t="s">
        <v>3185</v>
      </c>
      <c r="E2631" t="s">
        <v>656</v>
      </c>
      <c r="F2631" t="s">
        <v>31</v>
      </c>
      <c r="G2631">
        <v>2040</v>
      </c>
      <c r="H2631" s="12">
        <v>46.08</v>
      </c>
      <c r="I2631" t="s">
        <v>3183</v>
      </c>
      <c r="J2631" t="s">
        <v>394</v>
      </c>
      <c r="K2631" t="s">
        <v>147</v>
      </c>
      <c r="L2631" t="s">
        <v>649</v>
      </c>
      <c r="M2631" t="s">
        <v>16</v>
      </c>
    </row>
    <row r="2632" spans="1:13">
      <c r="A2632" t="s">
        <v>851</v>
      </c>
      <c r="B2632" t="s">
        <v>687</v>
      </c>
      <c r="C2632" t="s">
        <v>687</v>
      </c>
      <c r="D2632" t="s">
        <v>3185</v>
      </c>
      <c r="E2632" t="s">
        <v>656</v>
      </c>
      <c r="F2632" t="s">
        <v>31</v>
      </c>
      <c r="G2632">
        <v>2045</v>
      </c>
      <c r="H2632" s="12">
        <v>36.47</v>
      </c>
      <c r="I2632" t="s">
        <v>3183</v>
      </c>
      <c r="J2632" t="s">
        <v>394</v>
      </c>
      <c r="K2632" t="s">
        <v>147</v>
      </c>
      <c r="L2632" t="s">
        <v>649</v>
      </c>
      <c r="M2632" t="s">
        <v>16</v>
      </c>
    </row>
    <row r="2633" spans="1:13">
      <c r="A2633" t="s">
        <v>851</v>
      </c>
      <c r="B2633" t="s">
        <v>687</v>
      </c>
      <c r="C2633" t="s">
        <v>687</v>
      </c>
      <c r="D2633" t="s">
        <v>3185</v>
      </c>
      <c r="E2633" t="s">
        <v>656</v>
      </c>
      <c r="F2633" t="s">
        <v>31</v>
      </c>
      <c r="G2633">
        <v>2050</v>
      </c>
      <c r="H2633" s="12">
        <v>31.39</v>
      </c>
      <c r="I2633" t="s">
        <v>3183</v>
      </c>
      <c r="J2633" t="s">
        <v>394</v>
      </c>
      <c r="K2633" t="s">
        <v>147</v>
      </c>
      <c r="L2633" t="s">
        <v>649</v>
      </c>
      <c r="M2633" t="s">
        <v>16</v>
      </c>
    </row>
    <row r="2634" spans="1:13">
      <c r="A2634" t="s">
        <v>851</v>
      </c>
      <c r="B2634" t="s">
        <v>686</v>
      </c>
      <c r="C2634" t="s">
        <v>686</v>
      </c>
      <c r="D2634" t="s">
        <v>12</v>
      </c>
      <c r="E2634" t="s">
        <v>573</v>
      </c>
      <c r="F2634" t="s">
        <v>40</v>
      </c>
      <c r="G2634">
        <v>2040</v>
      </c>
      <c r="H2634" s="12">
        <v>7621</v>
      </c>
      <c r="I2634" t="s">
        <v>3183</v>
      </c>
      <c r="J2634" t="s">
        <v>6</v>
      </c>
      <c r="K2634" t="s">
        <v>147</v>
      </c>
      <c r="L2634" t="s">
        <v>3184</v>
      </c>
      <c r="M2634" t="s">
        <v>659</v>
      </c>
    </row>
    <row r="2635" spans="1:13">
      <c r="A2635" t="s">
        <v>851</v>
      </c>
      <c r="B2635" t="s">
        <v>686</v>
      </c>
      <c r="C2635" t="s">
        <v>686</v>
      </c>
      <c r="D2635" t="s">
        <v>12</v>
      </c>
      <c r="E2635" t="s">
        <v>573</v>
      </c>
      <c r="F2635" t="s">
        <v>40</v>
      </c>
      <c r="G2635">
        <v>2045</v>
      </c>
      <c r="H2635" s="12">
        <v>7611</v>
      </c>
      <c r="I2635" t="s">
        <v>3183</v>
      </c>
      <c r="J2635" t="s">
        <v>6</v>
      </c>
      <c r="K2635" t="s">
        <v>147</v>
      </c>
      <c r="L2635" t="s">
        <v>3184</v>
      </c>
      <c r="M2635" t="s">
        <v>659</v>
      </c>
    </row>
    <row r="2636" spans="1:13">
      <c r="A2636" t="s">
        <v>851</v>
      </c>
      <c r="B2636" t="s">
        <v>686</v>
      </c>
      <c r="C2636" t="s">
        <v>686</v>
      </c>
      <c r="D2636" t="s">
        <v>12</v>
      </c>
      <c r="E2636" t="s">
        <v>573</v>
      </c>
      <c r="F2636" t="s">
        <v>40</v>
      </c>
      <c r="G2636">
        <v>2050</v>
      </c>
      <c r="H2636" s="12">
        <v>7482</v>
      </c>
      <c r="I2636" t="s">
        <v>3183</v>
      </c>
      <c r="J2636" t="s">
        <v>6</v>
      </c>
      <c r="K2636" t="s">
        <v>147</v>
      </c>
      <c r="L2636" t="s">
        <v>3184</v>
      </c>
      <c r="M2636" t="s">
        <v>659</v>
      </c>
    </row>
    <row r="2637" spans="1:13">
      <c r="A2637" t="s">
        <v>851</v>
      </c>
      <c r="B2637" t="s">
        <v>687</v>
      </c>
      <c r="C2637" t="s">
        <v>687</v>
      </c>
      <c r="D2637" t="s">
        <v>12</v>
      </c>
      <c r="E2637" t="s">
        <v>573</v>
      </c>
      <c r="F2637" t="s">
        <v>40</v>
      </c>
      <c r="G2637">
        <v>2030</v>
      </c>
      <c r="H2637" s="12">
        <v>7357</v>
      </c>
      <c r="I2637" t="s">
        <v>3183</v>
      </c>
      <c r="J2637" t="s">
        <v>6</v>
      </c>
      <c r="K2637" t="s">
        <v>147</v>
      </c>
      <c r="L2637" t="s">
        <v>3184</v>
      </c>
      <c r="M2637" t="s">
        <v>659</v>
      </c>
    </row>
    <row r="2638" spans="1:13">
      <c r="A2638" t="s">
        <v>851</v>
      </c>
      <c r="B2638" t="s">
        <v>687</v>
      </c>
      <c r="C2638" t="s">
        <v>687</v>
      </c>
      <c r="D2638" t="s">
        <v>12</v>
      </c>
      <c r="E2638" t="s">
        <v>573</v>
      </c>
      <c r="F2638" t="s">
        <v>40</v>
      </c>
      <c r="G2638">
        <v>2035</v>
      </c>
      <c r="H2638" s="12">
        <v>6998</v>
      </c>
      <c r="I2638" t="s">
        <v>3183</v>
      </c>
      <c r="J2638" t="s">
        <v>6</v>
      </c>
      <c r="K2638" t="s">
        <v>147</v>
      </c>
      <c r="L2638" t="s">
        <v>3184</v>
      </c>
      <c r="M2638" t="s">
        <v>659</v>
      </c>
    </row>
    <row r="2639" spans="1:13">
      <c r="A2639" t="s">
        <v>851</v>
      </c>
      <c r="B2639" t="s">
        <v>687</v>
      </c>
      <c r="C2639" t="s">
        <v>687</v>
      </c>
      <c r="D2639" t="s">
        <v>12</v>
      </c>
      <c r="E2639" t="s">
        <v>573</v>
      </c>
      <c r="F2639" t="s">
        <v>40</v>
      </c>
      <c r="G2639">
        <v>2040</v>
      </c>
      <c r="H2639" s="12">
        <v>6903</v>
      </c>
      <c r="I2639" t="s">
        <v>3183</v>
      </c>
      <c r="J2639" t="s">
        <v>6</v>
      </c>
      <c r="K2639" t="s">
        <v>147</v>
      </c>
      <c r="L2639" t="s">
        <v>3184</v>
      </c>
      <c r="M2639" t="s">
        <v>659</v>
      </c>
    </row>
    <row r="2640" spans="1:13">
      <c r="A2640" t="s">
        <v>851</v>
      </c>
      <c r="B2640" t="s">
        <v>687</v>
      </c>
      <c r="C2640" t="s">
        <v>687</v>
      </c>
      <c r="D2640" t="s">
        <v>12</v>
      </c>
      <c r="E2640" t="s">
        <v>573</v>
      </c>
      <c r="F2640" t="s">
        <v>40</v>
      </c>
      <c r="G2640">
        <v>2045</v>
      </c>
      <c r="H2640" s="12">
        <v>6764</v>
      </c>
      <c r="I2640" t="s">
        <v>3183</v>
      </c>
      <c r="J2640" t="s">
        <v>6</v>
      </c>
      <c r="K2640" t="s">
        <v>147</v>
      </c>
      <c r="L2640" t="s">
        <v>3184</v>
      </c>
      <c r="M2640" t="s">
        <v>659</v>
      </c>
    </row>
    <row r="2641" spans="1:13">
      <c r="A2641" t="s">
        <v>851</v>
      </c>
      <c r="B2641" t="s">
        <v>686</v>
      </c>
      <c r="C2641" t="s">
        <v>686</v>
      </c>
      <c r="D2641" t="s">
        <v>3185</v>
      </c>
      <c r="E2641" t="s">
        <v>656</v>
      </c>
      <c r="F2641" t="s">
        <v>31</v>
      </c>
      <c r="G2641">
        <v>2010</v>
      </c>
      <c r="H2641" s="12">
        <v>5.94</v>
      </c>
      <c r="I2641" t="s">
        <v>3183</v>
      </c>
      <c r="J2641" t="s">
        <v>17</v>
      </c>
      <c r="K2641" t="s">
        <v>147</v>
      </c>
      <c r="L2641" t="s">
        <v>649</v>
      </c>
      <c r="M2641" t="s">
        <v>671</v>
      </c>
    </row>
    <row r="2642" spans="1:13">
      <c r="A2642" t="s">
        <v>851</v>
      </c>
      <c r="B2642" t="s">
        <v>686</v>
      </c>
      <c r="C2642" t="s">
        <v>686</v>
      </c>
      <c r="D2642" t="s">
        <v>3185</v>
      </c>
      <c r="E2642" t="s">
        <v>656</v>
      </c>
      <c r="F2642" t="s">
        <v>31</v>
      </c>
      <c r="G2642">
        <v>2015</v>
      </c>
      <c r="H2642" s="12">
        <v>94.99</v>
      </c>
      <c r="I2642" t="s">
        <v>3183</v>
      </c>
      <c r="J2642" t="s">
        <v>17</v>
      </c>
      <c r="K2642" t="s">
        <v>147</v>
      </c>
      <c r="L2642" t="s">
        <v>649</v>
      </c>
      <c r="M2642" t="s">
        <v>671</v>
      </c>
    </row>
    <row r="2643" spans="1:13">
      <c r="A2643" t="s">
        <v>851</v>
      </c>
      <c r="B2643" t="s">
        <v>686</v>
      </c>
      <c r="C2643" t="s">
        <v>686</v>
      </c>
      <c r="D2643" t="s">
        <v>3185</v>
      </c>
      <c r="E2643" t="s">
        <v>656</v>
      </c>
      <c r="F2643" t="s">
        <v>31</v>
      </c>
      <c r="G2643">
        <v>2020</v>
      </c>
      <c r="H2643" s="12">
        <v>436.27</v>
      </c>
      <c r="I2643" t="s">
        <v>3183</v>
      </c>
      <c r="J2643" t="s">
        <v>17</v>
      </c>
      <c r="K2643" t="s">
        <v>147</v>
      </c>
      <c r="L2643" t="s">
        <v>649</v>
      </c>
      <c r="M2643" t="s">
        <v>671</v>
      </c>
    </row>
    <row r="2644" spans="1:13">
      <c r="A2644" t="s">
        <v>851</v>
      </c>
      <c r="B2644" t="s">
        <v>686</v>
      </c>
      <c r="C2644" t="s">
        <v>686</v>
      </c>
      <c r="D2644" t="s">
        <v>3185</v>
      </c>
      <c r="E2644" t="s">
        <v>656</v>
      </c>
      <c r="F2644" t="s">
        <v>31</v>
      </c>
      <c r="G2644">
        <v>2030</v>
      </c>
      <c r="H2644" s="12">
        <v>1832.83</v>
      </c>
      <c r="I2644" t="s">
        <v>3183</v>
      </c>
      <c r="J2644" t="s">
        <v>17</v>
      </c>
      <c r="K2644" t="s">
        <v>147</v>
      </c>
      <c r="L2644" t="s">
        <v>649</v>
      </c>
      <c r="M2644" t="s">
        <v>671</v>
      </c>
    </row>
    <row r="2645" spans="1:13">
      <c r="A2645" t="s">
        <v>851</v>
      </c>
      <c r="B2645" t="s">
        <v>686</v>
      </c>
      <c r="C2645" t="s">
        <v>686</v>
      </c>
      <c r="D2645" t="s">
        <v>3185</v>
      </c>
      <c r="E2645" t="s">
        <v>656</v>
      </c>
      <c r="F2645" t="s">
        <v>31</v>
      </c>
      <c r="G2645">
        <v>2035</v>
      </c>
      <c r="H2645" s="12">
        <v>2682.62</v>
      </c>
      <c r="I2645" t="s">
        <v>3183</v>
      </c>
      <c r="J2645" t="s">
        <v>17</v>
      </c>
      <c r="K2645" t="s">
        <v>147</v>
      </c>
      <c r="L2645" t="s">
        <v>649</v>
      </c>
      <c r="M2645" t="s">
        <v>671</v>
      </c>
    </row>
    <row r="2646" spans="1:13">
      <c r="A2646" t="s">
        <v>851</v>
      </c>
      <c r="B2646" t="s">
        <v>686</v>
      </c>
      <c r="C2646" t="s">
        <v>686</v>
      </c>
      <c r="D2646" t="s">
        <v>3185</v>
      </c>
      <c r="E2646" t="s">
        <v>656</v>
      </c>
      <c r="F2646" t="s">
        <v>31</v>
      </c>
      <c r="G2646">
        <v>2040</v>
      </c>
      <c r="H2646" s="12">
        <v>3485.6</v>
      </c>
      <c r="I2646" t="s">
        <v>3183</v>
      </c>
      <c r="J2646" t="s">
        <v>17</v>
      </c>
      <c r="K2646" t="s">
        <v>147</v>
      </c>
      <c r="L2646" t="s">
        <v>649</v>
      </c>
      <c r="M2646" t="s">
        <v>671</v>
      </c>
    </row>
    <row r="2647" spans="1:13">
      <c r="A2647" t="s">
        <v>851</v>
      </c>
      <c r="B2647" t="s">
        <v>686</v>
      </c>
      <c r="C2647" t="s">
        <v>686</v>
      </c>
      <c r="D2647" t="s">
        <v>3185</v>
      </c>
      <c r="E2647" t="s">
        <v>656</v>
      </c>
      <c r="F2647" t="s">
        <v>31</v>
      </c>
      <c r="G2647">
        <v>2045</v>
      </c>
      <c r="H2647" s="12">
        <v>4149.1499999999996</v>
      </c>
      <c r="I2647" t="s">
        <v>3183</v>
      </c>
      <c r="J2647" t="s">
        <v>17</v>
      </c>
      <c r="K2647" t="s">
        <v>147</v>
      </c>
      <c r="L2647" t="s">
        <v>649</v>
      </c>
      <c r="M2647" t="s">
        <v>671</v>
      </c>
    </row>
    <row r="2648" spans="1:13">
      <c r="A2648" t="s">
        <v>851</v>
      </c>
      <c r="B2648" t="s">
        <v>686</v>
      </c>
      <c r="C2648" t="s">
        <v>686</v>
      </c>
      <c r="D2648" t="s">
        <v>3185</v>
      </c>
      <c r="E2648" t="s">
        <v>656</v>
      </c>
      <c r="F2648" t="s">
        <v>31</v>
      </c>
      <c r="G2648">
        <v>2050</v>
      </c>
      <c r="H2648" s="12">
        <v>4672.2</v>
      </c>
      <c r="I2648" t="s">
        <v>3183</v>
      </c>
      <c r="J2648" t="s">
        <v>17</v>
      </c>
      <c r="K2648" t="s">
        <v>147</v>
      </c>
      <c r="L2648" t="s">
        <v>649</v>
      </c>
      <c r="M2648" t="s">
        <v>671</v>
      </c>
    </row>
    <row r="2649" spans="1:13">
      <c r="A2649" t="s">
        <v>851</v>
      </c>
      <c r="B2649" t="s">
        <v>687</v>
      </c>
      <c r="C2649" t="s">
        <v>687</v>
      </c>
      <c r="D2649" t="s">
        <v>3185</v>
      </c>
      <c r="E2649" t="s">
        <v>656</v>
      </c>
      <c r="F2649" t="s">
        <v>31</v>
      </c>
      <c r="G2649">
        <v>2030</v>
      </c>
      <c r="H2649" s="12">
        <v>1955.98</v>
      </c>
      <c r="I2649" t="s">
        <v>3183</v>
      </c>
      <c r="J2649" t="s">
        <v>17</v>
      </c>
      <c r="K2649" t="s">
        <v>147</v>
      </c>
      <c r="L2649" t="s">
        <v>649</v>
      </c>
      <c r="M2649" t="s">
        <v>671</v>
      </c>
    </row>
    <row r="2650" spans="1:13">
      <c r="A2650" t="s">
        <v>851</v>
      </c>
      <c r="B2650" t="s">
        <v>687</v>
      </c>
      <c r="C2650" t="s">
        <v>687</v>
      </c>
      <c r="D2650" t="s">
        <v>3185</v>
      </c>
      <c r="E2650" t="s">
        <v>656</v>
      </c>
      <c r="F2650" t="s">
        <v>31</v>
      </c>
      <c r="G2650">
        <v>2035</v>
      </c>
      <c r="H2650" s="12">
        <v>3080.93</v>
      </c>
      <c r="I2650" t="s">
        <v>3183</v>
      </c>
      <c r="J2650" t="s">
        <v>17</v>
      </c>
      <c r="K2650" t="s">
        <v>147</v>
      </c>
      <c r="L2650" t="s">
        <v>649</v>
      </c>
      <c r="M2650" t="s">
        <v>671</v>
      </c>
    </row>
    <row r="2651" spans="1:13">
      <c r="A2651" t="s">
        <v>851</v>
      </c>
      <c r="B2651" t="s">
        <v>687</v>
      </c>
      <c r="C2651" t="s">
        <v>687</v>
      </c>
      <c r="D2651" t="s">
        <v>3185</v>
      </c>
      <c r="E2651" t="s">
        <v>656</v>
      </c>
      <c r="F2651" t="s">
        <v>31</v>
      </c>
      <c r="G2651">
        <v>2040</v>
      </c>
      <c r="H2651" s="12">
        <v>4404.9799999999996</v>
      </c>
      <c r="I2651" t="s">
        <v>3183</v>
      </c>
      <c r="J2651" t="s">
        <v>17</v>
      </c>
      <c r="K2651" t="s">
        <v>147</v>
      </c>
      <c r="L2651" t="s">
        <v>649</v>
      </c>
      <c r="M2651" t="s">
        <v>671</v>
      </c>
    </row>
    <row r="2652" spans="1:13">
      <c r="A2652" t="s">
        <v>851</v>
      </c>
      <c r="B2652" t="s">
        <v>687</v>
      </c>
      <c r="C2652" t="s">
        <v>687</v>
      </c>
      <c r="D2652" t="s">
        <v>3185</v>
      </c>
      <c r="E2652" t="s">
        <v>656</v>
      </c>
      <c r="F2652" t="s">
        <v>31</v>
      </c>
      <c r="G2652">
        <v>2045</v>
      </c>
      <c r="H2652" s="12">
        <v>5502.5</v>
      </c>
      <c r="I2652" t="s">
        <v>3183</v>
      </c>
      <c r="J2652" t="s">
        <v>17</v>
      </c>
      <c r="K2652" t="s">
        <v>147</v>
      </c>
      <c r="L2652" t="s">
        <v>649</v>
      </c>
      <c r="M2652" t="s">
        <v>671</v>
      </c>
    </row>
    <row r="2653" spans="1:13">
      <c r="A2653" t="s">
        <v>851</v>
      </c>
      <c r="B2653" t="s">
        <v>687</v>
      </c>
      <c r="C2653" t="s">
        <v>687</v>
      </c>
      <c r="D2653" t="s">
        <v>3185</v>
      </c>
      <c r="E2653" t="s">
        <v>656</v>
      </c>
      <c r="F2653" t="s">
        <v>31</v>
      </c>
      <c r="G2653">
        <v>2050</v>
      </c>
      <c r="H2653" s="12">
        <v>6521.73</v>
      </c>
      <c r="I2653" t="s">
        <v>3183</v>
      </c>
      <c r="J2653" t="s">
        <v>17</v>
      </c>
      <c r="K2653" t="s">
        <v>147</v>
      </c>
      <c r="L2653" t="s">
        <v>649</v>
      </c>
      <c r="M2653" t="s">
        <v>671</v>
      </c>
    </row>
    <row r="2654" spans="1:13">
      <c r="A2654" t="s">
        <v>851</v>
      </c>
      <c r="B2654" t="s">
        <v>686</v>
      </c>
      <c r="C2654" t="s">
        <v>686</v>
      </c>
      <c r="D2654" t="s">
        <v>3185</v>
      </c>
      <c r="E2654" t="s">
        <v>656</v>
      </c>
      <c r="F2654" t="s">
        <v>31</v>
      </c>
      <c r="G2654">
        <v>2010</v>
      </c>
      <c r="H2654" s="12">
        <v>48.46</v>
      </c>
      <c r="I2654" t="s">
        <v>3183</v>
      </c>
      <c r="J2654" t="s">
        <v>18</v>
      </c>
      <c r="K2654" t="s">
        <v>147</v>
      </c>
      <c r="L2654" t="s">
        <v>649</v>
      </c>
      <c r="M2654" t="s">
        <v>18</v>
      </c>
    </row>
    <row r="2655" spans="1:13">
      <c r="A2655" t="s">
        <v>851</v>
      </c>
      <c r="B2655" t="s">
        <v>686</v>
      </c>
      <c r="C2655" t="s">
        <v>686</v>
      </c>
      <c r="D2655" t="s">
        <v>3185</v>
      </c>
      <c r="E2655" t="s">
        <v>656</v>
      </c>
      <c r="F2655" t="s">
        <v>31</v>
      </c>
      <c r="G2655">
        <v>2015</v>
      </c>
      <c r="H2655" s="12">
        <v>166.81</v>
      </c>
      <c r="I2655" t="s">
        <v>3183</v>
      </c>
      <c r="J2655" t="s">
        <v>18</v>
      </c>
      <c r="K2655" t="s">
        <v>147</v>
      </c>
      <c r="L2655" t="s">
        <v>649</v>
      </c>
      <c r="M2655" t="s">
        <v>18</v>
      </c>
    </row>
    <row r="2656" spans="1:13">
      <c r="A2656" t="s">
        <v>851</v>
      </c>
      <c r="B2656" t="s">
        <v>686</v>
      </c>
      <c r="C2656" t="s">
        <v>686</v>
      </c>
      <c r="D2656" t="s">
        <v>3185</v>
      </c>
      <c r="E2656" t="s">
        <v>656</v>
      </c>
      <c r="F2656" t="s">
        <v>31</v>
      </c>
      <c r="G2656">
        <v>2020</v>
      </c>
      <c r="H2656" s="12">
        <v>341.79</v>
      </c>
      <c r="I2656" t="s">
        <v>3183</v>
      </c>
      <c r="J2656" t="s">
        <v>18</v>
      </c>
      <c r="K2656" t="s">
        <v>147</v>
      </c>
      <c r="L2656" t="s">
        <v>649</v>
      </c>
      <c r="M2656" t="s">
        <v>18</v>
      </c>
    </row>
    <row r="2657" spans="1:13">
      <c r="A2657" t="s">
        <v>851</v>
      </c>
      <c r="B2657" t="s">
        <v>686</v>
      </c>
      <c r="C2657" t="s">
        <v>686</v>
      </c>
      <c r="D2657" t="s">
        <v>3185</v>
      </c>
      <c r="E2657" t="s">
        <v>656</v>
      </c>
      <c r="F2657" t="s">
        <v>31</v>
      </c>
      <c r="G2657">
        <v>2030</v>
      </c>
      <c r="H2657" s="12">
        <v>945.48</v>
      </c>
      <c r="I2657" t="s">
        <v>3183</v>
      </c>
      <c r="J2657" t="s">
        <v>18</v>
      </c>
      <c r="K2657" t="s">
        <v>147</v>
      </c>
      <c r="L2657" t="s">
        <v>649</v>
      </c>
      <c r="M2657" t="s">
        <v>18</v>
      </c>
    </row>
    <row r="2658" spans="1:13">
      <c r="A2658" t="s">
        <v>851</v>
      </c>
      <c r="B2658" t="s">
        <v>686</v>
      </c>
      <c r="C2658" t="s">
        <v>686</v>
      </c>
      <c r="D2658" t="s">
        <v>3185</v>
      </c>
      <c r="E2658" t="s">
        <v>656</v>
      </c>
      <c r="F2658" t="s">
        <v>31</v>
      </c>
      <c r="G2658">
        <v>2035</v>
      </c>
      <c r="H2658" s="12">
        <v>1271.69</v>
      </c>
      <c r="I2658" t="s">
        <v>3183</v>
      </c>
      <c r="J2658" t="s">
        <v>18</v>
      </c>
      <c r="K2658" t="s">
        <v>147</v>
      </c>
      <c r="L2658" t="s">
        <v>649</v>
      </c>
      <c r="M2658" t="s">
        <v>18</v>
      </c>
    </row>
    <row r="2659" spans="1:13">
      <c r="A2659" t="s">
        <v>851</v>
      </c>
      <c r="B2659" t="s">
        <v>686</v>
      </c>
      <c r="C2659" t="s">
        <v>686</v>
      </c>
      <c r="D2659" t="s">
        <v>3185</v>
      </c>
      <c r="E2659" t="s">
        <v>656</v>
      </c>
      <c r="F2659" t="s">
        <v>31</v>
      </c>
      <c r="G2659">
        <v>2040</v>
      </c>
      <c r="H2659" s="12">
        <v>1543.01</v>
      </c>
      <c r="I2659" t="s">
        <v>3183</v>
      </c>
      <c r="J2659" t="s">
        <v>18</v>
      </c>
      <c r="K2659" t="s">
        <v>147</v>
      </c>
      <c r="L2659" t="s">
        <v>649</v>
      </c>
      <c r="M2659" t="s">
        <v>18</v>
      </c>
    </row>
    <row r="2660" spans="1:13">
      <c r="A2660" t="s">
        <v>851</v>
      </c>
      <c r="B2660" t="s">
        <v>686</v>
      </c>
      <c r="C2660" t="s">
        <v>686</v>
      </c>
      <c r="D2660" t="s">
        <v>3185</v>
      </c>
      <c r="E2660" t="s">
        <v>656</v>
      </c>
      <c r="F2660" t="s">
        <v>31</v>
      </c>
      <c r="G2660">
        <v>2045</v>
      </c>
      <c r="H2660" s="12">
        <v>1794.01</v>
      </c>
      <c r="I2660" t="s">
        <v>3183</v>
      </c>
      <c r="J2660" t="s">
        <v>18</v>
      </c>
      <c r="K2660" t="s">
        <v>147</v>
      </c>
      <c r="L2660" t="s">
        <v>649</v>
      </c>
      <c r="M2660" t="s">
        <v>18</v>
      </c>
    </row>
    <row r="2661" spans="1:13">
      <c r="A2661" t="s">
        <v>851</v>
      </c>
      <c r="B2661" t="s">
        <v>686</v>
      </c>
      <c r="C2661" t="s">
        <v>686</v>
      </c>
      <c r="D2661" t="s">
        <v>3185</v>
      </c>
      <c r="E2661" t="s">
        <v>656</v>
      </c>
      <c r="F2661" t="s">
        <v>31</v>
      </c>
      <c r="G2661">
        <v>2050</v>
      </c>
      <c r="H2661" s="12">
        <v>2017.99</v>
      </c>
      <c r="I2661" t="s">
        <v>3183</v>
      </c>
      <c r="J2661" t="s">
        <v>18</v>
      </c>
      <c r="K2661" t="s">
        <v>147</v>
      </c>
      <c r="L2661" t="s">
        <v>649</v>
      </c>
      <c r="M2661" t="s">
        <v>18</v>
      </c>
    </row>
    <row r="2662" spans="1:13">
      <c r="A2662" t="s">
        <v>851</v>
      </c>
      <c r="B2662" t="s">
        <v>687</v>
      </c>
      <c r="C2662" t="s">
        <v>687</v>
      </c>
      <c r="D2662" t="s">
        <v>3185</v>
      </c>
      <c r="E2662" t="s">
        <v>656</v>
      </c>
      <c r="F2662" t="s">
        <v>31</v>
      </c>
      <c r="G2662">
        <v>2030</v>
      </c>
      <c r="H2662" s="12">
        <v>1035.24</v>
      </c>
      <c r="I2662" t="s">
        <v>3183</v>
      </c>
      <c r="J2662" t="s">
        <v>18</v>
      </c>
      <c r="K2662" t="s">
        <v>147</v>
      </c>
      <c r="L2662" t="s">
        <v>649</v>
      </c>
      <c r="M2662" t="s">
        <v>18</v>
      </c>
    </row>
    <row r="2663" spans="1:13">
      <c r="A2663" t="s">
        <v>851</v>
      </c>
      <c r="B2663" t="s">
        <v>687</v>
      </c>
      <c r="C2663" t="s">
        <v>687</v>
      </c>
      <c r="D2663" t="s">
        <v>3185</v>
      </c>
      <c r="E2663" t="s">
        <v>656</v>
      </c>
      <c r="F2663" t="s">
        <v>31</v>
      </c>
      <c r="G2663">
        <v>2035</v>
      </c>
      <c r="H2663" s="12">
        <v>1483.87</v>
      </c>
      <c r="I2663" t="s">
        <v>3183</v>
      </c>
      <c r="J2663" t="s">
        <v>18</v>
      </c>
      <c r="K2663" t="s">
        <v>147</v>
      </c>
      <c r="L2663" t="s">
        <v>649</v>
      </c>
      <c r="M2663" t="s">
        <v>18</v>
      </c>
    </row>
    <row r="2664" spans="1:13">
      <c r="A2664" t="s">
        <v>851</v>
      </c>
      <c r="B2664" t="s">
        <v>687</v>
      </c>
      <c r="C2664" t="s">
        <v>687</v>
      </c>
      <c r="D2664" t="s">
        <v>3185</v>
      </c>
      <c r="E2664" t="s">
        <v>656</v>
      </c>
      <c r="F2664" t="s">
        <v>31</v>
      </c>
      <c r="G2664">
        <v>2040</v>
      </c>
      <c r="H2664" s="12">
        <v>2045.44</v>
      </c>
      <c r="I2664" t="s">
        <v>3183</v>
      </c>
      <c r="J2664" t="s">
        <v>18</v>
      </c>
      <c r="K2664" t="s">
        <v>147</v>
      </c>
      <c r="L2664" t="s">
        <v>649</v>
      </c>
      <c r="M2664" t="s">
        <v>18</v>
      </c>
    </row>
    <row r="2665" spans="1:13">
      <c r="A2665" t="s">
        <v>851</v>
      </c>
      <c r="B2665" t="s">
        <v>687</v>
      </c>
      <c r="C2665" t="s">
        <v>687</v>
      </c>
      <c r="D2665" t="s">
        <v>3185</v>
      </c>
      <c r="E2665" t="s">
        <v>656</v>
      </c>
      <c r="F2665" t="s">
        <v>31</v>
      </c>
      <c r="G2665">
        <v>2045</v>
      </c>
      <c r="H2665" s="12">
        <v>2570.4299999999998</v>
      </c>
      <c r="I2665" t="s">
        <v>3183</v>
      </c>
      <c r="J2665" t="s">
        <v>18</v>
      </c>
      <c r="K2665" t="s">
        <v>147</v>
      </c>
      <c r="L2665" t="s">
        <v>649</v>
      </c>
      <c r="M2665" t="s">
        <v>18</v>
      </c>
    </row>
    <row r="2666" spans="1:13">
      <c r="A2666" t="s">
        <v>851</v>
      </c>
      <c r="B2666" t="s">
        <v>687</v>
      </c>
      <c r="C2666" t="s">
        <v>687</v>
      </c>
      <c r="D2666" t="s">
        <v>3185</v>
      </c>
      <c r="E2666" t="s">
        <v>656</v>
      </c>
      <c r="F2666" t="s">
        <v>31</v>
      </c>
      <c r="G2666">
        <v>2050</v>
      </c>
      <c r="H2666" s="12">
        <v>2961.5</v>
      </c>
      <c r="I2666" t="s">
        <v>3183</v>
      </c>
      <c r="J2666" t="s">
        <v>18</v>
      </c>
      <c r="K2666" t="s">
        <v>147</v>
      </c>
      <c r="L2666" t="s">
        <v>649</v>
      </c>
      <c r="M2666" t="s">
        <v>18</v>
      </c>
    </row>
    <row r="2667" spans="1:13">
      <c r="A2667" t="s">
        <v>851</v>
      </c>
      <c r="B2667" t="s">
        <v>686</v>
      </c>
      <c r="C2667" t="s">
        <v>686</v>
      </c>
      <c r="D2667" t="s">
        <v>3185</v>
      </c>
      <c r="E2667" t="s">
        <v>656</v>
      </c>
      <c r="F2667" t="s">
        <v>31</v>
      </c>
      <c r="G2667">
        <v>2010</v>
      </c>
      <c r="H2667" s="12">
        <v>370.31</v>
      </c>
      <c r="I2667" t="s">
        <v>3183</v>
      </c>
      <c r="J2667" t="s">
        <v>14</v>
      </c>
      <c r="K2667" t="s">
        <v>147</v>
      </c>
      <c r="L2667" t="s">
        <v>649</v>
      </c>
      <c r="M2667" t="s">
        <v>14</v>
      </c>
    </row>
    <row r="2668" spans="1:13">
      <c r="A2668" t="s">
        <v>851</v>
      </c>
      <c r="B2668" t="s">
        <v>686</v>
      </c>
      <c r="C2668" t="s">
        <v>686</v>
      </c>
      <c r="D2668" t="s">
        <v>3185</v>
      </c>
      <c r="E2668" t="s">
        <v>656</v>
      </c>
      <c r="F2668" t="s">
        <v>31</v>
      </c>
      <c r="G2668">
        <v>2015</v>
      </c>
      <c r="H2668" s="12">
        <v>500.75</v>
      </c>
      <c r="I2668" t="s">
        <v>3183</v>
      </c>
      <c r="J2668" t="s">
        <v>14</v>
      </c>
      <c r="K2668" t="s">
        <v>147</v>
      </c>
      <c r="L2668" t="s">
        <v>649</v>
      </c>
      <c r="M2668" t="s">
        <v>14</v>
      </c>
    </row>
    <row r="2669" spans="1:13">
      <c r="A2669" t="s">
        <v>851</v>
      </c>
      <c r="B2669" t="s">
        <v>686</v>
      </c>
      <c r="C2669" t="s">
        <v>686</v>
      </c>
      <c r="D2669" t="s">
        <v>3185</v>
      </c>
      <c r="E2669" t="s">
        <v>656</v>
      </c>
      <c r="F2669" t="s">
        <v>31</v>
      </c>
      <c r="G2669">
        <v>2020</v>
      </c>
      <c r="H2669" s="12">
        <v>567.22</v>
      </c>
      <c r="I2669" t="s">
        <v>3183</v>
      </c>
      <c r="J2669" t="s">
        <v>14</v>
      </c>
      <c r="K2669" t="s">
        <v>147</v>
      </c>
      <c r="L2669" t="s">
        <v>649</v>
      </c>
      <c r="M2669" t="s">
        <v>14</v>
      </c>
    </row>
    <row r="2670" spans="1:13">
      <c r="A2670" t="s">
        <v>851</v>
      </c>
      <c r="B2670" t="s">
        <v>686</v>
      </c>
      <c r="C2670" t="s">
        <v>686</v>
      </c>
      <c r="D2670" t="s">
        <v>3185</v>
      </c>
      <c r="E2670" t="s">
        <v>656</v>
      </c>
      <c r="F2670" t="s">
        <v>31</v>
      </c>
      <c r="G2670">
        <v>2030</v>
      </c>
      <c r="H2670" s="12">
        <v>724.27</v>
      </c>
      <c r="I2670" t="s">
        <v>3183</v>
      </c>
      <c r="J2670" t="s">
        <v>14</v>
      </c>
      <c r="K2670" t="s">
        <v>147</v>
      </c>
      <c r="L2670" t="s">
        <v>649</v>
      </c>
      <c r="M2670" t="s">
        <v>14</v>
      </c>
    </row>
    <row r="2671" spans="1:13">
      <c r="A2671" t="s">
        <v>851</v>
      </c>
      <c r="B2671" t="s">
        <v>687</v>
      </c>
      <c r="C2671" t="s">
        <v>687</v>
      </c>
      <c r="D2671" t="s">
        <v>3185</v>
      </c>
      <c r="E2671" t="s">
        <v>656</v>
      </c>
      <c r="F2671" t="s">
        <v>31</v>
      </c>
      <c r="G2671">
        <v>2035</v>
      </c>
      <c r="H2671" s="12">
        <v>178.13</v>
      </c>
      <c r="I2671" t="s">
        <v>3183</v>
      </c>
      <c r="J2671" t="s">
        <v>41</v>
      </c>
      <c r="K2671" t="s">
        <v>147</v>
      </c>
      <c r="L2671" t="s">
        <v>649</v>
      </c>
      <c r="M2671" t="s">
        <v>669</v>
      </c>
    </row>
    <row r="2672" spans="1:13">
      <c r="A2672" t="s">
        <v>851</v>
      </c>
      <c r="B2672" t="s">
        <v>687</v>
      </c>
      <c r="C2672" t="s">
        <v>687</v>
      </c>
      <c r="D2672" t="s">
        <v>3185</v>
      </c>
      <c r="E2672" t="s">
        <v>656</v>
      </c>
      <c r="F2672" t="s">
        <v>31</v>
      </c>
      <c r="G2672">
        <v>2040</v>
      </c>
      <c r="H2672" s="12">
        <v>229.67</v>
      </c>
      <c r="I2672" t="s">
        <v>3183</v>
      </c>
      <c r="J2672" t="s">
        <v>41</v>
      </c>
      <c r="K2672" t="s">
        <v>147</v>
      </c>
      <c r="L2672" t="s">
        <v>649</v>
      </c>
      <c r="M2672" t="s">
        <v>669</v>
      </c>
    </row>
    <row r="2673" spans="1:13">
      <c r="A2673" t="s">
        <v>851</v>
      </c>
      <c r="B2673" t="s">
        <v>687</v>
      </c>
      <c r="C2673" t="s">
        <v>687</v>
      </c>
      <c r="D2673" t="s">
        <v>3185</v>
      </c>
      <c r="E2673" t="s">
        <v>656</v>
      </c>
      <c r="F2673" t="s">
        <v>31</v>
      </c>
      <c r="G2673">
        <v>2045</v>
      </c>
      <c r="H2673" s="12">
        <v>286.55</v>
      </c>
      <c r="I2673" t="s">
        <v>3183</v>
      </c>
      <c r="J2673" t="s">
        <v>41</v>
      </c>
      <c r="K2673" t="s">
        <v>147</v>
      </c>
      <c r="L2673" t="s">
        <v>649</v>
      </c>
      <c r="M2673" t="s">
        <v>669</v>
      </c>
    </row>
    <row r="2674" spans="1:13">
      <c r="A2674" t="s">
        <v>851</v>
      </c>
      <c r="B2674" t="s">
        <v>687</v>
      </c>
      <c r="C2674" t="s">
        <v>687</v>
      </c>
      <c r="D2674" t="s">
        <v>3185</v>
      </c>
      <c r="E2674" t="s">
        <v>656</v>
      </c>
      <c r="F2674" t="s">
        <v>31</v>
      </c>
      <c r="G2674">
        <v>2050</v>
      </c>
      <c r="H2674" s="12">
        <v>337.57</v>
      </c>
      <c r="I2674" t="s">
        <v>3183</v>
      </c>
      <c r="J2674" t="s">
        <v>41</v>
      </c>
      <c r="K2674" t="s">
        <v>147</v>
      </c>
      <c r="L2674" t="s">
        <v>649</v>
      </c>
      <c r="M2674" t="s">
        <v>669</v>
      </c>
    </row>
    <row r="2675" spans="1:13">
      <c r="A2675" t="s">
        <v>851</v>
      </c>
      <c r="B2675" t="s">
        <v>686</v>
      </c>
      <c r="C2675" t="s">
        <v>686</v>
      </c>
      <c r="D2675" t="s">
        <v>3185</v>
      </c>
      <c r="E2675" t="s">
        <v>656</v>
      </c>
      <c r="F2675" t="s">
        <v>31</v>
      </c>
      <c r="G2675">
        <v>2010</v>
      </c>
      <c r="H2675" s="12">
        <v>89.72</v>
      </c>
      <c r="I2675" t="s">
        <v>3183</v>
      </c>
      <c r="J2675" t="s">
        <v>15</v>
      </c>
      <c r="K2675" t="s">
        <v>147</v>
      </c>
      <c r="L2675" t="s">
        <v>649</v>
      </c>
      <c r="M2675" t="s">
        <v>15</v>
      </c>
    </row>
    <row r="2676" spans="1:13">
      <c r="A2676" t="s">
        <v>851</v>
      </c>
      <c r="B2676" t="s">
        <v>686</v>
      </c>
      <c r="C2676" t="s">
        <v>686</v>
      </c>
      <c r="D2676" t="s">
        <v>3185</v>
      </c>
      <c r="E2676" t="s">
        <v>656</v>
      </c>
      <c r="F2676" t="s">
        <v>31</v>
      </c>
      <c r="G2676">
        <v>2015</v>
      </c>
      <c r="H2676" s="12">
        <v>105.57</v>
      </c>
      <c r="I2676" t="s">
        <v>3183</v>
      </c>
      <c r="J2676" t="s">
        <v>15</v>
      </c>
      <c r="K2676" t="s">
        <v>147</v>
      </c>
      <c r="L2676" t="s">
        <v>649</v>
      </c>
      <c r="M2676" t="s">
        <v>15</v>
      </c>
    </row>
    <row r="2677" spans="1:13">
      <c r="A2677" t="s">
        <v>851</v>
      </c>
      <c r="B2677" t="s">
        <v>686</v>
      </c>
      <c r="C2677" t="s">
        <v>686</v>
      </c>
      <c r="D2677" t="s">
        <v>3185</v>
      </c>
      <c r="E2677" t="s">
        <v>656</v>
      </c>
      <c r="F2677" t="s">
        <v>31</v>
      </c>
      <c r="G2677">
        <v>2020</v>
      </c>
      <c r="H2677" s="12">
        <v>120.6</v>
      </c>
      <c r="I2677" t="s">
        <v>3183</v>
      </c>
      <c r="J2677" t="s">
        <v>15</v>
      </c>
      <c r="K2677" t="s">
        <v>147</v>
      </c>
      <c r="L2677" t="s">
        <v>649</v>
      </c>
      <c r="M2677" t="s">
        <v>15</v>
      </c>
    </row>
    <row r="2678" spans="1:13">
      <c r="A2678" t="s">
        <v>851</v>
      </c>
      <c r="B2678" t="s">
        <v>686</v>
      </c>
      <c r="C2678" t="s">
        <v>686</v>
      </c>
      <c r="D2678" t="s">
        <v>3185</v>
      </c>
      <c r="E2678" t="s">
        <v>656</v>
      </c>
      <c r="F2678" t="s">
        <v>31</v>
      </c>
      <c r="G2678">
        <v>2030</v>
      </c>
      <c r="H2678" s="12">
        <v>187.99</v>
      </c>
      <c r="I2678" t="s">
        <v>3183</v>
      </c>
      <c r="J2678" t="s">
        <v>15</v>
      </c>
      <c r="K2678" t="s">
        <v>147</v>
      </c>
      <c r="L2678" t="s">
        <v>649</v>
      </c>
      <c r="M2678" t="s">
        <v>15</v>
      </c>
    </row>
    <row r="2679" spans="1:13">
      <c r="A2679" t="s">
        <v>851</v>
      </c>
      <c r="B2679" t="s">
        <v>686</v>
      </c>
      <c r="C2679" t="s">
        <v>686</v>
      </c>
      <c r="D2679" t="s">
        <v>3185</v>
      </c>
      <c r="E2679" t="s">
        <v>656</v>
      </c>
      <c r="F2679" t="s">
        <v>31</v>
      </c>
      <c r="G2679">
        <v>2035</v>
      </c>
      <c r="H2679" s="12">
        <v>224.24</v>
      </c>
      <c r="I2679" t="s">
        <v>3183</v>
      </c>
      <c r="J2679" t="s">
        <v>15</v>
      </c>
      <c r="K2679" t="s">
        <v>147</v>
      </c>
      <c r="L2679" t="s">
        <v>649</v>
      </c>
      <c r="M2679" t="s">
        <v>15</v>
      </c>
    </row>
    <row r="2680" spans="1:13">
      <c r="A2680" t="s">
        <v>851</v>
      </c>
      <c r="B2680" t="s">
        <v>686</v>
      </c>
      <c r="C2680" t="s">
        <v>686</v>
      </c>
      <c r="D2680" t="s">
        <v>3185</v>
      </c>
      <c r="E2680" t="s">
        <v>656</v>
      </c>
      <c r="F2680" t="s">
        <v>31</v>
      </c>
      <c r="G2680">
        <v>2040</v>
      </c>
      <c r="H2680" s="12">
        <v>253.28</v>
      </c>
      <c r="I2680" t="s">
        <v>3183</v>
      </c>
      <c r="J2680" t="s">
        <v>15</v>
      </c>
      <c r="K2680" t="s">
        <v>147</v>
      </c>
      <c r="L2680" t="s">
        <v>649</v>
      </c>
      <c r="M2680" t="s">
        <v>15</v>
      </c>
    </row>
    <row r="2681" spans="1:13">
      <c r="A2681" t="s">
        <v>851</v>
      </c>
      <c r="B2681" t="s">
        <v>686</v>
      </c>
      <c r="C2681" t="s">
        <v>686</v>
      </c>
      <c r="D2681" t="s">
        <v>3185</v>
      </c>
      <c r="E2681" t="s">
        <v>656</v>
      </c>
      <c r="F2681" t="s">
        <v>31</v>
      </c>
      <c r="G2681">
        <v>2045</v>
      </c>
      <c r="H2681" s="12">
        <v>274.11</v>
      </c>
      <c r="I2681" t="s">
        <v>3183</v>
      </c>
      <c r="J2681" t="s">
        <v>15</v>
      </c>
      <c r="K2681" t="s">
        <v>147</v>
      </c>
      <c r="L2681" t="s">
        <v>649</v>
      </c>
      <c r="M2681" t="s">
        <v>15</v>
      </c>
    </row>
    <row r="2682" spans="1:13">
      <c r="A2682" t="s">
        <v>851</v>
      </c>
      <c r="B2682" t="s">
        <v>686</v>
      </c>
      <c r="C2682" t="s">
        <v>686</v>
      </c>
      <c r="D2682" t="s">
        <v>3185</v>
      </c>
      <c r="E2682" t="s">
        <v>656</v>
      </c>
      <c r="F2682" t="s">
        <v>31</v>
      </c>
      <c r="G2682">
        <v>2050</v>
      </c>
      <c r="H2682" s="12">
        <v>293.04000000000002</v>
      </c>
      <c r="I2682" t="s">
        <v>3183</v>
      </c>
      <c r="J2682" t="s">
        <v>15</v>
      </c>
      <c r="K2682" t="s">
        <v>147</v>
      </c>
      <c r="L2682" t="s">
        <v>649</v>
      </c>
      <c r="M2682" t="s">
        <v>15</v>
      </c>
    </row>
    <row r="2683" spans="1:13">
      <c r="A2683" t="s">
        <v>851</v>
      </c>
      <c r="B2683" t="s">
        <v>687</v>
      </c>
      <c r="C2683" t="s">
        <v>687</v>
      </c>
      <c r="D2683" t="s">
        <v>3185</v>
      </c>
      <c r="E2683" t="s">
        <v>656</v>
      </c>
      <c r="F2683" t="s">
        <v>31</v>
      </c>
      <c r="G2683">
        <v>2030</v>
      </c>
      <c r="H2683" s="12">
        <v>194.23</v>
      </c>
      <c r="I2683" t="s">
        <v>3183</v>
      </c>
      <c r="J2683" t="s">
        <v>15</v>
      </c>
      <c r="K2683" t="s">
        <v>147</v>
      </c>
      <c r="L2683" t="s">
        <v>649</v>
      </c>
      <c r="M2683" t="s">
        <v>15</v>
      </c>
    </row>
    <row r="2684" spans="1:13">
      <c r="A2684" t="s">
        <v>851</v>
      </c>
      <c r="B2684" t="s">
        <v>687</v>
      </c>
      <c r="C2684" t="s">
        <v>687</v>
      </c>
      <c r="D2684" t="s">
        <v>3185</v>
      </c>
      <c r="E2684" t="s">
        <v>656</v>
      </c>
      <c r="F2684" t="s">
        <v>31</v>
      </c>
      <c r="G2684">
        <v>2035</v>
      </c>
      <c r="H2684" s="12">
        <v>234.26</v>
      </c>
      <c r="I2684" t="s">
        <v>3183</v>
      </c>
      <c r="J2684" t="s">
        <v>15</v>
      </c>
      <c r="K2684" t="s">
        <v>147</v>
      </c>
      <c r="L2684" t="s">
        <v>649</v>
      </c>
      <c r="M2684" t="s">
        <v>15</v>
      </c>
    </row>
    <row r="2685" spans="1:13">
      <c r="A2685" t="s">
        <v>851</v>
      </c>
      <c r="B2685" t="s">
        <v>687</v>
      </c>
      <c r="C2685" t="s">
        <v>687</v>
      </c>
      <c r="D2685" t="s">
        <v>3185</v>
      </c>
      <c r="E2685" t="s">
        <v>656</v>
      </c>
      <c r="F2685" t="s">
        <v>31</v>
      </c>
      <c r="G2685">
        <v>2040</v>
      </c>
      <c r="H2685" s="12">
        <v>289.77999999999997</v>
      </c>
      <c r="I2685" t="s">
        <v>3183</v>
      </c>
      <c r="J2685" t="s">
        <v>15</v>
      </c>
      <c r="K2685" t="s">
        <v>147</v>
      </c>
      <c r="L2685" t="s">
        <v>649</v>
      </c>
      <c r="M2685" t="s">
        <v>15</v>
      </c>
    </row>
    <row r="2686" spans="1:13">
      <c r="A2686" t="s">
        <v>851</v>
      </c>
      <c r="B2686" t="s">
        <v>687</v>
      </c>
      <c r="C2686" t="s">
        <v>687</v>
      </c>
      <c r="D2686" t="s">
        <v>3185</v>
      </c>
      <c r="E2686" t="s">
        <v>656</v>
      </c>
      <c r="F2686" t="s">
        <v>31</v>
      </c>
      <c r="G2686">
        <v>2045</v>
      </c>
      <c r="H2686" s="12">
        <v>324.83999999999997</v>
      </c>
      <c r="I2686" t="s">
        <v>3183</v>
      </c>
      <c r="J2686" t="s">
        <v>15</v>
      </c>
      <c r="K2686" t="s">
        <v>147</v>
      </c>
      <c r="L2686" t="s">
        <v>649</v>
      </c>
      <c r="M2686" t="s">
        <v>15</v>
      </c>
    </row>
    <row r="2687" spans="1:13">
      <c r="A2687" t="s">
        <v>851</v>
      </c>
      <c r="B2687" t="s">
        <v>687</v>
      </c>
      <c r="C2687" t="s">
        <v>687</v>
      </c>
      <c r="D2687" t="s">
        <v>3185</v>
      </c>
      <c r="E2687" t="s">
        <v>656</v>
      </c>
      <c r="F2687" t="s">
        <v>31</v>
      </c>
      <c r="G2687">
        <v>2050</v>
      </c>
      <c r="H2687" s="12">
        <v>358.23</v>
      </c>
      <c r="I2687" t="s">
        <v>3183</v>
      </c>
      <c r="J2687" t="s">
        <v>15</v>
      </c>
      <c r="K2687" t="s">
        <v>147</v>
      </c>
      <c r="L2687" t="s">
        <v>649</v>
      </c>
      <c r="M2687" t="s">
        <v>15</v>
      </c>
    </row>
    <row r="2688" spans="1:13">
      <c r="A2688" t="s">
        <v>851</v>
      </c>
      <c r="B2688" t="s">
        <v>686</v>
      </c>
      <c r="C2688" t="s">
        <v>686</v>
      </c>
      <c r="D2688" t="s">
        <v>3185</v>
      </c>
      <c r="E2688" t="s">
        <v>656</v>
      </c>
      <c r="F2688" t="s">
        <v>31</v>
      </c>
      <c r="G2688">
        <v>2010</v>
      </c>
      <c r="H2688" s="12">
        <v>0</v>
      </c>
      <c r="I2688" t="s">
        <v>3183</v>
      </c>
      <c r="J2688" t="s">
        <v>8</v>
      </c>
      <c r="K2688" t="s">
        <v>147</v>
      </c>
      <c r="L2688" t="s">
        <v>649</v>
      </c>
      <c r="M2688" t="s">
        <v>670</v>
      </c>
    </row>
    <row r="2689" spans="1:13">
      <c r="A2689" t="s">
        <v>851</v>
      </c>
      <c r="B2689" t="s">
        <v>686</v>
      </c>
      <c r="C2689" t="s">
        <v>686</v>
      </c>
      <c r="D2689" t="s">
        <v>3185</v>
      </c>
      <c r="E2689" t="s">
        <v>656</v>
      </c>
      <c r="F2689" t="s">
        <v>31</v>
      </c>
      <c r="G2689">
        <v>2015</v>
      </c>
      <c r="H2689" s="12">
        <v>0</v>
      </c>
      <c r="I2689" t="s">
        <v>3183</v>
      </c>
      <c r="J2689" t="s">
        <v>8</v>
      </c>
      <c r="K2689" t="s">
        <v>147</v>
      </c>
      <c r="L2689" t="s">
        <v>649</v>
      </c>
      <c r="M2689" t="s">
        <v>670</v>
      </c>
    </row>
    <row r="2690" spans="1:13">
      <c r="A2690" t="s">
        <v>851</v>
      </c>
      <c r="B2690" t="s">
        <v>686</v>
      </c>
      <c r="C2690" t="s">
        <v>686</v>
      </c>
      <c r="D2690" t="s">
        <v>3185</v>
      </c>
      <c r="E2690" t="s">
        <v>656</v>
      </c>
      <c r="F2690" t="s">
        <v>31</v>
      </c>
      <c r="G2690">
        <v>2020</v>
      </c>
      <c r="H2690" s="12">
        <v>0</v>
      </c>
      <c r="I2690" t="s">
        <v>3183</v>
      </c>
      <c r="J2690" t="s">
        <v>8</v>
      </c>
      <c r="K2690" t="s">
        <v>147</v>
      </c>
      <c r="L2690" t="s">
        <v>649</v>
      </c>
      <c r="M2690" t="s">
        <v>670</v>
      </c>
    </row>
    <row r="2691" spans="1:13">
      <c r="A2691" t="s">
        <v>851</v>
      </c>
      <c r="B2691" t="s">
        <v>686</v>
      </c>
      <c r="C2691" t="s">
        <v>686</v>
      </c>
      <c r="D2691" t="s">
        <v>3185</v>
      </c>
      <c r="E2691" t="s">
        <v>656</v>
      </c>
      <c r="F2691" t="s">
        <v>31</v>
      </c>
      <c r="G2691">
        <v>2030</v>
      </c>
      <c r="H2691" s="12">
        <v>2.4500000000000002</v>
      </c>
      <c r="I2691" t="s">
        <v>3183</v>
      </c>
      <c r="J2691" t="s">
        <v>8</v>
      </c>
      <c r="K2691" t="s">
        <v>147</v>
      </c>
      <c r="L2691" t="s">
        <v>649</v>
      </c>
      <c r="M2691" t="s">
        <v>670</v>
      </c>
    </row>
    <row r="2692" spans="1:13">
      <c r="A2692" t="s">
        <v>851</v>
      </c>
      <c r="B2692" t="s">
        <v>686</v>
      </c>
      <c r="C2692" t="s">
        <v>686</v>
      </c>
      <c r="D2692" t="s">
        <v>3185</v>
      </c>
      <c r="E2692" t="s">
        <v>656</v>
      </c>
      <c r="F2692" t="s">
        <v>31</v>
      </c>
      <c r="G2692">
        <v>2035</v>
      </c>
      <c r="H2692" s="12">
        <v>6.57</v>
      </c>
      <c r="I2692" t="s">
        <v>3183</v>
      </c>
      <c r="J2692" t="s">
        <v>8</v>
      </c>
      <c r="K2692" t="s">
        <v>147</v>
      </c>
      <c r="L2692" t="s">
        <v>649</v>
      </c>
      <c r="M2692" t="s">
        <v>670</v>
      </c>
    </row>
    <row r="2693" spans="1:13">
      <c r="A2693" t="s">
        <v>851</v>
      </c>
      <c r="B2693" t="s">
        <v>686</v>
      </c>
      <c r="C2693" t="s">
        <v>686</v>
      </c>
      <c r="D2693" t="s">
        <v>3185</v>
      </c>
      <c r="E2693" t="s">
        <v>656</v>
      </c>
      <c r="F2693" t="s">
        <v>31</v>
      </c>
      <c r="G2693">
        <v>2040</v>
      </c>
      <c r="H2693" s="12">
        <v>12.67</v>
      </c>
      <c r="I2693" t="s">
        <v>3183</v>
      </c>
      <c r="J2693" t="s">
        <v>8</v>
      </c>
      <c r="K2693" t="s">
        <v>147</v>
      </c>
      <c r="L2693" t="s">
        <v>649</v>
      </c>
      <c r="M2693" t="s">
        <v>670</v>
      </c>
    </row>
    <row r="2694" spans="1:13">
      <c r="A2694" t="s">
        <v>851</v>
      </c>
      <c r="B2694" t="s">
        <v>686</v>
      </c>
      <c r="C2694" t="s">
        <v>686</v>
      </c>
      <c r="D2694" t="s">
        <v>3185</v>
      </c>
      <c r="E2694" t="s">
        <v>656</v>
      </c>
      <c r="F2694" t="s">
        <v>31</v>
      </c>
      <c r="G2694">
        <v>2045</v>
      </c>
      <c r="H2694" s="12">
        <v>15.66</v>
      </c>
      <c r="I2694" t="s">
        <v>3183</v>
      </c>
      <c r="J2694" t="s">
        <v>8</v>
      </c>
      <c r="K2694" t="s">
        <v>147</v>
      </c>
      <c r="L2694" t="s">
        <v>649</v>
      </c>
      <c r="M2694" t="s">
        <v>670</v>
      </c>
    </row>
    <row r="2695" spans="1:13">
      <c r="A2695" t="s">
        <v>851</v>
      </c>
      <c r="B2695" t="s">
        <v>686</v>
      </c>
      <c r="C2695" t="s">
        <v>686</v>
      </c>
      <c r="D2695" t="s">
        <v>3185</v>
      </c>
      <c r="E2695" t="s">
        <v>656</v>
      </c>
      <c r="F2695" t="s">
        <v>31</v>
      </c>
      <c r="G2695">
        <v>2050</v>
      </c>
      <c r="H2695" s="12">
        <v>12.99</v>
      </c>
      <c r="I2695" t="s">
        <v>3183</v>
      </c>
      <c r="J2695" t="s">
        <v>8</v>
      </c>
      <c r="K2695" t="s">
        <v>147</v>
      </c>
      <c r="L2695" t="s">
        <v>649</v>
      </c>
      <c r="M2695" t="s">
        <v>670</v>
      </c>
    </row>
    <row r="2696" spans="1:13">
      <c r="A2696" t="s">
        <v>851</v>
      </c>
      <c r="B2696" t="s">
        <v>687</v>
      </c>
      <c r="C2696" t="s">
        <v>687</v>
      </c>
      <c r="D2696" t="s">
        <v>3185</v>
      </c>
      <c r="E2696" t="s">
        <v>656</v>
      </c>
      <c r="F2696" t="s">
        <v>31</v>
      </c>
      <c r="G2696">
        <v>2030</v>
      </c>
      <c r="H2696" s="12">
        <v>5.55</v>
      </c>
      <c r="I2696" t="s">
        <v>3183</v>
      </c>
      <c r="J2696" t="s">
        <v>8</v>
      </c>
      <c r="K2696" t="s">
        <v>147</v>
      </c>
      <c r="L2696" t="s">
        <v>649</v>
      </c>
      <c r="M2696" t="s">
        <v>670</v>
      </c>
    </row>
    <row r="2697" spans="1:13">
      <c r="A2697" t="s">
        <v>851</v>
      </c>
      <c r="B2697" t="s">
        <v>687</v>
      </c>
      <c r="C2697" t="s">
        <v>687</v>
      </c>
      <c r="D2697" t="s">
        <v>3185</v>
      </c>
      <c r="E2697" t="s">
        <v>656</v>
      </c>
      <c r="F2697" t="s">
        <v>31</v>
      </c>
      <c r="G2697">
        <v>2035</v>
      </c>
      <c r="H2697" s="12">
        <v>34.340000000000003</v>
      </c>
      <c r="I2697" t="s">
        <v>3183</v>
      </c>
      <c r="J2697" t="s">
        <v>8</v>
      </c>
      <c r="K2697" t="s">
        <v>147</v>
      </c>
      <c r="L2697" t="s">
        <v>649</v>
      </c>
      <c r="M2697" t="s">
        <v>670</v>
      </c>
    </row>
    <row r="2698" spans="1:13">
      <c r="A2698" t="s">
        <v>851</v>
      </c>
      <c r="B2698" t="s">
        <v>687</v>
      </c>
      <c r="C2698" t="s">
        <v>687</v>
      </c>
      <c r="D2698" t="s">
        <v>3185</v>
      </c>
      <c r="E2698" t="s">
        <v>656</v>
      </c>
      <c r="F2698" t="s">
        <v>31</v>
      </c>
      <c r="G2698">
        <v>2040</v>
      </c>
      <c r="H2698" s="12">
        <v>61.15</v>
      </c>
      <c r="I2698" t="s">
        <v>3183</v>
      </c>
      <c r="J2698" t="s">
        <v>8</v>
      </c>
      <c r="K2698" t="s">
        <v>147</v>
      </c>
      <c r="L2698" t="s">
        <v>649</v>
      </c>
      <c r="M2698" t="s">
        <v>670</v>
      </c>
    </row>
    <row r="2699" spans="1:13">
      <c r="A2699" t="s">
        <v>851</v>
      </c>
      <c r="B2699" t="s">
        <v>687</v>
      </c>
      <c r="C2699" t="s">
        <v>687</v>
      </c>
      <c r="D2699" t="s">
        <v>3185</v>
      </c>
      <c r="E2699" t="s">
        <v>656</v>
      </c>
      <c r="F2699" t="s">
        <v>31</v>
      </c>
      <c r="G2699">
        <v>2045</v>
      </c>
      <c r="H2699" s="12">
        <v>90.96</v>
      </c>
      <c r="I2699" t="s">
        <v>3183</v>
      </c>
      <c r="J2699" t="s">
        <v>8</v>
      </c>
      <c r="K2699" t="s">
        <v>147</v>
      </c>
      <c r="L2699" t="s">
        <v>649</v>
      </c>
      <c r="M2699" t="s">
        <v>670</v>
      </c>
    </row>
    <row r="2700" spans="1:13">
      <c r="A2700" t="s">
        <v>851</v>
      </c>
      <c r="B2700" t="s">
        <v>687</v>
      </c>
      <c r="C2700" t="s">
        <v>687</v>
      </c>
      <c r="D2700" t="s">
        <v>3185</v>
      </c>
      <c r="E2700" t="s">
        <v>656</v>
      </c>
      <c r="F2700" t="s">
        <v>31</v>
      </c>
      <c r="G2700">
        <v>2050</v>
      </c>
      <c r="H2700" s="12">
        <v>116.74</v>
      </c>
      <c r="I2700" t="s">
        <v>3183</v>
      </c>
      <c r="J2700" t="s">
        <v>8</v>
      </c>
      <c r="K2700" t="s">
        <v>147</v>
      </c>
      <c r="L2700" t="s">
        <v>649</v>
      </c>
      <c r="M2700" t="s">
        <v>670</v>
      </c>
    </row>
    <row r="2701" spans="1:13">
      <c r="A2701" t="s">
        <v>851</v>
      </c>
      <c r="B2701" t="s">
        <v>686</v>
      </c>
      <c r="C2701" t="s">
        <v>686</v>
      </c>
      <c r="D2701" t="s">
        <v>3185</v>
      </c>
      <c r="E2701" t="s">
        <v>656</v>
      </c>
      <c r="F2701" t="s">
        <v>31</v>
      </c>
      <c r="G2701">
        <v>2010</v>
      </c>
      <c r="H2701" s="12">
        <v>919.56</v>
      </c>
      <c r="I2701" t="s">
        <v>3183</v>
      </c>
      <c r="J2701" t="s">
        <v>5</v>
      </c>
      <c r="K2701" t="s">
        <v>147</v>
      </c>
      <c r="L2701" t="s">
        <v>649</v>
      </c>
      <c r="M2701" t="s">
        <v>665</v>
      </c>
    </row>
    <row r="2702" spans="1:13">
      <c r="A2702" t="s">
        <v>851</v>
      </c>
      <c r="B2702" t="s">
        <v>686</v>
      </c>
      <c r="C2702" t="s">
        <v>686</v>
      </c>
      <c r="D2702" t="s">
        <v>3185</v>
      </c>
      <c r="E2702" t="s">
        <v>656</v>
      </c>
      <c r="F2702" t="s">
        <v>31</v>
      </c>
      <c r="G2702">
        <v>2015</v>
      </c>
      <c r="H2702" s="12">
        <v>1302.42</v>
      </c>
      <c r="I2702" t="s">
        <v>3183</v>
      </c>
      <c r="J2702" t="s">
        <v>5</v>
      </c>
      <c r="K2702" t="s">
        <v>147</v>
      </c>
      <c r="L2702" t="s">
        <v>649</v>
      </c>
      <c r="M2702" t="s">
        <v>665</v>
      </c>
    </row>
    <row r="2703" spans="1:13">
      <c r="A2703" t="s">
        <v>851</v>
      </c>
      <c r="B2703" t="s">
        <v>686</v>
      </c>
      <c r="C2703" t="s">
        <v>686</v>
      </c>
      <c r="D2703" t="s">
        <v>3185</v>
      </c>
      <c r="E2703" t="s">
        <v>656</v>
      </c>
      <c r="F2703" t="s">
        <v>31</v>
      </c>
      <c r="G2703">
        <v>2020</v>
      </c>
      <c r="H2703" s="12">
        <v>1582.72</v>
      </c>
      <c r="I2703" t="s">
        <v>3183</v>
      </c>
      <c r="J2703" t="s">
        <v>5</v>
      </c>
      <c r="K2703" t="s">
        <v>147</v>
      </c>
      <c r="L2703" t="s">
        <v>649</v>
      </c>
      <c r="M2703" t="s">
        <v>665</v>
      </c>
    </row>
    <row r="2704" spans="1:13">
      <c r="A2704" t="s">
        <v>851</v>
      </c>
      <c r="B2704" t="s">
        <v>686</v>
      </c>
      <c r="C2704" t="s">
        <v>686</v>
      </c>
      <c r="D2704" t="s">
        <v>3185</v>
      </c>
      <c r="E2704" t="s">
        <v>656</v>
      </c>
      <c r="F2704" t="s">
        <v>31</v>
      </c>
      <c r="G2704">
        <v>2030</v>
      </c>
      <c r="H2704" s="12">
        <v>1825.54</v>
      </c>
      <c r="I2704" t="s">
        <v>3183</v>
      </c>
      <c r="J2704" t="s">
        <v>5</v>
      </c>
      <c r="K2704" t="s">
        <v>147</v>
      </c>
      <c r="L2704" t="s">
        <v>649</v>
      </c>
      <c r="M2704" t="s">
        <v>665</v>
      </c>
    </row>
    <row r="2705" spans="1:13">
      <c r="A2705" t="s">
        <v>851</v>
      </c>
      <c r="B2705" t="s">
        <v>686</v>
      </c>
      <c r="C2705" t="s">
        <v>686</v>
      </c>
      <c r="D2705" t="s">
        <v>3185</v>
      </c>
      <c r="E2705" t="s">
        <v>656</v>
      </c>
      <c r="F2705" t="s">
        <v>31</v>
      </c>
      <c r="G2705">
        <v>2010</v>
      </c>
      <c r="H2705" s="12">
        <v>0.23</v>
      </c>
      <c r="I2705" t="s">
        <v>3183</v>
      </c>
      <c r="J2705" t="s">
        <v>484</v>
      </c>
      <c r="K2705" t="s">
        <v>147</v>
      </c>
      <c r="L2705" t="s">
        <v>649</v>
      </c>
      <c r="M2705" t="s">
        <v>667</v>
      </c>
    </row>
    <row r="2706" spans="1:13">
      <c r="A2706" t="s">
        <v>851</v>
      </c>
      <c r="B2706" t="s">
        <v>686</v>
      </c>
      <c r="C2706" t="s">
        <v>686</v>
      </c>
      <c r="D2706" t="s">
        <v>3185</v>
      </c>
      <c r="E2706" t="s">
        <v>656</v>
      </c>
      <c r="F2706" t="s">
        <v>31</v>
      </c>
      <c r="G2706">
        <v>2015</v>
      </c>
      <c r="H2706" s="12">
        <v>0.94</v>
      </c>
      <c r="I2706" t="s">
        <v>3183</v>
      </c>
      <c r="J2706" t="s">
        <v>484</v>
      </c>
      <c r="K2706" t="s">
        <v>147</v>
      </c>
      <c r="L2706" t="s">
        <v>649</v>
      </c>
      <c r="M2706" t="s">
        <v>667</v>
      </c>
    </row>
    <row r="2707" spans="1:13">
      <c r="A2707" t="s">
        <v>851</v>
      </c>
      <c r="B2707" t="s">
        <v>686</v>
      </c>
      <c r="C2707" t="s">
        <v>686</v>
      </c>
      <c r="D2707" t="s">
        <v>3185</v>
      </c>
      <c r="E2707" t="s">
        <v>656</v>
      </c>
      <c r="F2707" t="s">
        <v>31</v>
      </c>
      <c r="G2707">
        <v>2020</v>
      </c>
      <c r="H2707" s="12">
        <v>9.14</v>
      </c>
      <c r="I2707" t="s">
        <v>3183</v>
      </c>
      <c r="J2707" t="s">
        <v>484</v>
      </c>
      <c r="K2707" t="s">
        <v>147</v>
      </c>
      <c r="L2707" t="s">
        <v>649</v>
      </c>
      <c r="M2707" t="s">
        <v>667</v>
      </c>
    </row>
    <row r="2708" spans="1:13">
      <c r="A2708" t="s">
        <v>851</v>
      </c>
      <c r="B2708" t="s">
        <v>686</v>
      </c>
      <c r="C2708" t="s">
        <v>686</v>
      </c>
      <c r="D2708" t="s">
        <v>3185</v>
      </c>
      <c r="E2708" t="s">
        <v>656</v>
      </c>
      <c r="F2708" t="s">
        <v>31</v>
      </c>
      <c r="G2708">
        <v>2030</v>
      </c>
      <c r="H2708" s="12">
        <v>92.8</v>
      </c>
      <c r="I2708" t="s">
        <v>3183</v>
      </c>
      <c r="J2708" t="s">
        <v>484</v>
      </c>
      <c r="K2708" t="s">
        <v>147</v>
      </c>
      <c r="L2708" t="s">
        <v>649</v>
      </c>
      <c r="M2708" t="s">
        <v>667</v>
      </c>
    </row>
    <row r="2709" spans="1:13">
      <c r="A2709" t="s">
        <v>851</v>
      </c>
      <c r="B2709" t="s">
        <v>686</v>
      </c>
      <c r="C2709" t="s">
        <v>686</v>
      </c>
      <c r="D2709" t="s">
        <v>3185</v>
      </c>
      <c r="E2709" t="s">
        <v>656</v>
      </c>
      <c r="F2709" t="s">
        <v>31</v>
      </c>
      <c r="G2709">
        <v>2035</v>
      </c>
      <c r="H2709" s="12">
        <v>185.33</v>
      </c>
      <c r="I2709" t="s">
        <v>3183</v>
      </c>
      <c r="J2709" t="s">
        <v>484</v>
      </c>
      <c r="K2709" t="s">
        <v>147</v>
      </c>
      <c r="L2709" t="s">
        <v>649</v>
      </c>
      <c r="M2709" t="s">
        <v>667</v>
      </c>
    </row>
    <row r="2710" spans="1:13">
      <c r="A2710" t="s">
        <v>851</v>
      </c>
      <c r="B2710" t="s">
        <v>686</v>
      </c>
      <c r="C2710" t="s">
        <v>686</v>
      </c>
      <c r="D2710" t="s">
        <v>3185</v>
      </c>
      <c r="E2710" t="s">
        <v>656</v>
      </c>
      <c r="F2710" t="s">
        <v>31</v>
      </c>
      <c r="G2710">
        <v>2040</v>
      </c>
      <c r="H2710" s="12">
        <v>319.5</v>
      </c>
      <c r="I2710" t="s">
        <v>3183</v>
      </c>
      <c r="J2710" t="s">
        <v>484</v>
      </c>
      <c r="K2710" t="s">
        <v>147</v>
      </c>
      <c r="L2710" t="s">
        <v>649</v>
      </c>
      <c r="M2710" t="s">
        <v>667</v>
      </c>
    </row>
    <row r="2711" spans="1:13">
      <c r="A2711" t="s">
        <v>851</v>
      </c>
      <c r="B2711" t="s">
        <v>686</v>
      </c>
      <c r="C2711" t="s">
        <v>686</v>
      </c>
      <c r="D2711" t="s">
        <v>3185</v>
      </c>
      <c r="E2711" t="s">
        <v>656</v>
      </c>
      <c r="F2711" t="s">
        <v>31</v>
      </c>
      <c r="G2711">
        <v>2045</v>
      </c>
      <c r="H2711" s="12">
        <v>471.72</v>
      </c>
      <c r="I2711" t="s">
        <v>3183</v>
      </c>
      <c r="J2711" t="s">
        <v>484</v>
      </c>
      <c r="K2711" t="s">
        <v>147</v>
      </c>
      <c r="L2711" t="s">
        <v>649</v>
      </c>
      <c r="M2711" t="s">
        <v>667</v>
      </c>
    </row>
    <row r="2712" spans="1:13">
      <c r="A2712" t="s">
        <v>851</v>
      </c>
      <c r="B2712" t="s">
        <v>686</v>
      </c>
      <c r="C2712" t="s">
        <v>686</v>
      </c>
      <c r="D2712" t="s">
        <v>3185</v>
      </c>
      <c r="E2712" t="s">
        <v>656</v>
      </c>
      <c r="F2712" t="s">
        <v>31</v>
      </c>
      <c r="G2712">
        <v>2050</v>
      </c>
      <c r="H2712" s="12">
        <v>606.38</v>
      </c>
      <c r="I2712" t="s">
        <v>3183</v>
      </c>
      <c r="J2712" t="s">
        <v>484</v>
      </c>
      <c r="K2712" t="s">
        <v>147</v>
      </c>
      <c r="L2712" t="s">
        <v>649</v>
      </c>
      <c r="M2712" t="s">
        <v>667</v>
      </c>
    </row>
    <row r="2713" spans="1:13">
      <c r="A2713" t="s">
        <v>851</v>
      </c>
      <c r="B2713" t="s">
        <v>687</v>
      </c>
      <c r="C2713" t="s">
        <v>687</v>
      </c>
      <c r="D2713" t="s">
        <v>3185</v>
      </c>
      <c r="E2713" t="s">
        <v>656</v>
      </c>
      <c r="F2713" t="s">
        <v>31</v>
      </c>
      <c r="G2713">
        <v>2030</v>
      </c>
      <c r="H2713" s="12">
        <v>149.18</v>
      </c>
      <c r="I2713" t="s">
        <v>3183</v>
      </c>
      <c r="J2713" t="s">
        <v>484</v>
      </c>
      <c r="K2713" t="s">
        <v>147</v>
      </c>
      <c r="L2713" t="s">
        <v>649</v>
      </c>
      <c r="M2713" t="s">
        <v>667</v>
      </c>
    </row>
    <row r="2714" spans="1:13">
      <c r="A2714" t="s">
        <v>851</v>
      </c>
      <c r="B2714" t="s">
        <v>687</v>
      </c>
      <c r="C2714" t="s">
        <v>687</v>
      </c>
      <c r="D2714" t="s">
        <v>3185</v>
      </c>
      <c r="E2714" t="s">
        <v>656</v>
      </c>
      <c r="F2714" t="s">
        <v>31</v>
      </c>
      <c r="G2714">
        <v>2035</v>
      </c>
      <c r="H2714" s="12">
        <v>317.33</v>
      </c>
      <c r="I2714" t="s">
        <v>3183</v>
      </c>
      <c r="J2714" t="s">
        <v>484</v>
      </c>
      <c r="K2714" t="s">
        <v>147</v>
      </c>
      <c r="L2714" t="s">
        <v>649</v>
      </c>
      <c r="M2714" t="s">
        <v>667</v>
      </c>
    </row>
    <row r="2715" spans="1:13">
      <c r="A2715" t="s">
        <v>851</v>
      </c>
      <c r="B2715" t="s">
        <v>687</v>
      </c>
      <c r="C2715" t="s">
        <v>687</v>
      </c>
      <c r="D2715" t="s">
        <v>3185</v>
      </c>
      <c r="E2715" t="s">
        <v>656</v>
      </c>
      <c r="F2715" t="s">
        <v>31</v>
      </c>
      <c r="G2715">
        <v>2040</v>
      </c>
      <c r="H2715" s="12">
        <v>557.37</v>
      </c>
      <c r="I2715" t="s">
        <v>3183</v>
      </c>
      <c r="J2715" t="s">
        <v>484</v>
      </c>
      <c r="K2715" t="s">
        <v>147</v>
      </c>
      <c r="L2715" t="s">
        <v>649</v>
      </c>
      <c r="M2715" t="s">
        <v>667</v>
      </c>
    </row>
    <row r="2716" spans="1:13">
      <c r="A2716" t="s">
        <v>851</v>
      </c>
      <c r="B2716" t="s">
        <v>687</v>
      </c>
      <c r="C2716" t="s">
        <v>687</v>
      </c>
      <c r="D2716" t="s">
        <v>3185</v>
      </c>
      <c r="E2716" t="s">
        <v>656</v>
      </c>
      <c r="F2716" t="s">
        <v>31</v>
      </c>
      <c r="G2716">
        <v>2045</v>
      </c>
      <c r="H2716" s="12">
        <v>886.71</v>
      </c>
      <c r="I2716" t="s">
        <v>3183</v>
      </c>
      <c r="J2716" t="s">
        <v>484</v>
      </c>
      <c r="K2716" t="s">
        <v>147</v>
      </c>
      <c r="L2716" t="s">
        <v>649</v>
      </c>
      <c r="M2716" t="s">
        <v>667</v>
      </c>
    </row>
    <row r="2717" spans="1:13">
      <c r="A2717" t="s">
        <v>851</v>
      </c>
      <c r="B2717" t="s">
        <v>687</v>
      </c>
      <c r="C2717" t="s">
        <v>687</v>
      </c>
      <c r="D2717" t="s">
        <v>3185</v>
      </c>
      <c r="E2717" t="s">
        <v>656</v>
      </c>
      <c r="F2717" t="s">
        <v>31</v>
      </c>
      <c r="G2717">
        <v>2050</v>
      </c>
      <c r="H2717" s="12">
        <v>1238.31</v>
      </c>
      <c r="I2717" t="s">
        <v>3183</v>
      </c>
      <c r="J2717" t="s">
        <v>484</v>
      </c>
      <c r="K2717" t="s">
        <v>147</v>
      </c>
      <c r="L2717" t="s">
        <v>649</v>
      </c>
      <c r="M2717" t="s">
        <v>667</v>
      </c>
    </row>
    <row r="2718" spans="1:13">
      <c r="A2718" t="s">
        <v>851</v>
      </c>
      <c r="B2718" t="s">
        <v>686</v>
      </c>
      <c r="C2718" t="s">
        <v>686</v>
      </c>
      <c r="D2718" t="s">
        <v>3185</v>
      </c>
      <c r="E2718" t="s">
        <v>461</v>
      </c>
      <c r="F2718" t="s">
        <v>668</v>
      </c>
      <c r="G2718">
        <v>2015</v>
      </c>
      <c r="H2718" s="12">
        <v>0</v>
      </c>
      <c r="I2718" t="s">
        <v>3183</v>
      </c>
      <c r="J2718" t="s">
        <v>8</v>
      </c>
      <c r="K2718" t="s">
        <v>147</v>
      </c>
      <c r="L2718" t="s">
        <v>649</v>
      </c>
      <c r="M2718" t="s">
        <v>670</v>
      </c>
    </row>
    <row r="2719" spans="1:13">
      <c r="A2719" t="s">
        <v>851</v>
      </c>
      <c r="B2719" t="s">
        <v>686</v>
      </c>
      <c r="C2719" t="s">
        <v>686</v>
      </c>
      <c r="D2719" t="s">
        <v>3185</v>
      </c>
      <c r="E2719" t="s">
        <v>461</v>
      </c>
      <c r="F2719" t="s">
        <v>668</v>
      </c>
      <c r="G2719">
        <v>2020</v>
      </c>
      <c r="H2719" s="12">
        <v>0</v>
      </c>
      <c r="I2719" t="s">
        <v>3183</v>
      </c>
      <c r="J2719" t="s">
        <v>8</v>
      </c>
      <c r="K2719" t="s">
        <v>147</v>
      </c>
      <c r="L2719" t="s">
        <v>649</v>
      </c>
      <c r="M2719" t="s">
        <v>670</v>
      </c>
    </row>
    <row r="2720" spans="1:13">
      <c r="A2720" t="s">
        <v>851</v>
      </c>
      <c r="B2720" t="s">
        <v>686</v>
      </c>
      <c r="C2720" t="s">
        <v>686</v>
      </c>
      <c r="D2720" t="s">
        <v>3185</v>
      </c>
      <c r="E2720" t="s">
        <v>461</v>
      </c>
      <c r="F2720" t="s">
        <v>668</v>
      </c>
      <c r="G2720">
        <v>2030</v>
      </c>
      <c r="H2720" s="12">
        <v>8.69</v>
      </c>
      <c r="I2720" t="s">
        <v>3183</v>
      </c>
      <c r="J2720" t="s">
        <v>8</v>
      </c>
      <c r="K2720" t="s">
        <v>147</v>
      </c>
      <c r="L2720" t="s">
        <v>649</v>
      </c>
      <c r="M2720" t="s">
        <v>670</v>
      </c>
    </row>
    <row r="2721" spans="1:13">
      <c r="A2721" t="s">
        <v>851</v>
      </c>
      <c r="B2721" t="s">
        <v>686</v>
      </c>
      <c r="C2721" t="s">
        <v>686</v>
      </c>
      <c r="D2721" t="s">
        <v>3185</v>
      </c>
      <c r="E2721" t="s">
        <v>461</v>
      </c>
      <c r="F2721" t="s">
        <v>668</v>
      </c>
      <c r="G2721">
        <v>2035</v>
      </c>
      <c r="H2721" s="12">
        <v>19.16</v>
      </c>
      <c r="I2721" t="s">
        <v>3183</v>
      </c>
      <c r="J2721" t="s">
        <v>8</v>
      </c>
      <c r="K2721" t="s">
        <v>147</v>
      </c>
      <c r="L2721" t="s">
        <v>649</v>
      </c>
      <c r="M2721" t="s">
        <v>670</v>
      </c>
    </row>
    <row r="2722" spans="1:13">
      <c r="A2722" t="s">
        <v>851</v>
      </c>
      <c r="B2722" t="s">
        <v>686</v>
      </c>
      <c r="C2722" t="s">
        <v>686</v>
      </c>
      <c r="D2722" t="s">
        <v>3185</v>
      </c>
      <c r="E2722" t="s">
        <v>461</v>
      </c>
      <c r="F2722" t="s">
        <v>668</v>
      </c>
      <c r="G2722">
        <v>2040</v>
      </c>
      <c r="H2722" s="12">
        <v>31.65</v>
      </c>
      <c r="I2722" t="s">
        <v>3183</v>
      </c>
      <c r="J2722" t="s">
        <v>8</v>
      </c>
      <c r="K2722" t="s">
        <v>147</v>
      </c>
      <c r="L2722" t="s">
        <v>649</v>
      </c>
      <c r="M2722" t="s">
        <v>670</v>
      </c>
    </row>
    <row r="2723" spans="1:13">
      <c r="A2723" t="s">
        <v>851</v>
      </c>
      <c r="B2723" t="s">
        <v>686</v>
      </c>
      <c r="C2723" t="s">
        <v>686</v>
      </c>
      <c r="D2723" t="s">
        <v>3185</v>
      </c>
      <c r="E2723" t="s">
        <v>461</v>
      </c>
      <c r="F2723" t="s">
        <v>668</v>
      </c>
      <c r="G2723">
        <v>2045</v>
      </c>
      <c r="H2723" s="12">
        <v>41.62</v>
      </c>
      <c r="I2723" t="s">
        <v>3183</v>
      </c>
      <c r="J2723" t="s">
        <v>8</v>
      </c>
      <c r="K2723" t="s">
        <v>147</v>
      </c>
      <c r="L2723" t="s">
        <v>649</v>
      </c>
      <c r="M2723" t="s">
        <v>670</v>
      </c>
    </row>
    <row r="2724" spans="1:13">
      <c r="A2724" t="s">
        <v>851</v>
      </c>
      <c r="B2724" t="s">
        <v>686</v>
      </c>
      <c r="C2724" t="s">
        <v>686</v>
      </c>
      <c r="D2724" t="s">
        <v>3185</v>
      </c>
      <c r="E2724" t="s">
        <v>461</v>
      </c>
      <c r="F2724" t="s">
        <v>668</v>
      </c>
      <c r="G2724">
        <v>2050</v>
      </c>
      <c r="H2724" s="12">
        <v>43.59</v>
      </c>
      <c r="I2724" t="s">
        <v>3183</v>
      </c>
      <c r="J2724" t="s">
        <v>8</v>
      </c>
      <c r="K2724" t="s">
        <v>147</v>
      </c>
      <c r="L2724" t="s">
        <v>649</v>
      </c>
      <c r="M2724" t="s">
        <v>670</v>
      </c>
    </row>
    <row r="2725" spans="1:13">
      <c r="A2725" t="s">
        <v>851</v>
      </c>
      <c r="B2725" t="s">
        <v>687</v>
      </c>
      <c r="C2725" t="s">
        <v>687</v>
      </c>
      <c r="D2725" t="s">
        <v>3185</v>
      </c>
      <c r="E2725" t="s">
        <v>461</v>
      </c>
      <c r="F2725" t="s">
        <v>668</v>
      </c>
      <c r="G2725">
        <v>2030</v>
      </c>
      <c r="H2725" s="12">
        <v>19.190000000000001</v>
      </c>
      <c r="I2725" t="s">
        <v>3183</v>
      </c>
      <c r="J2725" t="s">
        <v>8</v>
      </c>
      <c r="K2725" t="s">
        <v>147</v>
      </c>
      <c r="L2725" t="s">
        <v>649</v>
      </c>
      <c r="M2725" t="s">
        <v>670</v>
      </c>
    </row>
    <row r="2726" spans="1:13">
      <c r="A2726" t="s">
        <v>851</v>
      </c>
      <c r="B2726" t="s">
        <v>687</v>
      </c>
      <c r="C2726" t="s">
        <v>687</v>
      </c>
      <c r="D2726" t="s">
        <v>3185</v>
      </c>
      <c r="E2726" t="s">
        <v>461</v>
      </c>
      <c r="F2726" t="s">
        <v>668</v>
      </c>
      <c r="G2726">
        <v>2035</v>
      </c>
      <c r="H2726" s="12">
        <v>110.28</v>
      </c>
      <c r="I2726" t="s">
        <v>3183</v>
      </c>
      <c r="J2726" t="s">
        <v>8</v>
      </c>
      <c r="K2726" t="s">
        <v>147</v>
      </c>
      <c r="L2726" t="s">
        <v>649</v>
      </c>
      <c r="M2726" t="s">
        <v>670</v>
      </c>
    </row>
    <row r="2727" spans="1:13">
      <c r="A2727" t="s">
        <v>851</v>
      </c>
      <c r="B2727" t="s">
        <v>687</v>
      </c>
      <c r="C2727" t="s">
        <v>687</v>
      </c>
      <c r="D2727" t="s">
        <v>3185</v>
      </c>
      <c r="E2727" t="s">
        <v>461</v>
      </c>
      <c r="F2727" t="s">
        <v>668</v>
      </c>
      <c r="G2727">
        <v>2040</v>
      </c>
      <c r="H2727" s="12">
        <v>196</v>
      </c>
      <c r="I2727" t="s">
        <v>3183</v>
      </c>
      <c r="J2727" t="s">
        <v>8</v>
      </c>
      <c r="K2727" t="s">
        <v>147</v>
      </c>
      <c r="L2727" t="s">
        <v>649</v>
      </c>
      <c r="M2727" t="s">
        <v>670</v>
      </c>
    </row>
    <row r="2728" spans="1:13">
      <c r="A2728" t="s">
        <v>851</v>
      </c>
      <c r="B2728" t="s">
        <v>687</v>
      </c>
      <c r="C2728" t="s">
        <v>687</v>
      </c>
      <c r="D2728" t="s">
        <v>3185</v>
      </c>
      <c r="E2728" t="s">
        <v>461</v>
      </c>
      <c r="F2728" t="s">
        <v>668</v>
      </c>
      <c r="G2728">
        <v>2045</v>
      </c>
      <c r="H2728" s="12">
        <v>290.81</v>
      </c>
      <c r="I2728" t="s">
        <v>3183</v>
      </c>
      <c r="J2728" t="s">
        <v>8</v>
      </c>
      <c r="K2728" t="s">
        <v>147</v>
      </c>
      <c r="L2728" t="s">
        <v>649</v>
      </c>
      <c r="M2728" t="s">
        <v>670</v>
      </c>
    </row>
    <row r="2729" spans="1:13">
      <c r="A2729" t="s">
        <v>851</v>
      </c>
      <c r="B2729" t="s">
        <v>687</v>
      </c>
      <c r="C2729" t="s">
        <v>687</v>
      </c>
      <c r="D2729" t="s">
        <v>3185</v>
      </c>
      <c r="E2729" t="s">
        <v>461</v>
      </c>
      <c r="F2729" t="s">
        <v>668</v>
      </c>
      <c r="G2729">
        <v>2050</v>
      </c>
      <c r="H2729" s="12">
        <v>381.34</v>
      </c>
      <c r="I2729" t="s">
        <v>3183</v>
      </c>
      <c r="J2729" t="s">
        <v>8</v>
      </c>
      <c r="K2729" t="s">
        <v>147</v>
      </c>
      <c r="L2729" t="s">
        <v>649</v>
      </c>
      <c r="M2729" t="s">
        <v>670</v>
      </c>
    </row>
    <row r="2730" spans="1:13">
      <c r="A2730" t="s">
        <v>851</v>
      </c>
      <c r="B2730" t="s">
        <v>687</v>
      </c>
      <c r="C2730" t="s">
        <v>687</v>
      </c>
      <c r="D2730" t="s">
        <v>3185</v>
      </c>
      <c r="E2730" t="s">
        <v>461</v>
      </c>
      <c r="F2730" t="s">
        <v>668</v>
      </c>
      <c r="G2730">
        <v>2045</v>
      </c>
      <c r="H2730" s="12">
        <v>1179.8599999999999</v>
      </c>
      <c r="I2730" t="s">
        <v>3183</v>
      </c>
      <c r="J2730" t="s">
        <v>6</v>
      </c>
      <c r="K2730" t="s">
        <v>147</v>
      </c>
      <c r="L2730" t="s">
        <v>649</v>
      </c>
      <c r="M2730" t="s">
        <v>666</v>
      </c>
    </row>
    <row r="2731" spans="1:13">
      <c r="A2731" t="s">
        <v>851</v>
      </c>
      <c r="B2731" t="s">
        <v>687</v>
      </c>
      <c r="C2731" t="s">
        <v>687</v>
      </c>
      <c r="D2731" t="s">
        <v>3185</v>
      </c>
      <c r="E2731" t="s">
        <v>461</v>
      </c>
      <c r="F2731" t="s">
        <v>668</v>
      </c>
      <c r="G2731">
        <v>2050</v>
      </c>
      <c r="H2731" s="12">
        <v>983.17</v>
      </c>
      <c r="I2731" t="s">
        <v>3183</v>
      </c>
      <c r="J2731" t="s">
        <v>6</v>
      </c>
      <c r="K2731" t="s">
        <v>147</v>
      </c>
      <c r="L2731" t="s">
        <v>649</v>
      </c>
      <c r="M2731" t="s">
        <v>666</v>
      </c>
    </row>
    <row r="2732" spans="1:13">
      <c r="A2732" t="s">
        <v>851</v>
      </c>
      <c r="B2732" t="s">
        <v>686</v>
      </c>
      <c r="C2732" t="s">
        <v>686</v>
      </c>
      <c r="D2732" t="s">
        <v>3185</v>
      </c>
      <c r="E2732" t="s">
        <v>461</v>
      </c>
      <c r="F2732" t="s">
        <v>668</v>
      </c>
      <c r="G2732">
        <v>2010</v>
      </c>
      <c r="H2732" s="12">
        <v>268.55</v>
      </c>
      <c r="I2732" t="s">
        <v>3183</v>
      </c>
      <c r="J2732" t="s">
        <v>394</v>
      </c>
      <c r="K2732" t="s">
        <v>147</v>
      </c>
      <c r="L2732" t="s">
        <v>649</v>
      </c>
      <c r="M2732" t="s">
        <v>16</v>
      </c>
    </row>
    <row r="2733" spans="1:13">
      <c r="A2733" t="s">
        <v>851</v>
      </c>
      <c r="B2733" t="s">
        <v>686</v>
      </c>
      <c r="C2733" t="s">
        <v>686</v>
      </c>
      <c r="D2733" t="s">
        <v>3185</v>
      </c>
      <c r="E2733" t="s">
        <v>461</v>
      </c>
      <c r="F2733" t="s">
        <v>668</v>
      </c>
      <c r="G2733">
        <v>2015</v>
      </c>
      <c r="H2733" s="12">
        <v>230.73</v>
      </c>
      <c r="I2733" t="s">
        <v>3183</v>
      </c>
      <c r="J2733" t="s">
        <v>394</v>
      </c>
      <c r="K2733" t="s">
        <v>147</v>
      </c>
      <c r="L2733" t="s">
        <v>649</v>
      </c>
      <c r="M2733" t="s">
        <v>16</v>
      </c>
    </row>
    <row r="2734" spans="1:13">
      <c r="A2734" t="s">
        <v>851</v>
      </c>
      <c r="B2734" t="s">
        <v>686</v>
      </c>
      <c r="C2734" t="s">
        <v>686</v>
      </c>
      <c r="D2734" t="s">
        <v>3185</v>
      </c>
      <c r="E2734" t="s">
        <v>461</v>
      </c>
      <c r="F2734" t="s">
        <v>668</v>
      </c>
      <c r="G2734">
        <v>2020</v>
      </c>
      <c r="H2734" s="12">
        <v>106.75</v>
      </c>
      <c r="I2734" t="s">
        <v>3183</v>
      </c>
      <c r="J2734" t="s">
        <v>394</v>
      </c>
      <c r="K2734" t="s">
        <v>147</v>
      </c>
      <c r="L2734" t="s">
        <v>649</v>
      </c>
      <c r="M2734" t="s">
        <v>16</v>
      </c>
    </row>
    <row r="2735" spans="1:13">
      <c r="A2735" t="s">
        <v>851</v>
      </c>
      <c r="B2735" t="s">
        <v>686</v>
      </c>
      <c r="C2735" t="s">
        <v>686</v>
      </c>
      <c r="D2735" t="s">
        <v>3185</v>
      </c>
      <c r="E2735" t="s">
        <v>461</v>
      </c>
      <c r="F2735" t="s">
        <v>668</v>
      </c>
      <c r="G2735">
        <v>2030</v>
      </c>
      <c r="H2735" s="12">
        <v>58.07</v>
      </c>
      <c r="I2735" t="s">
        <v>3183</v>
      </c>
      <c r="J2735" t="s">
        <v>394</v>
      </c>
      <c r="K2735" t="s">
        <v>147</v>
      </c>
      <c r="L2735" t="s">
        <v>649</v>
      </c>
      <c r="M2735" t="s">
        <v>16</v>
      </c>
    </row>
    <row r="2736" spans="1:13">
      <c r="A2736" t="s">
        <v>851</v>
      </c>
      <c r="B2736" t="s">
        <v>686</v>
      </c>
      <c r="C2736" t="s">
        <v>686</v>
      </c>
      <c r="D2736" t="s">
        <v>3185</v>
      </c>
      <c r="E2736" t="s">
        <v>461</v>
      </c>
      <c r="F2736" t="s">
        <v>668</v>
      </c>
      <c r="G2736">
        <v>2035</v>
      </c>
      <c r="H2736" s="12">
        <v>45.51</v>
      </c>
      <c r="I2736" t="s">
        <v>3183</v>
      </c>
      <c r="J2736" t="s">
        <v>394</v>
      </c>
      <c r="K2736" t="s">
        <v>147</v>
      </c>
      <c r="L2736" t="s">
        <v>649</v>
      </c>
      <c r="M2736" t="s">
        <v>16</v>
      </c>
    </row>
    <row r="2737" spans="1:13">
      <c r="A2737" t="s">
        <v>851</v>
      </c>
      <c r="B2737" t="s">
        <v>686</v>
      </c>
      <c r="C2737" t="s">
        <v>686</v>
      </c>
      <c r="D2737" t="s">
        <v>3185</v>
      </c>
      <c r="E2737" t="s">
        <v>461</v>
      </c>
      <c r="F2737" t="s">
        <v>668</v>
      </c>
      <c r="G2737">
        <v>2040</v>
      </c>
      <c r="H2737" s="12">
        <v>35.65</v>
      </c>
      <c r="I2737" t="s">
        <v>3183</v>
      </c>
      <c r="J2737" t="s">
        <v>394</v>
      </c>
      <c r="K2737" t="s">
        <v>147</v>
      </c>
      <c r="L2737" t="s">
        <v>649</v>
      </c>
      <c r="M2737" t="s">
        <v>16</v>
      </c>
    </row>
    <row r="2738" spans="1:13">
      <c r="A2738" t="s">
        <v>851</v>
      </c>
      <c r="B2738" t="s">
        <v>686</v>
      </c>
      <c r="C2738" t="s">
        <v>686</v>
      </c>
      <c r="D2738" t="s">
        <v>3185</v>
      </c>
      <c r="E2738" t="s">
        <v>461</v>
      </c>
      <c r="F2738" t="s">
        <v>668</v>
      </c>
      <c r="G2738">
        <v>2045</v>
      </c>
      <c r="H2738" s="12">
        <v>29.79</v>
      </c>
      <c r="I2738" t="s">
        <v>3183</v>
      </c>
      <c r="J2738" t="s">
        <v>394</v>
      </c>
      <c r="K2738" t="s">
        <v>147</v>
      </c>
      <c r="L2738" t="s">
        <v>649</v>
      </c>
      <c r="M2738" t="s">
        <v>16</v>
      </c>
    </row>
    <row r="2739" spans="1:13">
      <c r="A2739" t="s">
        <v>851</v>
      </c>
      <c r="B2739" t="s">
        <v>686</v>
      </c>
      <c r="C2739" t="s">
        <v>686</v>
      </c>
      <c r="D2739" t="s">
        <v>3185</v>
      </c>
      <c r="E2739" t="s">
        <v>461</v>
      </c>
      <c r="F2739" t="s">
        <v>668</v>
      </c>
      <c r="G2739">
        <v>2050</v>
      </c>
      <c r="H2739" s="12">
        <v>27.38</v>
      </c>
      <c r="I2739" t="s">
        <v>3183</v>
      </c>
      <c r="J2739" t="s">
        <v>394</v>
      </c>
      <c r="K2739" t="s">
        <v>147</v>
      </c>
      <c r="L2739" t="s">
        <v>649</v>
      </c>
      <c r="M2739" t="s">
        <v>16</v>
      </c>
    </row>
    <row r="2740" spans="1:13">
      <c r="A2740" t="s">
        <v>851</v>
      </c>
      <c r="B2740" t="s">
        <v>687</v>
      </c>
      <c r="C2740" t="s">
        <v>687</v>
      </c>
      <c r="D2740" t="s">
        <v>3185</v>
      </c>
      <c r="E2740" t="s">
        <v>461</v>
      </c>
      <c r="F2740" t="s">
        <v>668</v>
      </c>
      <c r="G2740">
        <v>2030</v>
      </c>
      <c r="H2740" s="12">
        <v>55.14</v>
      </c>
      <c r="I2740" t="s">
        <v>3183</v>
      </c>
      <c r="J2740" t="s">
        <v>394</v>
      </c>
      <c r="K2740" t="s">
        <v>147</v>
      </c>
      <c r="L2740" t="s">
        <v>649</v>
      </c>
      <c r="M2740" t="s">
        <v>16</v>
      </c>
    </row>
    <row r="2741" spans="1:13">
      <c r="A2741" t="s">
        <v>851</v>
      </c>
      <c r="B2741" t="s">
        <v>687</v>
      </c>
      <c r="C2741" t="s">
        <v>687</v>
      </c>
      <c r="D2741" t="s">
        <v>3185</v>
      </c>
      <c r="E2741" t="s">
        <v>461</v>
      </c>
      <c r="F2741" t="s">
        <v>668</v>
      </c>
      <c r="G2741">
        <v>2035</v>
      </c>
      <c r="H2741" s="12">
        <v>37.82</v>
      </c>
      <c r="I2741" t="s">
        <v>3183</v>
      </c>
      <c r="J2741" t="s">
        <v>394</v>
      </c>
      <c r="K2741" t="s">
        <v>147</v>
      </c>
      <c r="L2741" t="s">
        <v>649</v>
      </c>
      <c r="M2741" t="s">
        <v>16</v>
      </c>
    </row>
    <row r="2742" spans="1:13">
      <c r="A2742" t="s">
        <v>851</v>
      </c>
      <c r="B2742" t="s">
        <v>687</v>
      </c>
      <c r="C2742" t="s">
        <v>687</v>
      </c>
      <c r="D2742" t="s">
        <v>3185</v>
      </c>
      <c r="E2742" t="s">
        <v>461</v>
      </c>
      <c r="F2742" t="s">
        <v>668</v>
      </c>
      <c r="G2742">
        <v>2040</v>
      </c>
      <c r="H2742" s="12">
        <v>31.41</v>
      </c>
      <c r="I2742" t="s">
        <v>3183</v>
      </c>
      <c r="J2742" t="s">
        <v>394</v>
      </c>
      <c r="K2742" t="s">
        <v>147</v>
      </c>
      <c r="L2742" t="s">
        <v>649</v>
      </c>
      <c r="M2742" t="s">
        <v>16</v>
      </c>
    </row>
    <row r="2743" spans="1:13">
      <c r="A2743" t="s">
        <v>851</v>
      </c>
      <c r="B2743" t="s">
        <v>687</v>
      </c>
      <c r="C2743" t="s">
        <v>687</v>
      </c>
      <c r="D2743" t="s">
        <v>3185</v>
      </c>
      <c r="E2743" t="s">
        <v>461</v>
      </c>
      <c r="F2743" t="s">
        <v>668</v>
      </c>
      <c r="G2743">
        <v>2045</v>
      </c>
      <c r="H2743" s="12">
        <v>23.24</v>
      </c>
      <c r="I2743" t="s">
        <v>3183</v>
      </c>
      <c r="J2743" t="s">
        <v>394</v>
      </c>
      <c r="K2743" t="s">
        <v>147</v>
      </c>
      <c r="L2743" t="s">
        <v>649</v>
      </c>
      <c r="M2743" t="s">
        <v>16</v>
      </c>
    </row>
    <row r="2744" spans="1:13">
      <c r="A2744" t="s">
        <v>851</v>
      </c>
      <c r="B2744" t="s">
        <v>687</v>
      </c>
      <c r="C2744" t="s">
        <v>687</v>
      </c>
      <c r="D2744" t="s">
        <v>3185</v>
      </c>
      <c r="E2744" t="s">
        <v>461</v>
      </c>
      <c r="F2744" t="s">
        <v>668</v>
      </c>
      <c r="G2744">
        <v>2050</v>
      </c>
      <c r="H2744" s="12">
        <v>22.96</v>
      </c>
      <c r="I2744" t="s">
        <v>3183</v>
      </c>
      <c r="J2744" t="s">
        <v>394</v>
      </c>
      <c r="K2744" t="s">
        <v>147</v>
      </c>
      <c r="L2744" t="s">
        <v>649</v>
      </c>
      <c r="M2744" t="s">
        <v>16</v>
      </c>
    </row>
    <row r="2745" spans="1:13">
      <c r="A2745" t="s">
        <v>851</v>
      </c>
      <c r="B2745" t="s">
        <v>686</v>
      </c>
      <c r="C2745" t="s">
        <v>686</v>
      </c>
      <c r="D2745" t="s">
        <v>3185</v>
      </c>
      <c r="E2745" t="s">
        <v>656</v>
      </c>
      <c r="F2745" t="s">
        <v>31</v>
      </c>
      <c r="G2745">
        <v>2035</v>
      </c>
      <c r="H2745" s="12">
        <v>796.76</v>
      </c>
      <c r="I2745" t="s">
        <v>3183</v>
      </c>
      <c r="J2745" t="s">
        <v>14</v>
      </c>
      <c r="K2745" t="s">
        <v>147</v>
      </c>
      <c r="L2745" t="s">
        <v>649</v>
      </c>
      <c r="M2745" t="s">
        <v>14</v>
      </c>
    </row>
    <row r="2746" spans="1:13">
      <c r="A2746" t="s">
        <v>851</v>
      </c>
      <c r="B2746" t="s">
        <v>686</v>
      </c>
      <c r="C2746" t="s">
        <v>686</v>
      </c>
      <c r="D2746" t="s">
        <v>3185</v>
      </c>
      <c r="E2746" t="s">
        <v>656</v>
      </c>
      <c r="F2746" t="s">
        <v>31</v>
      </c>
      <c r="G2746">
        <v>2040</v>
      </c>
      <c r="H2746" s="12">
        <v>871.26</v>
      </c>
      <c r="I2746" t="s">
        <v>3183</v>
      </c>
      <c r="J2746" t="s">
        <v>14</v>
      </c>
      <c r="K2746" t="s">
        <v>147</v>
      </c>
      <c r="L2746" t="s">
        <v>649</v>
      </c>
      <c r="M2746" t="s">
        <v>14</v>
      </c>
    </row>
    <row r="2747" spans="1:13">
      <c r="A2747" t="s">
        <v>851</v>
      </c>
      <c r="B2747" t="s">
        <v>686</v>
      </c>
      <c r="C2747" t="s">
        <v>686</v>
      </c>
      <c r="D2747" t="s">
        <v>3185</v>
      </c>
      <c r="E2747" t="s">
        <v>656</v>
      </c>
      <c r="F2747" t="s">
        <v>31</v>
      </c>
      <c r="G2747">
        <v>2045</v>
      </c>
      <c r="H2747" s="12">
        <v>936.88</v>
      </c>
      <c r="I2747" t="s">
        <v>3183</v>
      </c>
      <c r="J2747" t="s">
        <v>14</v>
      </c>
      <c r="K2747" t="s">
        <v>147</v>
      </c>
      <c r="L2747" t="s">
        <v>649</v>
      </c>
      <c r="M2747" t="s">
        <v>14</v>
      </c>
    </row>
    <row r="2748" spans="1:13">
      <c r="A2748" t="s">
        <v>851</v>
      </c>
      <c r="B2748" t="s">
        <v>686</v>
      </c>
      <c r="C2748" t="s">
        <v>686</v>
      </c>
      <c r="D2748" t="s">
        <v>3185</v>
      </c>
      <c r="E2748" t="s">
        <v>656</v>
      </c>
      <c r="F2748" t="s">
        <v>31</v>
      </c>
      <c r="G2748">
        <v>2050</v>
      </c>
      <c r="H2748" s="12">
        <v>993.13</v>
      </c>
      <c r="I2748" t="s">
        <v>3183</v>
      </c>
      <c r="J2748" t="s">
        <v>14</v>
      </c>
      <c r="K2748" t="s">
        <v>147</v>
      </c>
      <c r="L2748" t="s">
        <v>649</v>
      </c>
      <c r="M2748" t="s">
        <v>14</v>
      </c>
    </row>
    <row r="2749" spans="1:13">
      <c r="A2749" t="s">
        <v>851</v>
      </c>
      <c r="B2749" t="s">
        <v>687</v>
      </c>
      <c r="C2749" t="s">
        <v>687</v>
      </c>
      <c r="D2749" t="s">
        <v>3185</v>
      </c>
      <c r="E2749" t="s">
        <v>656</v>
      </c>
      <c r="F2749" t="s">
        <v>31</v>
      </c>
      <c r="G2749">
        <v>2030</v>
      </c>
      <c r="H2749" s="12">
        <v>745.95</v>
      </c>
      <c r="I2749" t="s">
        <v>3183</v>
      </c>
      <c r="J2749" t="s">
        <v>14</v>
      </c>
      <c r="K2749" t="s">
        <v>147</v>
      </c>
      <c r="L2749" t="s">
        <v>649</v>
      </c>
      <c r="M2749" t="s">
        <v>14</v>
      </c>
    </row>
    <row r="2750" spans="1:13">
      <c r="A2750" t="s">
        <v>851</v>
      </c>
      <c r="B2750" t="s">
        <v>687</v>
      </c>
      <c r="C2750" t="s">
        <v>687</v>
      </c>
      <c r="D2750" t="s">
        <v>3185</v>
      </c>
      <c r="E2750" t="s">
        <v>656</v>
      </c>
      <c r="F2750" t="s">
        <v>31</v>
      </c>
      <c r="G2750">
        <v>2035</v>
      </c>
      <c r="H2750" s="12">
        <v>878.66</v>
      </c>
      <c r="I2750" t="s">
        <v>3183</v>
      </c>
      <c r="J2750" t="s">
        <v>14</v>
      </c>
      <c r="K2750" t="s">
        <v>147</v>
      </c>
      <c r="L2750" t="s">
        <v>649</v>
      </c>
      <c r="M2750" t="s">
        <v>14</v>
      </c>
    </row>
    <row r="2751" spans="1:13">
      <c r="A2751" t="s">
        <v>851</v>
      </c>
      <c r="B2751" t="s">
        <v>687</v>
      </c>
      <c r="C2751" t="s">
        <v>687</v>
      </c>
      <c r="D2751" t="s">
        <v>3185</v>
      </c>
      <c r="E2751" t="s">
        <v>656</v>
      </c>
      <c r="F2751" t="s">
        <v>31</v>
      </c>
      <c r="G2751">
        <v>2040</v>
      </c>
      <c r="H2751" s="12">
        <v>1006</v>
      </c>
      <c r="I2751" t="s">
        <v>3183</v>
      </c>
      <c r="J2751" t="s">
        <v>14</v>
      </c>
      <c r="K2751" t="s">
        <v>147</v>
      </c>
      <c r="L2751" t="s">
        <v>649</v>
      </c>
      <c r="M2751" t="s">
        <v>14</v>
      </c>
    </row>
    <row r="2752" spans="1:13">
      <c r="A2752" t="s">
        <v>851</v>
      </c>
      <c r="B2752" t="s">
        <v>687</v>
      </c>
      <c r="C2752" t="s">
        <v>687</v>
      </c>
      <c r="D2752" t="s">
        <v>3185</v>
      </c>
      <c r="E2752" t="s">
        <v>656</v>
      </c>
      <c r="F2752" t="s">
        <v>31</v>
      </c>
      <c r="G2752">
        <v>2045</v>
      </c>
      <c r="H2752" s="12">
        <v>1112.3699999999999</v>
      </c>
      <c r="I2752" t="s">
        <v>3183</v>
      </c>
      <c r="J2752" t="s">
        <v>14</v>
      </c>
      <c r="K2752" t="s">
        <v>147</v>
      </c>
      <c r="L2752" t="s">
        <v>649</v>
      </c>
      <c r="M2752" t="s">
        <v>14</v>
      </c>
    </row>
    <row r="2753" spans="1:13">
      <c r="A2753" t="s">
        <v>851</v>
      </c>
      <c r="B2753" t="s">
        <v>687</v>
      </c>
      <c r="C2753" t="s">
        <v>687</v>
      </c>
      <c r="D2753" t="s">
        <v>3185</v>
      </c>
      <c r="E2753" t="s">
        <v>656</v>
      </c>
      <c r="F2753" t="s">
        <v>31</v>
      </c>
      <c r="G2753">
        <v>2050</v>
      </c>
      <c r="H2753" s="12">
        <v>1198.44</v>
      </c>
      <c r="I2753" t="s">
        <v>3183</v>
      </c>
      <c r="J2753" t="s">
        <v>14</v>
      </c>
      <c r="K2753" t="s">
        <v>147</v>
      </c>
      <c r="L2753" t="s">
        <v>649</v>
      </c>
      <c r="M2753" t="s">
        <v>14</v>
      </c>
    </row>
    <row r="2754" spans="1:13">
      <c r="A2754" t="s">
        <v>851</v>
      </c>
      <c r="B2754" t="s">
        <v>686</v>
      </c>
      <c r="C2754" t="s">
        <v>686</v>
      </c>
      <c r="D2754" t="s">
        <v>3185</v>
      </c>
      <c r="E2754" t="s">
        <v>656</v>
      </c>
      <c r="F2754" t="s">
        <v>31</v>
      </c>
      <c r="G2754">
        <v>2010</v>
      </c>
      <c r="H2754" s="12">
        <v>22.01</v>
      </c>
      <c r="I2754" t="s">
        <v>3183</v>
      </c>
      <c r="J2754" t="s">
        <v>41</v>
      </c>
      <c r="K2754" t="s">
        <v>147</v>
      </c>
      <c r="L2754" t="s">
        <v>649</v>
      </c>
      <c r="M2754" t="s">
        <v>669</v>
      </c>
    </row>
    <row r="2755" spans="1:13">
      <c r="A2755" t="s">
        <v>851</v>
      </c>
      <c r="B2755" t="s">
        <v>686</v>
      </c>
      <c r="C2755" t="s">
        <v>686</v>
      </c>
      <c r="D2755" t="s">
        <v>3185</v>
      </c>
      <c r="E2755" t="s">
        <v>656</v>
      </c>
      <c r="F2755" t="s">
        <v>31</v>
      </c>
      <c r="G2755">
        <v>2015</v>
      </c>
      <c r="H2755" s="12">
        <v>37.9</v>
      </c>
      <c r="I2755" t="s">
        <v>3183</v>
      </c>
      <c r="J2755" t="s">
        <v>41</v>
      </c>
      <c r="K2755" t="s">
        <v>147</v>
      </c>
      <c r="L2755" t="s">
        <v>649</v>
      </c>
      <c r="M2755" t="s">
        <v>669</v>
      </c>
    </row>
    <row r="2756" spans="1:13">
      <c r="A2756" t="s">
        <v>851</v>
      </c>
      <c r="B2756" t="s">
        <v>686</v>
      </c>
      <c r="C2756" t="s">
        <v>686</v>
      </c>
      <c r="D2756" t="s">
        <v>3185</v>
      </c>
      <c r="E2756" t="s">
        <v>656</v>
      </c>
      <c r="F2756" t="s">
        <v>31</v>
      </c>
      <c r="G2756">
        <v>2020</v>
      </c>
      <c r="H2756" s="12">
        <v>66.78</v>
      </c>
      <c r="I2756" t="s">
        <v>3183</v>
      </c>
      <c r="J2756" t="s">
        <v>41</v>
      </c>
      <c r="K2756" t="s">
        <v>147</v>
      </c>
      <c r="L2756" t="s">
        <v>649</v>
      </c>
      <c r="M2756" t="s">
        <v>669</v>
      </c>
    </row>
    <row r="2757" spans="1:13">
      <c r="A2757" t="s">
        <v>851</v>
      </c>
      <c r="B2757" t="s">
        <v>686</v>
      </c>
      <c r="C2757" t="s">
        <v>686</v>
      </c>
      <c r="D2757" t="s">
        <v>3185</v>
      </c>
      <c r="E2757" t="s">
        <v>656</v>
      </c>
      <c r="F2757" t="s">
        <v>31</v>
      </c>
      <c r="G2757">
        <v>2030</v>
      </c>
      <c r="H2757" s="12">
        <v>121.97</v>
      </c>
      <c r="I2757" t="s">
        <v>3183</v>
      </c>
      <c r="J2757" t="s">
        <v>41</v>
      </c>
      <c r="K2757" t="s">
        <v>147</v>
      </c>
      <c r="L2757" t="s">
        <v>649</v>
      </c>
      <c r="M2757" t="s">
        <v>669</v>
      </c>
    </row>
    <row r="2758" spans="1:13">
      <c r="A2758" t="s">
        <v>851</v>
      </c>
      <c r="B2758" t="s">
        <v>686</v>
      </c>
      <c r="C2758" t="s">
        <v>686</v>
      </c>
      <c r="D2758" t="s">
        <v>3185</v>
      </c>
      <c r="E2758" t="s">
        <v>656</v>
      </c>
      <c r="F2758" t="s">
        <v>31</v>
      </c>
      <c r="G2758">
        <v>2035</v>
      </c>
      <c r="H2758" s="12">
        <v>145.66</v>
      </c>
      <c r="I2758" t="s">
        <v>3183</v>
      </c>
      <c r="J2758" t="s">
        <v>41</v>
      </c>
      <c r="K2758" t="s">
        <v>147</v>
      </c>
      <c r="L2758" t="s">
        <v>649</v>
      </c>
      <c r="M2758" t="s">
        <v>669</v>
      </c>
    </row>
    <row r="2759" spans="1:13">
      <c r="A2759" t="s">
        <v>851</v>
      </c>
      <c r="B2759" t="s">
        <v>686</v>
      </c>
      <c r="C2759" t="s">
        <v>686</v>
      </c>
      <c r="D2759" t="s">
        <v>3185</v>
      </c>
      <c r="E2759" t="s">
        <v>656</v>
      </c>
      <c r="F2759" t="s">
        <v>31</v>
      </c>
      <c r="G2759">
        <v>2040</v>
      </c>
      <c r="H2759" s="12">
        <v>170.24</v>
      </c>
      <c r="I2759" t="s">
        <v>3183</v>
      </c>
      <c r="J2759" t="s">
        <v>41</v>
      </c>
      <c r="K2759" t="s">
        <v>147</v>
      </c>
      <c r="L2759" t="s">
        <v>649</v>
      </c>
      <c r="M2759" t="s">
        <v>669</v>
      </c>
    </row>
    <row r="2760" spans="1:13">
      <c r="A2760" t="s">
        <v>851</v>
      </c>
      <c r="B2760" t="s">
        <v>686</v>
      </c>
      <c r="C2760" t="s">
        <v>686</v>
      </c>
      <c r="D2760" t="s">
        <v>3185</v>
      </c>
      <c r="E2760" t="s">
        <v>656</v>
      </c>
      <c r="F2760" t="s">
        <v>31</v>
      </c>
      <c r="G2760">
        <v>2045</v>
      </c>
      <c r="H2760" s="12">
        <v>194.76</v>
      </c>
      <c r="I2760" t="s">
        <v>3183</v>
      </c>
      <c r="J2760" t="s">
        <v>41</v>
      </c>
      <c r="K2760" t="s">
        <v>147</v>
      </c>
      <c r="L2760" t="s">
        <v>649</v>
      </c>
      <c r="M2760" t="s">
        <v>669</v>
      </c>
    </row>
    <row r="2761" spans="1:13">
      <c r="A2761" t="s">
        <v>851</v>
      </c>
      <c r="B2761" t="s">
        <v>686</v>
      </c>
      <c r="C2761" t="s">
        <v>686</v>
      </c>
      <c r="D2761" t="s">
        <v>3185</v>
      </c>
      <c r="E2761" t="s">
        <v>656</v>
      </c>
      <c r="F2761" t="s">
        <v>31</v>
      </c>
      <c r="G2761">
        <v>2050</v>
      </c>
      <c r="H2761" s="12">
        <v>218.26</v>
      </c>
      <c r="I2761" t="s">
        <v>3183</v>
      </c>
      <c r="J2761" t="s">
        <v>41</v>
      </c>
      <c r="K2761" t="s">
        <v>147</v>
      </c>
      <c r="L2761" t="s">
        <v>649</v>
      </c>
      <c r="M2761" t="s">
        <v>669</v>
      </c>
    </row>
    <row r="2762" spans="1:13">
      <c r="A2762" t="s">
        <v>851</v>
      </c>
      <c r="B2762" t="s">
        <v>687</v>
      </c>
      <c r="C2762" t="s">
        <v>687</v>
      </c>
      <c r="D2762" t="s">
        <v>3185</v>
      </c>
      <c r="E2762" t="s">
        <v>656</v>
      </c>
      <c r="F2762" t="s">
        <v>31</v>
      </c>
      <c r="G2762">
        <v>2030</v>
      </c>
      <c r="H2762" s="12">
        <v>136.32</v>
      </c>
      <c r="I2762" t="s">
        <v>3183</v>
      </c>
      <c r="J2762" t="s">
        <v>41</v>
      </c>
      <c r="K2762" t="s">
        <v>147</v>
      </c>
      <c r="L2762" t="s">
        <v>649</v>
      </c>
      <c r="M2762" t="s">
        <v>669</v>
      </c>
    </row>
    <row r="2763" spans="1:13">
      <c r="A2763" t="s">
        <v>851</v>
      </c>
      <c r="B2763" t="s">
        <v>686</v>
      </c>
      <c r="C2763" t="s">
        <v>686</v>
      </c>
      <c r="D2763" t="s">
        <v>3185</v>
      </c>
      <c r="E2763" t="s">
        <v>461</v>
      </c>
      <c r="F2763" t="s">
        <v>668</v>
      </c>
      <c r="G2763">
        <v>2020</v>
      </c>
      <c r="H2763" s="12">
        <v>580.62</v>
      </c>
      <c r="I2763" t="s">
        <v>3183</v>
      </c>
      <c r="J2763" t="s">
        <v>18</v>
      </c>
      <c r="K2763" t="s">
        <v>147</v>
      </c>
      <c r="L2763" t="s">
        <v>649</v>
      </c>
      <c r="M2763" t="s">
        <v>18</v>
      </c>
    </row>
    <row r="2764" spans="1:13">
      <c r="A2764" t="s">
        <v>851</v>
      </c>
      <c r="B2764" t="s">
        <v>686</v>
      </c>
      <c r="C2764" t="s">
        <v>686</v>
      </c>
      <c r="D2764" t="s">
        <v>3185</v>
      </c>
      <c r="E2764" t="s">
        <v>461</v>
      </c>
      <c r="F2764" t="s">
        <v>668</v>
      </c>
      <c r="G2764">
        <v>2030</v>
      </c>
      <c r="H2764" s="12">
        <v>2010.89</v>
      </c>
      <c r="I2764" t="s">
        <v>3183</v>
      </c>
      <c r="J2764" t="s">
        <v>18</v>
      </c>
      <c r="K2764" t="s">
        <v>147</v>
      </c>
      <c r="L2764" t="s">
        <v>649</v>
      </c>
      <c r="M2764" t="s">
        <v>18</v>
      </c>
    </row>
    <row r="2765" spans="1:13">
      <c r="A2765" t="s">
        <v>851</v>
      </c>
      <c r="B2765" t="s">
        <v>686</v>
      </c>
      <c r="C2765" t="s">
        <v>686</v>
      </c>
      <c r="D2765" t="s">
        <v>3185</v>
      </c>
      <c r="E2765" t="s">
        <v>461</v>
      </c>
      <c r="F2765" t="s">
        <v>668</v>
      </c>
      <c r="G2765">
        <v>2035</v>
      </c>
      <c r="H2765" s="12">
        <v>2896.21</v>
      </c>
      <c r="I2765" t="s">
        <v>3183</v>
      </c>
      <c r="J2765" t="s">
        <v>18</v>
      </c>
      <c r="K2765" t="s">
        <v>147</v>
      </c>
      <c r="L2765" t="s">
        <v>649</v>
      </c>
      <c r="M2765" t="s">
        <v>18</v>
      </c>
    </row>
    <row r="2766" spans="1:13">
      <c r="A2766" t="s">
        <v>851</v>
      </c>
      <c r="B2766" t="s">
        <v>686</v>
      </c>
      <c r="C2766" t="s">
        <v>686</v>
      </c>
      <c r="D2766" t="s">
        <v>3185</v>
      </c>
      <c r="E2766" t="s">
        <v>461</v>
      </c>
      <c r="F2766" t="s">
        <v>668</v>
      </c>
      <c r="G2766">
        <v>2040</v>
      </c>
      <c r="H2766" s="12">
        <v>3743.1</v>
      </c>
      <c r="I2766" t="s">
        <v>3183</v>
      </c>
      <c r="J2766" t="s">
        <v>18</v>
      </c>
      <c r="K2766" t="s">
        <v>147</v>
      </c>
      <c r="L2766" t="s">
        <v>649</v>
      </c>
      <c r="M2766" t="s">
        <v>18</v>
      </c>
    </row>
    <row r="2767" spans="1:13">
      <c r="A2767" t="s">
        <v>851</v>
      </c>
      <c r="B2767" t="s">
        <v>686</v>
      </c>
      <c r="C2767" t="s">
        <v>686</v>
      </c>
      <c r="D2767" t="s">
        <v>3185</v>
      </c>
      <c r="E2767" t="s">
        <v>461</v>
      </c>
      <c r="F2767" t="s">
        <v>668</v>
      </c>
      <c r="G2767">
        <v>2045</v>
      </c>
      <c r="H2767" s="12">
        <v>4584.7</v>
      </c>
      <c r="I2767" t="s">
        <v>3183</v>
      </c>
      <c r="J2767" t="s">
        <v>18</v>
      </c>
      <c r="K2767" t="s">
        <v>147</v>
      </c>
      <c r="L2767" t="s">
        <v>649</v>
      </c>
      <c r="M2767" t="s">
        <v>18</v>
      </c>
    </row>
    <row r="2768" spans="1:13">
      <c r="A2768" t="s">
        <v>851</v>
      </c>
      <c r="B2768" t="s">
        <v>686</v>
      </c>
      <c r="C2768" t="s">
        <v>686</v>
      </c>
      <c r="D2768" t="s">
        <v>3185</v>
      </c>
      <c r="E2768" t="s">
        <v>461</v>
      </c>
      <c r="F2768" t="s">
        <v>668</v>
      </c>
      <c r="G2768">
        <v>2050</v>
      </c>
      <c r="H2768" s="12">
        <v>5328.73</v>
      </c>
      <c r="I2768" t="s">
        <v>3183</v>
      </c>
      <c r="J2768" t="s">
        <v>18</v>
      </c>
      <c r="K2768" t="s">
        <v>147</v>
      </c>
      <c r="L2768" t="s">
        <v>649</v>
      </c>
      <c r="M2768" t="s">
        <v>18</v>
      </c>
    </row>
    <row r="2769" spans="1:13">
      <c r="A2769" t="s">
        <v>851</v>
      </c>
      <c r="B2769" t="s">
        <v>687</v>
      </c>
      <c r="C2769" t="s">
        <v>687</v>
      </c>
      <c r="D2769" t="s">
        <v>3185</v>
      </c>
      <c r="E2769" t="s">
        <v>461</v>
      </c>
      <c r="F2769" t="s">
        <v>668</v>
      </c>
      <c r="G2769">
        <v>2030</v>
      </c>
      <c r="H2769" s="12">
        <v>2235.7199999999998</v>
      </c>
      <c r="I2769" t="s">
        <v>3183</v>
      </c>
      <c r="J2769" t="s">
        <v>18</v>
      </c>
      <c r="K2769" t="s">
        <v>147</v>
      </c>
      <c r="L2769" t="s">
        <v>649</v>
      </c>
      <c r="M2769" t="s">
        <v>18</v>
      </c>
    </row>
    <row r="2770" spans="1:13">
      <c r="A2770" t="s">
        <v>851</v>
      </c>
      <c r="B2770" t="s">
        <v>687</v>
      </c>
      <c r="C2770" t="s">
        <v>687</v>
      </c>
      <c r="D2770" t="s">
        <v>3185</v>
      </c>
      <c r="E2770" t="s">
        <v>461</v>
      </c>
      <c r="F2770" t="s">
        <v>668</v>
      </c>
      <c r="G2770">
        <v>2035</v>
      </c>
      <c r="H2770" s="12">
        <v>3421.17</v>
      </c>
      <c r="I2770" t="s">
        <v>3183</v>
      </c>
      <c r="J2770" t="s">
        <v>18</v>
      </c>
      <c r="K2770" t="s">
        <v>147</v>
      </c>
      <c r="L2770" t="s">
        <v>649</v>
      </c>
      <c r="M2770" t="s">
        <v>18</v>
      </c>
    </row>
    <row r="2771" spans="1:13">
      <c r="A2771" t="s">
        <v>851</v>
      </c>
      <c r="B2771" t="s">
        <v>687</v>
      </c>
      <c r="C2771" t="s">
        <v>687</v>
      </c>
      <c r="D2771" t="s">
        <v>3185</v>
      </c>
      <c r="E2771" t="s">
        <v>461</v>
      </c>
      <c r="F2771" t="s">
        <v>668</v>
      </c>
      <c r="G2771">
        <v>2040</v>
      </c>
      <c r="H2771" s="12">
        <v>5050.63</v>
      </c>
      <c r="I2771" t="s">
        <v>3183</v>
      </c>
      <c r="J2771" t="s">
        <v>18</v>
      </c>
      <c r="K2771" t="s">
        <v>147</v>
      </c>
      <c r="L2771" t="s">
        <v>649</v>
      </c>
      <c r="M2771" t="s">
        <v>18</v>
      </c>
    </row>
    <row r="2772" spans="1:13">
      <c r="A2772" t="s">
        <v>851</v>
      </c>
      <c r="B2772" t="s">
        <v>687</v>
      </c>
      <c r="C2772" t="s">
        <v>687</v>
      </c>
      <c r="D2772" t="s">
        <v>3185</v>
      </c>
      <c r="E2772" t="s">
        <v>461</v>
      </c>
      <c r="F2772" t="s">
        <v>668</v>
      </c>
      <c r="G2772">
        <v>2045</v>
      </c>
      <c r="H2772" s="12">
        <v>6754.65</v>
      </c>
      <c r="I2772" t="s">
        <v>3183</v>
      </c>
      <c r="J2772" t="s">
        <v>18</v>
      </c>
      <c r="K2772" t="s">
        <v>147</v>
      </c>
      <c r="L2772" t="s">
        <v>649</v>
      </c>
      <c r="M2772" t="s">
        <v>18</v>
      </c>
    </row>
    <row r="2773" spans="1:13">
      <c r="A2773" t="s">
        <v>851</v>
      </c>
      <c r="B2773" t="s">
        <v>687</v>
      </c>
      <c r="C2773" t="s">
        <v>687</v>
      </c>
      <c r="D2773" t="s">
        <v>3185</v>
      </c>
      <c r="E2773" t="s">
        <v>461</v>
      </c>
      <c r="F2773" t="s">
        <v>668</v>
      </c>
      <c r="G2773">
        <v>2050</v>
      </c>
      <c r="H2773" s="12">
        <v>8016.8</v>
      </c>
      <c r="I2773" t="s">
        <v>3183</v>
      </c>
      <c r="J2773" t="s">
        <v>18</v>
      </c>
      <c r="K2773" t="s">
        <v>147</v>
      </c>
      <c r="L2773" t="s">
        <v>649</v>
      </c>
      <c r="M2773" t="s">
        <v>18</v>
      </c>
    </row>
    <row r="2774" spans="1:13">
      <c r="A2774" t="s">
        <v>851</v>
      </c>
      <c r="B2774" t="s">
        <v>686</v>
      </c>
      <c r="C2774" t="s">
        <v>686</v>
      </c>
      <c r="D2774" t="s">
        <v>3185</v>
      </c>
      <c r="E2774" t="s">
        <v>461</v>
      </c>
      <c r="F2774" t="s">
        <v>668</v>
      </c>
      <c r="G2774">
        <v>2010</v>
      </c>
      <c r="H2774" s="12">
        <v>1110.57</v>
      </c>
      <c r="I2774" t="s">
        <v>3183</v>
      </c>
      <c r="J2774" t="s">
        <v>14</v>
      </c>
      <c r="K2774" t="s">
        <v>147</v>
      </c>
      <c r="L2774" t="s">
        <v>649</v>
      </c>
      <c r="M2774" t="s">
        <v>14</v>
      </c>
    </row>
    <row r="2775" spans="1:13">
      <c r="A2775" t="s">
        <v>851</v>
      </c>
      <c r="B2775" t="s">
        <v>686</v>
      </c>
      <c r="C2775" t="s">
        <v>686</v>
      </c>
      <c r="D2775" t="s">
        <v>3185</v>
      </c>
      <c r="E2775" t="s">
        <v>461</v>
      </c>
      <c r="F2775" t="s">
        <v>668</v>
      </c>
      <c r="G2775">
        <v>2015</v>
      </c>
      <c r="H2775" s="12">
        <v>1569.98</v>
      </c>
      <c r="I2775" t="s">
        <v>3183</v>
      </c>
      <c r="J2775" t="s">
        <v>14</v>
      </c>
      <c r="K2775" t="s">
        <v>147</v>
      </c>
      <c r="L2775" t="s">
        <v>649</v>
      </c>
      <c r="M2775" t="s">
        <v>14</v>
      </c>
    </row>
    <row r="2776" spans="1:13">
      <c r="A2776" t="s">
        <v>851</v>
      </c>
      <c r="B2776" t="s">
        <v>686</v>
      </c>
      <c r="C2776" t="s">
        <v>686</v>
      </c>
      <c r="D2776" t="s">
        <v>3185</v>
      </c>
      <c r="E2776" t="s">
        <v>461</v>
      </c>
      <c r="F2776" t="s">
        <v>668</v>
      </c>
      <c r="G2776">
        <v>2020</v>
      </c>
      <c r="H2776" s="12">
        <v>1859.03</v>
      </c>
      <c r="I2776" t="s">
        <v>3183</v>
      </c>
      <c r="J2776" t="s">
        <v>14</v>
      </c>
      <c r="K2776" t="s">
        <v>147</v>
      </c>
      <c r="L2776" t="s">
        <v>649</v>
      </c>
      <c r="M2776" t="s">
        <v>14</v>
      </c>
    </row>
    <row r="2777" spans="1:13">
      <c r="A2777" t="s">
        <v>851</v>
      </c>
      <c r="B2777" t="s">
        <v>686</v>
      </c>
      <c r="C2777" t="s">
        <v>686</v>
      </c>
      <c r="D2777" t="s">
        <v>3185</v>
      </c>
      <c r="E2777" t="s">
        <v>461</v>
      </c>
      <c r="F2777" t="s">
        <v>668</v>
      </c>
      <c r="G2777">
        <v>2030</v>
      </c>
      <c r="H2777" s="12">
        <v>2224.61</v>
      </c>
      <c r="I2777" t="s">
        <v>3183</v>
      </c>
      <c r="J2777" t="s">
        <v>14</v>
      </c>
      <c r="K2777" t="s">
        <v>147</v>
      </c>
      <c r="L2777" t="s">
        <v>649</v>
      </c>
      <c r="M2777" t="s">
        <v>14</v>
      </c>
    </row>
    <row r="2778" spans="1:13">
      <c r="A2778" t="s">
        <v>851</v>
      </c>
      <c r="B2778" t="s">
        <v>686</v>
      </c>
      <c r="C2778" t="s">
        <v>686</v>
      </c>
      <c r="D2778" t="s">
        <v>3185</v>
      </c>
      <c r="E2778" t="s">
        <v>461</v>
      </c>
      <c r="F2778" t="s">
        <v>668</v>
      </c>
      <c r="G2778">
        <v>2035</v>
      </c>
      <c r="H2778" s="12">
        <v>2441.0100000000002</v>
      </c>
      <c r="I2778" t="s">
        <v>3183</v>
      </c>
      <c r="J2778" t="s">
        <v>14</v>
      </c>
      <c r="K2778" t="s">
        <v>147</v>
      </c>
      <c r="L2778" t="s">
        <v>649</v>
      </c>
      <c r="M2778" t="s">
        <v>14</v>
      </c>
    </row>
    <row r="2779" spans="1:13">
      <c r="A2779" t="s">
        <v>851</v>
      </c>
      <c r="B2779" t="s">
        <v>686</v>
      </c>
      <c r="C2779" t="s">
        <v>686</v>
      </c>
      <c r="D2779" t="s">
        <v>3185</v>
      </c>
      <c r="E2779" t="s">
        <v>461</v>
      </c>
      <c r="F2779" t="s">
        <v>668</v>
      </c>
      <c r="G2779">
        <v>2040</v>
      </c>
      <c r="H2779" s="12">
        <v>2671.12</v>
      </c>
      <c r="I2779" t="s">
        <v>3183</v>
      </c>
      <c r="J2779" t="s">
        <v>14</v>
      </c>
      <c r="K2779" t="s">
        <v>147</v>
      </c>
      <c r="L2779" t="s">
        <v>649</v>
      </c>
      <c r="M2779" t="s">
        <v>14</v>
      </c>
    </row>
    <row r="2780" spans="1:13">
      <c r="A2780" t="s">
        <v>851</v>
      </c>
      <c r="B2780" t="s">
        <v>686</v>
      </c>
      <c r="C2780" t="s">
        <v>686</v>
      </c>
      <c r="D2780" t="s">
        <v>3185</v>
      </c>
      <c r="E2780" t="s">
        <v>461</v>
      </c>
      <c r="F2780" t="s">
        <v>668</v>
      </c>
      <c r="G2780">
        <v>2045</v>
      </c>
      <c r="H2780" s="12">
        <v>2879.01</v>
      </c>
      <c r="I2780" t="s">
        <v>3183</v>
      </c>
      <c r="J2780" t="s">
        <v>14</v>
      </c>
      <c r="K2780" t="s">
        <v>147</v>
      </c>
      <c r="L2780" t="s">
        <v>649</v>
      </c>
      <c r="M2780" t="s">
        <v>14</v>
      </c>
    </row>
    <row r="2781" spans="1:13">
      <c r="A2781" t="s">
        <v>851</v>
      </c>
      <c r="B2781" t="s">
        <v>686</v>
      </c>
      <c r="C2781" t="s">
        <v>686</v>
      </c>
      <c r="D2781" t="s">
        <v>3185</v>
      </c>
      <c r="E2781" t="s">
        <v>461</v>
      </c>
      <c r="F2781" t="s">
        <v>668</v>
      </c>
      <c r="G2781">
        <v>2050</v>
      </c>
      <c r="H2781" s="12">
        <v>3056.94</v>
      </c>
      <c r="I2781" t="s">
        <v>3183</v>
      </c>
      <c r="J2781" t="s">
        <v>14</v>
      </c>
      <c r="K2781" t="s">
        <v>147</v>
      </c>
      <c r="L2781" t="s">
        <v>649</v>
      </c>
      <c r="M2781" t="s">
        <v>14</v>
      </c>
    </row>
    <row r="2782" spans="1:13">
      <c r="A2782" t="s">
        <v>851</v>
      </c>
      <c r="B2782" t="s">
        <v>687</v>
      </c>
      <c r="C2782" t="s">
        <v>687</v>
      </c>
      <c r="D2782" t="s">
        <v>3185</v>
      </c>
      <c r="E2782" t="s">
        <v>461</v>
      </c>
      <c r="F2782" t="s">
        <v>668</v>
      </c>
      <c r="G2782">
        <v>2030</v>
      </c>
      <c r="H2782" s="12">
        <v>2267.19</v>
      </c>
      <c r="I2782" t="s">
        <v>3183</v>
      </c>
      <c r="J2782" t="s">
        <v>14</v>
      </c>
      <c r="K2782" t="s">
        <v>147</v>
      </c>
      <c r="L2782" t="s">
        <v>649</v>
      </c>
      <c r="M2782" t="s">
        <v>14</v>
      </c>
    </row>
    <row r="2783" spans="1:13">
      <c r="A2783" t="s">
        <v>851</v>
      </c>
      <c r="B2783" t="s">
        <v>687</v>
      </c>
      <c r="C2783" t="s">
        <v>687</v>
      </c>
      <c r="D2783" t="s">
        <v>3185</v>
      </c>
      <c r="E2783" t="s">
        <v>461</v>
      </c>
      <c r="F2783" t="s">
        <v>668</v>
      </c>
      <c r="G2783">
        <v>2035</v>
      </c>
      <c r="H2783" s="12">
        <v>2650.01</v>
      </c>
      <c r="I2783" t="s">
        <v>3183</v>
      </c>
      <c r="J2783" t="s">
        <v>14</v>
      </c>
      <c r="K2783" t="s">
        <v>147</v>
      </c>
      <c r="L2783" t="s">
        <v>649</v>
      </c>
      <c r="M2783" t="s">
        <v>14</v>
      </c>
    </row>
    <row r="2784" spans="1:13">
      <c r="A2784" t="s">
        <v>851</v>
      </c>
      <c r="B2784" t="s">
        <v>687</v>
      </c>
      <c r="C2784" t="s">
        <v>687</v>
      </c>
      <c r="D2784" t="s">
        <v>3185</v>
      </c>
      <c r="E2784" t="s">
        <v>461</v>
      </c>
      <c r="F2784" t="s">
        <v>668</v>
      </c>
      <c r="G2784">
        <v>2040</v>
      </c>
      <c r="H2784" s="12">
        <v>3051.69</v>
      </c>
      <c r="I2784" t="s">
        <v>3183</v>
      </c>
      <c r="J2784" t="s">
        <v>14</v>
      </c>
      <c r="K2784" t="s">
        <v>147</v>
      </c>
      <c r="L2784" t="s">
        <v>649</v>
      </c>
      <c r="M2784" t="s">
        <v>14</v>
      </c>
    </row>
    <row r="2785" spans="1:13">
      <c r="A2785" t="s">
        <v>851</v>
      </c>
      <c r="B2785" t="s">
        <v>687</v>
      </c>
      <c r="C2785" t="s">
        <v>687</v>
      </c>
      <c r="D2785" t="s">
        <v>3185</v>
      </c>
      <c r="E2785" t="s">
        <v>461</v>
      </c>
      <c r="F2785" t="s">
        <v>668</v>
      </c>
      <c r="G2785">
        <v>2045</v>
      </c>
      <c r="H2785" s="12">
        <v>3397.59</v>
      </c>
      <c r="I2785" t="s">
        <v>3183</v>
      </c>
      <c r="J2785" t="s">
        <v>14</v>
      </c>
      <c r="K2785" t="s">
        <v>147</v>
      </c>
      <c r="L2785" t="s">
        <v>649</v>
      </c>
      <c r="M2785" t="s">
        <v>14</v>
      </c>
    </row>
    <row r="2786" spans="1:13">
      <c r="A2786" t="s">
        <v>851</v>
      </c>
      <c r="B2786" t="s">
        <v>687</v>
      </c>
      <c r="C2786" t="s">
        <v>687</v>
      </c>
      <c r="D2786" t="s">
        <v>3185</v>
      </c>
      <c r="E2786" t="s">
        <v>461</v>
      </c>
      <c r="F2786" t="s">
        <v>668</v>
      </c>
      <c r="G2786">
        <v>2050</v>
      </c>
      <c r="H2786" s="12">
        <v>3663.38</v>
      </c>
      <c r="I2786" t="s">
        <v>3183</v>
      </c>
      <c r="J2786" t="s">
        <v>14</v>
      </c>
      <c r="K2786" t="s">
        <v>147</v>
      </c>
      <c r="L2786" t="s">
        <v>649</v>
      </c>
      <c r="M2786" t="s">
        <v>14</v>
      </c>
    </row>
    <row r="2787" spans="1:13">
      <c r="A2787" t="s">
        <v>851</v>
      </c>
      <c r="B2787" t="s">
        <v>686</v>
      </c>
      <c r="C2787" t="s">
        <v>686</v>
      </c>
      <c r="D2787" t="s">
        <v>3185</v>
      </c>
      <c r="E2787" t="s">
        <v>461</v>
      </c>
      <c r="F2787" t="s">
        <v>668</v>
      </c>
      <c r="G2787">
        <v>2010</v>
      </c>
      <c r="H2787" s="12">
        <v>84.5</v>
      </c>
      <c r="I2787" t="s">
        <v>3183</v>
      </c>
      <c r="J2787" t="s">
        <v>41</v>
      </c>
      <c r="K2787" t="s">
        <v>147</v>
      </c>
      <c r="L2787" t="s">
        <v>649</v>
      </c>
      <c r="M2787" t="s">
        <v>669</v>
      </c>
    </row>
    <row r="2788" spans="1:13">
      <c r="A2788" t="s">
        <v>851</v>
      </c>
      <c r="B2788" t="s">
        <v>686</v>
      </c>
      <c r="C2788" t="s">
        <v>686</v>
      </c>
      <c r="D2788" t="s">
        <v>3185</v>
      </c>
      <c r="E2788" t="s">
        <v>461</v>
      </c>
      <c r="F2788" t="s">
        <v>668</v>
      </c>
      <c r="G2788">
        <v>2015</v>
      </c>
      <c r="H2788" s="12">
        <v>137.63999999999999</v>
      </c>
      <c r="I2788" t="s">
        <v>3183</v>
      </c>
      <c r="J2788" t="s">
        <v>41</v>
      </c>
      <c r="K2788" t="s">
        <v>147</v>
      </c>
      <c r="L2788" t="s">
        <v>649</v>
      </c>
      <c r="M2788" t="s">
        <v>669</v>
      </c>
    </row>
    <row r="2789" spans="1:13">
      <c r="A2789" t="s">
        <v>851</v>
      </c>
      <c r="B2789" t="s">
        <v>686</v>
      </c>
      <c r="C2789" t="s">
        <v>686</v>
      </c>
      <c r="D2789" t="s">
        <v>3185</v>
      </c>
      <c r="E2789" t="s">
        <v>461</v>
      </c>
      <c r="F2789" t="s">
        <v>668</v>
      </c>
      <c r="G2789">
        <v>2020</v>
      </c>
      <c r="H2789" s="12">
        <v>275.87</v>
      </c>
      <c r="I2789" t="s">
        <v>3183</v>
      </c>
      <c r="J2789" t="s">
        <v>41</v>
      </c>
      <c r="K2789" t="s">
        <v>147</v>
      </c>
      <c r="L2789" t="s">
        <v>649</v>
      </c>
      <c r="M2789" t="s">
        <v>669</v>
      </c>
    </row>
    <row r="2790" spans="1:13">
      <c r="A2790" t="s">
        <v>851</v>
      </c>
      <c r="B2790" t="s">
        <v>686</v>
      </c>
      <c r="C2790" t="s">
        <v>686</v>
      </c>
      <c r="D2790" t="s">
        <v>3185</v>
      </c>
      <c r="E2790" t="s">
        <v>461</v>
      </c>
      <c r="F2790" t="s">
        <v>668</v>
      </c>
      <c r="G2790">
        <v>2030</v>
      </c>
      <c r="H2790" s="12">
        <v>625.39</v>
      </c>
      <c r="I2790" t="s">
        <v>3183</v>
      </c>
      <c r="J2790" t="s">
        <v>41</v>
      </c>
      <c r="K2790" t="s">
        <v>147</v>
      </c>
      <c r="L2790" t="s">
        <v>649</v>
      </c>
      <c r="M2790" t="s">
        <v>669</v>
      </c>
    </row>
    <row r="2791" spans="1:13">
      <c r="A2791" t="s">
        <v>851</v>
      </c>
      <c r="B2791" t="s">
        <v>686</v>
      </c>
      <c r="C2791" t="s">
        <v>686</v>
      </c>
      <c r="D2791" t="s">
        <v>3185</v>
      </c>
      <c r="E2791" t="s">
        <v>461</v>
      </c>
      <c r="F2791" t="s">
        <v>668</v>
      </c>
      <c r="G2791">
        <v>2035</v>
      </c>
      <c r="H2791" s="12">
        <v>751.64</v>
      </c>
      <c r="I2791" t="s">
        <v>3183</v>
      </c>
      <c r="J2791" t="s">
        <v>41</v>
      </c>
      <c r="K2791" t="s">
        <v>147</v>
      </c>
      <c r="L2791" t="s">
        <v>649</v>
      </c>
      <c r="M2791" t="s">
        <v>669</v>
      </c>
    </row>
    <row r="2792" spans="1:13">
      <c r="A2792" t="s">
        <v>851</v>
      </c>
      <c r="B2792" t="s">
        <v>686</v>
      </c>
      <c r="C2792" t="s">
        <v>686</v>
      </c>
      <c r="D2792" t="s">
        <v>3185</v>
      </c>
      <c r="E2792" t="s">
        <v>461</v>
      </c>
      <c r="F2792" t="s">
        <v>668</v>
      </c>
      <c r="G2792">
        <v>2040</v>
      </c>
      <c r="H2792" s="12">
        <v>869.21</v>
      </c>
      <c r="I2792" t="s">
        <v>3183</v>
      </c>
      <c r="J2792" t="s">
        <v>41</v>
      </c>
      <c r="K2792" t="s">
        <v>147</v>
      </c>
      <c r="L2792" t="s">
        <v>649</v>
      </c>
      <c r="M2792" t="s">
        <v>669</v>
      </c>
    </row>
    <row r="2793" spans="1:13">
      <c r="A2793" t="s">
        <v>851</v>
      </c>
      <c r="B2793" t="s">
        <v>686</v>
      </c>
      <c r="C2793" t="s">
        <v>686</v>
      </c>
      <c r="D2793" t="s">
        <v>3185</v>
      </c>
      <c r="E2793" t="s">
        <v>461</v>
      </c>
      <c r="F2793" t="s">
        <v>668</v>
      </c>
      <c r="G2793">
        <v>2045</v>
      </c>
      <c r="H2793" s="12">
        <v>984.35</v>
      </c>
      <c r="I2793" t="s">
        <v>3183</v>
      </c>
      <c r="J2793" t="s">
        <v>41</v>
      </c>
      <c r="K2793" t="s">
        <v>147</v>
      </c>
      <c r="L2793" t="s">
        <v>649</v>
      </c>
      <c r="M2793" t="s">
        <v>669</v>
      </c>
    </row>
    <row r="2794" spans="1:13">
      <c r="A2794" t="s">
        <v>851</v>
      </c>
      <c r="B2794" t="s">
        <v>686</v>
      </c>
      <c r="C2794" t="s">
        <v>686</v>
      </c>
      <c r="D2794" t="s">
        <v>3185</v>
      </c>
      <c r="E2794" t="s">
        <v>461</v>
      </c>
      <c r="F2794" t="s">
        <v>668</v>
      </c>
      <c r="G2794">
        <v>2050</v>
      </c>
      <c r="H2794" s="12">
        <v>1092.3499999999999</v>
      </c>
      <c r="I2794" t="s">
        <v>3183</v>
      </c>
      <c r="J2794" t="s">
        <v>41</v>
      </c>
      <c r="K2794" t="s">
        <v>147</v>
      </c>
      <c r="L2794" t="s">
        <v>649</v>
      </c>
      <c r="M2794" t="s">
        <v>669</v>
      </c>
    </row>
    <row r="2795" spans="1:13">
      <c r="A2795" t="s">
        <v>851</v>
      </c>
      <c r="B2795" t="s">
        <v>687</v>
      </c>
      <c r="C2795" t="s">
        <v>687</v>
      </c>
      <c r="D2795" t="s">
        <v>3185</v>
      </c>
      <c r="E2795" t="s">
        <v>461</v>
      </c>
      <c r="F2795" t="s">
        <v>668</v>
      </c>
      <c r="G2795">
        <v>2030</v>
      </c>
      <c r="H2795" s="12">
        <v>683.18</v>
      </c>
      <c r="I2795" t="s">
        <v>3183</v>
      </c>
      <c r="J2795" t="s">
        <v>41</v>
      </c>
      <c r="K2795" t="s">
        <v>147</v>
      </c>
      <c r="L2795" t="s">
        <v>649</v>
      </c>
      <c r="M2795" t="s">
        <v>669</v>
      </c>
    </row>
    <row r="2796" spans="1:13">
      <c r="A2796" t="s">
        <v>851</v>
      </c>
      <c r="B2796" t="s">
        <v>687</v>
      </c>
      <c r="C2796" t="s">
        <v>687</v>
      </c>
      <c r="D2796" t="s">
        <v>3185</v>
      </c>
      <c r="E2796" t="s">
        <v>461</v>
      </c>
      <c r="F2796" t="s">
        <v>668</v>
      </c>
      <c r="G2796">
        <v>2035</v>
      </c>
      <c r="H2796" s="12">
        <v>909.75</v>
      </c>
      <c r="I2796" t="s">
        <v>3183</v>
      </c>
      <c r="J2796" t="s">
        <v>41</v>
      </c>
      <c r="K2796" t="s">
        <v>147</v>
      </c>
      <c r="L2796" t="s">
        <v>649</v>
      </c>
      <c r="M2796" t="s">
        <v>669</v>
      </c>
    </row>
    <row r="2797" spans="1:13">
      <c r="A2797" t="s">
        <v>851</v>
      </c>
      <c r="B2797" t="s">
        <v>687</v>
      </c>
      <c r="C2797" t="s">
        <v>687</v>
      </c>
      <c r="D2797" t="s">
        <v>3185</v>
      </c>
      <c r="E2797" t="s">
        <v>461</v>
      </c>
      <c r="F2797" t="s">
        <v>668</v>
      </c>
      <c r="G2797">
        <v>2040</v>
      </c>
      <c r="H2797" s="12">
        <v>1202.8800000000001</v>
      </c>
      <c r="I2797" t="s">
        <v>3183</v>
      </c>
      <c r="J2797" t="s">
        <v>41</v>
      </c>
      <c r="K2797" t="s">
        <v>147</v>
      </c>
      <c r="L2797" t="s">
        <v>649</v>
      </c>
      <c r="M2797" t="s">
        <v>669</v>
      </c>
    </row>
    <row r="2798" spans="1:13">
      <c r="A2798" t="s">
        <v>851</v>
      </c>
      <c r="B2798" t="s">
        <v>687</v>
      </c>
      <c r="C2798" t="s">
        <v>687</v>
      </c>
      <c r="D2798" t="s">
        <v>3185</v>
      </c>
      <c r="E2798" t="s">
        <v>461</v>
      </c>
      <c r="F2798" t="s">
        <v>668</v>
      </c>
      <c r="G2798">
        <v>2045</v>
      </c>
      <c r="H2798" s="12">
        <v>1517.45</v>
      </c>
      <c r="I2798" t="s">
        <v>3183</v>
      </c>
      <c r="J2798" t="s">
        <v>41</v>
      </c>
      <c r="K2798" t="s">
        <v>147</v>
      </c>
      <c r="L2798" t="s">
        <v>649</v>
      </c>
      <c r="M2798" t="s">
        <v>669</v>
      </c>
    </row>
    <row r="2799" spans="1:13">
      <c r="A2799" t="s">
        <v>851</v>
      </c>
      <c r="B2799" t="s">
        <v>687</v>
      </c>
      <c r="C2799" t="s">
        <v>687</v>
      </c>
      <c r="D2799" t="s">
        <v>3185</v>
      </c>
      <c r="E2799" t="s">
        <v>461</v>
      </c>
      <c r="F2799" t="s">
        <v>668</v>
      </c>
      <c r="G2799">
        <v>2050</v>
      </c>
      <c r="H2799" s="12">
        <v>1775.87</v>
      </c>
      <c r="I2799" t="s">
        <v>3183</v>
      </c>
      <c r="J2799" t="s">
        <v>41</v>
      </c>
      <c r="K2799" t="s">
        <v>147</v>
      </c>
      <c r="L2799" t="s">
        <v>649</v>
      </c>
      <c r="M2799" t="s">
        <v>669</v>
      </c>
    </row>
    <row r="2800" spans="1:13">
      <c r="A2800" t="s">
        <v>851</v>
      </c>
      <c r="B2800" t="s">
        <v>686</v>
      </c>
      <c r="C2800" t="s">
        <v>686</v>
      </c>
      <c r="D2800" t="s">
        <v>3185</v>
      </c>
      <c r="E2800" t="s">
        <v>461</v>
      </c>
      <c r="F2800" t="s">
        <v>668</v>
      </c>
      <c r="G2800">
        <v>2010</v>
      </c>
      <c r="H2800" s="12">
        <v>582.02</v>
      </c>
      <c r="I2800" t="s">
        <v>3183</v>
      </c>
      <c r="J2800" t="s">
        <v>15</v>
      </c>
      <c r="K2800" t="s">
        <v>147</v>
      </c>
      <c r="L2800" t="s">
        <v>649</v>
      </c>
      <c r="M2800" t="s">
        <v>15</v>
      </c>
    </row>
    <row r="2801" spans="1:13">
      <c r="A2801" t="s">
        <v>851</v>
      </c>
      <c r="B2801" t="s">
        <v>686</v>
      </c>
      <c r="C2801" t="s">
        <v>686</v>
      </c>
      <c r="D2801" t="s">
        <v>3185</v>
      </c>
      <c r="E2801" t="s">
        <v>461</v>
      </c>
      <c r="F2801" t="s">
        <v>668</v>
      </c>
      <c r="G2801">
        <v>2015</v>
      </c>
      <c r="H2801" s="12">
        <v>423.48</v>
      </c>
      <c r="I2801" t="s">
        <v>3183</v>
      </c>
      <c r="J2801" t="s">
        <v>15</v>
      </c>
      <c r="K2801" t="s">
        <v>147</v>
      </c>
      <c r="L2801" t="s">
        <v>649</v>
      </c>
      <c r="M2801" t="s">
        <v>15</v>
      </c>
    </row>
    <row r="2802" spans="1:13">
      <c r="A2802" t="s">
        <v>851</v>
      </c>
      <c r="B2802" t="s">
        <v>686</v>
      </c>
      <c r="C2802" t="s">
        <v>686</v>
      </c>
      <c r="D2802" t="s">
        <v>3185</v>
      </c>
      <c r="E2802" t="s">
        <v>461</v>
      </c>
      <c r="F2802" t="s">
        <v>668</v>
      </c>
      <c r="G2802">
        <v>2020</v>
      </c>
      <c r="H2802" s="12">
        <v>650.41999999999996</v>
      </c>
      <c r="I2802" t="s">
        <v>3183</v>
      </c>
      <c r="J2802" t="s">
        <v>15</v>
      </c>
      <c r="K2802" t="s">
        <v>147</v>
      </c>
      <c r="L2802" t="s">
        <v>649</v>
      </c>
      <c r="M2802" t="s">
        <v>15</v>
      </c>
    </row>
    <row r="2803" spans="1:13">
      <c r="A2803" t="s">
        <v>851</v>
      </c>
      <c r="B2803" t="s">
        <v>686</v>
      </c>
      <c r="C2803" t="s">
        <v>686</v>
      </c>
      <c r="D2803" t="s">
        <v>3185</v>
      </c>
      <c r="E2803" t="s">
        <v>461</v>
      </c>
      <c r="F2803" t="s">
        <v>668</v>
      </c>
      <c r="G2803">
        <v>2030</v>
      </c>
      <c r="H2803" s="12">
        <v>1264.3699999999999</v>
      </c>
      <c r="I2803" t="s">
        <v>3183</v>
      </c>
      <c r="J2803" t="s">
        <v>15</v>
      </c>
      <c r="K2803" t="s">
        <v>147</v>
      </c>
      <c r="L2803" t="s">
        <v>649</v>
      </c>
      <c r="M2803" t="s">
        <v>15</v>
      </c>
    </row>
    <row r="2804" spans="1:13">
      <c r="A2804" t="s">
        <v>851</v>
      </c>
      <c r="B2804" t="s">
        <v>686</v>
      </c>
      <c r="C2804" t="s">
        <v>686</v>
      </c>
      <c r="D2804" t="s">
        <v>3185</v>
      </c>
      <c r="E2804" t="s">
        <v>461</v>
      </c>
      <c r="F2804" t="s">
        <v>668</v>
      </c>
      <c r="G2804">
        <v>2035</v>
      </c>
      <c r="H2804" s="12">
        <v>1589.18</v>
      </c>
      <c r="I2804" t="s">
        <v>3183</v>
      </c>
      <c r="J2804" t="s">
        <v>15</v>
      </c>
      <c r="K2804" t="s">
        <v>147</v>
      </c>
      <c r="L2804" t="s">
        <v>649</v>
      </c>
      <c r="M2804" t="s">
        <v>15</v>
      </c>
    </row>
    <row r="2805" spans="1:13">
      <c r="A2805" t="s">
        <v>851</v>
      </c>
      <c r="B2805" t="s">
        <v>686</v>
      </c>
      <c r="C2805" t="s">
        <v>686</v>
      </c>
      <c r="D2805" t="s">
        <v>3185</v>
      </c>
      <c r="E2805" t="s">
        <v>461</v>
      </c>
      <c r="F2805" t="s">
        <v>668</v>
      </c>
      <c r="G2805">
        <v>2040</v>
      </c>
      <c r="H2805" s="12">
        <v>1814</v>
      </c>
      <c r="I2805" t="s">
        <v>3183</v>
      </c>
      <c r="J2805" t="s">
        <v>15</v>
      </c>
      <c r="K2805" t="s">
        <v>147</v>
      </c>
      <c r="L2805" t="s">
        <v>649</v>
      </c>
      <c r="M2805" t="s">
        <v>15</v>
      </c>
    </row>
    <row r="2806" spans="1:13">
      <c r="A2806" t="s">
        <v>851</v>
      </c>
      <c r="B2806" t="s">
        <v>686</v>
      </c>
      <c r="C2806" t="s">
        <v>686</v>
      </c>
      <c r="D2806" t="s">
        <v>3185</v>
      </c>
      <c r="E2806" t="s">
        <v>461</v>
      </c>
      <c r="F2806" t="s">
        <v>668</v>
      </c>
      <c r="G2806">
        <v>2045</v>
      </c>
      <c r="H2806" s="12">
        <v>1964.47</v>
      </c>
      <c r="I2806" t="s">
        <v>3183</v>
      </c>
      <c r="J2806" t="s">
        <v>15</v>
      </c>
      <c r="K2806" t="s">
        <v>147</v>
      </c>
      <c r="L2806" t="s">
        <v>649</v>
      </c>
      <c r="M2806" t="s">
        <v>15</v>
      </c>
    </row>
    <row r="2807" spans="1:13">
      <c r="A2807" t="s">
        <v>851</v>
      </c>
      <c r="B2807" t="s">
        <v>686</v>
      </c>
      <c r="C2807" t="s">
        <v>686</v>
      </c>
      <c r="D2807" t="s">
        <v>3185</v>
      </c>
      <c r="E2807" t="s">
        <v>461</v>
      </c>
      <c r="F2807" t="s">
        <v>668</v>
      </c>
      <c r="G2807">
        <v>2050</v>
      </c>
      <c r="H2807" s="12">
        <v>2103.37</v>
      </c>
      <c r="I2807" t="s">
        <v>3183</v>
      </c>
      <c r="J2807" t="s">
        <v>15</v>
      </c>
      <c r="K2807" t="s">
        <v>147</v>
      </c>
      <c r="L2807" t="s">
        <v>649</v>
      </c>
      <c r="M2807" t="s">
        <v>15</v>
      </c>
    </row>
    <row r="2808" spans="1:13">
      <c r="A2808" t="s">
        <v>851</v>
      </c>
      <c r="B2808" t="s">
        <v>687</v>
      </c>
      <c r="C2808" t="s">
        <v>687</v>
      </c>
      <c r="D2808" t="s">
        <v>3185</v>
      </c>
      <c r="E2808" t="s">
        <v>461</v>
      </c>
      <c r="F2808" t="s">
        <v>668</v>
      </c>
      <c r="G2808">
        <v>2030</v>
      </c>
      <c r="H2808" s="12">
        <v>1367.08</v>
      </c>
      <c r="I2808" t="s">
        <v>3183</v>
      </c>
      <c r="J2808" t="s">
        <v>15</v>
      </c>
      <c r="K2808" t="s">
        <v>147</v>
      </c>
      <c r="L2808" t="s">
        <v>649</v>
      </c>
      <c r="M2808" t="s">
        <v>15</v>
      </c>
    </row>
    <row r="2809" spans="1:13">
      <c r="A2809" t="s">
        <v>851</v>
      </c>
      <c r="B2809" t="s">
        <v>687</v>
      </c>
      <c r="C2809" t="s">
        <v>687</v>
      </c>
      <c r="D2809" t="s">
        <v>3185</v>
      </c>
      <c r="E2809" t="s">
        <v>461</v>
      </c>
      <c r="F2809" t="s">
        <v>668</v>
      </c>
      <c r="G2809">
        <v>2035</v>
      </c>
      <c r="H2809" s="12">
        <v>1717.44</v>
      </c>
      <c r="I2809" t="s">
        <v>3183</v>
      </c>
      <c r="J2809" t="s">
        <v>15</v>
      </c>
      <c r="K2809" t="s">
        <v>147</v>
      </c>
      <c r="L2809" t="s">
        <v>649</v>
      </c>
      <c r="M2809" t="s">
        <v>15</v>
      </c>
    </row>
    <row r="2810" spans="1:13">
      <c r="A2810" t="s">
        <v>851</v>
      </c>
      <c r="B2810" t="s">
        <v>687</v>
      </c>
      <c r="C2810" t="s">
        <v>687</v>
      </c>
      <c r="D2810" t="s">
        <v>3185</v>
      </c>
      <c r="E2810" t="s">
        <v>461</v>
      </c>
      <c r="F2810" t="s">
        <v>668</v>
      </c>
      <c r="G2810">
        <v>2040</v>
      </c>
      <c r="H2810" s="12">
        <v>2119.13</v>
      </c>
      <c r="I2810" t="s">
        <v>3183</v>
      </c>
      <c r="J2810" t="s">
        <v>15</v>
      </c>
      <c r="K2810" t="s">
        <v>147</v>
      </c>
      <c r="L2810" t="s">
        <v>649</v>
      </c>
      <c r="M2810" t="s">
        <v>15</v>
      </c>
    </row>
    <row r="2811" spans="1:13">
      <c r="A2811" t="s">
        <v>851</v>
      </c>
      <c r="B2811" t="s">
        <v>687</v>
      </c>
      <c r="C2811" t="s">
        <v>687</v>
      </c>
      <c r="D2811" t="s">
        <v>3185</v>
      </c>
      <c r="E2811" t="s">
        <v>461</v>
      </c>
      <c r="F2811" t="s">
        <v>668</v>
      </c>
      <c r="G2811">
        <v>2045</v>
      </c>
      <c r="H2811" s="12">
        <v>2350.19</v>
      </c>
      <c r="I2811" t="s">
        <v>3183</v>
      </c>
      <c r="J2811" t="s">
        <v>15</v>
      </c>
      <c r="K2811" t="s">
        <v>147</v>
      </c>
      <c r="L2811" t="s">
        <v>649</v>
      </c>
      <c r="M2811" t="s">
        <v>15</v>
      </c>
    </row>
    <row r="2812" spans="1:13">
      <c r="A2812" t="s">
        <v>851</v>
      </c>
      <c r="B2812" t="s">
        <v>687</v>
      </c>
      <c r="C2812" t="s">
        <v>687</v>
      </c>
      <c r="D2812" t="s">
        <v>3185</v>
      </c>
      <c r="E2812" t="s">
        <v>461</v>
      </c>
      <c r="F2812" t="s">
        <v>668</v>
      </c>
      <c r="G2812">
        <v>2050</v>
      </c>
      <c r="H2812" s="12">
        <v>2602.62</v>
      </c>
      <c r="I2812" t="s">
        <v>3183</v>
      </c>
      <c r="J2812" t="s">
        <v>15</v>
      </c>
      <c r="K2812" t="s">
        <v>147</v>
      </c>
      <c r="L2812" t="s">
        <v>649</v>
      </c>
      <c r="M2812" t="s">
        <v>15</v>
      </c>
    </row>
    <row r="2813" spans="1:13">
      <c r="A2813" t="s">
        <v>851</v>
      </c>
      <c r="B2813" t="s">
        <v>686</v>
      </c>
      <c r="C2813" t="s">
        <v>686</v>
      </c>
      <c r="D2813" t="s">
        <v>3185</v>
      </c>
      <c r="E2813" t="s">
        <v>461</v>
      </c>
      <c r="F2813" t="s">
        <v>668</v>
      </c>
      <c r="G2813">
        <v>2010</v>
      </c>
      <c r="H2813" s="12">
        <v>0</v>
      </c>
      <c r="I2813" t="s">
        <v>3183</v>
      </c>
      <c r="J2813" t="s">
        <v>8</v>
      </c>
      <c r="K2813" t="s">
        <v>147</v>
      </c>
      <c r="L2813" t="s">
        <v>649</v>
      </c>
      <c r="M2813" t="s">
        <v>670</v>
      </c>
    </row>
    <row r="2814" spans="1:13">
      <c r="A2814" t="s">
        <v>851</v>
      </c>
      <c r="B2814" t="s">
        <v>686</v>
      </c>
      <c r="C2814" t="s">
        <v>686</v>
      </c>
      <c r="D2814" t="s">
        <v>3185</v>
      </c>
      <c r="E2814" t="s">
        <v>461</v>
      </c>
      <c r="F2814" t="s">
        <v>668</v>
      </c>
      <c r="G2814">
        <v>2010</v>
      </c>
      <c r="H2814" s="12">
        <v>4958.46</v>
      </c>
      <c r="I2814" t="s">
        <v>3183</v>
      </c>
      <c r="J2814" t="s">
        <v>5</v>
      </c>
      <c r="K2814" t="s">
        <v>147</v>
      </c>
      <c r="L2814" t="s">
        <v>649</v>
      </c>
      <c r="M2814" t="s">
        <v>665</v>
      </c>
    </row>
    <row r="2815" spans="1:13">
      <c r="A2815" t="s">
        <v>851</v>
      </c>
      <c r="B2815" t="s">
        <v>686</v>
      </c>
      <c r="C2815" t="s">
        <v>686</v>
      </c>
      <c r="D2815" t="s">
        <v>3185</v>
      </c>
      <c r="E2815" t="s">
        <v>461</v>
      </c>
      <c r="F2815" t="s">
        <v>668</v>
      </c>
      <c r="G2815">
        <v>2015</v>
      </c>
      <c r="H2815" s="12">
        <v>6374.72</v>
      </c>
      <c r="I2815" t="s">
        <v>3183</v>
      </c>
      <c r="J2815" t="s">
        <v>5</v>
      </c>
      <c r="K2815" t="s">
        <v>147</v>
      </c>
      <c r="L2815" t="s">
        <v>649</v>
      </c>
      <c r="M2815" t="s">
        <v>665</v>
      </c>
    </row>
    <row r="2816" spans="1:13">
      <c r="A2816" t="s">
        <v>851</v>
      </c>
      <c r="B2816" t="s">
        <v>686</v>
      </c>
      <c r="C2816" t="s">
        <v>686</v>
      </c>
      <c r="D2816" t="s">
        <v>3185</v>
      </c>
      <c r="E2816" t="s">
        <v>461</v>
      </c>
      <c r="F2816" t="s">
        <v>668</v>
      </c>
      <c r="G2816">
        <v>2020</v>
      </c>
      <c r="H2816" s="12">
        <v>7358.82</v>
      </c>
      <c r="I2816" t="s">
        <v>3183</v>
      </c>
      <c r="J2816" t="s">
        <v>5</v>
      </c>
      <c r="K2816" t="s">
        <v>147</v>
      </c>
      <c r="L2816" t="s">
        <v>649</v>
      </c>
      <c r="M2816" t="s">
        <v>665</v>
      </c>
    </row>
    <row r="2817" spans="1:13">
      <c r="A2817" t="s">
        <v>851</v>
      </c>
      <c r="B2817" t="s">
        <v>686</v>
      </c>
      <c r="C2817" t="s">
        <v>686</v>
      </c>
      <c r="D2817" t="s">
        <v>3185</v>
      </c>
      <c r="E2817" t="s">
        <v>461</v>
      </c>
      <c r="F2817" t="s">
        <v>668</v>
      </c>
      <c r="G2817">
        <v>2030</v>
      </c>
      <c r="H2817" s="12">
        <v>8036.2</v>
      </c>
      <c r="I2817" t="s">
        <v>3183</v>
      </c>
      <c r="J2817" t="s">
        <v>5</v>
      </c>
      <c r="K2817" t="s">
        <v>147</v>
      </c>
      <c r="L2817" t="s">
        <v>649</v>
      </c>
      <c r="M2817" t="s">
        <v>665</v>
      </c>
    </row>
    <row r="2818" spans="1:13">
      <c r="A2818" t="s">
        <v>851</v>
      </c>
      <c r="B2818" t="s">
        <v>686</v>
      </c>
      <c r="C2818" t="s">
        <v>686</v>
      </c>
      <c r="D2818" t="s">
        <v>3185</v>
      </c>
      <c r="E2818" t="s">
        <v>461</v>
      </c>
      <c r="F2818" t="s">
        <v>668</v>
      </c>
      <c r="G2818">
        <v>2035</v>
      </c>
      <c r="H2818" s="12">
        <v>7329.33</v>
      </c>
      <c r="I2818" t="s">
        <v>3183</v>
      </c>
      <c r="J2818" t="s">
        <v>5</v>
      </c>
      <c r="K2818" t="s">
        <v>147</v>
      </c>
      <c r="L2818" t="s">
        <v>649</v>
      </c>
      <c r="M2818" t="s">
        <v>665</v>
      </c>
    </row>
    <row r="2819" spans="1:13">
      <c r="A2819" t="s">
        <v>851</v>
      </c>
      <c r="B2819" t="s">
        <v>686</v>
      </c>
      <c r="C2819" t="s">
        <v>686</v>
      </c>
      <c r="D2819" t="s">
        <v>3185</v>
      </c>
      <c r="E2819" t="s">
        <v>461</v>
      </c>
      <c r="F2819" t="s">
        <v>668</v>
      </c>
      <c r="G2819">
        <v>2040</v>
      </c>
      <c r="H2819" s="12">
        <v>6586.72</v>
      </c>
      <c r="I2819" t="s">
        <v>3183</v>
      </c>
      <c r="J2819" t="s">
        <v>5</v>
      </c>
      <c r="K2819" t="s">
        <v>147</v>
      </c>
      <c r="L2819" t="s">
        <v>649</v>
      </c>
      <c r="M2819" t="s">
        <v>665</v>
      </c>
    </row>
    <row r="2820" spans="1:13">
      <c r="A2820" t="s">
        <v>851</v>
      </c>
      <c r="B2820" t="s">
        <v>686</v>
      </c>
      <c r="C2820" t="s">
        <v>686</v>
      </c>
      <c r="D2820" t="s">
        <v>3185</v>
      </c>
      <c r="E2820" t="s">
        <v>461</v>
      </c>
      <c r="F2820" t="s">
        <v>668</v>
      </c>
      <c r="G2820">
        <v>2045</v>
      </c>
      <c r="H2820" s="12">
        <v>5943.94</v>
      </c>
      <c r="I2820" t="s">
        <v>3183</v>
      </c>
      <c r="J2820" t="s">
        <v>5</v>
      </c>
      <c r="K2820" t="s">
        <v>147</v>
      </c>
      <c r="L2820" t="s">
        <v>649</v>
      </c>
      <c r="M2820" t="s">
        <v>665</v>
      </c>
    </row>
    <row r="2821" spans="1:13">
      <c r="A2821" t="s">
        <v>851</v>
      </c>
      <c r="B2821" t="s">
        <v>686</v>
      </c>
      <c r="C2821" t="s">
        <v>686</v>
      </c>
      <c r="D2821" t="s">
        <v>3185</v>
      </c>
      <c r="E2821" t="s">
        <v>461</v>
      </c>
      <c r="F2821" t="s">
        <v>668</v>
      </c>
      <c r="G2821">
        <v>2050</v>
      </c>
      <c r="H2821" s="12">
        <v>5292.16</v>
      </c>
      <c r="I2821" t="s">
        <v>3183</v>
      </c>
      <c r="J2821" t="s">
        <v>5</v>
      </c>
      <c r="K2821" t="s">
        <v>147</v>
      </c>
      <c r="L2821" t="s">
        <v>649</v>
      </c>
      <c r="M2821" t="s">
        <v>665</v>
      </c>
    </row>
    <row r="2822" spans="1:13">
      <c r="A2822" t="s">
        <v>851</v>
      </c>
      <c r="B2822" t="s">
        <v>687</v>
      </c>
      <c r="C2822" t="s">
        <v>687</v>
      </c>
      <c r="D2822" t="s">
        <v>3185</v>
      </c>
      <c r="E2822" t="s">
        <v>461</v>
      </c>
      <c r="F2822" t="s">
        <v>668</v>
      </c>
      <c r="G2822">
        <v>2030</v>
      </c>
      <c r="H2822" s="12">
        <v>7387.76</v>
      </c>
      <c r="I2822" t="s">
        <v>3183</v>
      </c>
      <c r="J2822" t="s">
        <v>5</v>
      </c>
      <c r="K2822" t="s">
        <v>147</v>
      </c>
      <c r="L2822" t="s">
        <v>649</v>
      </c>
      <c r="M2822" t="s">
        <v>665</v>
      </c>
    </row>
    <row r="2823" spans="1:13">
      <c r="A2823" t="s">
        <v>851</v>
      </c>
      <c r="B2823" t="s">
        <v>687</v>
      </c>
      <c r="C2823" t="s">
        <v>687</v>
      </c>
      <c r="D2823" t="s">
        <v>3185</v>
      </c>
      <c r="E2823" t="s">
        <v>461</v>
      </c>
      <c r="F2823" t="s">
        <v>668</v>
      </c>
      <c r="G2823">
        <v>2035</v>
      </c>
      <c r="H2823" s="12">
        <v>6075.73</v>
      </c>
      <c r="I2823" t="s">
        <v>3183</v>
      </c>
      <c r="J2823" t="s">
        <v>5</v>
      </c>
      <c r="K2823" t="s">
        <v>147</v>
      </c>
      <c r="L2823" t="s">
        <v>649</v>
      </c>
      <c r="M2823" t="s">
        <v>665</v>
      </c>
    </row>
    <row r="2824" spans="1:13">
      <c r="A2824" t="s">
        <v>851</v>
      </c>
      <c r="B2824" t="s">
        <v>687</v>
      </c>
      <c r="C2824" t="s">
        <v>687</v>
      </c>
      <c r="D2824" t="s">
        <v>3185</v>
      </c>
      <c r="E2824" t="s">
        <v>461</v>
      </c>
      <c r="F2824" t="s">
        <v>668</v>
      </c>
      <c r="G2824">
        <v>2040</v>
      </c>
      <c r="H2824" s="12">
        <v>3947.45</v>
      </c>
      <c r="I2824" t="s">
        <v>3183</v>
      </c>
      <c r="J2824" t="s">
        <v>5</v>
      </c>
      <c r="K2824" t="s">
        <v>147</v>
      </c>
      <c r="L2824" t="s">
        <v>649</v>
      </c>
      <c r="M2824" t="s">
        <v>665</v>
      </c>
    </row>
    <row r="2825" spans="1:13">
      <c r="A2825" t="s">
        <v>851</v>
      </c>
      <c r="B2825" t="s">
        <v>687</v>
      </c>
      <c r="C2825" t="s">
        <v>687</v>
      </c>
      <c r="D2825" t="s">
        <v>3185</v>
      </c>
      <c r="E2825" t="s">
        <v>461</v>
      </c>
      <c r="F2825" t="s">
        <v>668</v>
      </c>
      <c r="G2825">
        <v>2045</v>
      </c>
      <c r="H2825" s="12">
        <v>2557.6799999999998</v>
      </c>
      <c r="I2825" t="s">
        <v>3183</v>
      </c>
      <c r="J2825" t="s">
        <v>5</v>
      </c>
      <c r="K2825" t="s">
        <v>147</v>
      </c>
      <c r="L2825" t="s">
        <v>649</v>
      </c>
      <c r="M2825" t="s">
        <v>665</v>
      </c>
    </row>
    <row r="2826" spans="1:13">
      <c r="A2826" t="s">
        <v>851</v>
      </c>
      <c r="B2826" t="s">
        <v>687</v>
      </c>
      <c r="C2826" t="s">
        <v>687</v>
      </c>
      <c r="D2826" t="s">
        <v>3185</v>
      </c>
      <c r="E2826" t="s">
        <v>461</v>
      </c>
      <c r="F2826" t="s">
        <v>668</v>
      </c>
      <c r="G2826">
        <v>2050</v>
      </c>
      <c r="H2826" s="12">
        <v>1374.05</v>
      </c>
      <c r="I2826" t="s">
        <v>3183</v>
      </c>
      <c r="J2826" t="s">
        <v>5</v>
      </c>
      <c r="K2826" t="s">
        <v>147</v>
      </c>
      <c r="L2826" t="s">
        <v>649</v>
      </c>
      <c r="M2826" t="s">
        <v>665</v>
      </c>
    </row>
    <row r="2827" spans="1:13">
      <c r="A2827" t="s">
        <v>851</v>
      </c>
      <c r="B2827" t="s">
        <v>686</v>
      </c>
      <c r="C2827" t="s">
        <v>686</v>
      </c>
      <c r="D2827" t="s">
        <v>3185</v>
      </c>
      <c r="E2827" t="s">
        <v>461</v>
      </c>
      <c r="F2827" t="s">
        <v>668</v>
      </c>
      <c r="G2827">
        <v>2010</v>
      </c>
      <c r="H2827" s="12">
        <v>1150.6199999999999</v>
      </c>
      <c r="I2827" t="s">
        <v>3183</v>
      </c>
      <c r="J2827" t="s">
        <v>6</v>
      </c>
      <c r="K2827" t="s">
        <v>147</v>
      </c>
      <c r="L2827" t="s">
        <v>649</v>
      </c>
      <c r="M2827" t="s">
        <v>666</v>
      </c>
    </row>
    <row r="2828" spans="1:13">
      <c r="A2828" t="s">
        <v>851</v>
      </c>
      <c r="B2828" t="s">
        <v>686</v>
      </c>
      <c r="C2828" t="s">
        <v>686</v>
      </c>
      <c r="D2828" t="s">
        <v>3185</v>
      </c>
      <c r="E2828" t="s">
        <v>461</v>
      </c>
      <c r="F2828" t="s">
        <v>668</v>
      </c>
      <c r="G2828">
        <v>2015</v>
      </c>
      <c r="H2828" s="12">
        <v>1374.66</v>
      </c>
      <c r="I2828" t="s">
        <v>3183</v>
      </c>
      <c r="J2828" t="s">
        <v>6</v>
      </c>
      <c r="K2828" t="s">
        <v>147</v>
      </c>
      <c r="L2828" t="s">
        <v>649</v>
      </c>
      <c r="M2828" t="s">
        <v>666</v>
      </c>
    </row>
    <row r="2829" spans="1:13">
      <c r="A2829" t="s">
        <v>851</v>
      </c>
      <c r="B2829" t="s">
        <v>686</v>
      </c>
      <c r="C2829" t="s">
        <v>686</v>
      </c>
      <c r="D2829" t="s">
        <v>3185</v>
      </c>
      <c r="E2829" t="s">
        <v>461</v>
      </c>
      <c r="F2829" t="s">
        <v>668</v>
      </c>
      <c r="G2829">
        <v>2020</v>
      </c>
      <c r="H2829" s="12">
        <v>1505.58</v>
      </c>
      <c r="I2829" t="s">
        <v>3183</v>
      </c>
      <c r="J2829" t="s">
        <v>6</v>
      </c>
      <c r="K2829" t="s">
        <v>147</v>
      </c>
      <c r="L2829" t="s">
        <v>649</v>
      </c>
      <c r="M2829" t="s">
        <v>666</v>
      </c>
    </row>
    <row r="2830" spans="1:13">
      <c r="A2830" t="s">
        <v>851</v>
      </c>
      <c r="B2830" t="s">
        <v>686</v>
      </c>
      <c r="C2830" t="s">
        <v>686</v>
      </c>
      <c r="D2830" t="s">
        <v>3185</v>
      </c>
      <c r="E2830" t="s">
        <v>461</v>
      </c>
      <c r="F2830" t="s">
        <v>668</v>
      </c>
      <c r="G2830">
        <v>2030</v>
      </c>
      <c r="H2830" s="12">
        <v>1635.95</v>
      </c>
      <c r="I2830" t="s">
        <v>3183</v>
      </c>
      <c r="J2830" t="s">
        <v>6</v>
      </c>
      <c r="K2830" t="s">
        <v>147</v>
      </c>
      <c r="L2830" t="s">
        <v>649</v>
      </c>
      <c r="M2830" t="s">
        <v>666</v>
      </c>
    </row>
    <row r="2831" spans="1:13">
      <c r="A2831" t="s">
        <v>851</v>
      </c>
      <c r="B2831" t="s">
        <v>686</v>
      </c>
      <c r="C2831" t="s">
        <v>686</v>
      </c>
      <c r="D2831" t="s">
        <v>3185</v>
      </c>
      <c r="E2831" t="s">
        <v>461</v>
      </c>
      <c r="F2831" t="s">
        <v>668</v>
      </c>
      <c r="G2831">
        <v>2035</v>
      </c>
      <c r="H2831" s="12">
        <v>1659.53</v>
      </c>
      <c r="I2831" t="s">
        <v>3183</v>
      </c>
      <c r="J2831" t="s">
        <v>6</v>
      </c>
      <c r="K2831" t="s">
        <v>147</v>
      </c>
      <c r="L2831" t="s">
        <v>649</v>
      </c>
      <c r="M2831" t="s">
        <v>666</v>
      </c>
    </row>
    <row r="2832" spans="1:13">
      <c r="A2832" t="s">
        <v>851</v>
      </c>
      <c r="B2832" t="s">
        <v>686</v>
      </c>
      <c r="C2832" t="s">
        <v>686</v>
      </c>
      <c r="D2832" t="s">
        <v>3185</v>
      </c>
      <c r="E2832" t="s">
        <v>461</v>
      </c>
      <c r="F2832" t="s">
        <v>668</v>
      </c>
      <c r="G2832">
        <v>2040</v>
      </c>
      <c r="H2832" s="12">
        <v>1737</v>
      </c>
      <c r="I2832" t="s">
        <v>3183</v>
      </c>
      <c r="J2832" t="s">
        <v>6</v>
      </c>
      <c r="K2832" t="s">
        <v>147</v>
      </c>
      <c r="L2832" t="s">
        <v>649</v>
      </c>
      <c r="M2832" t="s">
        <v>666</v>
      </c>
    </row>
    <row r="2833" spans="1:13">
      <c r="A2833" t="s">
        <v>851</v>
      </c>
      <c r="B2833" t="s">
        <v>686</v>
      </c>
      <c r="C2833" t="s">
        <v>686</v>
      </c>
      <c r="D2833" t="s">
        <v>3185</v>
      </c>
      <c r="E2833" t="s">
        <v>461</v>
      </c>
      <c r="F2833" t="s">
        <v>668</v>
      </c>
      <c r="G2833">
        <v>2045</v>
      </c>
      <c r="H2833" s="12">
        <v>1806.93</v>
      </c>
      <c r="I2833" t="s">
        <v>3183</v>
      </c>
      <c r="J2833" t="s">
        <v>6</v>
      </c>
      <c r="K2833" t="s">
        <v>147</v>
      </c>
      <c r="L2833" t="s">
        <v>649</v>
      </c>
      <c r="M2833" t="s">
        <v>666</v>
      </c>
    </row>
    <row r="2834" spans="1:13">
      <c r="A2834" t="s">
        <v>851</v>
      </c>
      <c r="B2834" t="s">
        <v>686</v>
      </c>
      <c r="C2834" t="s">
        <v>686</v>
      </c>
      <c r="D2834" t="s">
        <v>3185</v>
      </c>
      <c r="E2834" t="s">
        <v>461</v>
      </c>
      <c r="F2834" t="s">
        <v>668</v>
      </c>
      <c r="G2834">
        <v>2050</v>
      </c>
      <c r="H2834" s="12">
        <v>1908.03</v>
      </c>
      <c r="I2834" t="s">
        <v>3183</v>
      </c>
      <c r="J2834" t="s">
        <v>6</v>
      </c>
      <c r="K2834" t="s">
        <v>147</v>
      </c>
      <c r="L2834" t="s">
        <v>649</v>
      </c>
      <c r="M2834" t="s">
        <v>666</v>
      </c>
    </row>
    <row r="2835" spans="1:13">
      <c r="A2835" t="s">
        <v>851</v>
      </c>
      <c r="B2835" t="s">
        <v>687</v>
      </c>
      <c r="C2835" t="s">
        <v>687</v>
      </c>
      <c r="D2835" t="s">
        <v>3185</v>
      </c>
      <c r="E2835" t="s">
        <v>461</v>
      </c>
      <c r="F2835" t="s">
        <v>668</v>
      </c>
      <c r="G2835">
        <v>2030</v>
      </c>
      <c r="H2835" s="12">
        <v>1614.55</v>
      </c>
      <c r="I2835" t="s">
        <v>3183</v>
      </c>
      <c r="J2835" t="s">
        <v>6</v>
      </c>
      <c r="K2835" t="s">
        <v>147</v>
      </c>
      <c r="L2835" t="s">
        <v>649</v>
      </c>
      <c r="M2835" t="s">
        <v>666</v>
      </c>
    </row>
    <row r="2836" spans="1:13">
      <c r="A2836" t="s">
        <v>851</v>
      </c>
      <c r="B2836" t="s">
        <v>687</v>
      </c>
      <c r="C2836" t="s">
        <v>687</v>
      </c>
      <c r="D2836" t="s">
        <v>3185</v>
      </c>
      <c r="E2836" t="s">
        <v>461</v>
      </c>
      <c r="F2836" t="s">
        <v>668</v>
      </c>
      <c r="G2836">
        <v>2035</v>
      </c>
      <c r="H2836" s="12">
        <v>1567.1</v>
      </c>
      <c r="I2836" t="s">
        <v>3183</v>
      </c>
      <c r="J2836" t="s">
        <v>6</v>
      </c>
      <c r="K2836" t="s">
        <v>147</v>
      </c>
      <c r="L2836" t="s">
        <v>649</v>
      </c>
      <c r="M2836" t="s">
        <v>666</v>
      </c>
    </row>
    <row r="2837" spans="1:13">
      <c r="A2837" t="s">
        <v>851</v>
      </c>
      <c r="B2837" t="s">
        <v>687</v>
      </c>
      <c r="C2837" t="s">
        <v>687</v>
      </c>
      <c r="D2837" t="s">
        <v>3185</v>
      </c>
      <c r="E2837" t="s">
        <v>461</v>
      </c>
      <c r="F2837" t="s">
        <v>668</v>
      </c>
      <c r="G2837">
        <v>2040</v>
      </c>
      <c r="H2837" s="12">
        <v>1415.36</v>
      </c>
      <c r="I2837" t="s">
        <v>3183</v>
      </c>
      <c r="J2837" t="s">
        <v>6</v>
      </c>
      <c r="K2837" t="s">
        <v>147</v>
      </c>
      <c r="L2837" t="s">
        <v>649</v>
      </c>
      <c r="M2837" t="s">
        <v>666</v>
      </c>
    </row>
    <row r="2838" spans="1:13">
      <c r="A2838" t="s">
        <v>851</v>
      </c>
      <c r="B2838" t="s">
        <v>686</v>
      </c>
      <c r="C2838" t="s">
        <v>686</v>
      </c>
      <c r="D2838" t="s">
        <v>3185</v>
      </c>
      <c r="E2838" t="s">
        <v>646</v>
      </c>
      <c r="F2838" t="s">
        <v>40</v>
      </c>
      <c r="G2838">
        <v>2010</v>
      </c>
      <c r="H2838" s="12">
        <v>2947</v>
      </c>
      <c r="I2838" t="s">
        <v>3183</v>
      </c>
      <c r="J2838" t="s">
        <v>6</v>
      </c>
      <c r="K2838" t="s">
        <v>658</v>
      </c>
      <c r="L2838" t="s">
        <v>649</v>
      </c>
      <c r="M2838" t="s">
        <v>659</v>
      </c>
    </row>
    <row r="2839" spans="1:13">
      <c r="A2839" t="s">
        <v>851</v>
      </c>
      <c r="B2839" t="s">
        <v>686</v>
      </c>
      <c r="C2839" t="s">
        <v>686</v>
      </c>
      <c r="D2839" t="s">
        <v>3185</v>
      </c>
      <c r="E2839" t="s">
        <v>646</v>
      </c>
      <c r="F2839" t="s">
        <v>40</v>
      </c>
      <c r="G2839">
        <v>2015</v>
      </c>
      <c r="H2839" s="12">
        <v>3695</v>
      </c>
      <c r="I2839" t="s">
        <v>3183</v>
      </c>
      <c r="J2839" t="s">
        <v>6</v>
      </c>
      <c r="K2839" t="s">
        <v>658</v>
      </c>
      <c r="L2839" t="s">
        <v>649</v>
      </c>
      <c r="M2839" t="s">
        <v>659</v>
      </c>
    </row>
    <row r="2840" spans="1:13">
      <c r="A2840" t="s">
        <v>851</v>
      </c>
      <c r="B2840" t="s">
        <v>686</v>
      </c>
      <c r="C2840" t="s">
        <v>686</v>
      </c>
      <c r="D2840" t="s">
        <v>3185</v>
      </c>
      <c r="E2840" t="s">
        <v>646</v>
      </c>
      <c r="F2840" t="s">
        <v>40</v>
      </c>
      <c r="G2840">
        <v>2020</v>
      </c>
      <c r="H2840" s="12">
        <v>4617</v>
      </c>
      <c r="I2840" t="s">
        <v>3183</v>
      </c>
      <c r="J2840" t="s">
        <v>6</v>
      </c>
      <c r="K2840" t="s">
        <v>658</v>
      </c>
      <c r="L2840" t="s">
        <v>649</v>
      </c>
      <c r="M2840" t="s">
        <v>659</v>
      </c>
    </row>
    <row r="2841" spans="1:13">
      <c r="A2841" t="s">
        <v>851</v>
      </c>
      <c r="B2841" t="s">
        <v>686</v>
      </c>
      <c r="C2841" t="s">
        <v>686</v>
      </c>
      <c r="D2841" t="s">
        <v>3185</v>
      </c>
      <c r="E2841" t="s">
        <v>646</v>
      </c>
      <c r="F2841" t="s">
        <v>40</v>
      </c>
      <c r="G2841">
        <v>2030</v>
      </c>
      <c r="H2841" s="12">
        <v>6104</v>
      </c>
      <c r="I2841" t="s">
        <v>3183</v>
      </c>
      <c r="J2841" t="s">
        <v>6</v>
      </c>
      <c r="K2841" t="s">
        <v>658</v>
      </c>
      <c r="L2841" t="s">
        <v>649</v>
      </c>
      <c r="M2841" t="s">
        <v>659</v>
      </c>
    </row>
    <row r="2842" spans="1:13">
      <c r="A2842" t="s">
        <v>851</v>
      </c>
      <c r="B2842" t="s">
        <v>686</v>
      </c>
      <c r="C2842" t="s">
        <v>686</v>
      </c>
      <c r="D2842" t="s">
        <v>3185</v>
      </c>
      <c r="E2842" t="s">
        <v>646</v>
      </c>
      <c r="F2842" t="s">
        <v>40</v>
      </c>
      <c r="G2842">
        <v>2035</v>
      </c>
      <c r="H2842" s="12">
        <v>6183</v>
      </c>
      <c r="I2842" t="s">
        <v>3183</v>
      </c>
      <c r="J2842" t="s">
        <v>6</v>
      </c>
      <c r="K2842" t="s">
        <v>658</v>
      </c>
      <c r="L2842" t="s">
        <v>649</v>
      </c>
      <c r="M2842" t="s">
        <v>659</v>
      </c>
    </row>
    <row r="2843" spans="1:13">
      <c r="A2843" t="s">
        <v>851</v>
      </c>
      <c r="B2843" t="s">
        <v>686</v>
      </c>
      <c r="C2843" t="s">
        <v>686</v>
      </c>
      <c r="D2843" t="s">
        <v>3185</v>
      </c>
      <c r="E2843" t="s">
        <v>646</v>
      </c>
      <c r="F2843" t="s">
        <v>40</v>
      </c>
      <c r="G2843">
        <v>2040</v>
      </c>
      <c r="H2843" s="12">
        <v>6300</v>
      </c>
      <c r="I2843" t="s">
        <v>3183</v>
      </c>
      <c r="J2843" t="s">
        <v>6</v>
      </c>
      <c r="K2843" t="s">
        <v>658</v>
      </c>
      <c r="L2843" t="s">
        <v>649</v>
      </c>
      <c r="M2843" t="s">
        <v>659</v>
      </c>
    </row>
    <row r="2844" spans="1:13">
      <c r="A2844" t="s">
        <v>851</v>
      </c>
      <c r="B2844" t="s">
        <v>686</v>
      </c>
      <c r="C2844" t="s">
        <v>686</v>
      </c>
      <c r="D2844" t="s">
        <v>3185</v>
      </c>
      <c r="E2844" t="s">
        <v>646</v>
      </c>
      <c r="F2844" t="s">
        <v>40</v>
      </c>
      <c r="G2844">
        <v>2045</v>
      </c>
      <c r="H2844" s="12">
        <v>6314</v>
      </c>
      <c r="I2844" t="s">
        <v>3183</v>
      </c>
      <c r="J2844" t="s">
        <v>6</v>
      </c>
      <c r="K2844" t="s">
        <v>658</v>
      </c>
      <c r="L2844" t="s">
        <v>649</v>
      </c>
      <c r="M2844" t="s">
        <v>659</v>
      </c>
    </row>
    <row r="2845" spans="1:13">
      <c r="A2845" t="s">
        <v>851</v>
      </c>
      <c r="B2845" t="s">
        <v>686</v>
      </c>
      <c r="C2845" t="s">
        <v>686</v>
      </c>
      <c r="D2845" t="s">
        <v>3185</v>
      </c>
      <c r="E2845" t="s">
        <v>646</v>
      </c>
      <c r="F2845" t="s">
        <v>40</v>
      </c>
      <c r="G2845">
        <v>2050</v>
      </c>
      <c r="H2845" s="12">
        <v>5944</v>
      </c>
      <c r="I2845" t="s">
        <v>3183</v>
      </c>
      <c r="J2845" t="s">
        <v>6</v>
      </c>
      <c r="K2845" t="s">
        <v>658</v>
      </c>
      <c r="L2845" t="s">
        <v>649</v>
      </c>
      <c r="M2845" t="s">
        <v>659</v>
      </c>
    </row>
    <row r="2846" spans="1:13">
      <c r="A2846" t="s">
        <v>851</v>
      </c>
      <c r="B2846" t="s">
        <v>687</v>
      </c>
      <c r="C2846" t="s">
        <v>687</v>
      </c>
      <c r="D2846" t="s">
        <v>3185</v>
      </c>
      <c r="E2846" t="s">
        <v>646</v>
      </c>
      <c r="F2846" t="s">
        <v>40</v>
      </c>
      <c r="G2846">
        <v>2030</v>
      </c>
      <c r="H2846" s="12">
        <v>5414</v>
      </c>
      <c r="I2846" t="s">
        <v>3183</v>
      </c>
      <c r="J2846" t="s">
        <v>6</v>
      </c>
      <c r="K2846" t="s">
        <v>658</v>
      </c>
      <c r="L2846" t="s">
        <v>649</v>
      </c>
      <c r="M2846" t="s">
        <v>659</v>
      </c>
    </row>
    <row r="2847" spans="1:13">
      <c r="A2847" t="s">
        <v>851</v>
      </c>
      <c r="B2847" t="s">
        <v>687</v>
      </c>
      <c r="C2847" t="s">
        <v>687</v>
      </c>
      <c r="D2847" t="s">
        <v>3185</v>
      </c>
      <c r="E2847" t="s">
        <v>646</v>
      </c>
      <c r="F2847" t="s">
        <v>40</v>
      </c>
      <c r="G2847">
        <v>2035</v>
      </c>
      <c r="H2847" s="12">
        <v>4713</v>
      </c>
      <c r="I2847" t="s">
        <v>3183</v>
      </c>
      <c r="J2847" t="s">
        <v>6</v>
      </c>
      <c r="K2847" t="s">
        <v>658</v>
      </c>
      <c r="L2847" t="s">
        <v>649</v>
      </c>
      <c r="M2847" t="s">
        <v>659</v>
      </c>
    </row>
    <row r="2848" spans="1:13">
      <c r="A2848" t="s">
        <v>851</v>
      </c>
      <c r="B2848" t="s">
        <v>687</v>
      </c>
      <c r="C2848" t="s">
        <v>687</v>
      </c>
      <c r="D2848" t="s">
        <v>3185</v>
      </c>
      <c r="E2848" t="s">
        <v>646</v>
      </c>
      <c r="F2848" t="s">
        <v>40</v>
      </c>
      <c r="G2848">
        <v>2040</v>
      </c>
      <c r="H2848" s="12">
        <v>4039</v>
      </c>
      <c r="I2848" t="s">
        <v>3183</v>
      </c>
      <c r="J2848" t="s">
        <v>6</v>
      </c>
      <c r="K2848" t="s">
        <v>658</v>
      </c>
      <c r="L2848" t="s">
        <v>649</v>
      </c>
      <c r="M2848" t="s">
        <v>659</v>
      </c>
    </row>
    <row r="2849" spans="1:13">
      <c r="A2849" t="s">
        <v>851</v>
      </c>
      <c r="B2849" t="s">
        <v>687</v>
      </c>
      <c r="C2849" t="s">
        <v>687</v>
      </c>
      <c r="D2849" t="s">
        <v>3185</v>
      </c>
      <c r="E2849" t="s">
        <v>646</v>
      </c>
      <c r="F2849" t="s">
        <v>40</v>
      </c>
      <c r="G2849">
        <v>2045</v>
      </c>
      <c r="H2849" s="12">
        <v>3299</v>
      </c>
      <c r="I2849" t="s">
        <v>3183</v>
      </c>
      <c r="J2849" t="s">
        <v>6</v>
      </c>
      <c r="K2849" t="s">
        <v>658</v>
      </c>
      <c r="L2849" t="s">
        <v>649</v>
      </c>
      <c r="M2849" t="s">
        <v>659</v>
      </c>
    </row>
    <row r="2850" spans="1:13">
      <c r="A2850" t="s">
        <v>851</v>
      </c>
      <c r="B2850" t="s">
        <v>687</v>
      </c>
      <c r="C2850" t="s">
        <v>687</v>
      </c>
      <c r="D2850" t="s">
        <v>3185</v>
      </c>
      <c r="E2850" t="s">
        <v>646</v>
      </c>
      <c r="F2850" t="s">
        <v>40</v>
      </c>
      <c r="G2850">
        <v>2050</v>
      </c>
      <c r="H2850" s="12">
        <v>2349</v>
      </c>
      <c r="I2850" t="s">
        <v>3183</v>
      </c>
      <c r="J2850" t="s">
        <v>6</v>
      </c>
      <c r="K2850" t="s">
        <v>658</v>
      </c>
      <c r="L2850" t="s">
        <v>649</v>
      </c>
      <c r="M2850" t="s">
        <v>659</v>
      </c>
    </row>
    <row r="2851" spans="1:13">
      <c r="A2851" t="s">
        <v>851</v>
      </c>
      <c r="B2851" t="s">
        <v>686</v>
      </c>
      <c r="C2851" t="s">
        <v>686</v>
      </c>
      <c r="D2851" t="s">
        <v>3185</v>
      </c>
      <c r="E2851" t="s">
        <v>646</v>
      </c>
      <c r="F2851" t="s">
        <v>40</v>
      </c>
      <c r="G2851">
        <v>2010</v>
      </c>
      <c r="H2851" s="12">
        <v>4198</v>
      </c>
      <c r="I2851" t="s">
        <v>3183</v>
      </c>
      <c r="J2851" t="s">
        <v>5</v>
      </c>
      <c r="K2851" t="s">
        <v>658</v>
      </c>
      <c r="L2851" t="s">
        <v>649</v>
      </c>
      <c r="M2851" t="s">
        <v>5</v>
      </c>
    </row>
    <row r="2852" spans="1:13">
      <c r="A2852" t="s">
        <v>851</v>
      </c>
      <c r="B2852" t="s">
        <v>686</v>
      </c>
      <c r="C2852" t="s">
        <v>686</v>
      </c>
      <c r="D2852" t="s">
        <v>3185</v>
      </c>
      <c r="E2852" t="s">
        <v>646</v>
      </c>
      <c r="F2852" t="s">
        <v>40</v>
      </c>
      <c r="G2852">
        <v>2015</v>
      </c>
      <c r="H2852" s="12">
        <v>4317</v>
      </c>
      <c r="I2852" t="s">
        <v>3183</v>
      </c>
      <c r="J2852" t="s">
        <v>5</v>
      </c>
      <c r="K2852" t="s">
        <v>658</v>
      </c>
      <c r="L2852" t="s">
        <v>649</v>
      </c>
      <c r="M2852" t="s">
        <v>5</v>
      </c>
    </row>
    <row r="2853" spans="1:13">
      <c r="A2853" t="s">
        <v>851</v>
      </c>
      <c r="B2853" t="s">
        <v>686</v>
      </c>
      <c r="C2853" t="s">
        <v>686</v>
      </c>
      <c r="D2853" t="s">
        <v>3185</v>
      </c>
      <c r="E2853" t="s">
        <v>646</v>
      </c>
      <c r="F2853" t="s">
        <v>40</v>
      </c>
      <c r="G2853">
        <v>2020</v>
      </c>
      <c r="H2853" s="12">
        <v>2940</v>
      </c>
      <c r="I2853" t="s">
        <v>3183</v>
      </c>
      <c r="J2853" t="s">
        <v>5</v>
      </c>
      <c r="K2853" t="s">
        <v>658</v>
      </c>
      <c r="L2853" t="s">
        <v>649</v>
      </c>
      <c r="M2853" t="s">
        <v>5</v>
      </c>
    </row>
    <row r="2854" spans="1:13">
      <c r="A2854" t="s">
        <v>851</v>
      </c>
      <c r="B2854" t="s">
        <v>686</v>
      </c>
      <c r="C2854" t="s">
        <v>686</v>
      </c>
      <c r="D2854" t="s">
        <v>3185</v>
      </c>
      <c r="E2854" t="s">
        <v>646</v>
      </c>
      <c r="F2854" t="s">
        <v>40</v>
      </c>
      <c r="G2854">
        <v>2030</v>
      </c>
      <c r="H2854" s="12">
        <v>957</v>
      </c>
      <c r="I2854" t="s">
        <v>3183</v>
      </c>
      <c r="J2854" t="s">
        <v>5</v>
      </c>
      <c r="K2854" t="s">
        <v>658</v>
      </c>
      <c r="L2854" t="s">
        <v>649</v>
      </c>
      <c r="M2854" t="s">
        <v>5</v>
      </c>
    </row>
    <row r="2855" spans="1:13">
      <c r="A2855" t="s">
        <v>851</v>
      </c>
      <c r="B2855" t="s">
        <v>686</v>
      </c>
      <c r="C2855" t="s">
        <v>686</v>
      </c>
      <c r="D2855" t="s">
        <v>3185</v>
      </c>
      <c r="E2855" t="s">
        <v>646</v>
      </c>
      <c r="F2855" t="s">
        <v>40</v>
      </c>
      <c r="G2855">
        <v>2035</v>
      </c>
      <c r="H2855" s="12">
        <v>627</v>
      </c>
      <c r="I2855" t="s">
        <v>3183</v>
      </c>
      <c r="J2855" t="s">
        <v>5</v>
      </c>
      <c r="K2855" t="s">
        <v>658</v>
      </c>
      <c r="L2855" t="s">
        <v>649</v>
      </c>
      <c r="M2855" t="s">
        <v>5</v>
      </c>
    </row>
    <row r="2856" spans="1:13">
      <c r="A2856" t="s">
        <v>851</v>
      </c>
      <c r="B2856" t="s">
        <v>686</v>
      </c>
      <c r="C2856" t="s">
        <v>686</v>
      </c>
      <c r="D2856" t="s">
        <v>3185</v>
      </c>
      <c r="E2856" t="s">
        <v>646</v>
      </c>
      <c r="F2856" t="s">
        <v>40</v>
      </c>
      <c r="G2856">
        <v>2040</v>
      </c>
      <c r="H2856" s="12">
        <v>419</v>
      </c>
      <c r="I2856" t="s">
        <v>3183</v>
      </c>
      <c r="J2856" t="s">
        <v>5</v>
      </c>
      <c r="K2856" t="s">
        <v>658</v>
      </c>
      <c r="L2856" t="s">
        <v>649</v>
      </c>
      <c r="M2856" t="s">
        <v>5</v>
      </c>
    </row>
    <row r="2857" spans="1:13">
      <c r="A2857" t="s">
        <v>851</v>
      </c>
      <c r="B2857" t="s">
        <v>686</v>
      </c>
      <c r="C2857" t="s">
        <v>686</v>
      </c>
      <c r="D2857" t="s">
        <v>3185</v>
      </c>
      <c r="E2857" t="s">
        <v>646</v>
      </c>
      <c r="F2857" t="s">
        <v>40</v>
      </c>
      <c r="G2857">
        <v>2045</v>
      </c>
      <c r="H2857" s="12">
        <v>263</v>
      </c>
      <c r="I2857" t="s">
        <v>3183</v>
      </c>
      <c r="J2857" t="s">
        <v>5</v>
      </c>
      <c r="K2857" t="s">
        <v>658</v>
      </c>
      <c r="L2857" t="s">
        <v>649</v>
      </c>
      <c r="M2857" t="s">
        <v>5</v>
      </c>
    </row>
    <row r="2858" spans="1:13">
      <c r="A2858" t="s">
        <v>851</v>
      </c>
      <c r="B2858" t="s">
        <v>686</v>
      </c>
      <c r="C2858" t="s">
        <v>686</v>
      </c>
      <c r="D2858" t="s">
        <v>3185</v>
      </c>
      <c r="E2858" t="s">
        <v>646</v>
      </c>
      <c r="F2858" t="s">
        <v>40</v>
      </c>
      <c r="G2858">
        <v>2050</v>
      </c>
      <c r="H2858" s="12">
        <v>139</v>
      </c>
      <c r="I2858" t="s">
        <v>3183</v>
      </c>
      <c r="J2858" t="s">
        <v>5</v>
      </c>
      <c r="K2858" t="s">
        <v>658</v>
      </c>
      <c r="L2858" t="s">
        <v>649</v>
      </c>
      <c r="M2858" t="s">
        <v>5</v>
      </c>
    </row>
    <row r="2859" spans="1:13">
      <c r="A2859" t="s">
        <v>851</v>
      </c>
      <c r="B2859" t="s">
        <v>687</v>
      </c>
      <c r="C2859" t="s">
        <v>687</v>
      </c>
      <c r="D2859" t="s">
        <v>3185</v>
      </c>
      <c r="E2859" t="s">
        <v>646</v>
      </c>
      <c r="F2859" t="s">
        <v>40</v>
      </c>
      <c r="G2859">
        <v>2030</v>
      </c>
      <c r="H2859" s="12">
        <v>693</v>
      </c>
      <c r="I2859" t="s">
        <v>3183</v>
      </c>
      <c r="J2859" t="s">
        <v>5</v>
      </c>
      <c r="K2859" t="s">
        <v>658</v>
      </c>
      <c r="L2859" t="s">
        <v>649</v>
      </c>
      <c r="M2859" t="s">
        <v>5</v>
      </c>
    </row>
    <row r="2860" spans="1:13">
      <c r="A2860" t="s">
        <v>851</v>
      </c>
      <c r="B2860" t="s">
        <v>687</v>
      </c>
      <c r="C2860" t="s">
        <v>687</v>
      </c>
      <c r="D2860" t="s">
        <v>3185</v>
      </c>
      <c r="E2860" t="s">
        <v>646</v>
      </c>
      <c r="F2860" t="s">
        <v>40</v>
      </c>
      <c r="G2860">
        <v>2035</v>
      </c>
      <c r="H2860" s="12">
        <v>336</v>
      </c>
      <c r="I2860" t="s">
        <v>3183</v>
      </c>
      <c r="J2860" t="s">
        <v>5</v>
      </c>
      <c r="K2860" t="s">
        <v>658</v>
      </c>
      <c r="L2860" t="s">
        <v>649</v>
      </c>
      <c r="M2860" t="s">
        <v>5</v>
      </c>
    </row>
    <row r="2861" spans="1:13">
      <c r="A2861" t="s">
        <v>851</v>
      </c>
      <c r="B2861" t="s">
        <v>687</v>
      </c>
      <c r="C2861" t="s">
        <v>687</v>
      </c>
      <c r="D2861" t="s">
        <v>3185</v>
      </c>
      <c r="E2861" t="s">
        <v>646</v>
      </c>
      <c r="F2861" t="s">
        <v>40</v>
      </c>
      <c r="G2861">
        <v>2040</v>
      </c>
      <c r="H2861" s="12">
        <v>105</v>
      </c>
      <c r="I2861" t="s">
        <v>3183</v>
      </c>
      <c r="J2861" t="s">
        <v>5</v>
      </c>
      <c r="K2861" t="s">
        <v>658</v>
      </c>
      <c r="L2861" t="s">
        <v>649</v>
      </c>
      <c r="M2861" t="s">
        <v>5</v>
      </c>
    </row>
    <row r="2862" spans="1:13">
      <c r="A2862" t="s">
        <v>851</v>
      </c>
      <c r="B2862" t="s">
        <v>686</v>
      </c>
      <c r="C2862" t="s">
        <v>686</v>
      </c>
      <c r="D2862" t="s">
        <v>3185</v>
      </c>
      <c r="E2862" t="s">
        <v>461</v>
      </c>
      <c r="F2862" t="s">
        <v>668</v>
      </c>
      <c r="G2862">
        <v>2010</v>
      </c>
      <c r="H2862" s="12">
        <v>5.62</v>
      </c>
      <c r="I2862" t="s">
        <v>3183</v>
      </c>
      <c r="J2862" t="s">
        <v>17</v>
      </c>
      <c r="K2862" t="s">
        <v>147</v>
      </c>
      <c r="L2862" t="s">
        <v>649</v>
      </c>
      <c r="M2862" t="s">
        <v>671</v>
      </c>
    </row>
    <row r="2863" spans="1:13">
      <c r="A2863" t="s">
        <v>851</v>
      </c>
      <c r="B2863" t="s">
        <v>686</v>
      </c>
      <c r="C2863" t="s">
        <v>686</v>
      </c>
      <c r="D2863" t="s">
        <v>3185</v>
      </c>
      <c r="E2863" t="s">
        <v>461</v>
      </c>
      <c r="F2863" t="s">
        <v>668</v>
      </c>
      <c r="G2863">
        <v>2015</v>
      </c>
      <c r="H2863" s="12">
        <v>98.04</v>
      </c>
      <c r="I2863" t="s">
        <v>3183</v>
      </c>
      <c r="J2863" t="s">
        <v>17</v>
      </c>
      <c r="K2863" t="s">
        <v>147</v>
      </c>
      <c r="L2863" t="s">
        <v>649</v>
      </c>
      <c r="M2863" t="s">
        <v>671</v>
      </c>
    </row>
    <row r="2864" spans="1:13">
      <c r="A2864" t="s">
        <v>851</v>
      </c>
      <c r="B2864" t="s">
        <v>686</v>
      </c>
      <c r="C2864" t="s">
        <v>686</v>
      </c>
      <c r="D2864" t="s">
        <v>3185</v>
      </c>
      <c r="E2864" t="s">
        <v>461</v>
      </c>
      <c r="F2864" t="s">
        <v>668</v>
      </c>
      <c r="G2864">
        <v>2020</v>
      </c>
      <c r="H2864" s="12">
        <v>467.23</v>
      </c>
      <c r="I2864" t="s">
        <v>3183</v>
      </c>
      <c r="J2864" t="s">
        <v>17</v>
      </c>
      <c r="K2864" t="s">
        <v>147</v>
      </c>
      <c r="L2864" t="s">
        <v>649</v>
      </c>
      <c r="M2864" t="s">
        <v>671</v>
      </c>
    </row>
    <row r="2865" spans="1:13">
      <c r="A2865" t="s">
        <v>851</v>
      </c>
      <c r="B2865" t="s">
        <v>686</v>
      </c>
      <c r="C2865" t="s">
        <v>686</v>
      </c>
      <c r="D2865" t="s">
        <v>3185</v>
      </c>
      <c r="E2865" t="s">
        <v>461</v>
      </c>
      <c r="F2865" t="s">
        <v>668</v>
      </c>
      <c r="G2865">
        <v>2030</v>
      </c>
      <c r="H2865" s="12">
        <v>2371.0300000000002</v>
      </c>
      <c r="I2865" t="s">
        <v>3183</v>
      </c>
      <c r="J2865" t="s">
        <v>17</v>
      </c>
      <c r="K2865" t="s">
        <v>147</v>
      </c>
      <c r="L2865" t="s">
        <v>649</v>
      </c>
      <c r="M2865" t="s">
        <v>671</v>
      </c>
    </row>
    <row r="2866" spans="1:13">
      <c r="A2866" t="s">
        <v>851</v>
      </c>
      <c r="B2866" t="s">
        <v>686</v>
      </c>
      <c r="C2866" t="s">
        <v>686</v>
      </c>
      <c r="D2866" t="s">
        <v>3185</v>
      </c>
      <c r="E2866" t="s">
        <v>461</v>
      </c>
      <c r="F2866" t="s">
        <v>668</v>
      </c>
      <c r="G2866">
        <v>2035</v>
      </c>
      <c r="H2866" s="12">
        <v>3682</v>
      </c>
      <c r="I2866" t="s">
        <v>3183</v>
      </c>
      <c r="J2866" t="s">
        <v>17</v>
      </c>
      <c r="K2866" t="s">
        <v>147</v>
      </c>
      <c r="L2866" t="s">
        <v>649</v>
      </c>
      <c r="M2866" t="s">
        <v>671</v>
      </c>
    </row>
    <row r="2867" spans="1:13">
      <c r="A2867" t="s">
        <v>851</v>
      </c>
      <c r="B2867" t="s">
        <v>686</v>
      </c>
      <c r="C2867" t="s">
        <v>686</v>
      </c>
      <c r="D2867" t="s">
        <v>3185</v>
      </c>
      <c r="E2867" t="s">
        <v>461</v>
      </c>
      <c r="F2867" t="s">
        <v>668</v>
      </c>
      <c r="G2867">
        <v>2040</v>
      </c>
      <c r="H2867" s="12">
        <v>5039.17</v>
      </c>
      <c r="I2867" t="s">
        <v>3183</v>
      </c>
      <c r="J2867" t="s">
        <v>17</v>
      </c>
      <c r="K2867" t="s">
        <v>147</v>
      </c>
      <c r="L2867" t="s">
        <v>649</v>
      </c>
      <c r="M2867" t="s">
        <v>671</v>
      </c>
    </row>
    <row r="2868" spans="1:13">
      <c r="A2868" t="s">
        <v>851</v>
      </c>
      <c r="B2868" t="s">
        <v>686</v>
      </c>
      <c r="C2868" t="s">
        <v>686</v>
      </c>
      <c r="D2868" t="s">
        <v>3185</v>
      </c>
      <c r="E2868" t="s">
        <v>461</v>
      </c>
      <c r="F2868" t="s">
        <v>668</v>
      </c>
      <c r="G2868">
        <v>2045</v>
      </c>
      <c r="H2868" s="12">
        <v>6297.26</v>
      </c>
      <c r="I2868" t="s">
        <v>3183</v>
      </c>
      <c r="J2868" t="s">
        <v>17</v>
      </c>
      <c r="K2868" t="s">
        <v>147</v>
      </c>
      <c r="L2868" t="s">
        <v>649</v>
      </c>
      <c r="M2868" t="s">
        <v>671</v>
      </c>
    </row>
    <row r="2869" spans="1:13">
      <c r="A2869" t="s">
        <v>851</v>
      </c>
      <c r="B2869" t="s">
        <v>686</v>
      </c>
      <c r="C2869" t="s">
        <v>686</v>
      </c>
      <c r="D2869" t="s">
        <v>3185</v>
      </c>
      <c r="E2869" t="s">
        <v>461</v>
      </c>
      <c r="F2869" t="s">
        <v>668</v>
      </c>
      <c r="G2869">
        <v>2050</v>
      </c>
      <c r="H2869" s="12">
        <v>7293.96</v>
      </c>
      <c r="I2869" t="s">
        <v>3183</v>
      </c>
      <c r="J2869" t="s">
        <v>17</v>
      </c>
      <c r="K2869" t="s">
        <v>147</v>
      </c>
      <c r="L2869" t="s">
        <v>649</v>
      </c>
      <c r="M2869" t="s">
        <v>671</v>
      </c>
    </row>
    <row r="2870" spans="1:13">
      <c r="A2870" t="s">
        <v>851</v>
      </c>
      <c r="B2870" t="s">
        <v>687</v>
      </c>
      <c r="C2870" t="s">
        <v>687</v>
      </c>
      <c r="D2870" t="s">
        <v>3185</v>
      </c>
      <c r="E2870" t="s">
        <v>461</v>
      </c>
      <c r="F2870" t="s">
        <v>668</v>
      </c>
      <c r="G2870">
        <v>2030</v>
      </c>
      <c r="H2870" s="12">
        <v>2606.35</v>
      </c>
      <c r="I2870" t="s">
        <v>3183</v>
      </c>
      <c r="J2870" t="s">
        <v>17</v>
      </c>
      <c r="K2870" t="s">
        <v>147</v>
      </c>
      <c r="L2870" t="s">
        <v>649</v>
      </c>
      <c r="M2870" t="s">
        <v>671</v>
      </c>
    </row>
    <row r="2871" spans="1:13">
      <c r="A2871" t="s">
        <v>851</v>
      </c>
      <c r="B2871" t="s">
        <v>687</v>
      </c>
      <c r="C2871" t="s">
        <v>687</v>
      </c>
      <c r="D2871" t="s">
        <v>3185</v>
      </c>
      <c r="E2871" t="s">
        <v>461</v>
      </c>
      <c r="F2871" t="s">
        <v>668</v>
      </c>
      <c r="G2871">
        <v>2035</v>
      </c>
      <c r="H2871" s="12">
        <v>4402.7299999999996</v>
      </c>
      <c r="I2871" t="s">
        <v>3183</v>
      </c>
      <c r="J2871" t="s">
        <v>17</v>
      </c>
      <c r="K2871" t="s">
        <v>147</v>
      </c>
      <c r="L2871" t="s">
        <v>649</v>
      </c>
      <c r="M2871" t="s">
        <v>671</v>
      </c>
    </row>
    <row r="2872" spans="1:13">
      <c r="A2872" t="s">
        <v>851</v>
      </c>
      <c r="B2872" t="s">
        <v>687</v>
      </c>
      <c r="C2872" t="s">
        <v>687</v>
      </c>
      <c r="D2872" t="s">
        <v>3185</v>
      </c>
      <c r="E2872" t="s">
        <v>461</v>
      </c>
      <c r="F2872" t="s">
        <v>668</v>
      </c>
      <c r="G2872">
        <v>2040</v>
      </c>
      <c r="H2872" s="12">
        <v>6663.74</v>
      </c>
      <c r="I2872" t="s">
        <v>3183</v>
      </c>
      <c r="J2872" t="s">
        <v>17</v>
      </c>
      <c r="K2872" t="s">
        <v>147</v>
      </c>
      <c r="L2872" t="s">
        <v>649</v>
      </c>
      <c r="M2872" t="s">
        <v>671</v>
      </c>
    </row>
    <row r="2873" spans="1:13">
      <c r="A2873" t="s">
        <v>851</v>
      </c>
      <c r="B2873" t="s">
        <v>687</v>
      </c>
      <c r="C2873" t="s">
        <v>687</v>
      </c>
      <c r="D2873" t="s">
        <v>3185</v>
      </c>
      <c r="E2873" t="s">
        <v>461</v>
      </c>
      <c r="F2873" t="s">
        <v>668</v>
      </c>
      <c r="G2873">
        <v>2045</v>
      </c>
      <c r="H2873" s="12">
        <v>8685.85</v>
      </c>
      <c r="I2873" t="s">
        <v>3183</v>
      </c>
      <c r="J2873" t="s">
        <v>17</v>
      </c>
      <c r="K2873" t="s">
        <v>147</v>
      </c>
      <c r="L2873" t="s">
        <v>649</v>
      </c>
      <c r="M2873" t="s">
        <v>671</v>
      </c>
    </row>
    <row r="2874" spans="1:13">
      <c r="A2874" t="s">
        <v>851</v>
      </c>
      <c r="B2874" t="s">
        <v>687</v>
      </c>
      <c r="C2874" t="s">
        <v>687</v>
      </c>
      <c r="D2874" t="s">
        <v>3185</v>
      </c>
      <c r="E2874" t="s">
        <v>461</v>
      </c>
      <c r="F2874" t="s">
        <v>668</v>
      </c>
      <c r="G2874">
        <v>2050</v>
      </c>
      <c r="H2874" s="12">
        <v>10609.3</v>
      </c>
      <c r="I2874" t="s">
        <v>3183</v>
      </c>
      <c r="J2874" t="s">
        <v>17</v>
      </c>
      <c r="K2874" t="s">
        <v>147</v>
      </c>
      <c r="L2874" t="s">
        <v>649</v>
      </c>
      <c r="M2874" t="s">
        <v>671</v>
      </c>
    </row>
    <row r="2875" spans="1:13">
      <c r="A2875" t="s">
        <v>851</v>
      </c>
      <c r="B2875" t="s">
        <v>686</v>
      </c>
      <c r="C2875" t="s">
        <v>686</v>
      </c>
      <c r="D2875" t="s">
        <v>3185</v>
      </c>
      <c r="E2875" t="s">
        <v>461</v>
      </c>
      <c r="F2875" t="s">
        <v>668</v>
      </c>
      <c r="G2875">
        <v>2010</v>
      </c>
      <c r="H2875" s="12">
        <v>77.06</v>
      </c>
      <c r="I2875" t="s">
        <v>3183</v>
      </c>
      <c r="J2875" t="s">
        <v>18</v>
      </c>
      <c r="K2875" t="s">
        <v>147</v>
      </c>
      <c r="L2875" t="s">
        <v>649</v>
      </c>
      <c r="M2875" t="s">
        <v>18</v>
      </c>
    </row>
    <row r="2876" spans="1:13">
      <c r="A2876" t="s">
        <v>851</v>
      </c>
      <c r="B2876" t="s">
        <v>686</v>
      </c>
      <c r="C2876" t="s">
        <v>686</v>
      </c>
      <c r="D2876" t="s">
        <v>3185</v>
      </c>
      <c r="E2876" t="s">
        <v>461</v>
      </c>
      <c r="F2876" t="s">
        <v>668</v>
      </c>
      <c r="G2876">
        <v>2015</v>
      </c>
      <c r="H2876" s="12">
        <v>245.7</v>
      </c>
      <c r="I2876" t="s">
        <v>3183</v>
      </c>
      <c r="J2876" t="s">
        <v>18</v>
      </c>
      <c r="K2876" t="s">
        <v>147</v>
      </c>
      <c r="L2876" t="s">
        <v>649</v>
      </c>
      <c r="M2876" t="s">
        <v>18</v>
      </c>
    </row>
    <row r="2877" spans="1:13">
      <c r="A2877" t="s">
        <v>851</v>
      </c>
      <c r="B2877" t="s">
        <v>686</v>
      </c>
      <c r="C2877" t="s">
        <v>686</v>
      </c>
      <c r="D2877" t="s">
        <v>3185</v>
      </c>
      <c r="E2877" t="s">
        <v>646</v>
      </c>
      <c r="F2877" t="s">
        <v>40</v>
      </c>
      <c r="G2877">
        <v>2040</v>
      </c>
      <c r="H2877" s="12">
        <v>39380</v>
      </c>
      <c r="I2877" t="s">
        <v>3183</v>
      </c>
      <c r="J2877" t="s">
        <v>5</v>
      </c>
      <c r="K2877" t="s">
        <v>9</v>
      </c>
      <c r="L2877" t="s">
        <v>649</v>
      </c>
      <c r="M2877" t="s">
        <v>665</v>
      </c>
    </row>
    <row r="2878" spans="1:13">
      <c r="A2878" t="s">
        <v>851</v>
      </c>
      <c r="B2878" t="s">
        <v>686</v>
      </c>
      <c r="C2878" t="s">
        <v>686</v>
      </c>
      <c r="D2878" t="s">
        <v>3185</v>
      </c>
      <c r="E2878" t="s">
        <v>646</v>
      </c>
      <c r="F2878" t="s">
        <v>40</v>
      </c>
      <c r="G2878">
        <v>2045</v>
      </c>
      <c r="H2878" s="12">
        <v>38055</v>
      </c>
      <c r="I2878" t="s">
        <v>3183</v>
      </c>
      <c r="J2878" t="s">
        <v>5</v>
      </c>
      <c r="K2878" t="s">
        <v>9</v>
      </c>
      <c r="L2878" t="s">
        <v>649</v>
      </c>
      <c r="M2878" t="s">
        <v>665</v>
      </c>
    </row>
    <row r="2879" spans="1:13">
      <c r="A2879" t="s">
        <v>851</v>
      </c>
      <c r="B2879" t="s">
        <v>686</v>
      </c>
      <c r="C2879" t="s">
        <v>686</v>
      </c>
      <c r="D2879" t="s">
        <v>3185</v>
      </c>
      <c r="E2879" t="s">
        <v>646</v>
      </c>
      <c r="F2879" t="s">
        <v>40</v>
      </c>
      <c r="G2879">
        <v>2050</v>
      </c>
      <c r="H2879" s="12">
        <v>36494</v>
      </c>
      <c r="I2879" t="s">
        <v>3183</v>
      </c>
      <c r="J2879" t="s">
        <v>5</v>
      </c>
      <c r="K2879" t="s">
        <v>9</v>
      </c>
      <c r="L2879" t="s">
        <v>649</v>
      </c>
      <c r="M2879" t="s">
        <v>665</v>
      </c>
    </row>
    <row r="2880" spans="1:13">
      <c r="A2880" t="s">
        <v>851</v>
      </c>
      <c r="B2880" t="s">
        <v>687</v>
      </c>
      <c r="C2880" t="s">
        <v>687</v>
      </c>
      <c r="D2880" t="s">
        <v>3185</v>
      </c>
      <c r="E2880" t="s">
        <v>646</v>
      </c>
      <c r="F2880" t="s">
        <v>40</v>
      </c>
      <c r="G2880">
        <v>2030</v>
      </c>
      <c r="H2880" s="12">
        <v>35274</v>
      </c>
      <c r="I2880" t="s">
        <v>3183</v>
      </c>
      <c r="J2880" t="s">
        <v>5</v>
      </c>
      <c r="K2880" t="s">
        <v>9</v>
      </c>
      <c r="L2880" t="s">
        <v>649</v>
      </c>
      <c r="M2880" t="s">
        <v>665</v>
      </c>
    </row>
    <row r="2881" spans="1:13">
      <c r="A2881" t="s">
        <v>851</v>
      </c>
      <c r="B2881" t="s">
        <v>687</v>
      </c>
      <c r="C2881" t="s">
        <v>687</v>
      </c>
      <c r="D2881" t="s">
        <v>3185</v>
      </c>
      <c r="E2881" t="s">
        <v>646</v>
      </c>
      <c r="F2881" t="s">
        <v>40</v>
      </c>
      <c r="G2881">
        <v>2035</v>
      </c>
      <c r="H2881" s="12">
        <v>28581</v>
      </c>
      <c r="I2881" t="s">
        <v>3183</v>
      </c>
      <c r="J2881" t="s">
        <v>5</v>
      </c>
      <c r="K2881" t="s">
        <v>9</v>
      </c>
      <c r="L2881" t="s">
        <v>649</v>
      </c>
      <c r="M2881" t="s">
        <v>665</v>
      </c>
    </row>
    <row r="2882" spans="1:13">
      <c r="A2882" t="s">
        <v>851</v>
      </c>
      <c r="B2882" t="s">
        <v>687</v>
      </c>
      <c r="C2882" t="s">
        <v>687</v>
      </c>
      <c r="D2882" t="s">
        <v>3185</v>
      </c>
      <c r="E2882" t="s">
        <v>646</v>
      </c>
      <c r="F2882" t="s">
        <v>40</v>
      </c>
      <c r="G2882">
        <v>2040</v>
      </c>
      <c r="H2882" s="12">
        <v>22141</v>
      </c>
      <c r="I2882" t="s">
        <v>3183</v>
      </c>
      <c r="J2882" t="s">
        <v>5</v>
      </c>
      <c r="K2882" t="s">
        <v>9</v>
      </c>
      <c r="L2882" t="s">
        <v>649</v>
      </c>
      <c r="M2882" t="s">
        <v>665</v>
      </c>
    </row>
    <row r="2883" spans="1:13">
      <c r="A2883" t="s">
        <v>851</v>
      </c>
      <c r="B2883" t="s">
        <v>687</v>
      </c>
      <c r="C2883" t="s">
        <v>687</v>
      </c>
      <c r="D2883" t="s">
        <v>3185</v>
      </c>
      <c r="E2883" t="s">
        <v>646</v>
      </c>
      <c r="F2883" t="s">
        <v>40</v>
      </c>
      <c r="G2883">
        <v>2045</v>
      </c>
      <c r="H2883" s="12">
        <v>16302</v>
      </c>
      <c r="I2883" t="s">
        <v>3183</v>
      </c>
      <c r="J2883" t="s">
        <v>5</v>
      </c>
      <c r="K2883" t="s">
        <v>9</v>
      </c>
      <c r="L2883" t="s">
        <v>649</v>
      </c>
      <c r="M2883" t="s">
        <v>665</v>
      </c>
    </row>
    <row r="2884" spans="1:13">
      <c r="A2884" t="s">
        <v>851</v>
      </c>
      <c r="B2884" t="s">
        <v>687</v>
      </c>
      <c r="C2884" t="s">
        <v>687</v>
      </c>
      <c r="D2884" t="s">
        <v>3185</v>
      </c>
      <c r="E2884" t="s">
        <v>646</v>
      </c>
      <c r="F2884" t="s">
        <v>40</v>
      </c>
      <c r="G2884">
        <v>2050</v>
      </c>
      <c r="H2884" s="12">
        <v>11324</v>
      </c>
      <c r="I2884" t="s">
        <v>3183</v>
      </c>
      <c r="J2884" t="s">
        <v>5</v>
      </c>
      <c r="K2884" t="s">
        <v>9</v>
      </c>
      <c r="L2884" t="s">
        <v>649</v>
      </c>
      <c r="M2884" t="s">
        <v>665</v>
      </c>
    </row>
    <row r="2885" spans="1:13">
      <c r="A2885" t="s">
        <v>851</v>
      </c>
      <c r="B2885" t="s">
        <v>686</v>
      </c>
      <c r="C2885" t="s">
        <v>686</v>
      </c>
      <c r="D2885" t="s">
        <v>3185</v>
      </c>
      <c r="E2885" t="s">
        <v>646</v>
      </c>
      <c r="F2885" t="s">
        <v>40</v>
      </c>
      <c r="G2885">
        <v>2010</v>
      </c>
      <c r="H2885" s="12">
        <v>381</v>
      </c>
      <c r="I2885" t="s">
        <v>3183</v>
      </c>
      <c r="J2885" t="s">
        <v>344</v>
      </c>
      <c r="K2885" t="s">
        <v>11</v>
      </c>
      <c r="L2885" t="s">
        <v>649</v>
      </c>
      <c r="M2885" t="s">
        <v>10</v>
      </c>
    </row>
    <row r="2886" spans="1:13">
      <c r="A2886" t="s">
        <v>851</v>
      </c>
      <c r="B2886" t="s">
        <v>686</v>
      </c>
      <c r="C2886" t="s">
        <v>686</v>
      </c>
      <c r="D2886" t="s">
        <v>3185</v>
      </c>
      <c r="E2886" t="s">
        <v>646</v>
      </c>
      <c r="F2886" t="s">
        <v>40</v>
      </c>
      <c r="G2886">
        <v>2015</v>
      </c>
      <c r="H2886" s="12">
        <v>527</v>
      </c>
      <c r="I2886" t="s">
        <v>3183</v>
      </c>
      <c r="J2886" t="s">
        <v>344</v>
      </c>
      <c r="K2886" t="s">
        <v>11</v>
      </c>
      <c r="L2886" t="s">
        <v>649</v>
      </c>
      <c r="M2886" t="s">
        <v>10</v>
      </c>
    </row>
    <row r="2887" spans="1:13">
      <c r="A2887" t="s">
        <v>851</v>
      </c>
      <c r="B2887" t="s">
        <v>686</v>
      </c>
      <c r="C2887" t="s">
        <v>686</v>
      </c>
      <c r="D2887" t="s">
        <v>3185</v>
      </c>
      <c r="E2887" t="s">
        <v>646</v>
      </c>
      <c r="F2887" t="s">
        <v>40</v>
      </c>
      <c r="G2887">
        <v>2020</v>
      </c>
      <c r="H2887" s="12">
        <v>811</v>
      </c>
      <c r="I2887" t="s">
        <v>3183</v>
      </c>
      <c r="J2887" t="s">
        <v>344</v>
      </c>
      <c r="K2887" t="s">
        <v>11</v>
      </c>
      <c r="L2887" t="s">
        <v>649</v>
      </c>
      <c r="M2887" t="s">
        <v>10</v>
      </c>
    </row>
    <row r="2888" spans="1:13">
      <c r="A2888" t="s">
        <v>851</v>
      </c>
      <c r="B2888" t="s">
        <v>686</v>
      </c>
      <c r="C2888" t="s">
        <v>686</v>
      </c>
      <c r="D2888" t="s">
        <v>3185</v>
      </c>
      <c r="E2888" t="s">
        <v>646</v>
      </c>
      <c r="F2888" t="s">
        <v>40</v>
      </c>
      <c r="G2888">
        <v>2030</v>
      </c>
      <c r="H2888" s="12">
        <v>2204</v>
      </c>
      <c r="I2888" t="s">
        <v>3183</v>
      </c>
      <c r="J2888" t="s">
        <v>344</v>
      </c>
      <c r="K2888" t="s">
        <v>11</v>
      </c>
      <c r="L2888" t="s">
        <v>649</v>
      </c>
      <c r="M2888" t="s">
        <v>10</v>
      </c>
    </row>
    <row r="2889" spans="1:13">
      <c r="A2889" t="s">
        <v>851</v>
      </c>
      <c r="B2889" t="s">
        <v>686</v>
      </c>
      <c r="C2889" t="s">
        <v>686</v>
      </c>
      <c r="D2889" t="s">
        <v>3185</v>
      </c>
      <c r="E2889" t="s">
        <v>646</v>
      </c>
      <c r="F2889" t="s">
        <v>40</v>
      </c>
      <c r="G2889">
        <v>2035</v>
      </c>
      <c r="H2889" s="12">
        <v>3234</v>
      </c>
      <c r="I2889" t="s">
        <v>3183</v>
      </c>
      <c r="J2889" t="s">
        <v>344</v>
      </c>
      <c r="K2889" t="s">
        <v>11</v>
      </c>
      <c r="L2889" t="s">
        <v>649</v>
      </c>
      <c r="M2889" t="s">
        <v>10</v>
      </c>
    </row>
    <row r="2890" spans="1:13">
      <c r="A2890" t="s">
        <v>851</v>
      </c>
      <c r="B2890" t="s">
        <v>686</v>
      </c>
      <c r="C2890" t="s">
        <v>686</v>
      </c>
      <c r="D2890" t="s">
        <v>3185</v>
      </c>
      <c r="E2890" t="s">
        <v>646</v>
      </c>
      <c r="F2890" t="s">
        <v>40</v>
      </c>
      <c r="G2890">
        <v>2040</v>
      </c>
      <c r="H2890" s="12">
        <v>4344</v>
      </c>
      <c r="I2890" t="s">
        <v>3183</v>
      </c>
      <c r="J2890" t="s">
        <v>344</v>
      </c>
      <c r="K2890" t="s">
        <v>11</v>
      </c>
      <c r="L2890" t="s">
        <v>649</v>
      </c>
      <c r="M2890" t="s">
        <v>10</v>
      </c>
    </row>
    <row r="2891" spans="1:13">
      <c r="A2891" t="s">
        <v>851</v>
      </c>
      <c r="B2891" t="s">
        <v>686</v>
      </c>
      <c r="C2891" t="s">
        <v>686</v>
      </c>
      <c r="D2891" t="s">
        <v>3185</v>
      </c>
      <c r="E2891" t="s">
        <v>646</v>
      </c>
      <c r="F2891" t="s">
        <v>40</v>
      </c>
      <c r="G2891">
        <v>2045</v>
      </c>
      <c r="H2891" s="12">
        <v>5356</v>
      </c>
      <c r="I2891" t="s">
        <v>3183</v>
      </c>
      <c r="J2891" t="s">
        <v>344</v>
      </c>
      <c r="K2891" t="s">
        <v>11</v>
      </c>
      <c r="L2891" t="s">
        <v>649</v>
      </c>
      <c r="M2891" t="s">
        <v>10</v>
      </c>
    </row>
    <row r="2892" spans="1:13">
      <c r="A2892" t="s">
        <v>851</v>
      </c>
      <c r="B2892" t="s">
        <v>686</v>
      </c>
      <c r="C2892" t="s">
        <v>686</v>
      </c>
      <c r="D2892" t="s">
        <v>3185</v>
      </c>
      <c r="E2892" t="s">
        <v>646</v>
      </c>
      <c r="F2892" t="s">
        <v>40</v>
      </c>
      <c r="G2892">
        <v>2050</v>
      </c>
      <c r="H2892" s="12">
        <v>6177</v>
      </c>
      <c r="I2892" t="s">
        <v>3183</v>
      </c>
      <c r="J2892" t="s">
        <v>344</v>
      </c>
      <c r="K2892" t="s">
        <v>11</v>
      </c>
      <c r="L2892" t="s">
        <v>649</v>
      </c>
      <c r="M2892" t="s">
        <v>10</v>
      </c>
    </row>
    <row r="2893" spans="1:13">
      <c r="A2893" t="s">
        <v>851</v>
      </c>
      <c r="B2893" t="s">
        <v>687</v>
      </c>
      <c r="C2893" t="s">
        <v>687</v>
      </c>
      <c r="D2893" t="s">
        <v>3185</v>
      </c>
      <c r="E2893" t="s">
        <v>646</v>
      </c>
      <c r="F2893" t="s">
        <v>40</v>
      </c>
      <c r="G2893">
        <v>2030</v>
      </c>
      <c r="H2893" s="12">
        <v>2755</v>
      </c>
      <c r="I2893" t="s">
        <v>3183</v>
      </c>
      <c r="J2893" t="s">
        <v>344</v>
      </c>
      <c r="K2893" t="s">
        <v>11</v>
      </c>
      <c r="L2893" t="s">
        <v>649</v>
      </c>
      <c r="M2893" t="s">
        <v>10</v>
      </c>
    </row>
    <row r="2894" spans="1:13">
      <c r="A2894" t="s">
        <v>851</v>
      </c>
      <c r="B2894" t="s">
        <v>687</v>
      </c>
      <c r="C2894" t="s">
        <v>687</v>
      </c>
      <c r="D2894" t="s">
        <v>3185</v>
      </c>
      <c r="E2894" t="s">
        <v>646</v>
      </c>
      <c r="F2894" t="s">
        <v>40</v>
      </c>
      <c r="G2894">
        <v>2035</v>
      </c>
      <c r="H2894" s="12">
        <v>4855</v>
      </c>
      <c r="I2894" t="s">
        <v>3183</v>
      </c>
      <c r="J2894" t="s">
        <v>344</v>
      </c>
      <c r="K2894" t="s">
        <v>11</v>
      </c>
      <c r="L2894" t="s">
        <v>649</v>
      </c>
      <c r="M2894" t="s">
        <v>10</v>
      </c>
    </row>
    <row r="2895" spans="1:13">
      <c r="A2895" t="s">
        <v>851</v>
      </c>
      <c r="B2895" t="s">
        <v>687</v>
      </c>
      <c r="C2895" t="s">
        <v>687</v>
      </c>
      <c r="D2895" t="s">
        <v>3185</v>
      </c>
      <c r="E2895" t="s">
        <v>646</v>
      </c>
      <c r="F2895" t="s">
        <v>40</v>
      </c>
      <c r="G2895">
        <v>2040</v>
      </c>
      <c r="H2895" s="12">
        <v>7406</v>
      </c>
      <c r="I2895" t="s">
        <v>3183</v>
      </c>
      <c r="J2895" t="s">
        <v>344</v>
      </c>
      <c r="K2895" t="s">
        <v>11</v>
      </c>
      <c r="L2895" t="s">
        <v>649</v>
      </c>
      <c r="M2895" t="s">
        <v>10</v>
      </c>
    </row>
    <row r="2896" spans="1:13">
      <c r="A2896" t="s">
        <v>851</v>
      </c>
      <c r="B2896" t="s">
        <v>687</v>
      </c>
      <c r="C2896" t="s">
        <v>687</v>
      </c>
      <c r="D2896" t="s">
        <v>3185</v>
      </c>
      <c r="E2896" t="s">
        <v>646</v>
      </c>
      <c r="F2896" t="s">
        <v>40</v>
      </c>
      <c r="G2896">
        <v>2045</v>
      </c>
      <c r="H2896" s="12">
        <v>9863</v>
      </c>
      <c r="I2896" t="s">
        <v>3183</v>
      </c>
      <c r="J2896" t="s">
        <v>344</v>
      </c>
      <c r="K2896" t="s">
        <v>11</v>
      </c>
      <c r="L2896" t="s">
        <v>649</v>
      </c>
      <c r="M2896" t="s">
        <v>10</v>
      </c>
    </row>
    <row r="2897" spans="1:13">
      <c r="A2897" t="s">
        <v>851</v>
      </c>
      <c r="B2897" t="s">
        <v>686</v>
      </c>
      <c r="C2897" t="s">
        <v>686</v>
      </c>
      <c r="D2897" t="s">
        <v>3185</v>
      </c>
      <c r="E2897" t="s">
        <v>646</v>
      </c>
      <c r="F2897" t="s">
        <v>40</v>
      </c>
      <c r="G2897">
        <v>2010</v>
      </c>
      <c r="H2897" s="12">
        <v>629</v>
      </c>
      <c r="I2897" t="s">
        <v>3183</v>
      </c>
      <c r="J2897" t="s">
        <v>6</v>
      </c>
      <c r="K2897" t="s">
        <v>11</v>
      </c>
      <c r="L2897" t="s">
        <v>649</v>
      </c>
      <c r="M2897" t="s">
        <v>659</v>
      </c>
    </row>
    <row r="2898" spans="1:13">
      <c r="A2898" t="s">
        <v>851</v>
      </c>
      <c r="B2898" t="s">
        <v>686</v>
      </c>
      <c r="C2898" t="s">
        <v>686</v>
      </c>
      <c r="D2898" t="s">
        <v>3185</v>
      </c>
      <c r="E2898" t="s">
        <v>646</v>
      </c>
      <c r="F2898" t="s">
        <v>40</v>
      </c>
      <c r="G2898">
        <v>2015</v>
      </c>
      <c r="H2898" s="12">
        <v>1107</v>
      </c>
      <c r="I2898" t="s">
        <v>3183</v>
      </c>
      <c r="J2898" t="s">
        <v>6</v>
      </c>
      <c r="K2898" t="s">
        <v>11</v>
      </c>
      <c r="L2898" t="s">
        <v>649</v>
      </c>
      <c r="M2898" t="s">
        <v>659</v>
      </c>
    </row>
    <row r="2899" spans="1:13">
      <c r="A2899" t="s">
        <v>851</v>
      </c>
      <c r="B2899" t="s">
        <v>686</v>
      </c>
      <c r="C2899" t="s">
        <v>686</v>
      </c>
      <c r="D2899" t="s">
        <v>3185</v>
      </c>
      <c r="E2899" t="s">
        <v>646</v>
      </c>
      <c r="F2899" t="s">
        <v>40</v>
      </c>
      <c r="G2899">
        <v>2020</v>
      </c>
      <c r="H2899" s="12">
        <v>1421</v>
      </c>
      <c r="I2899" t="s">
        <v>3183</v>
      </c>
      <c r="J2899" t="s">
        <v>6</v>
      </c>
      <c r="K2899" t="s">
        <v>11</v>
      </c>
      <c r="L2899" t="s">
        <v>649</v>
      </c>
      <c r="M2899" t="s">
        <v>659</v>
      </c>
    </row>
    <row r="2900" spans="1:13">
      <c r="A2900" t="s">
        <v>851</v>
      </c>
      <c r="B2900" t="s">
        <v>686</v>
      </c>
      <c r="C2900" t="s">
        <v>686</v>
      </c>
      <c r="D2900" t="s">
        <v>3185</v>
      </c>
      <c r="E2900" t="s">
        <v>646</v>
      </c>
      <c r="F2900" t="s">
        <v>40</v>
      </c>
      <c r="G2900">
        <v>2030</v>
      </c>
      <c r="H2900" s="12">
        <v>1883</v>
      </c>
      <c r="I2900" t="s">
        <v>3183</v>
      </c>
      <c r="J2900" t="s">
        <v>6</v>
      </c>
      <c r="K2900" t="s">
        <v>11</v>
      </c>
      <c r="L2900" t="s">
        <v>649</v>
      </c>
      <c r="M2900" t="s">
        <v>659</v>
      </c>
    </row>
    <row r="2901" spans="1:13">
      <c r="A2901" t="s">
        <v>851</v>
      </c>
      <c r="B2901" t="s">
        <v>686</v>
      </c>
      <c r="C2901" t="s">
        <v>686</v>
      </c>
      <c r="D2901" t="s">
        <v>3185</v>
      </c>
      <c r="E2901" t="s">
        <v>646</v>
      </c>
      <c r="F2901" t="s">
        <v>40</v>
      </c>
      <c r="G2901">
        <v>2035</v>
      </c>
      <c r="H2901" s="12">
        <v>1930</v>
      </c>
      <c r="I2901" t="s">
        <v>3183</v>
      </c>
      <c r="J2901" t="s">
        <v>6</v>
      </c>
      <c r="K2901" t="s">
        <v>11</v>
      </c>
      <c r="L2901" t="s">
        <v>649</v>
      </c>
      <c r="M2901" t="s">
        <v>659</v>
      </c>
    </row>
    <row r="2902" spans="1:13">
      <c r="A2902" t="s">
        <v>851</v>
      </c>
      <c r="B2902" t="s">
        <v>686</v>
      </c>
      <c r="C2902" t="s">
        <v>686</v>
      </c>
      <c r="D2902" t="s">
        <v>3185</v>
      </c>
      <c r="E2902" t="s">
        <v>646</v>
      </c>
      <c r="F2902" t="s">
        <v>40</v>
      </c>
      <c r="G2902">
        <v>2040</v>
      </c>
      <c r="H2902" s="12">
        <v>1851</v>
      </c>
      <c r="I2902" t="s">
        <v>3183</v>
      </c>
      <c r="J2902" t="s">
        <v>6</v>
      </c>
      <c r="K2902" t="s">
        <v>11</v>
      </c>
      <c r="L2902" t="s">
        <v>649</v>
      </c>
      <c r="M2902" t="s">
        <v>659</v>
      </c>
    </row>
    <row r="2903" spans="1:13">
      <c r="A2903" t="s">
        <v>851</v>
      </c>
      <c r="B2903" t="s">
        <v>686</v>
      </c>
      <c r="C2903" t="s">
        <v>686</v>
      </c>
      <c r="D2903" t="s">
        <v>3185</v>
      </c>
      <c r="E2903" t="s">
        <v>646</v>
      </c>
      <c r="F2903" t="s">
        <v>40</v>
      </c>
      <c r="G2903">
        <v>2045</v>
      </c>
      <c r="H2903" s="12">
        <v>1722</v>
      </c>
      <c r="I2903" t="s">
        <v>3183</v>
      </c>
      <c r="J2903" t="s">
        <v>6</v>
      </c>
      <c r="K2903" t="s">
        <v>11</v>
      </c>
      <c r="L2903" t="s">
        <v>649</v>
      </c>
      <c r="M2903" t="s">
        <v>659</v>
      </c>
    </row>
    <row r="2904" spans="1:13">
      <c r="A2904" t="s">
        <v>851</v>
      </c>
      <c r="B2904" t="s">
        <v>686</v>
      </c>
      <c r="C2904" t="s">
        <v>686</v>
      </c>
      <c r="D2904" t="s">
        <v>3185</v>
      </c>
      <c r="E2904" t="s">
        <v>646</v>
      </c>
      <c r="F2904" t="s">
        <v>40</v>
      </c>
      <c r="G2904">
        <v>2050</v>
      </c>
      <c r="H2904" s="12">
        <v>1611</v>
      </c>
      <c r="I2904" t="s">
        <v>3183</v>
      </c>
      <c r="J2904" t="s">
        <v>6</v>
      </c>
      <c r="K2904" t="s">
        <v>11</v>
      </c>
      <c r="L2904" t="s">
        <v>649</v>
      </c>
      <c r="M2904" t="s">
        <v>659</v>
      </c>
    </row>
    <row r="2905" spans="1:13">
      <c r="A2905" t="s">
        <v>851</v>
      </c>
      <c r="B2905" t="s">
        <v>687</v>
      </c>
      <c r="C2905" t="s">
        <v>687</v>
      </c>
      <c r="D2905" t="s">
        <v>3185</v>
      </c>
      <c r="E2905" t="s">
        <v>646</v>
      </c>
      <c r="F2905" t="s">
        <v>40</v>
      </c>
      <c r="G2905">
        <v>2030</v>
      </c>
      <c r="H2905" s="12">
        <v>1591</v>
      </c>
      <c r="I2905" t="s">
        <v>3183</v>
      </c>
      <c r="J2905" t="s">
        <v>6</v>
      </c>
      <c r="K2905" t="s">
        <v>11</v>
      </c>
      <c r="L2905" t="s">
        <v>649</v>
      </c>
      <c r="M2905" t="s">
        <v>659</v>
      </c>
    </row>
    <row r="2906" spans="1:13">
      <c r="A2906" t="s">
        <v>851</v>
      </c>
      <c r="B2906" t="s">
        <v>687</v>
      </c>
      <c r="C2906" t="s">
        <v>687</v>
      </c>
      <c r="D2906" t="s">
        <v>3185</v>
      </c>
      <c r="E2906" t="s">
        <v>646</v>
      </c>
      <c r="F2906" t="s">
        <v>40</v>
      </c>
      <c r="G2906">
        <v>2035</v>
      </c>
      <c r="H2906" s="12">
        <v>1207</v>
      </c>
      <c r="I2906" t="s">
        <v>3183</v>
      </c>
      <c r="J2906" t="s">
        <v>6</v>
      </c>
      <c r="K2906" t="s">
        <v>11</v>
      </c>
      <c r="L2906" t="s">
        <v>649</v>
      </c>
      <c r="M2906" t="s">
        <v>659</v>
      </c>
    </row>
    <row r="2907" spans="1:13">
      <c r="A2907" t="s">
        <v>851</v>
      </c>
      <c r="B2907" t="s">
        <v>687</v>
      </c>
      <c r="C2907" t="s">
        <v>687</v>
      </c>
      <c r="D2907" t="s">
        <v>3185</v>
      </c>
      <c r="E2907" t="s">
        <v>646</v>
      </c>
      <c r="F2907" t="s">
        <v>40</v>
      </c>
      <c r="G2907">
        <v>2040</v>
      </c>
      <c r="H2907" s="12">
        <v>836</v>
      </c>
      <c r="I2907" t="s">
        <v>3183</v>
      </c>
      <c r="J2907" t="s">
        <v>6</v>
      </c>
      <c r="K2907" t="s">
        <v>11</v>
      </c>
      <c r="L2907" t="s">
        <v>649</v>
      </c>
      <c r="M2907" t="s">
        <v>659</v>
      </c>
    </row>
    <row r="2908" spans="1:13">
      <c r="A2908" t="s">
        <v>851</v>
      </c>
      <c r="B2908" t="s">
        <v>687</v>
      </c>
      <c r="C2908" t="s">
        <v>687</v>
      </c>
      <c r="D2908" t="s">
        <v>3185</v>
      </c>
      <c r="E2908" t="s">
        <v>646</v>
      </c>
      <c r="F2908" t="s">
        <v>40</v>
      </c>
      <c r="G2908">
        <v>2045</v>
      </c>
      <c r="H2908" s="12">
        <v>591</v>
      </c>
      <c r="I2908" t="s">
        <v>3183</v>
      </c>
      <c r="J2908" t="s">
        <v>6</v>
      </c>
      <c r="K2908" t="s">
        <v>11</v>
      </c>
      <c r="L2908" t="s">
        <v>649</v>
      </c>
      <c r="M2908" t="s">
        <v>659</v>
      </c>
    </row>
    <row r="2909" spans="1:13">
      <c r="A2909" t="s">
        <v>851</v>
      </c>
      <c r="B2909" t="s">
        <v>687</v>
      </c>
      <c r="C2909" t="s">
        <v>687</v>
      </c>
      <c r="D2909" t="s">
        <v>3185</v>
      </c>
      <c r="E2909" t="s">
        <v>646</v>
      </c>
      <c r="F2909" t="s">
        <v>40</v>
      </c>
      <c r="G2909">
        <v>2050</v>
      </c>
      <c r="H2909" s="12">
        <v>434</v>
      </c>
      <c r="I2909" t="s">
        <v>3183</v>
      </c>
      <c r="J2909" t="s">
        <v>6</v>
      </c>
      <c r="K2909" t="s">
        <v>11</v>
      </c>
      <c r="L2909" t="s">
        <v>649</v>
      </c>
      <c r="M2909" t="s">
        <v>659</v>
      </c>
    </row>
    <row r="2910" spans="1:13">
      <c r="A2910" t="s">
        <v>851</v>
      </c>
      <c r="B2910" t="s">
        <v>686</v>
      </c>
      <c r="C2910" t="s">
        <v>686</v>
      </c>
      <c r="D2910" t="s">
        <v>3185</v>
      </c>
      <c r="E2910" t="s">
        <v>646</v>
      </c>
      <c r="F2910" t="s">
        <v>40</v>
      </c>
      <c r="G2910">
        <v>2010</v>
      </c>
      <c r="H2910" s="12">
        <v>9686</v>
      </c>
      <c r="I2910" t="s">
        <v>3183</v>
      </c>
      <c r="J2910" t="s">
        <v>344</v>
      </c>
      <c r="K2910" t="s">
        <v>658</v>
      </c>
      <c r="L2910" t="s">
        <v>649</v>
      </c>
      <c r="M2910" t="s">
        <v>10</v>
      </c>
    </row>
    <row r="2911" spans="1:13">
      <c r="A2911" t="s">
        <v>851</v>
      </c>
      <c r="B2911" t="s">
        <v>686</v>
      </c>
      <c r="C2911" t="s">
        <v>686</v>
      </c>
      <c r="D2911" t="s">
        <v>3185</v>
      </c>
      <c r="E2911" t="s">
        <v>646</v>
      </c>
      <c r="F2911" t="s">
        <v>40</v>
      </c>
      <c r="G2911">
        <v>2015</v>
      </c>
      <c r="H2911" s="12">
        <v>12370</v>
      </c>
      <c r="I2911" t="s">
        <v>3183</v>
      </c>
      <c r="J2911" t="s">
        <v>344</v>
      </c>
      <c r="K2911" t="s">
        <v>658</v>
      </c>
      <c r="L2911" t="s">
        <v>649</v>
      </c>
      <c r="M2911" t="s">
        <v>10</v>
      </c>
    </row>
    <row r="2912" spans="1:13">
      <c r="A2912" t="s">
        <v>851</v>
      </c>
      <c r="B2912" t="s">
        <v>686</v>
      </c>
      <c r="C2912" t="s">
        <v>686</v>
      </c>
      <c r="D2912" t="s">
        <v>3185</v>
      </c>
      <c r="E2912" t="s">
        <v>646</v>
      </c>
      <c r="F2912" t="s">
        <v>40</v>
      </c>
      <c r="G2912">
        <v>2020</v>
      </c>
      <c r="H2912" s="12">
        <v>16281</v>
      </c>
      <c r="I2912" t="s">
        <v>3183</v>
      </c>
      <c r="J2912" t="s">
        <v>344</v>
      </c>
      <c r="K2912" t="s">
        <v>658</v>
      </c>
      <c r="L2912" t="s">
        <v>649</v>
      </c>
      <c r="M2912" t="s">
        <v>10</v>
      </c>
    </row>
    <row r="2913" spans="1:13">
      <c r="A2913" t="s">
        <v>851</v>
      </c>
      <c r="B2913" t="s">
        <v>686</v>
      </c>
      <c r="C2913" t="s">
        <v>686</v>
      </c>
      <c r="D2913" t="s">
        <v>3185</v>
      </c>
      <c r="E2913" t="s">
        <v>646</v>
      </c>
      <c r="F2913" t="s">
        <v>40</v>
      </c>
      <c r="G2913">
        <v>2030</v>
      </c>
      <c r="H2913" s="12">
        <v>24400</v>
      </c>
      <c r="I2913" t="s">
        <v>3183</v>
      </c>
      <c r="J2913" t="s">
        <v>344</v>
      </c>
      <c r="K2913" t="s">
        <v>658</v>
      </c>
      <c r="L2913" t="s">
        <v>649</v>
      </c>
      <c r="M2913" t="s">
        <v>10</v>
      </c>
    </row>
    <row r="2914" spans="1:13">
      <c r="A2914" t="s">
        <v>851</v>
      </c>
      <c r="B2914" t="s">
        <v>686</v>
      </c>
      <c r="C2914" t="s">
        <v>686</v>
      </c>
      <c r="D2914" t="s">
        <v>3185</v>
      </c>
      <c r="E2914" t="s">
        <v>646</v>
      </c>
      <c r="F2914" t="s">
        <v>40</v>
      </c>
      <c r="G2914">
        <v>2035</v>
      </c>
      <c r="H2914" s="12">
        <v>28165</v>
      </c>
      <c r="I2914" t="s">
        <v>3183</v>
      </c>
      <c r="J2914" t="s">
        <v>344</v>
      </c>
      <c r="K2914" t="s">
        <v>658</v>
      </c>
      <c r="L2914" t="s">
        <v>649</v>
      </c>
      <c r="M2914" t="s">
        <v>10</v>
      </c>
    </row>
    <row r="2915" spans="1:13">
      <c r="A2915" t="s">
        <v>851</v>
      </c>
      <c r="B2915" t="s">
        <v>686</v>
      </c>
      <c r="C2915" t="s">
        <v>686</v>
      </c>
      <c r="D2915" t="s">
        <v>3185</v>
      </c>
      <c r="E2915" t="s">
        <v>646</v>
      </c>
      <c r="F2915" t="s">
        <v>40</v>
      </c>
      <c r="G2915">
        <v>2040</v>
      </c>
      <c r="H2915" s="12">
        <v>31834</v>
      </c>
      <c r="I2915" t="s">
        <v>3183</v>
      </c>
      <c r="J2915" t="s">
        <v>344</v>
      </c>
      <c r="K2915" t="s">
        <v>658</v>
      </c>
      <c r="L2915" t="s">
        <v>649</v>
      </c>
      <c r="M2915" t="s">
        <v>10</v>
      </c>
    </row>
    <row r="2916" spans="1:13">
      <c r="A2916" t="s">
        <v>851</v>
      </c>
      <c r="B2916" t="s">
        <v>686</v>
      </c>
      <c r="C2916" t="s">
        <v>686</v>
      </c>
      <c r="D2916" t="s">
        <v>3185</v>
      </c>
      <c r="E2916" t="s">
        <v>646</v>
      </c>
      <c r="F2916" t="s">
        <v>40</v>
      </c>
      <c r="G2916">
        <v>2045</v>
      </c>
      <c r="H2916" s="12">
        <v>35078</v>
      </c>
      <c r="I2916" t="s">
        <v>3183</v>
      </c>
      <c r="J2916" t="s">
        <v>344</v>
      </c>
      <c r="K2916" t="s">
        <v>658</v>
      </c>
      <c r="L2916" t="s">
        <v>649</v>
      </c>
      <c r="M2916" t="s">
        <v>10</v>
      </c>
    </row>
    <row r="2917" spans="1:13">
      <c r="A2917" t="s">
        <v>851</v>
      </c>
      <c r="B2917" t="s">
        <v>686</v>
      </c>
      <c r="C2917" t="s">
        <v>686</v>
      </c>
      <c r="D2917" t="s">
        <v>3185</v>
      </c>
      <c r="E2917" t="s">
        <v>646</v>
      </c>
      <c r="F2917" t="s">
        <v>40</v>
      </c>
      <c r="G2917">
        <v>2050</v>
      </c>
      <c r="H2917" s="12">
        <v>37312</v>
      </c>
      <c r="I2917" t="s">
        <v>3183</v>
      </c>
      <c r="J2917" t="s">
        <v>344</v>
      </c>
      <c r="K2917" t="s">
        <v>658</v>
      </c>
      <c r="L2917" t="s">
        <v>649</v>
      </c>
      <c r="M2917" t="s">
        <v>10</v>
      </c>
    </row>
    <row r="2918" spans="1:13">
      <c r="A2918" t="s">
        <v>851</v>
      </c>
      <c r="B2918" t="s">
        <v>687</v>
      </c>
      <c r="C2918" t="s">
        <v>687</v>
      </c>
      <c r="D2918" t="s">
        <v>3185</v>
      </c>
      <c r="E2918" t="s">
        <v>646</v>
      </c>
      <c r="F2918" t="s">
        <v>40</v>
      </c>
      <c r="G2918">
        <v>2030</v>
      </c>
      <c r="H2918" s="12">
        <v>23437</v>
      </c>
      <c r="I2918" t="s">
        <v>3183</v>
      </c>
      <c r="J2918" t="s">
        <v>344</v>
      </c>
      <c r="K2918" t="s">
        <v>658</v>
      </c>
      <c r="L2918" t="s">
        <v>649</v>
      </c>
      <c r="M2918" t="s">
        <v>10</v>
      </c>
    </row>
    <row r="2919" spans="1:13">
      <c r="A2919" t="s">
        <v>851</v>
      </c>
      <c r="B2919" t="s">
        <v>687</v>
      </c>
      <c r="C2919" t="s">
        <v>687</v>
      </c>
      <c r="D2919" t="s">
        <v>3185</v>
      </c>
      <c r="E2919" t="s">
        <v>646</v>
      </c>
      <c r="F2919" t="s">
        <v>40</v>
      </c>
      <c r="G2919">
        <v>2035</v>
      </c>
      <c r="H2919" s="12">
        <v>26224</v>
      </c>
      <c r="I2919" t="s">
        <v>3183</v>
      </c>
      <c r="J2919" t="s">
        <v>344</v>
      </c>
      <c r="K2919" t="s">
        <v>658</v>
      </c>
      <c r="L2919" t="s">
        <v>649</v>
      </c>
      <c r="M2919" t="s">
        <v>10</v>
      </c>
    </row>
    <row r="2920" spans="1:13">
      <c r="A2920" t="s">
        <v>851</v>
      </c>
      <c r="B2920" t="s">
        <v>687</v>
      </c>
      <c r="C2920" t="s">
        <v>687</v>
      </c>
      <c r="D2920" t="s">
        <v>3185</v>
      </c>
      <c r="E2920" t="s">
        <v>646</v>
      </c>
      <c r="F2920" t="s">
        <v>40</v>
      </c>
      <c r="G2920">
        <v>2040</v>
      </c>
      <c r="H2920" s="12">
        <v>28521</v>
      </c>
      <c r="I2920" t="s">
        <v>3183</v>
      </c>
      <c r="J2920" t="s">
        <v>344</v>
      </c>
      <c r="K2920" t="s">
        <v>658</v>
      </c>
      <c r="L2920" t="s">
        <v>649</v>
      </c>
      <c r="M2920" t="s">
        <v>10</v>
      </c>
    </row>
    <row r="2921" spans="1:13">
      <c r="A2921" t="s">
        <v>851</v>
      </c>
      <c r="B2921" t="s">
        <v>687</v>
      </c>
      <c r="C2921" t="s">
        <v>687</v>
      </c>
      <c r="D2921" t="s">
        <v>3185</v>
      </c>
      <c r="E2921" t="s">
        <v>646</v>
      </c>
      <c r="F2921" t="s">
        <v>40</v>
      </c>
      <c r="G2921">
        <v>2045</v>
      </c>
      <c r="H2921" s="12">
        <v>30277</v>
      </c>
      <c r="I2921" t="s">
        <v>3183</v>
      </c>
      <c r="J2921" t="s">
        <v>344</v>
      </c>
      <c r="K2921" t="s">
        <v>658</v>
      </c>
      <c r="L2921" t="s">
        <v>649</v>
      </c>
      <c r="M2921" t="s">
        <v>10</v>
      </c>
    </row>
    <row r="2922" spans="1:13">
      <c r="A2922" t="s">
        <v>851</v>
      </c>
      <c r="B2922" t="s">
        <v>687</v>
      </c>
      <c r="C2922" t="s">
        <v>687</v>
      </c>
      <c r="D2922" t="s">
        <v>3185</v>
      </c>
      <c r="E2922" t="s">
        <v>646</v>
      </c>
      <c r="F2922" t="s">
        <v>40</v>
      </c>
      <c r="G2922">
        <v>2050</v>
      </c>
      <c r="H2922" s="12">
        <v>31174</v>
      </c>
      <c r="I2922" t="s">
        <v>3183</v>
      </c>
      <c r="J2922" t="s">
        <v>344</v>
      </c>
      <c r="K2922" t="s">
        <v>658</v>
      </c>
      <c r="L2922" t="s">
        <v>649</v>
      </c>
      <c r="M2922" t="s">
        <v>10</v>
      </c>
    </row>
    <row r="2923" spans="1:13">
      <c r="A2923" t="s">
        <v>851</v>
      </c>
      <c r="B2923" t="s">
        <v>687</v>
      </c>
      <c r="C2923" t="s">
        <v>687</v>
      </c>
      <c r="D2923" t="s">
        <v>3185</v>
      </c>
      <c r="E2923" t="s">
        <v>646</v>
      </c>
      <c r="F2923" t="s">
        <v>40</v>
      </c>
      <c r="G2923">
        <v>2045</v>
      </c>
      <c r="H2923" s="12">
        <v>43</v>
      </c>
      <c r="I2923" t="s">
        <v>3183</v>
      </c>
      <c r="J2923" t="s">
        <v>5</v>
      </c>
      <c r="K2923" t="s">
        <v>658</v>
      </c>
      <c r="L2923" t="s">
        <v>649</v>
      </c>
      <c r="M2923" t="s">
        <v>5</v>
      </c>
    </row>
    <row r="2924" spans="1:13">
      <c r="A2924" t="s">
        <v>851</v>
      </c>
      <c r="B2924" t="s">
        <v>687</v>
      </c>
      <c r="C2924" t="s">
        <v>687</v>
      </c>
      <c r="D2924" t="s">
        <v>3185</v>
      </c>
      <c r="E2924" t="s">
        <v>646</v>
      </c>
      <c r="F2924" t="s">
        <v>40</v>
      </c>
      <c r="G2924">
        <v>2050</v>
      </c>
      <c r="H2924" s="12">
        <v>26</v>
      </c>
      <c r="I2924" t="s">
        <v>3183</v>
      </c>
      <c r="J2924" t="s">
        <v>5</v>
      </c>
      <c r="K2924" t="s">
        <v>658</v>
      </c>
      <c r="L2924" t="s">
        <v>649</v>
      </c>
      <c r="M2924" t="s">
        <v>5</v>
      </c>
    </row>
    <row r="2925" spans="1:13">
      <c r="A2925" t="s">
        <v>851</v>
      </c>
      <c r="B2925" t="s">
        <v>686</v>
      </c>
      <c r="C2925" t="s">
        <v>686</v>
      </c>
      <c r="D2925" t="s">
        <v>3185</v>
      </c>
      <c r="E2925" t="s">
        <v>646</v>
      </c>
      <c r="F2925" t="s">
        <v>40</v>
      </c>
      <c r="G2925">
        <v>2010</v>
      </c>
      <c r="H2925" s="12">
        <v>4991</v>
      </c>
      <c r="I2925" t="s">
        <v>3183</v>
      </c>
      <c r="J2925" t="s">
        <v>6</v>
      </c>
      <c r="K2925" t="s">
        <v>9</v>
      </c>
      <c r="L2925" t="s">
        <v>649</v>
      </c>
      <c r="M2925" t="s">
        <v>666</v>
      </c>
    </row>
    <row r="2926" spans="1:13">
      <c r="A2926" t="s">
        <v>851</v>
      </c>
      <c r="B2926" t="s">
        <v>686</v>
      </c>
      <c r="C2926" t="s">
        <v>686</v>
      </c>
      <c r="D2926" t="s">
        <v>3185</v>
      </c>
      <c r="E2926" t="s">
        <v>646</v>
      </c>
      <c r="F2926" t="s">
        <v>40</v>
      </c>
      <c r="G2926">
        <v>2015</v>
      </c>
      <c r="H2926" s="12">
        <v>5900</v>
      </c>
      <c r="I2926" t="s">
        <v>3183</v>
      </c>
      <c r="J2926" t="s">
        <v>6</v>
      </c>
      <c r="K2926" t="s">
        <v>9</v>
      </c>
      <c r="L2926" t="s">
        <v>649</v>
      </c>
      <c r="M2926" t="s">
        <v>666</v>
      </c>
    </row>
    <row r="2927" spans="1:13">
      <c r="A2927" t="s">
        <v>851</v>
      </c>
      <c r="B2927" t="s">
        <v>686</v>
      </c>
      <c r="C2927" t="s">
        <v>686</v>
      </c>
      <c r="D2927" t="s">
        <v>3185</v>
      </c>
      <c r="E2927" t="s">
        <v>646</v>
      </c>
      <c r="F2927" t="s">
        <v>40</v>
      </c>
      <c r="G2927">
        <v>2020</v>
      </c>
      <c r="H2927" s="12">
        <v>8104</v>
      </c>
      <c r="I2927" t="s">
        <v>3183</v>
      </c>
      <c r="J2927" t="s">
        <v>6</v>
      </c>
      <c r="K2927" t="s">
        <v>9</v>
      </c>
      <c r="L2927" t="s">
        <v>649</v>
      </c>
      <c r="M2927" t="s">
        <v>666</v>
      </c>
    </row>
    <row r="2928" spans="1:13">
      <c r="A2928" t="s">
        <v>851</v>
      </c>
      <c r="B2928" t="s">
        <v>686</v>
      </c>
      <c r="C2928" t="s">
        <v>686</v>
      </c>
      <c r="D2928" t="s">
        <v>3185</v>
      </c>
      <c r="E2928" t="s">
        <v>646</v>
      </c>
      <c r="F2928" t="s">
        <v>40</v>
      </c>
      <c r="G2928">
        <v>2030</v>
      </c>
      <c r="H2928" s="12">
        <v>11246</v>
      </c>
      <c r="I2928" t="s">
        <v>3183</v>
      </c>
      <c r="J2928" t="s">
        <v>6</v>
      </c>
      <c r="K2928" t="s">
        <v>9</v>
      </c>
      <c r="L2928" t="s">
        <v>649</v>
      </c>
      <c r="M2928" t="s">
        <v>666</v>
      </c>
    </row>
    <row r="2929" spans="1:13">
      <c r="A2929" t="s">
        <v>851</v>
      </c>
      <c r="B2929" t="s">
        <v>686</v>
      </c>
      <c r="C2929" t="s">
        <v>686</v>
      </c>
      <c r="D2929" t="s">
        <v>3185</v>
      </c>
      <c r="E2929" t="s">
        <v>646</v>
      </c>
      <c r="F2929" t="s">
        <v>40</v>
      </c>
      <c r="G2929">
        <v>2035</v>
      </c>
      <c r="H2929" s="12">
        <v>12522</v>
      </c>
      <c r="I2929" t="s">
        <v>3183</v>
      </c>
      <c r="J2929" t="s">
        <v>6</v>
      </c>
      <c r="K2929" t="s">
        <v>9</v>
      </c>
      <c r="L2929" t="s">
        <v>649</v>
      </c>
      <c r="M2929" t="s">
        <v>666</v>
      </c>
    </row>
    <row r="2930" spans="1:13">
      <c r="A2930" t="s">
        <v>851</v>
      </c>
      <c r="B2930" t="s">
        <v>686</v>
      </c>
      <c r="C2930" t="s">
        <v>686</v>
      </c>
      <c r="D2930" t="s">
        <v>3185</v>
      </c>
      <c r="E2930" t="s">
        <v>646</v>
      </c>
      <c r="F2930" t="s">
        <v>40</v>
      </c>
      <c r="G2930">
        <v>2040</v>
      </c>
      <c r="H2930" s="12">
        <v>13521</v>
      </c>
      <c r="I2930" t="s">
        <v>3183</v>
      </c>
      <c r="J2930" t="s">
        <v>6</v>
      </c>
      <c r="K2930" t="s">
        <v>9</v>
      </c>
      <c r="L2930" t="s">
        <v>649</v>
      </c>
      <c r="M2930" t="s">
        <v>666</v>
      </c>
    </row>
    <row r="2931" spans="1:13">
      <c r="A2931" t="s">
        <v>851</v>
      </c>
      <c r="B2931" t="s">
        <v>686</v>
      </c>
      <c r="C2931" t="s">
        <v>686</v>
      </c>
      <c r="D2931" t="s">
        <v>3185</v>
      </c>
      <c r="E2931" t="s">
        <v>646</v>
      </c>
      <c r="F2931" t="s">
        <v>40</v>
      </c>
      <c r="G2931">
        <v>2045</v>
      </c>
      <c r="H2931" s="12">
        <v>14185</v>
      </c>
      <c r="I2931" t="s">
        <v>3183</v>
      </c>
      <c r="J2931" t="s">
        <v>6</v>
      </c>
      <c r="K2931" t="s">
        <v>9</v>
      </c>
      <c r="L2931" t="s">
        <v>649</v>
      </c>
      <c r="M2931" t="s">
        <v>666</v>
      </c>
    </row>
    <row r="2932" spans="1:13">
      <c r="A2932" t="s">
        <v>851</v>
      </c>
      <c r="B2932" t="s">
        <v>686</v>
      </c>
      <c r="C2932" t="s">
        <v>686</v>
      </c>
      <c r="D2932" t="s">
        <v>3185</v>
      </c>
      <c r="E2932" t="s">
        <v>646</v>
      </c>
      <c r="F2932" t="s">
        <v>40</v>
      </c>
      <c r="G2932">
        <v>2050</v>
      </c>
      <c r="H2932" s="12">
        <v>14483</v>
      </c>
      <c r="I2932" t="s">
        <v>3183</v>
      </c>
      <c r="J2932" t="s">
        <v>6</v>
      </c>
      <c r="K2932" t="s">
        <v>9</v>
      </c>
      <c r="L2932" t="s">
        <v>649</v>
      </c>
      <c r="M2932" t="s">
        <v>666</v>
      </c>
    </row>
    <row r="2933" spans="1:13">
      <c r="A2933" t="s">
        <v>851</v>
      </c>
      <c r="B2933" t="s">
        <v>687</v>
      </c>
      <c r="C2933" t="s">
        <v>687</v>
      </c>
      <c r="D2933" t="s">
        <v>3185</v>
      </c>
      <c r="E2933" t="s">
        <v>646</v>
      </c>
      <c r="F2933" t="s">
        <v>40</v>
      </c>
      <c r="G2933">
        <v>2030</v>
      </c>
      <c r="H2933" s="12">
        <v>10308</v>
      </c>
      <c r="I2933" t="s">
        <v>3183</v>
      </c>
      <c r="J2933" t="s">
        <v>6</v>
      </c>
      <c r="K2933" t="s">
        <v>9</v>
      </c>
      <c r="L2933" t="s">
        <v>649</v>
      </c>
      <c r="M2933" t="s">
        <v>666</v>
      </c>
    </row>
    <row r="2934" spans="1:13">
      <c r="A2934" t="s">
        <v>851</v>
      </c>
      <c r="B2934" t="s">
        <v>687</v>
      </c>
      <c r="C2934" t="s">
        <v>687</v>
      </c>
      <c r="D2934" t="s">
        <v>3185</v>
      </c>
      <c r="E2934" t="s">
        <v>646</v>
      </c>
      <c r="F2934" t="s">
        <v>40</v>
      </c>
      <c r="G2934">
        <v>2035</v>
      </c>
      <c r="H2934" s="12">
        <v>10359</v>
      </c>
      <c r="I2934" t="s">
        <v>3183</v>
      </c>
      <c r="J2934" t="s">
        <v>6</v>
      </c>
      <c r="K2934" t="s">
        <v>9</v>
      </c>
      <c r="L2934" t="s">
        <v>649</v>
      </c>
      <c r="M2934" t="s">
        <v>666</v>
      </c>
    </row>
    <row r="2935" spans="1:13">
      <c r="A2935" t="s">
        <v>851</v>
      </c>
      <c r="B2935" t="s">
        <v>687</v>
      </c>
      <c r="C2935" t="s">
        <v>687</v>
      </c>
      <c r="D2935" t="s">
        <v>3185</v>
      </c>
      <c r="E2935" t="s">
        <v>646</v>
      </c>
      <c r="F2935" t="s">
        <v>40</v>
      </c>
      <c r="G2935">
        <v>2040</v>
      </c>
      <c r="H2935" s="12">
        <v>9599</v>
      </c>
      <c r="I2935" t="s">
        <v>3183</v>
      </c>
      <c r="J2935" t="s">
        <v>6</v>
      </c>
      <c r="K2935" t="s">
        <v>9</v>
      </c>
      <c r="L2935" t="s">
        <v>649</v>
      </c>
      <c r="M2935" t="s">
        <v>666</v>
      </c>
    </row>
    <row r="2936" spans="1:13">
      <c r="A2936" t="s">
        <v>851</v>
      </c>
      <c r="B2936" t="s">
        <v>687</v>
      </c>
      <c r="C2936" t="s">
        <v>687</v>
      </c>
      <c r="D2936" t="s">
        <v>3185</v>
      </c>
      <c r="E2936" t="s">
        <v>646</v>
      </c>
      <c r="F2936" t="s">
        <v>40</v>
      </c>
      <c r="G2936">
        <v>2045</v>
      </c>
      <c r="H2936" s="12">
        <v>8302</v>
      </c>
      <c r="I2936" t="s">
        <v>3183</v>
      </c>
      <c r="J2936" t="s">
        <v>6</v>
      </c>
      <c r="K2936" t="s">
        <v>9</v>
      </c>
      <c r="L2936" t="s">
        <v>649</v>
      </c>
      <c r="M2936" t="s">
        <v>666</v>
      </c>
    </row>
    <row r="2937" spans="1:13">
      <c r="A2937" t="s">
        <v>851</v>
      </c>
      <c r="B2937" t="s">
        <v>687</v>
      </c>
      <c r="C2937" t="s">
        <v>687</v>
      </c>
      <c r="D2937" t="s">
        <v>3185</v>
      </c>
      <c r="E2937" t="s">
        <v>646</v>
      </c>
      <c r="F2937" t="s">
        <v>40</v>
      </c>
      <c r="G2937">
        <v>2050</v>
      </c>
      <c r="H2937" s="12">
        <v>6843</v>
      </c>
      <c r="I2937" t="s">
        <v>3183</v>
      </c>
      <c r="J2937" t="s">
        <v>6</v>
      </c>
      <c r="K2937" t="s">
        <v>9</v>
      </c>
      <c r="L2937" t="s">
        <v>649</v>
      </c>
      <c r="M2937" t="s">
        <v>666</v>
      </c>
    </row>
    <row r="2938" spans="1:13">
      <c r="A2938" t="s">
        <v>851</v>
      </c>
      <c r="B2938" t="s">
        <v>686</v>
      </c>
      <c r="C2938" t="s">
        <v>686</v>
      </c>
      <c r="D2938" t="s">
        <v>3185</v>
      </c>
      <c r="E2938" t="s">
        <v>646</v>
      </c>
      <c r="F2938" t="s">
        <v>40</v>
      </c>
      <c r="G2938">
        <v>2010</v>
      </c>
      <c r="H2938" s="12">
        <v>41271</v>
      </c>
      <c r="I2938" t="s">
        <v>3183</v>
      </c>
      <c r="J2938" t="s">
        <v>5</v>
      </c>
      <c r="K2938" t="s">
        <v>9</v>
      </c>
      <c r="L2938" t="s">
        <v>649</v>
      </c>
      <c r="M2938" t="s">
        <v>665</v>
      </c>
    </row>
    <row r="2939" spans="1:13">
      <c r="A2939" t="s">
        <v>851</v>
      </c>
      <c r="B2939" t="s">
        <v>686</v>
      </c>
      <c r="C2939" t="s">
        <v>686</v>
      </c>
      <c r="D2939" t="s">
        <v>3185</v>
      </c>
      <c r="E2939" t="s">
        <v>646</v>
      </c>
      <c r="F2939" t="s">
        <v>40</v>
      </c>
      <c r="G2939">
        <v>2015</v>
      </c>
      <c r="H2939" s="12">
        <v>44490</v>
      </c>
      <c r="I2939" t="s">
        <v>3183</v>
      </c>
      <c r="J2939" t="s">
        <v>5</v>
      </c>
      <c r="K2939" t="s">
        <v>9</v>
      </c>
      <c r="L2939" t="s">
        <v>649</v>
      </c>
      <c r="M2939" t="s">
        <v>665</v>
      </c>
    </row>
    <row r="2940" spans="1:13">
      <c r="A2940" t="s">
        <v>851</v>
      </c>
      <c r="B2940" t="s">
        <v>686</v>
      </c>
      <c r="C2940" t="s">
        <v>686</v>
      </c>
      <c r="D2940" t="s">
        <v>3185</v>
      </c>
      <c r="E2940" t="s">
        <v>646</v>
      </c>
      <c r="F2940" t="s">
        <v>40</v>
      </c>
      <c r="G2940">
        <v>2020</v>
      </c>
      <c r="H2940" s="12">
        <v>39619</v>
      </c>
      <c r="I2940" t="s">
        <v>3183</v>
      </c>
      <c r="J2940" t="s">
        <v>5</v>
      </c>
      <c r="K2940" t="s">
        <v>9</v>
      </c>
      <c r="L2940" t="s">
        <v>649</v>
      </c>
      <c r="M2940" t="s">
        <v>665</v>
      </c>
    </row>
    <row r="2941" spans="1:13">
      <c r="A2941" t="s">
        <v>851</v>
      </c>
      <c r="B2941" t="s">
        <v>686</v>
      </c>
      <c r="C2941" t="s">
        <v>686</v>
      </c>
      <c r="D2941" t="s">
        <v>3185</v>
      </c>
      <c r="E2941" t="s">
        <v>646</v>
      </c>
      <c r="F2941" t="s">
        <v>40</v>
      </c>
      <c r="G2941">
        <v>2030</v>
      </c>
      <c r="H2941" s="12">
        <v>41761</v>
      </c>
      <c r="I2941" t="s">
        <v>3183</v>
      </c>
      <c r="J2941" t="s">
        <v>5</v>
      </c>
      <c r="K2941" t="s">
        <v>9</v>
      </c>
      <c r="L2941" t="s">
        <v>649</v>
      </c>
      <c r="M2941" t="s">
        <v>665</v>
      </c>
    </row>
    <row r="2942" spans="1:13">
      <c r="A2942" t="s">
        <v>851</v>
      </c>
      <c r="B2942" t="s">
        <v>686</v>
      </c>
      <c r="C2942" t="s">
        <v>686</v>
      </c>
      <c r="D2942" t="s">
        <v>3185</v>
      </c>
      <c r="E2942" t="s">
        <v>646</v>
      </c>
      <c r="F2942" t="s">
        <v>40</v>
      </c>
      <c r="G2942">
        <v>2035</v>
      </c>
      <c r="H2942" s="12">
        <v>40565</v>
      </c>
      <c r="I2942" t="s">
        <v>3183</v>
      </c>
      <c r="J2942" t="s">
        <v>5</v>
      </c>
      <c r="K2942" t="s">
        <v>9</v>
      </c>
      <c r="L2942" t="s">
        <v>649</v>
      </c>
      <c r="M2942" t="s">
        <v>665</v>
      </c>
    </row>
    <row r="2943" spans="1:13">
      <c r="A2943" t="s">
        <v>851</v>
      </c>
      <c r="B2943" t="s">
        <v>687</v>
      </c>
      <c r="C2943" t="s">
        <v>687</v>
      </c>
      <c r="D2943" t="s">
        <v>3185</v>
      </c>
      <c r="E2943" t="s">
        <v>646</v>
      </c>
      <c r="F2943" t="s">
        <v>40</v>
      </c>
      <c r="G2943">
        <v>2050</v>
      </c>
      <c r="H2943" s="12">
        <v>12094</v>
      </c>
      <c r="I2943" t="s">
        <v>3183</v>
      </c>
      <c r="J2943" t="s">
        <v>344</v>
      </c>
      <c r="K2943" t="s">
        <v>11</v>
      </c>
      <c r="L2943" t="s">
        <v>649</v>
      </c>
      <c r="M2943" t="s">
        <v>10</v>
      </c>
    </row>
    <row r="2944" spans="1:13">
      <c r="A2944" t="s">
        <v>851</v>
      </c>
      <c r="B2944" t="s">
        <v>686</v>
      </c>
      <c r="C2944" t="s">
        <v>686</v>
      </c>
      <c r="D2944" t="s">
        <v>3185</v>
      </c>
      <c r="E2944" t="s">
        <v>646</v>
      </c>
      <c r="F2944" t="s">
        <v>40</v>
      </c>
      <c r="G2944">
        <v>2010</v>
      </c>
      <c r="H2944" s="12">
        <v>20959</v>
      </c>
      <c r="I2944" t="s">
        <v>3183</v>
      </c>
      <c r="J2944" t="s">
        <v>394</v>
      </c>
      <c r="K2944" t="s">
        <v>11</v>
      </c>
      <c r="L2944" t="s">
        <v>649</v>
      </c>
      <c r="M2944" t="s">
        <v>16</v>
      </c>
    </row>
    <row r="2945" spans="1:13">
      <c r="A2945" t="s">
        <v>851</v>
      </c>
      <c r="B2945" t="s">
        <v>686</v>
      </c>
      <c r="C2945" t="s">
        <v>686</v>
      </c>
      <c r="D2945" t="s">
        <v>3185</v>
      </c>
      <c r="E2945" t="s">
        <v>646</v>
      </c>
      <c r="F2945" t="s">
        <v>40</v>
      </c>
      <c r="G2945">
        <v>2015</v>
      </c>
      <c r="H2945" s="12">
        <v>26514</v>
      </c>
      <c r="I2945" t="s">
        <v>3183</v>
      </c>
      <c r="J2945" t="s">
        <v>394</v>
      </c>
      <c r="K2945" t="s">
        <v>11</v>
      </c>
      <c r="L2945" t="s">
        <v>649</v>
      </c>
      <c r="M2945" t="s">
        <v>16</v>
      </c>
    </row>
    <row r="2946" spans="1:13">
      <c r="A2946" t="s">
        <v>851</v>
      </c>
      <c r="B2946" t="s">
        <v>686</v>
      </c>
      <c r="C2946" t="s">
        <v>686</v>
      </c>
      <c r="D2946" t="s">
        <v>3185</v>
      </c>
      <c r="E2946" t="s">
        <v>646</v>
      </c>
      <c r="F2946" t="s">
        <v>40</v>
      </c>
      <c r="G2946">
        <v>2020</v>
      </c>
      <c r="H2946" s="12">
        <v>27150</v>
      </c>
      <c r="I2946" t="s">
        <v>3183</v>
      </c>
      <c r="J2946" t="s">
        <v>394</v>
      </c>
      <c r="K2946" t="s">
        <v>11</v>
      </c>
      <c r="L2946" t="s">
        <v>649</v>
      </c>
      <c r="M2946" t="s">
        <v>16</v>
      </c>
    </row>
    <row r="2947" spans="1:13">
      <c r="A2947" t="s">
        <v>851</v>
      </c>
      <c r="B2947" t="s">
        <v>686</v>
      </c>
      <c r="C2947" t="s">
        <v>686</v>
      </c>
      <c r="D2947" t="s">
        <v>3185</v>
      </c>
      <c r="E2947" t="s">
        <v>646</v>
      </c>
      <c r="F2947" t="s">
        <v>40</v>
      </c>
      <c r="G2947">
        <v>2030</v>
      </c>
      <c r="H2947" s="12">
        <v>34490</v>
      </c>
      <c r="I2947" t="s">
        <v>3183</v>
      </c>
      <c r="J2947" t="s">
        <v>394</v>
      </c>
      <c r="K2947" t="s">
        <v>11</v>
      </c>
      <c r="L2947" t="s">
        <v>649</v>
      </c>
      <c r="M2947" t="s">
        <v>16</v>
      </c>
    </row>
    <row r="2948" spans="1:13">
      <c r="A2948" t="s">
        <v>851</v>
      </c>
      <c r="B2948" t="s">
        <v>686</v>
      </c>
      <c r="C2948" t="s">
        <v>686</v>
      </c>
      <c r="D2948" t="s">
        <v>3185</v>
      </c>
      <c r="E2948" t="s">
        <v>646</v>
      </c>
      <c r="F2948" t="s">
        <v>40</v>
      </c>
      <c r="G2948">
        <v>2035</v>
      </c>
      <c r="H2948" s="12">
        <v>35729</v>
      </c>
      <c r="I2948" t="s">
        <v>3183</v>
      </c>
      <c r="J2948" t="s">
        <v>394</v>
      </c>
      <c r="K2948" t="s">
        <v>11</v>
      </c>
      <c r="L2948" t="s">
        <v>649</v>
      </c>
      <c r="M2948" t="s">
        <v>16</v>
      </c>
    </row>
    <row r="2949" spans="1:13">
      <c r="A2949" t="s">
        <v>851</v>
      </c>
      <c r="B2949" t="s">
        <v>686</v>
      </c>
      <c r="C2949" t="s">
        <v>686</v>
      </c>
      <c r="D2949" t="s">
        <v>3185</v>
      </c>
      <c r="E2949" t="s">
        <v>646</v>
      </c>
      <c r="F2949" t="s">
        <v>40</v>
      </c>
      <c r="G2949">
        <v>2040</v>
      </c>
      <c r="H2949" s="12">
        <v>35540</v>
      </c>
      <c r="I2949" t="s">
        <v>3183</v>
      </c>
      <c r="J2949" t="s">
        <v>394</v>
      </c>
      <c r="K2949" t="s">
        <v>11</v>
      </c>
      <c r="L2949" t="s">
        <v>649</v>
      </c>
      <c r="M2949" t="s">
        <v>16</v>
      </c>
    </row>
    <row r="2950" spans="1:13">
      <c r="A2950" t="s">
        <v>851</v>
      </c>
      <c r="B2950" t="s">
        <v>686</v>
      </c>
      <c r="C2950" t="s">
        <v>686</v>
      </c>
      <c r="D2950" t="s">
        <v>3185</v>
      </c>
      <c r="E2950" t="s">
        <v>646</v>
      </c>
      <c r="F2950" t="s">
        <v>40</v>
      </c>
      <c r="G2950">
        <v>2045</v>
      </c>
      <c r="H2950" s="12">
        <v>34823</v>
      </c>
      <c r="I2950" t="s">
        <v>3183</v>
      </c>
      <c r="J2950" t="s">
        <v>394</v>
      </c>
      <c r="K2950" t="s">
        <v>11</v>
      </c>
      <c r="L2950" t="s">
        <v>649</v>
      </c>
      <c r="M2950" t="s">
        <v>16</v>
      </c>
    </row>
    <row r="2951" spans="1:13">
      <c r="A2951" t="s">
        <v>851</v>
      </c>
      <c r="B2951" t="s">
        <v>686</v>
      </c>
      <c r="C2951" t="s">
        <v>686</v>
      </c>
      <c r="D2951" t="s">
        <v>3185</v>
      </c>
      <c r="E2951" t="s">
        <v>646</v>
      </c>
      <c r="F2951" t="s">
        <v>40</v>
      </c>
      <c r="G2951">
        <v>2050</v>
      </c>
      <c r="H2951" s="12">
        <v>33991</v>
      </c>
      <c r="I2951" t="s">
        <v>3183</v>
      </c>
      <c r="J2951" t="s">
        <v>394</v>
      </c>
      <c r="K2951" t="s">
        <v>11</v>
      </c>
      <c r="L2951" t="s">
        <v>649</v>
      </c>
      <c r="M2951" t="s">
        <v>16</v>
      </c>
    </row>
    <row r="2952" spans="1:13">
      <c r="A2952" t="s">
        <v>851</v>
      </c>
      <c r="B2952" t="s">
        <v>687</v>
      </c>
      <c r="C2952" t="s">
        <v>687</v>
      </c>
      <c r="D2952" t="s">
        <v>3185</v>
      </c>
      <c r="E2952" t="s">
        <v>646</v>
      </c>
      <c r="F2952" t="s">
        <v>40</v>
      </c>
      <c r="G2952">
        <v>2030</v>
      </c>
      <c r="H2952" s="12">
        <v>31442</v>
      </c>
      <c r="I2952" t="s">
        <v>3183</v>
      </c>
      <c r="J2952" t="s">
        <v>394</v>
      </c>
      <c r="K2952" t="s">
        <v>11</v>
      </c>
      <c r="L2952" t="s">
        <v>649</v>
      </c>
      <c r="M2952" t="s">
        <v>16</v>
      </c>
    </row>
    <row r="2953" spans="1:13">
      <c r="A2953" t="s">
        <v>851</v>
      </c>
      <c r="B2953" t="s">
        <v>687</v>
      </c>
      <c r="C2953" t="s">
        <v>687</v>
      </c>
      <c r="D2953" t="s">
        <v>3185</v>
      </c>
      <c r="E2953" t="s">
        <v>646</v>
      </c>
      <c r="F2953" t="s">
        <v>40</v>
      </c>
      <c r="G2953">
        <v>2035</v>
      </c>
      <c r="H2953" s="12">
        <v>28696</v>
      </c>
      <c r="I2953" t="s">
        <v>3183</v>
      </c>
      <c r="J2953" t="s">
        <v>394</v>
      </c>
      <c r="K2953" t="s">
        <v>11</v>
      </c>
      <c r="L2953" t="s">
        <v>649</v>
      </c>
      <c r="M2953" t="s">
        <v>16</v>
      </c>
    </row>
    <row r="2954" spans="1:13">
      <c r="A2954" t="s">
        <v>851</v>
      </c>
      <c r="B2954" t="s">
        <v>687</v>
      </c>
      <c r="C2954" t="s">
        <v>687</v>
      </c>
      <c r="D2954" t="s">
        <v>3185</v>
      </c>
      <c r="E2954" t="s">
        <v>646</v>
      </c>
      <c r="F2954" t="s">
        <v>40</v>
      </c>
      <c r="G2954">
        <v>2040</v>
      </c>
      <c r="H2954" s="12">
        <v>23813</v>
      </c>
      <c r="I2954" t="s">
        <v>3183</v>
      </c>
      <c r="J2954" t="s">
        <v>394</v>
      </c>
      <c r="K2954" t="s">
        <v>11</v>
      </c>
      <c r="L2954" t="s">
        <v>649</v>
      </c>
      <c r="M2954" t="s">
        <v>16</v>
      </c>
    </row>
    <row r="2955" spans="1:13">
      <c r="A2955" t="s">
        <v>851</v>
      </c>
      <c r="B2955" t="s">
        <v>687</v>
      </c>
      <c r="C2955" t="s">
        <v>687</v>
      </c>
      <c r="D2955" t="s">
        <v>3185</v>
      </c>
      <c r="E2955" t="s">
        <v>646</v>
      </c>
      <c r="F2955" t="s">
        <v>40</v>
      </c>
      <c r="G2955">
        <v>2045</v>
      </c>
      <c r="H2955" s="12">
        <v>19295</v>
      </c>
      <c r="I2955" t="s">
        <v>3183</v>
      </c>
      <c r="J2955" t="s">
        <v>394</v>
      </c>
      <c r="K2955" t="s">
        <v>11</v>
      </c>
      <c r="L2955" t="s">
        <v>649</v>
      </c>
      <c r="M2955" t="s">
        <v>16</v>
      </c>
    </row>
    <row r="2956" spans="1:13">
      <c r="A2956" t="s">
        <v>851</v>
      </c>
      <c r="B2956" t="s">
        <v>687</v>
      </c>
      <c r="C2956" t="s">
        <v>687</v>
      </c>
      <c r="D2956" t="s">
        <v>3185</v>
      </c>
      <c r="E2956" t="s">
        <v>646</v>
      </c>
      <c r="F2956" t="s">
        <v>40</v>
      </c>
      <c r="G2956">
        <v>2050</v>
      </c>
      <c r="H2956" s="12">
        <v>15524</v>
      </c>
      <c r="I2956" t="s">
        <v>3183</v>
      </c>
      <c r="J2956" t="s">
        <v>394</v>
      </c>
      <c r="K2956" t="s">
        <v>11</v>
      </c>
      <c r="L2956" t="s">
        <v>649</v>
      </c>
      <c r="M2956" t="s">
        <v>16</v>
      </c>
    </row>
    <row r="2957" spans="1:13">
      <c r="A2957" t="s">
        <v>851</v>
      </c>
      <c r="B2957" t="s">
        <v>686</v>
      </c>
      <c r="C2957" t="s">
        <v>686</v>
      </c>
      <c r="D2957" t="s">
        <v>3185</v>
      </c>
      <c r="E2957" t="s">
        <v>646</v>
      </c>
      <c r="F2957" t="s">
        <v>40</v>
      </c>
      <c r="G2957">
        <v>2010</v>
      </c>
      <c r="H2957" s="12">
        <v>13801</v>
      </c>
      <c r="I2957" t="s">
        <v>3183</v>
      </c>
      <c r="J2957" t="s">
        <v>344</v>
      </c>
      <c r="K2957" t="s">
        <v>9</v>
      </c>
      <c r="L2957" t="s">
        <v>649</v>
      </c>
      <c r="M2957" t="s">
        <v>10</v>
      </c>
    </row>
    <row r="2958" spans="1:13">
      <c r="A2958" t="s">
        <v>851</v>
      </c>
      <c r="B2958" t="s">
        <v>686</v>
      </c>
      <c r="C2958" t="s">
        <v>686</v>
      </c>
      <c r="D2958" t="s">
        <v>3185</v>
      </c>
      <c r="E2958" t="s">
        <v>646</v>
      </c>
      <c r="F2958" t="s">
        <v>40</v>
      </c>
      <c r="G2958">
        <v>2015</v>
      </c>
      <c r="H2958" s="12">
        <v>17319</v>
      </c>
      <c r="I2958" t="s">
        <v>3183</v>
      </c>
      <c r="J2958" t="s">
        <v>344</v>
      </c>
      <c r="K2958" t="s">
        <v>9</v>
      </c>
      <c r="L2958" t="s">
        <v>649</v>
      </c>
      <c r="M2958" t="s">
        <v>10</v>
      </c>
    </row>
    <row r="2959" spans="1:13">
      <c r="A2959" t="s">
        <v>851</v>
      </c>
      <c r="B2959" t="s">
        <v>686</v>
      </c>
      <c r="C2959" t="s">
        <v>686</v>
      </c>
      <c r="D2959" t="s">
        <v>3185</v>
      </c>
      <c r="E2959" t="s">
        <v>646</v>
      </c>
      <c r="F2959" t="s">
        <v>40</v>
      </c>
      <c r="G2959">
        <v>2020</v>
      </c>
      <c r="H2959" s="12">
        <v>21307</v>
      </c>
      <c r="I2959" t="s">
        <v>3183</v>
      </c>
      <c r="J2959" t="s">
        <v>344</v>
      </c>
      <c r="K2959" t="s">
        <v>9</v>
      </c>
      <c r="L2959" t="s">
        <v>649</v>
      </c>
      <c r="M2959" t="s">
        <v>10</v>
      </c>
    </row>
    <row r="2960" spans="1:13">
      <c r="A2960" t="s">
        <v>851</v>
      </c>
      <c r="B2960" t="s">
        <v>686</v>
      </c>
      <c r="C2960" t="s">
        <v>686</v>
      </c>
      <c r="D2960" t="s">
        <v>3185</v>
      </c>
      <c r="E2960" t="s">
        <v>646</v>
      </c>
      <c r="F2960" t="s">
        <v>40</v>
      </c>
      <c r="G2960">
        <v>2030</v>
      </c>
      <c r="H2960" s="12">
        <v>28100</v>
      </c>
      <c r="I2960" t="s">
        <v>3183</v>
      </c>
      <c r="J2960" t="s">
        <v>344</v>
      </c>
      <c r="K2960" t="s">
        <v>9</v>
      </c>
      <c r="L2960" t="s">
        <v>649</v>
      </c>
      <c r="M2960" t="s">
        <v>10</v>
      </c>
    </row>
    <row r="2961" spans="1:13">
      <c r="A2961" t="s">
        <v>851</v>
      </c>
      <c r="B2961" t="s">
        <v>686</v>
      </c>
      <c r="C2961" t="s">
        <v>686</v>
      </c>
      <c r="D2961" t="s">
        <v>3185</v>
      </c>
      <c r="E2961" t="s">
        <v>646</v>
      </c>
      <c r="F2961" t="s">
        <v>40</v>
      </c>
      <c r="G2961">
        <v>2035</v>
      </c>
      <c r="H2961" s="12">
        <v>30074</v>
      </c>
      <c r="I2961" t="s">
        <v>3183</v>
      </c>
      <c r="J2961" t="s">
        <v>344</v>
      </c>
      <c r="K2961" t="s">
        <v>9</v>
      </c>
      <c r="L2961" t="s">
        <v>649</v>
      </c>
      <c r="M2961" t="s">
        <v>10</v>
      </c>
    </row>
    <row r="2962" spans="1:13">
      <c r="A2962" t="s">
        <v>851</v>
      </c>
      <c r="B2962" t="s">
        <v>686</v>
      </c>
      <c r="C2962" t="s">
        <v>686</v>
      </c>
      <c r="D2962" t="s">
        <v>3185</v>
      </c>
      <c r="E2962" t="s">
        <v>646</v>
      </c>
      <c r="F2962" t="s">
        <v>40</v>
      </c>
      <c r="G2962">
        <v>2040</v>
      </c>
      <c r="H2962" s="12">
        <v>31893</v>
      </c>
      <c r="I2962" t="s">
        <v>3183</v>
      </c>
      <c r="J2962" t="s">
        <v>344</v>
      </c>
      <c r="K2962" t="s">
        <v>9</v>
      </c>
      <c r="L2962" t="s">
        <v>649</v>
      </c>
      <c r="M2962" t="s">
        <v>10</v>
      </c>
    </row>
    <row r="2963" spans="1:13">
      <c r="A2963" t="s">
        <v>851</v>
      </c>
      <c r="B2963" t="s">
        <v>686</v>
      </c>
      <c r="C2963" t="s">
        <v>686</v>
      </c>
      <c r="D2963" t="s">
        <v>3185</v>
      </c>
      <c r="E2963" t="s">
        <v>646</v>
      </c>
      <c r="F2963" t="s">
        <v>40</v>
      </c>
      <c r="G2963">
        <v>2045</v>
      </c>
      <c r="H2963" s="12">
        <v>33616</v>
      </c>
      <c r="I2963" t="s">
        <v>3183</v>
      </c>
      <c r="J2963" t="s">
        <v>344</v>
      </c>
      <c r="K2963" t="s">
        <v>9</v>
      </c>
      <c r="L2963" t="s">
        <v>649</v>
      </c>
      <c r="M2963" t="s">
        <v>10</v>
      </c>
    </row>
    <row r="2964" spans="1:13">
      <c r="A2964" t="s">
        <v>851</v>
      </c>
      <c r="B2964" t="s">
        <v>686</v>
      </c>
      <c r="C2964" t="s">
        <v>686</v>
      </c>
      <c r="D2964" t="s">
        <v>3185</v>
      </c>
      <c r="E2964" t="s">
        <v>646</v>
      </c>
      <c r="F2964" t="s">
        <v>40</v>
      </c>
      <c r="G2964">
        <v>2050</v>
      </c>
      <c r="H2964" s="12">
        <v>35319</v>
      </c>
      <c r="I2964" t="s">
        <v>3183</v>
      </c>
      <c r="J2964" t="s">
        <v>344</v>
      </c>
      <c r="K2964" t="s">
        <v>9</v>
      </c>
      <c r="L2964" t="s">
        <v>649</v>
      </c>
      <c r="M2964" t="s">
        <v>10</v>
      </c>
    </row>
    <row r="2965" spans="1:13">
      <c r="A2965" t="s">
        <v>851</v>
      </c>
      <c r="B2965" t="s">
        <v>687</v>
      </c>
      <c r="C2965" t="s">
        <v>687</v>
      </c>
      <c r="D2965" t="s">
        <v>3185</v>
      </c>
      <c r="E2965" t="s">
        <v>646</v>
      </c>
      <c r="F2965" t="s">
        <v>40</v>
      </c>
      <c r="G2965">
        <v>2030</v>
      </c>
      <c r="H2965" s="12">
        <v>28411</v>
      </c>
      <c r="I2965" t="s">
        <v>3183</v>
      </c>
      <c r="J2965" t="s">
        <v>344</v>
      </c>
      <c r="K2965" t="s">
        <v>9</v>
      </c>
      <c r="L2965" t="s">
        <v>649</v>
      </c>
      <c r="M2965" t="s">
        <v>10</v>
      </c>
    </row>
    <row r="2966" spans="1:13">
      <c r="A2966" t="s">
        <v>851</v>
      </c>
      <c r="B2966" t="s">
        <v>687</v>
      </c>
      <c r="C2966" t="s">
        <v>687</v>
      </c>
      <c r="D2966" t="s">
        <v>3185</v>
      </c>
      <c r="E2966" t="s">
        <v>646</v>
      </c>
      <c r="F2966" t="s">
        <v>40</v>
      </c>
      <c r="G2966">
        <v>2035</v>
      </c>
      <c r="H2966" s="12">
        <v>32150</v>
      </c>
      <c r="I2966" t="s">
        <v>3183</v>
      </c>
      <c r="J2966" t="s">
        <v>344</v>
      </c>
      <c r="K2966" t="s">
        <v>9</v>
      </c>
      <c r="L2966" t="s">
        <v>649</v>
      </c>
      <c r="M2966" t="s">
        <v>10</v>
      </c>
    </row>
    <row r="2967" spans="1:13">
      <c r="A2967" t="s">
        <v>851</v>
      </c>
      <c r="B2967" t="s">
        <v>687</v>
      </c>
      <c r="C2967" t="s">
        <v>687</v>
      </c>
      <c r="D2967" t="s">
        <v>3185</v>
      </c>
      <c r="E2967" t="s">
        <v>646</v>
      </c>
      <c r="F2967" t="s">
        <v>40</v>
      </c>
      <c r="G2967">
        <v>2040</v>
      </c>
      <c r="H2967" s="12">
        <v>36289</v>
      </c>
      <c r="I2967" t="s">
        <v>3183</v>
      </c>
      <c r="J2967" t="s">
        <v>344</v>
      </c>
      <c r="K2967" t="s">
        <v>9</v>
      </c>
      <c r="L2967" t="s">
        <v>649</v>
      </c>
      <c r="M2967" t="s">
        <v>10</v>
      </c>
    </row>
    <row r="2968" spans="1:13">
      <c r="A2968" t="s">
        <v>851</v>
      </c>
      <c r="B2968" t="s">
        <v>687</v>
      </c>
      <c r="C2968" t="s">
        <v>687</v>
      </c>
      <c r="D2968" t="s">
        <v>3185</v>
      </c>
      <c r="E2968" t="s">
        <v>646</v>
      </c>
      <c r="F2968" t="s">
        <v>40</v>
      </c>
      <c r="G2968">
        <v>2045</v>
      </c>
      <c r="H2968" s="12">
        <v>40540</v>
      </c>
      <c r="I2968" t="s">
        <v>3183</v>
      </c>
      <c r="J2968" t="s">
        <v>344</v>
      </c>
      <c r="K2968" t="s">
        <v>9</v>
      </c>
      <c r="L2968" t="s">
        <v>649</v>
      </c>
      <c r="M2968" t="s">
        <v>10</v>
      </c>
    </row>
    <row r="2969" spans="1:13">
      <c r="A2969" t="s">
        <v>851</v>
      </c>
      <c r="B2969" t="s">
        <v>687</v>
      </c>
      <c r="C2969" t="s">
        <v>687</v>
      </c>
      <c r="D2969" t="s">
        <v>3185</v>
      </c>
      <c r="E2969" t="s">
        <v>646</v>
      </c>
      <c r="F2969" t="s">
        <v>40</v>
      </c>
      <c r="G2969">
        <v>2050</v>
      </c>
      <c r="H2969" s="12">
        <v>43735</v>
      </c>
      <c r="I2969" t="s">
        <v>3183</v>
      </c>
      <c r="J2969" t="s">
        <v>344</v>
      </c>
      <c r="K2969" t="s">
        <v>9</v>
      </c>
      <c r="L2969" t="s">
        <v>649</v>
      </c>
      <c r="M2969" t="s">
        <v>10</v>
      </c>
    </row>
    <row r="2970" spans="1:13">
      <c r="A2970" t="s">
        <v>851</v>
      </c>
      <c r="B2970" t="s">
        <v>687</v>
      </c>
      <c r="C2970" t="s">
        <v>687</v>
      </c>
      <c r="D2970" t="s">
        <v>3185</v>
      </c>
      <c r="E2970" t="s">
        <v>573</v>
      </c>
      <c r="F2970" t="s">
        <v>40</v>
      </c>
      <c r="G2970">
        <v>2035</v>
      </c>
      <c r="H2970" s="12">
        <v>12227</v>
      </c>
      <c r="I2970" t="s">
        <v>3183</v>
      </c>
      <c r="J2970" t="s">
        <v>6</v>
      </c>
      <c r="K2970" t="s">
        <v>147</v>
      </c>
      <c r="L2970" t="s">
        <v>649</v>
      </c>
      <c r="M2970" t="s">
        <v>659</v>
      </c>
    </row>
    <row r="2971" spans="1:13">
      <c r="A2971" t="s">
        <v>851</v>
      </c>
      <c r="B2971" t="s">
        <v>687</v>
      </c>
      <c r="C2971" t="s">
        <v>687</v>
      </c>
      <c r="D2971" t="s">
        <v>3185</v>
      </c>
      <c r="E2971" t="s">
        <v>573</v>
      </c>
      <c r="F2971" t="s">
        <v>40</v>
      </c>
      <c r="G2971">
        <v>2040</v>
      </c>
      <c r="H2971" s="12">
        <v>11300</v>
      </c>
      <c r="I2971" t="s">
        <v>3183</v>
      </c>
      <c r="J2971" t="s">
        <v>6</v>
      </c>
      <c r="K2971" t="s">
        <v>147</v>
      </c>
      <c r="L2971" t="s">
        <v>649</v>
      </c>
      <c r="M2971" t="s">
        <v>659</v>
      </c>
    </row>
    <row r="2972" spans="1:13">
      <c r="A2972" t="s">
        <v>851</v>
      </c>
      <c r="B2972" t="s">
        <v>687</v>
      </c>
      <c r="C2972" t="s">
        <v>687</v>
      </c>
      <c r="D2972" t="s">
        <v>3185</v>
      </c>
      <c r="E2972" t="s">
        <v>573</v>
      </c>
      <c r="F2972" t="s">
        <v>40</v>
      </c>
      <c r="G2972">
        <v>2045</v>
      </c>
      <c r="H2972" s="12">
        <v>9529</v>
      </c>
      <c r="I2972" t="s">
        <v>3183</v>
      </c>
      <c r="J2972" t="s">
        <v>6</v>
      </c>
      <c r="K2972" t="s">
        <v>147</v>
      </c>
      <c r="L2972" t="s">
        <v>649</v>
      </c>
      <c r="M2972" t="s">
        <v>659</v>
      </c>
    </row>
    <row r="2973" spans="1:13">
      <c r="A2973" t="s">
        <v>851</v>
      </c>
      <c r="B2973" t="s">
        <v>687</v>
      </c>
      <c r="C2973" t="s">
        <v>687</v>
      </c>
      <c r="D2973" t="s">
        <v>3185</v>
      </c>
      <c r="E2973" t="s">
        <v>573</v>
      </c>
      <c r="F2973" t="s">
        <v>40</v>
      </c>
      <c r="G2973">
        <v>2050</v>
      </c>
      <c r="H2973" s="12">
        <v>8120</v>
      </c>
      <c r="I2973" t="s">
        <v>3183</v>
      </c>
      <c r="J2973" t="s">
        <v>6</v>
      </c>
      <c r="K2973" t="s">
        <v>147</v>
      </c>
      <c r="L2973" t="s">
        <v>649</v>
      </c>
      <c r="M2973" t="s">
        <v>659</v>
      </c>
    </row>
    <row r="2974" spans="1:13">
      <c r="A2974" t="s">
        <v>851</v>
      </c>
      <c r="B2974" t="s">
        <v>686</v>
      </c>
      <c r="C2974" t="s">
        <v>686</v>
      </c>
      <c r="D2974" t="s">
        <v>3185</v>
      </c>
      <c r="E2974" t="s">
        <v>573</v>
      </c>
      <c r="F2974" t="s">
        <v>40</v>
      </c>
      <c r="G2974">
        <v>2010</v>
      </c>
      <c r="H2974" s="12">
        <v>2980</v>
      </c>
      <c r="I2974" t="s">
        <v>3183</v>
      </c>
      <c r="J2974" t="s">
        <v>394</v>
      </c>
      <c r="K2974" t="s">
        <v>147</v>
      </c>
      <c r="L2974" t="s">
        <v>649</v>
      </c>
      <c r="M2974" t="s">
        <v>16</v>
      </c>
    </row>
    <row r="2975" spans="1:13">
      <c r="A2975" t="s">
        <v>851</v>
      </c>
      <c r="B2975" t="s">
        <v>686</v>
      </c>
      <c r="C2975" t="s">
        <v>686</v>
      </c>
      <c r="D2975" t="s">
        <v>3185</v>
      </c>
      <c r="E2975" t="s">
        <v>573</v>
      </c>
      <c r="F2975" t="s">
        <v>40</v>
      </c>
      <c r="G2975">
        <v>2015</v>
      </c>
      <c r="H2975" s="12">
        <v>2478</v>
      </c>
      <c r="I2975" t="s">
        <v>3183</v>
      </c>
      <c r="J2975" t="s">
        <v>394</v>
      </c>
      <c r="K2975" t="s">
        <v>147</v>
      </c>
      <c r="L2975" t="s">
        <v>649</v>
      </c>
      <c r="M2975" t="s">
        <v>16</v>
      </c>
    </row>
    <row r="2976" spans="1:13">
      <c r="A2976" t="s">
        <v>851</v>
      </c>
      <c r="B2976" t="s">
        <v>686</v>
      </c>
      <c r="C2976" t="s">
        <v>686</v>
      </c>
      <c r="D2976" t="s">
        <v>3185</v>
      </c>
      <c r="E2976" t="s">
        <v>573</v>
      </c>
      <c r="F2976" t="s">
        <v>40</v>
      </c>
      <c r="G2976">
        <v>2020</v>
      </c>
      <c r="H2976" s="12">
        <v>1476</v>
      </c>
      <c r="I2976" t="s">
        <v>3183</v>
      </c>
      <c r="J2976" t="s">
        <v>394</v>
      </c>
      <c r="K2976" t="s">
        <v>147</v>
      </c>
      <c r="L2976" t="s">
        <v>649</v>
      </c>
      <c r="M2976" t="s">
        <v>16</v>
      </c>
    </row>
    <row r="2977" spans="1:13">
      <c r="A2977" t="s">
        <v>851</v>
      </c>
      <c r="B2977" t="s">
        <v>686</v>
      </c>
      <c r="C2977" t="s">
        <v>686</v>
      </c>
      <c r="D2977" t="s">
        <v>3185</v>
      </c>
      <c r="E2977" t="s">
        <v>573</v>
      </c>
      <c r="F2977" t="s">
        <v>40</v>
      </c>
      <c r="G2977">
        <v>2030</v>
      </c>
      <c r="H2977" s="12">
        <v>919</v>
      </c>
      <c r="I2977" t="s">
        <v>3183</v>
      </c>
      <c r="J2977" t="s">
        <v>394</v>
      </c>
      <c r="K2977" t="s">
        <v>147</v>
      </c>
      <c r="L2977" t="s">
        <v>649</v>
      </c>
      <c r="M2977" t="s">
        <v>16</v>
      </c>
    </row>
    <row r="2978" spans="1:13">
      <c r="A2978" t="s">
        <v>851</v>
      </c>
      <c r="B2978" t="s">
        <v>686</v>
      </c>
      <c r="C2978" t="s">
        <v>686</v>
      </c>
      <c r="D2978" t="s">
        <v>3185</v>
      </c>
      <c r="E2978" t="s">
        <v>573</v>
      </c>
      <c r="F2978" t="s">
        <v>40</v>
      </c>
      <c r="G2978">
        <v>2035</v>
      </c>
      <c r="H2978" s="12">
        <v>769</v>
      </c>
      <c r="I2978" t="s">
        <v>3183</v>
      </c>
      <c r="J2978" t="s">
        <v>394</v>
      </c>
      <c r="K2978" t="s">
        <v>147</v>
      </c>
      <c r="L2978" t="s">
        <v>649</v>
      </c>
      <c r="M2978" t="s">
        <v>16</v>
      </c>
    </row>
    <row r="2979" spans="1:13">
      <c r="A2979" t="s">
        <v>851</v>
      </c>
      <c r="B2979" t="s">
        <v>686</v>
      </c>
      <c r="C2979" t="s">
        <v>686</v>
      </c>
      <c r="D2979" t="s">
        <v>3185</v>
      </c>
      <c r="E2979" t="s">
        <v>573</v>
      </c>
      <c r="F2979" t="s">
        <v>40</v>
      </c>
      <c r="G2979">
        <v>2040</v>
      </c>
      <c r="H2979" s="12">
        <v>634</v>
      </c>
      <c r="I2979" t="s">
        <v>3183</v>
      </c>
      <c r="J2979" t="s">
        <v>394</v>
      </c>
      <c r="K2979" t="s">
        <v>147</v>
      </c>
      <c r="L2979" t="s">
        <v>649</v>
      </c>
      <c r="M2979" t="s">
        <v>16</v>
      </c>
    </row>
    <row r="2980" spans="1:13">
      <c r="A2980" t="s">
        <v>851</v>
      </c>
      <c r="B2980" t="s">
        <v>686</v>
      </c>
      <c r="C2980" t="s">
        <v>686</v>
      </c>
      <c r="D2980" t="s">
        <v>3185</v>
      </c>
      <c r="E2980" t="s">
        <v>573</v>
      </c>
      <c r="F2980" t="s">
        <v>40</v>
      </c>
      <c r="G2980">
        <v>2045</v>
      </c>
      <c r="H2980" s="12">
        <v>531</v>
      </c>
      <c r="I2980" t="s">
        <v>3183</v>
      </c>
      <c r="J2980" t="s">
        <v>394</v>
      </c>
      <c r="K2980" t="s">
        <v>147</v>
      </c>
      <c r="L2980" t="s">
        <v>649</v>
      </c>
      <c r="M2980" t="s">
        <v>16</v>
      </c>
    </row>
    <row r="2981" spans="1:13">
      <c r="A2981" t="s">
        <v>851</v>
      </c>
      <c r="B2981" t="s">
        <v>686</v>
      </c>
      <c r="C2981" t="s">
        <v>686</v>
      </c>
      <c r="D2981" t="s">
        <v>3185</v>
      </c>
      <c r="E2981" t="s">
        <v>573</v>
      </c>
      <c r="F2981" t="s">
        <v>40</v>
      </c>
      <c r="G2981">
        <v>2050</v>
      </c>
      <c r="H2981" s="12">
        <v>479</v>
      </c>
      <c r="I2981" t="s">
        <v>3183</v>
      </c>
      <c r="J2981" t="s">
        <v>394</v>
      </c>
      <c r="K2981" t="s">
        <v>147</v>
      </c>
      <c r="L2981" t="s">
        <v>649</v>
      </c>
      <c r="M2981" t="s">
        <v>16</v>
      </c>
    </row>
    <row r="2982" spans="1:13">
      <c r="A2982" t="s">
        <v>851</v>
      </c>
      <c r="B2982" t="s">
        <v>687</v>
      </c>
      <c r="C2982" t="s">
        <v>687</v>
      </c>
      <c r="D2982" t="s">
        <v>3185</v>
      </c>
      <c r="E2982" t="s">
        <v>573</v>
      </c>
      <c r="F2982" t="s">
        <v>40</v>
      </c>
      <c r="G2982">
        <v>2030</v>
      </c>
      <c r="H2982" s="12">
        <v>866</v>
      </c>
      <c r="I2982" t="s">
        <v>3183</v>
      </c>
      <c r="J2982" t="s">
        <v>394</v>
      </c>
      <c r="K2982" t="s">
        <v>147</v>
      </c>
      <c r="L2982" t="s">
        <v>649</v>
      </c>
      <c r="M2982" t="s">
        <v>16</v>
      </c>
    </row>
    <row r="2983" spans="1:13">
      <c r="A2983" t="s">
        <v>851</v>
      </c>
      <c r="B2983" t="s">
        <v>687</v>
      </c>
      <c r="C2983" t="s">
        <v>687</v>
      </c>
      <c r="D2983" t="s">
        <v>3185</v>
      </c>
      <c r="E2983" t="s">
        <v>573</v>
      </c>
      <c r="F2983" t="s">
        <v>40</v>
      </c>
      <c r="G2983">
        <v>2035</v>
      </c>
      <c r="H2983" s="12">
        <v>672</v>
      </c>
      <c r="I2983" t="s">
        <v>3183</v>
      </c>
      <c r="J2983" t="s">
        <v>394</v>
      </c>
      <c r="K2983" t="s">
        <v>147</v>
      </c>
      <c r="L2983" t="s">
        <v>649</v>
      </c>
      <c r="M2983" t="s">
        <v>16</v>
      </c>
    </row>
    <row r="2984" spans="1:13">
      <c r="A2984" t="s">
        <v>851</v>
      </c>
      <c r="B2984" t="s">
        <v>687</v>
      </c>
      <c r="C2984" t="s">
        <v>687</v>
      </c>
      <c r="D2984" t="s">
        <v>3185</v>
      </c>
      <c r="E2984" t="s">
        <v>573</v>
      </c>
      <c r="F2984" t="s">
        <v>40</v>
      </c>
      <c r="G2984">
        <v>2040</v>
      </c>
      <c r="H2984" s="12">
        <v>569</v>
      </c>
      <c r="I2984" t="s">
        <v>3183</v>
      </c>
      <c r="J2984" t="s">
        <v>394</v>
      </c>
      <c r="K2984" t="s">
        <v>147</v>
      </c>
      <c r="L2984" t="s">
        <v>649</v>
      </c>
      <c r="M2984" t="s">
        <v>16</v>
      </c>
    </row>
    <row r="2985" spans="1:13">
      <c r="A2985" t="s">
        <v>851</v>
      </c>
      <c r="B2985" t="s">
        <v>687</v>
      </c>
      <c r="C2985" t="s">
        <v>687</v>
      </c>
      <c r="D2985" t="s">
        <v>3185</v>
      </c>
      <c r="E2985" t="s">
        <v>573</v>
      </c>
      <c r="F2985" t="s">
        <v>40</v>
      </c>
      <c r="G2985">
        <v>2045</v>
      </c>
      <c r="H2985" s="12">
        <v>423</v>
      </c>
      <c r="I2985" t="s">
        <v>3183</v>
      </c>
      <c r="J2985" t="s">
        <v>394</v>
      </c>
      <c r="K2985" t="s">
        <v>147</v>
      </c>
      <c r="L2985" t="s">
        <v>649</v>
      </c>
      <c r="M2985" t="s">
        <v>16</v>
      </c>
    </row>
    <row r="2986" spans="1:13">
      <c r="A2986" t="s">
        <v>851</v>
      </c>
      <c r="B2986" t="s">
        <v>687</v>
      </c>
      <c r="C2986" t="s">
        <v>687</v>
      </c>
      <c r="D2986" t="s">
        <v>3185</v>
      </c>
      <c r="E2986" t="s">
        <v>573</v>
      </c>
      <c r="F2986" t="s">
        <v>40</v>
      </c>
      <c r="G2986">
        <v>2050</v>
      </c>
      <c r="H2986" s="12">
        <v>395</v>
      </c>
      <c r="I2986" t="s">
        <v>3183</v>
      </c>
      <c r="J2986" t="s">
        <v>394</v>
      </c>
      <c r="K2986" t="s">
        <v>147</v>
      </c>
      <c r="L2986" t="s">
        <v>649</v>
      </c>
      <c r="M2986" t="s">
        <v>16</v>
      </c>
    </row>
    <row r="2987" spans="1:13">
      <c r="A2987" t="s">
        <v>851</v>
      </c>
      <c r="B2987" t="s">
        <v>686</v>
      </c>
      <c r="C2987" t="s">
        <v>686</v>
      </c>
      <c r="D2987" t="s">
        <v>3185</v>
      </c>
      <c r="E2987" t="s">
        <v>573</v>
      </c>
      <c r="F2987" t="s">
        <v>40</v>
      </c>
      <c r="G2987">
        <v>2010</v>
      </c>
      <c r="H2987" s="12">
        <v>52405</v>
      </c>
      <c r="I2987" t="s">
        <v>3183</v>
      </c>
      <c r="J2987" t="s">
        <v>5</v>
      </c>
      <c r="K2987" t="s">
        <v>147</v>
      </c>
      <c r="L2987" t="s">
        <v>649</v>
      </c>
      <c r="M2987" t="s">
        <v>5</v>
      </c>
    </row>
    <row r="2988" spans="1:13">
      <c r="A2988" t="s">
        <v>851</v>
      </c>
      <c r="B2988" t="s">
        <v>686</v>
      </c>
      <c r="C2988" t="s">
        <v>686</v>
      </c>
      <c r="D2988" t="s">
        <v>3185</v>
      </c>
      <c r="E2988" t="s">
        <v>573</v>
      </c>
      <c r="F2988" t="s">
        <v>40</v>
      </c>
      <c r="G2988">
        <v>2015</v>
      </c>
      <c r="H2988" s="12">
        <v>65042</v>
      </c>
      <c r="I2988" t="s">
        <v>3183</v>
      </c>
      <c r="J2988" t="s">
        <v>5</v>
      </c>
      <c r="K2988" t="s">
        <v>147</v>
      </c>
      <c r="L2988" t="s">
        <v>649</v>
      </c>
      <c r="M2988" t="s">
        <v>5</v>
      </c>
    </row>
    <row r="2989" spans="1:13">
      <c r="A2989" t="s">
        <v>851</v>
      </c>
      <c r="B2989" t="s">
        <v>686</v>
      </c>
      <c r="C2989" t="s">
        <v>686</v>
      </c>
      <c r="D2989" t="s">
        <v>3185</v>
      </c>
      <c r="E2989" t="s">
        <v>573</v>
      </c>
      <c r="F2989" t="s">
        <v>40</v>
      </c>
      <c r="G2989">
        <v>2020</v>
      </c>
      <c r="H2989" s="12">
        <v>76716</v>
      </c>
      <c r="I2989" t="s">
        <v>3183</v>
      </c>
      <c r="J2989" t="s">
        <v>5</v>
      </c>
      <c r="K2989" t="s">
        <v>147</v>
      </c>
      <c r="L2989" t="s">
        <v>649</v>
      </c>
      <c r="M2989" t="s">
        <v>5</v>
      </c>
    </row>
    <row r="2990" spans="1:13">
      <c r="A2990" t="s">
        <v>851</v>
      </c>
      <c r="B2990" t="s">
        <v>686</v>
      </c>
      <c r="C2990" t="s">
        <v>686</v>
      </c>
      <c r="D2990" t="s">
        <v>3185</v>
      </c>
      <c r="E2990" t="s">
        <v>573</v>
      </c>
      <c r="F2990" t="s">
        <v>40</v>
      </c>
      <c r="G2990">
        <v>2030</v>
      </c>
      <c r="H2990" s="12">
        <v>81959</v>
      </c>
      <c r="I2990" t="s">
        <v>3183</v>
      </c>
      <c r="J2990" t="s">
        <v>5</v>
      </c>
      <c r="K2990" t="s">
        <v>147</v>
      </c>
      <c r="L2990" t="s">
        <v>649</v>
      </c>
      <c r="M2990" t="s">
        <v>5</v>
      </c>
    </row>
    <row r="2991" spans="1:13">
      <c r="A2991" t="s">
        <v>851</v>
      </c>
      <c r="B2991" t="s">
        <v>686</v>
      </c>
      <c r="C2991" t="s">
        <v>686</v>
      </c>
      <c r="D2991" t="s">
        <v>3185</v>
      </c>
      <c r="E2991" t="s">
        <v>573</v>
      </c>
      <c r="F2991" t="s">
        <v>40</v>
      </c>
      <c r="G2991">
        <v>2035</v>
      </c>
      <c r="H2991" s="12">
        <v>75134</v>
      </c>
      <c r="I2991" t="s">
        <v>3183</v>
      </c>
      <c r="J2991" t="s">
        <v>5</v>
      </c>
      <c r="K2991" t="s">
        <v>147</v>
      </c>
      <c r="L2991" t="s">
        <v>649</v>
      </c>
      <c r="M2991" t="s">
        <v>5</v>
      </c>
    </row>
    <row r="2992" spans="1:13">
      <c r="A2992" t="s">
        <v>851</v>
      </c>
      <c r="B2992" t="s">
        <v>686</v>
      </c>
      <c r="C2992" t="s">
        <v>686</v>
      </c>
      <c r="D2992" t="s">
        <v>3185</v>
      </c>
      <c r="E2992" t="s">
        <v>573</v>
      </c>
      <c r="F2992" t="s">
        <v>40</v>
      </c>
      <c r="G2992">
        <v>2040</v>
      </c>
      <c r="H2992" s="12">
        <v>67681</v>
      </c>
      <c r="I2992" t="s">
        <v>3183</v>
      </c>
      <c r="J2992" t="s">
        <v>5</v>
      </c>
      <c r="K2992" t="s">
        <v>147</v>
      </c>
      <c r="L2992" t="s">
        <v>649</v>
      </c>
      <c r="M2992" t="s">
        <v>5</v>
      </c>
    </row>
    <row r="2993" spans="1:13">
      <c r="A2993" t="s">
        <v>851</v>
      </c>
      <c r="B2993" t="s">
        <v>686</v>
      </c>
      <c r="C2993" t="s">
        <v>686</v>
      </c>
      <c r="D2993" t="s">
        <v>3185</v>
      </c>
      <c r="E2993" t="s">
        <v>573</v>
      </c>
      <c r="F2993" t="s">
        <v>40</v>
      </c>
      <c r="G2993">
        <v>2045</v>
      </c>
      <c r="H2993" s="12">
        <v>61139</v>
      </c>
      <c r="I2993" t="s">
        <v>3183</v>
      </c>
      <c r="J2993" t="s">
        <v>5</v>
      </c>
      <c r="K2993" t="s">
        <v>147</v>
      </c>
      <c r="L2993" t="s">
        <v>649</v>
      </c>
      <c r="M2993" t="s">
        <v>5</v>
      </c>
    </row>
    <row r="2994" spans="1:13">
      <c r="A2994" t="s">
        <v>851</v>
      </c>
      <c r="B2994" t="s">
        <v>686</v>
      </c>
      <c r="C2994" t="s">
        <v>686</v>
      </c>
      <c r="D2994" t="s">
        <v>3185</v>
      </c>
      <c r="E2994" t="s">
        <v>573</v>
      </c>
      <c r="F2994" t="s">
        <v>40</v>
      </c>
      <c r="G2994">
        <v>2050</v>
      </c>
      <c r="H2994" s="12">
        <v>54494</v>
      </c>
      <c r="I2994" t="s">
        <v>3183</v>
      </c>
      <c r="J2994" t="s">
        <v>5</v>
      </c>
      <c r="K2994" t="s">
        <v>147</v>
      </c>
      <c r="L2994" t="s">
        <v>649</v>
      </c>
      <c r="M2994" t="s">
        <v>5</v>
      </c>
    </row>
    <row r="2995" spans="1:13">
      <c r="A2995" t="s">
        <v>851</v>
      </c>
      <c r="B2995" t="s">
        <v>687</v>
      </c>
      <c r="C2995" t="s">
        <v>687</v>
      </c>
      <c r="D2995" t="s">
        <v>3185</v>
      </c>
      <c r="E2995" t="s">
        <v>573</v>
      </c>
      <c r="F2995" t="s">
        <v>40</v>
      </c>
      <c r="G2995">
        <v>2030</v>
      </c>
      <c r="H2995" s="12">
        <v>75511</v>
      </c>
      <c r="I2995" t="s">
        <v>3183</v>
      </c>
      <c r="J2995" t="s">
        <v>5</v>
      </c>
      <c r="K2995" t="s">
        <v>147</v>
      </c>
      <c r="L2995" t="s">
        <v>649</v>
      </c>
      <c r="M2995" t="s">
        <v>5</v>
      </c>
    </row>
    <row r="2996" spans="1:13">
      <c r="A2996" t="s">
        <v>851</v>
      </c>
      <c r="B2996" t="s">
        <v>687</v>
      </c>
      <c r="C2996" t="s">
        <v>687</v>
      </c>
      <c r="D2996" t="s">
        <v>3185</v>
      </c>
      <c r="E2996" t="s">
        <v>573</v>
      </c>
      <c r="F2996" t="s">
        <v>40</v>
      </c>
      <c r="G2996">
        <v>2035</v>
      </c>
      <c r="H2996" s="12">
        <v>64710</v>
      </c>
      <c r="I2996" t="s">
        <v>3183</v>
      </c>
      <c r="J2996" t="s">
        <v>5</v>
      </c>
      <c r="K2996" t="s">
        <v>147</v>
      </c>
      <c r="L2996" t="s">
        <v>649</v>
      </c>
      <c r="M2996" t="s">
        <v>5</v>
      </c>
    </row>
    <row r="2997" spans="1:13">
      <c r="A2997" t="s">
        <v>851</v>
      </c>
      <c r="B2997" t="s">
        <v>687</v>
      </c>
      <c r="C2997" t="s">
        <v>687</v>
      </c>
      <c r="D2997" t="s">
        <v>3185</v>
      </c>
      <c r="E2997" t="s">
        <v>573</v>
      </c>
      <c r="F2997" t="s">
        <v>40</v>
      </c>
      <c r="G2997">
        <v>2040</v>
      </c>
      <c r="H2997" s="12">
        <v>45685</v>
      </c>
      <c r="I2997" t="s">
        <v>3183</v>
      </c>
      <c r="J2997" t="s">
        <v>5</v>
      </c>
      <c r="K2997" t="s">
        <v>147</v>
      </c>
      <c r="L2997" t="s">
        <v>649</v>
      </c>
      <c r="M2997" t="s">
        <v>5</v>
      </c>
    </row>
    <row r="2998" spans="1:13">
      <c r="A2998" t="s">
        <v>851</v>
      </c>
      <c r="B2998" t="s">
        <v>687</v>
      </c>
      <c r="C2998" t="s">
        <v>687</v>
      </c>
      <c r="D2998" t="s">
        <v>3185</v>
      </c>
      <c r="E2998" t="s">
        <v>573</v>
      </c>
      <c r="F2998" t="s">
        <v>40</v>
      </c>
      <c r="G2998">
        <v>2045</v>
      </c>
      <c r="H2998" s="12">
        <v>33460</v>
      </c>
      <c r="I2998" t="s">
        <v>3183</v>
      </c>
      <c r="J2998" t="s">
        <v>5</v>
      </c>
      <c r="K2998" t="s">
        <v>147</v>
      </c>
      <c r="L2998" t="s">
        <v>649</v>
      </c>
      <c r="M2998" t="s">
        <v>5</v>
      </c>
    </row>
    <row r="2999" spans="1:13">
      <c r="A2999" t="s">
        <v>851</v>
      </c>
      <c r="B2999" t="s">
        <v>687</v>
      </c>
      <c r="C2999" t="s">
        <v>687</v>
      </c>
      <c r="D2999" t="s">
        <v>3185</v>
      </c>
      <c r="E2999" t="s">
        <v>573</v>
      </c>
      <c r="F2999" t="s">
        <v>40</v>
      </c>
      <c r="G2999">
        <v>2050</v>
      </c>
      <c r="H2999" s="12">
        <v>23668</v>
      </c>
      <c r="I2999" t="s">
        <v>3183</v>
      </c>
      <c r="J2999" t="s">
        <v>5</v>
      </c>
      <c r="K2999" t="s">
        <v>147</v>
      </c>
      <c r="L2999" t="s">
        <v>649</v>
      </c>
      <c r="M2999" t="s">
        <v>5</v>
      </c>
    </row>
    <row r="3000" spans="1:13">
      <c r="A3000" t="s">
        <v>851</v>
      </c>
      <c r="B3000" t="s">
        <v>686</v>
      </c>
      <c r="C3000" t="s">
        <v>686</v>
      </c>
      <c r="D3000" t="s">
        <v>12</v>
      </c>
      <c r="E3000" t="s">
        <v>660</v>
      </c>
      <c r="F3000" t="s">
        <v>40</v>
      </c>
      <c r="G3000">
        <v>2010</v>
      </c>
      <c r="H3000" s="12">
        <v>0</v>
      </c>
      <c r="I3000" t="s">
        <v>3183</v>
      </c>
      <c r="J3000" t="s">
        <v>17</v>
      </c>
      <c r="K3000" t="s">
        <v>657</v>
      </c>
      <c r="L3000" t="s">
        <v>3184</v>
      </c>
      <c r="M3000" t="s">
        <v>17</v>
      </c>
    </row>
    <row r="3001" spans="1:13">
      <c r="A3001" t="s">
        <v>851</v>
      </c>
      <c r="B3001" t="s">
        <v>686</v>
      </c>
      <c r="C3001" t="s">
        <v>686</v>
      </c>
      <c r="D3001" t="s">
        <v>12</v>
      </c>
      <c r="E3001" t="s">
        <v>660</v>
      </c>
      <c r="F3001" t="s">
        <v>40</v>
      </c>
      <c r="G3001">
        <v>2015</v>
      </c>
      <c r="H3001" s="12">
        <v>1</v>
      </c>
      <c r="I3001" t="s">
        <v>3183</v>
      </c>
      <c r="J3001" t="s">
        <v>17</v>
      </c>
      <c r="K3001" t="s">
        <v>657</v>
      </c>
      <c r="L3001" t="s">
        <v>3184</v>
      </c>
      <c r="M3001" t="s">
        <v>17</v>
      </c>
    </row>
    <row r="3002" spans="1:13">
      <c r="A3002" t="s">
        <v>851</v>
      </c>
      <c r="B3002" t="s">
        <v>686</v>
      </c>
      <c r="C3002" t="s">
        <v>686</v>
      </c>
      <c r="D3002" t="s">
        <v>12</v>
      </c>
      <c r="E3002" t="s">
        <v>660</v>
      </c>
      <c r="F3002" t="s">
        <v>40</v>
      </c>
      <c r="G3002">
        <v>2020</v>
      </c>
      <c r="H3002" s="12">
        <v>7</v>
      </c>
      <c r="I3002" t="s">
        <v>3183</v>
      </c>
      <c r="J3002" t="s">
        <v>17</v>
      </c>
      <c r="K3002" t="s">
        <v>657</v>
      </c>
      <c r="L3002" t="s">
        <v>3184</v>
      </c>
      <c r="M3002" t="s">
        <v>17</v>
      </c>
    </row>
    <row r="3003" spans="1:13">
      <c r="A3003" t="s">
        <v>851</v>
      </c>
      <c r="B3003" t="s">
        <v>686</v>
      </c>
      <c r="C3003" t="s">
        <v>686</v>
      </c>
      <c r="D3003" t="s">
        <v>12</v>
      </c>
      <c r="E3003" t="s">
        <v>660</v>
      </c>
      <c r="F3003" t="s">
        <v>40</v>
      </c>
      <c r="G3003">
        <v>2030</v>
      </c>
      <c r="H3003" s="12">
        <v>20</v>
      </c>
      <c r="I3003" t="s">
        <v>3183</v>
      </c>
      <c r="J3003" t="s">
        <v>17</v>
      </c>
      <c r="K3003" t="s">
        <v>657</v>
      </c>
      <c r="L3003" t="s">
        <v>3184</v>
      </c>
      <c r="M3003" t="s">
        <v>17</v>
      </c>
    </row>
    <row r="3004" spans="1:13">
      <c r="A3004" t="s">
        <v>851</v>
      </c>
      <c r="B3004" t="s">
        <v>686</v>
      </c>
      <c r="C3004" t="s">
        <v>686</v>
      </c>
      <c r="D3004" t="s">
        <v>12</v>
      </c>
      <c r="E3004" t="s">
        <v>660</v>
      </c>
      <c r="F3004" t="s">
        <v>40</v>
      </c>
      <c r="G3004">
        <v>2035</v>
      </c>
      <c r="H3004" s="12">
        <v>27</v>
      </c>
      <c r="I3004" t="s">
        <v>3183</v>
      </c>
      <c r="J3004" t="s">
        <v>17</v>
      </c>
      <c r="K3004" t="s">
        <v>657</v>
      </c>
      <c r="L3004" t="s">
        <v>3184</v>
      </c>
      <c r="M3004" t="s">
        <v>17</v>
      </c>
    </row>
    <row r="3005" spans="1:13">
      <c r="A3005" t="s">
        <v>851</v>
      </c>
      <c r="B3005" t="s">
        <v>686</v>
      </c>
      <c r="C3005" t="s">
        <v>686</v>
      </c>
      <c r="D3005" t="s">
        <v>12</v>
      </c>
      <c r="E3005" t="s">
        <v>660</v>
      </c>
      <c r="F3005" t="s">
        <v>40</v>
      </c>
      <c r="G3005">
        <v>2040</v>
      </c>
      <c r="H3005" s="12">
        <v>35</v>
      </c>
      <c r="I3005" t="s">
        <v>3183</v>
      </c>
      <c r="J3005" t="s">
        <v>17</v>
      </c>
      <c r="K3005" t="s">
        <v>657</v>
      </c>
      <c r="L3005" t="s">
        <v>3184</v>
      </c>
      <c r="M3005" t="s">
        <v>17</v>
      </c>
    </row>
    <row r="3006" spans="1:13">
      <c r="A3006" t="s">
        <v>851</v>
      </c>
      <c r="B3006" t="s">
        <v>686</v>
      </c>
      <c r="C3006" t="s">
        <v>686</v>
      </c>
      <c r="D3006" t="s">
        <v>12</v>
      </c>
      <c r="E3006" t="s">
        <v>660</v>
      </c>
      <c r="F3006" t="s">
        <v>40</v>
      </c>
      <c r="G3006">
        <v>2035</v>
      </c>
      <c r="H3006" s="12">
        <v>0</v>
      </c>
      <c r="I3006" t="s">
        <v>3183</v>
      </c>
      <c r="J3006" t="s">
        <v>41</v>
      </c>
      <c r="K3006" t="s">
        <v>657</v>
      </c>
      <c r="L3006" t="s">
        <v>3184</v>
      </c>
      <c r="M3006" t="s">
        <v>661</v>
      </c>
    </row>
    <row r="3007" spans="1:13">
      <c r="A3007" t="s">
        <v>851</v>
      </c>
      <c r="B3007" t="s">
        <v>686</v>
      </c>
      <c r="C3007" t="s">
        <v>686</v>
      </c>
      <c r="D3007" t="s">
        <v>12</v>
      </c>
      <c r="E3007" t="s">
        <v>660</v>
      </c>
      <c r="F3007" t="s">
        <v>40</v>
      </c>
      <c r="G3007">
        <v>2040</v>
      </c>
      <c r="H3007" s="12">
        <v>0</v>
      </c>
      <c r="I3007" t="s">
        <v>3183</v>
      </c>
      <c r="J3007" t="s">
        <v>41</v>
      </c>
      <c r="K3007" t="s">
        <v>657</v>
      </c>
      <c r="L3007" t="s">
        <v>3184</v>
      </c>
      <c r="M3007" t="s">
        <v>661</v>
      </c>
    </row>
    <row r="3008" spans="1:13">
      <c r="A3008" t="s">
        <v>851</v>
      </c>
      <c r="B3008" t="s">
        <v>686</v>
      </c>
      <c r="C3008" t="s">
        <v>686</v>
      </c>
      <c r="D3008" t="s">
        <v>12</v>
      </c>
      <c r="E3008" t="s">
        <v>660</v>
      </c>
      <c r="F3008" t="s">
        <v>40</v>
      </c>
      <c r="G3008">
        <v>2045</v>
      </c>
      <c r="H3008" s="12">
        <v>0</v>
      </c>
      <c r="I3008" t="s">
        <v>3183</v>
      </c>
      <c r="J3008" t="s">
        <v>41</v>
      </c>
      <c r="K3008" t="s">
        <v>657</v>
      </c>
      <c r="L3008" t="s">
        <v>3184</v>
      </c>
      <c r="M3008" t="s">
        <v>661</v>
      </c>
    </row>
    <row r="3009" spans="1:13">
      <c r="A3009" t="s">
        <v>851</v>
      </c>
      <c r="B3009" t="s">
        <v>686</v>
      </c>
      <c r="C3009" t="s">
        <v>686</v>
      </c>
      <c r="D3009" t="s">
        <v>12</v>
      </c>
      <c r="E3009" t="s">
        <v>660</v>
      </c>
      <c r="F3009" t="s">
        <v>40</v>
      </c>
      <c r="G3009">
        <v>2050</v>
      </c>
      <c r="H3009" s="12">
        <v>0</v>
      </c>
      <c r="I3009" t="s">
        <v>3183</v>
      </c>
      <c r="J3009" t="s">
        <v>41</v>
      </c>
      <c r="K3009" t="s">
        <v>657</v>
      </c>
      <c r="L3009" t="s">
        <v>3184</v>
      </c>
      <c r="M3009" t="s">
        <v>661</v>
      </c>
    </row>
    <row r="3010" spans="1:13">
      <c r="A3010" t="s">
        <v>851</v>
      </c>
      <c r="B3010" t="s">
        <v>687</v>
      </c>
      <c r="C3010" t="s">
        <v>687</v>
      </c>
      <c r="D3010" t="s">
        <v>12</v>
      </c>
      <c r="E3010" t="s">
        <v>660</v>
      </c>
      <c r="F3010" t="s">
        <v>40</v>
      </c>
      <c r="G3010">
        <v>2030</v>
      </c>
      <c r="H3010" s="12">
        <v>0</v>
      </c>
      <c r="I3010" t="s">
        <v>3183</v>
      </c>
      <c r="J3010" t="s">
        <v>41</v>
      </c>
      <c r="K3010" t="s">
        <v>657</v>
      </c>
      <c r="L3010" t="s">
        <v>3184</v>
      </c>
      <c r="M3010" t="s">
        <v>661</v>
      </c>
    </row>
    <row r="3011" spans="1:13">
      <c r="A3011" t="s">
        <v>851</v>
      </c>
      <c r="B3011" t="s">
        <v>687</v>
      </c>
      <c r="C3011" t="s">
        <v>687</v>
      </c>
      <c r="D3011" t="s">
        <v>12</v>
      </c>
      <c r="E3011" t="s">
        <v>660</v>
      </c>
      <c r="F3011" t="s">
        <v>40</v>
      </c>
      <c r="G3011">
        <v>2035</v>
      </c>
      <c r="H3011" s="12">
        <v>0</v>
      </c>
      <c r="I3011" t="s">
        <v>3183</v>
      </c>
      <c r="J3011" t="s">
        <v>41</v>
      </c>
      <c r="K3011" t="s">
        <v>657</v>
      </c>
      <c r="L3011" t="s">
        <v>3184</v>
      </c>
      <c r="M3011" t="s">
        <v>661</v>
      </c>
    </row>
    <row r="3012" spans="1:13">
      <c r="A3012" t="s">
        <v>851</v>
      </c>
      <c r="B3012" t="s">
        <v>687</v>
      </c>
      <c r="C3012" t="s">
        <v>687</v>
      </c>
      <c r="D3012" t="s">
        <v>12</v>
      </c>
      <c r="E3012" t="s">
        <v>660</v>
      </c>
      <c r="F3012" t="s">
        <v>40</v>
      </c>
      <c r="G3012">
        <v>2040</v>
      </c>
      <c r="H3012" s="12">
        <v>0</v>
      </c>
      <c r="I3012" t="s">
        <v>3183</v>
      </c>
      <c r="J3012" t="s">
        <v>41</v>
      </c>
      <c r="K3012" t="s">
        <v>657</v>
      </c>
      <c r="L3012" t="s">
        <v>3184</v>
      </c>
      <c r="M3012" t="s">
        <v>661</v>
      </c>
    </row>
    <row r="3013" spans="1:13">
      <c r="A3013" t="s">
        <v>851</v>
      </c>
      <c r="B3013" t="s">
        <v>687</v>
      </c>
      <c r="C3013" t="s">
        <v>687</v>
      </c>
      <c r="D3013" t="s">
        <v>12</v>
      </c>
      <c r="E3013" t="s">
        <v>660</v>
      </c>
      <c r="F3013" t="s">
        <v>40</v>
      </c>
      <c r="G3013">
        <v>2045</v>
      </c>
      <c r="H3013" s="12">
        <v>0</v>
      </c>
      <c r="I3013" t="s">
        <v>3183</v>
      </c>
      <c r="J3013" t="s">
        <v>41</v>
      </c>
      <c r="K3013" t="s">
        <v>657</v>
      </c>
      <c r="L3013" t="s">
        <v>3184</v>
      </c>
      <c r="M3013" t="s">
        <v>661</v>
      </c>
    </row>
    <row r="3014" spans="1:13">
      <c r="A3014" t="s">
        <v>851</v>
      </c>
      <c r="B3014" t="s">
        <v>687</v>
      </c>
      <c r="C3014" t="s">
        <v>687</v>
      </c>
      <c r="D3014" t="s">
        <v>12</v>
      </c>
      <c r="E3014" t="s">
        <v>660</v>
      </c>
      <c r="F3014" t="s">
        <v>40</v>
      </c>
      <c r="G3014">
        <v>2050</v>
      </c>
      <c r="H3014" s="12">
        <v>0</v>
      </c>
      <c r="I3014" t="s">
        <v>3183</v>
      </c>
      <c r="J3014" t="s">
        <v>41</v>
      </c>
      <c r="K3014" t="s">
        <v>657</v>
      </c>
      <c r="L3014" t="s">
        <v>3184</v>
      </c>
      <c r="M3014" t="s">
        <v>661</v>
      </c>
    </row>
    <row r="3015" spans="1:13">
      <c r="A3015" t="s">
        <v>851</v>
      </c>
      <c r="B3015" t="s">
        <v>686</v>
      </c>
      <c r="C3015" t="s">
        <v>686</v>
      </c>
      <c r="D3015" t="s">
        <v>12</v>
      </c>
      <c r="E3015" t="s">
        <v>660</v>
      </c>
      <c r="F3015" t="s">
        <v>40</v>
      </c>
      <c r="G3015">
        <v>2010</v>
      </c>
      <c r="H3015" s="12">
        <v>1874</v>
      </c>
      <c r="I3015" t="s">
        <v>3183</v>
      </c>
      <c r="J3015" t="s">
        <v>15</v>
      </c>
      <c r="K3015" t="s">
        <v>657</v>
      </c>
      <c r="L3015" t="s">
        <v>3184</v>
      </c>
      <c r="M3015" t="s">
        <v>15</v>
      </c>
    </row>
    <row r="3016" spans="1:13">
      <c r="A3016" t="s">
        <v>851</v>
      </c>
      <c r="B3016" t="s">
        <v>686</v>
      </c>
      <c r="C3016" t="s">
        <v>686</v>
      </c>
      <c r="D3016" t="s">
        <v>12</v>
      </c>
      <c r="E3016" t="s">
        <v>660</v>
      </c>
      <c r="F3016" t="s">
        <v>40</v>
      </c>
      <c r="G3016">
        <v>2015</v>
      </c>
      <c r="H3016" s="12">
        <v>2147</v>
      </c>
      <c r="I3016" t="s">
        <v>3183</v>
      </c>
      <c r="J3016" t="s">
        <v>15</v>
      </c>
      <c r="K3016" t="s">
        <v>657</v>
      </c>
      <c r="L3016" t="s">
        <v>3184</v>
      </c>
      <c r="M3016" t="s">
        <v>15</v>
      </c>
    </row>
    <row r="3017" spans="1:13">
      <c r="A3017" t="s">
        <v>851</v>
      </c>
      <c r="B3017" t="s">
        <v>686</v>
      </c>
      <c r="C3017" t="s">
        <v>686</v>
      </c>
      <c r="D3017" t="s">
        <v>12</v>
      </c>
      <c r="E3017" t="s">
        <v>660</v>
      </c>
      <c r="F3017" t="s">
        <v>40</v>
      </c>
      <c r="G3017">
        <v>2020</v>
      </c>
      <c r="H3017" s="12">
        <v>2368</v>
      </c>
      <c r="I3017" t="s">
        <v>3183</v>
      </c>
      <c r="J3017" t="s">
        <v>15</v>
      </c>
      <c r="K3017" t="s">
        <v>657</v>
      </c>
      <c r="L3017" t="s">
        <v>3184</v>
      </c>
      <c r="M3017" t="s">
        <v>15</v>
      </c>
    </row>
    <row r="3018" spans="1:13">
      <c r="A3018" t="s">
        <v>851</v>
      </c>
      <c r="B3018" t="s">
        <v>686</v>
      </c>
      <c r="C3018" t="s">
        <v>686</v>
      </c>
      <c r="D3018" t="s">
        <v>12</v>
      </c>
      <c r="E3018" t="s">
        <v>660</v>
      </c>
      <c r="F3018" t="s">
        <v>40</v>
      </c>
      <c r="G3018">
        <v>2030</v>
      </c>
      <c r="H3018" s="12">
        <v>2505</v>
      </c>
      <c r="I3018" t="s">
        <v>3183</v>
      </c>
      <c r="J3018" t="s">
        <v>15</v>
      </c>
      <c r="K3018" t="s">
        <v>657</v>
      </c>
      <c r="L3018" t="s">
        <v>3184</v>
      </c>
      <c r="M3018" t="s">
        <v>15</v>
      </c>
    </row>
    <row r="3019" spans="1:13">
      <c r="A3019" t="s">
        <v>851</v>
      </c>
      <c r="B3019" t="s">
        <v>686</v>
      </c>
      <c r="C3019" t="s">
        <v>686</v>
      </c>
      <c r="D3019" t="s">
        <v>12</v>
      </c>
      <c r="E3019" t="s">
        <v>660</v>
      </c>
      <c r="F3019" t="s">
        <v>40</v>
      </c>
      <c r="G3019">
        <v>2035</v>
      </c>
      <c r="H3019" s="12">
        <v>2773</v>
      </c>
      <c r="I3019" t="s">
        <v>3183</v>
      </c>
      <c r="J3019" t="s">
        <v>15</v>
      </c>
      <c r="K3019" t="s">
        <v>657</v>
      </c>
      <c r="L3019" t="s">
        <v>3184</v>
      </c>
      <c r="M3019" t="s">
        <v>15</v>
      </c>
    </row>
    <row r="3020" spans="1:13">
      <c r="A3020" t="s">
        <v>851</v>
      </c>
      <c r="B3020" t="s">
        <v>686</v>
      </c>
      <c r="C3020" t="s">
        <v>686</v>
      </c>
      <c r="D3020" t="s">
        <v>12</v>
      </c>
      <c r="E3020" t="s">
        <v>660</v>
      </c>
      <c r="F3020" t="s">
        <v>40</v>
      </c>
      <c r="G3020">
        <v>2040</v>
      </c>
      <c r="H3020" s="12">
        <v>2859</v>
      </c>
      <c r="I3020" t="s">
        <v>3183</v>
      </c>
      <c r="J3020" t="s">
        <v>15</v>
      </c>
      <c r="K3020" t="s">
        <v>657</v>
      </c>
      <c r="L3020" t="s">
        <v>3184</v>
      </c>
      <c r="M3020" t="s">
        <v>15</v>
      </c>
    </row>
    <row r="3021" spans="1:13">
      <c r="A3021" t="s">
        <v>851</v>
      </c>
      <c r="B3021" t="s">
        <v>686</v>
      </c>
      <c r="C3021" t="s">
        <v>686</v>
      </c>
      <c r="D3021" t="s">
        <v>12</v>
      </c>
      <c r="E3021" t="s">
        <v>660</v>
      </c>
      <c r="F3021" t="s">
        <v>40</v>
      </c>
      <c r="G3021">
        <v>2045</v>
      </c>
      <c r="H3021" s="12">
        <v>2968</v>
      </c>
      <c r="I3021" t="s">
        <v>3183</v>
      </c>
      <c r="J3021" t="s">
        <v>15</v>
      </c>
      <c r="K3021" t="s">
        <v>657</v>
      </c>
      <c r="L3021" t="s">
        <v>3184</v>
      </c>
      <c r="M3021" t="s">
        <v>15</v>
      </c>
    </row>
    <row r="3022" spans="1:13">
      <c r="A3022" t="s">
        <v>851</v>
      </c>
      <c r="B3022" t="s">
        <v>686</v>
      </c>
      <c r="C3022" t="s">
        <v>686</v>
      </c>
      <c r="D3022" t="s">
        <v>12</v>
      </c>
      <c r="E3022" t="s">
        <v>660</v>
      </c>
      <c r="F3022" t="s">
        <v>40</v>
      </c>
      <c r="G3022">
        <v>2050</v>
      </c>
      <c r="H3022" s="12">
        <v>3090</v>
      </c>
      <c r="I3022" t="s">
        <v>3183</v>
      </c>
      <c r="J3022" t="s">
        <v>15</v>
      </c>
      <c r="K3022" t="s">
        <v>657</v>
      </c>
      <c r="L3022" t="s">
        <v>3184</v>
      </c>
      <c r="M3022" t="s">
        <v>15</v>
      </c>
    </row>
    <row r="3023" spans="1:13">
      <c r="A3023" t="s">
        <v>851</v>
      </c>
      <c r="B3023" t="s">
        <v>687</v>
      </c>
      <c r="C3023" t="s">
        <v>687</v>
      </c>
      <c r="D3023" t="s">
        <v>12</v>
      </c>
      <c r="E3023" t="s">
        <v>660</v>
      </c>
      <c r="F3023" t="s">
        <v>40</v>
      </c>
      <c r="G3023">
        <v>2030</v>
      </c>
      <c r="H3023" s="12">
        <v>2532</v>
      </c>
      <c r="I3023" t="s">
        <v>3183</v>
      </c>
      <c r="J3023" t="s">
        <v>15</v>
      </c>
      <c r="K3023" t="s">
        <v>657</v>
      </c>
      <c r="L3023" t="s">
        <v>3184</v>
      </c>
      <c r="M3023" t="s">
        <v>15</v>
      </c>
    </row>
    <row r="3024" spans="1:13">
      <c r="A3024" t="s">
        <v>851</v>
      </c>
      <c r="B3024" t="s">
        <v>687</v>
      </c>
      <c r="C3024" t="s">
        <v>687</v>
      </c>
      <c r="D3024" t="s">
        <v>12</v>
      </c>
      <c r="E3024" t="s">
        <v>660</v>
      </c>
      <c r="F3024" t="s">
        <v>40</v>
      </c>
      <c r="G3024">
        <v>2035</v>
      </c>
      <c r="H3024" s="12">
        <v>2814</v>
      </c>
      <c r="I3024" t="s">
        <v>3183</v>
      </c>
      <c r="J3024" t="s">
        <v>15</v>
      </c>
      <c r="K3024" t="s">
        <v>657</v>
      </c>
      <c r="L3024" t="s">
        <v>3184</v>
      </c>
      <c r="M3024" t="s">
        <v>15</v>
      </c>
    </row>
    <row r="3025" spans="1:13">
      <c r="A3025" t="s">
        <v>851</v>
      </c>
      <c r="B3025" t="s">
        <v>687</v>
      </c>
      <c r="C3025" t="s">
        <v>687</v>
      </c>
      <c r="D3025" t="s">
        <v>12</v>
      </c>
      <c r="E3025" t="s">
        <v>660</v>
      </c>
      <c r="F3025" t="s">
        <v>40</v>
      </c>
      <c r="G3025">
        <v>2040</v>
      </c>
      <c r="H3025" s="12">
        <v>2904</v>
      </c>
      <c r="I3025" t="s">
        <v>3183</v>
      </c>
      <c r="J3025" t="s">
        <v>15</v>
      </c>
      <c r="K3025" t="s">
        <v>657</v>
      </c>
      <c r="L3025" t="s">
        <v>3184</v>
      </c>
      <c r="M3025" t="s">
        <v>15</v>
      </c>
    </row>
    <row r="3026" spans="1:13">
      <c r="A3026" t="s">
        <v>851</v>
      </c>
      <c r="B3026" t="s">
        <v>687</v>
      </c>
      <c r="C3026" t="s">
        <v>687</v>
      </c>
      <c r="D3026" t="s">
        <v>12</v>
      </c>
      <c r="E3026" t="s">
        <v>660</v>
      </c>
      <c r="F3026" t="s">
        <v>40</v>
      </c>
      <c r="G3026">
        <v>2045</v>
      </c>
      <c r="H3026" s="12">
        <v>3016</v>
      </c>
      <c r="I3026" t="s">
        <v>3183</v>
      </c>
      <c r="J3026" t="s">
        <v>15</v>
      </c>
      <c r="K3026" t="s">
        <v>657</v>
      </c>
      <c r="L3026" t="s">
        <v>3184</v>
      </c>
      <c r="M3026" t="s">
        <v>15</v>
      </c>
    </row>
    <row r="3027" spans="1:13">
      <c r="A3027" t="s">
        <v>851</v>
      </c>
      <c r="B3027" t="s">
        <v>687</v>
      </c>
      <c r="C3027" t="s">
        <v>687</v>
      </c>
      <c r="D3027" t="s">
        <v>12</v>
      </c>
      <c r="E3027" t="s">
        <v>660</v>
      </c>
      <c r="F3027" t="s">
        <v>40</v>
      </c>
      <c r="G3027">
        <v>2050</v>
      </c>
      <c r="H3027" s="12">
        <v>3149</v>
      </c>
      <c r="I3027" t="s">
        <v>3183</v>
      </c>
      <c r="J3027" t="s">
        <v>15</v>
      </c>
      <c r="K3027" t="s">
        <v>657</v>
      </c>
      <c r="L3027" t="s">
        <v>3184</v>
      </c>
      <c r="M3027" t="s">
        <v>15</v>
      </c>
    </row>
    <row r="3028" spans="1:13">
      <c r="A3028" t="s">
        <v>851</v>
      </c>
      <c r="B3028" t="s">
        <v>686</v>
      </c>
      <c r="C3028" t="s">
        <v>686</v>
      </c>
      <c r="D3028" t="s">
        <v>12</v>
      </c>
      <c r="E3028" t="s">
        <v>660</v>
      </c>
      <c r="F3028" t="s">
        <v>40</v>
      </c>
      <c r="G3028">
        <v>2010</v>
      </c>
      <c r="H3028" s="12">
        <v>16233</v>
      </c>
      <c r="I3028" t="s">
        <v>3183</v>
      </c>
      <c r="J3028" t="s">
        <v>6</v>
      </c>
      <c r="K3028" t="s">
        <v>657</v>
      </c>
      <c r="L3028" t="s">
        <v>3184</v>
      </c>
      <c r="M3028" t="s">
        <v>659</v>
      </c>
    </row>
    <row r="3029" spans="1:13">
      <c r="A3029" t="s">
        <v>851</v>
      </c>
      <c r="B3029" t="s">
        <v>686</v>
      </c>
      <c r="C3029" t="s">
        <v>686</v>
      </c>
      <c r="D3029" t="s">
        <v>12</v>
      </c>
      <c r="E3029" t="s">
        <v>660</v>
      </c>
      <c r="F3029" t="s">
        <v>40</v>
      </c>
      <c r="G3029">
        <v>2015</v>
      </c>
      <c r="H3029" s="12">
        <v>15378</v>
      </c>
      <c r="I3029" t="s">
        <v>3183</v>
      </c>
      <c r="J3029" t="s">
        <v>6</v>
      </c>
      <c r="K3029" t="s">
        <v>657</v>
      </c>
      <c r="L3029" t="s">
        <v>3184</v>
      </c>
      <c r="M3029" t="s">
        <v>659</v>
      </c>
    </row>
    <row r="3030" spans="1:13">
      <c r="A3030" t="s">
        <v>851</v>
      </c>
      <c r="B3030" t="s">
        <v>686</v>
      </c>
      <c r="C3030" t="s">
        <v>686</v>
      </c>
      <c r="D3030" t="s">
        <v>12</v>
      </c>
      <c r="E3030" t="s">
        <v>660</v>
      </c>
      <c r="F3030" t="s">
        <v>40</v>
      </c>
      <c r="G3030">
        <v>2020</v>
      </c>
      <c r="H3030" s="12">
        <v>17224</v>
      </c>
      <c r="I3030" t="s">
        <v>3183</v>
      </c>
      <c r="J3030" t="s">
        <v>6</v>
      </c>
      <c r="K3030" t="s">
        <v>657</v>
      </c>
      <c r="L3030" t="s">
        <v>3184</v>
      </c>
      <c r="M3030" t="s">
        <v>659</v>
      </c>
    </row>
    <row r="3031" spans="1:13">
      <c r="A3031" t="s">
        <v>851</v>
      </c>
      <c r="B3031" t="s">
        <v>686</v>
      </c>
      <c r="C3031" t="s">
        <v>686</v>
      </c>
      <c r="D3031" t="s">
        <v>12</v>
      </c>
      <c r="E3031" t="s">
        <v>660</v>
      </c>
      <c r="F3031" t="s">
        <v>40</v>
      </c>
      <c r="G3031">
        <v>2030</v>
      </c>
      <c r="H3031" s="12">
        <v>17235</v>
      </c>
      <c r="I3031" t="s">
        <v>3183</v>
      </c>
      <c r="J3031" t="s">
        <v>6</v>
      </c>
      <c r="K3031" t="s">
        <v>657</v>
      </c>
      <c r="L3031" t="s">
        <v>3184</v>
      </c>
      <c r="M3031" t="s">
        <v>659</v>
      </c>
    </row>
    <row r="3032" spans="1:13">
      <c r="A3032" t="s">
        <v>851</v>
      </c>
      <c r="B3032" t="s">
        <v>686</v>
      </c>
      <c r="C3032" t="s">
        <v>686</v>
      </c>
      <c r="D3032" t="s">
        <v>12</v>
      </c>
      <c r="E3032" t="s">
        <v>660</v>
      </c>
      <c r="F3032" t="s">
        <v>40</v>
      </c>
      <c r="G3032">
        <v>2035</v>
      </c>
      <c r="H3032" s="12">
        <v>16611</v>
      </c>
      <c r="I3032" t="s">
        <v>3183</v>
      </c>
      <c r="J3032" t="s">
        <v>6</v>
      </c>
      <c r="K3032" t="s">
        <v>657</v>
      </c>
      <c r="L3032" t="s">
        <v>3184</v>
      </c>
      <c r="M3032" t="s">
        <v>659</v>
      </c>
    </row>
    <row r="3033" spans="1:13">
      <c r="A3033" t="s">
        <v>851</v>
      </c>
      <c r="B3033" t="s">
        <v>686</v>
      </c>
      <c r="C3033" t="s">
        <v>686</v>
      </c>
      <c r="D3033" t="s">
        <v>12</v>
      </c>
      <c r="E3033" t="s">
        <v>660</v>
      </c>
      <c r="F3033" t="s">
        <v>40</v>
      </c>
      <c r="G3033">
        <v>2040</v>
      </c>
      <c r="H3033" s="12">
        <v>16467</v>
      </c>
      <c r="I3033" t="s">
        <v>3183</v>
      </c>
      <c r="J3033" t="s">
        <v>6</v>
      </c>
      <c r="K3033" t="s">
        <v>657</v>
      </c>
      <c r="L3033" t="s">
        <v>3184</v>
      </c>
      <c r="M3033" t="s">
        <v>659</v>
      </c>
    </row>
    <row r="3034" spans="1:13">
      <c r="A3034" t="s">
        <v>851</v>
      </c>
      <c r="B3034" t="s">
        <v>686</v>
      </c>
      <c r="C3034" t="s">
        <v>686</v>
      </c>
      <c r="D3034" t="s">
        <v>12</v>
      </c>
      <c r="E3034" t="s">
        <v>660</v>
      </c>
      <c r="F3034" t="s">
        <v>40</v>
      </c>
      <c r="G3034">
        <v>2045</v>
      </c>
      <c r="H3034" s="12">
        <v>16431</v>
      </c>
      <c r="I3034" t="s">
        <v>3183</v>
      </c>
      <c r="J3034" t="s">
        <v>6</v>
      </c>
      <c r="K3034" t="s">
        <v>657</v>
      </c>
      <c r="L3034" t="s">
        <v>3184</v>
      </c>
      <c r="M3034" t="s">
        <v>659</v>
      </c>
    </row>
    <row r="3035" spans="1:13">
      <c r="A3035" t="s">
        <v>851</v>
      </c>
      <c r="B3035" t="s">
        <v>686</v>
      </c>
      <c r="C3035" t="s">
        <v>686</v>
      </c>
      <c r="D3035" t="s">
        <v>12</v>
      </c>
      <c r="E3035" t="s">
        <v>660</v>
      </c>
      <c r="F3035" t="s">
        <v>40</v>
      </c>
      <c r="G3035">
        <v>2050</v>
      </c>
      <c r="H3035" s="12">
        <v>16259</v>
      </c>
      <c r="I3035" t="s">
        <v>3183</v>
      </c>
      <c r="J3035" t="s">
        <v>6</v>
      </c>
      <c r="K3035" t="s">
        <v>657</v>
      </c>
      <c r="L3035" t="s">
        <v>3184</v>
      </c>
      <c r="M3035" t="s">
        <v>659</v>
      </c>
    </row>
    <row r="3036" spans="1:13">
      <c r="A3036" t="s">
        <v>851</v>
      </c>
      <c r="B3036" t="s">
        <v>687</v>
      </c>
      <c r="C3036" t="s">
        <v>687</v>
      </c>
      <c r="D3036" t="s">
        <v>12</v>
      </c>
      <c r="E3036" t="s">
        <v>660</v>
      </c>
      <c r="F3036" t="s">
        <v>40</v>
      </c>
      <c r="G3036">
        <v>2030</v>
      </c>
      <c r="H3036" s="12">
        <v>16255</v>
      </c>
      <c r="I3036" t="s">
        <v>3183</v>
      </c>
      <c r="J3036" t="s">
        <v>6</v>
      </c>
      <c r="K3036" t="s">
        <v>657</v>
      </c>
      <c r="L3036" t="s">
        <v>3184</v>
      </c>
      <c r="M3036" t="s">
        <v>659</v>
      </c>
    </row>
    <row r="3037" spans="1:13">
      <c r="A3037" t="s">
        <v>851</v>
      </c>
      <c r="B3037" t="s">
        <v>687</v>
      </c>
      <c r="C3037" t="s">
        <v>687</v>
      </c>
      <c r="D3037" t="s">
        <v>12</v>
      </c>
      <c r="E3037" t="s">
        <v>660</v>
      </c>
      <c r="F3037" t="s">
        <v>40</v>
      </c>
      <c r="G3037">
        <v>2035</v>
      </c>
      <c r="H3037" s="12">
        <v>15628</v>
      </c>
      <c r="I3037" t="s">
        <v>3183</v>
      </c>
      <c r="J3037" t="s">
        <v>6</v>
      </c>
      <c r="K3037" t="s">
        <v>657</v>
      </c>
      <c r="L3037" t="s">
        <v>3184</v>
      </c>
      <c r="M3037" t="s">
        <v>659</v>
      </c>
    </row>
    <row r="3038" spans="1:13">
      <c r="A3038" t="s">
        <v>851</v>
      </c>
      <c r="B3038" t="s">
        <v>687</v>
      </c>
      <c r="C3038" t="s">
        <v>687</v>
      </c>
      <c r="D3038" t="s">
        <v>12</v>
      </c>
      <c r="E3038" t="s">
        <v>660</v>
      </c>
      <c r="F3038" t="s">
        <v>40</v>
      </c>
      <c r="G3038">
        <v>2040</v>
      </c>
      <c r="H3038" s="12">
        <v>15279</v>
      </c>
      <c r="I3038" t="s">
        <v>3183</v>
      </c>
      <c r="J3038" t="s">
        <v>6</v>
      </c>
      <c r="K3038" t="s">
        <v>657</v>
      </c>
      <c r="L3038" t="s">
        <v>3184</v>
      </c>
      <c r="M3038" t="s">
        <v>659</v>
      </c>
    </row>
    <row r="3039" spans="1:13">
      <c r="A3039" t="s">
        <v>851</v>
      </c>
      <c r="B3039" t="s">
        <v>687</v>
      </c>
      <c r="C3039" t="s">
        <v>687</v>
      </c>
      <c r="D3039" t="s">
        <v>12</v>
      </c>
      <c r="E3039" t="s">
        <v>660</v>
      </c>
      <c r="F3039" t="s">
        <v>40</v>
      </c>
      <c r="G3039">
        <v>2045</v>
      </c>
      <c r="H3039" s="12">
        <v>15035</v>
      </c>
      <c r="I3039" t="s">
        <v>3183</v>
      </c>
      <c r="J3039" t="s">
        <v>6</v>
      </c>
      <c r="K3039" t="s">
        <v>657</v>
      </c>
      <c r="L3039" t="s">
        <v>3184</v>
      </c>
      <c r="M3039" t="s">
        <v>659</v>
      </c>
    </row>
    <row r="3040" spans="1:13">
      <c r="A3040" t="s">
        <v>851</v>
      </c>
      <c r="B3040" t="s">
        <v>687</v>
      </c>
      <c r="C3040" t="s">
        <v>687</v>
      </c>
      <c r="D3040" t="s">
        <v>12</v>
      </c>
      <c r="E3040" t="s">
        <v>660</v>
      </c>
      <c r="F3040" t="s">
        <v>40</v>
      </c>
      <c r="G3040">
        <v>2050</v>
      </c>
      <c r="H3040" s="12">
        <v>14669</v>
      </c>
      <c r="I3040" t="s">
        <v>3183</v>
      </c>
      <c r="J3040" t="s">
        <v>6</v>
      </c>
      <c r="K3040" t="s">
        <v>657</v>
      </c>
      <c r="L3040" t="s">
        <v>3184</v>
      </c>
      <c r="M3040" t="s">
        <v>659</v>
      </c>
    </row>
    <row r="3041" spans="1:13">
      <c r="A3041" t="s">
        <v>851</v>
      </c>
      <c r="B3041" t="s">
        <v>686</v>
      </c>
      <c r="C3041" t="s">
        <v>686</v>
      </c>
      <c r="D3041" t="s">
        <v>12</v>
      </c>
      <c r="E3041" t="s">
        <v>660</v>
      </c>
      <c r="F3041" t="s">
        <v>40</v>
      </c>
      <c r="G3041">
        <v>2010</v>
      </c>
      <c r="H3041" s="12">
        <v>5265</v>
      </c>
      <c r="I3041" t="s">
        <v>3183</v>
      </c>
      <c r="J3041" t="s">
        <v>394</v>
      </c>
      <c r="K3041" t="s">
        <v>657</v>
      </c>
      <c r="L3041" t="s">
        <v>3184</v>
      </c>
      <c r="M3041" t="s">
        <v>16</v>
      </c>
    </row>
    <row r="3042" spans="1:13">
      <c r="A3042" t="s">
        <v>851</v>
      </c>
      <c r="B3042" t="s">
        <v>686</v>
      </c>
      <c r="C3042" t="s">
        <v>686</v>
      </c>
      <c r="D3042" t="s">
        <v>12</v>
      </c>
      <c r="E3042" t="s">
        <v>660</v>
      </c>
      <c r="F3042" t="s">
        <v>40</v>
      </c>
      <c r="G3042">
        <v>2015</v>
      </c>
      <c r="H3042" s="12">
        <v>5640</v>
      </c>
      <c r="I3042" t="s">
        <v>3183</v>
      </c>
      <c r="J3042" t="s">
        <v>394</v>
      </c>
      <c r="K3042" t="s">
        <v>657</v>
      </c>
      <c r="L3042" t="s">
        <v>3184</v>
      </c>
      <c r="M3042" t="s">
        <v>16</v>
      </c>
    </row>
    <row r="3043" spans="1:13">
      <c r="A3043" t="s">
        <v>851</v>
      </c>
      <c r="B3043" t="s">
        <v>686</v>
      </c>
      <c r="C3043" t="s">
        <v>686</v>
      </c>
      <c r="D3043" t="s">
        <v>12</v>
      </c>
      <c r="E3043" t="s">
        <v>660</v>
      </c>
      <c r="F3043" t="s">
        <v>40</v>
      </c>
      <c r="G3043">
        <v>2020</v>
      </c>
      <c r="H3043" s="12">
        <v>6103</v>
      </c>
      <c r="I3043" t="s">
        <v>3183</v>
      </c>
      <c r="J3043" t="s">
        <v>394</v>
      </c>
      <c r="K3043" t="s">
        <v>657</v>
      </c>
      <c r="L3043" t="s">
        <v>3184</v>
      </c>
      <c r="M3043" t="s">
        <v>16</v>
      </c>
    </row>
    <row r="3044" spans="1:13">
      <c r="A3044" t="s">
        <v>851</v>
      </c>
      <c r="B3044" t="s">
        <v>686</v>
      </c>
      <c r="C3044" t="s">
        <v>686</v>
      </c>
      <c r="D3044" t="s">
        <v>12</v>
      </c>
      <c r="E3044" t="s">
        <v>660</v>
      </c>
      <c r="F3044" t="s">
        <v>40</v>
      </c>
      <c r="G3044">
        <v>2030</v>
      </c>
      <c r="H3044" s="12">
        <v>6205</v>
      </c>
      <c r="I3044" t="s">
        <v>3183</v>
      </c>
      <c r="J3044" t="s">
        <v>394</v>
      </c>
      <c r="K3044" t="s">
        <v>657</v>
      </c>
      <c r="L3044" t="s">
        <v>3184</v>
      </c>
      <c r="M3044" t="s">
        <v>16</v>
      </c>
    </row>
    <row r="3045" spans="1:13">
      <c r="A3045" t="s">
        <v>851</v>
      </c>
      <c r="B3045" t="s">
        <v>686</v>
      </c>
      <c r="C3045" t="s">
        <v>686</v>
      </c>
      <c r="D3045" t="s">
        <v>12</v>
      </c>
      <c r="E3045" t="s">
        <v>660</v>
      </c>
      <c r="F3045" t="s">
        <v>40</v>
      </c>
      <c r="G3045">
        <v>2035</v>
      </c>
      <c r="H3045" s="12">
        <v>6250</v>
      </c>
      <c r="I3045" t="s">
        <v>3183</v>
      </c>
      <c r="J3045" t="s">
        <v>394</v>
      </c>
      <c r="K3045" t="s">
        <v>657</v>
      </c>
      <c r="L3045" t="s">
        <v>3184</v>
      </c>
      <c r="M3045" t="s">
        <v>16</v>
      </c>
    </row>
    <row r="3046" spans="1:13">
      <c r="A3046" t="s">
        <v>851</v>
      </c>
      <c r="B3046" t="s">
        <v>686</v>
      </c>
      <c r="C3046" t="s">
        <v>686</v>
      </c>
      <c r="D3046" t="s">
        <v>12</v>
      </c>
      <c r="E3046" t="s">
        <v>660</v>
      </c>
      <c r="F3046" t="s">
        <v>40</v>
      </c>
      <c r="G3046">
        <v>2040</v>
      </c>
      <c r="H3046" s="12">
        <v>6150</v>
      </c>
      <c r="I3046" t="s">
        <v>3183</v>
      </c>
      <c r="J3046" t="s">
        <v>394</v>
      </c>
      <c r="K3046" t="s">
        <v>657</v>
      </c>
      <c r="L3046" t="s">
        <v>3184</v>
      </c>
      <c r="M3046" t="s">
        <v>16</v>
      </c>
    </row>
    <row r="3047" spans="1:13">
      <c r="A3047" t="s">
        <v>851</v>
      </c>
      <c r="B3047" t="s">
        <v>686</v>
      </c>
      <c r="C3047" t="s">
        <v>686</v>
      </c>
      <c r="D3047" t="s">
        <v>12</v>
      </c>
      <c r="E3047" t="s">
        <v>660</v>
      </c>
      <c r="F3047" t="s">
        <v>40</v>
      </c>
      <c r="G3047">
        <v>2045</v>
      </c>
      <c r="H3047" s="12">
        <v>6032</v>
      </c>
      <c r="I3047" t="s">
        <v>3183</v>
      </c>
      <c r="J3047" t="s">
        <v>394</v>
      </c>
      <c r="K3047" t="s">
        <v>657</v>
      </c>
      <c r="L3047" t="s">
        <v>3184</v>
      </c>
      <c r="M3047" t="s">
        <v>16</v>
      </c>
    </row>
    <row r="3048" spans="1:13">
      <c r="A3048" t="s">
        <v>851</v>
      </c>
      <c r="B3048" t="s">
        <v>686</v>
      </c>
      <c r="C3048" t="s">
        <v>686</v>
      </c>
      <c r="D3048" t="s">
        <v>12</v>
      </c>
      <c r="E3048" t="s">
        <v>660</v>
      </c>
      <c r="F3048" t="s">
        <v>40</v>
      </c>
      <c r="G3048">
        <v>2050</v>
      </c>
      <c r="H3048" s="12">
        <v>5928</v>
      </c>
      <c r="I3048" t="s">
        <v>3183</v>
      </c>
      <c r="J3048" t="s">
        <v>394</v>
      </c>
      <c r="K3048" t="s">
        <v>657</v>
      </c>
      <c r="L3048" t="s">
        <v>3184</v>
      </c>
      <c r="M3048" t="s">
        <v>16</v>
      </c>
    </row>
    <row r="3049" spans="1:13">
      <c r="A3049" t="s">
        <v>851</v>
      </c>
      <c r="B3049" t="s">
        <v>687</v>
      </c>
      <c r="C3049" t="s">
        <v>687</v>
      </c>
      <c r="D3049" t="s">
        <v>12</v>
      </c>
      <c r="E3049" t="s">
        <v>660</v>
      </c>
      <c r="F3049" t="s">
        <v>40</v>
      </c>
      <c r="G3049">
        <v>2030</v>
      </c>
      <c r="H3049" s="12">
        <v>6014</v>
      </c>
      <c r="I3049" t="s">
        <v>3183</v>
      </c>
      <c r="J3049" t="s">
        <v>394</v>
      </c>
      <c r="K3049" t="s">
        <v>657</v>
      </c>
      <c r="L3049" t="s">
        <v>3184</v>
      </c>
      <c r="M3049" t="s">
        <v>16</v>
      </c>
    </row>
    <row r="3050" spans="1:13">
      <c r="A3050" t="s">
        <v>851</v>
      </c>
      <c r="B3050" t="s">
        <v>687</v>
      </c>
      <c r="C3050" t="s">
        <v>687</v>
      </c>
      <c r="D3050" t="s">
        <v>12</v>
      </c>
      <c r="E3050" t="s">
        <v>660</v>
      </c>
      <c r="F3050" t="s">
        <v>40</v>
      </c>
      <c r="G3050">
        <v>2035</v>
      </c>
      <c r="H3050" s="12">
        <v>5916</v>
      </c>
      <c r="I3050" t="s">
        <v>3183</v>
      </c>
      <c r="J3050" t="s">
        <v>394</v>
      </c>
      <c r="K3050" t="s">
        <v>657</v>
      </c>
      <c r="L3050" t="s">
        <v>3184</v>
      </c>
      <c r="M3050" t="s">
        <v>16</v>
      </c>
    </row>
    <row r="3051" spans="1:13">
      <c r="A3051" t="s">
        <v>851</v>
      </c>
      <c r="B3051" t="s">
        <v>687</v>
      </c>
      <c r="C3051" t="s">
        <v>687</v>
      </c>
      <c r="D3051" t="s">
        <v>12</v>
      </c>
      <c r="E3051" t="s">
        <v>660</v>
      </c>
      <c r="F3051" t="s">
        <v>40</v>
      </c>
      <c r="G3051">
        <v>2040</v>
      </c>
      <c r="H3051" s="12">
        <v>5709</v>
      </c>
      <c r="I3051" t="s">
        <v>3183</v>
      </c>
      <c r="J3051" t="s">
        <v>394</v>
      </c>
      <c r="K3051" t="s">
        <v>657</v>
      </c>
      <c r="L3051" t="s">
        <v>3184</v>
      </c>
      <c r="M3051" t="s">
        <v>16</v>
      </c>
    </row>
    <row r="3052" spans="1:13">
      <c r="A3052" t="s">
        <v>851</v>
      </c>
      <c r="B3052" t="s">
        <v>687</v>
      </c>
      <c r="C3052" t="s">
        <v>687</v>
      </c>
      <c r="D3052" t="s">
        <v>12</v>
      </c>
      <c r="E3052" t="s">
        <v>660</v>
      </c>
      <c r="F3052" t="s">
        <v>40</v>
      </c>
      <c r="G3052">
        <v>2045</v>
      </c>
      <c r="H3052" s="12">
        <v>5500</v>
      </c>
      <c r="I3052" t="s">
        <v>3183</v>
      </c>
      <c r="J3052" t="s">
        <v>394</v>
      </c>
      <c r="K3052" t="s">
        <v>657</v>
      </c>
      <c r="L3052" t="s">
        <v>3184</v>
      </c>
      <c r="M3052" t="s">
        <v>16</v>
      </c>
    </row>
    <row r="3053" spans="1:13">
      <c r="A3053" t="s">
        <v>851</v>
      </c>
      <c r="B3053" t="s">
        <v>687</v>
      </c>
      <c r="C3053" t="s">
        <v>687</v>
      </c>
      <c r="D3053" t="s">
        <v>12</v>
      </c>
      <c r="E3053" t="s">
        <v>660</v>
      </c>
      <c r="F3053" t="s">
        <v>40</v>
      </c>
      <c r="G3053">
        <v>2050</v>
      </c>
      <c r="H3053" s="12">
        <v>5325</v>
      </c>
      <c r="I3053" t="s">
        <v>3183</v>
      </c>
      <c r="J3053" t="s">
        <v>394</v>
      </c>
      <c r="K3053" t="s">
        <v>657</v>
      </c>
      <c r="L3053" t="s">
        <v>3184</v>
      </c>
      <c r="M3053" t="s">
        <v>16</v>
      </c>
    </row>
    <row r="3054" spans="1:13">
      <c r="A3054" t="s">
        <v>851</v>
      </c>
      <c r="B3054" t="s">
        <v>686</v>
      </c>
      <c r="C3054" t="s">
        <v>686</v>
      </c>
      <c r="D3054" t="s">
        <v>12</v>
      </c>
      <c r="E3054" t="s">
        <v>646</v>
      </c>
      <c r="F3054" t="s">
        <v>40</v>
      </c>
      <c r="G3054">
        <v>2010</v>
      </c>
      <c r="H3054" s="12">
        <v>824</v>
      </c>
      <c r="I3054" t="s">
        <v>3183</v>
      </c>
      <c r="J3054" t="s">
        <v>394</v>
      </c>
      <c r="K3054" t="s">
        <v>272</v>
      </c>
      <c r="L3054" t="s">
        <v>3184</v>
      </c>
      <c r="M3054" t="s">
        <v>16</v>
      </c>
    </row>
    <row r="3055" spans="1:13">
      <c r="A3055" t="s">
        <v>851</v>
      </c>
      <c r="B3055" t="s">
        <v>686</v>
      </c>
      <c r="C3055" t="s">
        <v>686</v>
      </c>
      <c r="D3055" t="s">
        <v>12</v>
      </c>
      <c r="E3055" t="s">
        <v>646</v>
      </c>
      <c r="F3055" t="s">
        <v>40</v>
      </c>
      <c r="G3055">
        <v>2015</v>
      </c>
      <c r="H3055" s="12">
        <v>935</v>
      </c>
      <c r="I3055" t="s">
        <v>3183</v>
      </c>
      <c r="J3055" t="s">
        <v>394</v>
      </c>
      <c r="K3055" t="s">
        <v>272</v>
      </c>
      <c r="L3055" t="s">
        <v>3184</v>
      </c>
      <c r="M3055" t="s">
        <v>16</v>
      </c>
    </row>
    <row r="3056" spans="1:13">
      <c r="A3056" t="s">
        <v>851</v>
      </c>
      <c r="B3056" t="s">
        <v>686</v>
      </c>
      <c r="C3056" t="s">
        <v>686</v>
      </c>
      <c r="D3056" t="s">
        <v>12</v>
      </c>
      <c r="E3056" t="s">
        <v>646</v>
      </c>
      <c r="F3056" t="s">
        <v>40</v>
      </c>
      <c r="G3056">
        <v>2020</v>
      </c>
      <c r="H3056" s="12">
        <v>1598</v>
      </c>
      <c r="I3056" t="s">
        <v>3183</v>
      </c>
      <c r="J3056" t="s">
        <v>394</v>
      </c>
      <c r="K3056" t="s">
        <v>272</v>
      </c>
      <c r="L3056" t="s">
        <v>3184</v>
      </c>
      <c r="M3056" t="s">
        <v>16</v>
      </c>
    </row>
    <row r="3057" spans="1:13">
      <c r="A3057" t="s">
        <v>851</v>
      </c>
      <c r="B3057" t="s">
        <v>686</v>
      </c>
      <c r="C3057" t="s">
        <v>686</v>
      </c>
      <c r="D3057" t="s">
        <v>12</v>
      </c>
      <c r="E3057" t="s">
        <v>646</v>
      </c>
      <c r="F3057" t="s">
        <v>40</v>
      </c>
      <c r="G3057">
        <v>2030</v>
      </c>
      <c r="H3057" s="12">
        <v>1833</v>
      </c>
      <c r="I3057" t="s">
        <v>3183</v>
      </c>
      <c r="J3057" t="s">
        <v>394</v>
      </c>
      <c r="K3057" t="s">
        <v>272</v>
      </c>
      <c r="L3057" t="s">
        <v>3184</v>
      </c>
      <c r="M3057" t="s">
        <v>16</v>
      </c>
    </row>
    <row r="3058" spans="1:13">
      <c r="A3058" t="s">
        <v>851</v>
      </c>
      <c r="B3058" t="s">
        <v>686</v>
      </c>
      <c r="C3058" t="s">
        <v>686</v>
      </c>
      <c r="D3058" t="s">
        <v>12</v>
      </c>
      <c r="E3058" t="s">
        <v>646</v>
      </c>
      <c r="F3058" t="s">
        <v>40</v>
      </c>
      <c r="G3058">
        <v>2035</v>
      </c>
      <c r="H3058" s="12">
        <v>1973</v>
      </c>
      <c r="I3058" t="s">
        <v>3183</v>
      </c>
      <c r="J3058" t="s">
        <v>394</v>
      </c>
      <c r="K3058" t="s">
        <v>272</v>
      </c>
      <c r="L3058" t="s">
        <v>3184</v>
      </c>
      <c r="M3058" t="s">
        <v>16</v>
      </c>
    </row>
    <row r="3059" spans="1:13">
      <c r="A3059" t="s">
        <v>851</v>
      </c>
      <c r="B3059" t="s">
        <v>686</v>
      </c>
      <c r="C3059" t="s">
        <v>686</v>
      </c>
      <c r="D3059" t="s">
        <v>12</v>
      </c>
      <c r="E3059" t="s">
        <v>646</v>
      </c>
      <c r="F3059" t="s">
        <v>40</v>
      </c>
      <c r="G3059">
        <v>2040</v>
      </c>
      <c r="H3059" s="12">
        <v>2086</v>
      </c>
      <c r="I3059" t="s">
        <v>3183</v>
      </c>
      <c r="J3059" t="s">
        <v>394</v>
      </c>
      <c r="K3059" t="s">
        <v>272</v>
      </c>
      <c r="L3059" t="s">
        <v>3184</v>
      </c>
      <c r="M3059" t="s">
        <v>16</v>
      </c>
    </row>
    <row r="3060" spans="1:13">
      <c r="A3060" t="s">
        <v>851</v>
      </c>
      <c r="B3060" t="s">
        <v>686</v>
      </c>
      <c r="C3060" t="s">
        <v>686</v>
      </c>
      <c r="D3060" t="s">
        <v>12</v>
      </c>
      <c r="E3060" t="s">
        <v>646</v>
      </c>
      <c r="F3060" t="s">
        <v>40</v>
      </c>
      <c r="G3060">
        <v>2045</v>
      </c>
      <c r="H3060" s="12">
        <v>2221</v>
      </c>
      <c r="I3060" t="s">
        <v>3183</v>
      </c>
      <c r="J3060" t="s">
        <v>394</v>
      </c>
      <c r="K3060" t="s">
        <v>272</v>
      </c>
      <c r="L3060" t="s">
        <v>3184</v>
      </c>
      <c r="M3060" t="s">
        <v>16</v>
      </c>
    </row>
    <row r="3061" spans="1:13">
      <c r="A3061" t="s">
        <v>851</v>
      </c>
      <c r="B3061" t="s">
        <v>686</v>
      </c>
      <c r="C3061" t="s">
        <v>686</v>
      </c>
      <c r="D3061" t="s">
        <v>12</v>
      </c>
      <c r="E3061" t="s">
        <v>646</v>
      </c>
      <c r="F3061" t="s">
        <v>40</v>
      </c>
      <c r="G3061">
        <v>2050</v>
      </c>
      <c r="H3061" s="12">
        <v>2355</v>
      </c>
      <c r="I3061" t="s">
        <v>3183</v>
      </c>
      <c r="J3061" t="s">
        <v>394</v>
      </c>
      <c r="K3061" t="s">
        <v>272</v>
      </c>
      <c r="L3061" t="s">
        <v>3184</v>
      </c>
      <c r="M3061" t="s">
        <v>16</v>
      </c>
    </row>
    <row r="3062" spans="1:13">
      <c r="A3062" t="s">
        <v>851</v>
      </c>
      <c r="B3062" t="s">
        <v>687</v>
      </c>
      <c r="C3062" t="s">
        <v>687</v>
      </c>
      <c r="D3062" t="s">
        <v>12</v>
      </c>
      <c r="E3062" t="s">
        <v>646</v>
      </c>
      <c r="F3062" t="s">
        <v>40</v>
      </c>
      <c r="G3062">
        <v>2030</v>
      </c>
      <c r="H3062" s="12">
        <v>1805</v>
      </c>
      <c r="I3062" t="s">
        <v>3183</v>
      </c>
      <c r="J3062" t="s">
        <v>394</v>
      </c>
      <c r="K3062" t="s">
        <v>272</v>
      </c>
      <c r="L3062" t="s">
        <v>3184</v>
      </c>
      <c r="M3062" t="s">
        <v>16</v>
      </c>
    </row>
    <row r="3063" spans="1:13">
      <c r="A3063" t="s">
        <v>851</v>
      </c>
      <c r="B3063" t="s">
        <v>687</v>
      </c>
      <c r="C3063" t="s">
        <v>687</v>
      </c>
      <c r="D3063" t="s">
        <v>12</v>
      </c>
      <c r="E3063" t="s">
        <v>646</v>
      </c>
      <c r="F3063" t="s">
        <v>40</v>
      </c>
      <c r="G3063">
        <v>2035</v>
      </c>
      <c r="H3063" s="12">
        <v>1886</v>
      </c>
      <c r="I3063" t="s">
        <v>3183</v>
      </c>
      <c r="J3063" t="s">
        <v>394</v>
      </c>
      <c r="K3063" t="s">
        <v>272</v>
      </c>
      <c r="L3063" t="s">
        <v>3184</v>
      </c>
      <c r="M3063" t="s">
        <v>16</v>
      </c>
    </row>
    <row r="3064" spans="1:13">
      <c r="A3064" t="s">
        <v>851</v>
      </c>
      <c r="B3064" t="s">
        <v>687</v>
      </c>
      <c r="C3064" t="s">
        <v>687</v>
      </c>
      <c r="D3064" t="s">
        <v>12</v>
      </c>
      <c r="E3064" t="s">
        <v>646</v>
      </c>
      <c r="F3064" t="s">
        <v>40</v>
      </c>
      <c r="G3064">
        <v>2040</v>
      </c>
      <c r="H3064" s="12">
        <v>1920</v>
      </c>
      <c r="I3064" t="s">
        <v>3183</v>
      </c>
      <c r="J3064" t="s">
        <v>394</v>
      </c>
      <c r="K3064" t="s">
        <v>272</v>
      </c>
      <c r="L3064" t="s">
        <v>3184</v>
      </c>
      <c r="M3064" t="s">
        <v>16</v>
      </c>
    </row>
    <row r="3065" spans="1:13">
      <c r="A3065" t="s">
        <v>851</v>
      </c>
      <c r="B3065" t="s">
        <v>687</v>
      </c>
      <c r="C3065" t="s">
        <v>687</v>
      </c>
      <c r="D3065" t="s">
        <v>12</v>
      </c>
      <c r="E3065" t="s">
        <v>646</v>
      </c>
      <c r="F3065" t="s">
        <v>40</v>
      </c>
      <c r="G3065">
        <v>2045</v>
      </c>
      <c r="H3065" s="12">
        <v>1964</v>
      </c>
      <c r="I3065" t="s">
        <v>3183</v>
      </c>
      <c r="J3065" t="s">
        <v>394</v>
      </c>
      <c r="K3065" t="s">
        <v>272</v>
      </c>
      <c r="L3065" t="s">
        <v>3184</v>
      </c>
      <c r="M3065" t="s">
        <v>16</v>
      </c>
    </row>
    <row r="3066" spans="1:13">
      <c r="A3066" t="s">
        <v>851</v>
      </c>
      <c r="B3066" t="s">
        <v>687</v>
      </c>
      <c r="C3066" t="s">
        <v>687</v>
      </c>
      <c r="D3066" t="s">
        <v>12</v>
      </c>
      <c r="E3066" t="s">
        <v>646</v>
      </c>
      <c r="F3066" t="s">
        <v>40</v>
      </c>
      <c r="G3066">
        <v>2050</v>
      </c>
      <c r="H3066" s="12">
        <v>2002</v>
      </c>
      <c r="I3066" t="s">
        <v>3183</v>
      </c>
      <c r="J3066" t="s">
        <v>394</v>
      </c>
      <c r="K3066" t="s">
        <v>272</v>
      </c>
      <c r="L3066" t="s">
        <v>3184</v>
      </c>
      <c r="M3066" t="s">
        <v>16</v>
      </c>
    </row>
    <row r="3067" spans="1:13">
      <c r="A3067" t="s">
        <v>851</v>
      </c>
      <c r="B3067" t="s">
        <v>686</v>
      </c>
      <c r="C3067" t="s">
        <v>686</v>
      </c>
      <c r="D3067" t="s">
        <v>12</v>
      </c>
      <c r="E3067" t="s">
        <v>660</v>
      </c>
      <c r="F3067" t="s">
        <v>40</v>
      </c>
      <c r="G3067">
        <v>2010</v>
      </c>
      <c r="H3067" s="12">
        <v>4427</v>
      </c>
      <c r="I3067" t="s">
        <v>3183</v>
      </c>
      <c r="J3067" t="s">
        <v>5</v>
      </c>
      <c r="K3067" t="s">
        <v>657</v>
      </c>
      <c r="L3067" t="s">
        <v>3184</v>
      </c>
      <c r="M3067" t="s">
        <v>5</v>
      </c>
    </row>
    <row r="3068" spans="1:13">
      <c r="A3068" t="s">
        <v>851</v>
      </c>
      <c r="B3068" t="s">
        <v>686</v>
      </c>
      <c r="C3068" t="s">
        <v>686</v>
      </c>
      <c r="D3068" t="s">
        <v>12</v>
      </c>
      <c r="E3068" t="s">
        <v>660</v>
      </c>
      <c r="F3068" t="s">
        <v>40</v>
      </c>
      <c r="G3068">
        <v>2015</v>
      </c>
      <c r="H3068" s="12">
        <v>4856</v>
      </c>
      <c r="I3068" t="s">
        <v>3183</v>
      </c>
      <c r="J3068" t="s">
        <v>5</v>
      </c>
      <c r="K3068" t="s">
        <v>657</v>
      </c>
      <c r="L3068" t="s">
        <v>3184</v>
      </c>
      <c r="M3068" t="s">
        <v>5</v>
      </c>
    </row>
    <row r="3069" spans="1:13">
      <c r="A3069" t="s">
        <v>851</v>
      </c>
      <c r="B3069" t="s">
        <v>686</v>
      </c>
      <c r="C3069" t="s">
        <v>686</v>
      </c>
      <c r="D3069" t="s">
        <v>12</v>
      </c>
      <c r="E3069" t="s">
        <v>660</v>
      </c>
      <c r="F3069" t="s">
        <v>40</v>
      </c>
      <c r="G3069">
        <v>2020</v>
      </c>
      <c r="H3069" s="12">
        <v>4796</v>
      </c>
      <c r="I3069" t="s">
        <v>3183</v>
      </c>
      <c r="J3069" t="s">
        <v>5</v>
      </c>
      <c r="K3069" t="s">
        <v>657</v>
      </c>
      <c r="L3069" t="s">
        <v>3184</v>
      </c>
      <c r="M3069" t="s">
        <v>5</v>
      </c>
    </row>
    <row r="3070" spans="1:13">
      <c r="A3070" t="s">
        <v>851</v>
      </c>
      <c r="B3070" t="s">
        <v>686</v>
      </c>
      <c r="C3070" t="s">
        <v>686</v>
      </c>
      <c r="D3070" t="s">
        <v>12</v>
      </c>
      <c r="E3070" t="s">
        <v>660</v>
      </c>
      <c r="F3070" t="s">
        <v>40</v>
      </c>
      <c r="G3070">
        <v>2030</v>
      </c>
      <c r="H3070" s="12">
        <v>3350</v>
      </c>
      <c r="I3070" t="s">
        <v>3183</v>
      </c>
      <c r="J3070" t="s">
        <v>5</v>
      </c>
      <c r="K3070" t="s">
        <v>657</v>
      </c>
      <c r="L3070" t="s">
        <v>3184</v>
      </c>
      <c r="M3070" t="s">
        <v>5</v>
      </c>
    </row>
    <row r="3071" spans="1:13">
      <c r="A3071" t="s">
        <v>851</v>
      </c>
      <c r="B3071" t="s">
        <v>686</v>
      </c>
      <c r="C3071" t="s">
        <v>686</v>
      </c>
      <c r="D3071" t="s">
        <v>12</v>
      </c>
      <c r="E3071" t="s">
        <v>660</v>
      </c>
      <c r="F3071" t="s">
        <v>40</v>
      </c>
      <c r="G3071">
        <v>2035</v>
      </c>
      <c r="H3071" s="12">
        <v>3203</v>
      </c>
      <c r="I3071" t="s">
        <v>3183</v>
      </c>
      <c r="J3071" t="s">
        <v>5</v>
      </c>
      <c r="K3071" t="s">
        <v>657</v>
      </c>
      <c r="L3071" t="s">
        <v>3184</v>
      </c>
      <c r="M3071" t="s">
        <v>5</v>
      </c>
    </row>
    <row r="3072" spans="1:13">
      <c r="A3072" t="s">
        <v>851</v>
      </c>
      <c r="B3072" t="s">
        <v>686</v>
      </c>
      <c r="C3072" t="s">
        <v>686</v>
      </c>
      <c r="D3072" t="s">
        <v>12</v>
      </c>
      <c r="E3072" t="s">
        <v>660</v>
      </c>
      <c r="F3072" t="s">
        <v>40</v>
      </c>
      <c r="G3072">
        <v>2040</v>
      </c>
      <c r="H3072" s="12">
        <v>3043</v>
      </c>
      <c r="I3072" t="s">
        <v>3183</v>
      </c>
      <c r="J3072" t="s">
        <v>5</v>
      </c>
      <c r="K3072" t="s">
        <v>657</v>
      </c>
      <c r="L3072" t="s">
        <v>3184</v>
      </c>
      <c r="M3072" t="s">
        <v>5</v>
      </c>
    </row>
    <row r="3073" spans="1:13">
      <c r="A3073" t="s">
        <v>851</v>
      </c>
      <c r="B3073" t="s">
        <v>686</v>
      </c>
      <c r="C3073" t="s">
        <v>686</v>
      </c>
      <c r="D3073" t="s">
        <v>12</v>
      </c>
      <c r="E3073" t="s">
        <v>660</v>
      </c>
      <c r="F3073" t="s">
        <v>40</v>
      </c>
      <c r="G3073">
        <v>2045</v>
      </c>
      <c r="H3073" s="12">
        <v>44</v>
      </c>
      <c r="I3073" t="s">
        <v>3183</v>
      </c>
      <c r="J3073" t="s">
        <v>17</v>
      </c>
      <c r="K3073" t="s">
        <v>657</v>
      </c>
      <c r="L3073" t="s">
        <v>3184</v>
      </c>
      <c r="M3073" t="s">
        <v>17</v>
      </c>
    </row>
    <row r="3074" spans="1:13">
      <c r="A3074" t="s">
        <v>851</v>
      </c>
      <c r="B3074" t="s">
        <v>686</v>
      </c>
      <c r="C3074" t="s">
        <v>686</v>
      </c>
      <c r="D3074" t="s">
        <v>12</v>
      </c>
      <c r="E3074" t="s">
        <v>660</v>
      </c>
      <c r="F3074" t="s">
        <v>40</v>
      </c>
      <c r="G3074">
        <v>2050</v>
      </c>
      <c r="H3074" s="12">
        <v>55</v>
      </c>
      <c r="I3074" t="s">
        <v>3183</v>
      </c>
      <c r="J3074" t="s">
        <v>17</v>
      </c>
      <c r="K3074" t="s">
        <v>657</v>
      </c>
      <c r="L3074" t="s">
        <v>3184</v>
      </c>
      <c r="M3074" t="s">
        <v>17</v>
      </c>
    </row>
    <row r="3075" spans="1:13">
      <c r="A3075" t="s">
        <v>851</v>
      </c>
      <c r="B3075" t="s">
        <v>687</v>
      </c>
      <c r="C3075" t="s">
        <v>687</v>
      </c>
      <c r="D3075" t="s">
        <v>12</v>
      </c>
      <c r="E3075" t="s">
        <v>660</v>
      </c>
      <c r="F3075" t="s">
        <v>40</v>
      </c>
      <c r="G3075">
        <v>2030</v>
      </c>
      <c r="H3075" s="12">
        <v>21</v>
      </c>
      <c r="I3075" t="s">
        <v>3183</v>
      </c>
      <c r="J3075" t="s">
        <v>17</v>
      </c>
      <c r="K3075" t="s">
        <v>657</v>
      </c>
      <c r="L3075" t="s">
        <v>3184</v>
      </c>
      <c r="M3075" t="s">
        <v>17</v>
      </c>
    </row>
    <row r="3076" spans="1:13">
      <c r="A3076" t="s">
        <v>851</v>
      </c>
      <c r="B3076" t="s">
        <v>687</v>
      </c>
      <c r="C3076" t="s">
        <v>687</v>
      </c>
      <c r="D3076" t="s">
        <v>12</v>
      </c>
      <c r="E3076" t="s">
        <v>660</v>
      </c>
      <c r="F3076" t="s">
        <v>40</v>
      </c>
      <c r="G3076">
        <v>2035</v>
      </c>
      <c r="H3076" s="12">
        <v>28</v>
      </c>
      <c r="I3076" t="s">
        <v>3183</v>
      </c>
      <c r="J3076" t="s">
        <v>17</v>
      </c>
      <c r="K3076" t="s">
        <v>657</v>
      </c>
      <c r="L3076" t="s">
        <v>3184</v>
      </c>
      <c r="M3076" t="s">
        <v>17</v>
      </c>
    </row>
    <row r="3077" spans="1:13">
      <c r="A3077" t="s">
        <v>851</v>
      </c>
      <c r="B3077" t="s">
        <v>687</v>
      </c>
      <c r="C3077" t="s">
        <v>687</v>
      </c>
      <c r="D3077" t="s">
        <v>12</v>
      </c>
      <c r="E3077" t="s">
        <v>660</v>
      </c>
      <c r="F3077" t="s">
        <v>40</v>
      </c>
      <c r="G3077">
        <v>2040</v>
      </c>
      <c r="H3077" s="12">
        <v>37</v>
      </c>
      <c r="I3077" t="s">
        <v>3183</v>
      </c>
      <c r="J3077" t="s">
        <v>17</v>
      </c>
      <c r="K3077" t="s">
        <v>657</v>
      </c>
      <c r="L3077" t="s">
        <v>3184</v>
      </c>
      <c r="M3077" t="s">
        <v>17</v>
      </c>
    </row>
    <row r="3078" spans="1:13">
      <c r="A3078" t="s">
        <v>851</v>
      </c>
      <c r="B3078" t="s">
        <v>687</v>
      </c>
      <c r="C3078" t="s">
        <v>687</v>
      </c>
      <c r="D3078" t="s">
        <v>12</v>
      </c>
      <c r="E3078" t="s">
        <v>660</v>
      </c>
      <c r="F3078" t="s">
        <v>40</v>
      </c>
      <c r="G3078">
        <v>2045</v>
      </c>
      <c r="H3078" s="12">
        <v>47</v>
      </c>
      <c r="I3078" t="s">
        <v>3183</v>
      </c>
      <c r="J3078" t="s">
        <v>17</v>
      </c>
      <c r="K3078" t="s">
        <v>657</v>
      </c>
      <c r="L3078" t="s">
        <v>3184</v>
      </c>
      <c r="M3078" t="s">
        <v>17</v>
      </c>
    </row>
    <row r="3079" spans="1:13">
      <c r="A3079" t="s">
        <v>851</v>
      </c>
      <c r="B3079" t="s">
        <v>687</v>
      </c>
      <c r="C3079" t="s">
        <v>687</v>
      </c>
      <c r="D3079" t="s">
        <v>12</v>
      </c>
      <c r="E3079" t="s">
        <v>660</v>
      </c>
      <c r="F3079" t="s">
        <v>40</v>
      </c>
      <c r="G3079">
        <v>2050</v>
      </c>
      <c r="H3079" s="12">
        <v>59</v>
      </c>
      <c r="I3079" t="s">
        <v>3183</v>
      </c>
      <c r="J3079" t="s">
        <v>17</v>
      </c>
      <c r="K3079" t="s">
        <v>657</v>
      </c>
      <c r="L3079" t="s">
        <v>3184</v>
      </c>
      <c r="M3079" t="s">
        <v>17</v>
      </c>
    </row>
    <row r="3080" spans="1:13">
      <c r="A3080" t="s">
        <v>851</v>
      </c>
      <c r="B3080" t="s">
        <v>686</v>
      </c>
      <c r="C3080" t="s">
        <v>686</v>
      </c>
      <c r="D3080" t="s">
        <v>12</v>
      </c>
      <c r="E3080" t="s">
        <v>660</v>
      </c>
      <c r="F3080" t="s">
        <v>40</v>
      </c>
      <c r="G3080">
        <v>2010</v>
      </c>
      <c r="H3080" s="12">
        <v>0</v>
      </c>
      <c r="I3080" t="s">
        <v>3183</v>
      </c>
      <c r="J3080" t="s">
        <v>18</v>
      </c>
      <c r="K3080" t="s">
        <v>657</v>
      </c>
      <c r="L3080" t="s">
        <v>3184</v>
      </c>
      <c r="M3080" t="s">
        <v>18</v>
      </c>
    </row>
    <row r="3081" spans="1:13">
      <c r="A3081" t="s">
        <v>851</v>
      </c>
      <c r="B3081" t="s">
        <v>686</v>
      </c>
      <c r="C3081" t="s">
        <v>686</v>
      </c>
      <c r="D3081" t="s">
        <v>12</v>
      </c>
      <c r="E3081" t="s">
        <v>660</v>
      </c>
      <c r="F3081" t="s">
        <v>40</v>
      </c>
      <c r="G3081">
        <v>2015</v>
      </c>
      <c r="H3081" s="12">
        <v>1</v>
      </c>
      <c r="I3081" t="s">
        <v>3183</v>
      </c>
      <c r="J3081" t="s">
        <v>18</v>
      </c>
      <c r="K3081" t="s">
        <v>657</v>
      </c>
      <c r="L3081" t="s">
        <v>3184</v>
      </c>
      <c r="M3081" t="s">
        <v>18</v>
      </c>
    </row>
    <row r="3082" spans="1:13">
      <c r="A3082" t="s">
        <v>851</v>
      </c>
      <c r="B3082" t="s">
        <v>686</v>
      </c>
      <c r="C3082" t="s">
        <v>686</v>
      </c>
      <c r="D3082" t="s">
        <v>12</v>
      </c>
      <c r="E3082" t="s">
        <v>660</v>
      </c>
      <c r="F3082" t="s">
        <v>40</v>
      </c>
      <c r="G3082">
        <v>2020</v>
      </c>
      <c r="H3082" s="12">
        <v>4</v>
      </c>
      <c r="I3082" t="s">
        <v>3183</v>
      </c>
      <c r="J3082" t="s">
        <v>18</v>
      </c>
      <c r="K3082" t="s">
        <v>657</v>
      </c>
      <c r="L3082" t="s">
        <v>3184</v>
      </c>
      <c r="M3082" t="s">
        <v>18</v>
      </c>
    </row>
    <row r="3083" spans="1:13">
      <c r="A3083" t="s">
        <v>851</v>
      </c>
      <c r="B3083" t="s">
        <v>686</v>
      </c>
      <c r="C3083" t="s">
        <v>686</v>
      </c>
      <c r="D3083" t="s">
        <v>12</v>
      </c>
      <c r="E3083" t="s">
        <v>660</v>
      </c>
      <c r="F3083" t="s">
        <v>40</v>
      </c>
      <c r="G3083">
        <v>2030</v>
      </c>
      <c r="H3083" s="12">
        <v>52</v>
      </c>
      <c r="I3083" t="s">
        <v>3183</v>
      </c>
      <c r="J3083" t="s">
        <v>18</v>
      </c>
      <c r="K3083" t="s">
        <v>657</v>
      </c>
      <c r="L3083" t="s">
        <v>3184</v>
      </c>
      <c r="M3083" t="s">
        <v>18</v>
      </c>
    </row>
    <row r="3084" spans="1:13">
      <c r="A3084" t="s">
        <v>851</v>
      </c>
      <c r="B3084" t="s">
        <v>686</v>
      </c>
      <c r="C3084" t="s">
        <v>686</v>
      </c>
      <c r="D3084" t="s">
        <v>12</v>
      </c>
      <c r="E3084" t="s">
        <v>660</v>
      </c>
      <c r="F3084" t="s">
        <v>40</v>
      </c>
      <c r="G3084">
        <v>2035</v>
      </c>
      <c r="H3084" s="12">
        <v>89</v>
      </c>
      <c r="I3084" t="s">
        <v>3183</v>
      </c>
      <c r="J3084" t="s">
        <v>18</v>
      </c>
      <c r="K3084" t="s">
        <v>657</v>
      </c>
      <c r="L3084" t="s">
        <v>3184</v>
      </c>
      <c r="M3084" t="s">
        <v>18</v>
      </c>
    </row>
    <row r="3085" spans="1:13">
      <c r="A3085" t="s">
        <v>851</v>
      </c>
      <c r="B3085" t="s">
        <v>686</v>
      </c>
      <c r="C3085" t="s">
        <v>686</v>
      </c>
      <c r="D3085" t="s">
        <v>12</v>
      </c>
      <c r="E3085" t="s">
        <v>660</v>
      </c>
      <c r="F3085" t="s">
        <v>40</v>
      </c>
      <c r="G3085">
        <v>2040</v>
      </c>
      <c r="H3085" s="12">
        <v>133</v>
      </c>
      <c r="I3085" t="s">
        <v>3183</v>
      </c>
      <c r="J3085" t="s">
        <v>18</v>
      </c>
      <c r="K3085" t="s">
        <v>657</v>
      </c>
      <c r="L3085" t="s">
        <v>3184</v>
      </c>
      <c r="M3085" t="s">
        <v>18</v>
      </c>
    </row>
    <row r="3086" spans="1:13">
      <c r="A3086" t="s">
        <v>851</v>
      </c>
      <c r="B3086" t="s">
        <v>686</v>
      </c>
      <c r="C3086" t="s">
        <v>686</v>
      </c>
      <c r="D3086" t="s">
        <v>12</v>
      </c>
      <c r="E3086" t="s">
        <v>660</v>
      </c>
      <c r="F3086" t="s">
        <v>40</v>
      </c>
      <c r="G3086">
        <v>2045</v>
      </c>
      <c r="H3086" s="12">
        <v>193</v>
      </c>
      <c r="I3086" t="s">
        <v>3183</v>
      </c>
      <c r="J3086" t="s">
        <v>18</v>
      </c>
      <c r="K3086" t="s">
        <v>657</v>
      </c>
      <c r="L3086" t="s">
        <v>3184</v>
      </c>
      <c r="M3086" t="s">
        <v>18</v>
      </c>
    </row>
    <row r="3087" spans="1:13">
      <c r="A3087" t="s">
        <v>851</v>
      </c>
      <c r="B3087" t="s">
        <v>686</v>
      </c>
      <c r="C3087" t="s">
        <v>686</v>
      </c>
      <c r="D3087" t="s">
        <v>12</v>
      </c>
      <c r="E3087" t="s">
        <v>660</v>
      </c>
      <c r="F3087" t="s">
        <v>40</v>
      </c>
      <c r="G3087">
        <v>2050</v>
      </c>
      <c r="H3087" s="12">
        <v>253</v>
      </c>
      <c r="I3087" t="s">
        <v>3183</v>
      </c>
      <c r="J3087" t="s">
        <v>18</v>
      </c>
      <c r="K3087" t="s">
        <v>657</v>
      </c>
      <c r="L3087" t="s">
        <v>3184</v>
      </c>
      <c r="M3087" t="s">
        <v>18</v>
      </c>
    </row>
    <row r="3088" spans="1:13">
      <c r="A3088" t="s">
        <v>851</v>
      </c>
      <c r="B3088" t="s">
        <v>687</v>
      </c>
      <c r="C3088" t="s">
        <v>687</v>
      </c>
      <c r="D3088" t="s">
        <v>12</v>
      </c>
      <c r="E3088" t="s">
        <v>660</v>
      </c>
      <c r="F3088" t="s">
        <v>40</v>
      </c>
      <c r="G3088">
        <v>2030</v>
      </c>
      <c r="H3088" s="12">
        <v>56</v>
      </c>
      <c r="I3088" t="s">
        <v>3183</v>
      </c>
      <c r="J3088" t="s">
        <v>18</v>
      </c>
      <c r="K3088" t="s">
        <v>657</v>
      </c>
      <c r="L3088" t="s">
        <v>3184</v>
      </c>
      <c r="M3088" t="s">
        <v>18</v>
      </c>
    </row>
    <row r="3089" spans="1:13">
      <c r="A3089" t="s">
        <v>851</v>
      </c>
      <c r="B3089" t="s">
        <v>687</v>
      </c>
      <c r="C3089" t="s">
        <v>687</v>
      </c>
      <c r="D3089" t="s">
        <v>12</v>
      </c>
      <c r="E3089" t="s">
        <v>660</v>
      </c>
      <c r="F3089" t="s">
        <v>40</v>
      </c>
      <c r="G3089">
        <v>2035</v>
      </c>
      <c r="H3089" s="12">
        <v>96</v>
      </c>
      <c r="I3089" t="s">
        <v>3183</v>
      </c>
      <c r="J3089" t="s">
        <v>18</v>
      </c>
      <c r="K3089" t="s">
        <v>657</v>
      </c>
      <c r="L3089" t="s">
        <v>3184</v>
      </c>
      <c r="M3089" t="s">
        <v>18</v>
      </c>
    </row>
    <row r="3090" spans="1:13">
      <c r="A3090" t="s">
        <v>851</v>
      </c>
      <c r="B3090" t="s">
        <v>687</v>
      </c>
      <c r="C3090" t="s">
        <v>687</v>
      </c>
      <c r="D3090" t="s">
        <v>12</v>
      </c>
      <c r="E3090" t="s">
        <v>660</v>
      </c>
      <c r="F3090" t="s">
        <v>40</v>
      </c>
      <c r="G3090">
        <v>2040</v>
      </c>
      <c r="H3090" s="12">
        <v>149</v>
      </c>
      <c r="I3090" t="s">
        <v>3183</v>
      </c>
      <c r="J3090" t="s">
        <v>18</v>
      </c>
      <c r="K3090" t="s">
        <v>657</v>
      </c>
      <c r="L3090" t="s">
        <v>3184</v>
      </c>
      <c r="M3090" t="s">
        <v>18</v>
      </c>
    </row>
    <row r="3091" spans="1:13">
      <c r="A3091" t="s">
        <v>851</v>
      </c>
      <c r="B3091" t="s">
        <v>687</v>
      </c>
      <c r="C3091" t="s">
        <v>687</v>
      </c>
      <c r="D3091" t="s">
        <v>12</v>
      </c>
      <c r="E3091" t="s">
        <v>660</v>
      </c>
      <c r="F3091" t="s">
        <v>40</v>
      </c>
      <c r="G3091">
        <v>2045</v>
      </c>
      <c r="H3091" s="12">
        <v>224</v>
      </c>
      <c r="I3091" t="s">
        <v>3183</v>
      </c>
      <c r="J3091" t="s">
        <v>18</v>
      </c>
      <c r="K3091" t="s">
        <v>657</v>
      </c>
      <c r="L3091" t="s">
        <v>3184</v>
      </c>
      <c r="M3091" t="s">
        <v>18</v>
      </c>
    </row>
    <row r="3092" spans="1:13">
      <c r="A3092" t="s">
        <v>851</v>
      </c>
      <c r="B3092" t="s">
        <v>687</v>
      </c>
      <c r="C3092" t="s">
        <v>687</v>
      </c>
      <c r="D3092" t="s">
        <v>12</v>
      </c>
      <c r="E3092" t="s">
        <v>660</v>
      </c>
      <c r="F3092" t="s">
        <v>40</v>
      </c>
      <c r="G3092">
        <v>2050</v>
      </c>
      <c r="H3092" s="12">
        <v>298</v>
      </c>
      <c r="I3092" t="s">
        <v>3183</v>
      </c>
      <c r="J3092" t="s">
        <v>18</v>
      </c>
      <c r="K3092" t="s">
        <v>657</v>
      </c>
      <c r="L3092" t="s">
        <v>3184</v>
      </c>
      <c r="M3092" t="s">
        <v>18</v>
      </c>
    </row>
    <row r="3093" spans="1:13">
      <c r="A3093" t="s">
        <v>851</v>
      </c>
      <c r="B3093" t="s">
        <v>686</v>
      </c>
      <c r="C3093" t="s">
        <v>686</v>
      </c>
      <c r="D3093" t="s">
        <v>12</v>
      </c>
      <c r="E3093" t="s">
        <v>660</v>
      </c>
      <c r="F3093" t="s">
        <v>40</v>
      </c>
      <c r="G3093">
        <v>2010</v>
      </c>
      <c r="H3093" s="12">
        <v>599</v>
      </c>
      <c r="I3093" t="s">
        <v>3183</v>
      </c>
      <c r="J3093" t="s">
        <v>14</v>
      </c>
      <c r="K3093" t="s">
        <v>657</v>
      </c>
      <c r="L3093" t="s">
        <v>3184</v>
      </c>
      <c r="M3093" t="s">
        <v>14</v>
      </c>
    </row>
    <row r="3094" spans="1:13">
      <c r="A3094" t="s">
        <v>851</v>
      </c>
      <c r="B3094" t="s">
        <v>686</v>
      </c>
      <c r="C3094" t="s">
        <v>686</v>
      </c>
      <c r="D3094" t="s">
        <v>12</v>
      </c>
      <c r="E3094" t="s">
        <v>660</v>
      </c>
      <c r="F3094" t="s">
        <v>40</v>
      </c>
      <c r="G3094">
        <v>2015</v>
      </c>
      <c r="H3094" s="12">
        <v>605</v>
      </c>
      <c r="I3094" t="s">
        <v>3183</v>
      </c>
      <c r="J3094" t="s">
        <v>14</v>
      </c>
      <c r="K3094" t="s">
        <v>657</v>
      </c>
      <c r="L3094" t="s">
        <v>3184</v>
      </c>
      <c r="M3094" t="s">
        <v>14</v>
      </c>
    </row>
    <row r="3095" spans="1:13">
      <c r="A3095" t="s">
        <v>851</v>
      </c>
      <c r="B3095" t="s">
        <v>686</v>
      </c>
      <c r="C3095" t="s">
        <v>686</v>
      </c>
      <c r="D3095" t="s">
        <v>12</v>
      </c>
      <c r="E3095" t="s">
        <v>660</v>
      </c>
      <c r="F3095" t="s">
        <v>40</v>
      </c>
      <c r="G3095">
        <v>2020</v>
      </c>
      <c r="H3095" s="12">
        <v>765</v>
      </c>
      <c r="I3095" t="s">
        <v>3183</v>
      </c>
      <c r="J3095" t="s">
        <v>14</v>
      </c>
      <c r="K3095" t="s">
        <v>657</v>
      </c>
      <c r="L3095" t="s">
        <v>3184</v>
      </c>
      <c r="M3095" t="s">
        <v>14</v>
      </c>
    </row>
    <row r="3096" spans="1:13">
      <c r="A3096" t="s">
        <v>851</v>
      </c>
      <c r="B3096" t="s">
        <v>686</v>
      </c>
      <c r="C3096" t="s">
        <v>686</v>
      </c>
      <c r="D3096" t="s">
        <v>12</v>
      </c>
      <c r="E3096" t="s">
        <v>660</v>
      </c>
      <c r="F3096" t="s">
        <v>40</v>
      </c>
      <c r="G3096">
        <v>2030</v>
      </c>
      <c r="H3096" s="12">
        <v>794</v>
      </c>
      <c r="I3096" t="s">
        <v>3183</v>
      </c>
      <c r="J3096" t="s">
        <v>14</v>
      </c>
      <c r="K3096" t="s">
        <v>657</v>
      </c>
      <c r="L3096" t="s">
        <v>3184</v>
      </c>
      <c r="M3096" t="s">
        <v>14</v>
      </c>
    </row>
    <row r="3097" spans="1:13">
      <c r="A3097" t="s">
        <v>851</v>
      </c>
      <c r="B3097" t="s">
        <v>686</v>
      </c>
      <c r="C3097" t="s">
        <v>686</v>
      </c>
      <c r="D3097" t="s">
        <v>12</v>
      </c>
      <c r="E3097" t="s">
        <v>660</v>
      </c>
      <c r="F3097" t="s">
        <v>40</v>
      </c>
      <c r="G3097">
        <v>2035</v>
      </c>
      <c r="H3097" s="12">
        <v>832</v>
      </c>
      <c r="I3097" t="s">
        <v>3183</v>
      </c>
      <c r="J3097" t="s">
        <v>14</v>
      </c>
      <c r="K3097" t="s">
        <v>657</v>
      </c>
      <c r="L3097" t="s">
        <v>3184</v>
      </c>
      <c r="M3097" t="s">
        <v>14</v>
      </c>
    </row>
    <row r="3098" spans="1:13">
      <c r="A3098" t="s">
        <v>851</v>
      </c>
      <c r="B3098" t="s">
        <v>686</v>
      </c>
      <c r="C3098" t="s">
        <v>686</v>
      </c>
      <c r="D3098" t="s">
        <v>12</v>
      </c>
      <c r="E3098" t="s">
        <v>660</v>
      </c>
      <c r="F3098" t="s">
        <v>40</v>
      </c>
      <c r="G3098">
        <v>2040</v>
      </c>
      <c r="H3098" s="12">
        <v>854</v>
      </c>
      <c r="I3098" t="s">
        <v>3183</v>
      </c>
      <c r="J3098" t="s">
        <v>14</v>
      </c>
      <c r="K3098" t="s">
        <v>657</v>
      </c>
      <c r="L3098" t="s">
        <v>3184</v>
      </c>
      <c r="M3098" t="s">
        <v>14</v>
      </c>
    </row>
    <row r="3099" spans="1:13">
      <c r="A3099" t="s">
        <v>851</v>
      </c>
      <c r="B3099" t="s">
        <v>686</v>
      </c>
      <c r="C3099" t="s">
        <v>686</v>
      </c>
      <c r="D3099" t="s">
        <v>12</v>
      </c>
      <c r="E3099" t="s">
        <v>660</v>
      </c>
      <c r="F3099" t="s">
        <v>40</v>
      </c>
      <c r="G3099">
        <v>2045</v>
      </c>
      <c r="H3099" s="12">
        <v>862</v>
      </c>
      <c r="I3099" t="s">
        <v>3183</v>
      </c>
      <c r="J3099" t="s">
        <v>14</v>
      </c>
      <c r="K3099" t="s">
        <v>657</v>
      </c>
      <c r="L3099" t="s">
        <v>3184</v>
      </c>
      <c r="M3099" t="s">
        <v>14</v>
      </c>
    </row>
    <row r="3100" spans="1:13">
      <c r="A3100" t="s">
        <v>851</v>
      </c>
      <c r="B3100" t="s">
        <v>686</v>
      </c>
      <c r="C3100" t="s">
        <v>686</v>
      </c>
      <c r="D3100" t="s">
        <v>12</v>
      </c>
      <c r="E3100" t="s">
        <v>660</v>
      </c>
      <c r="F3100" t="s">
        <v>40</v>
      </c>
      <c r="G3100">
        <v>2050</v>
      </c>
      <c r="H3100" s="12">
        <v>863</v>
      </c>
      <c r="I3100" t="s">
        <v>3183</v>
      </c>
      <c r="J3100" t="s">
        <v>14</v>
      </c>
      <c r="K3100" t="s">
        <v>657</v>
      </c>
      <c r="L3100" t="s">
        <v>3184</v>
      </c>
      <c r="M3100" t="s">
        <v>14</v>
      </c>
    </row>
    <row r="3101" spans="1:13">
      <c r="A3101" t="s">
        <v>851</v>
      </c>
      <c r="B3101" t="s">
        <v>687</v>
      </c>
      <c r="C3101" t="s">
        <v>687</v>
      </c>
      <c r="D3101" t="s">
        <v>12</v>
      </c>
      <c r="E3101" t="s">
        <v>660</v>
      </c>
      <c r="F3101" t="s">
        <v>40</v>
      </c>
      <c r="G3101">
        <v>2030</v>
      </c>
      <c r="H3101" s="12">
        <v>794</v>
      </c>
      <c r="I3101" t="s">
        <v>3183</v>
      </c>
      <c r="J3101" t="s">
        <v>14</v>
      </c>
      <c r="K3101" t="s">
        <v>657</v>
      </c>
      <c r="L3101" t="s">
        <v>3184</v>
      </c>
      <c r="M3101" t="s">
        <v>14</v>
      </c>
    </row>
    <row r="3102" spans="1:13">
      <c r="A3102" t="s">
        <v>851</v>
      </c>
      <c r="B3102" t="s">
        <v>687</v>
      </c>
      <c r="C3102" t="s">
        <v>687</v>
      </c>
      <c r="D3102" t="s">
        <v>12</v>
      </c>
      <c r="E3102" t="s">
        <v>660</v>
      </c>
      <c r="F3102" t="s">
        <v>40</v>
      </c>
      <c r="G3102">
        <v>2035</v>
      </c>
      <c r="H3102" s="12">
        <v>832</v>
      </c>
      <c r="I3102" t="s">
        <v>3183</v>
      </c>
      <c r="J3102" t="s">
        <v>14</v>
      </c>
      <c r="K3102" t="s">
        <v>657</v>
      </c>
      <c r="L3102" t="s">
        <v>3184</v>
      </c>
      <c r="M3102" t="s">
        <v>14</v>
      </c>
    </row>
    <row r="3103" spans="1:13">
      <c r="A3103" t="s">
        <v>851</v>
      </c>
      <c r="B3103" t="s">
        <v>687</v>
      </c>
      <c r="C3103" t="s">
        <v>687</v>
      </c>
      <c r="D3103" t="s">
        <v>12</v>
      </c>
      <c r="E3103" t="s">
        <v>660</v>
      </c>
      <c r="F3103" t="s">
        <v>40</v>
      </c>
      <c r="G3103">
        <v>2040</v>
      </c>
      <c r="H3103" s="12">
        <v>854</v>
      </c>
      <c r="I3103" t="s">
        <v>3183</v>
      </c>
      <c r="J3103" t="s">
        <v>14</v>
      </c>
      <c r="K3103" t="s">
        <v>657</v>
      </c>
      <c r="L3103" t="s">
        <v>3184</v>
      </c>
      <c r="M3103" t="s">
        <v>14</v>
      </c>
    </row>
    <row r="3104" spans="1:13">
      <c r="A3104" t="s">
        <v>851</v>
      </c>
      <c r="B3104" t="s">
        <v>687</v>
      </c>
      <c r="C3104" t="s">
        <v>687</v>
      </c>
      <c r="D3104" t="s">
        <v>12</v>
      </c>
      <c r="E3104" t="s">
        <v>660</v>
      </c>
      <c r="F3104" t="s">
        <v>40</v>
      </c>
      <c r="G3104">
        <v>2045</v>
      </c>
      <c r="H3104" s="12">
        <v>862</v>
      </c>
      <c r="I3104" t="s">
        <v>3183</v>
      </c>
      <c r="J3104" t="s">
        <v>14</v>
      </c>
      <c r="K3104" t="s">
        <v>657</v>
      </c>
      <c r="L3104" t="s">
        <v>3184</v>
      </c>
      <c r="M3104" t="s">
        <v>14</v>
      </c>
    </row>
    <row r="3105" spans="1:13">
      <c r="A3105" t="s">
        <v>851</v>
      </c>
      <c r="B3105" t="s">
        <v>687</v>
      </c>
      <c r="C3105" t="s">
        <v>687</v>
      </c>
      <c r="D3105" t="s">
        <v>12</v>
      </c>
      <c r="E3105" t="s">
        <v>660</v>
      </c>
      <c r="F3105" t="s">
        <v>40</v>
      </c>
      <c r="G3105">
        <v>2050</v>
      </c>
      <c r="H3105" s="12">
        <v>863</v>
      </c>
      <c r="I3105" t="s">
        <v>3183</v>
      </c>
      <c r="J3105" t="s">
        <v>14</v>
      </c>
      <c r="K3105" t="s">
        <v>657</v>
      </c>
      <c r="L3105" t="s">
        <v>3184</v>
      </c>
      <c r="M3105" t="s">
        <v>14</v>
      </c>
    </row>
    <row r="3106" spans="1:13">
      <c r="A3106" t="s">
        <v>851</v>
      </c>
      <c r="B3106" t="s">
        <v>686</v>
      </c>
      <c r="C3106" t="s">
        <v>686</v>
      </c>
      <c r="D3106" t="s">
        <v>12</v>
      </c>
      <c r="E3106" t="s">
        <v>660</v>
      </c>
      <c r="F3106" t="s">
        <v>40</v>
      </c>
      <c r="G3106">
        <v>2010</v>
      </c>
      <c r="H3106" s="12">
        <v>269</v>
      </c>
      <c r="I3106" t="s">
        <v>3183</v>
      </c>
      <c r="J3106" t="s">
        <v>41</v>
      </c>
      <c r="K3106" t="s">
        <v>657</v>
      </c>
      <c r="L3106" t="s">
        <v>3184</v>
      </c>
      <c r="M3106" t="s">
        <v>662</v>
      </c>
    </row>
    <row r="3107" spans="1:13">
      <c r="A3107" t="s">
        <v>851</v>
      </c>
      <c r="B3107" t="s">
        <v>686</v>
      </c>
      <c r="C3107" t="s">
        <v>686</v>
      </c>
      <c r="D3107" t="s">
        <v>12</v>
      </c>
      <c r="E3107" t="s">
        <v>660</v>
      </c>
      <c r="F3107" t="s">
        <v>40</v>
      </c>
      <c r="G3107">
        <v>2015</v>
      </c>
      <c r="H3107" s="12">
        <v>287</v>
      </c>
      <c r="I3107" t="s">
        <v>3183</v>
      </c>
      <c r="J3107" t="s">
        <v>41</v>
      </c>
      <c r="K3107" t="s">
        <v>657</v>
      </c>
      <c r="L3107" t="s">
        <v>3184</v>
      </c>
      <c r="M3107" t="s">
        <v>662</v>
      </c>
    </row>
    <row r="3108" spans="1:13">
      <c r="A3108" t="s">
        <v>851</v>
      </c>
      <c r="B3108" t="s">
        <v>686</v>
      </c>
      <c r="C3108" t="s">
        <v>686</v>
      </c>
      <c r="D3108" t="s">
        <v>12</v>
      </c>
      <c r="E3108" t="s">
        <v>660</v>
      </c>
      <c r="F3108" t="s">
        <v>40</v>
      </c>
      <c r="G3108">
        <v>2020</v>
      </c>
      <c r="H3108" s="12">
        <v>391</v>
      </c>
      <c r="I3108" t="s">
        <v>3183</v>
      </c>
      <c r="J3108" t="s">
        <v>41</v>
      </c>
      <c r="K3108" t="s">
        <v>657</v>
      </c>
      <c r="L3108" t="s">
        <v>3184</v>
      </c>
      <c r="M3108" t="s">
        <v>662</v>
      </c>
    </row>
    <row r="3109" spans="1:13">
      <c r="A3109" t="s">
        <v>851</v>
      </c>
      <c r="B3109" t="s">
        <v>686</v>
      </c>
      <c r="C3109" t="s">
        <v>686</v>
      </c>
      <c r="D3109" t="s">
        <v>12</v>
      </c>
      <c r="E3109" t="s">
        <v>660</v>
      </c>
      <c r="F3109" t="s">
        <v>40</v>
      </c>
      <c r="G3109">
        <v>2030</v>
      </c>
      <c r="H3109" s="12">
        <v>464</v>
      </c>
      <c r="I3109" t="s">
        <v>3183</v>
      </c>
      <c r="J3109" t="s">
        <v>41</v>
      </c>
      <c r="K3109" t="s">
        <v>657</v>
      </c>
      <c r="L3109" t="s">
        <v>3184</v>
      </c>
      <c r="M3109" t="s">
        <v>662</v>
      </c>
    </row>
    <row r="3110" spans="1:13">
      <c r="A3110" t="s">
        <v>851</v>
      </c>
      <c r="B3110" t="s">
        <v>686</v>
      </c>
      <c r="C3110" t="s">
        <v>686</v>
      </c>
      <c r="D3110" t="s">
        <v>12</v>
      </c>
      <c r="E3110" t="s">
        <v>660</v>
      </c>
      <c r="F3110" t="s">
        <v>40</v>
      </c>
      <c r="G3110">
        <v>2035</v>
      </c>
      <c r="H3110" s="12">
        <v>570</v>
      </c>
      <c r="I3110" t="s">
        <v>3183</v>
      </c>
      <c r="J3110" t="s">
        <v>41</v>
      </c>
      <c r="K3110" t="s">
        <v>657</v>
      </c>
      <c r="L3110" t="s">
        <v>3184</v>
      </c>
      <c r="M3110" t="s">
        <v>662</v>
      </c>
    </row>
    <row r="3111" spans="1:13">
      <c r="A3111" t="s">
        <v>851</v>
      </c>
      <c r="B3111" t="s">
        <v>686</v>
      </c>
      <c r="C3111" t="s">
        <v>686</v>
      </c>
      <c r="D3111" t="s">
        <v>12</v>
      </c>
      <c r="E3111" t="s">
        <v>660</v>
      </c>
      <c r="F3111" t="s">
        <v>40</v>
      </c>
      <c r="G3111">
        <v>2040</v>
      </c>
      <c r="H3111" s="12">
        <v>729</v>
      </c>
      <c r="I3111" t="s">
        <v>3183</v>
      </c>
      <c r="J3111" t="s">
        <v>41</v>
      </c>
      <c r="K3111" t="s">
        <v>657</v>
      </c>
      <c r="L3111" t="s">
        <v>3184</v>
      </c>
      <c r="M3111" t="s">
        <v>662</v>
      </c>
    </row>
    <row r="3112" spans="1:13">
      <c r="A3112" t="s">
        <v>851</v>
      </c>
      <c r="B3112" t="s">
        <v>686</v>
      </c>
      <c r="C3112" t="s">
        <v>686</v>
      </c>
      <c r="D3112" t="s">
        <v>12</v>
      </c>
      <c r="E3112" t="s">
        <v>660</v>
      </c>
      <c r="F3112" t="s">
        <v>40</v>
      </c>
      <c r="G3112">
        <v>2045</v>
      </c>
      <c r="H3112" s="12">
        <v>912</v>
      </c>
      <c r="I3112" t="s">
        <v>3183</v>
      </c>
      <c r="J3112" t="s">
        <v>41</v>
      </c>
      <c r="K3112" t="s">
        <v>657</v>
      </c>
      <c r="L3112" t="s">
        <v>3184</v>
      </c>
      <c r="M3112" t="s">
        <v>662</v>
      </c>
    </row>
    <row r="3113" spans="1:13">
      <c r="A3113" t="s">
        <v>851</v>
      </c>
      <c r="B3113" t="s">
        <v>686</v>
      </c>
      <c r="C3113" t="s">
        <v>686</v>
      </c>
      <c r="D3113" t="s">
        <v>12</v>
      </c>
      <c r="E3113" t="s">
        <v>660</v>
      </c>
      <c r="F3113" t="s">
        <v>40</v>
      </c>
      <c r="G3113">
        <v>2050</v>
      </c>
      <c r="H3113" s="12">
        <v>1152</v>
      </c>
      <c r="I3113" t="s">
        <v>3183</v>
      </c>
      <c r="J3113" t="s">
        <v>41</v>
      </c>
      <c r="K3113" t="s">
        <v>657</v>
      </c>
      <c r="L3113" t="s">
        <v>3184</v>
      </c>
      <c r="M3113" t="s">
        <v>662</v>
      </c>
    </row>
    <row r="3114" spans="1:13">
      <c r="A3114" t="s">
        <v>851</v>
      </c>
      <c r="B3114" t="s">
        <v>687</v>
      </c>
      <c r="C3114" t="s">
        <v>687</v>
      </c>
      <c r="D3114" t="s">
        <v>12</v>
      </c>
      <c r="E3114" t="s">
        <v>660</v>
      </c>
      <c r="F3114" t="s">
        <v>40</v>
      </c>
      <c r="G3114">
        <v>2030</v>
      </c>
      <c r="H3114" s="12">
        <v>530</v>
      </c>
      <c r="I3114" t="s">
        <v>3183</v>
      </c>
      <c r="J3114" t="s">
        <v>41</v>
      </c>
      <c r="K3114" t="s">
        <v>657</v>
      </c>
      <c r="L3114" t="s">
        <v>3184</v>
      </c>
      <c r="M3114" t="s">
        <v>662</v>
      </c>
    </row>
    <row r="3115" spans="1:13">
      <c r="A3115" t="s">
        <v>851</v>
      </c>
      <c r="B3115" t="s">
        <v>687</v>
      </c>
      <c r="C3115" t="s">
        <v>687</v>
      </c>
      <c r="D3115" t="s">
        <v>12</v>
      </c>
      <c r="E3115" t="s">
        <v>660</v>
      </c>
      <c r="F3115" t="s">
        <v>40</v>
      </c>
      <c r="G3115">
        <v>2035</v>
      </c>
      <c r="H3115" s="12">
        <v>714</v>
      </c>
      <c r="I3115" t="s">
        <v>3183</v>
      </c>
      <c r="J3115" t="s">
        <v>41</v>
      </c>
      <c r="K3115" t="s">
        <v>657</v>
      </c>
      <c r="L3115" t="s">
        <v>3184</v>
      </c>
      <c r="M3115" t="s">
        <v>662</v>
      </c>
    </row>
    <row r="3116" spans="1:13">
      <c r="A3116" t="s">
        <v>851</v>
      </c>
      <c r="B3116" t="s">
        <v>687</v>
      </c>
      <c r="C3116" t="s">
        <v>687</v>
      </c>
      <c r="D3116" t="s">
        <v>12</v>
      </c>
      <c r="E3116" t="s">
        <v>660</v>
      </c>
      <c r="F3116" t="s">
        <v>40</v>
      </c>
      <c r="G3116">
        <v>2040</v>
      </c>
      <c r="H3116" s="12">
        <v>891</v>
      </c>
      <c r="I3116" t="s">
        <v>3183</v>
      </c>
      <c r="J3116" t="s">
        <v>41</v>
      </c>
      <c r="K3116" t="s">
        <v>657</v>
      </c>
      <c r="L3116" t="s">
        <v>3184</v>
      </c>
      <c r="M3116" t="s">
        <v>662</v>
      </c>
    </row>
    <row r="3117" spans="1:13">
      <c r="A3117" t="s">
        <v>851</v>
      </c>
      <c r="B3117" t="s">
        <v>687</v>
      </c>
      <c r="C3117" t="s">
        <v>687</v>
      </c>
      <c r="D3117" t="s">
        <v>12</v>
      </c>
      <c r="E3117" t="s">
        <v>660</v>
      </c>
      <c r="F3117" t="s">
        <v>40</v>
      </c>
      <c r="G3117">
        <v>2045</v>
      </c>
      <c r="H3117" s="12">
        <v>1108</v>
      </c>
      <c r="I3117" t="s">
        <v>3183</v>
      </c>
      <c r="J3117" t="s">
        <v>41</v>
      </c>
      <c r="K3117" t="s">
        <v>657</v>
      </c>
      <c r="L3117" t="s">
        <v>3184</v>
      </c>
      <c r="M3117" t="s">
        <v>662</v>
      </c>
    </row>
    <row r="3118" spans="1:13">
      <c r="A3118" t="s">
        <v>851</v>
      </c>
      <c r="B3118" t="s">
        <v>687</v>
      </c>
      <c r="C3118" t="s">
        <v>687</v>
      </c>
      <c r="D3118" t="s">
        <v>12</v>
      </c>
      <c r="E3118" t="s">
        <v>660</v>
      </c>
      <c r="F3118" t="s">
        <v>40</v>
      </c>
      <c r="G3118">
        <v>2050</v>
      </c>
      <c r="H3118" s="12">
        <v>1373</v>
      </c>
      <c r="I3118" t="s">
        <v>3183</v>
      </c>
      <c r="J3118" t="s">
        <v>41</v>
      </c>
      <c r="K3118" t="s">
        <v>657</v>
      </c>
      <c r="L3118" t="s">
        <v>3184</v>
      </c>
      <c r="M3118" t="s">
        <v>662</v>
      </c>
    </row>
    <row r="3119" spans="1:13">
      <c r="A3119" t="s">
        <v>851</v>
      </c>
      <c r="B3119" t="s">
        <v>686</v>
      </c>
      <c r="C3119" t="s">
        <v>686</v>
      </c>
      <c r="D3119" t="s">
        <v>12</v>
      </c>
      <c r="E3119" t="s">
        <v>660</v>
      </c>
      <c r="F3119" t="s">
        <v>40</v>
      </c>
      <c r="G3119">
        <v>2010</v>
      </c>
      <c r="H3119" s="12">
        <v>0</v>
      </c>
      <c r="I3119" t="s">
        <v>3183</v>
      </c>
      <c r="J3119" t="s">
        <v>41</v>
      </c>
      <c r="K3119" t="s">
        <v>657</v>
      </c>
      <c r="L3119" t="s">
        <v>3184</v>
      </c>
      <c r="M3119" t="s">
        <v>661</v>
      </c>
    </row>
    <row r="3120" spans="1:13">
      <c r="A3120" t="s">
        <v>851</v>
      </c>
      <c r="B3120" t="s">
        <v>686</v>
      </c>
      <c r="C3120" t="s">
        <v>686</v>
      </c>
      <c r="D3120" t="s">
        <v>12</v>
      </c>
      <c r="E3120" t="s">
        <v>660</v>
      </c>
      <c r="F3120" t="s">
        <v>40</v>
      </c>
      <c r="G3120">
        <v>2015</v>
      </c>
      <c r="H3120" s="12">
        <v>0</v>
      </c>
      <c r="I3120" t="s">
        <v>3183</v>
      </c>
      <c r="J3120" t="s">
        <v>41</v>
      </c>
      <c r="K3120" t="s">
        <v>657</v>
      </c>
      <c r="L3120" t="s">
        <v>3184</v>
      </c>
      <c r="M3120" t="s">
        <v>661</v>
      </c>
    </row>
    <row r="3121" spans="1:13">
      <c r="A3121" t="s">
        <v>851</v>
      </c>
      <c r="B3121" t="s">
        <v>686</v>
      </c>
      <c r="C3121" t="s">
        <v>686</v>
      </c>
      <c r="D3121" t="s">
        <v>12</v>
      </c>
      <c r="E3121" t="s">
        <v>660</v>
      </c>
      <c r="F3121" t="s">
        <v>40</v>
      </c>
      <c r="G3121">
        <v>2020</v>
      </c>
      <c r="H3121" s="12">
        <v>0</v>
      </c>
      <c r="I3121" t="s">
        <v>3183</v>
      </c>
      <c r="J3121" t="s">
        <v>41</v>
      </c>
      <c r="K3121" t="s">
        <v>657</v>
      </c>
      <c r="L3121" t="s">
        <v>3184</v>
      </c>
      <c r="M3121" t="s">
        <v>661</v>
      </c>
    </row>
    <row r="3122" spans="1:13">
      <c r="A3122" t="s">
        <v>851</v>
      </c>
      <c r="B3122" t="s">
        <v>686</v>
      </c>
      <c r="C3122" t="s">
        <v>686</v>
      </c>
      <c r="D3122" t="s">
        <v>12</v>
      </c>
      <c r="E3122" t="s">
        <v>660</v>
      </c>
      <c r="F3122" t="s">
        <v>40</v>
      </c>
      <c r="G3122">
        <v>2030</v>
      </c>
      <c r="H3122" s="12">
        <v>0</v>
      </c>
      <c r="I3122" t="s">
        <v>3183</v>
      </c>
      <c r="J3122" t="s">
        <v>41</v>
      </c>
      <c r="K3122" t="s">
        <v>657</v>
      </c>
      <c r="L3122" t="s">
        <v>3184</v>
      </c>
      <c r="M3122" t="s">
        <v>661</v>
      </c>
    </row>
    <row r="3123" spans="1:13">
      <c r="A3123" t="s">
        <v>851</v>
      </c>
      <c r="B3123" t="s">
        <v>686</v>
      </c>
      <c r="C3123" t="s">
        <v>686</v>
      </c>
      <c r="D3123" t="s">
        <v>3185</v>
      </c>
      <c r="E3123" t="s">
        <v>242</v>
      </c>
      <c r="F3123" t="s">
        <v>663</v>
      </c>
      <c r="G3123">
        <v>2040</v>
      </c>
      <c r="H3123" s="12">
        <v>398.59</v>
      </c>
      <c r="I3123" t="s">
        <v>3183</v>
      </c>
      <c r="J3123" t="s">
        <v>394</v>
      </c>
      <c r="K3123" t="s">
        <v>664</v>
      </c>
      <c r="L3123" t="s">
        <v>655</v>
      </c>
      <c r="M3123" t="s">
        <v>16</v>
      </c>
    </row>
    <row r="3124" spans="1:13">
      <c r="A3124" t="s">
        <v>851</v>
      </c>
      <c r="B3124" t="s">
        <v>686</v>
      </c>
      <c r="C3124" t="s">
        <v>686</v>
      </c>
      <c r="D3124" t="s">
        <v>3185</v>
      </c>
      <c r="E3124" t="s">
        <v>242</v>
      </c>
      <c r="F3124" t="s">
        <v>663</v>
      </c>
      <c r="G3124">
        <v>2045</v>
      </c>
      <c r="H3124" s="12">
        <v>394.2</v>
      </c>
      <c r="I3124" t="s">
        <v>3183</v>
      </c>
      <c r="J3124" t="s">
        <v>394</v>
      </c>
      <c r="K3124" t="s">
        <v>664</v>
      </c>
      <c r="L3124" t="s">
        <v>655</v>
      </c>
      <c r="M3124" t="s">
        <v>16</v>
      </c>
    </row>
    <row r="3125" spans="1:13">
      <c r="A3125" t="s">
        <v>851</v>
      </c>
      <c r="B3125" t="s">
        <v>686</v>
      </c>
      <c r="C3125" t="s">
        <v>686</v>
      </c>
      <c r="D3125" t="s">
        <v>3185</v>
      </c>
      <c r="E3125" t="s">
        <v>242</v>
      </c>
      <c r="F3125" t="s">
        <v>663</v>
      </c>
      <c r="G3125">
        <v>2050</v>
      </c>
      <c r="H3125" s="12">
        <v>390.67</v>
      </c>
      <c r="I3125" t="s">
        <v>3183</v>
      </c>
      <c r="J3125" t="s">
        <v>394</v>
      </c>
      <c r="K3125" t="s">
        <v>664</v>
      </c>
      <c r="L3125" t="s">
        <v>655</v>
      </c>
      <c r="M3125" t="s">
        <v>16</v>
      </c>
    </row>
    <row r="3126" spans="1:13">
      <c r="A3126" t="s">
        <v>851</v>
      </c>
      <c r="B3126" t="s">
        <v>687</v>
      </c>
      <c r="C3126" t="s">
        <v>687</v>
      </c>
      <c r="D3126" t="s">
        <v>3185</v>
      </c>
      <c r="E3126" t="s">
        <v>242</v>
      </c>
      <c r="F3126" t="s">
        <v>663</v>
      </c>
      <c r="G3126">
        <v>2030</v>
      </c>
      <c r="H3126" s="12">
        <v>366.97</v>
      </c>
      <c r="I3126" t="s">
        <v>3183</v>
      </c>
      <c r="J3126" t="s">
        <v>394</v>
      </c>
      <c r="K3126" t="s">
        <v>664</v>
      </c>
      <c r="L3126" t="s">
        <v>655</v>
      </c>
      <c r="M3126" t="s">
        <v>16</v>
      </c>
    </row>
    <row r="3127" spans="1:13">
      <c r="A3127" t="s">
        <v>851</v>
      </c>
      <c r="B3127" t="s">
        <v>687</v>
      </c>
      <c r="C3127" t="s">
        <v>687</v>
      </c>
      <c r="D3127" t="s">
        <v>3185</v>
      </c>
      <c r="E3127" t="s">
        <v>242</v>
      </c>
      <c r="F3127" t="s">
        <v>663</v>
      </c>
      <c r="G3127">
        <v>2035</v>
      </c>
      <c r="H3127" s="12">
        <v>367.21</v>
      </c>
      <c r="I3127" t="s">
        <v>3183</v>
      </c>
      <c r="J3127" t="s">
        <v>394</v>
      </c>
      <c r="K3127" t="s">
        <v>664</v>
      </c>
      <c r="L3127" t="s">
        <v>655</v>
      </c>
      <c r="M3127" t="s">
        <v>16</v>
      </c>
    </row>
    <row r="3128" spans="1:13">
      <c r="A3128" t="s">
        <v>851</v>
      </c>
      <c r="B3128" t="s">
        <v>687</v>
      </c>
      <c r="C3128" t="s">
        <v>687</v>
      </c>
      <c r="D3128" t="s">
        <v>3185</v>
      </c>
      <c r="E3128" t="s">
        <v>242</v>
      </c>
      <c r="F3128" t="s">
        <v>663</v>
      </c>
      <c r="G3128">
        <v>2040</v>
      </c>
      <c r="H3128" s="12">
        <v>357.55</v>
      </c>
      <c r="I3128" t="s">
        <v>3183</v>
      </c>
      <c r="J3128" t="s">
        <v>394</v>
      </c>
      <c r="K3128" t="s">
        <v>664</v>
      </c>
      <c r="L3128" t="s">
        <v>655</v>
      </c>
      <c r="M3128" t="s">
        <v>16</v>
      </c>
    </row>
    <row r="3129" spans="1:13">
      <c r="A3129" t="s">
        <v>851</v>
      </c>
      <c r="B3129" t="s">
        <v>687</v>
      </c>
      <c r="C3129" t="s">
        <v>687</v>
      </c>
      <c r="D3129" t="s">
        <v>3185</v>
      </c>
      <c r="E3129" t="s">
        <v>242</v>
      </c>
      <c r="F3129" t="s">
        <v>663</v>
      </c>
      <c r="G3129">
        <v>2045</v>
      </c>
      <c r="H3129" s="12">
        <v>344.41</v>
      </c>
      <c r="I3129" t="s">
        <v>3183</v>
      </c>
      <c r="J3129" t="s">
        <v>394</v>
      </c>
      <c r="K3129" t="s">
        <v>664</v>
      </c>
      <c r="L3129" t="s">
        <v>655</v>
      </c>
      <c r="M3129" t="s">
        <v>16</v>
      </c>
    </row>
    <row r="3130" spans="1:13">
      <c r="A3130" t="s">
        <v>851</v>
      </c>
      <c r="B3130" t="s">
        <v>687</v>
      </c>
      <c r="C3130" t="s">
        <v>687</v>
      </c>
      <c r="D3130" t="s">
        <v>3185</v>
      </c>
      <c r="E3130" t="s">
        <v>242</v>
      </c>
      <c r="F3130" t="s">
        <v>663</v>
      </c>
      <c r="G3130">
        <v>2050</v>
      </c>
      <c r="H3130" s="12">
        <v>333.56</v>
      </c>
      <c r="I3130" t="s">
        <v>3183</v>
      </c>
      <c r="J3130" t="s">
        <v>394</v>
      </c>
      <c r="K3130" t="s">
        <v>664</v>
      </c>
      <c r="L3130" t="s">
        <v>655</v>
      </c>
      <c r="M3130" t="s">
        <v>16</v>
      </c>
    </row>
    <row r="3131" spans="1:13">
      <c r="A3131" t="s">
        <v>851</v>
      </c>
      <c r="B3131" t="s">
        <v>686</v>
      </c>
      <c r="C3131" t="s">
        <v>686</v>
      </c>
      <c r="D3131" t="s">
        <v>3185</v>
      </c>
      <c r="E3131" t="s">
        <v>242</v>
      </c>
      <c r="F3131" t="s">
        <v>663</v>
      </c>
      <c r="G3131">
        <v>2010</v>
      </c>
      <c r="H3131" s="12">
        <v>370.89</v>
      </c>
      <c r="I3131" t="s">
        <v>3183</v>
      </c>
      <c r="J3131" t="s">
        <v>6</v>
      </c>
      <c r="K3131" t="s">
        <v>664</v>
      </c>
      <c r="L3131" t="s">
        <v>655</v>
      </c>
      <c r="M3131" t="s">
        <v>659</v>
      </c>
    </row>
    <row r="3132" spans="1:13">
      <c r="A3132" t="s">
        <v>851</v>
      </c>
      <c r="B3132" t="s">
        <v>686</v>
      </c>
      <c r="C3132" t="s">
        <v>686</v>
      </c>
      <c r="D3132" t="s">
        <v>3185</v>
      </c>
      <c r="E3132" t="s">
        <v>242</v>
      </c>
      <c r="F3132" t="s">
        <v>663</v>
      </c>
      <c r="G3132">
        <v>2015</v>
      </c>
      <c r="H3132" s="12">
        <v>343.76</v>
      </c>
      <c r="I3132" t="s">
        <v>3183</v>
      </c>
      <c r="J3132" t="s">
        <v>6</v>
      </c>
      <c r="K3132" t="s">
        <v>664</v>
      </c>
      <c r="L3132" t="s">
        <v>655</v>
      </c>
      <c r="M3132" t="s">
        <v>659</v>
      </c>
    </row>
    <row r="3133" spans="1:13">
      <c r="A3133" t="s">
        <v>851</v>
      </c>
      <c r="B3133" t="s">
        <v>686</v>
      </c>
      <c r="C3133" t="s">
        <v>686</v>
      </c>
      <c r="D3133" t="s">
        <v>3185</v>
      </c>
      <c r="E3133" t="s">
        <v>242</v>
      </c>
      <c r="F3133" t="s">
        <v>663</v>
      </c>
      <c r="G3133">
        <v>2020</v>
      </c>
      <c r="H3133" s="12">
        <v>408.9</v>
      </c>
      <c r="I3133" t="s">
        <v>3183</v>
      </c>
      <c r="J3133" t="s">
        <v>6</v>
      </c>
      <c r="K3133" t="s">
        <v>664</v>
      </c>
      <c r="L3133" t="s">
        <v>655</v>
      </c>
      <c r="M3133" t="s">
        <v>659</v>
      </c>
    </row>
    <row r="3134" spans="1:13">
      <c r="A3134" t="s">
        <v>851</v>
      </c>
      <c r="B3134" t="s">
        <v>686</v>
      </c>
      <c r="C3134" t="s">
        <v>686</v>
      </c>
      <c r="D3134" t="s">
        <v>3185</v>
      </c>
      <c r="E3134" t="s">
        <v>242</v>
      </c>
      <c r="F3134" t="s">
        <v>663</v>
      </c>
      <c r="G3134">
        <v>2030</v>
      </c>
      <c r="H3134" s="12">
        <v>429.57</v>
      </c>
      <c r="I3134" t="s">
        <v>3183</v>
      </c>
      <c r="J3134" t="s">
        <v>6</v>
      </c>
      <c r="K3134" t="s">
        <v>664</v>
      </c>
      <c r="L3134" t="s">
        <v>655</v>
      </c>
      <c r="M3134" t="s">
        <v>659</v>
      </c>
    </row>
    <row r="3135" spans="1:13">
      <c r="A3135" t="s">
        <v>851</v>
      </c>
      <c r="B3135" t="s">
        <v>686</v>
      </c>
      <c r="C3135" t="s">
        <v>686</v>
      </c>
      <c r="D3135" t="s">
        <v>3185</v>
      </c>
      <c r="E3135" t="s">
        <v>242</v>
      </c>
      <c r="F3135" t="s">
        <v>663</v>
      </c>
      <c r="G3135">
        <v>2035</v>
      </c>
      <c r="H3135" s="12">
        <v>427.49</v>
      </c>
      <c r="I3135" t="s">
        <v>3183</v>
      </c>
      <c r="J3135" t="s">
        <v>6</v>
      </c>
      <c r="K3135" t="s">
        <v>664</v>
      </c>
      <c r="L3135" t="s">
        <v>655</v>
      </c>
      <c r="M3135" t="s">
        <v>659</v>
      </c>
    </row>
    <row r="3136" spans="1:13">
      <c r="A3136" t="s">
        <v>851</v>
      </c>
      <c r="B3136" t="s">
        <v>686</v>
      </c>
      <c r="C3136" t="s">
        <v>686</v>
      </c>
      <c r="D3136" t="s">
        <v>3185</v>
      </c>
      <c r="E3136" t="s">
        <v>242</v>
      </c>
      <c r="F3136" t="s">
        <v>663</v>
      </c>
      <c r="G3136">
        <v>2040</v>
      </c>
      <c r="H3136" s="12">
        <v>425.91</v>
      </c>
      <c r="I3136" t="s">
        <v>3183</v>
      </c>
      <c r="J3136" t="s">
        <v>6</v>
      </c>
      <c r="K3136" t="s">
        <v>664</v>
      </c>
      <c r="L3136" t="s">
        <v>655</v>
      </c>
      <c r="M3136" t="s">
        <v>659</v>
      </c>
    </row>
    <row r="3137" spans="1:13">
      <c r="A3137" t="s">
        <v>851</v>
      </c>
      <c r="B3137" t="s">
        <v>686</v>
      </c>
      <c r="C3137" t="s">
        <v>686</v>
      </c>
      <c r="D3137" t="s">
        <v>3185</v>
      </c>
      <c r="E3137" t="s">
        <v>242</v>
      </c>
      <c r="F3137" t="s">
        <v>663</v>
      </c>
      <c r="G3137">
        <v>2045</v>
      </c>
      <c r="H3137" s="12">
        <v>428.91</v>
      </c>
      <c r="I3137" t="s">
        <v>3183</v>
      </c>
      <c r="J3137" t="s">
        <v>6</v>
      </c>
      <c r="K3137" t="s">
        <v>664</v>
      </c>
      <c r="L3137" t="s">
        <v>655</v>
      </c>
      <c r="M3137" t="s">
        <v>659</v>
      </c>
    </row>
    <row r="3138" spans="1:13">
      <c r="A3138" t="s">
        <v>851</v>
      </c>
      <c r="B3138" t="s">
        <v>686</v>
      </c>
      <c r="C3138" t="s">
        <v>686</v>
      </c>
      <c r="D3138" t="s">
        <v>3185</v>
      </c>
      <c r="E3138" t="s">
        <v>242</v>
      </c>
      <c r="F3138" t="s">
        <v>663</v>
      </c>
      <c r="G3138">
        <v>2050</v>
      </c>
      <c r="H3138" s="12">
        <v>430.76</v>
      </c>
      <c r="I3138" t="s">
        <v>3183</v>
      </c>
      <c r="J3138" t="s">
        <v>6</v>
      </c>
      <c r="K3138" t="s">
        <v>664</v>
      </c>
      <c r="L3138" t="s">
        <v>655</v>
      </c>
      <c r="M3138" t="s">
        <v>659</v>
      </c>
    </row>
    <row r="3139" spans="1:13">
      <c r="A3139" t="s">
        <v>851</v>
      </c>
      <c r="B3139" t="s">
        <v>687</v>
      </c>
      <c r="C3139" t="s">
        <v>687</v>
      </c>
      <c r="D3139" t="s">
        <v>3185</v>
      </c>
      <c r="E3139" t="s">
        <v>242</v>
      </c>
      <c r="F3139" t="s">
        <v>663</v>
      </c>
      <c r="G3139">
        <v>2030</v>
      </c>
      <c r="H3139" s="12">
        <v>408.58</v>
      </c>
      <c r="I3139" t="s">
        <v>3183</v>
      </c>
      <c r="J3139" t="s">
        <v>6</v>
      </c>
      <c r="K3139" t="s">
        <v>664</v>
      </c>
      <c r="L3139" t="s">
        <v>655</v>
      </c>
      <c r="M3139" t="s">
        <v>659</v>
      </c>
    </row>
    <row r="3140" spans="1:13">
      <c r="A3140" t="s">
        <v>851</v>
      </c>
      <c r="B3140" t="s">
        <v>687</v>
      </c>
      <c r="C3140" t="s">
        <v>687</v>
      </c>
      <c r="D3140" t="s">
        <v>3185</v>
      </c>
      <c r="E3140" t="s">
        <v>242</v>
      </c>
      <c r="F3140" t="s">
        <v>663</v>
      </c>
      <c r="G3140">
        <v>2035</v>
      </c>
      <c r="H3140" s="12">
        <v>391.17</v>
      </c>
      <c r="I3140" t="s">
        <v>3183</v>
      </c>
      <c r="J3140" t="s">
        <v>6</v>
      </c>
      <c r="K3140" t="s">
        <v>664</v>
      </c>
      <c r="L3140" t="s">
        <v>655</v>
      </c>
      <c r="M3140" t="s">
        <v>659</v>
      </c>
    </row>
    <row r="3141" spans="1:13">
      <c r="A3141" t="s">
        <v>851</v>
      </c>
      <c r="B3141" t="s">
        <v>687</v>
      </c>
      <c r="C3141" t="s">
        <v>687</v>
      </c>
      <c r="D3141" t="s">
        <v>3185</v>
      </c>
      <c r="E3141" t="s">
        <v>242</v>
      </c>
      <c r="F3141" t="s">
        <v>663</v>
      </c>
      <c r="G3141">
        <v>2040</v>
      </c>
      <c r="H3141" s="12">
        <v>377.19</v>
      </c>
      <c r="I3141" t="s">
        <v>3183</v>
      </c>
      <c r="J3141" t="s">
        <v>6</v>
      </c>
      <c r="K3141" t="s">
        <v>664</v>
      </c>
      <c r="L3141" t="s">
        <v>655</v>
      </c>
      <c r="M3141" t="s">
        <v>659</v>
      </c>
    </row>
    <row r="3142" spans="1:13">
      <c r="A3142" t="s">
        <v>851</v>
      </c>
      <c r="B3142" t="s">
        <v>687</v>
      </c>
      <c r="C3142" t="s">
        <v>687</v>
      </c>
      <c r="D3142" t="s">
        <v>3185</v>
      </c>
      <c r="E3142" t="s">
        <v>242</v>
      </c>
      <c r="F3142" t="s">
        <v>663</v>
      </c>
      <c r="G3142">
        <v>2045</v>
      </c>
      <c r="H3142" s="12">
        <v>367.31</v>
      </c>
      <c r="I3142" t="s">
        <v>3183</v>
      </c>
      <c r="J3142" t="s">
        <v>6</v>
      </c>
      <c r="K3142" t="s">
        <v>664</v>
      </c>
      <c r="L3142" t="s">
        <v>655</v>
      </c>
      <c r="M3142" t="s">
        <v>659</v>
      </c>
    </row>
    <row r="3143" spans="1:13">
      <c r="A3143" t="s">
        <v>851</v>
      </c>
      <c r="B3143" t="s">
        <v>687</v>
      </c>
      <c r="C3143" t="s">
        <v>687</v>
      </c>
      <c r="D3143" t="s">
        <v>3185</v>
      </c>
      <c r="E3143" t="s">
        <v>242</v>
      </c>
      <c r="F3143" t="s">
        <v>663</v>
      </c>
      <c r="G3143">
        <v>2050</v>
      </c>
      <c r="H3143" s="12">
        <v>357.88</v>
      </c>
      <c r="I3143" t="s">
        <v>3183</v>
      </c>
      <c r="J3143" t="s">
        <v>6</v>
      </c>
      <c r="K3143" t="s">
        <v>664</v>
      </c>
      <c r="L3143" t="s">
        <v>655</v>
      </c>
      <c r="M3143" t="s">
        <v>659</v>
      </c>
    </row>
    <row r="3144" spans="1:13">
      <c r="A3144" t="s">
        <v>851</v>
      </c>
      <c r="B3144" t="s">
        <v>686</v>
      </c>
      <c r="C3144" t="s">
        <v>686</v>
      </c>
      <c r="D3144" t="s">
        <v>3185</v>
      </c>
      <c r="E3144" t="s">
        <v>242</v>
      </c>
      <c r="F3144" t="s">
        <v>663</v>
      </c>
      <c r="G3144">
        <v>2010</v>
      </c>
      <c r="H3144" s="12">
        <v>388.55</v>
      </c>
      <c r="I3144" t="s">
        <v>3183</v>
      </c>
      <c r="J3144" t="s">
        <v>5</v>
      </c>
      <c r="K3144" t="s">
        <v>147</v>
      </c>
      <c r="L3144" t="s">
        <v>655</v>
      </c>
      <c r="M3144" t="s">
        <v>5</v>
      </c>
    </row>
    <row r="3145" spans="1:13">
      <c r="A3145" t="s">
        <v>851</v>
      </c>
      <c r="B3145" t="s">
        <v>686</v>
      </c>
      <c r="C3145" t="s">
        <v>686</v>
      </c>
      <c r="D3145" t="s">
        <v>3185</v>
      </c>
      <c r="E3145" t="s">
        <v>242</v>
      </c>
      <c r="F3145" t="s">
        <v>663</v>
      </c>
      <c r="G3145">
        <v>2015</v>
      </c>
      <c r="H3145" s="12">
        <v>348.51</v>
      </c>
      <c r="I3145" t="s">
        <v>3183</v>
      </c>
      <c r="J3145" t="s">
        <v>5</v>
      </c>
      <c r="K3145" t="s">
        <v>147</v>
      </c>
      <c r="L3145" t="s">
        <v>655</v>
      </c>
      <c r="M3145" t="s">
        <v>5</v>
      </c>
    </row>
    <row r="3146" spans="1:13">
      <c r="A3146" t="s">
        <v>851</v>
      </c>
      <c r="B3146" t="s">
        <v>686</v>
      </c>
      <c r="C3146" t="s">
        <v>686</v>
      </c>
      <c r="D3146" t="s">
        <v>3185</v>
      </c>
      <c r="E3146" t="s">
        <v>242</v>
      </c>
      <c r="F3146" t="s">
        <v>663</v>
      </c>
      <c r="G3146">
        <v>2020</v>
      </c>
      <c r="H3146" s="12">
        <v>360.22</v>
      </c>
      <c r="I3146" t="s">
        <v>3183</v>
      </c>
      <c r="J3146" t="s">
        <v>5</v>
      </c>
      <c r="K3146" t="s">
        <v>147</v>
      </c>
      <c r="L3146" t="s">
        <v>655</v>
      </c>
      <c r="M3146" t="s">
        <v>5</v>
      </c>
    </row>
    <row r="3147" spans="1:13">
      <c r="A3147" t="s">
        <v>851</v>
      </c>
      <c r="B3147" t="s">
        <v>686</v>
      </c>
      <c r="C3147" t="s">
        <v>686</v>
      </c>
      <c r="D3147" t="s">
        <v>3185</v>
      </c>
      <c r="E3147" t="s">
        <v>242</v>
      </c>
      <c r="F3147" t="s">
        <v>663</v>
      </c>
      <c r="G3147">
        <v>2030</v>
      </c>
      <c r="H3147" s="12">
        <v>285.95</v>
      </c>
      <c r="I3147" t="s">
        <v>3183</v>
      </c>
      <c r="J3147" t="s">
        <v>5</v>
      </c>
      <c r="K3147" t="s">
        <v>147</v>
      </c>
      <c r="L3147" t="s">
        <v>655</v>
      </c>
      <c r="M3147" t="s">
        <v>5</v>
      </c>
    </row>
    <row r="3148" spans="1:13">
      <c r="A3148" t="s">
        <v>851</v>
      </c>
      <c r="B3148" t="s">
        <v>686</v>
      </c>
      <c r="C3148" t="s">
        <v>686</v>
      </c>
      <c r="D3148" t="s">
        <v>3185</v>
      </c>
      <c r="E3148" t="s">
        <v>242</v>
      </c>
      <c r="F3148" t="s">
        <v>663</v>
      </c>
      <c r="G3148">
        <v>2035</v>
      </c>
      <c r="H3148" s="12">
        <v>267.42</v>
      </c>
      <c r="I3148" t="s">
        <v>3183</v>
      </c>
      <c r="J3148" t="s">
        <v>5</v>
      </c>
      <c r="K3148" t="s">
        <v>147</v>
      </c>
      <c r="L3148" t="s">
        <v>655</v>
      </c>
      <c r="M3148" t="s">
        <v>5</v>
      </c>
    </row>
    <row r="3149" spans="1:13">
      <c r="A3149" t="s">
        <v>851</v>
      </c>
      <c r="B3149" t="s">
        <v>686</v>
      </c>
      <c r="C3149" t="s">
        <v>686</v>
      </c>
      <c r="D3149" t="s">
        <v>3185</v>
      </c>
      <c r="E3149" t="s">
        <v>242</v>
      </c>
      <c r="F3149" t="s">
        <v>663</v>
      </c>
      <c r="G3149">
        <v>2040</v>
      </c>
      <c r="H3149" s="12">
        <v>249.79</v>
      </c>
      <c r="I3149" t="s">
        <v>3183</v>
      </c>
      <c r="J3149" t="s">
        <v>5</v>
      </c>
      <c r="K3149" t="s">
        <v>147</v>
      </c>
      <c r="L3149" t="s">
        <v>655</v>
      </c>
      <c r="M3149" t="s">
        <v>5</v>
      </c>
    </row>
    <row r="3150" spans="1:13">
      <c r="A3150" t="s">
        <v>851</v>
      </c>
      <c r="B3150" t="s">
        <v>686</v>
      </c>
      <c r="C3150" t="s">
        <v>686</v>
      </c>
      <c r="D3150" t="s">
        <v>3185</v>
      </c>
      <c r="E3150" t="s">
        <v>242</v>
      </c>
      <c r="F3150" t="s">
        <v>663</v>
      </c>
      <c r="G3150">
        <v>2045</v>
      </c>
      <c r="H3150" s="12">
        <v>252.92</v>
      </c>
      <c r="I3150" t="s">
        <v>3183</v>
      </c>
      <c r="J3150" t="s">
        <v>5</v>
      </c>
      <c r="K3150" t="s">
        <v>147</v>
      </c>
      <c r="L3150" t="s">
        <v>655</v>
      </c>
      <c r="M3150" t="s">
        <v>5</v>
      </c>
    </row>
    <row r="3151" spans="1:13">
      <c r="A3151" t="s">
        <v>851</v>
      </c>
      <c r="B3151" t="s">
        <v>686</v>
      </c>
      <c r="C3151" t="s">
        <v>686</v>
      </c>
      <c r="D3151" t="s">
        <v>3185</v>
      </c>
      <c r="E3151" t="s">
        <v>242</v>
      </c>
      <c r="F3151" t="s">
        <v>663</v>
      </c>
      <c r="G3151">
        <v>2050</v>
      </c>
      <c r="H3151" s="12">
        <v>260.44</v>
      </c>
      <c r="I3151" t="s">
        <v>3183</v>
      </c>
      <c r="J3151" t="s">
        <v>5</v>
      </c>
      <c r="K3151" t="s">
        <v>147</v>
      </c>
      <c r="L3151" t="s">
        <v>655</v>
      </c>
      <c r="M3151" t="s">
        <v>5</v>
      </c>
    </row>
    <row r="3152" spans="1:13">
      <c r="A3152" t="s">
        <v>851</v>
      </c>
      <c r="B3152" t="s">
        <v>687</v>
      </c>
      <c r="C3152" t="s">
        <v>687</v>
      </c>
      <c r="D3152" t="s">
        <v>3185</v>
      </c>
      <c r="E3152" t="s">
        <v>242</v>
      </c>
      <c r="F3152" t="s">
        <v>663</v>
      </c>
      <c r="G3152">
        <v>2030</v>
      </c>
      <c r="H3152" s="12">
        <v>270.35000000000002</v>
      </c>
      <c r="I3152" t="s">
        <v>3183</v>
      </c>
      <c r="J3152" t="s">
        <v>5</v>
      </c>
      <c r="K3152" t="s">
        <v>147</v>
      </c>
      <c r="L3152" t="s">
        <v>655</v>
      </c>
      <c r="M3152" t="s">
        <v>5</v>
      </c>
    </row>
    <row r="3153" spans="1:13">
      <c r="A3153" t="s">
        <v>851</v>
      </c>
      <c r="B3153" t="s">
        <v>687</v>
      </c>
      <c r="C3153" t="s">
        <v>687</v>
      </c>
      <c r="D3153" t="s">
        <v>3185</v>
      </c>
      <c r="E3153" t="s">
        <v>242</v>
      </c>
      <c r="F3153" t="s">
        <v>663</v>
      </c>
      <c r="G3153">
        <v>2035</v>
      </c>
      <c r="H3153" s="12">
        <v>231.96</v>
      </c>
      <c r="I3153" t="s">
        <v>3183</v>
      </c>
      <c r="J3153" t="s">
        <v>5</v>
      </c>
      <c r="K3153" t="s">
        <v>147</v>
      </c>
      <c r="L3153" t="s">
        <v>655</v>
      </c>
      <c r="M3153" t="s">
        <v>5</v>
      </c>
    </row>
    <row r="3154" spans="1:13">
      <c r="A3154" t="s">
        <v>851</v>
      </c>
      <c r="B3154" t="s">
        <v>687</v>
      </c>
      <c r="C3154" t="s">
        <v>687</v>
      </c>
      <c r="D3154" t="s">
        <v>3185</v>
      </c>
      <c r="E3154" t="s">
        <v>242</v>
      </c>
      <c r="F3154" t="s">
        <v>663</v>
      </c>
      <c r="G3154">
        <v>2040</v>
      </c>
      <c r="H3154" s="12">
        <v>202.38</v>
      </c>
      <c r="I3154" t="s">
        <v>3183</v>
      </c>
      <c r="J3154" t="s">
        <v>5</v>
      </c>
      <c r="K3154" t="s">
        <v>147</v>
      </c>
      <c r="L3154" t="s">
        <v>655</v>
      </c>
      <c r="M3154" t="s">
        <v>5</v>
      </c>
    </row>
    <row r="3155" spans="1:13">
      <c r="A3155" t="s">
        <v>851</v>
      </c>
      <c r="B3155" t="s">
        <v>687</v>
      </c>
      <c r="C3155" t="s">
        <v>687</v>
      </c>
      <c r="D3155" t="s">
        <v>3185</v>
      </c>
      <c r="E3155" t="s">
        <v>242</v>
      </c>
      <c r="F3155" t="s">
        <v>663</v>
      </c>
      <c r="G3155">
        <v>2045</v>
      </c>
      <c r="H3155" s="12">
        <v>188.5</v>
      </c>
      <c r="I3155" t="s">
        <v>3183</v>
      </c>
      <c r="J3155" t="s">
        <v>5</v>
      </c>
      <c r="K3155" t="s">
        <v>147</v>
      </c>
      <c r="L3155" t="s">
        <v>655</v>
      </c>
      <c r="M3155" t="s">
        <v>5</v>
      </c>
    </row>
    <row r="3156" spans="1:13">
      <c r="A3156" t="s">
        <v>851</v>
      </c>
      <c r="B3156" t="s">
        <v>687</v>
      </c>
      <c r="C3156" t="s">
        <v>687</v>
      </c>
      <c r="D3156" t="s">
        <v>3185</v>
      </c>
      <c r="E3156" t="s">
        <v>242</v>
      </c>
      <c r="F3156" t="s">
        <v>663</v>
      </c>
      <c r="G3156">
        <v>2050</v>
      </c>
      <c r="H3156" s="12">
        <v>185.04</v>
      </c>
      <c r="I3156" t="s">
        <v>3183</v>
      </c>
      <c r="J3156" t="s">
        <v>5</v>
      </c>
      <c r="K3156" t="s">
        <v>147</v>
      </c>
      <c r="L3156" t="s">
        <v>655</v>
      </c>
      <c r="M3156" t="s">
        <v>5</v>
      </c>
    </row>
    <row r="3157" spans="1:13">
      <c r="A3157" t="s">
        <v>851</v>
      </c>
      <c r="B3157" t="s">
        <v>686</v>
      </c>
      <c r="C3157" t="s">
        <v>686</v>
      </c>
      <c r="D3157" t="s">
        <v>3185</v>
      </c>
      <c r="E3157" t="s">
        <v>242</v>
      </c>
      <c r="F3157" t="s">
        <v>663</v>
      </c>
      <c r="G3157">
        <v>2010</v>
      </c>
      <c r="H3157" s="12">
        <v>37.76</v>
      </c>
      <c r="I3157" t="s">
        <v>3183</v>
      </c>
      <c r="J3157" t="s">
        <v>394</v>
      </c>
      <c r="K3157" t="s">
        <v>147</v>
      </c>
      <c r="L3157" t="s">
        <v>655</v>
      </c>
      <c r="M3157" t="s">
        <v>16</v>
      </c>
    </row>
    <row r="3158" spans="1:13">
      <c r="A3158" t="s">
        <v>851</v>
      </c>
      <c r="B3158" t="s">
        <v>686</v>
      </c>
      <c r="C3158" t="s">
        <v>686</v>
      </c>
      <c r="D3158" t="s">
        <v>3185</v>
      </c>
      <c r="E3158" t="s">
        <v>242</v>
      </c>
      <c r="F3158" t="s">
        <v>663</v>
      </c>
      <c r="G3158">
        <v>2015</v>
      </c>
      <c r="H3158" s="12">
        <v>34.39</v>
      </c>
      <c r="I3158" t="s">
        <v>3183</v>
      </c>
      <c r="J3158" t="s">
        <v>394</v>
      </c>
      <c r="K3158" t="s">
        <v>147</v>
      </c>
      <c r="L3158" t="s">
        <v>655</v>
      </c>
      <c r="M3158" t="s">
        <v>16</v>
      </c>
    </row>
    <row r="3159" spans="1:13">
      <c r="A3159" t="s">
        <v>851</v>
      </c>
      <c r="B3159" t="s">
        <v>686</v>
      </c>
      <c r="C3159" t="s">
        <v>686</v>
      </c>
      <c r="D3159" t="s">
        <v>3185</v>
      </c>
      <c r="E3159" t="s">
        <v>242</v>
      </c>
      <c r="F3159" t="s">
        <v>663</v>
      </c>
      <c r="G3159">
        <v>2020</v>
      </c>
      <c r="H3159" s="12">
        <v>21.68</v>
      </c>
      <c r="I3159" t="s">
        <v>3183</v>
      </c>
      <c r="J3159" t="s">
        <v>394</v>
      </c>
      <c r="K3159" t="s">
        <v>147</v>
      </c>
      <c r="L3159" t="s">
        <v>655</v>
      </c>
      <c r="M3159" t="s">
        <v>16</v>
      </c>
    </row>
    <row r="3160" spans="1:13">
      <c r="A3160" t="s">
        <v>851</v>
      </c>
      <c r="B3160" t="s">
        <v>686</v>
      </c>
      <c r="C3160" t="s">
        <v>686</v>
      </c>
      <c r="D3160" t="s">
        <v>3185</v>
      </c>
      <c r="E3160" t="s">
        <v>242</v>
      </c>
      <c r="F3160" t="s">
        <v>663</v>
      </c>
      <c r="G3160">
        <v>2030</v>
      </c>
      <c r="H3160" s="12">
        <v>11.68</v>
      </c>
      <c r="I3160" t="s">
        <v>3183</v>
      </c>
      <c r="J3160" t="s">
        <v>394</v>
      </c>
      <c r="K3160" t="s">
        <v>147</v>
      </c>
      <c r="L3160" t="s">
        <v>655</v>
      </c>
      <c r="M3160" t="s">
        <v>16</v>
      </c>
    </row>
    <row r="3161" spans="1:13">
      <c r="A3161" t="s">
        <v>851</v>
      </c>
      <c r="B3161" t="s">
        <v>686</v>
      </c>
      <c r="C3161" t="s">
        <v>686</v>
      </c>
      <c r="D3161" t="s">
        <v>3185</v>
      </c>
      <c r="E3161" t="s">
        <v>242</v>
      </c>
      <c r="F3161" t="s">
        <v>663</v>
      </c>
      <c r="G3161">
        <v>2035</v>
      </c>
      <c r="H3161" s="12">
        <v>9.5399999999999991</v>
      </c>
      <c r="I3161" t="s">
        <v>3183</v>
      </c>
      <c r="J3161" t="s">
        <v>394</v>
      </c>
      <c r="K3161" t="s">
        <v>147</v>
      </c>
      <c r="L3161" t="s">
        <v>655</v>
      </c>
      <c r="M3161" t="s">
        <v>16</v>
      </c>
    </row>
    <row r="3162" spans="1:13">
      <c r="A3162" t="s">
        <v>851</v>
      </c>
      <c r="B3162" t="s">
        <v>686</v>
      </c>
      <c r="C3162" t="s">
        <v>686</v>
      </c>
      <c r="D3162" t="s">
        <v>3185</v>
      </c>
      <c r="E3162" t="s">
        <v>242</v>
      </c>
      <c r="F3162" t="s">
        <v>663</v>
      </c>
      <c r="G3162">
        <v>2040</v>
      </c>
      <c r="H3162" s="12">
        <v>8</v>
      </c>
      <c r="I3162" t="s">
        <v>3183</v>
      </c>
      <c r="J3162" t="s">
        <v>394</v>
      </c>
      <c r="K3162" t="s">
        <v>147</v>
      </c>
      <c r="L3162" t="s">
        <v>655</v>
      </c>
      <c r="M3162" t="s">
        <v>16</v>
      </c>
    </row>
    <row r="3163" spans="1:13">
      <c r="A3163" t="s">
        <v>851</v>
      </c>
      <c r="B3163" t="s">
        <v>686</v>
      </c>
      <c r="C3163" t="s">
        <v>686</v>
      </c>
      <c r="D3163" t="s">
        <v>3185</v>
      </c>
      <c r="E3163" t="s">
        <v>242</v>
      </c>
      <c r="F3163" t="s">
        <v>663</v>
      </c>
      <c r="G3163">
        <v>2045</v>
      </c>
      <c r="H3163" s="12">
        <v>6.95</v>
      </c>
      <c r="I3163" t="s">
        <v>3183</v>
      </c>
      <c r="J3163" t="s">
        <v>394</v>
      </c>
      <c r="K3163" t="s">
        <v>147</v>
      </c>
      <c r="L3163" t="s">
        <v>655</v>
      </c>
      <c r="M3163" t="s">
        <v>16</v>
      </c>
    </row>
    <row r="3164" spans="1:13">
      <c r="A3164" t="s">
        <v>851</v>
      </c>
      <c r="B3164" t="s">
        <v>686</v>
      </c>
      <c r="C3164" t="s">
        <v>686</v>
      </c>
      <c r="D3164" t="s">
        <v>3185</v>
      </c>
      <c r="E3164" t="s">
        <v>242</v>
      </c>
      <c r="F3164" t="s">
        <v>663</v>
      </c>
      <c r="G3164">
        <v>2050</v>
      </c>
      <c r="H3164" s="12">
        <v>6.06</v>
      </c>
      <c r="I3164" t="s">
        <v>3183</v>
      </c>
      <c r="J3164" t="s">
        <v>394</v>
      </c>
      <c r="K3164" t="s">
        <v>147</v>
      </c>
      <c r="L3164" t="s">
        <v>655</v>
      </c>
      <c r="M3164" t="s">
        <v>16</v>
      </c>
    </row>
    <row r="3165" spans="1:13">
      <c r="A3165" t="s">
        <v>851</v>
      </c>
      <c r="B3165" t="s">
        <v>687</v>
      </c>
      <c r="C3165" t="s">
        <v>687</v>
      </c>
      <c r="D3165" t="s">
        <v>3185</v>
      </c>
      <c r="E3165" t="s">
        <v>242</v>
      </c>
      <c r="F3165" t="s">
        <v>663</v>
      </c>
      <c r="G3165">
        <v>2030</v>
      </c>
      <c r="H3165" s="12">
        <v>11.51</v>
      </c>
      <c r="I3165" t="s">
        <v>3183</v>
      </c>
      <c r="J3165" t="s">
        <v>394</v>
      </c>
      <c r="K3165" t="s">
        <v>147</v>
      </c>
      <c r="L3165" t="s">
        <v>655</v>
      </c>
      <c r="M3165" t="s">
        <v>16</v>
      </c>
    </row>
    <row r="3166" spans="1:13">
      <c r="A3166" t="s">
        <v>851</v>
      </c>
      <c r="B3166" t="s">
        <v>687</v>
      </c>
      <c r="C3166" t="s">
        <v>687</v>
      </c>
      <c r="D3166" t="s">
        <v>3185</v>
      </c>
      <c r="E3166" t="s">
        <v>242</v>
      </c>
      <c r="F3166" t="s">
        <v>663</v>
      </c>
      <c r="G3166">
        <v>2035</v>
      </c>
      <c r="H3166" s="12">
        <v>9.5399999999999991</v>
      </c>
      <c r="I3166" t="s">
        <v>3183</v>
      </c>
      <c r="J3166" t="s">
        <v>394</v>
      </c>
      <c r="K3166" t="s">
        <v>147</v>
      </c>
      <c r="L3166" t="s">
        <v>655</v>
      </c>
      <c r="M3166" t="s">
        <v>16</v>
      </c>
    </row>
    <row r="3167" spans="1:13">
      <c r="A3167" t="s">
        <v>851</v>
      </c>
      <c r="B3167" t="s">
        <v>687</v>
      </c>
      <c r="C3167" t="s">
        <v>687</v>
      </c>
      <c r="D3167" t="s">
        <v>3185</v>
      </c>
      <c r="E3167" t="s">
        <v>242</v>
      </c>
      <c r="F3167" t="s">
        <v>663</v>
      </c>
      <c r="G3167">
        <v>2040</v>
      </c>
      <c r="H3167" s="12">
        <v>8</v>
      </c>
      <c r="I3167" t="s">
        <v>3183</v>
      </c>
      <c r="J3167" t="s">
        <v>394</v>
      </c>
      <c r="K3167" t="s">
        <v>147</v>
      </c>
      <c r="L3167" t="s">
        <v>655</v>
      </c>
      <c r="M3167" t="s">
        <v>16</v>
      </c>
    </row>
    <row r="3168" spans="1:13">
      <c r="A3168" t="s">
        <v>851</v>
      </c>
      <c r="B3168" t="s">
        <v>687</v>
      </c>
      <c r="C3168" t="s">
        <v>687</v>
      </c>
      <c r="D3168" t="s">
        <v>3185</v>
      </c>
      <c r="E3168" t="s">
        <v>242</v>
      </c>
      <c r="F3168" t="s">
        <v>663</v>
      </c>
      <c r="G3168">
        <v>2045</v>
      </c>
      <c r="H3168" s="12">
        <v>6.95</v>
      </c>
      <c r="I3168" t="s">
        <v>3183</v>
      </c>
      <c r="J3168" t="s">
        <v>394</v>
      </c>
      <c r="K3168" t="s">
        <v>147</v>
      </c>
      <c r="L3168" t="s">
        <v>655</v>
      </c>
      <c r="M3168" t="s">
        <v>16</v>
      </c>
    </row>
    <row r="3169" spans="1:13">
      <c r="A3169" t="s">
        <v>851</v>
      </c>
      <c r="B3169" t="s">
        <v>687</v>
      </c>
      <c r="C3169" t="s">
        <v>687</v>
      </c>
      <c r="D3169" t="s">
        <v>3185</v>
      </c>
      <c r="E3169" t="s">
        <v>242</v>
      </c>
      <c r="F3169" t="s">
        <v>663</v>
      </c>
      <c r="G3169">
        <v>2050</v>
      </c>
      <c r="H3169" s="12">
        <v>6.05</v>
      </c>
      <c r="I3169" t="s">
        <v>3183</v>
      </c>
      <c r="J3169" t="s">
        <v>394</v>
      </c>
      <c r="K3169" t="s">
        <v>147</v>
      </c>
      <c r="L3169" t="s">
        <v>655</v>
      </c>
      <c r="M3169" t="s">
        <v>16</v>
      </c>
    </row>
    <row r="3170" spans="1:13">
      <c r="A3170" t="s">
        <v>851</v>
      </c>
      <c r="B3170" t="s">
        <v>686</v>
      </c>
      <c r="C3170" t="s">
        <v>686</v>
      </c>
      <c r="D3170" t="s">
        <v>3185</v>
      </c>
      <c r="E3170" t="s">
        <v>242</v>
      </c>
      <c r="F3170" t="s">
        <v>663</v>
      </c>
      <c r="G3170">
        <v>2010</v>
      </c>
      <c r="H3170" s="12">
        <v>587.16</v>
      </c>
      <c r="I3170" t="s">
        <v>3183</v>
      </c>
      <c r="J3170" t="s">
        <v>6</v>
      </c>
      <c r="K3170" t="s">
        <v>147</v>
      </c>
      <c r="L3170" t="s">
        <v>655</v>
      </c>
      <c r="M3170" t="s">
        <v>659</v>
      </c>
    </row>
    <row r="3171" spans="1:13">
      <c r="A3171" t="s">
        <v>851</v>
      </c>
      <c r="B3171" t="s">
        <v>686</v>
      </c>
      <c r="C3171" t="s">
        <v>686</v>
      </c>
      <c r="D3171" t="s">
        <v>3185</v>
      </c>
      <c r="E3171" t="s">
        <v>242</v>
      </c>
      <c r="F3171" t="s">
        <v>663</v>
      </c>
      <c r="G3171">
        <v>2015</v>
      </c>
      <c r="H3171" s="12">
        <v>568.76</v>
      </c>
      <c r="I3171" t="s">
        <v>3183</v>
      </c>
      <c r="J3171" t="s">
        <v>6</v>
      </c>
      <c r="K3171" t="s">
        <v>147</v>
      </c>
      <c r="L3171" t="s">
        <v>655</v>
      </c>
      <c r="M3171" t="s">
        <v>659</v>
      </c>
    </row>
    <row r="3172" spans="1:13">
      <c r="A3172" t="s">
        <v>851</v>
      </c>
      <c r="B3172" t="s">
        <v>686</v>
      </c>
      <c r="C3172" t="s">
        <v>686</v>
      </c>
      <c r="D3172" t="s">
        <v>3185</v>
      </c>
      <c r="E3172" t="s">
        <v>242</v>
      </c>
      <c r="F3172" t="s">
        <v>663</v>
      </c>
      <c r="G3172">
        <v>2020</v>
      </c>
      <c r="H3172" s="12">
        <v>542.12</v>
      </c>
      <c r="I3172" t="s">
        <v>3183</v>
      </c>
      <c r="J3172" t="s">
        <v>6</v>
      </c>
      <c r="K3172" t="s">
        <v>147</v>
      </c>
      <c r="L3172" t="s">
        <v>655</v>
      </c>
      <c r="M3172" t="s">
        <v>659</v>
      </c>
    </row>
    <row r="3173" spans="1:13">
      <c r="A3173" t="s">
        <v>851</v>
      </c>
      <c r="B3173" t="s">
        <v>686</v>
      </c>
      <c r="C3173" t="s">
        <v>686</v>
      </c>
      <c r="D3173" t="s">
        <v>3185</v>
      </c>
      <c r="E3173" t="s">
        <v>242</v>
      </c>
      <c r="F3173" t="s">
        <v>663</v>
      </c>
      <c r="G3173">
        <v>2030</v>
      </c>
      <c r="H3173" s="12">
        <v>544.66</v>
      </c>
      <c r="I3173" t="s">
        <v>3183</v>
      </c>
      <c r="J3173" t="s">
        <v>6</v>
      </c>
      <c r="K3173" t="s">
        <v>147</v>
      </c>
      <c r="L3173" t="s">
        <v>655</v>
      </c>
      <c r="M3173" t="s">
        <v>659</v>
      </c>
    </row>
    <row r="3174" spans="1:13">
      <c r="A3174" t="s">
        <v>851</v>
      </c>
      <c r="B3174" t="s">
        <v>686</v>
      </c>
      <c r="C3174" t="s">
        <v>686</v>
      </c>
      <c r="D3174" t="s">
        <v>3185</v>
      </c>
      <c r="E3174" t="s">
        <v>242</v>
      </c>
      <c r="F3174" t="s">
        <v>663</v>
      </c>
      <c r="G3174">
        <v>2035</v>
      </c>
      <c r="H3174" s="12">
        <v>534.61</v>
      </c>
      <c r="I3174" t="s">
        <v>3183</v>
      </c>
      <c r="J3174" t="s">
        <v>6</v>
      </c>
      <c r="K3174" t="s">
        <v>147</v>
      </c>
      <c r="L3174" t="s">
        <v>655</v>
      </c>
      <c r="M3174" t="s">
        <v>659</v>
      </c>
    </row>
    <row r="3175" spans="1:13">
      <c r="A3175" t="s">
        <v>851</v>
      </c>
      <c r="B3175" t="s">
        <v>686</v>
      </c>
      <c r="C3175" t="s">
        <v>686</v>
      </c>
      <c r="D3175" t="s">
        <v>3185</v>
      </c>
      <c r="E3175" t="s">
        <v>242</v>
      </c>
      <c r="F3175" t="s">
        <v>663</v>
      </c>
      <c r="G3175">
        <v>2040</v>
      </c>
      <c r="H3175" s="12">
        <v>550.09</v>
      </c>
      <c r="I3175" t="s">
        <v>3183</v>
      </c>
      <c r="J3175" t="s">
        <v>6</v>
      </c>
      <c r="K3175" t="s">
        <v>147</v>
      </c>
      <c r="L3175" t="s">
        <v>655</v>
      </c>
      <c r="M3175" t="s">
        <v>659</v>
      </c>
    </row>
    <row r="3176" spans="1:13">
      <c r="A3176" t="s">
        <v>851</v>
      </c>
      <c r="B3176" t="s">
        <v>686</v>
      </c>
      <c r="C3176" t="s">
        <v>686</v>
      </c>
      <c r="D3176" t="s">
        <v>3185</v>
      </c>
      <c r="E3176" t="s">
        <v>242</v>
      </c>
      <c r="F3176" t="s">
        <v>663</v>
      </c>
      <c r="G3176">
        <v>2045</v>
      </c>
      <c r="H3176" s="12">
        <v>563.70000000000005</v>
      </c>
      <c r="I3176" t="s">
        <v>3183</v>
      </c>
      <c r="J3176" t="s">
        <v>6</v>
      </c>
      <c r="K3176" t="s">
        <v>147</v>
      </c>
      <c r="L3176" t="s">
        <v>655</v>
      </c>
      <c r="M3176" t="s">
        <v>659</v>
      </c>
    </row>
    <row r="3177" spans="1:13">
      <c r="A3177" t="s">
        <v>851</v>
      </c>
      <c r="B3177" t="s">
        <v>686</v>
      </c>
      <c r="C3177" t="s">
        <v>686</v>
      </c>
      <c r="D3177" t="s">
        <v>3185</v>
      </c>
      <c r="E3177" t="s">
        <v>242</v>
      </c>
      <c r="F3177" t="s">
        <v>663</v>
      </c>
      <c r="G3177">
        <v>2050</v>
      </c>
      <c r="H3177" s="12">
        <v>565.24</v>
      </c>
      <c r="I3177" t="s">
        <v>3183</v>
      </c>
      <c r="J3177" t="s">
        <v>6</v>
      </c>
      <c r="K3177" t="s">
        <v>147</v>
      </c>
      <c r="L3177" t="s">
        <v>655</v>
      </c>
      <c r="M3177" t="s">
        <v>659</v>
      </c>
    </row>
    <row r="3178" spans="1:13">
      <c r="A3178" t="s">
        <v>851</v>
      </c>
      <c r="B3178" t="s">
        <v>687</v>
      </c>
      <c r="C3178" t="s">
        <v>687</v>
      </c>
      <c r="D3178" t="s">
        <v>3185</v>
      </c>
      <c r="E3178" t="s">
        <v>242</v>
      </c>
      <c r="F3178" t="s">
        <v>663</v>
      </c>
      <c r="G3178">
        <v>2030</v>
      </c>
      <c r="H3178" s="12">
        <v>501.15</v>
      </c>
      <c r="I3178" t="s">
        <v>3183</v>
      </c>
      <c r="J3178" t="s">
        <v>6</v>
      </c>
      <c r="K3178" t="s">
        <v>147</v>
      </c>
      <c r="L3178" t="s">
        <v>655</v>
      </c>
      <c r="M3178" t="s">
        <v>659</v>
      </c>
    </row>
    <row r="3179" spans="1:13">
      <c r="A3179" t="s">
        <v>851</v>
      </c>
      <c r="B3179" t="s">
        <v>687</v>
      </c>
      <c r="C3179" t="s">
        <v>687</v>
      </c>
      <c r="D3179" t="s">
        <v>3185</v>
      </c>
      <c r="E3179" t="s">
        <v>242</v>
      </c>
      <c r="F3179" t="s">
        <v>663</v>
      </c>
      <c r="G3179">
        <v>2035</v>
      </c>
      <c r="H3179" s="12">
        <v>487.09</v>
      </c>
      <c r="I3179" t="s">
        <v>3183</v>
      </c>
      <c r="J3179" t="s">
        <v>6</v>
      </c>
      <c r="K3179" t="s">
        <v>147</v>
      </c>
      <c r="L3179" t="s">
        <v>655</v>
      </c>
      <c r="M3179" t="s">
        <v>659</v>
      </c>
    </row>
    <row r="3180" spans="1:13">
      <c r="A3180" t="s">
        <v>851</v>
      </c>
      <c r="B3180" t="s">
        <v>687</v>
      </c>
      <c r="C3180" t="s">
        <v>687</v>
      </c>
      <c r="D3180" t="s">
        <v>3185</v>
      </c>
      <c r="E3180" t="s">
        <v>242</v>
      </c>
      <c r="F3180" t="s">
        <v>663</v>
      </c>
      <c r="G3180">
        <v>2040</v>
      </c>
      <c r="H3180" s="12">
        <v>486.98</v>
      </c>
      <c r="I3180" t="s">
        <v>3183</v>
      </c>
      <c r="J3180" t="s">
        <v>6</v>
      </c>
      <c r="K3180" t="s">
        <v>147</v>
      </c>
      <c r="L3180" t="s">
        <v>655</v>
      </c>
      <c r="M3180" t="s">
        <v>659</v>
      </c>
    </row>
    <row r="3181" spans="1:13">
      <c r="A3181" t="s">
        <v>851</v>
      </c>
      <c r="B3181" t="s">
        <v>687</v>
      </c>
      <c r="C3181" t="s">
        <v>687</v>
      </c>
      <c r="D3181" t="s">
        <v>3185</v>
      </c>
      <c r="E3181" t="s">
        <v>242</v>
      </c>
      <c r="F3181" t="s">
        <v>663</v>
      </c>
      <c r="G3181">
        <v>2045</v>
      </c>
      <c r="H3181" s="12">
        <v>481.93</v>
      </c>
      <c r="I3181" t="s">
        <v>3183</v>
      </c>
      <c r="J3181" t="s">
        <v>6</v>
      </c>
      <c r="K3181" t="s">
        <v>147</v>
      </c>
      <c r="L3181" t="s">
        <v>655</v>
      </c>
      <c r="M3181" t="s">
        <v>659</v>
      </c>
    </row>
    <row r="3182" spans="1:13">
      <c r="A3182" t="s">
        <v>851</v>
      </c>
      <c r="B3182" t="s">
        <v>687</v>
      </c>
      <c r="C3182" t="s">
        <v>687</v>
      </c>
      <c r="D3182" t="s">
        <v>3185</v>
      </c>
      <c r="E3182" t="s">
        <v>242</v>
      </c>
      <c r="F3182" t="s">
        <v>663</v>
      </c>
      <c r="G3182">
        <v>2050</v>
      </c>
      <c r="H3182" s="12">
        <v>464.83</v>
      </c>
      <c r="I3182" t="s">
        <v>3183</v>
      </c>
      <c r="J3182" t="s">
        <v>6</v>
      </c>
      <c r="K3182" t="s">
        <v>147</v>
      </c>
      <c r="L3182" t="s">
        <v>655</v>
      </c>
      <c r="M3182" t="s">
        <v>659</v>
      </c>
    </row>
    <row r="3183" spans="1:13">
      <c r="A3183" t="s">
        <v>851</v>
      </c>
      <c r="B3183" t="s">
        <v>686</v>
      </c>
      <c r="C3183" t="s">
        <v>686</v>
      </c>
      <c r="D3183" t="s">
        <v>3185</v>
      </c>
      <c r="E3183" t="s">
        <v>242</v>
      </c>
      <c r="F3183" t="s">
        <v>663</v>
      </c>
      <c r="G3183">
        <v>2010</v>
      </c>
      <c r="H3183" s="12">
        <v>177.76</v>
      </c>
      <c r="I3183" t="s">
        <v>3183</v>
      </c>
      <c r="J3183" t="s">
        <v>5</v>
      </c>
      <c r="K3183" t="s">
        <v>664</v>
      </c>
      <c r="L3183" t="s">
        <v>655</v>
      </c>
      <c r="M3183" t="s">
        <v>5</v>
      </c>
    </row>
    <row r="3184" spans="1:13">
      <c r="A3184" t="s">
        <v>851</v>
      </c>
      <c r="B3184" t="s">
        <v>686</v>
      </c>
      <c r="C3184" t="s">
        <v>686</v>
      </c>
      <c r="D3184" t="s">
        <v>3185</v>
      </c>
      <c r="E3184" t="s">
        <v>242</v>
      </c>
      <c r="F3184" t="s">
        <v>663</v>
      </c>
      <c r="G3184">
        <v>2015</v>
      </c>
      <c r="H3184" s="12">
        <v>227.1</v>
      </c>
      <c r="I3184" t="s">
        <v>3183</v>
      </c>
      <c r="J3184" t="s">
        <v>5</v>
      </c>
      <c r="K3184" t="s">
        <v>664</v>
      </c>
      <c r="L3184" t="s">
        <v>655</v>
      </c>
      <c r="M3184" t="s">
        <v>5</v>
      </c>
    </row>
    <row r="3185" spans="1:13">
      <c r="A3185" t="s">
        <v>851</v>
      </c>
      <c r="B3185" t="s">
        <v>686</v>
      </c>
      <c r="C3185" t="s">
        <v>686</v>
      </c>
      <c r="D3185" t="s">
        <v>3185</v>
      </c>
      <c r="E3185" t="s">
        <v>242</v>
      </c>
      <c r="F3185" t="s">
        <v>663</v>
      </c>
      <c r="G3185">
        <v>2020</v>
      </c>
      <c r="H3185" s="12">
        <v>246.34</v>
      </c>
      <c r="I3185" t="s">
        <v>3183</v>
      </c>
      <c r="J3185" t="s">
        <v>5</v>
      </c>
      <c r="K3185" t="s">
        <v>664</v>
      </c>
      <c r="L3185" t="s">
        <v>655</v>
      </c>
      <c r="M3185" t="s">
        <v>5</v>
      </c>
    </row>
    <row r="3186" spans="1:13">
      <c r="A3186" t="s">
        <v>851</v>
      </c>
      <c r="B3186" t="s">
        <v>686</v>
      </c>
      <c r="C3186" t="s">
        <v>686</v>
      </c>
      <c r="D3186" t="s">
        <v>3185</v>
      </c>
      <c r="E3186" t="s">
        <v>242</v>
      </c>
      <c r="F3186" t="s">
        <v>663</v>
      </c>
      <c r="G3186">
        <v>2030</v>
      </c>
      <c r="H3186" s="12">
        <v>189.15</v>
      </c>
      <c r="I3186" t="s">
        <v>3183</v>
      </c>
      <c r="J3186" t="s">
        <v>5</v>
      </c>
      <c r="K3186" t="s">
        <v>664</v>
      </c>
      <c r="L3186" t="s">
        <v>655</v>
      </c>
      <c r="M3186" t="s">
        <v>5</v>
      </c>
    </row>
    <row r="3187" spans="1:13">
      <c r="A3187" t="s">
        <v>851</v>
      </c>
      <c r="B3187" t="s">
        <v>686</v>
      </c>
      <c r="C3187" t="s">
        <v>686</v>
      </c>
      <c r="D3187" t="s">
        <v>3185</v>
      </c>
      <c r="E3187" t="s">
        <v>242</v>
      </c>
      <c r="F3187" t="s">
        <v>663</v>
      </c>
      <c r="G3187">
        <v>2035</v>
      </c>
      <c r="H3187" s="12">
        <v>185.81</v>
      </c>
      <c r="I3187" t="s">
        <v>3183</v>
      </c>
      <c r="J3187" t="s">
        <v>5</v>
      </c>
      <c r="K3187" t="s">
        <v>664</v>
      </c>
      <c r="L3187" t="s">
        <v>655</v>
      </c>
      <c r="M3187" t="s">
        <v>5</v>
      </c>
    </row>
    <row r="3188" spans="1:13">
      <c r="A3188" t="s">
        <v>851</v>
      </c>
      <c r="B3188" t="s">
        <v>686</v>
      </c>
      <c r="C3188" t="s">
        <v>686</v>
      </c>
      <c r="D3188" t="s">
        <v>3185</v>
      </c>
      <c r="E3188" t="s">
        <v>242</v>
      </c>
      <c r="F3188" t="s">
        <v>663</v>
      </c>
      <c r="G3188">
        <v>2040</v>
      </c>
      <c r="H3188" s="12">
        <v>184.51</v>
      </c>
      <c r="I3188" t="s">
        <v>3183</v>
      </c>
      <c r="J3188" t="s">
        <v>5</v>
      </c>
      <c r="K3188" t="s">
        <v>664</v>
      </c>
      <c r="L3188" t="s">
        <v>655</v>
      </c>
      <c r="M3188" t="s">
        <v>5</v>
      </c>
    </row>
    <row r="3189" spans="1:13">
      <c r="A3189" t="s">
        <v>851</v>
      </c>
      <c r="B3189" t="s">
        <v>686</v>
      </c>
      <c r="C3189" t="s">
        <v>686</v>
      </c>
      <c r="D3189" t="s">
        <v>3185</v>
      </c>
      <c r="E3189" t="s">
        <v>242</v>
      </c>
      <c r="F3189" t="s">
        <v>663</v>
      </c>
      <c r="G3189">
        <v>2045</v>
      </c>
      <c r="H3189" s="12">
        <v>182.71</v>
      </c>
      <c r="I3189" t="s">
        <v>3183</v>
      </c>
      <c r="J3189" t="s">
        <v>5</v>
      </c>
      <c r="K3189" t="s">
        <v>664</v>
      </c>
      <c r="L3189" t="s">
        <v>655</v>
      </c>
      <c r="M3189" t="s">
        <v>5</v>
      </c>
    </row>
    <row r="3190" spans="1:13">
      <c r="A3190" t="s">
        <v>851</v>
      </c>
      <c r="B3190" t="s">
        <v>686</v>
      </c>
      <c r="C3190" t="s">
        <v>686</v>
      </c>
      <c r="D3190" t="s">
        <v>3185</v>
      </c>
      <c r="E3190" t="s">
        <v>242</v>
      </c>
      <c r="F3190" t="s">
        <v>663</v>
      </c>
      <c r="G3190">
        <v>2050</v>
      </c>
      <c r="H3190" s="12">
        <v>180.65</v>
      </c>
      <c r="I3190" t="s">
        <v>3183</v>
      </c>
      <c r="J3190" t="s">
        <v>5</v>
      </c>
      <c r="K3190" t="s">
        <v>664</v>
      </c>
      <c r="L3190" t="s">
        <v>655</v>
      </c>
      <c r="M3190" t="s">
        <v>5</v>
      </c>
    </row>
    <row r="3191" spans="1:13">
      <c r="A3191" t="s">
        <v>851</v>
      </c>
      <c r="B3191" t="s">
        <v>687</v>
      </c>
      <c r="C3191" t="s">
        <v>687</v>
      </c>
      <c r="D3191" t="s">
        <v>3185</v>
      </c>
      <c r="E3191" t="s">
        <v>242</v>
      </c>
      <c r="F3191" t="s">
        <v>663</v>
      </c>
      <c r="G3191">
        <v>2030</v>
      </c>
      <c r="H3191" s="12">
        <v>177.29</v>
      </c>
      <c r="I3191" t="s">
        <v>3183</v>
      </c>
      <c r="J3191" t="s">
        <v>5</v>
      </c>
      <c r="K3191" t="s">
        <v>664</v>
      </c>
      <c r="L3191" t="s">
        <v>655</v>
      </c>
      <c r="M3191" t="s">
        <v>5</v>
      </c>
    </row>
    <row r="3192" spans="1:13">
      <c r="A3192" t="s">
        <v>851</v>
      </c>
      <c r="B3192" t="s">
        <v>687</v>
      </c>
      <c r="C3192" t="s">
        <v>687</v>
      </c>
      <c r="D3192" t="s">
        <v>3185</v>
      </c>
      <c r="E3192" t="s">
        <v>242</v>
      </c>
      <c r="F3192" t="s">
        <v>663</v>
      </c>
      <c r="G3192">
        <v>2035</v>
      </c>
      <c r="H3192" s="12">
        <v>165.68</v>
      </c>
      <c r="I3192" t="s">
        <v>3183</v>
      </c>
      <c r="J3192" t="s">
        <v>5</v>
      </c>
      <c r="K3192" t="s">
        <v>664</v>
      </c>
      <c r="L3192" t="s">
        <v>655</v>
      </c>
      <c r="M3192" t="s">
        <v>5</v>
      </c>
    </row>
    <row r="3193" spans="1:13">
      <c r="A3193" t="s">
        <v>851</v>
      </c>
      <c r="B3193" t="s">
        <v>687</v>
      </c>
      <c r="C3193" t="s">
        <v>687</v>
      </c>
      <c r="D3193" t="s">
        <v>3185</v>
      </c>
      <c r="E3193" t="s">
        <v>242</v>
      </c>
      <c r="F3193" t="s">
        <v>663</v>
      </c>
      <c r="G3193">
        <v>2040</v>
      </c>
      <c r="H3193" s="12">
        <v>157.36000000000001</v>
      </c>
      <c r="I3193" t="s">
        <v>3183</v>
      </c>
      <c r="J3193" t="s">
        <v>5</v>
      </c>
      <c r="K3193" t="s">
        <v>664</v>
      </c>
      <c r="L3193" t="s">
        <v>655</v>
      </c>
      <c r="M3193" t="s">
        <v>5</v>
      </c>
    </row>
    <row r="3194" spans="1:13">
      <c r="A3194" t="s">
        <v>851</v>
      </c>
      <c r="B3194" t="s">
        <v>687</v>
      </c>
      <c r="C3194" t="s">
        <v>687</v>
      </c>
      <c r="D3194" t="s">
        <v>3185</v>
      </c>
      <c r="E3194" t="s">
        <v>242</v>
      </c>
      <c r="F3194" t="s">
        <v>663</v>
      </c>
      <c r="G3194">
        <v>2045</v>
      </c>
      <c r="H3194" s="12">
        <v>150.62</v>
      </c>
      <c r="I3194" t="s">
        <v>3183</v>
      </c>
      <c r="J3194" t="s">
        <v>5</v>
      </c>
      <c r="K3194" t="s">
        <v>664</v>
      </c>
      <c r="L3194" t="s">
        <v>655</v>
      </c>
      <c r="M3194" t="s">
        <v>5</v>
      </c>
    </row>
    <row r="3195" spans="1:13">
      <c r="A3195" t="s">
        <v>851</v>
      </c>
      <c r="B3195" t="s">
        <v>687</v>
      </c>
      <c r="C3195" t="s">
        <v>687</v>
      </c>
      <c r="D3195" t="s">
        <v>3185</v>
      </c>
      <c r="E3195" t="s">
        <v>242</v>
      </c>
      <c r="F3195" t="s">
        <v>663</v>
      </c>
      <c r="G3195">
        <v>2050</v>
      </c>
      <c r="H3195" s="12">
        <v>145.15</v>
      </c>
      <c r="I3195" t="s">
        <v>3183</v>
      </c>
      <c r="J3195" t="s">
        <v>5</v>
      </c>
      <c r="K3195" t="s">
        <v>664</v>
      </c>
      <c r="L3195" t="s">
        <v>655</v>
      </c>
      <c r="M3195" t="s">
        <v>5</v>
      </c>
    </row>
    <row r="3196" spans="1:13">
      <c r="A3196" t="s">
        <v>851</v>
      </c>
      <c r="B3196" t="s">
        <v>686</v>
      </c>
      <c r="C3196" t="s">
        <v>686</v>
      </c>
      <c r="D3196" t="s">
        <v>3185</v>
      </c>
      <c r="E3196" t="s">
        <v>242</v>
      </c>
      <c r="F3196" t="s">
        <v>663</v>
      </c>
      <c r="G3196">
        <v>2010</v>
      </c>
      <c r="H3196" s="12">
        <v>291.92</v>
      </c>
      <c r="I3196" t="s">
        <v>3183</v>
      </c>
      <c r="J3196" t="s">
        <v>394</v>
      </c>
      <c r="K3196" t="s">
        <v>664</v>
      </c>
      <c r="L3196" t="s">
        <v>655</v>
      </c>
      <c r="M3196" t="s">
        <v>16</v>
      </c>
    </row>
    <row r="3197" spans="1:13">
      <c r="A3197" t="s">
        <v>851</v>
      </c>
      <c r="B3197" t="s">
        <v>686</v>
      </c>
      <c r="C3197" t="s">
        <v>686</v>
      </c>
      <c r="D3197" t="s">
        <v>3185</v>
      </c>
      <c r="E3197" t="s">
        <v>242</v>
      </c>
      <c r="F3197" t="s">
        <v>663</v>
      </c>
      <c r="G3197">
        <v>2015</v>
      </c>
      <c r="H3197" s="12">
        <v>338.6</v>
      </c>
      <c r="I3197" t="s">
        <v>3183</v>
      </c>
      <c r="J3197" t="s">
        <v>394</v>
      </c>
      <c r="K3197" t="s">
        <v>664</v>
      </c>
      <c r="L3197" t="s">
        <v>655</v>
      </c>
      <c r="M3197" t="s">
        <v>16</v>
      </c>
    </row>
    <row r="3198" spans="1:13">
      <c r="A3198" t="s">
        <v>851</v>
      </c>
      <c r="B3198" t="s">
        <v>686</v>
      </c>
      <c r="C3198" t="s">
        <v>686</v>
      </c>
      <c r="D3198" t="s">
        <v>3185</v>
      </c>
      <c r="E3198" t="s">
        <v>242</v>
      </c>
      <c r="F3198" t="s">
        <v>663</v>
      </c>
      <c r="G3198">
        <v>2020</v>
      </c>
      <c r="H3198" s="12">
        <v>346.41</v>
      </c>
      <c r="I3198" t="s">
        <v>3183</v>
      </c>
      <c r="J3198" t="s">
        <v>394</v>
      </c>
      <c r="K3198" t="s">
        <v>664</v>
      </c>
      <c r="L3198" t="s">
        <v>655</v>
      </c>
      <c r="M3198" t="s">
        <v>16</v>
      </c>
    </row>
    <row r="3199" spans="1:13">
      <c r="A3199" t="s">
        <v>851</v>
      </c>
      <c r="B3199" t="s">
        <v>686</v>
      </c>
      <c r="C3199" t="s">
        <v>686</v>
      </c>
      <c r="D3199" t="s">
        <v>3185</v>
      </c>
      <c r="E3199" t="s">
        <v>242</v>
      </c>
      <c r="F3199" t="s">
        <v>663</v>
      </c>
      <c r="G3199">
        <v>2030</v>
      </c>
      <c r="H3199" s="12">
        <v>382.98</v>
      </c>
      <c r="I3199" t="s">
        <v>3183</v>
      </c>
      <c r="J3199" t="s">
        <v>394</v>
      </c>
      <c r="K3199" t="s">
        <v>664</v>
      </c>
      <c r="L3199" t="s">
        <v>655</v>
      </c>
      <c r="M3199" t="s">
        <v>16</v>
      </c>
    </row>
    <row r="3200" spans="1:13">
      <c r="A3200" t="s">
        <v>851</v>
      </c>
      <c r="B3200" t="s">
        <v>686</v>
      </c>
      <c r="C3200" t="s">
        <v>686</v>
      </c>
      <c r="D3200" t="s">
        <v>3185</v>
      </c>
      <c r="E3200" t="s">
        <v>242</v>
      </c>
      <c r="F3200" t="s">
        <v>663</v>
      </c>
      <c r="G3200">
        <v>2035</v>
      </c>
      <c r="H3200" s="12">
        <v>398.81</v>
      </c>
      <c r="I3200" t="s">
        <v>3183</v>
      </c>
      <c r="J3200" t="s">
        <v>394</v>
      </c>
      <c r="K3200" t="s">
        <v>664</v>
      </c>
      <c r="L3200" t="s">
        <v>655</v>
      </c>
      <c r="M3200" t="s">
        <v>16</v>
      </c>
    </row>
    <row r="3201" spans="1:13">
      <c r="A3201" t="s">
        <v>851</v>
      </c>
      <c r="B3201" t="s">
        <v>687</v>
      </c>
      <c r="C3201" t="s">
        <v>687</v>
      </c>
      <c r="D3201" t="s">
        <v>3185</v>
      </c>
      <c r="E3201" t="s">
        <v>656</v>
      </c>
      <c r="F3201" t="s">
        <v>31</v>
      </c>
      <c r="G3201">
        <v>2030</v>
      </c>
      <c r="H3201" s="12">
        <v>0</v>
      </c>
      <c r="I3201" t="s">
        <v>3183</v>
      </c>
      <c r="J3201" t="s">
        <v>8</v>
      </c>
      <c r="K3201" t="s">
        <v>147</v>
      </c>
      <c r="L3201" t="s">
        <v>655</v>
      </c>
      <c r="M3201" t="s">
        <v>670</v>
      </c>
    </row>
    <row r="3202" spans="1:13">
      <c r="A3202" t="s">
        <v>851</v>
      </c>
      <c r="B3202" t="s">
        <v>687</v>
      </c>
      <c r="C3202" t="s">
        <v>687</v>
      </c>
      <c r="D3202" t="s">
        <v>3185</v>
      </c>
      <c r="E3202" t="s">
        <v>656</v>
      </c>
      <c r="F3202" t="s">
        <v>31</v>
      </c>
      <c r="G3202">
        <v>2035</v>
      </c>
      <c r="H3202" s="12">
        <v>0</v>
      </c>
      <c r="I3202" t="s">
        <v>3183</v>
      </c>
      <c r="J3202" t="s">
        <v>8</v>
      </c>
      <c r="K3202" t="s">
        <v>147</v>
      </c>
      <c r="L3202" t="s">
        <v>655</v>
      </c>
      <c r="M3202" t="s">
        <v>670</v>
      </c>
    </row>
    <row r="3203" spans="1:13">
      <c r="A3203" t="s">
        <v>851</v>
      </c>
      <c r="B3203" t="s">
        <v>687</v>
      </c>
      <c r="C3203" t="s">
        <v>687</v>
      </c>
      <c r="D3203" t="s">
        <v>3185</v>
      </c>
      <c r="E3203" t="s">
        <v>656</v>
      </c>
      <c r="F3203" t="s">
        <v>31</v>
      </c>
      <c r="G3203">
        <v>2040</v>
      </c>
      <c r="H3203" s="12">
        <v>0</v>
      </c>
      <c r="I3203" t="s">
        <v>3183</v>
      </c>
      <c r="J3203" t="s">
        <v>8</v>
      </c>
      <c r="K3203" t="s">
        <v>147</v>
      </c>
      <c r="L3203" t="s">
        <v>655</v>
      </c>
      <c r="M3203" t="s">
        <v>670</v>
      </c>
    </row>
    <row r="3204" spans="1:13">
      <c r="A3204" t="s">
        <v>851</v>
      </c>
      <c r="B3204" t="s">
        <v>687</v>
      </c>
      <c r="C3204" t="s">
        <v>687</v>
      </c>
      <c r="D3204" t="s">
        <v>3185</v>
      </c>
      <c r="E3204" t="s">
        <v>656</v>
      </c>
      <c r="F3204" t="s">
        <v>31</v>
      </c>
      <c r="G3204">
        <v>2045</v>
      </c>
      <c r="H3204" s="12">
        <v>0</v>
      </c>
      <c r="I3204" t="s">
        <v>3183</v>
      </c>
      <c r="J3204" t="s">
        <v>8</v>
      </c>
      <c r="K3204" t="s">
        <v>147</v>
      </c>
      <c r="L3204" t="s">
        <v>655</v>
      </c>
      <c r="M3204" t="s">
        <v>670</v>
      </c>
    </row>
    <row r="3205" spans="1:13">
      <c r="A3205" t="s">
        <v>851</v>
      </c>
      <c r="B3205" t="s">
        <v>686</v>
      </c>
      <c r="C3205" t="s">
        <v>686</v>
      </c>
      <c r="D3205" t="s">
        <v>3185</v>
      </c>
      <c r="E3205" t="s">
        <v>656</v>
      </c>
      <c r="F3205" t="s">
        <v>31</v>
      </c>
      <c r="G3205">
        <v>2040</v>
      </c>
      <c r="H3205" s="12">
        <v>0.91</v>
      </c>
      <c r="I3205" t="s">
        <v>3183</v>
      </c>
      <c r="J3205" t="s">
        <v>394</v>
      </c>
      <c r="K3205" t="s">
        <v>147</v>
      </c>
      <c r="L3205" t="s">
        <v>655</v>
      </c>
      <c r="M3205" t="s">
        <v>16</v>
      </c>
    </row>
    <row r="3206" spans="1:13">
      <c r="A3206" t="s">
        <v>851</v>
      </c>
      <c r="B3206" t="s">
        <v>686</v>
      </c>
      <c r="C3206" t="s">
        <v>686</v>
      </c>
      <c r="D3206" t="s">
        <v>3185</v>
      </c>
      <c r="E3206" t="s">
        <v>656</v>
      </c>
      <c r="F3206" t="s">
        <v>31</v>
      </c>
      <c r="G3206">
        <v>2045</v>
      </c>
      <c r="H3206" s="12">
        <v>0.77</v>
      </c>
      <c r="I3206" t="s">
        <v>3183</v>
      </c>
      <c r="J3206" t="s">
        <v>394</v>
      </c>
      <c r="K3206" t="s">
        <v>147</v>
      </c>
      <c r="L3206" t="s">
        <v>655</v>
      </c>
      <c r="M3206" t="s">
        <v>16</v>
      </c>
    </row>
    <row r="3207" spans="1:13">
      <c r="A3207" t="s">
        <v>851</v>
      </c>
      <c r="B3207" t="s">
        <v>686</v>
      </c>
      <c r="C3207" t="s">
        <v>686</v>
      </c>
      <c r="D3207" t="s">
        <v>3185</v>
      </c>
      <c r="E3207" t="s">
        <v>656</v>
      </c>
      <c r="F3207" t="s">
        <v>31</v>
      </c>
      <c r="G3207">
        <v>2050</v>
      </c>
      <c r="H3207" s="12">
        <v>0.66</v>
      </c>
      <c r="I3207" t="s">
        <v>3183</v>
      </c>
      <c r="J3207" t="s">
        <v>394</v>
      </c>
      <c r="K3207" t="s">
        <v>147</v>
      </c>
      <c r="L3207" t="s">
        <v>655</v>
      </c>
      <c r="M3207" t="s">
        <v>16</v>
      </c>
    </row>
    <row r="3208" spans="1:13">
      <c r="A3208" t="s">
        <v>851</v>
      </c>
      <c r="B3208" t="s">
        <v>687</v>
      </c>
      <c r="C3208" t="s">
        <v>687</v>
      </c>
      <c r="D3208" t="s">
        <v>3185</v>
      </c>
      <c r="E3208" t="s">
        <v>656</v>
      </c>
      <c r="F3208" t="s">
        <v>31</v>
      </c>
      <c r="G3208">
        <v>2030</v>
      </c>
      <c r="H3208" s="12">
        <v>2.84</v>
      </c>
      <c r="I3208" t="s">
        <v>3183</v>
      </c>
      <c r="J3208" t="s">
        <v>394</v>
      </c>
      <c r="K3208" t="s">
        <v>147</v>
      </c>
      <c r="L3208" t="s">
        <v>655</v>
      </c>
      <c r="M3208" t="s">
        <v>16</v>
      </c>
    </row>
    <row r="3209" spans="1:13">
      <c r="A3209" t="s">
        <v>851</v>
      </c>
      <c r="B3209" t="s">
        <v>687</v>
      </c>
      <c r="C3209" t="s">
        <v>687</v>
      </c>
      <c r="D3209" t="s">
        <v>3185</v>
      </c>
      <c r="E3209" t="s">
        <v>656</v>
      </c>
      <c r="F3209" t="s">
        <v>31</v>
      </c>
      <c r="G3209">
        <v>2035</v>
      </c>
      <c r="H3209" s="12">
        <v>1.63</v>
      </c>
      <c r="I3209" t="s">
        <v>3183</v>
      </c>
      <c r="J3209" t="s">
        <v>394</v>
      </c>
      <c r="K3209" t="s">
        <v>147</v>
      </c>
      <c r="L3209" t="s">
        <v>655</v>
      </c>
      <c r="M3209" t="s">
        <v>16</v>
      </c>
    </row>
    <row r="3210" spans="1:13">
      <c r="A3210" t="s">
        <v>851</v>
      </c>
      <c r="B3210" t="s">
        <v>687</v>
      </c>
      <c r="C3210" t="s">
        <v>687</v>
      </c>
      <c r="D3210" t="s">
        <v>3185</v>
      </c>
      <c r="E3210" t="s">
        <v>656</v>
      </c>
      <c r="F3210" t="s">
        <v>31</v>
      </c>
      <c r="G3210">
        <v>2040</v>
      </c>
      <c r="H3210" s="12">
        <v>0.86</v>
      </c>
      <c r="I3210" t="s">
        <v>3183</v>
      </c>
      <c r="J3210" t="s">
        <v>394</v>
      </c>
      <c r="K3210" t="s">
        <v>147</v>
      </c>
      <c r="L3210" t="s">
        <v>655</v>
      </c>
      <c r="M3210" t="s">
        <v>16</v>
      </c>
    </row>
    <row r="3211" spans="1:13">
      <c r="A3211" t="s">
        <v>851</v>
      </c>
      <c r="B3211" t="s">
        <v>687</v>
      </c>
      <c r="C3211" t="s">
        <v>687</v>
      </c>
      <c r="D3211" t="s">
        <v>3185</v>
      </c>
      <c r="E3211" t="s">
        <v>656</v>
      </c>
      <c r="F3211" t="s">
        <v>31</v>
      </c>
      <c r="G3211">
        <v>2045</v>
      </c>
      <c r="H3211" s="12">
        <v>0.71</v>
      </c>
      <c r="I3211" t="s">
        <v>3183</v>
      </c>
      <c r="J3211" t="s">
        <v>394</v>
      </c>
      <c r="K3211" t="s">
        <v>147</v>
      </c>
      <c r="L3211" t="s">
        <v>655</v>
      </c>
      <c r="M3211" t="s">
        <v>16</v>
      </c>
    </row>
    <row r="3212" spans="1:13">
      <c r="A3212" t="s">
        <v>851</v>
      </c>
      <c r="B3212" t="s">
        <v>687</v>
      </c>
      <c r="C3212" t="s">
        <v>687</v>
      </c>
      <c r="D3212" t="s">
        <v>3185</v>
      </c>
      <c r="E3212" t="s">
        <v>656</v>
      </c>
      <c r="F3212" t="s">
        <v>31</v>
      </c>
      <c r="G3212">
        <v>2050</v>
      </c>
      <c r="H3212" s="12">
        <v>0.59</v>
      </c>
      <c r="I3212" t="s">
        <v>3183</v>
      </c>
      <c r="J3212" t="s">
        <v>394</v>
      </c>
      <c r="K3212" t="s">
        <v>147</v>
      </c>
      <c r="L3212" t="s">
        <v>655</v>
      </c>
      <c r="M3212" t="s">
        <v>16</v>
      </c>
    </row>
    <row r="3213" spans="1:13">
      <c r="A3213" t="s">
        <v>851</v>
      </c>
      <c r="B3213" t="s">
        <v>686</v>
      </c>
      <c r="C3213" t="s">
        <v>686</v>
      </c>
      <c r="D3213" t="s">
        <v>3185</v>
      </c>
      <c r="E3213" t="s">
        <v>656</v>
      </c>
      <c r="F3213" t="s">
        <v>31</v>
      </c>
      <c r="G3213">
        <v>2010</v>
      </c>
      <c r="H3213" s="12">
        <v>0.03</v>
      </c>
      <c r="I3213" t="s">
        <v>3183</v>
      </c>
      <c r="J3213" t="s">
        <v>484</v>
      </c>
      <c r="K3213" t="s">
        <v>147</v>
      </c>
      <c r="L3213" t="s">
        <v>655</v>
      </c>
      <c r="M3213" t="s">
        <v>667</v>
      </c>
    </row>
    <row r="3214" spans="1:13">
      <c r="A3214" t="s">
        <v>851</v>
      </c>
      <c r="B3214" t="s">
        <v>686</v>
      </c>
      <c r="C3214" t="s">
        <v>686</v>
      </c>
      <c r="D3214" t="s">
        <v>3185</v>
      </c>
      <c r="E3214" t="s">
        <v>656</v>
      </c>
      <c r="F3214" t="s">
        <v>31</v>
      </c>
      <c r="G3214">
        <v>2015</v>
      </c>
      <c r="H3214" s="12">
        <v>0.03</v>
      </c>
      <c r="I3214" t="s">
        <v>3183</v>
      </c>
      <c r="J3214" t="s">
        <v>484</v>
      </c>
      <c r="K3214" t="s">
        <v>147</v>
      </c>
      <c r="L3214" t="s">
        <v>655</v>
      </c>
      <c r="M3214" t="s">
        <v>667</v>
      </c>
    </row>
    <row r="3215" spans="1:13">
      <c r="A3215" t="s">
        <v>851</v>
      </c>
      <c r="B3215" t="s">
        <v>686</v>
      </c>
      <c r="C3215" t="s">
        <v>686</v>
      </c>
      <c r="D3215" t="s">
        <v>3185</v>
      </c>
      <c r="E3215" t="s">
        <v>656</v>
      </c>
      <c r="F3215" t="s">
        <v>31</v>
      </c>
      <c r="G3215">
        <v>2020</v>
      </c>
      <c r="H3215" s="12">
        <v>0.03</v>
      </c>
      <c r="I3215" t="s">
        <v>3183</v>
      </c>
      <c r="J3215" t="s">
        <v>484</v>
      </c>
      <c r="K3215" t="s">
        <v>147</v>
      </c>
      <c r="L3215" t="s">
        <v>655</v>
      </c>
      <c r="M3215" t="s">
        <v>667</v>
      </c>
    </row>
    <row r="3216" spans="1:13">
      <c r="A3216" t="s">
        <v>851</v>
      </c>
      <c r="B3216" t="s">
        <v>686</v>
      </c>
      <c r="C3216" t="s">
        <v>686</v>
      </c>
      <c r="D3216" t="s">
        <v>3185</v>
      </c>
      <c r="E3216" t="s">
        <v>656</v>
      </c>
      <c r="F3216" t="s">
        <v>31</v>
      </c>
      <c r="G3216">
        <v>2030</v>
      </c>
      <c r="H3216" s="12">
        <v>1.04</v>
      </c>
      <c r="I3216" t="s">
        <v>3183</v>
      </c>
      <c r="J3216" t="s">
        <v>484</v>
      </c>
      <c r="K3216" t="s">
        <v>147</v>
      </c>
      <c r="L3216" t="s">
        <v>655</v>
      </c>
      <c r="M3216" t="s">
        <v>667</v>
      </c>
    </row>
    <row r="3217" spans="1:13">
      <c r="A3217" t="s">
        <v>851</v>
      </c>
      <c r="B3217" t="s">
        <v>686</v>
      </c>
      <c r="C3217" t="s">
        <v>686</v>
      </c>
      <c r="D3217" t="s">
        <v>3185</v>
      </c>
      <c r="E3217" t="s">
        <v>656</v>
      </c>
      <c r="F3217" t="s">
        <v>31</v>
      </c>
      <c r="G3217">
        <v>2035</v>
      </c>
      <c r="H3217" s="12">
        <v>1.74</v>
      </c>
      <c r="I3217" t="s">
        <v>3183</v>
      </c>
      <c r="J3217" t="s">
        <v>484</v>
      </c>
      <c r="K3217" t="s">
        <v>147</v>
      </c>
      <c r="L3217" t="s">
        <v>655</v>
      </c>
      <c r="M3217" t="s">
        <v>667</v>
      </c>
    </row>
    <row r="3218" spans="1:13">
      <c r="A3218" t="s">
        <v>851</v>
      </c>
      <c r="B3218" t="s">
        <v>686</v>
      </c>
      <c r="C3218" t="s">
        <v>686</v>
      </c>
      <c r="D3218" t="s">
        <v>3185</v>
      </c>
      <c r="E3218" t="s">
        <v>656</v>
      </c>
      <c r="F3218" t="s">
        <v>31</v>
      </c>
      <c r="G3218">
        <v>2040</v>
      </c>
      <c r="H3218" s="12">
        <v>2.65</v>
      </c>
      <c r="I3218" t="s">
        <v>3183</v>
      </c>
      <c r="J3218" t="s">
        <v>484</v>
      </c>
      <c r="K3218" t="s">
        <v>147</v>
      </c>
      <c r="L3218" t="s">
        <v>655</v>
      </c>
      <c r="M3218" t="s">
        <v>667</v>
      </c>
    </row>
    <row r="3219" spans="1:13">
      <c r="A3219" t="s">
        <v>851</v>
      </c>
      <c r="B3219" t="s">
        <v>686</v>
      </c>
      <c r="C3219" t="s">
        <v>686</v>
      </c>
      <c r="D3219" t="s">
        <v>3185</v>
      </c>
      <c r="E3219" t="s">
        <v>656</v>
      </c>
      <c r="F3219" t="s">
        <v>31</v>
      </c>
      <c r="G3219">
        <v>2045</v>
      </c>
      <c r="H3219" s="12">
        <v>3.6</v>
      </c>
      <c r="I3219" t="s">
        <v>3183</v>
      </c>
      <c r="J3219" t="s">
        <v>484</v>
      </c>
      <c r="K3219" t="s">
        <v>147</v>
      </c>
      <c r="L3219" t="s">
        <v>655</v>
      </c>
      <c r="M3219" t="s">
        <v>667</v>
      </c>
    </row>
    <row r="3220" spans="1:13">
      <c r="A3220" t="s">
        <v>851</v>
      </c>
      <c r="B3220" t="s">
        <v>686</v>
      </c>
      <c r="C3220" t="s">
        <v>686</v>
      </c>
      <c r="D3220" t="s">
        <v>3185</v>
      </c>
      <c r="E3220" t="s">
        <v>656</v>
      </c>
      <c r="F3220" t="s">
        <v>31</v>
      </c>
      <c r="G3220">
        <v>2050</v>
      </c>
      <c r="H3220" s="12">
        <v>4.62</v>
      </c>
      <c r="I3220" t="s">
        <v>3183</v>
      </c>
      <c r="J3220" t="s">
        <v>484</v>
      </c>
      <c r="K3220" t="s">
        <v>147</v>
      </c>
      <c r="L3220" t="s">
        <v>655</v>
      </c>
      <c r="M3220" t="s">
        <v>667</v>
      </c>
    </row>
    <row r="3221" spans="1:13">
      <c r="A3221" t="s">
        <v>851</v>
      </c>
      <c r="B3221" t="s">
        <v>687</v>
      </c>
      <c r="C3221" t="s">
        <v>687</v>
      </c>
      <c r="D3221" t="s">
        <v>3185</v>
      </c>
      <c r="E3221" t="s">
        <v>656</v>
      </c>
      <c r="F3221" t="s">
        <v>31</v>
      </c>
      <c r="G3221">
        <v>2030</v>
      </c>
      <c r="H3221" s="12">
        <v>6.71</v>
      </c>
      <c r="I3221" t="s">
        <v>3183</v>
      </c>
      <c r="J3221" t="s">
        <v>484</v>
      </c>
      <c r="K3221" t="s">
        <v>147</v>
      </c>
      <c r="L3221" t="s">
        <v>655</v>
      </c>
      <c r="M3221" t="s">
        <v>667</v>
      </c>
    </row>
    <row r="3222" spans="1:13">
      <c r="A3222" t="s">
        <v>851</v>
      </c>
      <c r="B3222" t="s">
        <v>687</v>
      </c>
      <c r="C3222" t="s">
        <v>687</v>
      </c>
      <c r="D3222" t="s">
        <v>3185</v>
      </c>
      <c r="E3222" t="s">
        <v>656</v>
      </c>
      <c r="F3222" t="s">
        <v>31</v>
      </c>
      <c r="G3222">
        <v>2035</v>
      </c>
      <c r="H3222" s="12">
        <v>12.06</v>
      </c>
      <c r="I3222" t="s">
        <v>3183</v>
      </c>
      <c r="J3222" t="s">
        <v>484</v>
      </c>
      <c r="K3222" t="s">
        <v>147</v>
      </c>
      <c r="L3222" t="s">
        <v>655</v>
      </c>
      <c r="M3222" t="s">
        <v>667</v>
      </c>
    </row>
    <row r="3223" spans="1:13">
      <c r="A3223" t="s">
        <v>851</v>
      </c>
      <c r="B3223" t="s">
        <v>687</v>
      </c>
      <c r="C3223" t="s">
        <v>687</v>
      </c>
      <c r="D3223" t="s">
        <v>3185</v>
      </c>
      <c r="E3223" t="s">
        <v>656</v>
      </c>
      <c r="F3223" t="s">
        <v>31</v>
      </c>
      <c r="G3223">
        <v>2040</v>
      </c>
      <c r="H3223" s="12">
        <v>17.420000000000002</v>
      </c>
      <c r="I3223" t="s">
        <v>3183</v>
      </c>
      <c r="J3223" t="s">
        <v>484</v>
      </c>
      <c r="K3223" t="s">
        <v>147</v>
      </c>
      <c r="L3223" t="s">
        <v>655</v>
      </c>
      <c r="M3223" t="s">
        <v>667</v>
      </c>
    </row>
    <row r="3224" spans="1:13">
      <c r="A3224" t="s">
        <v>851</v>
      </c>
      <c r="B3224" t="s">
        <v>687</v>
      </c>
      <c r="C3224" t="s">
        <v>687</v>
      </c>
      <c r="D3224" t="s">
        <v>3185</v>
      </c>
      <c r="E3224" t="s">
        <v>656</v>
      </c>
      <c r="F3224" t="s">
        <v>31</v>
      </c>
      <c r="G3224">
        <v>2045</v>
      </c>
      <c r="H3224" s="12">
        <v>22.15</v>
      </c>
      <c r="I3224" t="s">
        <v>3183</v>
      </c>
      <c r="J3224" t="s">
        <v>484</v>
      </c>
      <c r="K3224" t="s">
        <v>147</v>
      </c>
      <c r="L3224" t="s">
        <v>655</v>
      </c>
      <c r="M3224" t="s">
        <v>667</v>
      </c>
    </row>
    <row r="3225" spans="1:13">
      <c r="A3225" t="s">
        <v>851</v>
      </c>
      <c r="B3225" t="s">
        <v>687</v>
      </c>
      <c r="C3225" t="s">
        <v>687</v>
      </c>
      <c r="D3225" t="s">
        <v>3185</v>
      </c>
      <c r="E3225" t="s">
        <v>656</v>
      </c>
      <c r="F3225" t="s">
        <v>31</v>
      </c>
      <c r="G3225">
        <v>2050</v>
      </c>
      <c r="H3225" s="12">
        <v>26.72</v>
      </c>
      <c r="I3225" t="s">
        <v>3183</v>
      </c>
      <c r="J3225" t="s">
        <v>484</v>
      </c>
      <c r="K3225" t="s">
        <v>147</v>
      </c>
      <c r="L3225" t="s">
        <v>655</v>
      </c>
      <c r="M3225" t="s">
        <v>667</v>
      </c>
    </row>
    <row r="3226" spans="1:13">
      <c r="A3226" t="s">
        <v>851</v>
      </c>
      <c r="B3226" t="s">
        <v>687</v>
      </c>
      <c r="C3226" t="s">
        <v>687</v>
      </c>
      <c r="D3226" t="s">
        <v>3185</v>
      </c>
      <c r="E3226" t="s">
        <v>656</v>
      </c>
      <c r="F3226" t="s">
        <v>31</v>
      </c>
      <c r="G3226">
        <v>2045</v>
      </c>
      <c r="H3226" s="12">
        <v>65.92</v>
      </c>
      <c r="I3226" t="s">
        <v>3183</v>
      </c>
      <c r="J3226" t="s">
        <v>18</v>
      </c>
      <c r="K3226" t="s">
        <v>147</v>
      </c>
      <c r="L3226" t="s">
        <v>655</v>
      </c>
      <c r="M3226" t="s">
        <v>18</v>
      </c>
    </row>
    <row r="3227" spans="1:13">
      <c r="A3227" t="s">
        <v>851</v>
      </c>
      <c r="B3227" t="s">
        <v>687</v>
      </c>
      <c r="C3227" t="s">
        <v>687</v>
      </c>
      <c r="D3227" t="s">
        <v>3185</v>
      </c>
      <c r="E3227" t="s">
        <v>656</v>
      </c>
      <c r="F3227" t="s">
        <v>31</v>
      </c>
      <c r="G3227">
        <v>2050</v>
      </c>
      <c r="H3227" s="12">
        <v>79.42</v>
      </c>
      <c r="I3227" t="s">
        <v>3183</v>
      </c>
      <c r="J3227" t="s">
        <v>18</v>
      </c>
      <c r="K3227" t="s">
        <v>147</v>
      </c>
      <c r="L3227" t="s">
        <v>655</v>
      </c>
      <c r="M3227" t="s">
        <v>18</v>
      </c>
    </row>
    <row r="3228" spans="1:13">
      <c r="A3228" t="s">
        <v>851</v>
      </c>
      <c r="B3228" t="s">
        <v>686</v>
      </c>
      <c r="C3228" t="s">
        <v>686</v>
      </c>
      <c r="D3228" t="s">
        <v>3185</v>
      </c>
      <c r="E3228" t="s">
        <v>656</v>
      </c>
      <c r="F3228" t="s">
        <v>31</v>
      </c>
      <c r="G3228">
        <v>2010</v>
      </c>
      <c r="H3228" s="12">
        <v>64.17</v>
      </c>
      <c r="I3228" t="s">
        <v>3183</v>
      </c>
      <c r="J3228" t="s">
        <v>14</v>
      </c>
      <c r="K3228" t="s">
        <v>147</v>
      </c>
      <c r="L3228" t="s">
        <v>655</v>
      </c>
      <c r="M3228" t="s">
        <v>14</v>
      </c>
    </row>
    <row r="3229" spans="1:13">
      <c r="A3229" t="s">
        <v>851</v>
      </c>
      <c r="B3229" t="s">
        <v>686</v>
      </c>
      <c r="C3229" t="s">
        <v>686</v>
      </c>
      <c r="D3229" t="s">
        <v>3185</v>
      </c>
      <c r="E3229" t="s">
        <v>656</v>
      </c>
      <c r="F3229" t="s">
        <v>31</v>
      </c>
      <c r="G3229">
        <v>2015</v>
      </c>
      <c r="H3229" s="12">
        <v>68.400000000000006</v>
      </c>
      <c r="I3229" t="s">
        <v>3183</v>
      </c>
      <c r="J3229" t="s">
        <v>14</v>
      </c>
      <c r="K3229" t="s">
        <v>147</v>
      </c>
      <c r="L3229" t="s">
        <v>655</v>
      </c>
      <c r="M3229" t="s">
        <v>14</v>
      </c>
    </row>
    <row r="3230" spans="1:13">
      <c r="A3230" t="s">
        <v>851</v>
      </c>
      <c r="B3230" t="s">
        <v>686</v>
      </c>
      <c r="C3230" t="s">
        <v>686</v>
      </c>
      <c r="D3230" t="s">
        <v>3185</v>
      </c>
      <c r="E3230" t="s">
        <v>656</v>
      </c>
      <c r="F3230" t="s">
        <v>31</v>
      </c>
      <c r="G3230">
        <v>2020</v>
      </c>
      <c r="H3230" s="12">
        <v>70.069999999999993</v>
      </c>
      <c r="I3230" t="s">
        <v>3183</v>
      </c>
      <c r="J3230" t="s">
        <v>14</v>
      </c>
      <c r="K3230" t="s">
        <v>147</v>
      </c>
      <c r="L3230" t="s">
        <v>655</v>
      </c>
      <c r="M3230" t="s">
        <v>14</v>
      </c>
    </row>
    <row r="3231" spans="1:13">
      <c r="A3231" t="s">
        <v>851</v>
      </c>
      <c r="B3231" t="s">
        <v>686</v>
      </c>
      <c r="C3231" t="s">
        <v>686</v>
      </c>
      <c r="D3231" t="s">
        <v>3185</v>
      </c>
      <c r="E3231" t="s">
        <v>656</v>
      </c>
      <c r="F3231" t="s">
        <v>31</v>
      </c>
      <c r="G3231">
        <v>2030</v>
      </c>
      <c r="H3231" s="12">
        <v>76.69</v>
      </c>
      <c r="I3231" t="s">
        <v>3183</v>
      </c>
      <c r="J3231" t="s">
        <v>14</v>
      </c>
      <c r="K3231" t="s">
        <v>147</v>
      </c>
      <c r="L3231" t="s">
        <v>655</v>
      </c>
      <c r="M3231" t="s">
        <v>14</v>
      </c>
    </row>
    <row r="3232" spans="1:13">
      <c r="A3232" t="s">
        <v>851</v>
      </c>
      <c r="B3232" t="s">
        <v>686</v>
      </c>
      <c r="C3232" t="s">
        <v>686</v>
      </c>
      <c r="D3232" t="s">
        <v>3185</v>
      </c>
      <c r="E3232" t="s">
        <v>656</v>
      </c>
      <c r="F3232" t="s">
        <v>31</v>
      </c>
      <c r="G3232">
        <v>2035</v>
      </c>
      <c r="H3232" s="12">
        <v>80.930000000000007</v>
      </c>
      <c r="I3232" t="s">
        <v>3183</v>
      </c>
      <c r="J3232" t="s">
        <v>14</v>
      </c>
      <c r="K3232" t="s">
        <v>147</v>
      </c>
      <c r="L3232" t="s">
        <v>655</v>
      </c>
      <c r="M3232" t="s">
        <v>14</v>
      </c>
    </row>
    <row r="3233" spans="1:13">
      <c r="A3233" t="s">
        <v>851</v>
      </c>
      <c r="B3233" t="s">
        <v>686</v>
      </c>
      <c r="C3233" t="s">
        <v>686</v>
      </c>
      <c r="D3233" t="s">
        <v>3185</v>
      </c>
      <c r="E3233" t="s">
        <v>656</v>
      </c>
      <c r="F3233" t="s">
        <v>31</v>
      </c>
      <c r="G3233">
        <v>2040</v>
      </c>
      <c r="H3233" s="12">
        <v>84.44</v>
      </c>
      <c r="I3233" t="s">
        <v>3183</v>
      </c>
      <c r="J3233" t="s">
        <v>14</v>
      </c>
      <c r="K3233" t="s">
        <v>147</v>
      </c>
      <c r="L3233" t="s">
        <v>655</v>
      </c>
      <c r="M3233" t="s">
        <v>14</v>
      </c>
    </row>
    <row r="3234" spans="1:13">
      <c r="A3234" t="s">
        <v>851</v>
      </c>
      <c r="B3234" t="s">
        <v>686</v>
      </c>
      <c r="C3234" t="s">
        <v>686</v>
      </c>
      <c r="D3234" t="s">
        <v>3185</v>
      </c>
      <c r="E3234" t="s">
        <v>656</v>
      </c>
      <c r="F3234" t="s">
        <v>31</v>
      </c>
      <c r="G3234">
        <v>2045</v>
      </c>
      <c r="H3234" s="12">
        <v>87.22</v>
      </c>
      <c r="I3234" t="s">
        <v>3183</v>
      </c>
      <c r="J3234" t="s">
        <v>14</v>
      </c>
      <c r="K3234" t="s">
        <v>147</v>
      </c>
      <c r="L3234" t="s">
        <v>655</v>
      </c>
      <c r="M3234" t="s">
        <v>14</v>
      </c>
    </row>
    <row r="3235" spans="1:13">
      <c r="A3235" t="s">
        <v>851</v>
      </c>
      <c r="B3235" t="s">
        <v>686</v>
      </c>
      <c r="C3235" t="s">
        <v>686</v>
      </c>
      <c r="D3235" t="s">
        <v>3185</v>
      </c>
      <c r="E3235" t="s">
        <v>656</v>
      </c>
      <c r="F3235" t="s">
        <v>31</v>
      </c>
      <c r="G3235">
        <v>2050</v>
      </c>
      <c r="H3235" s="12">
        <v>89.73</v>
      </c>
      <c r="I3235" t="s">
        <v>3183</v>
      </c>
      <c r="J3235" t="s">
        <v>14</v>
      </c>
      <c r="K3235" t="s">
        <v>147</v>
      </c>
      <c r="L3235" t="s">
        <v>655</v>
      </c>
      <c r="M3235" t="s">
        <v>14</v>
      </c>
    </row>
    <row r="3236" spans="1:13">
      <c r="A3236" t="s">
        <v>851</v>
      </c>
      <c r="B3236" t="s">
        <v>687</v>
      </c>
      <c r="C3236" t="s">
        <v>687</v>
      </c>
      <c r="D3236" t="s">
        <v>3185</v>
      </c>
      <c r="E3236" t="s">
        <v>656</v>
      </c>
      <c r="F3236" t="s">
        <v>31</v>
      </c>
      <c r="G3236">
        <v>2030</v>
      </c>
      <c r="H3236" s="12">
        <v>78.53</v>
      </c>
      <c r="I3236" t="s">
        <v>3183</v>
      </c>
      <c r="J3236" t="s">
        <v>14</v>
      </c>
      <c r="K3236" t="s">
        <v>147</v>
      </c>
      <c r="L3236" t="s">
        <v>655</v>
      </c>
      <c r="M3236" t="s">
        <v>14</v>
      </c>
    </row>
    <row r="3237" spans="1:13">
      <c r="A3237" t="s">
        <v>851</v>
      </c>
      <c r="B3237" t="s">
        <v>687</v>
      </c>
      <c r="C3237" t="s">
        <v>687</v>
      </c>
      <c r="D3237" t="s">
        <v>3185</v>
      </c>
      <c r="E3237" t="s">
        <v>656</v>
      </c>
      <c r="F3237" t="s">
        <v>31</v>
      </c>
      <c r="G3237">
        <v>2035</v>
      </c>
      <c r="H3237" s="12">
        <v>84.73</v>
      </c>
      <c r="I3237" t="s">
        <v>3183</v>
      </c>
      <c r="J3237" t="s">
        <v>14</v>
      </c>
      <c r="K3237" t="s">
        <v>147</v>
      </c>
      <c r="L3237" t="s">
        <v>655</v>
      </c>
      <c r="M3237" t="s">
        <v>14</v>
      </c>
    </row>
    <row r="3238" spans="1:13">
      <c r="A3238" t="s">
        <v>851</v>
      </c>
      <c r="B3238" t="s">
        <v>687</v>
      </c>
      <c r="C3238" t="s">
        <v>687</v>
      </c>
      <c r="D3238" t="s">
        <v>3185</v>
      </c>
      <c r="E3238" t="s">
        <v>656</v>
      </c>
      <c r="F3238" t="s">
        <v>31</v>
      </c>
      <c r="G3238">
        <v>2040</v>
      </c>
      <c r="H3238" s="12">
        <v>90.66</v>
      </c>
      <c r="I3238" t="s">
        <v>3183</v>
      </c>
      <c r="J3238" t="s">
        <v>14</v>
      </c>
      <c r="K3238" t="s">
        <v>147</v>
      </c>
      <c r="L3238" t="s">
        <v>655</v>
      </c>
      <c r="M3238" t="s">
        <v>14</v>
      </c>
    </row>
    <row r="3239" spans="1:13">
      <c r="A3239" t="s">
        <v>851</v>
      </c>
      <c r="B3239" t="s">
        <v>687</v>
      </c>
      <c r="C3239" t="s">
        <v>687</v>
      </c>
      <c r="D3239" t="s">
        <v>3185</v>
      </c>
      <c r="E3239" t="s">
        <v>656</v>
      </c>
      <c r="F3239" t="s">
        <v>31</v>
      </c>
      <c r="G3239">
        <v>2045</v>
      </c>
      <c r="H3239" s="12">
        <v>96.18</v>
      </c>
      <c r="I3239" t="s">
        <v>3183</v>
      </c>
      <c r="J3239" t="s">
        <v>14</v>
      </c>
      <c r="K3239" t="s">
        <v>147</v>
      </c>
      <c r="L3239" t="s">
        <v>655</v>
      </c>
      <c r="M3239" t="s">
        <v>14</v>
      </c>
    </row>
    <row r="3240" spans="1:13">
      <c r="A3240" t="s">
        <v>851</v>
      </c>
      <c r="B3240" t="s">
        <v>687</v>
      </c>
      <c r="C3240" t="s">
        <v>687</v>
      </c>
      <c r="D3240" t="s">
        <v>3185</v>
      </c>
      <c r="E3240" t="s">
        <v>656</v>
      </c>
      <c r="F3240" t="s">
        <v>31</v>
      </c>
      <c r="G3240">
        <v>2050</v>
      </c>
      <c r="H3240" s="12">
        <v>101.59</v>
      </c>
      <c r="I3240" t="s">
        <v>3183</v>
      </c>
      <c r="J3240" t="s">
        <v>14</v>
      </c>
      <c r="K3240" t="s">
        <v>147</v>
      </c>
      <c r="L3240" t="s">
        <v>655</v>
      </c>
      <c r="M3240" t="s">
        <v>14</v>
      </c>
    </row>
    <row r="3241" spans="1:13">
      <c r="A3241" t="s">
        <v>851</v>
      </c>
      <c r="B3241" t="s">
        <v>686</v>
      </c>
      <c r="C3241" t="s">
        <v>686</v>
      </c>
      <c r="D3241" t="s">
        <v>3185</v>
      </c>
      <c r="E3241" t="s">
        <v>656</v>
      </c>
      <c r="F3241" t="s">
        <v>31</v>
      </c>
      <c r="G3241">
        <v>2010</v>
      </c>
      <c r="H3241" s="12">
        <v>1.29</v>
      </c>
      <c r="I3241" t="s">
        <v>3183</v>
      </c>
      <c r="J3241" t="s">
        <v>41</v>
      </c>
      <c r="K3241" t="s">
        <v>147</v>
      </c>
      <c r="L3241" t="s">
        <v>655</v>
      </c>
      <c r="M3241" t="s">
        <v>669</v>
      </c>
    </row>
    <row r="3242" spans="1:13">
      <c r="A3242" t="s">
        <v>851</v>
      </c>
      <c r="B3242" t="s">
        <v>686</v>
      </c>
      <c r="C3242" t="s">
        <v>686</v>
      </c>
      <c r="D3242" t="s">
        <v>3185</v>
      </c>
      <c r="E3242" t="s">
        <v>656</v>
      </c>
      <c r="F3242" t="s">
        <v>31</v>
      </c>
      <c r="G3242">
        <v>2015</v>
      </c>
      <c r="H3242" s="12">
        <v>1.65</v>
      </c>
      <c r="I3242" t="s">
        <v>3183</v>
      </c>
      <c r="J3242" t="s">
        <v>41</v>
      </c>
      <c r="K3242" t="s">
        <v>147</v>
      </c>
      <c r="L3242" t="s">
        <v>655</v>
      </c>
      <c r="M3242" t="s">
        <v>669</v>
      </c>
    </row>
    <row r="3243" spans="1:13">
      <c r="A3243" t="s">
        <v>851</v>
      </c>
      <c r="B3243" t="s">
        <v>686</v>
      </c>
      <c r="C3243" t="s">
        <v>686</v>
      </c>
      <c r="D3243" t="s">
        <v>3185</v>
      </c>
      <c r="E3243" t="s">
        <v>656</v>
      </c>
      <c r="F3243" t="s">
        <v>31</v>
      </c>
      <c r="G3243">
        <v>2020</v>
      </c>
      <c r="H3243" s="12">
        <v>1.66</v>
      </c>
      <c r="I3243" t="s">
        <v>3183</v>
      </c>
      <c r="J3243" t="s">
        <v>41</v>
      </c>
      <c r="K3243" t="s">
        <v>147</v>
      </c>
      <c r="L3243" t="s">
        <v>655</v>
      </c>
      <c r="M3243" t="s">
        <v>669</v>
      </c>
    </row>
    <row r="3244" spans="1:13">
      <c r="A3244" t="s">
        <v>851</v>
      </c>
      <c r="B3244" t="s">
        <v>686</v>
      </c>
      <c r="C3244" t="s">
        <v>686</v>
      </c>
      <c r="D3244" t="s">
        <v>3185</v>
      </c>
      <c r="E3244" t="s">
        <v>656</v>
      </c>
      <c r="F3244" t="s">
        <v>31</v>
      </c>
      <c r="G3244">
        <v>2030</v>
      </c>
      <c r="H3244" s="12">
        <v>2.64</v>
      </c>
      <c r="I3244" t="s">
        <v>3183</v>
      </c>
      <c r="J3244" t="s">
        <v>41</v>
      </c>
      <c r="K3244" t="s">
        <v>147</v>
      </c>
      <c r="L3244" t="s">
        <v>655</v>
      </c>
      <c r="M3244" t="s">
        <v>669</v>
      </c>
    </row>
    <row r="3245" spans="1:13">
      <c r="A3245" t="s">
        <v>851</v>
      </c>
      <c r="B3245" t="s">
        <v>686</v>
      </c>
      <c r="C3245" t="s">
        <v>686</v>
      </c>
      <c r="D3245" t="s">
        <v>3185</v>
      </c>
      <c r="E3245" t="s">
        <v>656</v>
      </c>
      <c r="F3245" t="s">
        <v>31</v>
      </c>
      <c r="G3245">
        <v>2035</v>
      </c>
      <c r="H3245" s="12">
        <v>4.62</v>
      </c>
      <c r="I3245" t="s">
        <v>3183</v>
      </c>
      <c r="J3245" t="s">
        <v>41</v>
      </c>
      <c r="K3245" t="s">
        <v>147</v>
      </c>
      <c r="L3245" t="s">
        <v>655</v>
      </c>
      <c r="M3245" t="s">
        <v>669</v>
      </c>
    </row>
    <row r="3246" spans="1:13">
      <c r="A3246" t="s">
        <v>851</v>
      </c>
      <c r="B3246" t="s">
        <v>686</v>
      </c>
      <c r="C3246" t="s">
        <v>686</v>
      </c>
      <c r="D3246" t="s">
        <v>3185</v>
      </c>
      <c r="E3246" t="s">
        <v>656</v>
      </c>
      <c r="F3246" t="s">
        <v>31</v>
      </c>
      <c r="G3246">
        <v>2040</v>
      </c>
      <c r="H3246" s="12">
        <v>7.7</v>
      </c>
      <c r="I3246" t="s">
        <v>3183</v>
      </c>
      <c r="J3246" t="s">
        <v>41</v>
      </c>
      <c r="K3246" t="s">
        <v>147</v>
      </c>
      <c r="L3246" t="s">
        <v>655</v>
      </c>
      <c r="M3246" t="s">
        <v>669</v>
      </c>
    </row>
    <row r="3247" spans="1:13">
      <c r="A3247" t="s">
        <v>851</v>
      </c>
      <c r="B3247" t="s">
        <v>686</v>
      </c>
      <c r="C3247" t="s">
        <v>686</v>
      </c>
      <c r="D3247" t="s">
        <v>3185</v>
      </c>
      <c r="E3247" t="s">
        <v>656</v>
      </c>
      <c r="F3247" t="s">
        <v>31</v>
      </c>
      <c r="G3247">
        <v>2045</v>
      </c>
      <c r="H3247" s="12">
        <v>11.22</v>
      </c>
      <c r="I3247" t="s">
        <v>3183</v>
      </c>
      <c r="J3247" t="s">
        <v>41</v>
      </c>
      <c r="K3247" t="s">
        <v>147</v>
      </c>
      <c r="L3247" t="s">
        <v>655</v>
      </c>
      <c r="M3247" t="s">
        <v>669</v>
      </c>
    </row>
    <row r="3248" spans="1:13">
      <c r="A3248" t="s">
        <v>851</v>
      </c>
      <c r="B3248" t="s">
        <v>686</v>
      </c>
      <c r="C3248" t="s">
        <v>686</v>
      </c>
      <c r="D3248" t="s">
        <v>3185</v>
      </c>
      <c r="E3248" t="s">
        <v>656</v>
      </c>
      <c r="F3248" t="s">
        <v>31</v>
      </c>
      <c r="G3248">
        <v>2050</v>
      </c>
      <c r="H3248" s="12">
        <v>14.9</v>
      </c>
      <c r="I3248" t="s">
        <v>3183</v>
      </c>
      <c r="J3248" t="s">
        <v>41</v>
      </c>
      <c r="K3248" t="s">
        <v>147</v>
      </c>
      <c r="L3248" t="s">
        <v>655</v>
      </c>
      <c r="M3248" t="s">
        <v>669</v>
      </c>
    </row>
    <row r="3249" spans="1:13">
      <c r="A3249" t="s">
        <v>851</v>
      </c>
      <c r="B3249" t="s">
        <v>687</v>
      </c>
      <c r="C3249" t="s">
        <v>687</v>
      </c>
      <c r="D3249" t="s">
        <v>3185</v>
      </c>
      <c r="E3249" t="s">
        <v>656</v>
      </c>
      <c r="F3249" t="s">
        <v>31</v>
      </c>
      <c r="G3249">
        <v>2030</v>
      </c>
      <c r="H3249" s="12">
        <v>4.29</v>
      </c>
      <c r="I3249" t="s">
        <v>3183</v>
      </c>
      <c r="J3249" t="s">
        <v>41</v>
      </c>
      <c r="K3249" t="s">
        <v>147</v>
      </c>
      <c r="L3249" t="s">
        <v>655</v>
      </c>
      <c r="M3249" t="s">
        <v>669</v>
      </c>
    </row>
    <row r="3250" spans="1:13">
      <c r="A3250" t="s">
        <v>851</v>
      </c>
      <c r="B3250" t="s">
        <v>687</v>
      </c>
      <c r="C3250" t="s">
        <v>687</v>
      </c>
      <c r="D3250" t="s">
        <v>3185</v>
      </c>
      <c r="E3250" t="s">
        <v>656</v>
      </c>
      <c r="F3250" t="s">
        <v>31</v>
      </c>
      <c r="G3250">
        <v>2035</v>
      </c>
      <c r="H3250" s="12">
        <v>8.2200000000000006</v>
      </c>
      <c r="I3250" t="s">
        <v>3183</v>
      </c>
      <c r="J3250" t="s">
        <v>41</v>
      </c>
      <c r="K3250" t="s">
        <v>147</v>
      </c>
      <c r="L3250" t="s">
        <v>655</v>
      </c>
      <c r="M3250" t="s">
        <v>669</v>
      </c>
    </row>
    <row r="3251" spans="1:13">
      <c r="A3251" t="s">
        <v>851</v>
      </c>
      <c r="B3251" t="s">
        <v>687</v>
      </c>
      <c r="C3251" t="s">
        <v>687</v>
      </c>
      <c r="D3251" t="s">
        <v>3185</v>
      </c>
      <c r="E3251" t="s">
        <v>656</v>
      </c>
      <c r="F3251" t="s">
        <v>31</v>
      </c>
      <c r="G3251">
        <v>2040</v>
      </c>
      <c r="H3251" s="12">
        <v>13.4</v>
      </c>
      <c r="I3251" t="s">
        <v>3183</v>
      </c>
      <c r="J3251" t="s">
        <v>41</v>
      </c>
      <c r="K3251" t="s">
        <v>147</v>
      </c>
      <c r="L3251" t="s">
        <v>655</v>
      </c>
      <c r="M3251" t="s">
        <v>669</v>
      </c>
    </row>
    <row r="3252" spans="1:13">
      <c r="A3252" t="s">
        <v>851</v>
      </c>
      <c r="B3252" t="s">
        <v>687</v>
      </c>
      <c r="C3252" t="s">
        <v>687</v>
      </c>
      <c r="D3252" t="s">
        <v>3185</v>
      </c>
      <c r="E3252" t="s">
        <v>656</v>
      </c>
      <c r="F3252" t="s">
        <v>31</v>
      </c>
      <c r="G3252">
        <v>2045</v>
      </c>
      <c r="H3252" s="12">
        <v>19.22</v>
      </c>
      <c r="I3252" t="s">
        <v>3183</v>
      </c>
      <c r="J3252" t="s">
        <v>41</v>
      </c>
      <c r="K3252" t="s">
        <v>147</v>
      </c>
      <c r="L3252" t="s">
        <v>655</v>
      </c>
      <c r="M3252" t="s">
        <v>669</v>
      </c>
    </row>
    <row r="3253" spans="1:13">
      <c r="A3253" t="s">
        <v>851</v>
      </c>
      <c r="B3253" t="s">
        <v>687</v>
      </c>
      <c r="C3253" t="s">
        <v>687</v>
      </c>
      <c r="D3253" t="s">
        <v>3185</v>
      </c>
      <c r="E3253" t="s">
        <v>656</v>
      </c>
      <c r="F3253" t="s">
        <v>31</v>
      </c>
      <c r="G3253">
        <v>2050</v>
      </c>
      <c r="H3253" s="12">
        <v>25.45</v>
      </c>
      <c r="I3253" t="s">
        <v>3183</v>
      </c>
      <c r="J3253" t="s">
        <v>41</v>
      </c>
      <c r="K3253" t="s">
        <v>147</v>
      </c>
      <c r="L3253" t="s">
        <v>655</v>
      </c>
      <c r="M3253" t="s">
        <v>669</v>
      </c>
    </row>
    <row r="3254" spans="1:13">
      <c r="A3254" t="s">
        <v>851</v>
      </c>
      <c r="B3254" t="s">
        <v>686</v>
      </c>
      <c r="C3254" t="s">
        <v>686</v>
      </c>
      <c r="D3254" t="s">
        <v>3185</v>
      </c>
      <c r="E3254" t="s">
        <v>656</v>
      </c>
      <c r="F3254" t="s">
        <v>31</v>
      </c>
      <c r="G3254">
        <v>2010</v>
      </c>
      <c r="H3254" s="12">
        <v>25.07</v>
      </c>
      <c r="I3254" t="s">
        <v>3183</v>
      </c>
      <c r="J3254" t="s">
        <v>15</v>
      </c>
      <c r="K3254" t="s">
        <v>147</v>
      </c>
      <c r="L3254" t="s">
        <v>655</v>
      </c>
      <c r="M3254" t="s">
        <v>15</v>
      </c>
    </row>
    <row r="3255" spans="1:13">
      <c r="A3255" t="s">
        <v>851</v>
      </c>
      <c r="B3255" t="s">
        <v>686</v>
      </c>
      <c r="C3255" t="s">
        <v>686</v>
      </c>
      <c r="D3255" t="s">
        <v>3185</v>
      </c>
      <c r="E3255" t="s">
        <v>656</v>
      </c>
      <c r="F3255" t="s">
        <v>31</v>
      </c>
      <c r="G3255">
        <v>2015</v>
      </c>
      <c r="H3255" s="12">
        <v>28.05</v>
      </c>
      <c r="I3255" t="s">
        <v>3183</v>
      </c>
      <c r="J3255" t="s">
        <v>15</v>
      </c>
      <c r="K3255" t="s">
        <v>147</v>
      </c>
      <c r="L3255" t="s">
        <v>655</v>
      </c>
      <c r="M3255" t="s">
        <v>15</v>
      </c>
    </row>
    <row r="3256" spans="1:13">
      <c r="A3256" t="s">
        <v>851</v>
      </c>
      <c r="B3256" t="s">
        <v>686</v>
      </c>
      <c r="C3256" t="s">
        <v>686</v>
      </c>
      <c r="D3256" t="s">
        <v>3185</v>
      </c>
      <c r="E3256" t="s">
        <v>656</v>
      </c>
      <c r="F3256" t="s">
        <v>31</v>
      </c>
      <c r="G3256">
        <v>2020</v>
      </c>
      <c r="H3256" s="12">
        <v>31</v>
      </c>
      <c r="I3256" t="s">
        <v>3183</v>
      </c>
      <c r="J3256" t="s">
        <v>15</v>
      </c>
      <c r="K3256" t="s">
        <v>147</v>
      </c>
      <c r="L3256" t="s">
        <v>655</v>
      </c>
      <c r="M3256" t="s">
        <v>15</v>
      </c>
    </row>
    <row r="3257" spans="1:13">
      <c r="A3257" t="s">
        <v>851</v>
      </c>
      <c r="B3257" t="s">
        <v>686</v>
      </c>
      <c r="C3257" t="s">
        <v>686</v>
      </c>
      <c r="D3257" t="s">
        <v>3185</v>
      </c>
      <c r="E3257" t="s">
        <v>656</v>
      </c>
      <c r="F3257" t="s">
        <v>31</v>
      </c>
      <c r="G3257">
        <v>2030</v>
      </c>
      <c r="H3257" s="12">
        <v>33.31</v>
      </c>
      <c r="I3257" t="s">
        <v>3183</v>
      </c>
      <c r="J3257" t="s">
        <v>15</v>
      </c>
      <c r="K3257" t="s">
        <v>147</v>
      </c>
      <c r="L3257" t="s">
        <v>655</v>
      </c>
      <c r="M3257" t="s">
        <v>15</v>
      </c>
    </row>
    <row r="3258" spans="1:13">
      <c r="A3258" t="s">
        <v>851</v>
      </c>
      <c r="B3258" t="s">
        <v>686</v>
      </c>
      <c r="C3258" t="s">
        <v>686</v>
      </c>
      <c r="D3258" t="s">
        <v>3185</v>
      </c>
      <c r="E3258" t="s">
        <v>656</v>
      </c>
      <c r="F3258" t="s">
        <v>31</v>
      </c>
      <c r="G3258">
        <v>2035</v>
      </c>
      <c r="H3258" s="12">
        <v>36.08</v>
      </c>
      <c r="I3258" t="s">
        <v>3183</v>
      </c>
      <c r="J3258" t="s">
        <v>15</v>
      </c>
      <c r="K3258" t="s">
        <v>147</v>
      </c>
      <c r="L3258" t="s">
        <v>655</v>
      </c>
      <c r="M3258" t="s">
        <v>15</v>
      </c>
    </row>
    <row r="3259" spans="1:13">
      <c r="A3259" t="s">
        <v>851</v>
      </c>
      <c r="B3259" t="s">
        <v>686</v>
      </c>
      <c r="C3259" t="s">
        <v>686</v>
      </c>
      <c r="D3259" t="s">
        <v>3185</v>
      </c>
      <c r="E3259" t="s">
        <v>656</v>
      </c>
      <c r="F3259" t="s">
        <v>31</v>
      </c>
      <c r="G3259">
        <v>2040</v>
      </c>
      <c r="H3259" s="12">
        <v>36.479999999999997</v>
      </c>
      <c r="I3259" t="s">
        <v>3183</v>
      </c>
      <c r="J3259" t="s">
        <v>15</v>
      </c>
      <c r="K3259" t="s">
        <v>147</v>
      </c>
      <c r="L3259" t="s">
        <v>655</v>
      </c>
      <c r="M3259" t="s">
        <v>15</v>
      </c>
    </row>
    <row r="3260" spans="1:13">
      <c r="A3260" t="s">
        <v>851</v>
      </c>
      <c r="B3260" t="s">
        <v>686</v>
      </c>
      <c r="C3260" t="s">
        <v>686</v>
      </c>
      <c r="D3260" t="s">
        <v>3185</v>
      </c>
      <c r="E3260" t="s">
        <v>656</v>
      </c>
      <c r="F3260" t="s">
        <v>31</v>
      </c>
      <c r="G3260">
        <v>2045</v>
      </c>
      <c r="H3260" s="12">
        <v>37.979999999999997</v>
      </c>
      <c r="I3260" t="s">
        <v>3183</v>
      </c>
      <c r="J3260" t="s">
        <v>15</v>
      </c>
      <c r="K3260" t="s">
        <v>147</v>
      </c>
      <c r="L3260" t="s">
        <v>655</v>
      </c>
      <c r="M3260" t="s">
        <v>15</v>
      </c>
    </row>
    <row r="3261" spans="1:13">
      <c r="A3261" t="s">
        <v>851</v>
      </c>
      <c r="B3261" t="s">
        <v>686</v>
      </c>
      <c r="C3261" t="s">
        <v>686</v>
      </c>
      <c r="D3261" t="s">
        <v>3185</v>
      </c>
      <c r="E3261" t="s">
        <v>656</v>
      </c>
      <c r="F3261" t="s">
        <v>31</v>
      </c>
      <c r="G3261">
        <v>2050</v>
      </c>
      <c r="H3261" s="12">
        <v>39.479999999999997</v>
      </c>
      <c r="I3261" t="s">
        <v>3183</v>
      </c>
      <c r="J3261" t="s">
        <v>15</v>
      </c>
      <c r="K3261" t="s">
        <v>147</v>
      </c>
      <c r="L3261" t="s">
        <v>655</v>
      </c>
      <c r="M3261" t="s">
        <v>15</v>
      </c>
    </row>
    <row r="3262" spans="1:13">
      <c r="A3262" t="s">
        <v>851</v>
      </c>
      <c r="B3262" t="s">
        <v>687</v>
      </c>
      <c r="C3262" t="s">
        <v>687</v>
      </c>
      <c r="D3262" t="s">
        <v>3185</v>
      </c>
      <c r="E3262" t="s">
        <v>656</v>
      </c>
      <c r="F3262" t="s">
        <v>31</v>
      </c>
      <c r="G3262">
        <v>2030</v>
      </c>
      <c r="H3262" s="12">
        <v>33.31</v>
      </c>
      <c r="I3262" t="s">
        <v>3183</v>
      </c>
      <c r="J3262" t="s">
        <v>15</v>
      </c>
      <c r="K3262" t="s">
        <v>147</v>
      </c>
      <c r="L3262" t="s">
        <v>655</v>
      </c>
      <c r="M3262" t="s">
        <v>15</v>
      </c>
    </row>
    <row r="3263" spans="1:13">
      <c r="A3263" t="s">
        <v>851</v>
      </c>
      <c r="B3263" t="s">
        <v>687</v>
      </c>
      <c r="C3263" t="s">
        <v>687</v>
      </c>
      <c r="D3263" t="s">
        <v>3185</v>
      </c>
      <c r="E3263" t="s">
        <v>656</v>
      </c>
      <c r="F3263" t="s">
        <v>31</v>
      </c>
      <c r="G3263">
        <v>2035</v>
      </c>
      <c r="H3263" s="12">
        <v>36.08</v>
      </c>
      <c r="I3263" t="s">
        <v>3183</v>
      </c>
      <c r="J3263" t="s">
        <v>15</v>
      </c>
      <c r="K3263" t="s">
        <v>147</v>
      </c>
      <c r="L3263" t="s">
        <v>655</v>
      </c>
      <c r="M3263" t="s">
        <v>15</v>
      </c>
    </row>
    <row r="3264" spans="1:13">
      <c r="A3264" t="s">
        <v>851</v>
      </c>
      <c r="B3264" t="s">
        <v>687</v>
      </c>
      <c r="C3264" t="s">
        <v>687</v>
      </c>
      <c r="D3264" t="s">
        <v>3185</v>
      </c>
      <c r="E3264" t="s">
        <v>656</v>
      </c>
      <c r="F3264" t="s">
        <v>31</v>
      </c>
      <c r="G3264">
        <v>2040</v>
      </c>
      <c r="H3264" s="12">
        <v>37.479999999999997</v>
      </c>
      <c r="I3264" t="s">
        <v>3183</v>
      </c>
      <c r="J3264" t="s">
        <v>15</v>
      </c>
      <c r="K3264" t="s">
        <v>147</v>
      </c>
      <c r="L3264" t="s">
        <v>655</v>
      </c>
      <c r="M3264" t="s">
        <v>15</v>
      </c>
    </row>
    <row r="3265" spans="1:13">
      <c r="A3265" t="s">
        <v>851</v>
      </c>
      <c r="B3265" t="s">
        <v>687</v>
      </c>
      <c r="C3265" t="s">
        <v>687</v>
      </c>
      <c r="D3265" t="s">
        <v>3185</v>
      </c>
      <c r="E3265" t="s">
        <v>656</v>
      </c>
      <c r="F3265" t="s">
        <v>31</v>
      </c>
      <c r="G3265">
        <v>2045</v>
      </c>
      <c r="H3265" s="12">
        <v>38.979999999999997</v>
      </c>
      <c r="I3265" t="s">
        <v>3183</v>
      </c>
      <c r="J3265" t="s">
        <v>15</v>
      </c>
      <c r="K3265" t="s">
        <v>147</v>
      </c>
      <c r="L3265" t="s">
        <v>655</v>
      </c>
      <c r="M3265" t="s">
        <v>15</v>
      </c>
    </row>
    <row r="3266" spans="1:13">
      <c r="A3266" t="s">
        <v>851</v>
      </c>
      <c r="B3266" t="s">
        <v>687</v>
      </c>
      <c r="C3266" t="s">
        <v>687</v>
      </c>
      <c r="D3266" t="s">
        <v>3185</v>
      </c>
      <c r="E3266" t="s">
        <v>656</v>
      </c>
      <c r="F3266" t="s">
        <v>31</v>
      </c>
      <c r="G3266">
        <v>2050</v>
      </c>
      <c r="H3266" s="12">
        <v>40.479999999999997</v>
      </c>
      <c r="I3266" t="s">
        <v>3183</v>
      </c>
      <c r="J3266" t="s">
        <v>15</v>
      </c>
      <c r="K3266" t="s">
        <v>147</v>
      </c>
      <c r="L3266" t="s">
        <v>655</v>
      </c>
      <c r="M3266" t="s">
        <v>15</v>
      </c>
    </row>
    <row r="3267" spans="1:13">
      <c r="A3267" t="s">
        <v>851</v>
      </c>
      <c r="B3267" t="s">
        <v>686</v>
      </c>
      <c r="C3267" t="s">
        <v>686</v>
      </c>
      <c r="D3267" t="s">
        <v>3185</v>
      </c>
      <c r="E3267" t="s">
        <v>656</v>
      </c>
      <c r="F3267" t="s">
        <v>31</v>
      </c>
      <c r="G3267">
        <v>2010</v>
      </c>
      <c r="H3267" s="12">
        <v>0</v>
      </c>
      <c r="I3267" t="s">
        <v>3183</v>
      </c>
      <c r="J3267" t="s">
        <v>8</v>
      </c>
      <c r="K3267" t="s">
        <v>147</v>
      </c>
      <c r="L3267" t="s">
        <v>655</v>
      </c>
      <c r="M3267" t="s">
        <v>670</v>
      </c>
    </row>
    <row r="3268" spans="1:13">
      <c r="A3268" t="s">
        <v>851</v>
      </c>
      <c r="B3268" t="s">
        <v>686</v>
      </c>
      <c r="C3268" t="s">
        <v>686</v>
      </c>
      <c r="D3268" t="s">
        <v>3185</v>
      </c>
      <c r="E3268" t="s">
        <v>656</v>
      </c>
      <c r="F3268" t="s">
        <v>31</v>
      </c>
      <c r="G3268">
        <v>2015</v>
      </c>
      <c r="H3268" s="12">
        <v>0</v>
      </c>
      <c r="I3268" t="s">
        <v>3183</v>
      </c>
      <c r="J3268" t="s">
        <v>8</v>
      </c>
      <c r="K3268" t="s">
        <v>147</v>
      </c>
      <c r="L3268" t="s">
        <v>655</v>
      </c>
      <c r="M3268" t="s">
        <v>670</v>
      </c>
    </row>
    <row r="3269" spans="1:13">
      <c r="A3269" t="s">
        <v>851</v>
      </c>
      <c r="B3269" t="s">
        <v>686</v>
      </c>
      <c r="C3269" t="s">
        <v>686</v>
      </c>
      <c r="D3269" t="s">
        <v>3185</v>
      </c>
      <c r="E3269" t="s">
        <v>656</v>
      </c>
      <c r="F3269" t="s">
        <v>31</v>
      </c>
      <c r="G3269">
        <v>2020</v>
      </c>
      <c r="H3269" s="12">
        <v>0</v>
      </c>
      <c r="I3269" t="s">
        <v>3183</v>
      </c>
      <c r="J3269" t="s">
        <v>8</v>
      </c>
      <c r="K3269" t="s">
        <v>147</v>
      </c>
      <c r="L3269" t="s">
        <v>655</v>
      </c>
      <c r="M3269" t="s">
        <v>670</v>
      </c>
    </row>
    <row r="3270" spans="1:13">
      <c r="A3270" t="s">
        <v>851</v>
      </c>
      <c r="B3270" t="s">
        <v>686</v>
      </c>
      <c r="C3270" t="s">
        <v>686</v>
      </c>
      <c r="D3270" t="s">
        <v>3185</v>
      </c>
      <c r="E3270" t="s">
        <v>656</v>
      </c>
      <c r="F3270" t="s">
        <v>31</v>
      </c>
      <c r="G3270">
        <v>2030</v>
      </c>
      <c r="H3270" s="12">
        <v>0</v>
      </c>
      <c r="I3270" t="s">
        <v>3183</v>
      </c>
      <c r="J3270" t="s">
        <v>8</v>
      </c>
      <c r="K3270" t="s">
        <v>147</v>
      </c>
      <c r="L3270" t="s">
        <v>655</v>
      </c>
      <c r="M3270" t="s">
        <v>670</v>
      </c>
    </row>
    <row r="3271" spans="1:13">
      <c r="A3271" t="s">
        <v>851</v>
      </c>
      <c r="B3271" t="s">
        <v>686</v>
      </c>
      <c r="C3271" t="s">
        <v>686</v>
      </c>
      <c r="D3271" t="s">
        <v>3185</v>
      </c>
      <c r="E3271" t="s">
        <v>656</v>
      </c>
      <c r="F3271" t="s">
        <v>31</v>
      </c>
      <c r="G3271">
        <v>2035</v>
      </c>
      <c r="H3271" s="12">
        <v>0</v>
      </c>
      <c r="I3271" t="s">
        <v>3183</v>
      </c>
      <c r="J3271" t="s">
        <v>8</v>
      </c>
      <c r="K3271" t="s">
        <v>147</v>
      </c>
      <c r="L3271" t="s">
        <v>655</v>
      </c>
      <c r="M3271" t="s">
        <v>670</v>
      </c>
    </row>
    <row r="3272" spans="1:13">
      <c r="A3272" t="s">
        <v>851</v>
      </c>
      <c r="B3272" t="s">
        <v>686</v>
      </c>
      <c r="C3272" t="s">
        <v>686</v>
      </c>
      <c r="D3272" t="s">
        <v>3185</v>
      </c>
      <c r="E3272" t="s">
        <v>656</v>
      </c>
      <c r="F3272" t="s">
        <v>31</v>
      </c>
      <c r="G3272">
        <v>2040</v>
      </c>
      <c r="H3272" s="12">
        <v>0</v>
      </c>
      <c r="I3272" t="s">
        <v>3183</v>
      </c>
      <c r="J3272" t="s">
        <v>8</v>
      </c>
      <c r="K3272" t="s">
        <v>147</v>
      </c>
      <c r="L3272" t="s">
        <v>655</v>
      </c>
      <c r="M3272" t="s">
        <v>670</v>
      </c>
    </row>
    <row r="3273" spans="1:13">
      <c r="A3273" t="s">
        <v>851</v>
      </c>
      <c r="B3273" t="s">
        <v>687</v>
      </c>
      <c r="C3273" t="s">
        <v>687</v>
      </c>
      <c r="D3273" t="s">
        <v>3185</v>
      </c>
      <c r="E3273" t="s">
        <v>656</v>
      </c>
      <c r="F3273" t="s">
        <v>31</v>
      </c>
      <c r="G3273">
        <v>2050</v>
      </c>
      <c r="H3273" s="12">
        <v>0</v>
      </c>
      <c r="I3273" t="s">
        <v>3183</v>
      </c>
      <c r="J3273" t="s">
        <v>8</v>
      </c>
      <c r="K3273" t="s">
        <v>147</v>
      </c>
      <c r="L3273" t="s">
        <v>655</v>
      </c>
      <c r="M3273" t="s">
        <v>670</v>
      </c>
    </row>
    <row r="3274" spans="1:13">
      <c r="A3274" t="s">
        <v>851</v>
      </c>
      <c r="B3274" t="s">
        <v>686</v>
      </c>
      <c r="C3274" t="s">
        <v>686</v>
      </c>
      <c r="D3274" t="s">
        <v>3185</v>
      </c>
      <c r="E3274" t="s">
        <v>656</v>
      </c>
      <c r="F3274" t="s">
        <v>31</v>
      </c>
      <c r="G3274">
        <v>2010</v>
      </c>
      <c r="H3274" s="12">
        <v>61.73</v>
      </c>
      <c r="I3274" t="s">
        <v>3183</v>
      </c>
      <c r="J3274" t="s">
        <v>5</v>
      </c>
      <c r="K3274" t="s">
        <v>147</v>
      </c>
      <c r="L3274" t="s">
        <v>655</v>
      </c>
      <c r="M3274" t="s">
        <v>665</v>
      </c>
    </row>
    <row r="3275" spans="1:13">
      <c r="A3275" t="s">
        <v>851</v>
      </c>
      <c r="B3275" t="s">
        <v>686</v>
      </c>
      <c r="C3275" t="s">
        <v>686</v>
      </c>
      <c r="D3275" t="s">
        <v>3185</v>
      </c>
      <c r="E3275" t="s">
        <v>656</v>
      </c>
      <c r="F3275" t="s">
        <v>31</v>
      </c>
      <c r="G3275">
        <v>2015</v>
      </c>
      <c r="H3275" s="12">
        <v>64.59</v>
      </c>
      <c r="I3275" t="s">
        <v>3183</v>
      </c>
      <c r="J3275" t="s">
        <v>5</v>
      </c>
      <c r="K3275" t="s">
        <v>147</v>
      </c>
      <c r="L3275" t="s">
        <v>655</v>
      </c>
      <c r="M3275" t="s">
        <v>665</v>
      </c>
    </row>
    <row r="3276" spans="1:13">
      <c r="A3276" t="s">
        <v>851</v>
      </c>
      <c r="B3276" t="s">
        <v>686</v>
      </c>
      <c r="C3276" t="s">
        <v>686</v>
      </c>
      <c r="D3276" t="s">
        <v>3185</v>
      </c>
      <c r="E3276" t="s">
        <v>656</v>
      </c>
      <c r="F3276" t="s">
        <v>31</v>
      </c>
      <c r="G3276">
        <v>2020</v>
      </c>
      <c r="H3276" s="12">
        <v>65.959999999999994</v>
      </c>
      <c r="I3276" t="s">
        <v>3183</v>
      </c>
      <c r="J3276" t="s">
        <v>5</v>
      </c>
      <c r="K3276" t="s">
        <v>147</v>
      </c>
      <c r="L3276" t="s">
        <v>655</v>
      </c>
      <c r="M3276" t="s">
        <v>665</v>
      </c>
    </row>
    <row r="3277" spans="1:13">
      <c r="A3277" t="s">
        <v>851</v>
      </c>
      <c r="B3277" t="s">
        <v>686</v>
      </c>
      <c r="C3277" t="s">
        <v>686</v>
      </c>
      <c r="D3277" t="s">
        <v>3185</v>
      </c>
      <c r="E3277" t="s">
        <v>656</v>
      </c>
      <c r="F3277" t="s">
        <v>31</v>
      </c>
      <c r="G3277">
        <v>2030</v>
      </c>
      <c r="H3277" s="12">
        <v>46.45</v>
      </c>
      <c r="I3277" t="s">
        <v>3183</v>
      </c>
      <c r="J3277" t="s">
        <v>5</v>
      </c>
      <c r="K3277" t="s">
        <v>147</v>
      </c>
      <c r="L3277" t="s">
        <v>655</v>
      </c>
      <c r="M3277" t="s">
        <v>665</v>
      </c>
    </row>
    <row r="3278" spans="1:13">
      <c r="A3278" t="s">
        <v>851</v>
      </c>
      <c r="B3278" t="s">
        <v>686</v>
      </c>
      <c r="C3278" t="s">
        <v>686</v>
      </c>
      <c r="D3278" t="s">
        <v>3185</v>
      </c>
      <c r="E3278" t="s">
        <v>656</v>
      </c>
      <c r="F3278" t="s">
        <v>31</v>
      </c>
      <c r="G3278">
        <v>2035</v>
      </c>
      <c r="H3278" s="12">
        <v>43.35</v>
      </c>
      <c r="I3278" t="s">
        <v>3183</v>
      </c>
      <c r="J3278" t="s">
        <v>5</v>
      </c>
      <c r="K3278" t="s">
        <v>147</v>
      </c>
      <c r="L3278" t="s">
        <v>655</v>
      </c>
      <c r="M3278" t="s">
        <v>665</v>
      </c>
    </row>
    <row r="3279" spans="1:13">
      <c r="A3279" t="s">
        <v>851</v>
      </c>
      <c r="B3279" t="s">
        <v>686</v>
      </c>
      <c r="C3279" t="s">
        <v>686</v>
      </c>
      <c r="D3279" t="s">
        <v>3185</v>
      </c>
      <c r="E3279" t="s">
        <v>656</v>
      </c>
      <c r="F3279" t="s">
        <v>31</v>
      </c>
      <c r="G3279">
        <v>2040</v>
      </c>
      <c r="H3279" s="12">
        <v>40.299999999999997</v>
      </c>
      <c r="I3279" t="s">
        <v>3183</v>
      </c>
      <c r="J3279" t="s">
        <v>5</v>
      </c>
      <c r="K3279" t="s">
        <v>147</v>
      </c>
      <c r="L3279" t="s">
        <v>655</v>
      </c>
      <c r="M3279" t="s">
        <v>665</v>
      </c>
    </row>
    <row r="3280" spans="1:13">
      <c r="A3280" t="s">
        <v>851</v>
      </c>
      <c r="B3280" t="s">
        <v>686</v>
      </c>
      <c r="C3280" t="s">
        <v>686</v>
      </c>
      <c r="D3280" t="s">
        <v>3185</v>
      </c>
      <c r="E3280" t="s">
        <v>656</v>
      </c>
      <c r="F3280" t="s">
        <v>31</v>
      </c>
      <c r="G3280">
        <v>2045</v>
      </c>
      <c r="H3280" s="12">
        <v>41.45</v>
      </c>
      <c r="I3280" t="s">
        <v>3183</v>
      </c>
      <c r="J3280" t="s">
        <v>5</v>
      </c>
      <c r="K3280" t="s">
        <v>147</v>
      </c>
      <c r="L3280" t="s">
        <v>655</v>
      </c>
      <c r="M3280" t="s">
        <v>665</v>
      </c>
    </row>
    <row r="3281" spans="1:13">
      <c r="A3281" t="s">
        <v>851</v>
      </c>
      <c r="B3281" t="s">
        <v>686</v>
      </c>
      <c r="C3281" t="s">
        <v>686</v>
      </c>
      <c r="D3281" t="s">
        <v>3185</v>
      </c>
      <c r="E3281" t="s">
        <v>656</v>
      </c>
      <c r="F3281" t="s">
        <v>31</v>
      </c>
      <c r="G3281">
        <v>2050</v>
      </c>
      <c r="H3281" s="12">
        <v>43.49</v>
      </c>
      <c r="I3281" t="s">
        <v>3183</v>
      </c>
      <c r="J3281" t="s">
        <v>5</v>
      </c>
      <c r="K3281" t="s">
        <v>147</v>
      </c>
      <c r="L3281" t="s">
        <v>655</v>
      </c>
      <c r="M3281" t="s">
        <v>665</v>
      </c>
    </row>
    <row r="3282" spans="1:13">
      <c r="A3282" t="s">
        <v>851</v>
      </c>
      <c r="B3282" t="s">
        <v>687</v>
      </c>
      <c r="C3282" t="s">
        <v>687</v>
      </c>
      <c r="D3282" t="s">
        <v>3185</v>
      </c>
      <c r="E3282" t="s">
        <v>656</v>
      </c>
      <c r="F3282" t="s">
        <v>31</v>
      </c>
      <c r="G3282">
        <v>2030</v>
      </c>
      <c r="H3282" s="12">
        <v>43.59</v>
      </c>
      <c r="I3282" t="s">
        <v>3183</v>
      </c>
      <c r="J3282" t="s">
        <v>5</v>
      </c>
      <c r="K3282" t="s">
        <v>147</v>
      </c>
      <c r="L3282" t="s">
        <v>655</v>
      </c>
      <c r="M3282" t="s">
        <v>665</v>
      </c>
    </row>
    <row r="3283" spans="1:13">
      <c r="A3283" t="s">
        <v>851</v>
      </c>
      <c r="B3283" t="s">
        <v>687</v>
      </c>
      <c r="C3283" t="s">
        <v>687</v>
      </c>
      <c r="D3283" t="s">
        <v>3185</v>
      </c>
      <c r="E3283" t="s">
        <v>656</v>
      </c>
      <c r="F3283" t="s">
        <v>31</v>
      </c>
      <c r="G3283">
        <v>2035</v>
      </c>
      <c r="H3283" s="12">
        <v>36.06</v>
      </c>
      <c r="I3283" t="s">
        <v>3183</v>
      </c>
      <c r="J3283" t="s">
        <v>5</v>
      </c>
      <c r="K3283" t="s">
        <v>147</v>
      </c>
      <c r="L3283" t="s">
        <v>655</v>
      </c>
      <c r="M3283" t="s">
        <v>665</v>
      </c>
    </row>
    <row r="3284" spans="1:13">
      <c r="A3284" t="s">
        <v>851</v>
      </c>
      <c r="B3284" t="s">
        <v>687</v>
      </c>
      <c r="C3284" t="s">
        <v>687</v>
      </c>
      <c r="D3284" t="s">
        <v>3185</v>
      </c>
      <c r="E3284" t="s">
        <v>656</v>
      </c>
      <c r="F3284" t="s">
        <v>31</v>
      </c>
      <c r="G3284">
        <v>2040</v>
      </c>
      <c r="H3284" s="12">
        <v>30.33</v>
      </c>
      <c r="I3284" t="s">
        <v>3183</v>
      </c>
      <c r="J3284" t="s">
        <v>5</v>
      </c>
      <c r="K3284" t="s">
        <v>147</v>
      </c>
      <c r="L3284" t="s">
        <v>655</v>
      </c>
      <c r="M3284" t="s">
        <v>665</v>
      </c>
    </row>
    <row r="3285" spans="1:13">
      <c r="A3285" t="s">
        <v>851</v>
      </c>
      <c r="B3285" t="s">
        <v>687</v>
      </c>
      <c r="C3285" t="s">
        <v>687</v>
      </c>
      <c r="D3285" t="s">
        <v>3185</v>
      </c>
      <c r="E3285" t="s">
        <v>656</v>
      </c>
      <c r="F3285" t="s">
        <v>31</v>
      </c>
      <c r="G3285">
        <v>2045</v>
      </c>
      <c r="H3285" s="12">
        <v>28.94</v>
      </c>
      <c r="I3285" t="s">
        <v>3183</v>
      </c>
      <c r="J3285" t="s">
        <v>5</v>
      </c>
      <c r="K3285" t="s">
        <v>147</v>
      </c>
      <c r="L3285" t="s">
        <v>655</v>
      </c>
      <c r="M3285" t="s">
        <v>665</v>
      </c>
    </row>
    <row r="3286" spans="1:13">
      <c r="A3286" t="s">
        <v>851</v>
      </c>
      <c r="B3286" t="s">
        <v>687</v>
      </c>
      <c r="C3286" t="s">
        <v>687</v>
      </c>
      <c r="D3286" t="s">
        <v>3185</v>
      </c>
      <c r="E3286" t="s">
        <v>656</v>
      </c>
      <c r="F3286" t="s">
        <v>31</v>
      </c>
      <c r="G3286">
        <v>2050</v>
      </c>
      <c r="H3286" s="12">
        <v>28.38</v>
      </c>
      <c r="I3286" t="s">
        <v>3183</v>
      </c>
      <c r="J3286" t="s">
        <v>5</v>
      </c>
      <c r="K3286" t="s">
        <v>147</v>
      </c>
      <c r="L3286" t="s">
        <v>655</v>
      </c>
      <c r="M3286" t="s">
        <v>665</v>
      </c>
    </row>
    <row r="3287" spans="1:13">
      <c r="A3287" t="s">
        <v>851</v>
      </c>
      <c r="B3287" t="s">
        <v>686</v>
      </c>
      <c r="C3287" t="s">
        <v>686</v>
      </c>
      <c r="D3287" t="s">
        <v>3185</v>
      </c>
      <c r="E3287" t="s">
        <v>656</v>
      </c>
      <c r="F3287" t="s">
        <v>31</v>
      </c>
      <c r="G3287">
        <v>2010</v>
      </c>
      <c r="H3287" s="12">
        <v>122.3</v>
      </c>
      <c r="I3287" t="s">
        <v>3183</v>
      </c>
      <c r="J3287" t="s">
        <v>6</v>
      </c>
      <c r="K3287" t="s">
        <v>147</v>
      </c>
      <c r="L3287" t="s">
        <v>655</v>
      </c>
      <c r="M3287" t="s">
        <v>666</v>
      </c>
    </row>
    <row r="3288" spans="1:13">
      <c r="A3288" t="s">
        <v>851</v>
      </c>
      <c r="B3288" t="s">
        <v>686</v>
      </c>
      <c r="C3288" t="s">
        <v>686</v>
      </c>
      <c r="D3288" t="s">
        <v>3185</v>
      </c>
      <c r="E3288" t="s">
        <v>656</v>
      </c>
      <c r="F3288" t="s">
        <v>31</v>
      </c>
      <c r="G3288">
        <v>2015</v>
      </c>
      <c r="H3288" s="12">
        <v>144.09</v>
      </c>
      <c r="I3288" t="s">
        <v>3183</v>
      </c>
      <c r="J3288" t="s">
        <v>6</v>
      </c>
      <c r="K3288" t="s">
        <v>147</v>
      </c>
      <c r="L3288" t="s">
        <v>655</v>
      </c>
      <c r="M3288" t="s">
        <v>666</v>
      </c>
    </row>
    <row r="3289" spans="1:13">
      <c r="A3289" t="s">
        <v>851</v>
      </c>
      <c r="B3289" t="s">
        <v>686</v>
      </c>
      <c r="C3289" t="s">
        <v>686</v>
      </c>
      <c r="D3289" t="s">
        <v>3185</v>
      </c>
      <c r="E3289" t="s">
        <v>656</v>
      </c>
      <c r="F3289" t="s">
        <v>31</v>
      </c>
      <c r="G3289">
        <v>2020</v>
      </c>
      <c r="H3289" s="12">
        <v>157.52000000000001</v>
      </c>
      <c r="I3289" t="s">
        <v>3183</v>
      </c>
      <c r="J3289" t="s">
        <v>6</v>
      </c>
      <c r="K3289" t="s">
        <v>147</v>
      </c>
      <c r="L3289" t="s">
        <v>655</v>
      </c>
      <c r="M3289" t="s">
        <v>666</v>
      </c>
    </row>
    <row r="3290" spans="1:13">
      <c r="A3290" t="s">
        <v>851</v>
      </c>
      <c r="B3290" t="s">
        <v>686</v>
      </c>
      <c r="C3290" t="s">
        <v>686</v>
      </c>
      <c r="D3290" t="s">
        <v>3185</v>
      </c>
      <c r="E3290" t="s">
        <v>656</v>
      </c>
      <c r="F3290" t="s">
        <v>31</v>
      </c>
      <c r="G3290">
        <v>2030</v>
      </c>
      <c r="H3290" s="12">
        <v>157.38</v>
      </c>
      <c r="I3290" t="s">
        <v>3183</v>
      </c>
      <c r="J3290" t="s">
        <v>6</v>
      </c>
      <c r="K3290" t="s">
        <v>147</v>
      </c>
      <c r="L3290" t="s">
        <v>655</v>
      </c>
      <c r="M3290" t="s">
        <v>666</v>
      </c>
    </row>
    <row r="3291" spans="1:13">
      <c r="A3291" t="s">
        <v>851</v>
      </c>
      <c r="B3291" t="s">
        <v>686</v>
      </c>
      <c r="C3291" t="s">
        <v>686</v>
      </c>
      <c r="D3291" t="s">
        <v>3185</v>
      </c>
      <c r="E3291" t="s">
        <v>656</v>
      </c>
      <c r="F3291" t="s">
        <v>31</v>
      </c>
      <c r="G3291">
        <v>2035</v>
      </c>
      <c r="H3291" s="12">
        <v>170.65</v>
      </c>
      <c r="I3291" t="s">
        <v>3183</v>
      </c>
      <c r="J3291" t="s">
        <v>6</v>
      </c>
      <c r="K3291" t="s">
        <v>147</v>
      </c>
      <c r="L3291" t="s">
        <v>655</v>
      </c>
      <c r="M3291" t="s">
        <v>666</v>
      </c>
    </row>
    <row r="3292" spans="1:13">
      <c r="A3292" t="s">
        <v>851</v>
      </c>
      <c r="B3292" t="s">
        <v>686</v>
      </c>
      <c r="C3292" t="s">
        <v>686</v>
      </c>
      <c r="D3292" t="s">
        <v>3185</v>
      </c>
      <c r="E3292" t="s">
        <v>656</v>
      </c>
      <c r="F3292" t="s">
        <v>31</v>
      </c>
      <c r="G3292">
        <v>2040</v>
      </c>
      <c r="H3292" s="12">
        <v>186.79</v>
      </c>
      <c r="I3292" t="s">
        <v>3183</v>
      </c>
      <c r="J3292" t="s">
        <v>6</v>
      </c>
      <c r="K3292" t="s">
        <v>147</v>
      </c>
      <c r="L3292" t="s">
        <v>655</v>
      </c>
      <c r="M3292" t="s">
        <v>666</v>
      </c>
    </row>
    <row r="3293" spans="1:13">
      <c r="A3293" t="s">
        <v>851</v>
      </c>
      <c r="B3293" t="s">
        <v>686</v>
      </c>
      <c r="C3293" t="s">
        <v>686</v>
      </c>
      <c r="D3293" t="s">
        <v>3185</v>
      </c>
      <c r="E3293" t="s">
        <v>656</v>
      </c>
      <c r="F3293" t="s">
        <v>31</v>
      </c>
      <c r="G3293">
        <v>2045</v>
      </c>
      <c r="H3293" s="12">
        <v>198.6</v>
      </c>
      <c r="I3293" t="s">
        <v>3183</v>
      </c>
      <c r="J3293" t="s">
        <v>6</v>
      </c>
      <c r="K3293" t="s">
        <v>147</v>
      </c>
      <c r="L3293" t="s">
        <v>655</v>
      </c>
      <c r="M3293" t="s">
        <v>666</v>
      </c>
    </row>
    <row r="3294" spans="1:13">
      <c r="A3294" t="s">
        <v>851</v>
      </c>
      <c r="B3294" t="s">
        <v>686</v>
      </c>
      <c r="C3294" t="s">
        <v>686</v>
      </c>
      <c r="D3294" t="s">
        <v>3185</v>
      </c>
      <c r="E3294" t="s">
        <v>656</v>
      </c>
      <c r="F3294" t="s">
        <v>31</v>
      </c>
      <c r="G3294">
        <v>2050</v>
      </c>
      <c r="H3294" s="12">
        <v>206.39</v>
      </c>
      <c r="I3294" t="s">
        <v>3183</v>
      </c>
      <c r="J3294" t="s">
        <v>6</v>
      </c>
      <c r="K3294" t="s">
        <v>147</v>
      </c>
      <c r="L3294" t="s">
        <v>655</v>
      </c>
      <c r="M3294" t="s">
        <v>666</v>
      </c>
    </row>
    <row r="3295" spans="1:13">
      <c r="A3295" t="s">
        <v>851</v>
      </c>
      <c r="B3295" t="s">
        <v>687</v>
      </c>
      <c r="C3295" t="s">
        <v>687</v>
      </c>
      <c r="D3295" t="s">
        <v>3185</v>
      </c>
      <c r="E3295" t="s">
        <v>656</v>
      </c>
      <c r="F3295" t="s">
        <v>31</v>
      </c>
      <c r="G3295">
        <v>2030</v>
      </c>
      <c r="H3295" s="12">
        <v>161.22</v>
      </c>
      <c r="I3295" t="s">
        <v>3183</v>
      </c>
      <c r="J3295" t="s">
        <v>6</v>
      </c>
      <c r="K3295" t="s">
        <v>147</v>
      </c>
      <c r="L3295" t="s">
        <v>655</v>
      </c>
      <c r="M3295" t="s">
        <v>666</v>
      </c>
    </row>
    <row r="3296" spans="1:13">
      <c r="A3296" t="s">
        <v>851</v>
      </c>
      <c r="B3296" t="s">
        <v>687</v>
      </c>
      <c r="C3296" t="s">
        <v>687</v>
      </c>
      <c r="D3296" t="s">
        <v>3185</v>
      </c>
      <c r="E3296" t="s">
        <v>656</v>
      </c>
      <c r="F3296" t="s">
        <v>31</v>
      </c>
      <c r="G3296">
        <v>2035</v>
      </c>
      <c r="H3296" s="12">
        <v>174.3</v>
      </c>
      <c r="I3296" t="s">
        <v>3183</v>
      </c>
      <c r="J3296" t="s">
        <v>6</v>
      </c>
      <c r="K3296" t="s">
        <v>147</v>
      </c>
      <c r="L3296" t="s">
        <v>655</v>
      </c>
      <c r="M3296" t="s">
        <v>666</v>
      </c>
    </row>
    <row r="3297" spans="1:13">
      <c r="A3297" t="s">
        <v>851</v>
      </c>
      <c r="B3297" t="s">
        <v>687</v>
      </c>
      <c r="C3297" t="s">
        <v>687</v>
      </c>
      <c r="D3297" t="s">
        <v>3185</v>
      </c>
      <c r="E3297" t="s">
        <v>656</v>
      </c>
      <c r="F3297" t="s">
        <v>31</v>
      </c>
      <c r="G3297">
        <v>2040</v>
      </c>
      <c r="H3297" s="12">
        <v>184.69</v>
      </c>
      <c r="I3297" t="s">
        <v>3183</v>
      </c>
      <c r="J3297" t="s">
        <v>6</v>
      </c>
      <c r="K3297" t="s">
        <v>147</v>
      </c>
      <c r="L3297" t="s">
        <v>655</v>
      </c>
      <c r="M3297" t="s">
        <v>666</v>
      </c>
    </row>
    <row r="3298" spans="1:13">
      <c r="A3298" t="s">
        <v>851</v>
      </c>
      <c r="B3298" t="s">
        <v>687</v>
      </c>
      <c r="C3298" t="s">
        <v>687</v>
      </c>
      <c r="D3298" t="s">
        <v>3185</v>
      </c>
      <c r="E3298" t="s">
        <v>656</v>
      </c>
      <c r="F3298" t="s">
        <v>31</v>
      </c>
      <c r="G3298">
        <v>2045</v>
      </c>
      <c r="H3298" s="12">
        <v>190.35</v>
      </c>
      <c r="I3298" t="s">
        <v>3183</v>
      </c>
      <c r="J3298" t="s">
        <v>6</v>
      </c>
      <c r="K3298" t="s">
        <v>147</v>
      </c>
      <c r="L3298" t="s">
        <v>655</v>
      </c>
      <c r="M3298" t="s">
        <v>666</v>
      </c>
    </row>
    <row r="3299" spans="1:13">
      <c r="A3299" t="s">
        <v>851</v>
      </c>
      <c r="B3299" t="s">
        <v>687</v>
      </c>
      <c r="C3299" t="s">
        <v>687</v>
      </c>
      <c r="D3299" t="s">
        <v>3185</v>
      </c>
      <c r="E3299" t="s">
        <v>656</v>
      </c>
      <c r="F3299" t="s">
        <v>31</v>
      </c>
      <c r="G3299">
        <v>2050</v>
      </c>
      <c r="H3299" s="12">
        <v>191.5</v>
      </c>
      <c r="I3299" t="s">
        <v>3183</v>
      </c>
      <c r="J3299" t="s">
        <v>6</v>
      </c>
      <c r="K3299" t="s">
        <v>147</v>
      </c>
      <c r="L3299" t="s">
        <v>655</v>
      </c>
      <c r="M3299" t="s">
        <v>666</v>
      </c>
    </row>
    <row r="3300" spans="1:13">
      <c r="A3300" t="s">
        <v>851</v>
      </c>
      <c r="B3300" t="s">
        <v>686</v>
      </c>
      <c r="C3300" t="s">
        <v>686</v>
      </c>
      <c r="D3300" t="s">
        <v>3185</v>
      </c>
      <c r="E3300" t="s">
        <v>656</v>
      </c>
      <c r="F3300" t="s">
        <v>31</v>
      </c>
      <c r="G3300">
        <v>2010</v>
      </c>
      <c r="H3300" s="12">
        <v>8.83</v>
      </c>
      <c r="I3300" t="s">
        <v>3183</v>
      </c>
      <c r="J3300" t="s">
        <v>394</v>
      </c>
      <c r="K3300" t="s">
        <v>147</v>
      </c>
      <c r="L3300" t="s">
        <v>655</v>
      </c>
      <c r="M3300" t="s">
        <v>16</v>
      </c>
    </row>
    <row r="3301" spans="1:13">
      <c r="A3301" t="s">
        <v>851</v>
      </c>
      <c r="B3301" t="s">
        <v>686</v>
      </c>
      <c r="C3301" t="s">
        <v>686</v>
      </c>
      <c r="D3301" t="s">
        <v>3185</v>
      </c>
      <c r="E3301" t="s">
        <v>656</v>
      </c>
      <c r="F3301" t="s">
        <v>31</v>
      </c>
      <c r="G3301">
        <v>2015</v>
      </c>
      <c r="H3301" s="12">
        <v>9.01</v>
      </c>
      <c r="I3301" t="s">
        <v>3183</v>
      </c>
      <c r="J3301" t="s">
        <v>394</v>
      </c>
      <c r="K3301" t="s">
        <v>147</v>
      </c>
      <c r="L3301" t="s">
        <v>655</v>
      </c>
      <c r="M3301" t="s">
        <v>16</v>
      </c>
    </row>
    <row r="3302" spans="1:13">
      <c r="A3302" t="s">
        <v>851</v>
      </c>
      <c r="B3302" t="s">
        <v>686</v>
      </c>
      <c r="C3302" t="s">
        <v>686</v>
      </c>
      <c r="D3302" t="s">
        <v>3185</v>
      </c>
      <c r="E3302" t="s">
        <v>656</v>
      </c>
      <c r="F3302" t="s">
        <v>31</v>
      </c>
      <c r="G3302">
        <v>2020</v>
      </c>
      <c r="H3302" s="12">
        <v>9.02</v>
      </c>
      <c r="I3302" t="s">
        <v>3183</v>
      </c>
      <c r="J3302" t="s">
        <v>394</v>
      </c>
      <c r="K3302" t="s">
        <v>147</v>
      </c>
      <c r="L3302" t="s">
        <v>655</v>
      </c>
      <c r="M3302" t="s">
        <v>16</v>
      </c>
    </row>
    <row r="3303" spans="1:13">
      <c r="A3303" t="s">
        <v>851</v>
      </c>
      <c r="B3303" t="s">
        <v>686</v>
      </c>
      <c r="C3303" t="s">
        <v>686</v>
      </c>
      <c r="D3303" t="s">
        <v>3185</v>
      </c>
      <c r="E3303" t="s">
        <v>656</v>
      </c>
      <c r="F3303" t="s">
        <v>31</v>
      </c>
      <c r="G3303">
        <v>2030</v>
      </c>
      <c r="H3303" s="12">
        <v>2.86</v>
      </c>
      <c r="I3303" t="s">
        <v>3183</v>
      </c>
      <c r="J3303" t="s">
        <v>394</v>
      </c>
      <c r="K3303" t="s">
        <v>147</v>
      </c>
      <c r="L3303" t="s">
        <v>655</v>
      </c>
      <c r="M3303" t="s">
        <v>16</v>
      </c>
    </row>
    <row r="3304" spans="1:13">
      <c r="A3304" t="s">
        <v>851</v>
      </c>
      <c r="B3304" t="s">
        <v>686</v>
      </c>
      <c r="C3304" t="s">
        <v>686</v>
      </c>
      <c r="D3304" t="s">
        <v>3185</v>
      </c>
      <c r="E3304" t="s">
        <v>656</v>
      </c>
      <c r="F3304" t="s">
        <v>31</v>
      </c>
      <c r="G3304">
        <v>2035</v>
      </c>
      <c r="H3304" s="12">
        <v>1.67</v>
      </c>
      <c r="I3304" t="s">
        <v>3183</v>
      </c>
      <c r="J3304" t="s">
        <v>394</v>
      </c>
      <c r="K3304" t="s">
        <v>147</v>
      </c>
      <c r="L3304" t="s">
        <v>655</v>
      </c>
      <c r="M3304" t="s">
        <v>16</v>
      </c>
    </row>
    <row r="3305" spans="1:13">
      <c r="A3305" t="s">
        <v>851</v>
      </c>
      <c r="B3305" t="s">
        <v>686</v>
      </c>
      <c r="C3305" t="s">
        <v>686</v>
      </c>
      <c r="D3305" t="s">
        <v>3185</v>
      </c>
      <c r="E3305" t="s">
        <v>461</v>
      </c>
      <c r="F3305" t="s">
        <v>668</v>
      </c>
      <c r="G3305">
        <v>2010</v>
      </c>
      <c r="H3305" s="12">
        <v>235.48</v>
      </c>
      <c r="I3305" t="s">
        <v>3183</v>
      </c>
      <c r="J3305" t="s">
        <v>5</v>
      </c>
      <c r="K3305" t="s">
        <v>147</v>
      </c>
      <c r="L3305" t="s">
        <v>655</v>
      </c>
      <c r="M3305" t="s">
        <v>665</v>
      </c>
    </row>
    <row r="3306" spans="1:13">
      <c r="A3306" t="s">
        <v>851</v>
      </c>
      <c r="B3306" t="s">
        <v>686</v>
      </c>
      <c r="C3306" t="s">
        <v>686</v>
      </c>
      <c r="D3306" t="s">
        <v>3185</v>
      </c>
      <c r="E3306" t="s">
        <v>461</v>
      </c>
      <c r="F3306" t="s">
        <v>668</v>
      </c>
      <c r="G3306">
        <v>2015</v>
      </c>
      <c r="H3306" s="12">
        <v>225.85</v>
      </c>
      <c r="I3306" t="s">
        <v>3183</v>
      </c>
      <c r="J3306" t="s">
        <v>5</v>
      </c>
      <c r="K3306" t="s">
        <v>147</v>
      </c>
      <c r="L3306" t="s">
        <v>655</v>
      </c>
      <c r="M3306" t="s">
        <v>665</v>
      </c>
    </row>
    <row r="3307" spans="1:13">
      <c r="A3307" t="s">
        <v>851</v>
      </c>
      <c r="B3307" t="s">
        <v>686</v>
      </c>
      <c r="C3307" t="s">
        <v>686</v>
      </c>
      <c r="D3307" t="s">
        <v>3185</v>
      </c>
      <c r="E3307" t="s">
        <v>461</v>
      </c>
      <c r="F3307" t="s">
        <v>668</v>
      </c>
      <c r="G3307">
        <v>2020</v>
      </c>
      <c r="H3307" s="12">
        <v>256.23</v>
      </c>
      <c r="I3307" t="s">
        <v>3183</v>
      </c>
      <c r="J3307" t="s">
        <v>5</v>
      </c>
      <c r="K3307" t="s">
        <v>147</v>
      </c>
      <c r="L3307" t="s">
        <v>655</v>
      </c>
      <c r="M3307" t="s">
        <v>665</v>
      </c>
    </row>
    <row r="3308" spans="1:13">
      <c r="A3308" t="s">
        <v>851</v>
      </c>
      <c r="B3308" t="s">
        <v>686</v>
      </c>
      <c r="C3308" t="s">
        <v>686</v>
      </c>
      <c r="D3308" t="s">
        <v>3185</v>
      </c>
      <c r="E3308" t="s">
        <v>461</v>
      </c>
      <c r="F3308" t="s">
        <v>668</v>
      </c>
      <c r="G3308">
        <v>2030</v>
      </c>
      <c r="H3308" s="12">
        <v>203.11</v>
      </c>
      <c r="I3308" t="s">
        <v>3183</v>
      </c>
      <c r="J3308" t="s">
        <v>5</v>
      </c>
      <c r="K3308" t="s">
        <v>147</v>
      </c>
      <c r="L3308" t="s">
        <v>655</v>
      </c>
      <c r="M3308" t="s">
        <v>665</v>
      </c>
    </row>
    <row r="3309" spans="1:13">
      <c r="A3309" t="s">
        <v>851</v>
      </c>
      <c r="B3309" t="s">
        <v>686</v>
      </c>
      <c r="C3309" t="s">
        <v>686</v>
      </c>
      <c r="D3309" t="s">
        <v>3185</v>
      </c>
      <c r="E3309" t="s">
        <v>461</v>
      </c>
      <c r="F3309" t="s">
        <v>668</v>
      </c>
      <c r="G3309">
        <v>2035</v>
      </c>
      <c r="H3309" s="12">
        <v>195.23</v>
      </c>
      <c r="I3309" t="s">
        <v>3183</v>
      </c>
      <c r="J3309" t="s">
        <v>5</v>
      </c>
      <c r="K3309" t="s">
        <v>147</v>
      </c>
      <c r="L3309" t="s">
        <v>655</v>
      </c>
      <c r="M3309" t="s">
        <v>665</v>
      </c>
    </row>
    <row r="3310" spans="1:13">
      <c r="A3310" t="s">
        <v>851</v>
      </c>
      <c r="B3310" t="s">
        <v>686</v>
      </c>
      <c r="C3310" t="s">
        <v>686</v>
      </c>
      <c r="D3310" t="s">
        <v>3185</v>
      </c>
      <c r="E3310" t="s">
        <v>461</v>
      </c>
      <c r="F3310" t="s">
        <v>668</v>
      </c>
      <c r="G3310">
        <v>2040</v>
      </c>
      <c r="H3310" s="12">
        <v>184.79</v>
      </c>
      <c r="I3310" t="s">
        <v>3183</v>
      </c>
      <c r="J3310" t="s">
        <v>5</v>
      </c>
      <c r="K3310" t="s">
        <v>147</v>
      </c>
      <c r="L3310" t="s">
        <v>655</v>
      </c>
      <c r="M3310" t="s">
        <v>665</v>
      </c>
    </row>
    <row r="3311" spans="1:13">
      <c r="A3311" t="s">
        <v>851</v>
      </c>
      <c r="B3311" t="s">
        <v>686</v>
      </c>
      <c r="C3311" t="s">
        <v>686</v>
      </c>
      <c r="D3311" t="s">
        <v>3185</v>
      </c>
      <c r="E3311" t="s">
        <v>461</v>
      </c>
      <c r="F3311" t="s">
        <v>668</v>
      </c>
      <c r="G3311">
        <v>2045</v>
      </c>
      <c r="H3311" s="12">
        <v>191.25</v>
      </c>
      <c r="I3311" t="s">
        <v>3183</v>
      </c>
      <c r="J3311" t="s">
        <v>5</v>
      </c>
      <c r="K3311" t="s">
        <v>147</v>
      </c>
      <c r="L3311" t="s">
        <v>655</v>
      </c>
      <c r="M3311" t="s">
        <v>665</v>
      </c>
    </row>
    <row r="3312" spans="1:13">
      <c r="A3312" t="s">
        <v>851</v>
      </c>
      <c r="B3312" t="s">
        <v>686</v>
      </c>
      <c r="C3312" t="s">
        <v>686</v>
      </c>
      <c r="D3312" t="s">
        <v>3185</v>
      </c>
      <c r="E3312" t="s">
        <v>461</v>
      </c>
      <c r="F3312" t="s">
        <v>668</v>
      </c>
      <c r="G3312">
        <v>2050</v>
      </c>
      <c r="H3312" s="12">
        <v>201.5</v>
      </c>
      <c r="I3312" t="s">
        <v>3183</v>
      </c>
      <c r="J3312" t="s">
        <v>5</v>
      </c>
      <c r="K3312" t="s">
        <v>147</v>
      </c>
      <c r="L3312" t="s">
        <v>655</v>
      </c>
      <c r="M3312" t="s">
        <v>665</v>
      </c>
    </row>
    <row r="3313" spans="1:13">
      <c r="A3313" t="s">
        <v>851</v>
      </c>
      <c r="B3313" t="s">
        <v>687</v>
      </c>
      <c r="C3313" t="s">
        <v>687</v>
      </c>
      <c r="D3313" t="s">
        <v>3185</v>
      </c>
      <c r="E3313" t="s">
        <v>461</v>
      </c>
      <c r="F3313" t="s">
        <v>668</v>
      </c>
      <c r="G3313">
        <v>2030</v>
      </c>
      <c r="H3313" s="12">
        <v>192.71</v>
      </c>
      <c r="I3313" t="s">
        <v>3183</v>
      </c>
      <c r="J3313" t="s">
        <v>5</v>
      </c>
      <c r="K3313" t="s">
        <v>147</v>
      </c>
      <c r="L3313" t="s">
        <v>655</v>
      </c>
      <c r="M3313" t="s">
        <v>665</v>
      </c>
    </row>
    <row r="3314" spans="1:13">
      <c r="A3314" t="s">
        <v>851</v>
      </c>
      <c r="B3314" t="s">
        <v>687</v>
      </c>
      <c r="C3314" t="s">
        <v>687</v>
      </c>
      <c r="D3314" t="s">
        <v>3185</v>
      </c>
      <c r="E3314" t="s">
        <v>461</v>
      </c>
      <c r="F3314" t="s">
        <v>668</v>
      </c>
      <c r="G3314">
        <v>2035</v>
      </c>
      <c r="H3314" s="12">
        <v>169.48</v>
      </c>
      <c r="I3314" t="s">
        <v>3183</v>
      </c>
      <c r="J3314" t="s">
        <v>5</v>
      </c>
      <c r="K3314" t="s">
        <v>147</v>
      </c>
      <c r="L3314" t="s">
        <v>655</v>
      </c>
      <c r="M3314" t="s">
        <v>665</v>
      </c>
    </row>
    <row r="3315" spans="1:13">
      <c r="A3315" t="s">
        <v>851</v>
      </c>
      <c r="B3315" t="s">
        <v>687</v>
      </c>
      <c r="C3315" t="s">
        <v>687</v>
      </c>
      <c r="D3315" t="s">
        <v>3185</v>
      </c>
      <c r="E3315" t="s">
        <v>461</v>
      </c>
      <c r="F3315" t="s">
        <v>668</v>
      </c>
      <c r="G3315">
        <v>2040</v>
      </c>
      <c r="H3315" s="12">
        <v>147.74</v>
      </c>
      <c r="I3315" t="s">
        <v>3183</v>
      </c>
      <c r="J3315" t="s">
        <v>5</v>
      </c>
      <c r="K3315" t="s">
        <v>147</v>
      </c>
      <c r="L3315" t="s">
        <v>655</v>
      </c>
      <c r="M3315" t="s">
        <v>665</v>
      </c>
    </row>
    <row r="3316" spans="1:13">
      <c r="A3316" t="s">
        <v>851</v>
      </c>
      <c r="B3316" t="s">
        <v>687</v>
      </c>
      <c r="C3316" t="s">
        <v>687</v>
      </c>
      <c r="D3316" t="s">
        <v>3185</v>
      </c>
      <c r="E3316" t="s">
        <v>461</v>
      </c>
      <c r="F3316" t="s">
        <v>668</v>
      </c>
      <c r="G3316">
        <v>2045</v>
      </c>
      <c r="H3316" s="12">
        <v>137.24</v>
      </c>
      <c r="I3316" t="s">
        <v>3183</v>
      </c>
      <c r="J3316" t="s">
        <v>5</v>
      </c>
      <c r="K3316" t="s">
        <v>147</v>
      </c>
      <c r="L3316" t="s">
        <v>655</v>
      </c>
      <c r="M3316" t="s">
        <v>665</v>
      </c>
    </row>
    <row r="3317" spans="1:13">
      <c r="A3317" t="s">
        <v>851</v>
      </c>
      <c r="B3317" t="s">
        <v>687</v>
      </c>
      <c r="C3317" t="s">
        <v>687</v>
      </c>
      <c r="D3317" t="s">
        <v>3185</v>
      </c>
      <c r="E3317" t="s">
        <v>461</v>
      </c>
      <c r="F3317" t="s">
        <v>668</v>
      </c>
      <c r="G3317">
        <v>2050</v>
      </c>
      <c r="H3317" s="12">
        <v>136.63</v>
      </c>
      <c r="I3317" t="s">
        <v>3183</v>
      </c>
      <c r="J3317" t="s">
        <v>5</v>
      </c>
      <c r="K3317" t="s">
        <v>147</v>
      </c>
      <c r="L3317" t="s">
        <v>655</v>
      </c>
      <c r="M3317" t="s">
        <v>665</v>
      </c>
    </row>
    <row r="3318" spans="1:13">
      <c r="A3318" t="s">
        <v>851</v>
      </c>
      <c r="B3318" t="s">
        <v>686</v>
      </c>
      <c r="C3318" t="s">
        <v>686</v>
      </c>
      <c r="D3318" t="s">
        <v>3185</v>
      </c>
      <c r="E3318" t="s">
        <v>461</v>
      </c>
      <c r="F3318" t="s">
        <v>668</v>
      </c>
      <c r="G3318">
        <v>2010</v>
      </c>
      <c r="H3318" s="12">
        <v>603.04999999999995</v>
      </c>
      <c r="I3318" t="s">
        <v>3183</v>
      </c>
      <c r="J3318" t="s">
        <v>6</v>
      </c>
      <c r="K3318" t="s">
        <v>147</v>
      </c>
      <c r="L3318" t="s">
        <v>655</v>
      </c>
      <c r="M3318" t="s">
        <v>666</v>
      </c>
    </row>
    <row r="3319" spans="1:13">
      <c r="A3319" t="s">
        <v>851</v>
      </c>
      <c r="B3319" t="s">
        <v>686</v>
      </c>
      <c r="C3319" t="s">
        <v>686</v>
      </c>
      <c r="D3319" t="s">
        <v>3185</v>
      </c>
      <c r="E3319" t="s">
        <v>461</v>
      </c>
      <c r="F3319" t="s">
        <v>668</v>
      </c>
      <c r="G3319">
        <v>2015</v>
      </c>
      <c r="H3319" s="12">
        <v>645.02</v>
      </c>
      <c r="I3319" t="s">
        <v>3183</v>
      </c>
      <c r="J3319" t="s">
        <v>6</v>
      </c>
      <c r="K3319" t="s">
        <v>147</v>
      </c>
      <c r="L3319" t="s">
        <v>655</v>
      </c>
      <c r="M3319" t="s">
        <v>666</v>
      </c>
    </row>
    <row r="3320" spans="1:13">
      <c r="A3320" t="s">
        <v>851</v>
      </c>
      <c r="B3320" t="s">
        <v>686</v>
      </c>
      <c r="C3320" t="s">
        <v>686</v>
      </c>
      <c r="D3320" t="s">
        <v>3185</v>
      </c>
      <c r="E3320" t="s">
        <v>461</v>
      </c>
      <c r="F3320" t="s">
        <v>668</v>
      </c>
      <c r="G3320">
        <v>2020</v>
      </c>
      <c r="H3320" s="12">
        <v>604.48</v>
      </c>
      <c r="I3320" t="s">
        <v>3183</v>
      </c>
      <c r="J3320" t="s">
        <v>6</v>
      </c>
      <c r="K3320" t="s">
        <v>147</v>
      </c>
      <c r="L3320" t="s">
        <v>655</v>
      </c>
      <c r="M3320" t="s">
        <v>666</v>
      </c>
    </row>
    <row r="3321" spans="1:13">
      <c r="A3321" t="s">
        <v>851</v>
      </c>
      <c r="B3321" t="s">
        <v>686</v>
      </c>
      <c r="C3321" t="s">
        <v>686</v>
      </c>
      <c r="D3321" t="s">
        <v>3185</v>
      </c>
      <c r="E3321" t="s">
        <v>461</v>
      </c>
      <c r="F3321" t="s">
        <v>668</v>
      </c>
      <c r="G3321">
        <v>2030</v>
      </c>
      <c r="H3321" s="12">
        <v>762.41</v>
      </c>
      <c r="I3321" t="s">
        <v>3183</v>
      </c>
      <c r="J3321" t="s">
        <v>6</v>
      </c>
      <c r="K3321" t="s">
        <v>147</v>
      </c>
      <c r="L3321" t="s">
        <v>655</v>
      </c>
      <c r="M3321" t="s">
        <v>666</v>
      </c>
    </row>
    <row r="3322" spans="1:13">
      <c r="A3322" t="s">
        <v>851</v>
      </c>
      <c r="B3322" t="s">
        <v>686</v>
      </c>
      <c r="C3322" t="s">
        <v>686</v>
      </c>
      <c r="D3322" t="s">
        <v>3185</v>
      </c>
      <c r="E3322" t="s">
        <v>461</v>
      </c>
      <c r="F3322" t="s">
        <v>668</v>
      </c>
      <c r="G3322">
        <v>2035</v>
      </c>
      <c r="H3322" s="12">
        <v>792.79</v>
      </c>
      <c r="I3322" t="s">
        <v>3183</v>
      </c>
      <c r="J3322" t="s">
        <v>6</v>
      </c>
      <c r="K3322" t="s">
        <v>147</v>
      </c>
      <c r="L3322" t="s">
        <v>655</v>
      </c>
      <c r="M3322" t="s">
        <v>666</v>
      </c>
    </row>
    <row r="3323" spans="1:13">
      <c r="A3323" t="s">
        <v>851</v>
      </c>
      <c r="B3323" t="s">
        <v>686</v>
      </c>
      <c r="C3323" t="s">
        <v>686</v>
      </c>
      <c r="D3323" t="s">
        <v>3185</v>
      </c>
      <c r="E3323" t="s">
        <v>461</v>
      </c>
      <c r="F3323" t="s">
        <v>668</v>
      </c>
      <c r="G3323">
        <v>2040</v>
      </c>
      <c r="H3323" s="12">
        <v>841.85</v>
      </c>
      <c r="I3323" t="s">
        <v>3183</v>
      </c>
      <c r="J3323" t="s">
        <v>6</v>
      </c>
      <c r="K3323" t="s">
        <v>147</v>
      </c>
      <c r="L3323" t="s">
        <v>655</v>
      </c>
      <c r="M3323" t="s">
        <v>666</v>
      </c>
    </row>
    <row r="3324" spans="1:13">
      <c r="A3324" t="s">
        <v>851</v>
      </c>
      <c r="B3324" t="s">
        <v>686</v>
      </c>
      <c r="C3324" t="s">
        <v>686</v>
      </c>
      <c r="D3324" t="s">
        <v>3185</v>
      </c>
      <c r="E3324" t="s">
        <v>461</v>
      </c>
      <c r="F3324" t="s">
        <v>668</v>
      </c>
      <c r="G3324">
        <v>2045</v>
      </c>
      <c r="H3324" s="12">
        <v>878.97</v>
      </c>
      <c r="I3324" t="s">
        <v>3183</v>
      </c>
      <c r="J3324" t="s">
        <v>6</v>
      </c>
      <c r="K3324" t="s">
        <v>147</v>
      </c>
      <c r="L3324" t="s">
        <v>655</v>
      </c>
      <c r="M3324" t="s">
        <v>666</v>
      </c>
    </row>
    <row r="3325" spans="1:13">
      <c r="A3325" t="s">
        <v>851</v>
      </c>
      <c r="B3325" t="s">
        <v>686</v>
      </c>
      <c r="C3325" t="s">
        <v>686</v>
      </c>
      <c r="D3325" t="s">
        <v>3185</v>
      </c>
      <c r="E3325" t="s">
        <v>461</v>
      </c>
      <c r="F3325" t="s">
        <v>668</v>
      </c>
      <c r="G3325">
        <v>2050</v>
      </c>
      <c r="H3325" s="12">
        <v>897.08</v>
      </c>
      <c r="I3325" t="s">
        <v>3183</v>
      </c>
      <c r="J3325" t="s">
        <v>6</v>
      </c>
      <c r="K3325" t="s">
        <v>147</v>
      </c>
      <c r="L3325" t="s">
        <v>655</v>
      </c>
      <c r="M3325" t="s">
        <v>666</v>
      </c>
    </row>
    <row r="3326" spans="1:13">
      <c r="A3326" t="s">
        <v>851</v>
      </c>
      <c r="B3326" t="s">
        <v>687</v>
      </c>
      <c r="C3326" t="s">
        <v>687</v>
      </c>
      <c r="D3326" t="s">
        <v>3185</v>
      </c>
      <c r="E3326" t="s">
        <v>461</v>
      </c>
      <c r="F3326" t="s">
        <v>668</v>
      </c>
      <c r="G3326">
        <v>2030</v>
      </c>
      <c r="H3326" s="12">
        <v>711.14</v>
      </c>
      <c r="I3326" t="s">
        <v>3183</v>
      </c>
      <c r="J3326" t="s">
        <v>6</v>
      </c>
      <c r="K3326" t="s">
        <v>147</v>
      </c>
      <c r="L3326" t="s">
        <v>655</v>
      </c>
      <c r="M3326" t="s">
        <v>666</v>
      </c>
    </row>
    <row r="3327" spans="1:13">
      <c r="A3327" t="s">
        <v>851</v>
      </c>
      <c r="B3327" t="s">
        <v>687</v>
      </c>
      <c r="C3327" t="s">
        <v>687</v>
      </c>
      <c r="D3327" t="s">
        <v>3185</v>
      </c>
      <c r="E3327" t="s">
        <v>461</v>
      </c>
      <c r="F3327" t="s">
        <v>668</v>
      </c>
      <c r="G3327">
        <v>2035</v>
      </c>
      <c r="H3327" s="12">
        <v>719.17</v>
      </c>
      <c r="I3327" t="s">
        <v>3183</v>
      </c>
      <c r="J3327" t="s">
        <v>6</v>
      </c>
      <c r="K3327" t="s">
        <v>147</v>
      </c>
      <c r="L3327" t="s">
        <v>655</v>
      </c>
      <c r="M3327" t="s">
        <v>666</v>
      </c>
    </row>
    <row r="3328" spans="1:13">
      <c r="A3328" t="s">
        <v>851</v>
      </c>
      <c r="B3328" t="s">
        <v>687</v>
      </c>
      <c r="C3328" t="s">
        <v>687</v>
      </c>
      <c r="D3328" t="s">
        <v>3185</v>
      </c>
      <c r="E3328" t="s">
        <v>461</v>
      </c>
      <c r="F3328" t="s">
        <v>668</v>
      </c>
      <c r="G3328">
        <v>2040</v>
      </c>
      <c r="H3328" s="12">
        <v>727.25</v>
      </c>
      <c r="I3328" t="s">
        <v>3183</v>
      </c>
      <c r="J3328" t="s">
        <v>6</v>
      </c>
      <c r="K3328" t="s">
        <v>147</v>
      </c>
      <c r="L3328" t="s">
        <v>655</v>
      </c>
      <c r="M3328" t="s">
        <v>666</v>
      </c>
    </row>
    <row r="3329" spans="1:13">
      <c r="A3329" t="s">
        <v>851</v>
      </c>
      <c r="B3329" t="s">
        <v>687</v>
      </c>
      <c r="C3329" t="s">
        <v>687</v>
      </c>
      <c r="D3329" t="s">
        <v>3185</v>
      </c>
      <c r="E3329" t="s">
        <v>461</v>
      </c>
      <c r="F3329" t="s">
        <v>668</v>
      </c>
      <c r="G3329">
        <v>2045</v>
      </c>
      <c r="H3329" s="12">
        <v>725.44</v>
      </c>
      <c r="I3329" t="s">
        <v>3183</v>
      </c>
      <c r="J3329" t="s">
        <v>6</v>
      </c>
      <c r="K3329" t="s">
        <v>147</v>
      </c>
      <c r="L3329" t="s">
        <v>655</v>
      </c>
      <c r="M3329" t="s">
        <v>666</v>
      </c>
    </row>
    <row r="3330" spans="1:13">
      <c r="A3330" t="s">
        <v>851</v>
      </c>
      <c r="B3330" t="s">
        <v>687</v>
      </c>
      <c r="C3330" t="s">
        <v>687</v>
      </c>
      <c r="D3330" t="s">
        <v>3185</v>
      </c>
      <c r="E3330" t="s">
        <v>461</v>
      </c>
      <c r="F3330" t="s">
        <v>668</v>
      </c>
      <c r="G3330">
        <v>2050</v>
      </c>
      <c r="H3330" s="12">
        <v>696.56</v>
      </c>
      <c r="I3330" t="s">
        <v>3183</v>
      </c>
      <c r="J3330" t="s">
        <v>6</v>
      </c>
      <c r="K3330" t="s">
        <v>147</v>
      </c>
      <c r="L3330" t="s">
        <v>655</v>
      </c>
      <c r="M3330" t="s">
        <v>666</v>
      </c>
    </row>
    <row r="3331" spans="1:13">
      <c r="A3331" t="s">
        <v>851</v>
      </c>
      <c r="B3331" t="s">
        <v>686</v>
      </c>
      <c r="C3331" t="s">
        <v>686</v>
      </c>
      <c r="D3331" t="s">
        <v>3185</v>
      </c>
      <c r="E3331" t="s">
        <v>461</v>
      </c>
      <c r="F3331" t="s">
        <v>668</v>
      </c>
      <c r="G3331">
        <v>2010</v>
      </c>
      <c r="H3331" s="12">
        <v>10.96</v>
      </c>
      <c r="I3331" t="s">
        <v>3183</v>
      </c>
      <c r="J3331" t="s">
        <v>394</v>
      </c>
      <c r="K3331" t="s">
        <v>147</v>
      </c>
      <c r="L3331" t="s">
        <v>655</v>
      </c>
      <c r="M3331" t="s">
        <v>16</v>
      </c>
    </row>
    <row r="3332" spans="1:13">
      <c r="A3332" t="s">
        <v>851</v>
      </c>
      <c r="B3332" t="s">
        <v>686</v>
      </c>
      <c r="C3332" t="s">
        <v>686</v>
      </c>
      <c r="D3332" t="s">
        <v>3185</v>
      </c>
      <c r="E3332" t="s">
        <v>461</v>
      </c>
      <c r="F3332" t="s">
        <v>668</v>
      </c>
      <c r="G3332">
        <v>2015</v>
      </c>
      <c r="H3332" s="12">
        <v>13.13</v>
      </c>
      <c r="I3332" t="s">
        <v>3183</v>
      </c>
      <c r="J3332" t="s">
        <v>394</v>
      </c>
      <c r="K3332" t="s">
        <v>147</v>
      </c>
      <c r="L3332" t="s">
        <v>655</v>
      </c>
      <c r="M3332" t="s">
        <v>16</v>
      </c>
    </row>
    <row r="3333" spans="1:13">
      <c r="A3333" t="s">
        <v>851</v>
      </c>
      <c r="B3333" t="s">
        <v>686</v>
      </c>
      <c r="C3333" t="s">
        <v>686</v>
      </c>
      <c r="D3333" t="s">
        <v>3185</v>
      </c>
      <c r="E3333" t="s">
        <v>461</v>
      </c>
      <c r="F3333" t="s">
        <v>668</v>
      </c>
      <c r="G3333">
        <v>2020</v>
      </c>
      <c r="H3333" s="12">
        <v>8.1300000000000008</v>
      </c>
      <c r="I3333" t="s">
        <v>3183</v>
      </c>
      <c r="J3333" t="s">
        <v>394</v>
      </c>
      <c r="K3333" t="s">
        <v>147</v>
      </c>
      <c r="L3333" t="s">
        <v>655</v>
      </c>
      <c r="M3333" t="s">
        <v>16</v>
      </c>
    </row>
    <row r="3334" spans="1:13">
      <c r="A3334" t="s">
        <v>851</v>
      </c>
      <c r="B3334" t="s">
        <v>686</v>
      </c>
      <c r="C3334" t="s">
        <v>686</v>
      </c>
      <c r="D3334" t="s">
        <v>3185</v>
      </c>
      <c r="E3334" t="s">
        <v>461</v>
      </c>
      <c r="F3334" t="s">
        <v>668</v>
      </c>
      <c r="G3334">
        <v>2030</v>
      </c>
      <c r="H3334" s="12">
        <v>1.71</v>
      </c>
      <c r="I3334" t="s">
        <v>3183</v>
      </c>
      <c r="J3334" t="s">
        <v>394</v>
      </c>
      <c r="K3334" t="s">
        <v>147</v>
      </c>
      <c r="L3334" t="s">
        <v>655</v>
      </c>
      <c r="M3334" t="s">
        <v>16</v>
      </c>
    </row>
    <row r="3335" spans="1:13">
      <c r="A3335" t="s">
        <v>851</v>
      </c>
      <c r="B3335" t="s">
        <v>686</v>
      </c>
      <c r="C3335" t="s">
        <v>686</v>
      </c>
      <c r="D3335" t="s">
        <v>3185</v>
      </c>
      <c r="E3335" t="s">
        <v>461</v>
      </c>
      <c r="F3335" t="s">
        <v>668</v>
      </c>
      <c r="G3335">
        <v>2035</v>
      </c>
      <c r="H3335" s="12">
        <v>0.97</v>
      </c>
      <c r="I3335" t="s">
        <v>3183</v>
      </c>
      <c r="J3335" t="s">
        <v>394</v>
      </c>
      <c r="K3335" t="s">
        <v>147</v>
      </c>
      <c r="L3335" t="s">
        <v>655</v>
      </c>
      <c r="M3335" t="s">
        <v>16</v>
      </c>
    </row>
    <row r="3336" spans="1:13">
      <c r="A3336" t="s">
        <v>851</v>
      </c>
      <c r="B3336" t="s">
        <v>686</v>
      </c>
      <c r="C3336" t="s">
        <v>686</v>
      </c>
      <c r="D3336" t="s">
        <v>3185</v>
      </c>
      <c r="E3336" t="s">
        <v>656</v>
      </c>
      <c r="F3336" t="s">
        <v>31</v>
      </c>
      <c r="G3336">
        <v>2010</v>
      </c>
      <c r="H3336" s="12">
        <v>0</v>
      </c>
      <c r="I3336" t="s">
        <v>3183</v>
      </c>
      <c r="J3336" t="s">
        <v>17</v>
      </c>
      <c r="K3336" t="s">
        <v>147</v>
      </c>
      <c r="L3336" t="s">
        <v>655</v>
      </c>
      <c r="M3336" t="s">
        <v>671</v>
      </c>
    </row>
    <row r="3337" spans="1:13">
      <c r="A3337" t="s">
        <v>851</v>
      </c>
      <c r="B3337" t="s">
        <v>686</v>
      </c>
      <c r="C3337" t="s">
        <v>686</v>
      </c>
      <c r="D3337" t="s">
        <v>3185</v>
      </c>
      <c r="E3337" t="s">
        <v>656</v>
      </c>
      <c r="F3337" t="s">
        <v>31</v>
      </c>
      <c r="G3337">
        <v>2015</v>
      </c>
      <c r="H3337" s="12">
        <v>0.21</v>
      </c>
      <c r="I3337" t="s">
        <v>3183</v>
      </c>
      <c r="J3337" t="s">
        <v>17</v>
      </c>
      <c r="K3337" t="s">
        <v>147</v>
      </c>
      <c r="L3337" t="s">
        <v>655</v>
      </c>
      <c r="M3337" t="s">
        <v>671</v>
      </c>
    </row>
    <row r="3338" spans="1:13">
      <c r="A3338" t="s">
        <v>851</v>
      </c>
      <c r="B3338" t="s">
        <v>686</v>
      </c>
      <c r="C3338" t="s">
        <v>686</v>
      </c>
      <c r="D3338" t="s">
        <v>3185</v>
      </c>
      <c r="E3338" t="s">
        <v>656</v>
      </c>
      <c r="F3338" t="s">
        <v>31</v>
      </c>
      <c r="G3338">
        <v>2020</v>
      </c>
      <c r="H3338" s="12">
        <v>3.28</v>
      </c>
      <c r="I3338" t="s">
        <v>3183</v>
      </c>
      <c r="J3338" t="s">
        <v>17</v>
      </c>
      <c r="K3338" t="s">
        <v>147</v>
      </c>
      <c r="L3338" t="s">
        <v>655</v>
      </c>
      <c r="M3338" t="s">
        <v>671</v>
      </c>
    </row>
    <row r="3339" spans="1:13">
      <c r="A3339" t="s">
        <v>851</v>
      </c>
      <c r="B3339" t="s">
        <v>686</v>
      </c>
      <c r="C3339" t="s">
        <v>686</v>
      </c>
      <c r="D3339" t="s">
        <v>3185</v>
      </c>
      <c r="E3339" t="s">
        <v>656</v>
      </c>
      <c r="F3339" t="s">
        <v>31</v>
      </c>
      <c r="G3339">
        <v>2030</v>
      </c>
      <c r="H3339" s="12">
        <v>12.55</v>
      </c>
      <c r="I3339" t="s">
        <v>3183</v>
      </c>
      <c r="J3339" t="s">
        <v>17</v>
      </c>
      <c r="K3339" t="s">
        <v>147</v>
      </c>
      <c r="L3339" t="s">
        <v>655</v>
      </c>
      <c r="M3339" t="s">
        <v>671</v>
      </c>
    </row>
    <row r="3340" spans="1:13">
      <c r="A3340" t="s">
        <v>851</v>
      </c>
      <c r="B3340" t="s">
        <v>686</v>
      </c>
      <c r="C3340" t="s">
        <v>686</v>
      </c>
      <c r="D3340" t="s">
        <v>3185</v>
      </c>
      <c r="E3340" t="s">
        <v>656</v>
      </c>
      <c r="F3340" t="s">
        <v>31</v>
      </c>
      <c r="G3340">
        <v>2035</v>
      </c>
      <c r="H3340" s="12">
        <v>15.97</v>
      </c>
      <c r="I3340" t="s">
        <v>3183</v>
      </c>
      <c r="J3340" t="s">
        <v>17</v>
      </c>
      <c r="K3340" t="s">
        <v>147</v>
      </c>
      <c r="L3340" t="s">
        <v>655</v>
      </c>
      <c r="M3340" t="s">
        <v>671</v>
      </c>
    </row>
    <row r="3341" spans="1:13">
      <c r="A3341" t="s">
        <v>851</v>
      </c>
      <c r="B3341" t="s">
        <v>686</v>
      </c>
      <c r="C3341" t="s">
        <v>686</v>
      </c>
      <c r="D3341" t="s">
        <v>3185</v>
      </c>
      <c r="E3341" t="s">
        <v>656</v>
      </c>
      <c r="F3341" t="s">
        <v>31</v>
      </c>
      <c r="G3341">
        <v>2040</v>
      </c>
      <c r="H3341" s="12">
        <v>19.66</v>
      </c>
      <c r="I3341" t="s">
        <v>3183</v>
      </c>
      <c r="J3341" t="s">
        <v>17</v>
      </c>
      <c r="K3341" t="s">
        <v>147</v>
      </c>
      <c r="L3341" t="s">
        <v>655</v>
      </c>
      <c r="M3341" t="s">
        <v>671</v>
      </c>
    </row>
    <row r="3342" spans="1:13">
      <c r="A3342" t="s">
        <v>851</v>
      </c>
      <c r="B3342" t="s">
        <v>686</v>
      </c>
      <c r="C3342" t="s">
        <v>686</v>
      </c>
      <c r="D3342" t="s">
        <v>3185</v>
      </c>
      <c r="E3342" t="s">
        <v>656</v>
      </c>
      <c r="F3342" t="s">
        <v>31</v>
      </c>
      <c r="G3342">
        <v>2045</v>
      </c>
      <c r="H3342" s="12">
        <v>23.1</v>
      </c>
      <c r="I3342" t="s">
        <v>3183</v>
      </c>
      <c r="J3342" t="s">
        <v>17</v>
      </c>
      <c r="K3342" t="s">
        <v>147</v>
      </c>
      <c r="L3342" t="s">
        <v>655</v>
      </c>
      <c r="M3342" t="s">
        <v>671</v>
      </c>
    </row>
    <row r="3343" spans="1:13">
      <c r="A3343" t="s">
        <v>851</v>
      </c>
      <c r="B3343" t="s">
        <v>686</v>
      </c>
      <c r="C3343" t="s">
        <v>686</v>
      </c>
      <c r="D3343" t="s">
        <v>3185</v>
      </c>
      <c r="E3343" t="s">
        <v>656</v>
      </c>
      <c r="F3343" t="s">
        <v>31</v>
      </c>
      <c r="G3343">
        <v>2050</v>
      </c>
      <c r="H3343" s="12">
        <v>26.64</v>
      </c>
      <c r="I3343" t="s">
        <v>3183</v>
      </c>
      <c r="J3343" t="s">
        <v>17</v>
      </c>
      <c r="K3343" t="s">
        <v>147</v>
      </c>
      <c r="L3343" t="s">
        <v>655</v>
      </c>
      <c r="M3343" t="s">
        <v>671</v>
      </c>
    </row>
    <row r="3344" spans="1:13">
      <c r="A3344" t="s">
        <v>851</v>
      </c>
      <c r="B3344" t="s">
        <v>687</v>
      </c>
      <c r="C3344" t="s">
        <v>687</v>
      </c>
      <c r="D3344" t="s">
        <v>3185</v>
      </c>
      <c r="E3344" t="s">
        <v>656</v>
      </c>
      <c r="F3344" t="s">
        <v>31</v>
      </c>
      <c r="G3344">
        <v>2030</v>
      </c>
      <c r="H3344" s="12">
        <v>14.6</v>
      </c>
      <c r="I3344" t="s">
        <v>3183</v>
      </c>
      <c r="J3344" t="s">
        <v>17</v>
      </c>
      <c r="K3344" t="s">
        <v>147</v>
      </c>
      <c r="L3344" t="s">
        <v>655</v>
      </c>
      <c r="M3344" t="s">
        <v>671</v>
      </c>
    </row>
    <row r="3345" spans="1:13">
      <c r="A3345" t="s">
        <v>851</v>
      </c>
      <c r="B3345" t="s">
        <v>687</v>
      </c>
      <c r="C3345" t="s">
        <v>687</v>
      </c>
      <c r="D3345" t="s">
        <v>3185</v>
      </c>
      <c r="E3345" t="s">
        <v>656</v>
      </c>
      <c r="F3345" t="s">
        <v>31</v>
      </c>
      <c r="G3345">
        <v>2035</v>
      </c>
      <c r="H3345" s="12">
        <v>19.64</v>
      </c>
      <c r="I3345" t="s">
        <v>3183</v>
      </c>
      <c r="J3345" t="s">
        <v>17</v>
      </c>
      <c r="K3345" t="s">
        <v>147</v>
      </c>
      <c r="L3345" t="s">
        <v>655</v>
      </c>
      <c r="M3345" t="s">
        <v>671</v>
      </c>
    </row>
    <row r="3346" spans="1:13">
      <c r="A3346" t="s">
        <v>851</v>
      </c>
      <c r="B3346" t="s">
        <v>687</v>
      </c>
      <c r="C3346" t="s">
        <v>687</v>
      </c>
      <c r="D3346" t="s">
        <v>3185</v>
      </c>
      <c r="E3346" t="s">
        <v>656</v>
      </c>
      <c r="F3346" t="s">
        <v>31</v>
      </c>
      <c r="G3346">
        <v>2040</v>
      </c>
      <c r="H3346" s="12">
        <v>25.24</v>
      </c>
      <c r="I3346" t="s">
        <v>3183</v>
      </c>
      <c r="J3346" t="s">
        <v>17</v>
      </c>
      <c r="K3346" t="s">
        <v>147</v>
      </c>
      <c r="L3346" t="s">
        <v>655</v>
      </c>
      <c r="M3346" t="s">
        <v>671</v>
      </c>
    </row>
    <row r="3347" spans="1:13">
      <c r="A3347" t="s">
        <v>851</v>
      </c>
      <c r="B3347" t="s">
        <v>687</v>
      </c>
      <c r="C3347" t="s">
        <v>687</v>
      </c>
      <c r="D3347" t="s">
        <v>3185</v>
      </c>
      <c r="E3347" t="s">
        <v>656</v>
      </c>
      <c r="F3347" t="s">
        <v>31</v>
      </c>
      <c r="G3347">
        <v>2045</v>
      </c>
      <c r="H3347" s="12">
        <v>30.43</v>
      </c>
      <c r="I3347" t="s">
        <v>3183</v>
      </c>
      <c r="J3347" t="s">
        <v>17</v>
      </c>
      <c r="K3347" t="s">
        <v>147</v>
      </c>
      <c r="L3347" t="s">
        <v>655</v>
      </c>
      <c r="M3347" t="s">
        <v>671</v>
      </c>
    </row>
    <row r="3348" spans="1:13">
      <c r="A3348" t="s">
        <v>851</v>
      </c>
      <c r="B3348" t="s">
        <v>687</v>
      </c>
      <c r="C3348" t="s">
        <v>687</v>
      </c>
      <c r="D3348" t="s">
        <v>3185</v>
      </c>
      <c r="E3348" t="s">
        <v>656</v>
      </c>
      <c r="F3348" t="s">
        <v>31</v>
      </c>
      <c r="G3348">
        <v>2050</v>
      </c>
      <c r="H3348" s="12">
        <v>36.65</v>
      </c>
      <c r="I3348" t="s">
        <v>3183</v>
      </c>
      <c r="J3348" t="s">
        <v>17</v>
      </c>
      <c r="K3348" t="s">
        <v>147</v>
      </c>
      <c r="L3348" t="s">
        <v>655</v>
      </c>
      <c r="M3348" t="s">
        <v>671</v>
      </c>
    </row>
    <row r="3349" spans="1:13">
      <c r="A3349" t="s">
        <v>851</v>
      </c>
      <c r="B3349" t="s">
        <v>686</v>
      </c>
      <c r="C3349" t="s">
        <v>686</v>
      </c>
      <c r="D3349" t="s">
        <v>3185</v>
      </c>
      <c r="E3349" t="s">
        <v>656</v>
      </c>
      <c r="F3349" t="s">
        <v>31</v>
      </c>
      <c r="G3349">
        <v>2010</v>
      </c>
      <c r="H3349" s="12">
        <v>0.02</v>
      </c>
      <c r="I3349" t="s">
        <v>3183</v>
      </c>
      <c r="J3349" t="s">
        <v>18</v>
      </c>
      <c r="K3349" t="s">
        <v>147</v>
      </c>
      <c r="L3349" t="s">
        <v>655</v>
      </c>
      <c r="M3349" t="s">
        <v>18</v>
      </c>
    </row>
    <row r="3350" spans="1:13">
      <c r="A3350" t="s">
        <v>851</v>
      </c>
      <c r="B3350" t="s">
        <v>686</v>
      </c>
      <c r="C3350" t="s">
        <v>686</v>
      </c>
      <c r="D3350" t="s">
        <v>3185</v>
      </c>
      <c r="E3350" t="s">
        <v>656</v>
      </c>
      <c r="F3350" t="s">
        <v>31</v>
      </c>
      <c r="G3350">
        <v>2015</v>
      </c>
      <c r="H3350" s="12">
        <v>0.18</v>
      </c>
      <c r="I3350" t="s">
        <v>3183</v>
      </c>
      <c r="J3350" t="s">
        <v>18</v>
      </c>
      <c r="K3350" t="s">
        <v>147</v>
      </c>
      <c r="L3350" t="s">
        <v>655</v>
      </c>
      <c r="M3350" t="s">
        <v>18</v>
      </c>
    </row>
    <row r="3351" spans="1:13">
      <c r="A3351" t="s">
        <v>851</v>
      </c>
      <c r="B3351" t="s">
        <v>686</v>
      </c>
      <c r="C3351" t="s">
        <v>686</v>
      </c>
      <c r="D3351" t="s">
        <v>3185</v>
      </c>
      <c r="E3351" t="s">
        <v>656</v>
      </c>
      <c r="F3351" t="s">
        <v>31</v>
      </c>
      <c r="G3351">
        <v>2020</v>
      </c>
      <c r="H3351" s="12">
        <v>1.45</v>
      </c>
      <c r="I3351" t="s">
        <v>3183</v>
      </c>
      <c r="J3351" t="s">
        <v>18</v>
      </c>
      <c r="K3351" t="s">
        <v>147</v>
      </c>
      <c r="L3351" t="s">
        <v>655</v>
      </c>
      <c r="M3351" t="s">
        <v>18</v>
      </c>
    </row>
    <row r="3352" spans="1:13">
      <c r="A3352" t="s">
        <v>851</v>
      </c>
      <c r="B3352" t="s">
        <v>686</v>
      </c>
      <c r="C3352" t="s">
        <v>686</v>
      </c>
      <c r="D3352" t="s">
        <v>3185</v>
      </c>
      <c r="E3352" t="s">
        <v>656</v>
      </c>
      <c r="F3352" t="s">
        <v>31</v>
      </c>
      <c r="G3352">
        <v>2030</v>
      </c>
      <c r="H3352" s="12">
        <v>10.97</v>
      </c>
      <c r="I3352" t="s">
        <v>3183</v>
      </c>
      <c r="J3352" t="s">
        <v>18</v>
      </c>
      <c r="K3352" t="s">
        <v>147</v>
      </c>
      <c r="L3352" t="s">
        <v>655</v>
      </c>
      <c r="M3352" t="s">
        <v>18</v>
      </c>
    </row>
    <row r="3353" spans="1:13">
      <c r="A3353" t="s">
        <v>851</v>
      </c>
      <c r="B3353" t="s">
        <v>686</v>
      </c>
      <c r="C3353" t="s">
        <v>686</v>
      </c>
      <c r="D3353" t="s">
        <v>3185</v>
      </c>
      <c r="E3353" t="s">
        <v>656</v>
      </c>
      <c r="F3353" t="s">
        <v>31</v>
      </c>
      <c r="G3353">
        <v>2035</v>
      </c>
      <c r="H3353" s="12">
        <v>15.63</v>
      </c>
      <c r="I3353" t="s">
        <v>3183</v>
      </c>
      <c r="J3353" t="s">
        <v>18</v>
      </c>
      <c r="K3353" t="s">
        <v>147</v>
      </c>
      <c r="L3353" t="s">
        <v>655</v>
      </c>
      <c r="M3353" t="s">
        <v>18</v>
      </c>
    </row>
    <row r="3354" spans="1:13">
      <c r="A3354" t="s">
        <v>851</v>
      </c>
      <c r="B3354" t="s">
        <v>686</v>
      </c>
      <c r="C3354" t="s">
        <v>686</v>
      </c>
      <c r="D3354" t="s">
        <v>3185</v>
      </c>
      <c r="E3354" t="s">
        <v>656</v>
      </c>
      <c r="F3354" t="s">
        <v>31</v>
      </c>
      <c r="G3354">
        <v>2040</v>
      </c>
      <c r="H3354" s="12">
        <v>20.96</v>
      </c>
      <c r="I3354" t="s">
        <v>3183</v>
      </c>
      <c r="J3354" t="s">
        <v>18</v>
      </c>
      <c r="K3354" t="s">
        <v>147</v>
      </c>
      <c r="L3354" t="s">
        <v>655</v>
      </c>
      <c r="M3354" t="s">
        <v>18</v>
      </c>
    </row>
    <row r="3355" spans="1:13">
      <c r="A3355" t="s">
        <v>851</v>
      </c>
      <c r="B3355" t="s">
        <v>686</v>
      </c>
      <c r="C3355" t="s">
        <v>686</v>
      </c>
      <c r="D3355" t="s">
        <v>3185</v>
      </c>
      <c r="E3355" t="s">
        <v>656</v>
      </c>
      <c r="F3355" t="s">
        <v>31</v>
      </c>
      <c r="G3355">
        <v>2045</v>
      </c>
      <c r="H3355" s="12">
        <v>27.12</v>
      </c>
      <c r="I3355" t="s">
        <v>3183</v>
      </c>
      <c r="J3355" t="s">
        <v>18</v>
      </c>
      <c r="K3355" t="s">
        <v>147</v>
      </c>
      <c r="L3355" t="s">
        <v>655</v>
      </c>
      <c r="M3355" t="s">
        <v>18</v>
      </c>
    </row>
    <row r="3356" spans="1:13">
      <c r="A3356" t="s">
        <v>851</v>
      </c>
      <c r="B3356" t="s">
        <v>686</v>
      </c>
      <c r="C3356" t="s">
        <v>686</v>
      </c>
      <c r="D3356" t="s">
        <v>3185</v>
      </c>
      <c r="E3356" t="s">
        <v>656</v>
      </c>
      <c r="F3356" t="s">
        <v>31</v>
      </c>
      <c r="G3356">
        <v>2050</v>
      </c>
      <c r="H3356" s="12">
        <v>33.159999999999997</v>
      </c>
      <c r="I3356" t="s">
        <v>3183</v>
      </c>
      <c r="J3356" t="s">
        <v>18</v>
      </c>
      <c r="K3356" t="s">
        <v>147</v>
      </c>
      <c r="L3356" t="s">
        <v>655</v>
      </c>
      <c r="M3356" t="s">
        <v>18</v>
      </c>
    </row>
    <row r="3357" spans="1:13">
      <c r="A3357" t="s">
        <v>851</v>
      </c>
      <c r="B3357" t="s">
        <v>687</v>
      </c>
      <c r="C3357" t="s">
        <v>687</v>
      </c>
      <c r="D3357" t="s">
        <v>3185</v>
      </c>
      <c r="E3357" t="s">
        <v>656</v>
      </c>
      <c r="F3357" t="s">
        <v>31</v>
      </c>
      <c r="G3357">
        <v>2030</v>
      </c>
      <c r="H3357" s="12">
        <v>23.01</v>
      </c>
      <c r="I3357" t="s">
        <v>3183</v>
      </c>
      <c r="J3357" t="s">
        <v>18</v>
      </c>
      <c r="K3357" t="s">
        <v>147</v>
      </c>
      <c r="L3357" t="s">
        <v>655</v>
      </c>
      <c r="M3357" t="s">
        <v>18</v>
      </c>
    </row>
    <row r="3358" spans="1:13">
      <c r="A3358" t="s">
        <v>851</v>
      </c>
      <c r="B3358" t="s">
        <v>687</v>
      </c>
      <c r="C3358" t="s">
        <v>687</v>
      </c>
      <c r="D3358" t="s">
        <v>3185</v>
      </c>
      <c r="E3358" t="s">
        <v>656</v>
      </c>
      <c r="F3358" t="s">
        <v>31</v>
      </c>
      <c r="G3358">
        <v>2035</v>
      </c>
      <c r="H3358" s="12">
        <v>37.14</v>
      </c>
      <c r="I3358" t="s">
        <v>3183</v>
      </c>
      <c r="J3358" t="s">
        <v>18</v>
      </c>
      <c r="K3358" t="s">
        <v>147</v>
      </c>
      <c r="L3358" t="s">
        <v>655</v>
      </c>
      <c r="M3358" t="s">
        <v>18</v>
      </c>
    </row>
    <row r="3359" spans="1:13">
      <c r="A3359" t="s">
        <v>851</v>
      </c>
      <c r="B3359" t="s">
        <v>687</v>
      </c>
      <c r="C3359" t="s">
        <v>687</v>
      </c>
      <c r="D3359" t="s">
        <v>3185</v>
      </c>
      <c r="E3359" t="s">
        <v>656</v>
      </c>
      <c r="F3359" t="s">
        <v>31</v>
      </c>
      <c r="G3359">
        <v>2040</v>
      </c>
      <c r="H3359" s="12">
        <v>51.68</v>
      </c>
      <c r="I3359" t="s">
        <v>3183</v>
      </c>
      <c r="J3359" t="s">
        <v>18</v>
      </c>
      <c r="K3359" t="s">
        <v>147</v>
      </c>
      <c r="L3359" t="s">
        <v>655</v>
      </c>
      <c r="M3359" t="s">
        <v>18</v>
      </c>
    </row>
    <row r="3360" spans="1:13">
      <c r="A3360" t="s">
        <v>851</v>
      </c>
      <c r="B3360" t="s">
        <v>686</v>
      </c>
      <c r="C3360" t="s">
        <v>686</v>
      </c>
      <c r="D3360" t="s">
        <v>3185</v>
      </c>
      <c r="E3360" t="s">
        <v>656</v>
      </c>
      <c r="F3360" t="s">
        <v>31</v>
      </c>
      <c r="G3360">
        <v>2045</v>
      </c>
      <c r="H3360" s="12">
        <v>0</v>
      </c>
      <c r="I3360" t="s">
        <v>3183</v>
      </c>
      <c r="J3360" t="s">
        <v>8</v>
      </c>
      <c r="K3360" t="s">
        <v>147</v>
      </c>
      <c r="L3360" t="s">
        <v>655</v>
      </c>
      <c r="M3360" t="s">
        <v>670</v>
      </c>
    </row>
    <row r="3361" spans="1:13">
      <c r="A3361" t="s">
        <v>851</v>
      </c>
      <c r="B3361" t="s">
        <v>686</v>
      </c>
      <c r="C3361" t="s">
        <v>686</v>
      </c>
      <c r="D3361" t="s">
        <v>3185</v>
      </c>
      <c r="E3361" t="s">
        <v>656</v>
      </c>
      <c r="F3361" t="s">
        <v>31</v>
      </c>
      <c r="G3361">
        <v>2050</v>
      </c>
      <c r="H3361" s="12">
        <v>0</v>
      </c>
      <c r="I3361" t="s">
        <v>3183</v>
      </c>
      <c r="J3361" t="s">
        <v>8</v>
      </c>
      <c r="K3361" t="s">
        <v>147</v>
      </c>
      <c r="L3361" t="s">
        <v>655</v>
      </c>
      <c r="M3361" t="s">
        <v>670</v>
      </c>
    </row>
    <row r="3362" spans="1:13">
      <c r="A3362" t="s">
        <v>851</v>
      </c>
      <c r="B3362" t="s">
        <v>686</v>
      </c>
      <c r="C3362" t="s">
        <v>686</v>
      </c>
      <c r="D3362" t="s">
        <v>3185</v>
      </c>
      <c r="E3362" t="s">
        <v>461</v>
      </c>
      <c r="F3362" t="s">
        <v>668</v>
      </c>
      <c r="G3362">
        <v>2010</v>
      </c>
      <c r="H3362" s="12">
        <v>0</v>
      </c>
      <c r="I3362" t="s">
        <v>3183</v>
      </c>
      <c r="J3362" t="s">
        <v>17</v>
      </c>
      <c r="K3362" t="s">
        <v>147</v>
      </c>
      <c r="L3362" t="s">
        <v>655</v>
      </c>
      <c r="M3362" t="s">
        <v>671</v>
      </c>
    </row>
    <row r="3363" spans="1:13">
      <c r="A3363" t="s">
        <v>851</v>
      </c>
      <c r="B3363" t="s">
        <v>686</v>
      </c>
      <c r="C3363" t="s">
        <v>686</v>
      </c>
      <c r="D3363" t="s">
        <v>3185</v>
      </c>
      <c r="E3363" t="s">
        <v>461</v>
      </c>
      <c r="F3363" t="s">
        <v>668</v>
      </c>
      <c r="G3363">
        <v>2015</v>
      </c>
      <c r="H3363" s="12">
        <v>0.46</v>
      </c>
      <c r="I3363" t="s">
        <v>3183</v>
      </c>
      <c r="J3363" t="s">
        <v>17</v>
      </c>
      <c r="K3363" t="s">
        <v>147</v>
      </c>
      <c r="L3363" t="s">
        <v>655</v>
      </c>
      <c r="M3363" t="s">
        <v>671</v>
      </c>
    </row>
    <row r="3364" spans="1:13">
      <c r="A3364" t="s">
        <v>851</v>
      </c>
      <c r="B3364" t="s">
        <v>686</v>
      </c>
      <c r="C3364" t="s">
        <v>686</v>
      </c>
      <c r="D3364" t="s">
        <v>3185</v>
      </c>
      <c r="E3364" t="s">
        <v>461</v>
      </c>
      <c r="F3364" t="s">
        <v>668</v>
      </c>
      <c r="G3364">
        <v>2020</v>
      </c>
      <c r="H3364" s="12">
        <v>3.7</v>
      </c>
      <c r="I3364" t="s">
        <v>3183</v>
      </c>
      <c r="J3364" t="s">
        <v>17</v>
      </c>
      <c r="K3364" t="s">
        <v>147</v>
      </c>
      <c r="L3364" t="s">
        <v>655</v>
      </c>
      <c r="M3364" t="s">
        <v>671</v>
      </c>
    </row>
    <row r="3365" spans="1:13">
      <c r="A3365" t="s">
        <v>851</v>
      </c>
      <c r="B3365" t="s">
        <v>686</v>
      </c>
      <c r="C3365" t="s">
        <v>686</v>
      </c>
      <c r="D3365" t="s">
        <v>3185</v>
      </c>
      <c r="E3365" t="s">
        <v>461</v>
      </c>
      <c r="F3365" t="s">
        <v>668</v>
      </c>
      <c r="G3365">
        <v>2050</v>
      </c>
      <c r="H3365" s="12">
        <v>342.54</v>
      </c>
      <c r="I3365" t="s">
        <v>3183</v>
      </c>
      <c r="J3365" t="s">
        <v>14</v>
      </c>
      <c r="K3365" t="s">
        <v>147</v>
      </c>
      <c r="L3365" t="s">
        <v>655</v>
      </c>
      <c r="M3365" t="s">
        <v>14</v>
      </c>
    </row>
    <row r="3366" spans="1:13">
      <c r="A3366" t="s">
        <v>851</v>
      </c>
      <c r="B3366" t="s">
        <v>687</v>
      </c>
      <c r="C3366" t="s">
        <v>687</v>
      </c>
      <c r="D3366" t="s">
        <v>3185</v>
      </c>
      <c r="E3366" t="s">
        <v>461</v>
      </c>
      <c r="F3366" t="s">
        <v>668</v>
      </c>
      <c r="G3366">
        <v>2030</v>
      </c>
      <c r="H3366" s="12">
        <v>299.24</v>
      </c>
      <c r="I3366" t="s">
        <v>3183</v>
      </c>
      <c r="J3366" t="s">
        <v>14</v>
      </c>
      <c r="K3366" t="s">
        <v>147</v>
      </c>
      <c r="L3366" t="s">
        <v>655</v>
      </c>
      <c r="M3366" t="s">
        <v>14</v>
      </c>
    </row>
    <row r="3367" spans="1:13">
      <c r="A3367" t="s">
        <v>851</v>
      </c>
      <c r="B3367" t="s">
        <v>687</v>
      </c>
      <c r="C3367" t="s">
        <v>687</v>
      </c>
      <c r="D3367" t="s">
        <v>3185</v>
      </c>
      <c r="E3367" t="s">
        <v>461</v>
      </c>
      <c r="F3367" t="s">
        <v>668</v>
      </c>
      <c r="G3367">
        <v>2035</v>
      </c>
      <c r="H3367" s="12">
        <v>322.58</v>
      </c>
      <c r="I3367" t="s">
        <v>3183</v>
      </c>
      <c r="J3367" t="s">
        <v>14</v>
      </c>
      <c r="K3367" t="s">
        <v>147</v>
      </c>
      <c r="L3367" t="s">
        <v>655</v>
      </c>
      <c r="M3367" t="s">
        <v>14</v>
      </c>
    </row>
    <row r="3368" spans="1:13">
      <c r="A3368" t="s">
        <v>851</v>
      </c>
      <c r="B3368" t="s">
        <v>687</v>
      </c>
      <c r="C3368" t="s">
        <v>687</v>
      </c>
      <c r="D3368" t="s">
        <v>3185</v>
      </c>
      <c r="E3368" t="s">
        <v>461</v>
      </c>
      <c r="F3368" t="s">
        <v>668</v>
      </c>
      <c r="G3368">
        <v>2040</v>
      </c>
      <c r="H3368" s="12">
        <v>344.56</v>
      </c>
      <c r="I3368" t="s">
        <v>3183</v>
      </c>
      <c r="J3368" t="s">
        <v>14</v>
      </c>
      <c r="K3368" t="s">
        <v>147</v>
      </c>
      <c r="L3368" t="s">
        <v>655</v>
      </c>
      <c r="M3368" t="s">
        <v>14</v>
      </c>
    </row>
    <row r="3369" spans="1:13">
      <c r="A3369" t="s">
        <v>851</v>
      </c>
      <c r="B3369" t="s">
        <v>687</v>
      </c>
      <c r="C3369" t="s">
        <v>687</v>
      </c>
      <c r="D3369" t="s">
        <v>3185</v>
      </c>
      <c r="E3369" t="s">
        <v>461</v>
      </c>
      <c r="F3369" t="s">
        <v>668</v>
      </c>
      <c r="G3369">
        <v>2045</v>
      </c>
      <c r="H3369" s="12">
        <v>364.7</v>
      </c>
      <c r="I3369" t="s">
        <v>3183</v>
      </c>
      <c r="J3369" t="s">
        <v>14</v>
      </c>
      <c r="K3369" t="s">
        <v>147</v>
      </c>
      <c r="L3369" t="s">
        <v>655</v>
      </c>
      <c r="M3369" t="s">
        <v>14</v>
      </c>
    </row>
    <row r="3370" spans="1:13">
      <c r="A3370" t="s">
        <v>851</v>
      </c>
      <c r="B3370" t="s">
        <v>687</v>
      </c>
      <c r="C3370" t="s">
        <v>687</v>
      </c>
      <c r="D3370" t="s">
        <v>3185</v>
      </c>
      <c r="E3370" t="s">
        <v>461</v>
      </c>
      <c r="F3370" t="s">
        <v>668</v>
      </c>
      <c r="G3370">
        <v>2050</v>
      </c>
      <c r="H3370" s="12">
        <v>384.01</v>
      </c>
      <c r="I3370" t="s">
        <v>3183</v>
      </c>
      <c r="J3370" t="s">
        <v>14</v>
      </c>
      <c r="K3370" t="s">
        <v>147</v>
      </c>
      <c r="L3370" t="s">
        <v>655</v>
      </c>
      <c r="M3370" t="s">
        <v>14</v>
      </c>
    </row>
    <row r="3371" spans="1:13">
      <c r="A3371" t="s">
        <v>851</v>
      </c>
      <c r="B3371" t="s">
        <v>686</v>
      </c>
      <c r="C3371" t="s">
        <v>686</v>
      </c>
      <c r="D3371" t="s">
        <v>3185</v>
      </c>
      <c r="E3371" t="s">
        <v>461</v>
      </c>
      <c r="F3371" t="s">
        <v>668</v>
      </c>
      <c r="G3371">
        <v>2010</v>
      </c>
      <c r="H3371" s="12">
        <v>2.71</v>
      </c>
      <c r="I3371" t="s">
        <v>3183</v>
      </c>
      <c r="J3371" t="s">
        <v>41</v>
      </c>
      <c r="K3371" t="s">
        <v>147</v>
      </c>
      <c r="L3371" t="s">
        <v>655</v>
      </c>
      <c r="M3371" t="s">
        <v>669</v>
      </c>
    </row>
    <row r="3372" spans="1:13">
      <c r="A3372" t="s">
        <v>851</v>
      </c>
      <c r="B3372" t="s">
        <v>686</v>
      </c>
      <c r="C3372" t="s">
        <v>686</v>
      </c>
      <c r="D3372" t="s">
        <v>3185</v>
      </c>
      <c r="E3372" t="s">
        <v>461</v>
      </c>
      <c r="F3372" t="s">
        <v>668</v>
      </c>
      <c r="G3372">
        <v>2015</v>
      </c>
      <c r="H3372" s="12">
        <v>2.95</v>
      </c>
      <c r="I3372" t="s">
        <v>3183</v>
      </c>
      <c r="J3372" t="s">
        <v>41</v>
      </c>
      <c r="K3372" t="s">
        <v>147</v>
      </c>
      <c r="L3372" t="s">
        <v>655</v>
      </c>
      <c r="M3372" t="s">
        <v>669</v>
      </c>
    </row>
    <row r="3373" spans="1:13">
      <c r="A3373" t="s">
        <v>851</v>
      </c>
      <c r="B3373" t="s">
        <v>686</v>
      </c>
      <c r="C3373" t="s">
        <v>686</v>
      </c>
      <c r="D3373" t="s">
        <v>3185</v>
      </c>
      <c r="E3373" t="s">
        <v>461</v>
      </c>
      <c r="F3373" t="s">
        <v>668</v>
      </c>
      <c r="G3373">
        <v>2020</v>
      </c>
      <c r="H3373" s="12">
        <v>3.72</v>
      </c>
      <c r="I3373" t="s">
        <v>3183</v>
      </c>
      <c r="J3373" t="s">
        <v>41</v>
      </c>
      <c r="K3373" t="s">
        <v>147</v>
      </c>
      <c r="L3373" t="s">
        <v>655</v>
      </c>
      <c r="M3373" t="s">
        <v>669</v>
      </c>
    </row>
    <row r="3374" spans="1:13">
      <c r="A3374" t="s">
        <v>851</v>
      </c>
      <c r="B3374" t="s">
        <v>686</v>
      </c>
      <c r="C3374" t="s">
        <v>686</v>
      </c>
      <c r="D3374" t="s">
        <v>3185</v>
      </c>
      <c r="E3374" t="s">
        <v>461</v>
      </c>
      <c r="F3374" t="s">
        <v>668</v>
      </c>
      <c r="G3374">
        <v>2030</v>
      </c>
      <c r="H3374" s="12">
        <v>8.3800000000000008</v>
      </c>
      <c r="I3374" t="s">
        <v>3183</v>
      </c>
      <c r="J3374" t="s">
        <v>41</v>
      </c>
      <c r="K3374" t="s">
        <v>147</v>
      </c>
      <c r="L3374" t="s">
        <v>655</v>
      </c>
      <c r="M3374" t="s">
        <v>669</v>
      </c>
    </row>
    <row r="3375" spans="1:13">
      <c r="A3375" t="s">
        <v>851</v>
      </c>
      <c r="B3375" t="s">
        <v>686</v>
      </c>
      <c r="C3375" t="s">
        <v>686</v>
      </c>
      <c r="D3375" t="s">
        <v>3185</v>
      </c>
      <c r="E3375" t="s">
        <v>461</v>
      </c>
      <c r="F3375" t="s">
        <v>668</v>
      </c>
      <c r="G3375">
        <v>2035</v>
      </c>
      <c r="H3375" s="12">
        <v>17.61</v>
      </c>
      <c r="I3375" t="s">
        <v>3183</v>
      </c>
      <c r="J3375" t="s">
        <v>41</v>
      </c>
      <c r="K3375" t="s">
        <v>147</v>
      </c>
      <c r="L3375" t="s">
        <v>655</v>
      </c>
      <c r="M3375" t="s">
        <v>669</v>
      </c>
    </row>
    <row r="3376" spans="1:13">
      <c r="A3376" t="s">
        <v>851</v>
      </c>
      <c r="B3376" t="s">
        <v>686</v>
      </c>
      <c r="C3376" t="s">
        <v>686</v>
      </c>
      <c r="D3376" t="s">
        <v>3185</v>
      </c>
      <c r="E3376" t="s">
        <v>461</v>
      </c>
      <c r="F3376" t="s">
        <v>668</v>
      </c>
      <c r="G3376">
        <v>2040</v>
      </c>
      <c r="H3376" s="12">
        <v>32.020000000000003</v>
      </c>
      <c r="I3376" t="s">
        <v>3183</v>
      </c>
      <c r="J3376" t="s">
        <v>41</v>
      </c>
      <c r="K3376" t="s">
        <v>147</v>
      </c>
      <c r="L3376" t="s">
        <v>655</v>
      </c>
      <c r="M3376" t="s">
        <v>669</v>
      </c>
    </row>
    <row r="3377" spans="1:13">
      <c r="A3377" t="s">
        <v>851</v>
      </c>
      <c r="B3377" t="s">
        <v>686</v>
      </c>
      <c r="C3377" t="s">
        <v>686</v>
      </c>
      <c r="D3377" t="s">
        <v>3185</v>
      </c>
      <c r="E3377" t="s">
        <v>461</v>
      </c>
      <c r="F3377" t="s">
        <v>668</v>
      </c>
      <c r="G3377">
        <v>2045</v>
      </c>
      <c r="H3377" s="12">
        <v>49.05</v>
      </c>
      <c r="I3377" t="s">
        <v>3183</v>
      </c>
      <c r="J3377" t="s">
        <v>41</v>
      </c>
      <c r="K3377" t="s">
        <v>147</v>
      </c>
      <c r="L3377" t="s">
        <v>655</v>
      </c>
      <c r="M3377" t="s">
        <v>669</v>
      </c>
    </row>
    <row r="3378" spans="1:13">
      <c r="A3378" t="s">
        <v>851</v>
      </c>
      <c r="B3378" t="s">
        <v>686</v>
      </c>
      <c r="C3378" t="s">
        <v>686</v>
      </c>
      <c r="D3378" t="s">
        <v>3185</v>
      </c>
      <c r="E3378" t="s">
        <v>461</v>
      </c>
      <c r="F3378" t="s">
        <v>668</v>
      </c>
      <c r="G3378">
        <v>2050</v>
      </c>
      <c r="H3378" s="12">
        <v>70.33</v>
      </c>
      <c r="I3378" t="s">
        <v>3183</v>
      </c>
      <c r="J3378" t="s">
        <v>41</v>
      </c>
      <c r="K3378" t="s">
        <v>147</v>
      </c>
      <c r="L3378" t="s">
        <v>655</v>
      </c>
      <c r="M3378" t="s">
        <v>669</v>
      </c>
    </row>
    <row r="3379" spans="1:13">
      <c r="A3379" t="s">
        <v>851</v>
      </c>
      <c r="B3379" t="s">
        <v>687</v>
      </c>
      <c r="C3379" t="s">
        <v>687</v>
      </c>
      <c r="D3379" t="s">
        <v>3185</v>
      </c>
      <c r="E3379" t="s">
        <v>461</v>
      </c>
      <c r="F3379" t="s">
        <v>668</v>
      </c>
      <c r="G3379">
        <v>2030</v>
      </c>
      <c r="H3379" s="12">
        <v>16.47</v>
      </c>
      <c r="I3379" t="s">
        <v>3183</v>
      </c>
      <c r="J3379" t="s">
        <v>41</v>
      </c>
      <c r="K3379" t="s">
        <v>147</v>
      </c>
      <c r="L3379" t="s">
        <v>655</v>
      </c>
      <c r="M3379" t="s">
        <v>669</v>
      </c>
    </row>
    <row r="3380" spans="1:13">
      <c r="A3380" t="s">
        <v>851</v>
      </c>
      <c r="B3380" t="s">
        <v>687</v>
      </c>
      <c r="C3380" t="s">
        <v>687</v>
      </c>
      <c r="D3380" t="s">
        <v>3185</v>
      </c>
      <c r="E3380" t="s">
        <v>461</v>
      </c>
      <c r="F3380" t="s">
        <v>668</v>
      </c>
      <c r="G3380">
        <v>2035</v>
      </c>
      <c r="H3380" s="12">
        <v>36.76</v>
      </c>
      <c r="I3380" t="s">
        <v>3183</v>
      </c>
      <c r="J3380" t="s">
        <v>41</v>
      </c>
      <c r="K3380" t="s">
        <v>147</v>
      </c>
      <c r="L3380" t="s">
        <v>655</v>
      </c>
      <c r="M3380" t="s">
        <v>669</v>
      </c>
    </row>
    <row r="3381" spans="1:13">
      <c r="A3381" t="s">
        <v>851</v>
      </c>
      <c r="B3381" t="s">
        <v>687</v>
      </c>
      <c r="C3381" t="s">
        <v>687</v>
      </c>
      <c r="D3381" t="s">
        <v>3185</v>
      </c>
      <c r="E3381" t="s">
        <v>461</v>
      </c>
      <c r="F3381" t="s">
        <v>668</v>
      </c>
      <c r="G3381">
        <v>2040</v>
      </c>
      <c r="H3381" s="12">
        <v>63.37</v>
      </c>
      <c r="I3381" t="s">
        <v>3183</v>
      </c>
      <c r="J3381" t="s">
        <v>41</v>
      </c>
      <c r="K3381" t="s">
        <v>147</v>
      </c>
      <c r="L3381" t="s">
        <v>655</v>
      </c>
      <c r="M3381" t="s">
        <v>669</v>
      </c>
    </row>
    <row r="3382" spans="1:13">
      <c r="A3382" t="s">
        <v>851</v>
      </c>
      <c r="B3382" t="s">
        <v>687</v>
      </c>
      <c r="C3382" t="s">
        <v>687</v>
      </c>
      <c r="D3382" t="s">
        <v>3185</v>
      </c>
      <c r="E3382" t="s">
        <v>461</v>
      </c>
      <c r="F3382" t="s">
        <v>668</v>
      </c>
      <c r="G3382">
        <v>2045</v>
      </c>
      <c r="H3382" s="12">
        <v>93.98</v>
      </c>
      <c r="I3382" t="s">
        <v>3183</v>
      </c>
      <c r="J3382" t="s">
        <v>41</v>
      </c>
      <c r="K3382" t="s">
        <v>147</v>
      </c>
      <c r="L3382" t="s">
        <v>655</v>
      </c>
      <c r="M3382" t="s">
        <v>669</v>
      </c>
    </row>
    <row r="3383" spans="1:13">
      <c r="A3383" t="s">
        <v>851</v>
      </c>
      <c r="B3383" t="s">
        <v>687</v>
      </c>
      <c r="C3383" t="s">
        <v>687</v>
      </c>
      <c r="D3383" t="s">
        <v>3185</v>
      </c>
      <c r="E3383" t="s">
        <v>461</v>
      </c>
      <c r="F3383" t="s">
        <v>668</v>
      </c>
      <c r="G3383">
        <v>2050</v>
      </c>
      <c r="H3383" s="12">
        <v>130.34</v>
      </c>
      <c r="I3383" t="s">
        <v>3183</v>
      </c>
      <c r="J3383" t="s">
        <v>41</v>
      </c>
      <c r="K3383" t="s">
        <v>147</v>
      </c>
      <c r="L3383" t="s">
        <v>655</v>
      </c>
      <c r="M3383" t="s">
        <v>669</v>
      </c>
    </row>
    <row r="3384" spans="1:13">
      <c r="A3384" t="s">
        <v>851</v>
      </c>
      <c r="B3384" t="s">
        <v>686</v>
      </c>
      <c r="C3384" t="s">
        <v>686</v>
      </c>
      <c r="D3384" t="s">
        <v>3185</v>
      </c>
      <c r="E3384" t="s">
        <v>461</v>
      </c>
      <c r="F3384" t="s">
        <v>668</v>
      </c>
      <c r="G3384">
        <v>2010</v>
      </c>
      <c r="H3384" s="12">
        <v>172.91</v>
      </c>
      <c r="I3384" t="s">
        <v>3183</v>
      </c>
      <c r="J3384" t="s">
        <v>15</v>
      </c>
      <c r="K3384" t="s">
        <v>147</v>
      </c>
      <c r="L3384" t="s">
        <v>655</v>
      </c>
      <c r="M3384" t="s">
        <v>15</v>
      </c>
    </row>
    <row r="3385" spans="1:13">
      <c r="A3385" t="s">
        <v>851</v>
      </c>
      <c r="B3385" t="s">
        <v>686</v>
      </c>
      <c r="C3385" t="s">
        <v>686</v>
      </c>
      <c r="D3385" t="s">
        <v>3185</v>
      </c>
      <c r="E3385" t="s">
        <v>461</v>
      </c>
      <c r="F3385" t="s">
        <v>668</v>
      </c>
      <c r="G3385">
        <v>2015</v>
      </c>
      <c r="H3385" s="12">
        <v>198.26</v>
      </c>
      <c r="I3385" t="s">
        <v>3183</v>
      </c>
      <c r="J3385" t="s">
        <v>15</v>
      </c>
      <c r="K3385" t="s">
        <v>147</v>
      </c>
      <c r="L3385" t="s">
        <v>655</v>
      </c>
      <c r="M3385" t="s">
        <v>15</v>
      </c>
    </row>
    <row r="3386" spans="1:13">
      <c r="A3386" t="s">
        <v>851</v>
      </c>
      <c r="B3386" t="s">
        <v>686</v>
      </c>
      <c r="C3386" t="s">
        <v>686</v>
      </c>
      <c r="D3386" t="s">
        <v>3185</v>
      </c>
      <c r="E3386" t="s">
        <v>461</v>
      </c>
      <c r="F3386" t="s">
        <v>668</v>
      </c>
      <c r="G3386">
        <v>2020</v>
      </c>
      <c r="H3386" s="12">
        <v>218.5</v>
      </c>
      <c r="I3386" t="s">
        <v>3183</v>
      </c>
      <c r="J3386" t="s">
        <v>15</v>
      </c>
      <c r="K3386" t="s">
        <v>147</v>
      </c>
      <c r="L3386" t="s">
        <v>655</v>
      </c>
      <c r="M3386" t="s">
        <v>15</v>
      </c>
    </row>
    <row r="3387" spans="1:13">
      <c r="A3387" t="s">
        <v>851</v>
      </c>
      <c r="B3387" t="s">
        <v>686</v>
      </c>
      <c r="C3387" t="s">
        <v>686</v>
      </c>
      <c r="D3387" t="s">
        <v>3185</v>
      </c>
      <c r="E3387" t="s">
        <v>461</v>
      </c>
      <c r="F3387" t="s">
        <v>668</v>
      </c>
      <c r="G3387">
        <v>2030</v>
      </c>
      <c r="H3387" s="12">
        <v>232.08</v>
      </c>
      <c r="I3387" t="s">
        <v>3183</v>
      </c>
      <c r="J3387" t="s">
        <v>15</v>
      </c>
      <c r="K3387" t="s">
        <v>147</v>
      </c>
      <c r="L3387" t="s">
        <v>655</v>
      </c>
      <c r="M3387" t="s">
        <v>15</v>
      </c>
    </row>
    <row r="3388" spans="1:13">
      <c r="A3388" t="s">
        <v>851</v>
      </c>
      <c r="B3388" t="s">
        <v>686</v>
      </c>
      <c r="C3388" t="s">
        <v>686</v>
      </c>
      <c r="D3388" t="s">
        <v>3185</v>
      </c>
      <c r="E3388" t="s">
        <v>461</v>
      </c>
      <c r="F3388" t="s">
        <v>668</v>
      </c>
      <c r="G3388">
        <v>2035</v>
      </c>
      <c r="H3388" s="12">
        <v>261.39999999999998</v>
      </c>
      <c r="I3388" t="s">
        <v>3183</v>
      </c>
      <c r="J3388" t="s">
        <v>15</v>
      </c>
      <c r="K3388" t="s">
        <v>147</v>
      </c>
      <c r="L3388" t="s">
        <v>655</v>
      </c>
      <c r="M3388" t="s">
        <v>15</v>
      </c>
    </row>
    <row r="3389" spans="1:13">
      <c r="A3389" t="s">
        <v>851</v>
      </c>
      <c r="B3389" t="s">
        <v>686</v>
      </c>
      <c r="C3389" t="s">
        <v>686</v>
      </c>
      <c r="D3389" t="s">
        <v>3185</v>
      </c>
      <c r="E3389" t="s">
        <v>461</v>
      </c>
      <c r="F3389" t="s">
        <v>668</v>
      </c>
      <c r="G3389">
        <v>2040</v>
      </c>
      <c r="H3389" s="12">
        <v>271.66000000000003</v>
      </c>
      <c r="I3389" t="s">
        <v>3183</v>
      </c>
      <c r="J3389" t="s">
        <v>15</v>
      </c>
      <c r="K3389" t="s">
        <v>147</v>
      </c>
      <c r="L3389" t="s">
        <v>655</v>
      </c>
      <c r="M3389" t="s">
        <v>15</v>
      </c>
    </row>
    <row r="3390" spans="1:13">
      <c r="A3390" t="s">
        <v>851</v>
      </c>
      <c r="B3390" t="s">
        <v>686</v>
      </c>
      <c r="C3390" t="s">
        <v>686</v>
      </c>
      <c r="D3390" t="s">
        <v>3185</v>
      </c>
      <c r="E3390" t="s">
        <v>461</v>
      </c>
      <c r="F3390" t="s">
        <v>668</v>
      </c>
      <c r="G3390">
        <v>2045</v>
      </c>
      <c r="H3390" s="12">
        <v>281.70999999999998</v>
      </c>
      <c r="I3390" t="s">
        <v>3183</v>
      </c>
      <c r="J3390" t="s">
        <v>15</v>
      </c>
      <c r="K3390" t="s">
        <v>147</v>
      </c>
      <c r="L3390" t="s">
        <v>655</v>
      </c>
      <c r="M3390" t="s">
        <v>15</v>
      </c>
    </row>
    <row r="3391" spans="1:13">
      <c r="A3391" t="s">
        <v>851</v>
      </c>
      <c r="B3391" t="s">
        <v>686</v>
      </c>
      <c r="C3391" t="s">
        <v>686</v>
      </c>
      <c r="D3391" t="s">
        <v>3185</v>
      </c>
      <c r="E3391" t="s">
        <v>461</v>
      </c>
      <c r="F3391" t="s">
        <v>668</v>
      </c>
      <c r="G3391">
        <v>2050</v>
      </c>
      <c r="H3391" s="12">
        <v>292.88</v>
      </c>
      <c r="I3391" t="s">
        <v>3183</v>
      </c>
      <c r="J3391" t="s">
        <v>15</v>
      </c>
      <c r="K3391" t="s">
        <v>147</v>
      </c>
      <c r="L3391" t="s">
        <v>655</v>
      </c>
      <c r="M3391" t="s">
        <v>15</v>
      </c>
    </row>
    <row r="3392" spans="1:13">
      <c r="A3392" t="s">
        <v>851</v>
      </c>
      <c r="B3392" t="s">
        <v>687</v>
      </c>
      <c r="C3392" t="s">
        <v>687</v>
      </c>
      <c r="D3392" t="s">
        <v>3185</v>
      </c>
      <c r="E3392" t="s">
        <v>461</v>
      </c>
      <c r="F3392" t="s">
        <v>668</v>
      </c>
      <c r="G3392">
        <v>2030</v>
      </c>
      <c r="H3392" s="12">
        <v>234.55</v>
      </c>
      <c r="I3392" t="s">
        <v>3183</v>
      </c>
      <c r="J3392" t="s">
        <v>15</v>
      </c>
      <c r="K3392" t="s">
        <v>147</v>
      </c>
      <c r="L3392" t="s">
        <v>655</v>
      </c>
      <c r="M3392" t="s">
        <v>15</v>
      </c>
    </row>
    <row r="3393" spans="1:13">
      <c r="A3393" t="s">
        <v>851</v>
      </c>
      <c r="B3393" t="s">
        <v>687</v>
      </c>
      <c r="C3393" t="s">
        <v>687</v>
      </c>
      <c r="D3393" t="s">
        <v>3185</v>
      </c>
      <c r="E3393" t="s">
        <v>461</v>
      </c>
      <c r="F3393" t="s">
        <v>668</v>
      </c>
      <c r="G3393">
        <v>2035</v>
      </c>
      <c r="H3393" s="12">
        <v>265.14</v>
      </c>
      <c r="I3393" t="s">
        <v>3183</v>
      </c>
      <c r="J3393" t="s">
        <v>15</v>
      </c>
      <c r="K3393" t="s">
        <v>147</v>
      </c>
      <c r="L3393" t="s">
        <v>655</v>
      </c>
      <c r="M3393" t="s">
        <v>15</v>
      </c>
    </row>
    <row r="3394" spans="1:13">
      <c r="A3394" t="s">
        <v>851</v>
      </c>
      <c r="B3394" t="s">
        <v>687</v>
      </c>
      <c r="C3394" t="s">
        <v>687</v>
      </c>
      <c r="D3394" t="s">
        <v>3185</v>
      </c>
      <c r="E3394" t="s">
        <v>461</v>
      </c>
      <c r="F3394" t="s">
        <v>668</v>
      </c>
      <c r="G3394">
        <v>2040</v>
      </c>
      <c r="H3394" s="12">
        <v>281.35000000000002</v>
      </c>
      <c r="I3394" t="s">
        <v>3183</v>
      </c>
      <c r="J3394" t="s">
        <v>15</v>
      </c>
      <c r="K3394" t="s">
        <v>147</v>
      </c>
      <c r="L3394" t="s">
        <v>655</v>
      </c>
      <c r="M3394" t="s">
        <v>15</v>
      </c>
    </row>
    <row r="3395" spans="1:13">
      <c r="A3395" t="s">
        <v>851</v>
      </c>
      <c r="B3395" t="s">
        <v>687</v>
      </c>
      <c r="C3395" t="s">
        <v>687</v>
      </c>
      <c r="D3395" t="s">
        <v>3185</v>
      </c>
      <c r="E3395" t="s">
        <v>461</v>
      </c>
      <c r="F3395" t="s">
        <v>668</v>
      </c>
      <c r="G3395">
        <v>2045</v>
      </c>
      <c r="H3395" s="12">
        <v>293.5</v>
      </c>
      <c r="I3395" t="s">
        <v>3183</v>
      </c>
      <c r="J3395" t="s">
        <v>15</v>
      </c>
      <c r="K3395" t="s">
        <v>147</v>
      </c>
      <c r="L3395" t="s">
        <v>655</v>
      </c>
      <c r="M3395" t="s">
        <v>15</v>
      </c>
    </row>
    <row r="3396" spans="1:13">
      <c r="A3396" t="s">
        <v>851</v>
      </c>
      <c r="B3396" t="s">
        <v>687</v>
      </c>
      <c r="C3396" t="s">
        <v>687</v>
      </c>
      <c r="D3396" t="s">
        <v>3185</v>
      </c>
      <c r="E3396" t="s">
        <v>461</v>
      </c>
      <c r="F3396" t="s">
        <v>668</v>
      </c>
      <c r="G3396">
        <v>2050</v>
      </c>
      <c r="H3396" s="12">
        <v>305.68</v>
      </c>
      <c r="I3396" t="s">
        <v>3183</v>
      </c>
      <c r="J3396" t="s">
        <v>15</v>
      </c>
      <c r="K3396" t="s">
        <v>147</v>
      </c>
      <c r="L3396" t="s">
        <v>655</v>
      </c>
      <c r="M3396" t="s">
        <v>15</v>
      </c>
    </row>
    <row r="3397" spans="1:13">
      <c r="A3397" t="s">
        <v>851</v>
      </c>
      <c r="B3397" t="s">
        <v>686</v>
      </c>
      <c r="C3397" t="s">
        <v>686</v>
      </c>
      <c r="D3397" t="s">
        <v>3185</v>
      </c>
      <c r="E3397" t="s">
        <v>461</v>
      </c>
      <c r="F3397" t="s">
        <v>668</v>
      </c>
      <c r="G3397">
        <v>2010</v>
      </c>
      <c r="H3397" s="12">
        <v>0</v>
      </c>
      <c r="I3397" t="s">
        <v>3183</v>
      </c>
      <c r="J3397" t="s">
        <v>8</v>
      </c>
      <c r="K3397" t="s">
        <v>147</v>
      </c>
      <c r="L3397" t="s">
        <v>655</v>
      </c>
      <c r="M3397" t="s">
        <v>670</v>
      </c>
    </row>
    <row r="3398" spans="1:13">
      <c r="A3398" t="s">
        <v>851</v>
      </c>
      <c r="B3398" t="s">
        <v>686</v>
      </c>
      <c r="C3398" t="s">
        <v>686</v>
      </c>
      <c r="D3398" t="s">
        <v>3185</v>
      </c>
      <c r="E3398" t="s">
        <v>461</v>
      </c>
      <c r="F3398" t="s">
        <v>668</v>
      </c>
      <c r="G3398">
        <v>2015</v>
      </c>
      <c r="H3398" s="12">
        <v>0</v>
      </c>
      <c r="I3398" t="s">
        <v>3183</v>
      </c>
      <c r="J3398" t="s">
        <v>8</v>
      </c>
      <c r="K3398" t="s">
        <v>147</v>
      </c>
      <c r="L3398" t="s">
        <v>655</v>
      </c>
      <c r="M3398" t="s">
        <v>670</v>
      </c>
    </row>
    <row r="3399" spans="1:13">
      <c r="A3399" t="s">
        <v>851</v>
      </c>
      <c r="B3399" t="s">
        <v>686</v>
      </c>
      <c r="C3399" t="s">
        <v>686</v>
      </c>
      <c r="D3399" t="s">
        <v>3185</v>
      </c>
      <c r="E3399" t="s">
        <v>461</v>
      </c>
      <c r="F3399" t="s">
        <v>668</v>
      </c>
      <c r="G3399">
        <v>2020</v>
      </c>
      <c r="H3399" s="12">
        <v>0</v>
      </c>
      <c r="I3399" t="s">
        <v>3183</v>
      </c>
      <c r="J3399" t="s">
        <v>8</v>
      </c>
      <c r="K3399" t="s">
        <v>147</v>
      </c>
      <c r="L3399" t="s">
        <v>655</v>
      </c>
      <c r="M3399" t="s">
        <v>670</v>
      </c>
    </row>
    <row r="3400" spans="1:13">
      <c r="A3400" t="s">
        <v>851</v>
      </c>
      <c r="B3400" t="s">
        <v>686</v>
      </c>
      <c r="C3400" t="s">
        <v>686</v>
      </c>
      <c r="D3400" t="s">
        <v>3185</v>
      </c>
      <c r="E3400" t="s">
        <v>461</v>
      </c>
      <c r="F3400" t="s">
        <v>668</v>
      </c>
      <c r="G3400">
        <v>2030</v>
      </c>
      <c r="H3400" s="12">
        <v>0</v>
      </c>
      <c r="I3400" t="s">
        <v>3183</v>
      </c>
      <c r="J3400" t="s">
        <v>8</v>
      </c>
      <c r="K3400" t="s">
        <v>147</v>
      </c>
      <c r="L3400" t="s">
        <v>655</v>
      </c>
      <c r="M3400" t="s">
        <v>670</v>
      </c>
    </row>
    <row r="3401" spans="1:13">
      <c r="A3401" t="s">
        <v>851</v>
      </c>
      <c r="B3401" t="s">
        <v>686</v>
      </c>
      <c r="C3401" t="s">
        <v>686</v>
      </c>
      <c r="D3401" t="s">
        <v>3185</v>
      </c>
      <c r="E3401" t="s">
        <v>461</v>
      </c>
      <c r="F3401" t="s">
        <v>668</v>
      </c>
      <c r="G3401">
        <v>2035</v>
      </c>
      <c r="H3401" s="12">
        <v>0</v>
      </c>
      <c r="I3401" t="s">
        <v>3183</v>
      </c>
      <c r="J3401" t="s">
        <v>8</v>
      </c>
      <c r="K3401" t="s">
        <v>147</v>
      </c>
      <c r="L3401" t="s">
        <v>655</v>
      </c>
      <c r="M3401" t="s">
        <v>670</v>
      </c>
    </row>
    <row r="3402" spans="1:13">
      <c r="A3402" t="s">
        <v>851</v>
      </c>
      <c r="B3402" t="s">
        <v>686</v>
      </c>
      <c r="C3402" t="s">
        <v>686</v>
      </c>
      <c r="D3402" t="s">
        <v>3185</v>
      </c>
      <c r="E3402" t="s">
        <v>461</v>
      </c>
      <c r="F3402" t="s">
        <v>668</v>
      </c>
      <c r="G3402">
        <v>2040</v>
      </c>
      <c r="H3402" s="12">
        <v>0</v>
      </c>
      <c r="I3402" t="s">
        <v>3183</v>
      </c>
      <c r="J3402" t="s">
        <v>8</v>
      </c>
      <c r="K3402" t="s">
        <v>147</v>
      </c>
      <c r="L3402" t="s">
        <v>655</v>
      </c>
      <c r="M3402" t="s">
        <v>670</v>
      </c>
    </row>
    <row r="3403" spans="1:13">
      <c r="A3403" t="s">
        <v>851</v>
      </c>
      <c r="B3403" t="s">
        <v>686</v>
      </c>
      <c r="C3403" t="s">
        <v>686</v>
      </c>
      <c r="D3403" t="s">
        <v>3185</v>
      </c>
      <c r="E3403" t="s">
        <v>461</v>
      </c>
      <c r="F3403" t="s">
        <v>668</v>
      </c>
      <c r="G3403">
        <v>2045</v>
      </c>
      <c r="H3403" s="12">
        <v>0</v>
      </c>
      <c r="I3403" t="s">
        <v>3183</v>
      </c>
      <c r="J3403" t="s">
        <v>8</v>
      </c>
      <c r="K3403" t="s">
        <v>147</v>
      </c>
      <c r="L3403" t="s">
        <v>655</v>
      </c>
      <c r="M3403" t="s">
        <v>670</v>
      </c>
    </row>
    <row r="3404" spans="1:13">
      <c r="A3404" t="s">
        <v>851</v>
      </c>
      <c r="B3404" t="s">
        <v>686</v>
      </c>
      <c r="C3404" t="s">
        <v>686</v>
      </c>
      <c r="D3404" t="s">
        <v>3185</v>
      </c>
      <c r="E3404" t="s">
        <v>461</v>
      </c>
      <c r="F3404" t="s">
        <v>668</v>
      </c>
      <c r="G3404">
        <v>2050</v>
      </c>
      <c r="H3404" s="12">
        <v>0</v>
      </c>
      <c r="I3404" t="s">
        <v>3183</v>
      </c>
      <c r="J3404" t="s">
        <v>8</v>
      </c>
      <c r="K3404" t="s">
        <v>147</v>
      </c>
      <c r="L3404" t="s">
        <v>655</v>
      </c>
      <c r="M3404" t="s">
        <v>670</v>
      </c>
    </row>
    <row r="3405" spans="1:13">
      <c r="A3405" t="s">
        <v>851</v>
      </c>
      <c r="B3405" t="s">
        <v>687</v>
      </c>
      <c r="C3405" t="s">
        <v>687</v>
      </c>
      <c r="D3405" t="s">
        <v>3185</v>
      </c>
      <c r="E3405" t="s">
        <v>461</v>
      </c>
      <c r="F3405" t="s">
        <v>668</v>
      </c>
      <c r="G3405">
        <v>2030</v>
      </c>
      <c r="H3405" s="12">
        <v>0</v>
      </c>
      <c r="I3405" t="s">
        <v>3183</v>
      </c>
      <c r="J3405" t="s">
        <v>8</v>
      </c>
      <c r="K3405" t="s">
        <v>147</v>
      </c>
      <c r="L3405" t="s">
        <v>655</v>
      </c>
      <c r="M3405" t="s">
        <v>670</v>
      </c>
    </row>
    <row r="3406" spans="1:13">
      <c r="A3406" t="s">
        <v>851</v>
      </c>
      <c r="B3406" t="s">
        <v>687</v>
      </c>
      <c r="C3406" t="s">
        <v>687</v>
      </c>
      <c r="D3406" t="s">
        <v>3185</v>
      </c>
      <c r="E3406" t="s">
        <v>461</v>
      </c>
      <c r="F3406" t="s">
        <v>668</v>
      </c>
      <c r="G3406">
        <v>2035</v>
      </c>
      <c r="H3406" s="12">
        <v>0</v>
      </c>
      <c r="I3406" t="s">
        <v>3183</v>
      </c>
      <c r="J3406" t="s">
        <v>8</v>
      </c>
      <c r="K3406" t="s">
        <v>147</v>
      </c>
      <c r="L3406" t="s">
        <v>655</v>
      </c>
      <c r="M3406" t="s">
        <v>670</v>
      </c>
    </row>
    <row r="3407" spans="1:13">
      <c r="A3407" t="s">
        <v>851</v>
      </c>
      <c r="B3407" t="s">
        <v>687</v>
      </c>
      <c r="C3407" t="s">
        <v>687</v>
      </c>
      <c r="D3407" t="s">
        <v>3185</v>
      </c>
      <c r="E3407" t="s">
        <v>461</v>
      </c>
      <c r="F3407" t="s">
        <v>668</v>
      </c>
      <c r="G3407">
        <v>2040</v>
      </c>
      <c r="H3407" s="12">
        <v>0</v>
      </c>
      <c r="I3407" t="s">
        <v>3183</v>
      </c>
      <c r="J3407" t="s">
        <v>8</v>
      </c>
      <c r="K3407" t="s">
        <v>147</v>
      </c>
      <c r="L3407" t="s">
        <v>655</v>
      </c>
      <c r="M3407" t="s">
        <v>670</v>
      </c>
    </row>
    <row r="3408" spans="1:13">
      <c r="A3408" t="s">
        <v>851</v>
      </c>
      <c r="B3408" t="s">
        <v>687</v>
      </c>
      <c r="C3408" t="s">
        <v>687</v>
      </c>
      <c r="D3408" t="s">
        <v>3185</v>
      </c>
      <c r="E3408" t="s">
        <v>461</v>
      </c>
      <c r="F3408" t="s">
        <v>668</v>
      </c>
      <c r="G3408">
        <v>2045</v>
      </c>
      <c r="H3408" s="12">
        <v>0</v>
      </c>
      <c r="I3408" t="s">
        <v>3183</v>
      </c>
      <c r="J3408" t="s">
        <v>8</v>
      </c>
      <c r="K3408" t="s">
        <v>147</v>
      </c>
      <c r="L3408" t="s">
        <v>655</v>
      </c>
      <c r="M3408" t="s">
        <v>670</v>
      </c>
    </row>
    <row r="3409" spans="1:13">
      <c r="A3409" t="s">
        <v>851</v>
      </c>
      <c r="B3409" t="s">
        <v>687</v>
      </c>
      <c r="C3409" t="s">
        <v>687</v>
      </c>
      <c r="D3409" t="s">
        <v>3185</v>
      </c>
      <c r="E3409" t="s">
        <v>461</v>
      </c>
      <c r="F3409" t="s">
        <v>668</v>
      </c>
      <c r="G3409">
        <v>2050</v>
      </c>
      <c r="H3409" s="12">
        <v>0</v>
      </c>
      <c r="I3409" t="s">
        <v>3183</v>
      </c>
      <c r="J3409" t="s">
        <v>8</v>
      </c>
      <c r="K3409" t="s">
        <v>147</v>
      </c>
      <c r="L3409" t="s">
        <v>655</v>
      </c>
      <c r="M3409" t="s">
        <v>670</v>
      </c>
    </row>
    <row r="3410" spans="1:13">
      <c r="A3410" t="s">
        <v>851</v>
      </c>
      <c r="B3410" t="s">
        <v>686</v>
      </c>
      <c r="C3410" t="s">
        <v>686</v>
      </c>
      <c r="D3410" t="s">
        <v>3185</v>
      </c>
      <c r="E3410" t="s">
        <v>461</v>
      </c>
      <c r="F3410" t="s">
        <v>668</v>
      </c>
      <c r="G3410">
        <v>2040</v>
      </c>
      <c r="H3410" s="12">
        <v>0.62</v>
      </c>
      <c r="I3410" t="s">
        <v>3183</v>
      </c>
      <c r="J3410" t="s">
        <v>394</v>
      </c>
      <c r="K3410" t="s">
        <v>147</v>
      </c>
      <c r="L3410" t="s">
        <v>655</v>
      </c>
      <c r="M3410" t="s">
        <v>16</v>
      </c>
    </row>
    <row r="3411" spans="1:13">
      <c r="A3411" t="s">
        <v>851</v>
      </c>
      <c r="B3411" t="s">
        <v>686</v>
      </c>
      <c r="C3411" t="s">
        <v>686</v>
      </c>
      <c r="D3411" t="s">
        <v>3185</v>
      </c>
      <c r="E3411" t="s">
        <v>461</v>
      </c>
      <c r="F3411" t="s">
        <v>668</v>
      </c>
      <c r="G3411">
        <v>2045</v>
      </c>
      <c r="H3411" s="12">
        <v>0.49</v>
      </c>
      <c r="I3411" t="s">
        <v>3183</v>
      </c>
      <c r="J3411" t="s">
        <v>394</v>
      </c>
      <c r="K3411" t="s">
        <v>147</v>
      </c>
      <c r="L3411" t="s">
        <v>655</v>
      </c>
      <c r="M3411" t="s">
        <v>16</v>
      </c>
    </row>
    <row r="3412" spans="1:13">
      <c r="A3412" t="s">
        <v>851</v>
      </c>
      <c r="B3412" t="s">
        <v>686</v>
      </c>
      <c r="C3412" t="s">
        <v>686</v>
      </c>
      <c r="D3412" t="s">
        <v>3185</v>
      </c>
      <c r="E3412" t="s">
        <v>461</v>
      </c>
      <c r="F3412" t="s">
        <v>668</v>
      </c>
      <c r="G3412">
        <v>2050</v>
      </c>
      <c r="H3412" s="12">
        <v>0.4</v>
      </c>
      <c r="I3412" t="s">
        <v>3183</v>
      </c>
      <c r="J3412" t="s">
        <v>394</v>
      </c>
      <c r="K3412" t="s">
        <v>147</v>
      </c>
      <c r="L3412" t="s">
        <v>655</v>
      </c>
      <c r="M3412" t="s">
        <v>16</v>
      </c>
    </row>
    <row r="3413" spans="1:13">
      <c r="A3413" t="s">
        <v>851</v>
      </c>
      <c r="B3413" t="s">
        <v>687</v>
      </c>
      <c r="C3413" t="s">
        <v>687</v>
      </c>
      <c r="D3413" t="s">
        <v>3185</v>
      </c>
      <c r="E3413" t="s">
        <v>461</v>
      </c>
      <c r="F3413" t="s">
        <v>668</v>
      </c>
      <c r="G3413">
        <v>2030</v>
      </c>
      <c r="H3413" s="12">
        <v>1.51</v>
      </c>
      <c r="I3413" t="s">
        <v>3183</v>
      </c>
      <c r="J3413" t="s">
        <v>394</v>
      </c>
      <c r="K3413" t="s">
        <v>147</v>
      </c>
      <c r="L3413" t="s">
        <v>655</v>
      </c>
      <c r="M3413" t="s">
        <v>16</v>
      </c>
    </row>
    <row r="3414" spans="1:13">
      <c r="A3414" t="s">
        <v>851</v>
      </c>
      <c r="B3414" t="s">
        <v>687</v>
      </c>
      <c r="C3414" t="s">
        <v>687</v>
      </c>
      <c r="D3414" t="s">
        <v>3185</v>
      </c>
      <c r="E3414" t="s">
        <v>461</v>
      </c>
      <c r="F3414" t="s">
        <v>668</v>
      </c>
      <c r="G3414">
        <v>2035</v>
      </c>
      <c r="H3414" s="12">
        <v>0.97</v>
      </c>
      <c r="I3414" t="s">
        <v>3183</v>
      </c>
      <c r="J3414" t="s">
        <v>394</v>
      </c>
      <c r="K3414" t="s">
        <v>147</v>
      </c>
      <c r="L3414" t="s">
        <v>655</v>
      </c>
      <c r="M3414" t="s">
        <v>16</v>
      </c>
    </row>
    <row r="3415" spans="1:13">
      <c r="A3415" t="s">
        <v>851</v>
      </c>
      <c r="B3415" t="s">
        <v>687</v>
      </c>
      <c r="C3415" t="s">
        <v>687</v>
      </c>
      <c r="D3415" t="s">
        <v>3185</v>
      </c>
      <c r="E3415" t="s">
        <v>461</v>
      </c>
      <c r="F3415" t="s">
        <v>668</v>
      </c>
      <c r="G3415">
        <v>2040</v>
      </c>
      <c r="H3415" s="12">
        <v>0.62</v>
      </c>
      <c r="I3415" t="s">
        <v>3183</v>
      </c>
      <c r="J3415" t="s">
        <v>394</v>
      </c>
      <c r="K3415" t="s">
        <v>147</v>
      </c>
      <c r="L3415" t="s">
        <v>655</v>
      </c>
      <c r="M3415" t="s">
        <v>16</v>
      </c>
    </row>
    <row r="3416" spans="1:13">
      <c r="A3416" t="s">
        <v>851</v>
      </c>
      <c r="B3416" t="s">
        <v>687</v>
      </c>
      <c r="C3416" t="s">
        <v>687</v>
      </c>
      <c r="D3416" t="s">
        <v>3185</v>
      </c>
      <c r="E3416" t="s">
        <v>461</v>
      </c>
      <c r="F3416" t="s">
        <v>668</v>
      </c>
      <c r="G3416">
        <v>2045</v>
      </c>
      <c r="H3416" s="12">
        <v>0.49</v>
      </c>
      <c r="I3416" t="s">
        <v>3183</v>
      </c>
      <c r="J3416" t="s">
        <v>394</v>
      </c>
      <c r="K3416" t="s">
        <v>147</v>
      </c>
      <c r="L3416" t="s">
        <v>655</v>
      </c>
      <c r="M3416" t="s">
        <v>16</v>
      </c>
    </row>
    <row r="3417" spans="1:13">
      <c r="A3417" t="s">
        <v>851</v>
      </c>
      <c r="B3417" t="s">
        <v>687</v>
      </c>
      <c r="C3417" t="s">
        <v>687</v>
      </c>
      <c r="D3417" t="s">
        <v>3185</v>
      </c>
      <c r="E3417" t="s">
        <v>461</v>
      </c>
      <c r="F3417" t="s">
        <v>668</v>
      </c>
      <c r="G3417">
        <v>2050</v>
      </c>
      <c r="H3417" s="12">
        <v>0.39</v>
      </c>
      <c r="I3417" t="s">
        <v>3183</v>
      </c>
      <c r="J3417" t="s">
        <v>394</v>
      </c>
      <c r="K3417" t="s">
        <v>147</v>
      </c>
      <c r="L3417" t="s">
        <v>655</v>
      </c>
      <c r="M3417" t="s">
        <v>16</v>
      </c>
    </row>
    <row r="3418" spans="1:13">
      <c r="A3418" t="s">
        <v>851</v>
      </c>
      <c r="B3418" t="s">
        <v>686</v>
      </c>
      <c r="C3418" t="s">
        <v>686</v>
      </c>
      <c r="D3418" t="s">
        <v>3185</v>
      </c>
      <c r="E3418" t="s">
        <v>646</v>
      </c>
      <c r="F3418" t="s">
        <v>40</v>
      </c>
      <c r="G3418">
        <v>2010</v>
      </c>
      <c r="H3418" s="12">
        <v>1488</v>
      </c>
      <c r="I3418" t="s">
        <v>3183</v>
      </c>
      <c r="J3418" t="s">
        <v>6</v>
      </c>
      <c r="K3418" t="s">
        <v>11</v>
      </c>
      <c r="L3418" t="s">
        <v>655</v>
      </c>
      <c r="M3418" t="s">
        <v>659</v>
      </c>
    </row>
    <row r="3419" spans="1:13">
      <c r="A3419" t="s">
        <v>851</v>
      </c>
      <c r="B3419" t="s">
        <v>686</v>
      </c>
      <c r="C3419" t="s">
        <v>686</v>
      </c>
      <c r="D3419" t="s">
        <v>3185</v>
      </c>
      <c r="E3419" t="s">
        <v>646</v>
      </c>
      <c r="F3419" t="s">
        <v>40</v>
      </c>
      <c r="G3419">
        <v>2010</v>
      </c>
      <c r="H3419" s="12">
        <v>3132</v>
      </c>
      <c r="I3419" t="s">
        <v>3183</v>
      </c>
      <c r="J3419" t="s">
        <v>6</v>
      </c>
      <c r="K3419" t="s">
        <v>658</v>
      </c>
      <c r="L3419" t="s">
        <v>655</v>
      </c>
      <c r="M3419" t="s">
        <v>659</v>
      </c>
    </row>
    <row r="3420" spans="1:13">
      <c r="A3420" t="s">
        <v>851</v>
      </c>
      <c r="B3420" t="s">
        <v>686</v>
      </c>
      <c r="C3420" t="s">
        <v>686</v>
      </c>
      <c r="D3420" t="s">
        <v>3185</v>
      </c>
      <c r="E3420" t="s">
        <v>646</v>
      </c>
      <c r="F3420" t="s">
        <v>40</v>
      </c>
      <c r="G3420">
        <v>2015</v>
      </c>
      <c r="H3420" s="12">
        <v>2877</v>
      </c>
      <c r="I3420" t="s">
        <v>3183</v>
      </c>
      <c r="J3420" t="s">
        <v>6</v>
      </c>
      <c r="K3420" t="s">
        <v>658</v>
      </c>
      <c r="L3420" t="s">
        <v>655</v>
      </c>
      <c r="M3420" t="s">
        <v>659</v>
      </c>
    </row>
    <row r="3421" spans="1:13">
      <c r="A3421" t="s">
        <v>851</v>
      </c>
      <c r="B3421" t="s">
        <v>686</v>
      </c>
      <c r="C3421" t="s">
        <v>686</v>
      </c>
      <c r="D3421" t="s">
        <v>3185</v>
      </c>
      <c r="E3421" t="s">
        <v>646</v>
      </c>
      <c r="F3421" t="s">
        <v>40</v>
      </c>
      <c r="G3421">
        <v>2020</v>
      </c>
      <c r="H3421" s="12">
        <v>3996</v>
      </c>
      <c r="I3421" t="s">
        <v>3183</v>
      </c>
      <c r="J3421" t="s">
        <v>6</v>
      </c>
      <c r="K3421" t="s">
        <v>658</v>
      </c>
      <c r="L3421" t="s">
        <v>655</v>
      </c>
      <c r="M3421" t="s">
        <v>659</v>
      </c>
    </row>
    <row r="3422" spans="1:13">
      <c r="A3422" t="s">
        <v>851</v>
      </c>
      <c r="B3422" t="s">
        <v>686</v>
      </c>
      <c r="C3422" t="s">
        <v>686</v>
      </c>
      <c r="D3422" t="s">
        <v>3185</v>
      </c>
      <c r="E3422" t="s">
        <v>646</v>
      </c>
      <c r="F3422" t="s">
        <v>40</v>
      </c>
      <c r="G3422">
        <v>2030</v>
      </c>
      <c r="H3422" s="12">
        <v>4216</v>
      </c>
      <c r="I3422" t="s">
        <v>3183</v>
      </c>
      <c r="J3422" t="s">
        <v>6</v>
      </c>
      <c r="K3422" t="s">
        <v>658</v>
      </c>
      <c r="L3422" t="s">
        <v>655</v>
      </c>
      <c r="M3422" t="s">
        <v>659</v>
      </c>
    </row>
    <row r="3423" spans="1:13">
      <c r="A3423" t="s">
        <v>851</v>
      </c>
      <c r="B3423" t="s">
        <v>686</v>
      </c>
      <c r="C3423" t="s">
        <v>686</v>
      </c>
      <c r="D3423" t="s">
        <v>3185</v>
      </c>
      <c r="E3423" t="s">
        <v>646</v>
      </c>
      <c r="F3423" t="s">
        <v>40</v>
      </c>
      <c r="G3423">
        <v>2035</v>
      </c>
      <c r="H3423" s="12">
        <v>4091</v>
      </c>
      <c r="I3423" t="s">
        <v>3183</v>
      </c>
      <c r="J3423" t="s">
        <v>6</v>
      </c>
      <c r="K3423" t="s">
        <v>658</v>
      </c>
      <c r="L3423" t="s">
        <v>655</v>
      </c>
      <c r="M3423" t="s">
        <v>659</v>
      </c>
    </row>
    <row r="3424" spans="1:13">
      <c r="A3424" t="s">
        <v>851</v>
      </c>
      <c r="B3424" t="s">
        <v>686</v>
      </c>
      <c r="C3424" t="s">
        <v>686</v>
      </c>
      <c r="D3424" t="s">
        <v>3185</v>
      </c>
      <c r="E3424" t="s">
        <v>646</v>
      </c>
      <c r="F3424" t="s">
        <v>40</v>
      </c>
      <c r="G3424">
        <v>2040</v>
      </c>
      <c r="H3424" s="12">
        <v>4026</v>
      </c>
      <c r="I3424" t="s">
        <v>3183</v>
      </c>
      <c r="J3424" t="s">
        <v>6</v>
      </c>
      <c r="K3424" t="s">
        <v>658</v>
      </c>
      <c r="L3424" t="s">
        <v>655</v>
      </c>
      <c r="M3424" t="s">
        <v>659</v>
      </c>
    </row>
    <row r="3425" spans="1:13">
      <c r="A3425" t="s">
        <v>851</v>
      </c>
      <c r="B3425" t="s">
        <v>686</v>
      </c>
      <c r="C3425" t="s">
        <v>686</v>
      </c>
      <c r="D3425" t="s">
        <v>3185</v>
      </c>
      <c r="E3425" t="s">
        <v>646</v>
      </c>
      <c r="F3425" t="s">
        <v>40</v>
      </c>
      <c r="G3425">
        <v>2045</v>
      </c>
      <c r="H3425" s="12">
        <v>4060</v>
      </c>
      <c r="I3425" t="s">
        <v>3183</v>
      </c>
      <c r="J3425" t="s">
        <v>6</v>
      </c>
      <c r="K3425" t="s">
        <v>658</v>
      </c>
      <c r="L3425" t="s">
        <v>655</v>
      </c>
      <c r="M3425" t="s">
        <v>659</v>
      </c>
    </row>
    <row r="3426" spans="1:13">
      <c r="A3426" t="s">
        <v>851</v>
      </c>
      <c r="B3426" t="s">
        <v>686</v>
      </c>
      <c r="C3426" t="s">
        <v>686</v>
      </c>
      <c r="D3426" t="s">
        <v>3185</v>
      </c>
      <c r="E3426" t="s">
        <v>646</v>
      </c>
      <c r="F3426" t="s">
        <v>40</v>
      </c>
      <c r="G3426">
        <v>2050</v>
      </c>
      <c r="H3426" s="12">
        <v>4080</v>
      </c>
      <c r="I3426" t="s">
        <v>3183</v>
      </c>
      <c r="J3426" t="s">
        <v>6</v>
      </c>
      <c r="K3426" t="s">
        <v>658</v>
      </c>
      <c r="L3426" t="s">
        <v>655</v>
      </c>
      <c r="M3426" t="s">
        <v>659</v>
      </c>
    </row>
    <row r="3427" spans="1:13">
      <c r="A3427" t="s">
        <v>851</v>
      </c>
      <c r="B3427" t="s">
        <v>687</v>
      </c>
      <c r="C3427" t="s">
        <v>687</v>
      </c>
      <c r="D3427" t="s">
        <v>3185</v>
      </c>
      <c r="E3427" t="s">
        <v>646</v>
      </c>
      <c r="F3427" t="s">
        <v>40</v>
      </c>
      <c r="G3427">
        <v>2030</v>
      </c>
      <c r="H3427" s="12">
        <v>4095</v>
      </c>
      <c r="I3427" t="s">
        <v>3183</v>
      </c>
      <c r="J3427" t="s">
        <v>6</v>
      </c>
      <c r="K3427" t="s">
        <v>658</v>
      </c>
      <c r="L3427" t="s">
        <v>655</v>
      </c>
      <c r="M3427" t="s">
        <v>659</v>
      </c>
    </row>
    <row r="3428" spans="1:13">
      <c r="A3428" t="s">
        <v>851</v>
      </c>
      <c r="B3428" t="s">
        <v>687</v>
      </c>
      <c r="C3428" t="s">
        <v>687</v>
      </c>
      <c r="D3428" t="s">
        <v>3185</v>
      </c>
      <c r="E3428" t="s">
        <v>646</v>
      </c>
      <c r="F3428" t="s">
        <v>40</v>
      </c>
      <c r="G3428">
        <v>2035</v>
      </c>
      <c r="H3428" s="12">
        <v>3888</v>
      </c>
      <c r="I3428" t="s">
        <v>3183</v>
      </c>
      <c r="J3428" t="s">
        <v>6</v>
      </c>
      <c r="K3428" t="s">
        <v>658</v>
      </c>
      <c r="L3428" t="s">
        <v>655</v>
      </c>
      <c r="M3428" t="s">
        <v>659</v>
      </c>
    </row>
    <row r="3429" spans="1:13">
      <c r="A3429" t="s">
        <v>851</v>
      </c>
      <c r="B3429" t="s">
        <v>687</v>
      </c>
      <c r="C3429" t="s">
        <v>687</v>
      </c>
      <c r="D3429" t="s">
        <v>3185</v>
      </c>
      <c r="E3429" t="s">
        <v>646</v>
      </c>
      <c r="F3429" t="s">
        <v>40</v>
      </c>
      <c r="G3429">
        <v>2040</v>
      </c>
      <c r="H3429" s="12">
        <v>3765</v>
      </c>
      <c r="I3429" t="s">
        <v>3183</v>
      </c>
      <c r="J3429" t="s">
        <v>6</v>
      </c>
      <c r="K3429" t="s">
        <v>658</v>
      </c>
      <c r="L3429" t="s">
        <v>655</v>
      </c>
      <c r="M3429" t="s">
        <v>659</v>
      </c>
    </row>
    <row r="3430" spans="1:13">
      <c r="A3430" t="s">
        <v>851</v>
      </c>
      <c r="B3430" t="s">
        <v>687</v>
      </c>
      <c r="C3430" t="s">
        <v>687</v>
      </c>
      <c r="D3430" t="s">
        <v>3185</v>
      </c>
      <c r="E3430" t="s">
        <v>646</v>
      </c>
      <c r="F3430" t="s">
        <v>40</v>
      </c>
      <c r="G3430">
        <v>2045</v>
      </c>
      <c r="H3430" s="12">
        <v>3712</v>
      </c>
      <c r="I3430" t="s">
        <v>3183</v>
      </c>
      <c r="J3430" t="s">
        <v>6</v>
      </c>
      <c r="K3430" t="s">
        <v>658</v>
      </c>
      <c r="L3430" t="s">
        <v>655</v>
      </c>
      <c r="M3430" t="s">
        <v>659</v>
      </c>
    </row>
    <row r="3431" spans="1:13">
      <c r="A3431" t="s">
        <v>851</v>
      </c>
      <c r="B3431" t="s">
        <v>687</v>
      </c>
      <c r="C3431" t="s">
        <v>687</v>
      </c>
      <c r="D3431" t="s">
        <v>3185</v>
      </c>
      <c r="E3431" t="s">
        <v>646</v>
      </c>
      <c r="F3431" t="s">
        <v>40</v>
      </c>
      <c r="G3431">
        <v>2050</v>
      </c>
      <c r="H3431" s="12">
        <v>3651</v>
      </c>
      <c r="I3431" t="s">
        <v>3183</v>
      </c>
      <c r="J3431" t="s">
        <v>6</v>
      </c>
      <c r="K3431" t="s">
        <v>658</v>
      </c>
      <c r="L3431" t="s">
        <v>655</v>
      </c>
      <c r="M3431" t="s">
        <v>659</v>
      </c>
    </row>
    <row r="3432" spans="1:13">
      <c r="A3432" t="s">
        <v>851</v>
      </c>
      <c r="B3432" t="s">
        <v>686</v>
      </c>
      <c r="C3432" t="s">
        <v>686</v>
      </c>
      <c r="D3432" t="s">
        <v>3185</v>
      </c>
      <c r="E3432" t="s">
        <v>646</v>
      </c>
      <c r="F3432" t="s">
        <v>40</v>
      </c>
      <c r="G3432">
        <v>2010</v>
      </c>
      <c r="H3432" s="12">
        <v>358</v>
      </c>
      <c r="I3432" t="s">
        <v>3183</v>
      </c>
      <c r="J3432" t="s">
        <v>5</v>
      </c>
      <c r="K3432" t="s">
        <v>658</v>
      </c>
      <c r="L3432" t="s">
        <v>655</v>
      </c>
      <c r="M3432" t="s">
        <v>5</v>
      </c>
    </row>
    <row r="3433" spans="1:13">
      <c r="A3433" t="s">
        <v>851</v>
      </c>
      <c r="B3433" t="s">
        <v>686</v>
      </c>
      <c r="C3433" t="s">
        <v>686</v>
      </c>
      <c r="D3433" t="s">
        <v>3185</v>
      </c>
      <c r="E3433" t="s">
        <v>646</v>
      </c>
      <c r="F3433" t="s">
        <v>40</v>
      </c>
      <c r="G3433">
        <v>2015</v>
      </c>
      <c r="H3433" s="12">
        <v>329</v>
      </c>
      <c r="I3433" t="s">
        <v>3183</v>
      </c>
      <c r="J3433" t="s">
        <v>5</v>
      </c>
      <c r="K3433" t="s">
        <v>658</v>
      </c>
      <c r="L3433" t="s">
        <v>655</v>
      </c>
      <c r="M3433" t="s">
        <v>5</v>
      </c>
    </row>
    <row r="3434" spans="1:13">
      <c r="A3434" t="s">
        <v>851</v>
      </c>
      <c r="B3434" t="s">
        <v>686</v>
      </c>
      <c r="C3434" t="s">
        <v>686</v>
      </c>
      <c r="D3434" t="s">
        <v>3185</v>
      </c>
      <c r="E3434" t="s">
        <v>646</v>
      </c>
      <c r="F3434" t="s">
        <v>40</v>
      </c>
      <c r="G3434">
        <v>2020</v>
      </c>
      <c r="H3434" s="12">
        <v>354</v>
      </c>
      <c r="I3434" t="s">
        <v>3183</v>
      </c>
      <c r="J3434" t="s">
        <v>5</v>
      </c>
      <c r="K3434" t="s">
        <v>658</v>
      </c>
      <c r="L3434" t="s">
        <v>655</v>
      </c>
      <c r="M3434" t="s">
        <v>5</v>
      </c>
    </row>
    <row r="3435" spans="1:13">
      <c r="A3435" t="s">
        <v>851</v>
      </c>
      <c r="B3435" t="s">
        <v>686</v>
      </c>
      <c r="C3435" t="s">
        <v>686</v>
      </c>
      <c r="D3435" t="s">
        <v>3185</v>
      </c>
      <c r="E3435" t="s">
        <v>646</v>
      </c>
      <c r="F3435" t="s">
        <v>40</v>
      </c>
      <c r="G3435">
        <v>2030</v>
      </c>
      <c r="H3435" s="12">
        <v>209</v>
      </c>
      <c r="I3435" t="s">
        <v>3183</v>
      </c>
      <c r="J3435" t="s">
        <v>5</v>
      </c>
      <c r="K3435" t="s">
        <v>658</v>
      </c>
      <c r="L3435" t="s">
        <v>655</v>
      </c>
      <c r="M3435" t="s">
        <v>5</v>
      </c>
    </row>
    <row r="3436" spans="1:13">
      <c r="A3436" t="s">
        <v>851</v>
      </c>
      <c r="B3436" t="s">
        <v>686</v>
      </c>
      <c r="C3436" t="s">
        <v>686</v>
      </c>
      <c r="D3436" t="s">
        <v>3185</v>
      </c>
      <c r="E3436" t="s">
        <v>646</v>
      </c>
      <c r="F3436" t="s">
        <v>40</v>
      </c>
      <c r="G3436">
        <v>2035</v>
      </c>
      <c r="H3436" s="12">
        <v>163</v>
      </c>
      <c r="I3436" t="s">
        <v>3183</v>
      </c>
      <c r="J3436" t="s">
        <v>5</v>
      </c>
      <c r="K3436" t="s">
        <v>658</v>
      </c>
      <c r="L3436" t="s">
        <v>655</v>
      </c>
      <c r="M3436" t="s">
        <v>5</v>
      </c>
    </row>
    <row r="3437" spans="1:13">
      <c r="A3437" t="s">
        <v>851</v>
      </c>
      <c r="B3437" t="s">
        <v>686</v>
      </c>
      <c r="C3437" t="s">
        <v>686</v>
      </c>
      <c r="D3437" t="s">
        <v>3185</v>
      </c>
      <c r="E3437" t="s">
        <v>646</v>
      </c>
      <c r="F3437" t="s">
        <v>40</v>
      </c>
      <c r="G3437">
        <v>2040</v>
      </c>
      <c r="H3437" s="12">
        <v>143</v>
      </c>
      <c r="I3437" t="s">
        <v>3183</v>
      </c>
      <c r="J3437" t="s">
        <v>5</v>
      </c>
      <c r="K3437" t="s">
        <v>658</v>
      </c>
      <c r="L3437" t="s">
        <v>655</v>
      </c>
      <c r="M3437" t="s">
        <v>5</v>
      </c>
    </row>
    <row r="3438" spans="1:13">
      <c r="A3438" t="s">
        <v>851</v>
      </c>
      <c r="B3438" t="s">
        <v>686</v>
      </c>
      <c r="C3438" t="s">
        <v>686</v>
      </c>
      <c r="D3438" t="s">
        <v>3185</v>
      </c>
      <c r="E3438" t="s">
        <v>646</v>
      </c>
      <c r="F3438" t="s">
        <v>40</v>
      </c>
      <c r="G3438">
        <v>2045</v>
      </c>
      <c r="H3438" s="12">
        <v>122</v>
      </c>
      <c r="I3438" t="s">
        <v>3183</v>
      </c>
      <c r="J3438" t="s">
        <v>5</v>
      </c>
      <c r="K3438" t="s">
        <v>658</v>
      </c>
      <c r="L3438" t="s">
        <v>655</v>
      </c>
      <c r="M3438" t="s">
        <v>5</v>
      </c>
    </row>
    <row r="3439" spans="1:13">
      <c r="A3439" t="s">
        <v>851</v>
      </c>
      <c r="B3439" t="s">
        <v>686</v>
      </c>
      <c r="C3439" t="s">
        <v>686</v>
      </c>
      <c r="D3439" t="s">
        <v>3185</v>
      </c>
      <c r="E3439" t="s">
        <v>646</v>
      </c>
      <c r="F3439" t="s">
        <v>40</v>
      </c>
      <c r="G3439">
        <v>2050</v>
      </c>
      <c r="H3439" s="12">
        <v>106</v>
      </c>
      <c r="I3439" t="s">
        <v>3183</v>
      </c>
      <c r="J3439" t="s">
        <v>5</v>
      </c>
      <c r="K3439" t="s">
        <v>658</v>
      </c>
      <c r="L3439" t="s">
        <v>655</v>
      </c>
      <c r="M3439" t="s">
        <v>5</v>
      </c>
    </row>
    <row r="3440" spans="1:13">
      <c r="A3440" t="s">
        <v>851</v>
      </c>
      <c r="B3440" t="s">
        <v>687</v>
      </c>
      <c r="C3440" t="s">
        <v>687</v>
      </c>
      <c r="D3440" t="s">
        <v>3185</v>
      </c>
      <c r="E3440" t="s">
        <v>646</v>
      </c>
      <c r="F3440" t="s">
        <v>40</v>
      </c>
      <c r="G3440">
        <v>2030</v>
      </c>
      <c r="H3440" s="12">
        <v>194</v>
      </c>
      <c r="I3440" t="s">
        <v>3183</v>
      </c>
      <c r="J3440" t="s">
        <v>5</v>
      </c>
      <c r="K3440" t="s">
        <v>658</v>
      </c>
      <c r="L3440" t="s">
        <v>655</v>
      </c>
      <c r="M3440" t="s">
        <v>5</v>
      </c>
    </row>
    <row r="3441" spans="1:13">
      <c r="A3441" t="s">
        <v>851</v>
      </c>
      <c r="B3441" t="s">
        <v>687</v>
      </c>
      <c r="C3441" t="s">
        <v>687</v>
      </c>
      <c r="D3441" t="s">
        <v>3185</v>
      </c>
      <c r="E3441" t="s">
        <v>646</v>
      </c>
      <c r="F3441" t="s">
        <v>40</v>
      </c>
      <c r="G3441">
        <v>2035</v>
      </c>
      <c r="H3441" s="12">
        <v>123</v>
      </c>
      <c r="I3441" t="s">
        <v>3183</v>
      </c>
      <c r="J3441" t="s">
        <v>5</v>
      </c>
      <c r="K3441" t="s">
        <v>658</v>
      </c>
      <c r="L3441" t="s">
        <v>655</v>
      </c>
      <c r="M3441" t="s">
        <v>5</v>
      </c>
    </row>
    <row r="3442" spans="1:13">
      <c r="A3442" t="s">
        <v>851</v>
      </c>
      <c r="B3442" t="s">
        <v>687</v>
      </c>
      <c r="C3442" t="s">
        <v>687</v>
      </c>
      <c r="D3442" t="s">
        <v>3185</v>
      </c>
      <c r="E3442" t="s">
        <v>646</v>
      </c>
      <c r="F3442" t="s">
        <v>40</v>
      </c>
      <c r="G3442">
        <v>2040</v>
      </c>
      <c r="H3442" s="12">
        <v>87</v>
      </c>
      <c r="I3442" t="s">
        <v>3183</v>
      </c>
      <c r="J3442" t="s">
        <v>5</v>
      </c>
      <c r="K3442" t="s">
        <v>658</v>
      </c>
      <c r="L3442" t="s">
        <v>655</v>
      </c>
      <c r="M3442" t="s">
        <v>5</v>
      </c>
    </row>
    <row r="3443" spans="1:13">
      <c r="A3443" t="s">
        <v>851</v>
      </c>
      <c r="B3443" t="s">
        <v>687</v>
      </c>
      <c r="C3443" t="s">
        <v>687</v>
      </c>
      <c r="D3443" t="s">
        <v>3185</v>
      </c>
      <c r="E3443" t="s">
        <v>646</v>
      </c>
      <c r="F3443" t="s">
        <v>40</v>
      </c>
      <c r="G3443">
        <v>2045</v>
      </c>
      <c r="H3443" s="12">
        <v>66</v>
      </c>
      <c r="I3443" t="s">
        <v>3183</v>
      </c>
      <c r="J3443" t="s">
        <v>5</v>
      </c>
      <c r="K3443" t="s">
        <v>658</v>
      </c>
      <c r="L3443" t="s">
        <v>655</v>
      </c>
      <c r="M3443" t="s">
        <v>5</v>
      </c>
    </row>
    <row r="3444" spans="1:13">
      <c r="A3444" t="s">
        <v>851</v>
      </c>
      <c r="B3444" t="s">
        <v>687</v>
      </c>
      <c r="C3444" t="s">
        <v>687</v>
      </c>
      <c r="D3444" t="s">
        <v>3185</v>
      </c>
      <c r="E3444" t="s">
        <v>646</v>
      </c>
      <c r="F3444" t="s">
        <v>40</v>
      </c>
      <c r="G3444">
        <v>2050</v>
      </c>
      <c r="H3444" s="12">
        <v>50</v>
      </c>
      <c r="I3444" t="s">
        <v>3183</v>
      </c>
      <c r="J3444" t="s">
        <v>5</v>
      </c>
      <c r="K3444" t="s">
        <v>658</v>
      </c>
      <c r="L3444" t="s">
        <v>655</v>
      </c>
      <c r="M3444" t="s">
        <v>5</v>
      </c>
    </row>
    <row r="3445" spans="1:13">
      <c r="A3445" t="s">
        <v>851</v>
      </c>
      <c r="B3445" t="s">
        <v>686</v>
      </c>
      <c r="C3445" t="s">
        <v>686</v>
      </c>
      <c r="D3445" t="s">
        <v>3185</v>
      </c>
      <c r="E3445" t="s">
        <v>461</v>
      </c>
      <c r="F3445" t="s">
        <v>668</v>
      </c>
      <c r="G3445">
        <v>2030</v>
      </c>
      <c r="H3445" s="12">
        <v>13.8</v>
      </c>
      <c r="I3445" t="s">
        <v>3183</v>
      </c>
      <c r="J3445" t="s">
        <v>17</v>
      </c>
      <c r="K3445" t="s">
        <v>147</v>
      </c>
      <c r="L3445" t="s">
        <v>655</v>
      </c>
      <c r="M3445" t="s">
        <v>671</v>
      </c>
    </row>
    <row r="3446" spans="1:13">
      <c r="A3446" t="s">
        <v>851</v>
      </c>
      <c r="B3446" t="s">
        <v>686</v>
      </c>
      <c r="C3446" t="s">
        <v>686</v>
      </c>
      <c r="D3446" t="s">
        <v>3185</v>
      </c>
      <c r="E3446" t="s">
        <v>461</v>
      </c>
      <c r="F3446" t="s">
        <v>668</v>
      </c>
      <c r="G3446">
        <v>2035</v>
      </c>
      <c r="H3446" s="12">
        <v>17.96</v>
      </c>
      <c r="I3446" t="s">
        <v>3183</v>
      </c>
      <c r="J3446" t="s">
        <v>17</v>
      </c>
      <c r="K3446" t="s">
        <v>147</v>
      </c>
      <c r="L3446" t="s">
        <v>655</v>
      </c>
      <c r="M3446" t="s">
        <v>671</v>
      </c>
    </row>
    <row r="3447" spans="1:13">
      <c r="A3447" t="s">
        <v>851</v>
      </c>
      <c r="B3447" t="s">
        <v>686</v>
      </c>
      <c r="C3447" t="s">
        <v>686</v>
      </c>
      <c r="D3447" t="s">
        <v>3185</v>
      </c>
      <c r="E3447" t="s">
        <v>461</v>
      </c>
      <c r="F3447" t="s">
        <v>668</v>
      </c>
      <c r="G3447">
        <v>2040</v>
      </c>
      <c r="H3447" s="12">
        <v>22.31</v>
      </c>
      <c r="I3447" t="s">
        <v>3183</v>
      </c>
      <c r="J3447" t="s">
        <v>17</v>
      </c>
      <c r="K3447" t="s">
        <v>147</v>
      </c>
      <c r="L3447" t="s">
        <v>655</v>
      </c>
      <c r="M3447" t="s">
        <v>671</v>
      </c>
    </row>
    <row r="3448" spans="1:13">
      <c r="A3448" t="s">
        <v>851</v>
      </c>
      <c r="B3448" t="s">
        <v>686</v>
      </c>
      <c r="C3448" t="s">
        <v>686</v>
      </c>
      <c r="D3448" t="s">
        <v>3185</v>
      </c>
      <c r="E3448" t="s">
        <v>461</v>
      </c>
      <c r="F3448" t="s">
        <v>668</v>
      </c>
      <c r="G3448">
        <v>2045</v>
      </c>
      <c r="H3448" s="12">
        <v>26.39</v>
      </c>
      <c r="I3448" t="s">
        <v>3183</v>
      </c>
      <c r="J3448" t="s">
        <v>17</v>
      </c>
      <c r="K3448" t="s">
        <v>147</v>
      </c>
      <c r="L3448" t="s">
        <v>655</v>
      </c>
      <c r="M3448" t="s">
        <v>671</v>
      </c>
    </row>
    <row r="3449" spans="1:13">
      <c r="A3449" t="s">
        <v>851</v>
      </c>
      <c r="B3449" t="s">
        <v>686</v>
      </c>
      <c r="C3449" t="s">
        <v>686</v>
      </c>
      <c r="D3449" t="s">
        <v>3185</v>
      </c>
      <c r="E3449" t="s">
        <v>461</v>
      </c>
      <c r="F3449" t="s">
        <v>668</v>
      </c>
      <c r="G3449">
        <v>2050</v>
      </c>
      <c r="H3449" s="12">
        <v>30.63</v>
      </c>
      <c r="I3449" t="s">
        <v>3183</v>
      </c>
      <c r="J3449" t="s">
        <v>17</v>
      </c>
      <c r="K3449" t="s">
        <v>147</v>
      </c>
      <c r="L3449" t="s">
        <v>655</v>
      </c>
      <c r="M3449" t="s">
        <v>671</v>
      </c>
    </row>
    <row r="3450" spans="1:13">
      <c r="A3450" t="s">
        <v>851</v>
      </c>
      <c r="B3450" t="s">
        <v>687</v>
      </c>
      <c r="C3450" t="s">
        <v>687</v>
      </c>
      <c r="D3450" t="s">
        <v>3185</v>
      </c>
      <c r="E3450" t="s">
        <v>461</v>
      </c>
      <c r="F3450" t="s">
        <v>668</v>
      </c>
      <c r="G3450">
        <v>2030</v>
      </c>
      <c r="H3450" s="12">
        <v>16.03</v>
      </c>
      <c r="I3450" t="s">
        <v>3183</v>
      </c>
      <c r="J3450" t="s">
        <v>17</v>
      </c>
      <c r="K3450" t="s">
        <v>147</v>
      </c>
      <c r="L3450" t="s">
        <v>655</v>
      </c>
      <c r="M3450" t="s">
        <v>671</v>
      </c>
    </row>
    <row r="3451" spans="1:13">
      <c r="A3451" t="s">
        <v>851</v>
      </c>
      <c r="B3451" t="s">
        <v>687</v>
      </c>
      <c r="C3451" t="s">
        <v>687</v>
      </c>
      <c r="D3451" t="s">
        <v>3185</v>
      </c>
      <c r="E3451" t="s">
        <v>461</v>
      </c>
      <c r="F3451" t="s">
        <v>668</v>
      </c>
      <c r="G3451">
        <v>2035</v>
      </c>
      <c r="H3451" s="12">
        <v>22.69</v>
      </c>
      <c r="I3451" t="s">
        <v>3183</v>
      </c>
      <c r="J3451" t="s">
        <v>17</v>
      </c>
      <c r="K3451" t="s">
        <v>147</v>
      </c>
      <c r="L3451" t="s">
        <v>655</v>
      </c>
      <c r="M3451" t="s">
        <v>671</v>
      </c>
    </row>
    <row r="3452" spans="1:13">
      <c r="A3452" t="s">
        <v>851</v>
      </c>
      <c r="B3452" t="s">
        <v>687</v>
      </c>
      <c r="C3452" t="s">
        <v>687</v>
      </c>
      <c r="D3452" t="s">
        <v>3185</v>
      </c>
      <c r="E3452" t="s">
        <v>461</v>
      </c>
      <c r="F3452" t="s">
        <v>668</v>
      </c>
      <c r="G3452">
        <v>2040</v>
      </c>
      <c r="H3452" s="12">
        <v>29.88</v>
      </c>
      <c r="I3452" t="s">
        <v>3183</v>
      </c>
      <c r="J3452" t="s">
        <v>17</v>
      </c>
      <c r="K3452" t="s">
        <v>147</v>
      </c>
      <c r="L3452" t="s">
        <v>655</v>
      </c>
      <c r="M3452" t="s">
        <v>671</v>
      </c>
    </row>
    <row r="3453" spans="1:13">
      <c r="A3453" t="s">
        <v>851</v>
      </c>
      <c r="B3453" t="s">
        <v>687</v>
      </c>
      <c r="C3453" t="s">
        <v>687</v>
      </c>
      <c r="D3453" t="s">
        <v>3185</v>
      </c>
      <c r="E3453" t="s">
        <v>461</v>
      </c>
      <c r="F3453" t="s">
        <v>668</v>
      </c>
      <c r="G3453">
        <v>2045</v>
      </c>
      <c r="H3453" s="12">
        <v>36.729999999999997</v>
      </c>
      <c r="I3453" t="s">
        <v>3183</v>
      </c>
      <c r="J3453" t="s">
        <v>17</v>
      </c>
      <c r="K3453" t="s">
        <v>147</v>
      </c>
      <c r="L3453" t="s">
        <v>655</v>
      </c>
      <c r="M3453" t="s">
        <v>671</v>
      </c>
    </row>
    <row r="3454" spans="1:13">
      <c r="A3454" t="s">
        <v>851</v>
      </c>
      <c r="B3454" t="s">
        <v>687</v>
      </c>
      <c r="C3454" t="s">
        <v>687</v>
      </c>
      <c r="D3454" t="s">
        <v>3185</v>
      </c>
      <c r="E3454" t="s">
        <v>461</v>
      </c>
      <c r="F3454" t="s">
        <v>668</v>
      </c>
      <c r="G3454">
        <v>2050</v>
      </c>
      <c r="H3454" s="12">
        <v>45.34</v>
      </c>
      <c r="I3454" t="s">
        <v>3183</v>
      </c>
      <c r="J3454" t="s">
        <v>17</v>
      </c>
      <c r="K3454" t="s">
        <v>147</v>
      </c>
      <c r="L3454" t="s">
        <v>655</v>
      </c>
      <c r="M3454" t="s">
        <v>671</v>
      </c>
    </row>
    <row r="3455" spans="1:13">
      <c r="A3455" t="s">
        <v>851</v>
      </c>
      <c r="B3455" t="s">
        <v>686</v>
      </c>
      <c r="C3455" t="s">
        <v>686</v>
      </c>
      <c r="D3455" t="s">
        <v>3185</v>
      </c>
      <c r="E3455" t="s">
        <v>461</v>
      </c>
      <c r="F3455" t="s">
        <v>668</v>
      </c>
      <c r="G3455">
        <v>2010</v>
      </c>
      <c r="H3455" s="12">
        <v>0.01</v>
      </c>
      <c r="I3455" t="s">
        <v>3183</v>
      </c>
      <c r="J3455" t="s">
        <v>18</v>
      </c>
      <c r="K3455" t="s">
        <v>147</v>
      </c>
      <c r="L3455" t="s">
        <v>655</v>
      </c>
      <c r="M3455" t="s">
        <v>18</v>
      </c>
    </row>
    <row r="3456" spans="1:13">
      <c r="A3456" t="s">
        <v>851</v>
      </c>
      <c r="B3456" t="s">
        <v>686</v>
      </c>
      <c r="C3456" t="s">
        <v>686</v>
      </c>
      <c r="D3456" t="s">
        <v>3185</v>
      </c>
      <c r="E3456" t="s">
        <v>461</v>
      </c>
      <c r="F3456" t="s">
        <v>668</v>
      </c>
      <c r="G3456">
        <v>2015</v>
      </c>
      <c r="H3456" s="12">
        <v>0.28999999999999998</v>
      </c>
      <c r="I3456" t="s">
        <v>3183</v>
      </c>
      <c r="J3456" t="s">
        <v>18</v>
      </c>
      <c r="K3456" t="s">
        <v>147</v>
      </c>
      <c r="L3456" t="s">
        <v>655</v>
      </c>
      <c r="M3456" t="s">
        <v>18</v>
      </c>
    </row>
    <row r="3457" spans="1:13">
      <c r="A3457" t="s">
        <v>851</v>
      </c>
      <c r="B3457" t="s">
        <v>686</v>
      </c>
      <c r="C3457" t="s">
        <v>686</v>
      </c>
      <c r="D3457" t="s">
        <v>3185</v>
      </c>
      <c r="E3457" t="s">
        <v>461</v>
      </c>
      <c r="F3457" t="s">
        <v>668</v>
      </c>
      <c r="G3457">
        <v>2020</v>
      </c>
      <c r="H3457" s="12">
        <v>1.22</v>
      </c>
      <c r="I3457" t="s">
        <v>3183</v>
      </c>
      <c r="J3457" t="s">
        <v>18</v>
      </c>
      <c r="K3457" t="s">
        <v>147</v>
      </c>
      <c r="L3457" t="s">
        <v>655</v>
      </c>
      <c r="M3457" t="s">
        <v>18</v>
      </c>
    </row>
    <row r="3458" spans="1:13">
      <c r="A3458" t="s">
        <v>851</v>
      </c>
      <c r="B3458" t="s">
        <v>686</v>
      </c>
      <c r="C3458" t="s">
        <v>686</v>
      </c>
      <c r="D3458" t="s">
        <v>3185</v>
      </c>
      <c r="E3458" t="s">
        <v>461</v>
      </c>
      <c r="F3458" t="s">
        <v>668</v>
      </c>
      <c r="G3458">
        <v>2030</v>
      </c>
      <c r="H3458" s="12">
        <v>23.13</v>
      </c>
      <c r="I3458" t="s">
        <v>3183</v>
      </c>
      <c r="J3458" t="s">
        <v>18</v>
      </c>
      <c r="K3458" t="s">
        <v>147</v>
      </c>
      <c r="L3458" t="s">
        <v>655</v>
      </c>
      <c r="M3458" t="s">
        <v>18</v>
      </c>
    </row>
    <row r="3459" spans="1:13">
      <c r="A3459" t="s">
        <v>851</v>
      </c>
      <c r="B3459" t="s">
        <v>686</v>
      </c>
      <c r="C3459" t="s">
        <v>686</v>
      </c>
      <c r="D3459" t="s">
        <v>3185</v>
      </c>
      <c r="E3459" t="s">
        <v>461</v>
      </c>
      <c r="F3459" t="s">
        <v>668</v>
      </c>
      <c r="G3459">
        <v>2035</v>
      </c>
      <c r="H3459" s="12">
        <v>36.04</v>
      </c>
      <c r="I3459" t="s">
        <v>3183</v>
      </c>
      <c r="J3459" t="s">
        <v>18</v>
      </c>
      <c r="K3459" t="s">
        <v>147</v>
      </c>
      <c r="L3459" t="s">
        <v>655</v>
      </c>
      <c r="M3459" t="s">
        <v>18</v>
      </c>
    </row>
    <row r="3460" spans="1:13">
      <c r="A3460" t="s">
        <v>851</v>
      </c>
      <c r="B3460" t="s">
        <v>686</v>
      </c>
      <c r="C3460" t="s">
        <v>686</v>
      </c>
      <c r="D3460" t="s">
        <v>3185</v>
      </c>
      <c r="E3460" t="s">
        <v>461</v>
      </c>
      <c r="F3460" t="s">
        <v>668</v>
      </c>
      <c r="G3460">
        <v>2040</v>
      </c>
      <c r="H3460" s="12">
        <v>51.47</v>
      </c>
      <c r="I3460" t="s">
        <v>3183</v>
      </c>
      <c r="J3460" t="s">
        <v>18</v>
      </c>
      <c r="K3460" t="s">
        <v>147</v>
      </c>
      <c r="L3460" t="s">
        <v>655</v>
      </c>
      <c r="M3460" t="s">
        <v>18</v>
      </c>
    </row>
    <row r="3461" spans="1:13">
      <c r="A3461" t="s">
        <v>851</v>
      </c>
      <c r="B3461" t="s">
        <v>686</v>
      </c>
      <c r="C3461" t="s">
        <v>686</v>
      </c>
      <c r="D3461" t="s">
        <v>3185</v>
      </c>
      <c r="E3461" t="s">
        <v>461</v>
      </c>
      <c r="F3461" t="s">
        <v>668</v>
      </c>
      <c r="G3461">
        <v>2045</v>
      </c>
      <c r="H3461" s="12">
        <v>71.22</v>
      </c>
      <c r="I3461" t="s">
        <v>3183</v>
      </c>
      <c r="J3461" t="s">
        <v>18</v>
      </c>
      <c r="K3461" t="s">
        <v>147</v>
      </c>
      <c r="L3461" t="s">
        <v>655</v>
      </c>
      <c r="M3461" t="s">
        <v>18</v>
      </c>
    </row>
    <row r="3462" spans="1:13">
      <c r="A3462" t="s">
        <v>851</v>
      </c>
      <c r="B3462" t="s">
        <v>686</v>
      </c>
      <c r="C3462" t="s">
        <v>686</v>
      </c>
      <c r="D3462" t="s">
        <v>3185</v>
      </c>
      <c r="E3462" t="s">
        <v>461</v>
      </c>
      <c r="F3462" t="s">
        <v>668</v>
      </c>
      <c r="G3462">
        <v>2050</v>
      </c>
      <c r="H3462" s="12">
        <v>91.23</v>
      </c>
      <c r="I3462" t="s">
        <v>3183</v>
      </c>
      <c r="J3462" t="s">
        <v>18</v>
      </c>
      <c r="K3462" t="s">
        <v>147</v>
      </c>
      <c r="L3462" t="s">
        <v>655</v>
      </c>
      <c r="M3462" t="s">
        <v>18</v>
      </c>
    </row>
    <row r="3463" spans="1:13">
      <c r="A3463" t="s">
        <v>851</v>
      </c>
      <c r="B3463" t="s">
        <v>687</v>
      </c>
      <c r="C3463" t="s">
        <v>687</v>
      </c>
      <c r="D3463" t="s">
        <v>3185</v>
      </c>
      <c r="E3463" t="s">
        <v>461</v>
      </c>
      <c r="F3463" t="s">
        <v>668</v>
      </c>
      <c r="G3463">
        <v>2030</v>
      </c>
      <c r="H3463" s="12">
        <v>50.52</v>
      </c>
      <c r="I3463" t="s">
        <v>3183</v>
      </c>
      <c r="J3463" t="s">
        <v>18</v>
      </c>
      <c r="K3463" t="s">
        <v>147</v>
      </c>
      <c r="L3463" t="s">
        <v>655</v>
      </c>
      <c r="M3463" t="s">
        <v>18</v>
      </c>
    </row>
    <row r="3464" spans="1:13">
      <c r="A3464" t="s">
        <v>851</v>
      </c>
      <c r="B3464" t="s">
        <v>687</v>
      </c>
      <c r="C3464" t="s">
        <v>687</v>
      </c>
      <c r="D3464" t="s">
        <v>3185</v>
      </c>
      <c r="E3464" t="s">
        <v>461</v>
      </c>
      <c r="F3464" t="s">
        <v>668</v>
      </c>
      <c r="G3464">
        <v>2035</v>
      </c>
      <c r="H3464" s="12">
        <v>88.14</v>
      </c>
      <c r="I3464" t="s">
        <v>3183</v>
      </c>
      <c r="J3464" t="s">
        <v>18</v>
      </c>
      <c r="K3464" t="s">
        <v>147</v>
      </c>
      <c r="L3464" t="s">
        <v>655</v>
      </c>
      <c r="M3464" t="s">
        <v>18</v>
      </c>
    </row>
    <row r="3465" spans="1:13">
      <c r="A3465" t="s">
        <v>851</v>
      </c>
      <c r="B3465" t="s">
        <v>687</v>
      </c>
      <c r="C3465" t="s">
        <v>687</v>
      </c>
      <c r="D3465" t="s">
        <v>3185</v>
      </c>
      <c r="E3465" t="s">
        <v>461</v>
      </c>
      <c r="F3465" t="s">
        <v>668</v>
      </c>
      <c r="G3465">
        <v>2040</v>
      </c>
      <c r="H3465" s="12">
        <v>128.75</v>
      </c>
      <c r="I3465" t="s">
        <v>3183</v>
      </c>
      <c r="J3465" t="s">
        <v>18</v>
      </c>
      <c r="K3465" t="s">
        <v>147</v>
      </c>
      <c r="L3465" t="s">
        <v>655</v>
      </c>
      <c r="M3465" t="s">
        <v>18</v>
      </c>
    </row>
    <row r="3466" spans="1:13">
      <c r="A3466" t="s">
        <v>851</v>
      </c>
      <c r="B3466" t="s">
        <v>687</v>
      </c>
      <c r="C3466" t="s">
        <v>687</v>
      </c>
      <c r="D3466" t="s">
        <v>3185</v>
      </c>
      <c r="E3466" t="s">
        <v>461</v>
      </c>
      <c r="F3466" t="s">
        <v>668</v>
      </c>
      <c r="G3466">
        <v>2045</v>
      </c>
      <c r="H3466" s="12">
        <v>171.18</v>
      </c>
      <c r="I3466" t="s">
        <v>3183</v>
      </c>
      <c r="J3466" t="s">
        <v>18</v>
      </c>
      <c r="K3466" t="s">
        <v>147</v>
      </c>
      <c r="L3466" t="s">
        <v>655</v>
      </c>
      <c r="M3466" t="s">
        <v>18</v>
      </c>
    </row>
    <row r="3467" spans="1:13">
      <c r="A3467" t="s">
        <v>851</v>
      </c>
      <c r="B3467" t="s">
        <v>687</v>
      </c>
      <c r="C3467" t="s">
        <v>687</v>
      </c>
      <c r="D3467" t="s">
        <v>3185</v>
      </c>
      <c r="E3467" t="s">
        <v>461</v>
      </c>
      <c r="F3467" t="s">
        <v>668</v>
      </c>
      <c r="G3467">
        <v>2050</v>
      </c>
      <c r="H3467" s="12">
        <v>213.37</v>
      </c>
      <c r="I3467" t="s">
        <v>3183</v>
      </c>
      <c r="J3467" t="s">
        <v>18</v>
      </c>
      <c r="K3467" t="s">
        <v>147</v>
      </c>
      <c r="L3467" t="s">
        <v>655</v>
      </c>
      <c r="M3467" t="s">
        <v>18</v>
      </c>
    </row>
    <row r="3468" spans="1:13">
      <c r="A3468" t="s">
        <v>851</v>
      </c>
      <c r="B3468" t="s">
        <v>686</v>
      </c>
      <c r="C3468" t="s">
        <v>686</v>
      </c>
      <c r="D3468" t="s">
        <v>3185</v>
      </c>
      <c r="E3468" t="s">
        <v>461</v>
      </c>
      <c r="F3468" t="s">
        <v>668</v>
      </c>
      <c r="G3468">
        <v>2010</v>
      </c>
      <c r="H3468" s="12">
        <v>225.58</v>
      </c>
      <c r="I3468" t="s">
        <v>3183</v>
      </c>
      <c r="J3468" t="s">
        <v>14</v>
      </c>
      <c r="K3468" t="s">
        <v>147</v>
      </c>
      <c r="L3468" t="s">
        <v>655</v>
      </c>
      <c r="M3468" t="s">
        <v>14</v>
      </c>
    </row>
    <row r="3469" spans="1:13">
      <c r="A3469" t="s">
        <v>851</v>
      </c>
      <c r="B3469" t="s">
        <v>686</v>
      </c>
      <c r="C3469" t="s">
        <v>686</v>
      </c>
      <c r="D3469" t="s">
        <v>3185</v>
      </c>
      <c r="E3469" t="s">
        <v>461</v>
      </c>
      <c r="F3469" t="s">
        <v>668</v>
      </c>
      <c r="G3469">
        <v>2015</v>
      </c>
      <c r="H3469" s="12">
        <v>224.49</v>
      </c>
      <c r="I3469" t="s">
        <v>3183</v>
      </c>
      <c r="J3469" t="s">
        <v>14</v>
      </c>
      <c r="K3469" t="s">
        <v>147</v>
      </c>
      <c r="L3469" t="s">
        <v>655</v>
      </c>
      <c r="M3469" t="s">
        <v>14</v>
      </c>
    </row>
    <row r="3470" spans="1:13">
      <c r="A3470" t="s">
        <v>851</v>
      </c>
      <c r="B3470" t="s">
        <v>686</v>
      </c>
      <c r="C3470" t="s">
        <v>686</v>
      </c>
      <c r="D3470" t="s">
        <v>3185</v>
      </c>
      <c r="E3470" t="s">
        <v>461</v>
      </c>
      <c r="F3470" t="s">
        <v>668</v>
      </c>
      <c r="G3470">
        <v>2020</v>
      </c>
      <c r="H3470" s="12">
        <v>270.44</v>
      </c>
      <c r="I3470" t="s">
        <v>3183</v>
      </c>
      <c r="J3470" t="s">
        <v>14</v>
      </c>
      <c r="K3470" t="s">
        <v>147</v>
      </c>
      <c r="L3470" t="s">
        <v>655</v>
      </c>
      <c r="M3470" t="s">
        <v>14</v>
      </c>
    </row>
    <row r="3471" spans="1:13">
      <c r="A3471" t="s">
        <v>851</v>
      </c>
      <c r="B3471" t="s">
        <v>686</v>
      </c>
      <c r="C3471" t="s">
        <v>686</v>
      </c>
      <c r="D3471" t="s">
        <v>3185</v>
      </c>
      <c r="E3471" t="s">
        <v>461</v>
      </c>
      <c r="F3471" t="s">
        <v>668</v>
      </c>
      <c r="G3471">
        <v>2030</v>
      </c>
      <c r="H3471" s="12">
        <v>293.14</v>
      </c>
      <c r="I3471" t="s">
        <v>3183</v>
      </c>
      <c r="J3471" t="s">
        <v>14</v>
      </c>
      <c r="K3471" t="s">
        <v>147</v>
      </c>
      <c r="L3471" t="s">
        <v>655</v>
      </c>
      <c r="M3471" t="s">
        <v>14</v>
      </c>
    </row>
    <row r="3472" spans="1:13">
      <c r="A3472" t="s">
        <v>851</v>
      </c>
      <c r="B3472" t="s">
        <v>686</v>
      </c>
      <c r="C3472" t="s">
        <v>686</v>
      </c>
      <c r="D3472" t="s">
        <v>3185</v>
      </c>
      <c r="E3472" t="s">
        <v>461</v>
      </c>
      <c r="F3472" t="s">
        <v>668</v>
      </c>
      <c r="G3472">
        <v>2035</v>
      </c>
      <c r="H3472" s="12">
        <v>309.70999999999998</v>
      </c>
      <c r="I3472" t="s">
        <v>3183</v>
      </c>
      <c r="J3472" t="s">
        <v>14</v>
      </c>
      <c r="K3472" t="s">
        <v>147</v>
      </c>
      <c r="L3472" t="s">
        <v>655</v>
      </c>
      <c r="M3472" t="s">
        <v>14</v>
      </c>
    </row>
    <row r="3473" spans="1:13">
      <c r="A3473" t="s">
        <v>851</v>
      </c>
      <c r="B3473" t="s">
        <v>686</v>
      </c>
      <c r="C3473" t="s">
        <v>686</v>
      </c>
      <c r="D3473" t="s">
        <v>3185</v>
      </c>
      <c r="E3473" t="s">
        <v>461</v>
      </c>
      <c r="F3473" t="s">
        <v>668</v>
      </c>
      <c r="G3473">
        <v>2040</v>
      </c>
      <c r="H3473" s="12">
        <v>323.06</v>
      </c>
      <c r="I3473" t="s">
        <v>3183</v>
      </c>
      <c r="J3473" t="s">
        <v>14</v>
      </c>
      <c r="K3473" t="s">
        <v>147</v>
      </c>
      <c r="L3473" t="s">
        <v>655</v>
      </c>
      <c r="M3473" t="s">
        <v>14</v>
      </c>
    </row>
    <row r="3474" spans="1:13">
      <c r="A3474" t="s">
        <v>851</v>
      </c>
      <c r="B3474" t="s">
        <v>686</v>
      </c>
      <c r="C3474" t="s">
        <v>686</v>
      </c>
      <c r="D3474" t="s">
        <v>3185</v>
      </c>
      <c r="E3474" t="s">
        <v>461</v>
      </c>
      <c r="F3474" t="s">
        <v>668</v>
      </c>
      <c r="G3474">
        <v>2045</v>
      </c>
      <c r="H3474" s="12">
        <v>333.51</v>
      </c>
      <c r="I3474" t="s">
        <v>3183</v>
      </c>
      <c r="J3474" t="s">
        <v>14</v>
      </c>
      <c r="K3474" t="s">
        <v>147</v>
      </c>
      <c r="L3474" t="s">
        <v>655</v>
      </c>
      <c r="M3474" t="s">
        <v>14</v>
      </c>
    </row>
    <row r="3475" spans="1:13">
      <c r="A3475" t="s">
        <v>851</v>
      </c>
      <c r="B3475" t="s">
        <v>686</v>
      </c>
      <c r="C3475" t="s">
        <v>686</v>
      </c>
      <c r="D3475" t="s">
        <v>3185</v>
      </c>
      <c r="E3475" t="s">
        <v>646</v>
      </c>
      <c r="F3475" t="s">
        <v>40</v>
      </c>
      <c r="G3475">
        <v>2010</v>
      </c>
      <c r="H3475" s="12">
        <v>328</v>
      </c>
      <c r="I3475" t="s">
        <v>3183</v>
      </c>
      <c r="J3475" t="s">
        <v>344</v>
      </c>
      <c r="K3475" t="s">
        <v>11</v>
      </c>
      <c r="L3475" t="s">
        <v>655</v>
      </c>
      <c r="M3475" t="s">
        <v>10</v>
      </c>
    </row>
    <row r="3476" spans="1:13">
      <c r="A3476" t="s">
        <v>851</v>
      </c>
      <c r="B3476" t="s">
        <v>686</v>
      </c>
      <c r="C3476" t="s">
        <v>686</v>
      </c>
      <c r="D3476" t="s">
        <v>3185</v>
      </c>
      <c r="E3476" t="s">
        <v>646</v>
      </c>
      <c r="F3476" t="s">
        <v>40</v>
      </c>
      <c r="G3476">
        <v>2015</v>
      </c>
      <c r="H3476" s="12">
        <v>314</v>
      </c>
      <c r="I3476" t="s">
        <v>3183</v>
      </c>
      <c r="J3476" t="s">
        <v>344</v>
      </c>
      <c r="K3476" t="s">
        <v>11</v>
      </c>
      <c r="L3476" t="s">
        <v>655</v>
      </c>
      <c r="M3476" t="s">
        <v>10</v>
      </c>
    </row>
    <row r="3477" spans="1:13">
      <c r="A3477" t="s">
        <v>851</v>
      </c>
      <c r="B3477" t="s">
        <v>686</v>
      </c>
      <c r="C3477" t="s">
        <v>686</v>
      </c>
      <c r="D3477" t="s">
        <v>3185</v>
      </c>
      <c r="E3477" t="s">
        <v>646</v>
      </c>
      <c r="F3477" t="s">
        <v>40</v>
      </c>
      <c r="G3477">
        <v>2020</v>
      </c>
      <c r="H3477" s="12">
        <v>297</v>
      </c>
      <c r="I3477" t="s">
        <v>3183</v>
      </c>
      <c r="J3477" t="s">
        <v>344</v>
      </c>
      <c r="K3477" t="s">
        <v>11</v>
      </c>
      <c r="L3477" t="s">
        <v>655</v>
      </c>
      <c r="M3477" t="s">
        <v>10</v>
      </c>
    </row>
    <row r="3478" spans="1:13">
      <c r="A3478" t="s">
        <v>851</v>
      </c>
      <c r="B3478" t="s">
        <v>686</v>
      </c>
      <c r="C3478" t="s">
        <v>686</v>
      </c>
      <c r="D3478" t="s">
        <v>3185</v>
      </c>
      <c r="E3478" t="s">
        <v>646</v>
      </c>
      <c r="F3478" t="s">
        <v>40</v>
      </c>
      <c r="G3478">
        <v>2030</v>
      </c>
      <c r="H3478" s="12">
        <v>345</v>
      </c>
      <c r="I3478" t="s">
        <v>3183</v>
      </c>
      <c r="J3478" t="s">
        <v>344</v>
      </c>
      <c r="K3478" t="s">
        <v>11</v>
      </c>
      <c r="L3478" t="s">
        <v>655</v>
      </c>
      <c r="M3478" t="s">
        <v>10</v>
      </c>
    </row>
    <row r="3479" spans="1:13">
      <c r="A3479" t="s">
        <v>851</v>
      </c>
      <c r="B3479" t="s">
        <v>686</v>
      </c>
      <c r="C3479" t="s">
        <v>686</v>
      </c>
      <c r="D3479" t="s">
        <v>3185</v>
      </c>
      <c r="E3479" t="s">
        <v>646</v>
      </c>
      <c r="F3479" t="s">
        <v>40</v>
      </c>
      <c r="G3479">
        <v>2035</v>
      </c>
      <c r="H3479" s="12">
        <v>377</v>
      </c>
      <c r="I3479" t="s">
        <v>3183</v>
      </c>
      <c r="J3479" t="s">
        <v>344</v>
      </c>
      <c r="K3479" t="s">
        <v>11</v>
      </c>
      <c r="L3479" t="s">
        <v>655</v>
      </c>
      <c r="M3479" t="s">
        <v>10</v>
      </c>
    </row>
    <row r="3480" spans="1:13">
      <c r="A3480" t="s">
        <v>851</v>
      </c>
      <c r="B3480" t="s">
        <v>686</v>
      </c>
      <c r="C3480" t="s">
        <v>686</v>
      </c>
      <c r="D3480" t="s">
        <v>3185</v>
      </c>
      <c r="E3480" t="s">
        <v>646</v>
      </c>
      <c r="F3480" t="s">
        <v>40</v>
      </c>
      <c r="G3480">
        <v>2040</v>
      </c>
      <c r="H3480" s="12">
        <v>407</v>
      </c>
      <c r="I3480" t="s">
        <v>3183</v>
      </c>
      <c r="J3480" t="s">
        <v>344</v>
      </c>
      <c r="K3480" t="s">
        <v>11</v>
      </c>
      <c r="L3480" t="s">
        <v>655</v>
      </c>
      <c r="M3480" t="s">
        <v>10</v>
      </c>
    </row>
    <row r="3481" spans="1:13">
      <c r="A3481" t="s">
        <v>851</v>
      </c>
      <c r="B3481" t="s">
        <v>686</v>
      </c>
      <c r="C3481" t="s">
        <v>686</v>
      </c>
      <c r="D3481" t="s">
        <v>3185</v>
      </c>
      <c r="E3481" t="s">
        <v>646</v>
      </c>
      <c r="F3481" t="s">
        <v>40</v>
      </c>
      <c r="G3481">
        <v>2045</v>
      </c>
      <c r="H3481" s="12">
        <v>435</v>
      </c>
      <c r="I3481" t="s">
        <v>3183</v>
      </c>
      <c r="J3481" t="s">
        <v>344</v>
      </c>
      <c r="K3481" t="s">
        <v>11</v>
      </c>
      <c r="L3481" t="s">
        <v>655</v>
      </c>
      <c r="M3481" t="s">
        <v>10</v>
      </c>
    </row>
    <row r="3482" spans="1:13">
      <c r="A3482" t="s">
        <v>851</v>
      </c>
      <c r="B3482" t="s">
        <v>686</v>
      </c>
      <c r="C3482" t="s">
        <v>686</v>
      </c>
      <c r="D3482" t="s">
        <v>3185</v>
      </c>
      <c r="E3482" t="s">
        <v>646</v>
      </c>
      <c r="F3482" t="s">
        <v>40</v>
      </c>
      <c r="G3482">
        <v>2050</v>
      </c>
      <c r="H3482" s="12">
        <v>461</v>
      </c>
      <c r="I3482" t="s">
        <v>3183</v>
      </c>
      <c r="J3482" t="s">
        <v>344</v>
      </c>
      <c r="K3482" t="s">
        <v>11</v>
      </c>
      <c r="L3482" t="s">
        <v>655</v>
      </c>
      <c r="M3482" t="s">
        <v>10</v>
      </c>
    </row>
    <row r="3483" spans="1:13">
      <c r="A3483" t="s">
        <v>851</v>
      </c>
      <c r="B3483" t="s">
        <v>687</v>
      </c>
      <c r="C3483" t="s">
        <v>687</v>
      </c>
      <c r="D3483" t="s">
        <v>3185</v>
      </c>
      <c r="E3483" t="s">
        <v>646</v>
      </c>
      <c r="F3483" t="s">
        <v>40</v>
      </c>
      <c r="G3483">
        <v>2030</v>
      </c>
      <c r="H3483" s="12">
        <v>358</v>
      </c>
      <c r="I3483" t="s">
        <v>3183</v>
      </c>
      <c r="J3483" t="s">
        <v>344</v>
      </c>
      <c r="K3483" t="s">
        <v>11</v>
      </c>
      <c r="L3483" t="s">
        <v>655</v>
      </c>
      <c r="M3483" t="s">
        <v>10</v>
      </c>
    </row>
    <row r="3484" spans="1:13">
      <c r="A3484" t="s">
        <v>851</v>
      </c>
      <c r="B3484" t="s">
        <v>687</v>
      </c>
      <c r="C3484" t="s">
        <v>687</v>
      </c>
      <c r="D3484" t="s">
        <v>3185</v>
      </c>
      <c r="E3484" t="s">
        <v>646</v>
      </c>
      <c r="F3484" t="s">
        <v>40</v>
      </c>
      <c r="G3484">
        <v>2035</v>
      </c>
      <c r="H3484" s="12">
        <v>409</v>
      </c>
      <c r="I3484" t="s">
        <v>3183</v>
      </c>
      <c r="J3484" t="s">
        <v>344</v>
      </c>
      <c r="K3484" t="s">
        <v>11</v>
      </c>
      <c r="L3484" t="s">
        <v>655</v>
      </c>
      <c r="M3484" t="s">
        <v>10</v>
      </c>
    </row>
    <row r="3485" spans="1:13">
      <c r="A3485" t="s">
        <v>851</v>
      </c>
      <c r="B3485" t="s">
        <v>687</v>
      </c>
      <c r="C3485" t="s">
        <v>687</v>
      </c>
      <c r="D3485" t="s">
        <v>3185</v>
      </c>
      <c r="E3485" t="s">
        <v>646</v>
      </c>
      <c r="F3485" t="s">
        <v>40</v>
      </c>
      <c r="G3485">
        <v>2040</v>
      </c>
      <c r="H3485" s="12">
        <v>460</v>
      </c>
      <c r="I3485" t="s">
        <v>3183</v>
      </c>
      <c r="J3485" t="s">
        <v>344</v>
      </c>
      <c r="K3485" t="s">
        <v>11</v>
      </c>
      <c r="L3485" t="s">
        <v>655</v>
      </c>
      <c r="M3485" t="s">
        <v>10</v>
      </c>
    </row>
    <row r="3486" spans="1:13">
      <c r="A3486" t="s">
        <v>851</v>
      </c>
      <c r="B3486" t="s">
        <v>687</v>
      </c>
      <c r="C3486" t="s">
        <v>687</v>
      </c>
      <c r="D3486" t="s">
        <v>3185</v>
      </c>
      <c r="E3486" t="s">
        <v>646</v>
      </c>
      <c r="F3486" t="s">
        <v>40</v>
      </c>
      <c r="G3486">
        <v>2045</v>
      </c>
      <c r="H3486" s="12">
        <v>517</v>
      </c>
      <c r="I3486" t="s">
        <v>3183</v>
      </c>
      <c r="J3486" t="s">
        <v>344</v>
      </c>
      <c r="K3486" t="s">
        <v>11</v>
      </c>
      <c r="L3486" t="s">
        <v>655</v>
      </c>
      <c r="M3486" t="s">
        <v>10</v>
      </c>
    </row>
    <row r="3487" spans="1:13">
      <c r="A3487" t="s">
        <v>851</v>
      </c>
      <c r="B3487" t="s">
        <v>687</v>
      </c>
      <c r="C3487" t="s">
        <v>687</v>
      </c>
      <c r="D3487" t="s">
        <v>3185</v>
      </c>
      <c r="E3487" t="s">
        <v>646</v>
      </c>
      <c r="F3487" t="s">
        <v>40</v>
      </c>
      <c r="G3487">
        <v>2050</v>
      </c>
      <c r="H3487" s="12">
        <v>576</v>
      </c>
      <c r="I3487" t="s">
        <v>3183</v>
      </c>
      <c r="J3487" t="s">
        <v>344</v>
      </c>
      <c r="K3487" t="s">
        <v>11</v>
      </c>
      <c r="L3487" t="s">
        <v>655</v>
      </c>
      <c r="M3487" t="s">
        <v>10</v>
      </c>
    </row>
    <row r="3488" spans="1:13">
      <c r="A3488" t="s">
        <v>851</v>
      </c>
      <c r="B3488" t="s">
        <v>686</v>
      </c>
      <c r="C3488" t="s">
        <v>686</v>
      </c>
      <c r="D3488" t="s">
        <v>3185</v>
      </c>
      <c r="E3488" t="s">
        <v>646</v>
      </c>
      <c r="F3488" t="s">
        <v>40</v>
      </c>
      <c r="G3488">
        <v>2015</v>
      </c>
      <c r="H3488" s="12">
        <v>1290</v>
      </c>
      <c r="I3488" t="s">
        <v>3183</v>
      </c>
      <c r="J3488" t="s">
        <v>6</v>
      </c>
      <c r="K3488" t="s">
        <v>11</v>
      </c>
      <c r="L3488" t="s">
        <v>655</v>
      </c>
      <c r="M3488" t="s">
        <v>659</v>
      </c>
    </row>
    <row r="3489" spans="1:13">
      <c r="A3489" t="s">
        <v>851</v>
      </c>
      <c r="B3489" t="s">
        <v>686</v>
      </c>
      <c r="C3489" t="s">
        <v>686</v>
      </c>
      <c r="D3489" t="s">
        <v>3185</v>
      </c>
      <c r="E3489" t="s">
        <v>646</v>
      </c>
      <c r="F3489" t="s">
        <v>40</v>
      </c>
      <c r="G3489">
        <v>2020</v>
      </c>
      <c r="H3489" s="12">
        <v>1254</v>
      </c>
      <c r="I3489" t="s">
        <v>3183</v>
      </c>
      <c r="J3489" t="s">
        <v>6</v>
      </c>
      <c r="K3489" t="s">
        <v>11</v>
      </c>
      <c r="L3489" t="s">
        <v>655</v>
      </c>
      <c r="M3489" t="s">
        <v>659</v>
      </c>
    </row>
    <row r="3490" spans="1:13">
      <c r="A3490" t="s">
        <v>851</v>
      </c>
      <c r="B3490" t="s">
        <v>686</v>
      </c>
      <c r="C3490" t="s">
        <v>686</v>
      </c>
      <c r="D3490" t="s">
        <v>3185</v>
      </c>
      <c r="E3490" t="s">
        <v>646</v>
      </c>
      <c r="F3490" t="s">
        <v>40</v>
      </c>
      <c r="G3490">
        <v>2030</v>
      </c>
      <c r="H3490" s="12">
        <v>1317</v>
      </c>
      <c r="I3490" t="s">
        <v>3183</v>
      </c>
      <c r="J3490" t="s">
        <v>6</v>
      </c>
      <c r="K3490" t="s">
        <v>11</v>
      </c>
      <c r="L3490" t="s">
        <v>655</v>
      </c>
      <c r="M3490" t="s">
        <v>659</v>
      </c>
    </row>
    <row r="3491" spans="1:13">
      <c r="A3491" t="s">
        <v>851</v>
      </c>
      <c r="B3491" t="s">
        <v>686</v>
      </c>
      <c r="C3491" t="s">
        <v>686</v>
      </c>
      <c r="D3491" t="s">
        <v>3185</v>
      </c>
      <c r="E3491" t="s">
        <v>646</v>
      </c>
      <c r="F3491" t="s">
        <v>40</v>
      </c>
      <c r="G3491">
        <v>2035</v>
      </c>
      <c r="H3491" s="12">
        <v>1330</v>
      </c>
      <c r="I3491" t="s">
        <v>3183</v>
      </c>
      <c r="J3491" t="s">
        <v>6</v>
      </c>
      <c r="K3491" t="s">
        <v>11</v>
      </c>
      <c r="L3491" t="s">
        <v>655</v>
      </c>
      <c r="M3491" t="s">
        <v>659</v>
      </c>
    </row>
    <row r="3492" spans="1:13">
      <c r="A3492" t="s">
        <v>851</v>
      </c>
      <c r="B3492" t="s">
        <v>686</v>
      </c>
      <c r="C3492" t="s">
        <v>686</v>
      </c>
      <c r="D3492" t="s">
        <v>3185</v>
      </c>
      <c r="E3492" t="s">
        <v>646</v>
      </c>
      <c r="F3492" t="s">
        <v>40</v>
      </c>
      <c r="G3492">
        <v>2040</v>
      </c>
      <c r="H3492" s="12">
        <v>1307</v>
      </c>
      <c r="I3492" t="s">
        <v>3183</v>
      </c>
      <c r="J3492" t="s">
        <v>6</v>
      </c>
      <c r="K3492" t="s">
        <v>11</v>
      </c>
      <c r="L3492" t="s">
        <v>655</v>
      </c>
      <c r="M3492" t="s">
        <v>659</v>
      </c>
    </row>
    <row r="3493" spans="1:13">
      <c r="A3493" t="s">
        <v>851</v>
      </c>
      <c r="B3493" t="s">
        <v>686</v>
      </c>
      <c r="C3493" t="s">
        <v>686</v>
      </c>
      <c r="D3493" t="s">
        <v>3185</v>
      </c>
      <c r="E3493" t="s">
        <v>646</v>
      </c>
      <c r="F3493" t="s">
        <v>40</v>
      </c>
      <c r="G3493">
        <v>2045</v>
      </c>
      <c r="H3493" s="12">
        <v>1285</v>
      </c>
      <c r="I3493" t="s">
        <v>3183</v>
      </c>
      <c r="J3493" t="s">
        <v>6</v>
      </c>
      <c r="K3493" t="s">
        <v>11</v>
      </c>
      <c r="L3493" t="s">
        <v>655</v>
      </c>
      <c r="M3493" t="s">
        <v>659</v>
      </c>
    </row>
    <row r="3494" spans="1:13">
      <c r="A3494" t="s">
        <v>851</v>
      </c>
      <c r="B3494" t="s">
        <v>686</v>
      </c>
      <c r="C3494" t="s">
        <v>686</v>
      </c>
      <c r="D3494" t="s">
        <v>3185</v>
      </c>
      <c r="E3494" t="s">
        <v>646</v>
      </c>
      <c r="F3494" t="s">
        <v>40</v>
      </c>
      <c r="G3494">
        <v>2050</v>
      </c>
      <c r="H3494" s="12">
        <v>1276</v>
      </c>
      <c r="I3494" t="s">
        <v>3183</v>
      </c>
      <c r="J3494" t="s">
        <v>6</v>
      </c>
      <c r="K3494" t="s">
        <v>11</v>
      </c>
      <c r="L3494" t="s">
        <v>655</v>
      </c>
      <c r="M3494" t="s">
        <v>659</v>
      </c>
    </row>
    <row r="3495" spans="1:13">
      <c r="A3495" t="s">
        <v>851</v>
      </c>
      <c r="B3495" t="s">
        <v>687</v>
      </c>
      <c r="C3495" t="s">
        <v>687</v>
      </c>
      <c r="D3495" t="s">
        <v>3185</v>
      </c>
      <c r="E3495" t="s">
        <v>646</v>
      </c>
      <c r="F3495" t="s">
        <v>40</v>
      </c>
      <c r="G3495">
        <v>2030</v>
      </c>
      <c r="H3495" s="12">
        <v>1157</v>
      </c>
      <c r="I3495" t="s">
        <v>3183</v>
      </c>
      <c r="J3495" t="s">
        <v>6</v>
      </c>
      <c r="K3495" t="s">
        <v>11</v>
      </c>
      <c r="L3495" t="s">
        <v>655</v>
      </c>
      <c r="M3495" t="s">
        <v>659</v>
      </c>
    </row>
    <row r="3496" spans="1:13">
      <c r="A3496" t="s">
        <v>851</v>
      </c>
      <c r="B3496" t="s">
        <v>687</v>
      </c>
      <c r="C3496" t="s">
        <v>687</v>
      </c>
      <c r="D3496" t="s">
        <v>3185</v>
      </c>
      <c r="E3496" t="s">
        <v>646</v>
      </c>
      <c r="F3496" t="s">
        <v>40</v>
      </c>
      <c r="G3496">
        <v>2035</v>
      </c>
      <c r="H3496" s="12">
        <v>1067</v>
      </c>
      <c r="I3496" t="s">
        <v>3183</v>
      </c>
      <c r="J3496" t="s">
        <v>6</v>
      </c>
      <c r="K3496" t="s">
        <v>11</v>
      </c>
      <c r="L3496" t="s">
        <v>655</v>
      </c>
      <c r="M3496" t="s">
        <v>659</v>
      </c>
    </row>
    <row r="3497" spans="1:13">
      <c r="A3497" t="s">
        <v>851</v>
      </c>
      <c r="B3497" t="s">
        <v>687</v>
      </c>
      <c r="C3497" t="s">
        <v>687</v>
      </c>
      <c r="D3497" t="s">
        <v>3185</v>
      </c>
      <c r="E3497" t="s">
        <v>646</v>
      </c>
      <c r="F3497" t="s">
        <v>40</v>
      </c>
      <c r="G3497">
        <v>2040</v>
      </c>
      <c r="H3497" s="12">
        <v>965</v>
      </c>
      <c r="I3497" t="s">
        <v>3183</v>
      </c>
      <c r="J3497" t="s">
        <v>6</v>
      </c>
      <c r="K3497" t="s">
        <v>11</v>
      </c>
      <c r="L3497" t="s">
        <v>655</v>
      </c>
      <c r="M3497" t="s">
        <v>659</v>
      </c>
    </row>
    <row r="3498" spans="1:13">
      <c r="A3498" t="s">
        <v>851</v>
      </c>
      <c r="B3498" t="s">
        <v>687</v>
      </c>
      <c r="C3498" t="s">
        <v>687</v>
      </c>
      <c r="D3498" t="s">
        <v>3185</v>
      </c>
      <c r="E3498" t="s">
        <v>646</v>
      </c>
      <c r="F3498" t="s">
        <v>40</v>
      </c>
      <c r="G3498">
        <v>2045</v>
      </c>
      <c r="H3498" s="12">
        <v>874</v>
      </c>
      <c r="I3498" t="s">
        <v>3183</v>
      </c>
      <c r="J3498" t="s">
        <v>6</v>
      </c>
      <c r="K3498" t="s">
        <v>11</v>
      </c>
      <c r="L3498" t="s">
        <v>655</v>
      </c>
      <c r="M3498" t="s">
        <v>659</v>
      </c>
    </row>
    <row r="3499" spans="1:13">
      <c r="A3499" t="s">
        <v>851</v>
      </c>
      <c r="B3499" t="s">
        <v>687</v>
      </c>
      <c r="C3499" t="s">
        <v>687</v>
      </c>
      <c r="D3499" t="s">
        <v>3185</v>
      </c>
      <c r="E3499" t="s">
        <v>646</v>
      </c>
      <c r="F3499" t="s">
        <v>40</v>
      </c>
      <c r="G3499">
        <v>2050</v>
      </c>
      <c r="H3499" s="12">
        <v>810</v>
      </c>
      <c r="I3499" t="s">
        <v>3183</v>
      </c>
      <c r="J3499" t="s">
        <v>6</v>
      </c>
      <c r="K3499" t="s">
        <v>11</v>
      </c>
      <c r="L3499" t="s">
        <v>655</v>
      </c>
      <c r="M3499" t="s">
        <v>659</v>
      </c>
    </row>
    <row r="3500" spans="1:13">
      <c r="A3500" t="s">
        <v>851</v>
      </c>
      <c r="B3500" t="s">
        <v>686</v>
      </c>
      <c r="C3500" t="s">
        <v>686</v>
      </c>
      <c r="D3500" t="s">
        <v>3185</v>
      </c>
      <c r="E3500" t="s">
        <v>646</v>
      </c>
      <c r="F3500" t="s">
        <v>40</v>
      </c>
      <c r="G3500">
        <v>2010</v>
      </c>
      <c r="H3500" s="12">
        <v>1273</v>
      </c>
      <c r="I3500" t="s">
        <v>3183</v>
      </c>
      <c r="J3500" t="s">
        <v>344</v>
      </c>
      <c r="K3500" t="s">
        <v>658</v>
      </c>
      <c r="L3500" t="s">
        <v>655</v>
      </c>
      <c r="M3500" t="s">
        <v>10</v>
      </c>
    </row>
    <row r="3501" spans="1:13">
      <c r="A3501" t="s">
        <v>851</v>
      </c>
      <c r="B3501" t="s">
        <v>686</v>
      </c>
      <c r="C3501" t="s">
        <v>686</v>
      </c>
      <c r="D3501" t="s">
        <v>3185</v>
      </c>
      <c r="E3501" t="s">
        <v>646</v>
      </c>
      <c r="F3501" t="s">
        <v>40</v>
      </c>
      <c r="G3501">
        <v>2015</v>
      </c>
      <c r="H3501" s="12">
        <v>1375</v>
      </c>
      <c r="I3501" t="s">
        <v>3183</v>
      </c>
      <c r="J3501" t="s">
        <v>344</v>
      </c>
      <c r="K3501" t="s">
        <v>658</v>
      </c>
      <c r="L3501" t="s">
        <v>655</v>
      </c>
      <c r="M3501" t="s">
        <v>10</v>
      </c>
    </row>
    <row r="3502" spans="1:13">
      <c r="A3502" t="s">
        <v>851</v>
      </c>
      <c r="B3502" t="s">
        <v>686</v>
      </c>
      <c r="C3502" t="s">
        <v>686</v>
      </c>
      <c r="D3502" t="s">
        <v>3185</v>
      </c>
      <c r="E3502" t="s">
        <v>646</v>
      </c>
      <c r="F3502" t="s">
        <v>40</v>
      </c>
      <c r="G3502">
        <v>2020</v>
      </c>
      <c r="H3502" s="12">
        <v>1484</v>
      </c>
      <c r="I3502" t="s">
        <v>3183</v>
      </c>
      <c r="J3502" t="s">
        <v>344</v>
      </c>
      <c r="K3502" t="s">
        <v>658</v>
      </c>
      <c r="L3502" t="s">
        <v>655</v>
      </c>
      <c r="M3502" t="s">
        <v>10</v>
      </c>
    </row>
    <row r="3503" spans="1:13">
      <c r="A3503" t="s">
        <v>851</v>
      </c>
      <c r="B3503" t="s">
        <v>686</v>
      </c>
      <c r="C3503" t="s">
        <v>686</v>
      </c>
      <c r="D3503" t="s">
        <v>3185</v>
      </c>
      <c r="E3503" t="s">
        <v>646</v>
      </c>
      <c r="F3503" t="s">
        <v>40</v>
      </c>
      <c r="G3503">
        <v>2030</v>
      </c>
      <c r="H3503" s="12">
        <v>1740</v>
      </c>
      <c r="I3503" t="s">
        <v>3183</v>
      </c>
      <c r="J3503" t="s">
        <v>344</v>
      </c>
      <c r="K3503" t="s">
        <v>658</v>
      </c>
      <c r="L3503" t="s">
        <v>655</v>
      </c>
      <c r="M3503" t="s">
        <v>10</v>
      </c>
    </row>
    <row r="3504" spans="1:13">
      <c r="A3504" t="s">
        <v>851</v>
      </c>
      <c r="B3504" t="s">
        <v>686</v>
      </c>
      <c r="C3504" t="s">
        <v>686</v>
      </c>
      <c r="D3504" t="s">
        <v>3185</v>
      </c>
      <c r="E3504" t="s">
        <v>646</v>
      </c>
      <c r="F3504" t="s">
        <v>40</v>
      </c>
      <c r="G3504">
        <v>2035</v>
      </c>
      <c r="H3504" s="12">
        <v>1896</v>
      </c>
      <c r="I3504" t="s">
        <v>3183</v>
      </c>
      <c r="J3504" t="s">
        <v>344</v>
      </c>
      <c r="K3504" t="s">
        <v>658</v>
      </c>
      <c r="L3504" t="s">
        <v>655</v>
      </c>
      <c r="M3504" t="s">
        <v>10</v>
      </c>
    </row>
    <row r="3505" spans="1:13">
      <c r="A3505" t="s">
        <v>851</v>
      </c>
      <c r="B3505" t="s">
        <v>686</v>
      </c>
      <c r="C3505" t="s">
        <v>686</v>
      </c>
      <c r="D3505" t="s">
        <v>3185</v>
      </c>
      <c r="E3505" t="s">
        <v>646</v>
      </c>
      <c r="F3505" t="s">
        <v>40</v>
      </c>
      <c r="G3505">
        <v>2040</v>
      </c>
      <c r="H3505" s="12">
        <v>2064</v>
      </c>
      <c r="I3505" t="s">
        <v>3183</v>
      </c>
      <c r="J3505" t="s">
        <v>344</v>
      </c>
      <c r="K3505" t="s">
        <v>658</v>
      </c>
      <c r="L3505" t="s">
        <v>655</v>
      </c>
      <c r="M3505" t="s">
        <v>10</v>
      </c>
    </row>
    <row r="3506" spans="1:13">
      <c r="A3506" t="s">
        <v>851</v>
      </c>
      <c r="B3506" t="s">
        <v>686</v>
      </c>
      <c r="C3506" t="s">
        <v>686</v>
      </c>
      <c r="D3506" t="s">
        <v>3185</v>
      </c>
      <c r="E3506" t="s">
        <v>646</v>
      </c>
      <c r="F3506" t="s">
        <v>40</v>
      </c>
      <c r="G3506">
        <v>2045</v>
      </c>
      <c r="H3506" s="12">
        <v>2243</v>
      </c>
      <c r="I3506" t="s">
        <v>3183</v>
      </c>
      <c r="J3506" t="s">
        <v>344</v>
      </c>
      <c r="K3506" t="s">
        <v>658</v>
      </c>
      <c r="L3506" t="s">
        <v>655</v>
      </c>
      <c r="M3506" t="s">
        <v>10</v>
      </c>
    </row>
    <row r="3507" spans="1:13">
      <c r="A3507" t="s">
        <v>851</v>
      </c>
      <c r="B3507" t="s">
        <v>686</v>
      </c>
      <c r="C3507" t="s">
        <v>686</v>
      </c>
      <c r="D3507" t="s">
        <v>3185</v>
      </c>
      <c r="E3507" t="s">
        <v>646</v>
      </c>
      <c r="F3507" t="s">
        <v>40</v>
      </c>
      <c r="G3507">
        <v>2050</v>
      </c>
      <c r="H3507" s="12">
        <v>2415</v>
      </c>
      <c r="I3507" t="s">
        <v>3183</v>
      </c>
      <c r="J3507" t="s">
        <v>344</v>
      </c>
      <c r="K3507" t="s">
        <v>658</v>
      </c>
      <c r="L3507" t="s">
        <v>655</v>
      </c>
      <c r="M3507" t="s">
        <v>10</v>
      </c>
    </row>
    <row r="3508" spans="1:13">
      <c r="A3508" t="s">
        <v>851</v>
      </c>
      <c r="B3508" t="s">
        <v>687</v>
      </c>
      <c r="C3508" t="s">
        <v>687</v>
      </c>
      <c r="D3508" t="s">
        <v>3185</v>
      </c>
      <c r="E3508" t="s">
        <v>646</v>
      </c>
      <c r="F3508" t="s">
        <v>40</v>
      </c>
      <c r="G3508">
        <v>2030</v>
      </c>
      <c r="H3508" s="12">
        <v>1747</v>
      </c>
      <c r="I3508" t="s">
        <v>3183</v>
      </c>
      <c r="J3508" t="s">
        <v>344</v>
      </c>
      <c r="K3508" t="s">
        <v>658</v>
      </c>
      <c r="L3508" t="s">
        <v>655</v>
      </c>
      <c r="M3508" t="s">
        <v>10</v>
      </c>
    </row>
    <row r="3509" spans="1:13">
      <c r="A3509" t="s">
        <v>851</v>
      </c>
      <c r="B3509" t="s">
        <v>687</v>
      </c>
      <c r="C3509" t="s">
        <v>687</v>
      </c>
      <c r="D3509" t="s">
        <v>3185</v>
      </c>
      <c r="E3509" t="s">
        <v>646</v>
      </c>
      <c r="F3509" t="s">
        <v>40</v>
      </c>
      <c r="G3509">
        <v>2035</v>
      </c>
      <c r="H3509" s="12">
        <v>1910</v>
      </c>
      <c r="I3509" t="s">
        <v>3183</v>
      </c>
      <c r="J3509" t="s">
        <v>344</v>
      </c>
      <c r="K3509" t="s">
        <v>658</v>
      </c>
      <c r="L3509" t="s">
        <v>655</v>
      </c>
      <c r="M3509" t="s">
        <v>10</v>
      </c>
    </row>
    <row r="3510" spans="1:13">
      <c r="A3510" t="s">
        <v>851</v>
      </c>
      <c r="B3510" t="s">
        <v>687</v>
      </c>
      <c r="C3510" t="s">
        <v>687</v>
      </c>
      <c r="D3510" t="s">
        <v>3185</v>
      </c>
      <c r="E3510" t="s">
        <v>646</v>
      </c>
      <c r="F3510" t="s">
        <v>40</v>
      </c>
      <c r="G3510">
        <v>2040</v>
      </c>
      <c r="H3510" s="12">
        <v>2086</v>
      </c>
      <c r="I3510" t="s">
        <v>3183</v>
      </c>
      <c r="J3510" t="s">
        <v>344</v>
      </c>
      <c r="K3510" t="s">
        <v>658</v>
      </c>
      <c r="L3510" t="s">
        <v>655</v>
      </c>
      <c r="M3510" t="s">
        <v>10</v>
      </c>
    </row>
    <row r="3511" spans="1:13">
      <c r="A3511" t="s">
        <v>851</v>
      </c>
      <c r="B3511" t="s">
        <v>687</v>
      </c>
      <c r="C3511" t="s">
        <v>687</v>
      </c>
      <c r="D3511" t="s">
        <v>3185</v>
      </c>
      <c r="E3511" t="s">
        <v>646</v>
      </c>
      <c r="F3511" t="s">
        <v>40</v>
      </c>
      <c r="G3511">
        <v>2045</v>
      </c>
      <c r="H3511" s="12">
        <v>2246</v>
      </c>
      <c r="I3511" t="s">
        <v>3183</v>
      </c>
      <c r="J3511" t="s">
        <v>344</v>
      </c>
      <c r="K3511" t="s">
        <v>658</v>
      </c>
      <c r="L3511" t="s">
        <v>655</v>
      </c>
      <c r="M3511" t="s">
        <v>10</v>
      </c>
    </row>
    <row r="3512" spans="1:13">
      <c r="A3512" t="s">
        <v>851</v>
      </c>
      <c r="B3512" t="s">
        <v>687</v>
      </c>
      <c r="C3512" t="s">
        <v>687</v>
      </c>
      <c r="D3512" t="s">
        <v>3185</v>
      </c>
      <c r="E3512" t="s">
        <v>646</v>
      </c>
      <c r="F3512" t="s">
        <v>40</v>
      </c>
      <c r="G3512">
        <v>2050</v>
      </c>
      <c r="H3512" s="12">
        <v>2389</v>
      </c>
      <c r="I3512" t="s">
        <v>3183</v>
      </c>
      <c r="J3512" t="s">
        <v>344</v>
      </c>
      <c r="K3512" t="s">
        <v>658</v>
      </c>
      <c r="L3512" t="s">
        <v>655</v>
      </c>
      <c r="M3512" t="s">
        <v>10</v>
      </c>
    </row>
    <row r="3513" spans="1:13">
      <c r="A3513" t="s">
        <v>851</v>
      </c>
      <c r="B3513" t="s">
        <v>686</v>
      </c>
      <c r="C3513" t="s">
        <v>686</v>
      </c>
      <c r="D3513" t="s">
        <v>3185</v>
      </c>
      <c r="E3513" t="s">
        <v>646</v>
      </c>
      <c r="F3513" t="s">
        <v>40</v>
      </c>
      <c r="G3513">
        <v>2010</v>
      </c>
      <c r="H3513" s="12">
        <v>2297</v>
      </c>
      <c r="I3513" t="s">
        <v>3183</v>
      </c>
      <c r="J3513" t="s">
        <v>6</v>
      </c>
      <c r="K3513" t="s">
        <v>9</v>
      </c>
      <c r="L3513" t="s">
        <v>655</v>
      </c>
      <c r="M3513" t="s">
        <v>666</v>
      </c>
    </row>
    <row r="3514" spans="1:13">
      <c r="A3514" t="s">
        <v>851</v>
      </c>
      <c r="B3514" t="s">
        <v>686</v>
      </c>
      <c r="C3514" t="s">
        <v>686</v>
      </c>
      <c r="D3514" t="s">
        <v>3185</v>
      </c>
      <c r="E3514" t="s">
        <v>646</v>
      </c>
      <c r="F3514" t="s">
        <v>40</v>
      </c>
      <c r="G3514">
        <v>2015</v>
      </c>
      <c r="H3514" s="12">
        <v>2306</v>
      </c>
      <c r="I3514" t="s">
        <v>3183</v>
      </c>
      <c r="J3514" t="s">
        <v>6</v>
      </c>
      <c r="K3514" t="s">
        <v>9</v>
      </c>
      <c r="L3514" t="s">
        <v>655</v>
      </c>
      <c r="M3514" t="s">
        <v>666</v>
      </c>
    </row>
    <row r="3515" spans="1:13">
      <c r="A3515" t="s">
        <v>851</v>
      </c>
      <c r="B3515" t="s">
        <v>686</v>
      </c>
      <c r="C3515" t="s">
        <v>686</v>
      </c>
      <c r="D3515" t="s">
        <v>3185</v>
      </c>
      <c r="E3515" t="s">
        <v>646</v>
      </c>
      <c r="F3515" t="s">
        <v>40</v>
      </c>
      <c r="G3515">
        <v>2020</v>
      </c>
      <c r="H3515" s="12">
        <v>2459</v>
      </c>
      <c r="I3515" t="s">
        <v>3183</v>
      </c>
      <c r="J3515" t="s">
        <v>6</v>
      </c>
      <c r="K3515" t="s">
        <v>9</v>
      </c>
      <c r="L3515" t="s">
        <v>655</v>
      </c>
      <c r="M3515" t="s">
        <v>666</v>
      </c>
    </row>
    <row r="3516" spans="1:13">
      <c r="A3516" t="s">
        <v>851</v>
      </c>
      <c r="B3516" t="s">
        <v>686</v>
      </c>
      <c r="C3516" t="s">
        <v>686</v>
      </c>
      <c r="D3516" t="s">
        <v>3185</v>
      </c>
      <c r="E3516" t="s">
        <v>646</v>
      </c>
      <c r="F3516" t="s">
        <v>40</v>
      </c>
      <c r="G3516">
        <v>2030</v>
      </c>
      <c r="H3516" s="12">
        <v>2559</v>
      </c>
      <c r="I3516" t="s">
        <v>3183</v>
      </c>
      <c r="J3516" t="s">
        <v>6</v>
      </c>
      <c r="K3516" t="s">
        <v>9</v>
      </c>
      <c r="L3516" t="s">
        <v>655</v>
      </c>
      <c r="M3516" t="s">
        <v>666</v>
      </c>
    </row>
    <row r="3517" spans="1:13">
      <c r="A3517" t="s">
        <v>851</v>
      </c>
      <c r="B3517" t="s">
        <v>686</v>
      </c>
      <c r="C3517" t="s">
        <v>686</v>
      </c>
      <c r="D3517" t="s">
        <v>3185</v>
      </c>
      <c r="E3517" t="s">
        <v>646</v>
      </c>
      <c r="F3517" t="s">
        <v>40</v>
      </c>
      <c r="G3517">
        <v>2035</v>
      </c>
      <c r="H3517" s="12">
        <v>2656</v>
      </c>
      <c r="I3517" t="s">
        <v>3183</v>
      </c>
      <c r="J3517" t="s">
        <v>6</v>
      </c>
      <c r="K3517" t="s">
        <v>9</v>
      </c>
      <c r="L3517" t="s">
        <v>655</v>
      </c>
      <c r="M3517" t="s">
        <v>666</v>
      </c>
    </row>
    <row r="3518" spans="1:13">
      <c r="A3518" t="s">
        <v>851</v>
      </c>
      <c r="B3518" t="s">
        <v>686</v>
      </c>
      <c r="C3518" t="s">
        <v>686</v>
      </c>
      <c r="D3518" t="s">
        <v>3185</v>
      </c>
      <c r="E3518" t="s">
        <v>646</v>
      </c>
      <c r="F3518" t="s">
        <v>40</v>
      </c>
      <c r="G3518">
        <v>2040</v>
      </c>
      <c r="H3518" s="12">
        <v>2738</v>
      </c>
      <c r="I3518" t="s">
        <v>3183</v>
      </c>
      <c r="J3518" t="s">
        <v>6</v>
      </c>
      <c r="K3518" t="s">
        <v>9</v>
      </c>
      <c r="L3518" t="s">
        <v>655</v>
      </c>
      <c r="M3518" t="s">
        <v>666</v>
      </c>
    </row>
    <row r="3519" spans="1:13">
      <c r="A3519" t="s">
        <v>851</v>
      </c>
      <c r="B3519" t="s">
        <v>686</v>
      </c>
      <c r="C3519" t="s">
        <v>686</v>
      </c>
      <c r="D3519" t="s">
        <v>3185</v>
      </c>
      <c r="E3519" t="s">
        <v>646</v>
      </c>
      <c r="F3519" t="s">
        <v>40</v>
      </c>
      <c r="G3519">
        <v>2045</v>
      </c>
      <c r="H3519" s="12">
        <v>2802</v>
      </c>
      <c r="I3519" t="s">
        <v>3183</v>
      </c>
      <c r="J3519" t="s">
        <v>6</v>
      </c>
      <c r="K3519" t="s">
        <v>9</v>
      </c>
      <c r="L3519" t="s">
        <v>655</v>
      </c>
      <c r="M3519" t="s">
        <v>666</v>
      </c>
    </row>
    <row r="3520" spans="1:13">
      <c r="A3520" t="s">
        <v>851</v>
      </c>
      <c r="B3520" t="s">
        <v>686</v>
      </c>
      <c r="C3520" t="s">
        <v>686</v>
      </c>
      <c r="D3520" t="s">
        <v>3185</v>
      </c>
      <c r="E3520" t="s">
        <v>646</v>
      </c>
      <c r="F3520" t="s">
        <v>40</v>
      </c>
      <c r="G3520">
        <v>2050</v>
      </c>
      <c r="H3520" s="12">
        <v>2842</v>
      </c>
      <c r="I3520" t="s">
        <v>3183</v>
      </c>
      <c r="J3520" t="s">
        <v>6</v>
      </c>
      <c r="K3520" t="s">
        <v>9</v>
      </c>
      <c r="L3520" t="s">
        <v>655</v>
      </c>
      <c r="M3520" t="s">
        <v>666</v>
      </c>
    </row>
    <row r="3521" spans="1:13">
      <c r="A3521" t="s">
        <v>851</v>
      </c>
      <c r="B3521" t="s">
        <v>687</v>
      </c>
      <c r="C3521" t="s">
        <v>687</v>
      </c>
      <c r="D3521" t="s">
        <v>3185</v>
      </c>
      <c r="E3521" t="s">
        <v>646</v>
      </c>
      <c r="F3521" t="s">
        <v>40</v>
      </c>
      <c r="G3521">
        <v>2030</v>
      </c>
      <c r="H3521" s="12">
        <v>2451</v>
      </c>
      <c r="I3521" t="s">
        <v>3183</v>
      </c>
      <c r="J3521" t="s">
        <v>6</v>
      </c>
      <c r="K3521" t="s">
        <v>9</v>
      </c>
      <c r="L3521" t="s">
        <v>655</v>
      </c>
      <c r="M3521" t="s">
        <v>666</v>
      </c>
    </row>
    <row r="3522" spans="1:13">
      <c r="A3522" t="s">
        <v>851</v>
      </c>
      <c r="B3522" t="s">
        <v>687</v>
      </c>
      <c r="C3522" t="s">
        <v>687</v>
      </c>
      <c r="D3522" t="s">
        <v>3185</v>
      </c>
      <c r="E3522" t="s">
        <v>646</v>
      </c>
      <c r="F3522" t="s">
        <v>40</v>
      </c>
      <c r="G3522">
        <v>2035</v>
      </c>
      <c r="H3522" s="12">
        <v>2453</v>
      </c>
      <c r="I3522" t="s">
        <v>3183</v>
      </c>
      <c r="J3522" t="s">
        <v>6</v>
      </c>
      <c r="K3522" t="s">
        <v>9</v>
      </c>
      <c r="L3522" t="s">
        <v>655</v>
      </c>
      <c r="M3522" t="s">
        <v>666</v>
      </c>
    </row>
    <row r="3523" spans="1:13">
      <c r="A3523" t="s">
        <v>851</v>
      </c>
      <c r="B3523" t="s">
        <v>687</v>
      </c>
      <c r="C3523" t="s">
        <v>687</v>
      </c>
      <c r="D3523" t="s">
        <v>3185</v>
      </c>
      <c r="E3523" t="s">
        <v>646</v>
      </c>
      <c r="F3523" t="s">
        <v>40</v>
      </c>
      <c r="G3523">
        <v>2040</v>
      </c>
      <c r="H3523" s="12">
        <v>2445</v>
      </c>
      <c r="I3523" t="s">
        <v>3183</v>
      </c>
      <c r="J3523" t="s">
        <v>6</v>
      </c>
      <c r="K3523" t="s">
        <v>9</v>
      </c>
      <c r="L3523" t="s">
        <v>655</v>
      </c>
      <c r="M3523" t="s">
        <v>666</v>
      </c>
    </row>
    <row r="3524" spans="1:13">
      <c r="A3524" t="s">
        <v>851</v>
      </c>
      <c r="B3524" t="s">
        <v>687</v>
      </c>
      <c r="C3524" t="s">
        <v>687</v>
      </c>
      <c r="D3524" t="s">
        <v>3185</v>
      </c>
      <c r="E3524" t="s">
        <v>646</v>
      </c>
      <c r="F3524" t="s">
        <v>40</v>
      </c>
      <c r="G3524">
        <v>2045</v>
      </c>
      <c r="H3524" s="12">
        <v>2429</v>
      </c>
      <c r="I3524" t="s">
        <v>3183</v>
      </c>
      <c r="J3524" t="s">
        <v>6</v>
      </c>
      <c r="K3524" t="s">
        <v>9</v>
      </c>
      <c r="L3524" t="s">
        <v>655</v>
      </c>
      <c r="M3524" t="s">
        <v>666</v>
      </c>
    </row>
    <row r="3525" spans="1:13">
      <c r="A3525" t="s">
        <v>851</v>
      </c>
      <c r="B3525" t="s">
        <v>687</v>
      </c>
      <c r="C3525" t="s">
        <v>687</v>
      </c>
      <c r="D3525" t="s">
        <v>3185</v>
      </c>
      <c r="E3525" t="s">
        <v>646</v>
      </c>
      <c r="F3525" t="s">
        <v>40</v>
      </c>
      <c r="G3525">
        <v>2050</v>
      </c>
      <c r="H3525" s="12">
        <v>2398</v>
      </c>
      <c r="I3525" t="s">
        <v>3183</v>
      </c>
      <c r="J3525" t="s">
        <v>6</v>
      </c>
      <c r="K3525" t="s">
        <v>9</v>
      </c>
      <c r="L3525" t="s">
        <v>655</v>
      </c>
      <c r="M3525" t="s">
        <v>666</v>
      </c>
    </row>
    <row r="3526" spans="1:13">
      <c r="A3526" t="s">
        <v>851</v>
      </c>
      <c r="B3526" t="s">
        <v>686</v>
      </c>
      <c r="C3526" t="s">
        <v>686</v>
      </c>
      <c r="D3526" t="s">
        <v>3185</v>
      </c>
      <c r="E3526" t="s">
        <v>646</v>
      </c>
      <c r="F3526" t="s">
        <v>40</v>
      </c>
      <c r="G3526">
        <v>2010</v>
      </c>
      <c r="H3526" s="12">
        <v>1812</v>
      </c>
      <c r="I3526" t="s">
        <v>3183</v>
      </c>
      <c r="J3526" t="s">
        <v>5</v>
      </c>
      <c r="K3526" t="s">
        <v>9</v>
      </c>
      <c r="L3526" t="s">
        <v>655</v>
      </c>
      <c r="M3526" t="s">
        <v>665</v>
      </c>
    </row>
    <row r="3527" spans="1:13">
      <c r="A3527" t="s">
        <v>851</v>
      </c>
      <c r="B3527" t="s">
        <v>686</v>
      </c>
      <c r="C3527" t="s">
        <v>686</v>
      </c>
      <c r="D3527" t="s">
        <v>3185</v>
      </c>
      <c r="E3527" t="s">
        <v>646</v>
      </c>
      <c r="F3527" t="s">
        <v>40</v>
      </c>
      <c r="G3527">
        <v>2015</v>
      </c>
      <c r="H3527" s="12">
        <v>2154</v>
      </c>
      <c r="I3527" t="s">
        <v>3183</v>
      </c>
      <c r="J3527" t="s">
        <v>5</v>
      </c>
      <c r="K3527" t="s">
        <v>9</v>
      </c>
      <c r="L3527" t="s">
        <v>655</v>
      </c>
      <c r="M3527" t="s">
        <v>665</v>
      </c>
    </row>
    <row r="3528" spans="1:13">
      <c r="A3528" t="s">
        <v>851</v>
      </c>
      <c r="B3528" t="s">
        <v>686</v>
      </c>
      <c r="C3528" t="s">
        <v>686</v>
      </c>
      <c r="D3528" t="s">
        <v>3185</v>
      </c>
      <c r="E3528" t="s">
        <v>646</v>
      </c>
      <c r="F3528" t="s">
        <v>40</v>
      </c>
      <c r="G3528">
        <v>2020</v>
      </c>
      <c r="H3528" s="12">
        <v>2341</v>
      </c>
      <c r="I3528" t="s">
        <v>3183</v>
      </c>
      <c r="J3528" t="s">
        <v>5</v>
      </c>
      <c r="K3528" t="s">
        <v>9</v>
      </c>
      <c r="L3528" t="s">
        <v>655</v>
      </c>
      <c r="M3528" t="s">
        <v>665</v>
      </c>
    </row>
    <row r="3529" spans="1:13">
      <c r="A3529" t="s">
        <v>851</v>
      </c>
      <c r="B3529" t="s">
        <v>686</v>
      </c>
      <c r="C3529" t="s">
        <v>686</v>
      </c>
      <c r="D3529" t="s">
        <v>3185</v>
      </c>
      <c r="E3529" t="s">
        <v>646</v>
      </c>
      <c r="F3529" t="s">
        <v>40</v>
      </c>
      <c r="G3529">
        <v>2030</v>
      </c>
      <c r="H3529" s="12">
        <v>1885</v>
      </c>
      <c r="I3529" t="s">
        <v>3183</v>
      </c>
      <c r="J3529" t="s">
        <v>5</v>
      </c>
      <c r="K3529" t="s">
        <v>9</v>
      </c>
      <c r="L3529" t="s">
        <v>655</v>
      </c>
      <c r="M3529" t="s">
        <v>665</v>
      </c>
    </row>
    <row r="3530" spans="1:13">
      <c r="A3530" t="s">
        <v>851</v>
      </c>
      <c r="B3530" t="s">
        <v>686</v>
      </c>
      <c r="C3530" t="s">
        <v>686</v>
      </c>
      <c r="D3530" t="s">
        <v>3185</v>
      </c>
      <c r="E3530" t="s">
        <v>646</v>
      </c>
      <c r="F3530" t="s">
        <v>40</v>
      </c>
      <c r="G3530">
        <v>2035</v>
      </c>
      <c r="H3530" s="12">
        <v>1897</v>
      </c>
      <c r="I3530" t="s">
        <v>3183</v>
      </c>
      <c r="J3530" t="s">
        <v>5</v>
      </c>
      <c r="K3530" t="s">
        <v>9</v>
      </c>
      <c r="L3530" t="s">
        <v>655</v>
      </c>
      <c r="M3530" t="s">
        <v>665</v>
      </c>
    </row>
    <row r="3531" spans="1:13">
      <c r="A3531" t="s">
        <v>851</v>
      </c>
      <c r="B3531" t="s">
        <v>686</v>
      </c>
      <c r="C3531" t="s">
        <v>686</v>
      </c>
      <c r="D3531" t="s">
        <v>3185</v>
      </c>
      <c r="E3531" t="s">
        <v>646</v>
      </c>
      <c r="F3531" t="s">
        <v>40</v>
      </c>
      <c r="G3531">
        <v>2040</v>
      </c>
      <c r="H3531" s="12">
        <v>1904</v>
      </c>
      <c r="I3531" t="s">
        <v>3183</v>
      </c>
      <c r="J3531" t="s">
        <v>5</v>
      </c>
      <c r="K3531" t="s">
        <v>9</v>
      </c>
      <c r="L3531" t="s">
        <v>655</v>
      </c>
      <c r="M3531" t="s">
        <v>665</v>
      </c>
    </row>
    <row r="3532" spans="1:13">
      <c r="A3532" t="s">
        <v>851</v>
      </c>
      <c r="B3532" t="s">
        <v>686</v>
      </c>
      <c r="C3532" t="s">
        <v>686</v>
      </c>
      <c r="D3532" t="s">
        <v>3185</v>
      </c>
      <c r="E3532" t="s">
        <v>646</v>
      </c>
      <c r="F3532" t="s">
        <v>40</v>
      </c>
      <c r="G3532">
        <v>2045</v>
      </c>
      <c r="H3532" s="12">
        <v>1904</v>
      </c>
      <c r="I3532" t="s">
        <v>3183</v>
      </c>
      <c r="J3532" t="s">
        <v>5</v>
      </c>
      <c r="K3532" t="s">
        <v>9</v>
      </c>
      <c r="L3532" t="s">
        <v>655</v>
      </c>
      <c r="M3532" t="s">
        <v>665</v>
      </c>
    </row>
    <row r="3533" spans="1:13">
      <c r="A3533" t="s">
        <v>851</v>
      </c>
      <c r="B3533" t="s">
        <v>686</v>
      </c>
      <c r="C3533" t="s">
        <v>686</v>
      </c>
      <c r="D3533" t="s">
        <v>3185</v>
      </c>
      <c r="E3533" t="s">
        <v>646</v>
      </c>
      <c r="F3533" t="s">
        <v>40</v>
      </c>
      <c r="G3533">
        <v>2050</v>
      </c>
      <c r="H3533" s="12">
        <v>1899</v>
      </c>
      <c r="I3533" t="s">
        <v>3183</v>
      </c>
      <c r="J3533" t="s">
        <v>5</v>
      </c>
      <c r="K3533" t="s">
        <v>9</v>
      </c>
      <c r="L3533" t="s">
        <v>655</v>
      </c>
      <c r="M3533" t="s">
        <v>665</v>
      </c>
    </row>
    <row r="3534" spans="1:13">
      <c r="A3534" t="s">
        <v>851</v>
      </c>
      <c r="B3534" t="s">
        <v>687</v>
      </c>
      <c r="C3534" t="s">
        <v>687</v>
      </c>
      <c r="D3534" t="s">
        <v>3185</v>
      </c>
      <c r="E3534" t="s">
        <v>646</v>
      </c>
      <c r="F3534" t="s">
        <v>40</v>
      </c>
      <c r="G3534">
        <v>2030</v>
      </c>
      <c r="H3534" s="12">
        <v>1771</v>
      </c>
      <c r="I3534" t="s">
        <v>3183</v>
      </c>
      <c r="J3534" t="s">
        <v>5</v>
      </c>
      <c r="K3534" t="s">
        <v>9</v>
      </c>
      <c r="L3534" t="s">
        <v>655</v>
      </c>
      <c r="M3534" t="s">
        <v>665</v>
      </c>
    </row>
    <row r="3535" spans="1:13">
      <c r="A3535" t="s">
        <v>851</v>
      </c>
      <c r="B3535" t="s">
        <v>687</v>
      </c>
      <c r="C3535" t="s">
        <v>687</v>
      </c>
      <c r="D3535" t="s">
        <v>3185</v>
      </c>
      <c r="E3535" t="s">
        <v>646</v>
      </c>
      <c r="F3535" t="s">
        <v>40</v>
      </c>
      <c r="G3535">
        <v>2035</v>
      </c>
      <c r="H3535" s="12">
        <v>1720</v>
      </c>
      <c r="I3535" t="s">
        <v>3183</v>
      </c>
      <c r="J3535" t="s">
        <v>5</v>
      </c>
      <c r="K3535" t="s">
        <v>9</v>
      </c>
      <c r="L3535" t="s">
        <v>655</v>
      </c>
      <c r="M3535" t="s">
        <v>665</v>
      </c>
    </row>
    <row r="3536" spans="1:13">
      <c r="A3536" t="s">
        <v>851</v>
      </c>
      <c r="B3536" t="s">
        <v>687</v>
      </c>
      <c r="C3536" t="s">
        <v>687</v>
      </c>
      <c r="D3536" t="s">
        <v>3185</v>
      </c>
      <c r="E3536" t="s">
        <v>646</v>
      </c>
      <c r="F3536" t="s">
        <v>40</v>
      </c>
      <c r="G3536">
        <v>2040</v>
      </c>
      <c r="H3536" s="12">
        <v>1669</v>
      </c>
      <c r="I3536" t="s">
        <v>3183</v>
      </c>
      <c r="J3536" t="s">
        <v>5</v>
      </c>
      <c r="K3536" t="s">
        <v>9</v>
      </c>
      <c r="L3536" t="s">
        <v>655</v>
      </c>
      <c r="M3536" t="s">
        <v>665</v>
      </c>
    </row>
    <row r="3537" spans="1:13">
      <c r="A3537" t="s">
        <v>851</v>
      </c>
      <c r="B3537" t="s">
        <v>687</v>
      </c>
      <c r="C3537" t="s">
        <v>687</v>
      </c>
      <c r="D3537" t="s">
        <v>3185</v>
      </c>
      <c r="E3537" t="s">
        <v>646</v>
      </c>
      <c r="F3537" t="s">
        <v>40</v>
      </c>
      <c r="G3537">
        <v>2045</v>
      </c>
      <c r="H3537" s="12">
        <v>1620</v>
      </c>
      <c r="I3537" t="s">
        <v>3183</v>
      </c>
      <c r="J3537" t="s">
        <v>5</v>
      </c>
      <c r="K3537" t="s">
        <v>9</v>
      </c>
      <c r="L3537" t="s">
        <v>655</v>
      </c>
      <c r="M3537" t="s">
        <v>665</v>
      </c>
    </row>
    <row r="3538" spans="1:13">
      <c r="A3538" t="s">
        <v>851</v>
      </c>
      <c r="B3538" t="s">
        <v>687</v>
      </c>
      <c r="C3538" t="s">
        <v>687</v>
      </c>
      <c r="D3538" t="s">
        <v>3185</v>
      </c>
      <c r="E3538" t="s">
        <v>646</v>
      </c>
      <c r="F3538" t="s">
        <v>40</v>
      </c>
      <c r="G3538">
        <v>2050</v>
      </c>
      <c r="H3538" s="12">
        <v>1574</v>
      </c>
      <c r="I3538" t="s">
        <v>3183</v>
      </c>
      <c r="J3538" t="s">
        <v>5</v>
      </c>
      <c r="K3538" t="s">
        <v>9</v>
      </c>
      <c r="L3538" t="s">
        <v>655</v>
      </c>
      <c r="M3538" t="s">
        <v>665</v>
      </c>
    </row>
    <row r="3539" spans="1:13">
      <c r="A3539" t="s">
        <v>851</v>
      </c>
      <c r="B3539" t="s">
        <v>686</v>
      </c>
      <c r="C3539" t="s">
        <v>686</v>
      </c>
      <c r="D3539" t="s">
        <v>3185</v>
      </c>
      <c r="E3539" t="s">
        <v>646</v>
      </c>
      <c r="F3539" t="s">
        <v>40</v>
      </c>
      <c r="G3539">
        <v>2010</v>
      </c>
      <c r="H3539" s="12">
        <v>2903</v>
      </c>
      <c r="I3539" t="s">
        <v>3183</v>
      </c>
      <c r="J3539" t="s">
        <v>394</v>
      </c>
      <c r="K3539" t="s">
        <v>11</v>
      </c>
      <c r="L3539" t="s">
        <v>655</v>
      </c>
      <c r="M3539" t="s">
        <v>16</v>
      </c>
    </row>
    <row r="3540" spans="1:13">
      <c r="A3540" t="s">
        <v>851</v>
      </c>
      <c r="B3540" t="s">
        <v>686</v>
      </c>
      <c r="C3540" t="s">
        <v>686</v>
      </c>
      <c r="D3540" t="s">
        <v>3185</v>
      </c>
      <c r="E3540" t="s">
        <v>646</v>
      </c>
      <c r="F3540" t="s">
        <v>40</v>
      </c>
      <c r="G3540">
        <v>2015</v>
      </c>
      <c r="H3540" s="12">
        <v>3102</v>
      </c>
      <c r="I3540" t="s">
        <v>3183</v>
      </c>
      <c r="J3540" t="s">
        <v>394</v>
      </c>
      <c r="K3540" t="s">
        <v>11</v>
      </c>
      <c r="L3540" t="s">
        <v>655</v>
      </c>
      <c r="M3540" t="s">
        <v>16</v>
      </c>
    </row>
    <row r="3541" spans="1:13">
      <c r="A3541" t="s">
        <v>851</v>
      </c>
      <c r="B3541" t="s">
        <v>686</v>
      </c>
      <c r="C3541" t="s">
        <v>686</v>
      </c>
      <c r="D3541" t="s">
        <v>3185</v>
      </c>
      <c r="E3541" t="s">
        <v>646</v>
      </c>
      <c r="F3541" t="s">
        <v>40</v>
      </c>
      <c r="G3541">
        <v>2020</v>
      </c>
      <c r="H3541" s="12">
        <v>3214</v>
      </c>
      <c r="I3541" t="s">
        <v>3183</v>
      </c>
      <c r="J3541" t="s">
        <v>394</v>
      </c>
      <c r="K3541" t="s">
        <v>11</v>
      </c>
      <c r="L3541" t="s">
        <v>655</v>
      </c>
      <c r="M3541" t="s">
        <v>16</v>
      </c>
    </row>
    <row r="3542" spans="1:13">
      <c r="A3542" t="s">
        <v>851</v>
      </c>
      <c r="B3542" t="s">
        <v>686</v>
      </c>
      <c r="C3542" t="s">
        <v>686</v>
      </c>
      <c r="D3542" t="s">
        <v>3185</v>
      </c>
      <c r="E3542" t="s">
        <v>646</v>
      </c>
      <c r="F3542" t="s">
        <v>40</v>
      </c>
      <c r="G3542">
        <v>2030</v>
      </c>
      <c r="H3542" s="12">
        <v>3725</v>
      </c>
      <c r="I3542" t="s">
        <v>3183</v>
      </c>
      <c r="J3542" t="s">
        <v>394</v>
      </c>
      <c r="K3542" t="s">
        <v>11</v>
      </c>
      <c r="L3542" t="s">
        <v>655</v>
      </c>
      <c r="M3542" t="s">
        <v>16</v>
      </c>
    </row>
    <row r="3543" spans="1:13">
      <c r="A3543" t="s">
        <v>851</v>
      </c>
      <c r="B3543" t="s">
        <v>686</v>
      </c>
      <c r="C3543" t="s">
        <v>686</v>
      </c>
      <c r="D3543" t="s">
        <v>3185</v>
      </c>
      <c r="E3543" t="s">
        <v>646</v>
      </c>
      <c r="F3543" t="s">
        <v>40</v>
      </c>
      <c r="G3543">
        <v>2035</v>
      </c>
      <c r="H3543" s="12">
        <v>3962</v>
      </c>
      <c r="I3543" t="s">
        <v>3183</v>
      </c>
      <c r="J3543" t="s">
        <v>394</v>
      </c>
      <c r="K3543" t="s">
        <v>11</v>
      </c>
      <c r="L3543" t="s">
        <v>655</v>
      </c>
      <c r="M3543" t="s">
        <v>16</v>
      </c>
    </row>
    <row r="3544" spans="1:13">
      <c r="A3544" t="s">
        <v>851</v>
      </c>
      <c r="B3544" t="s">
        <v>686</v>
      </c>
      <c r="C3544" t="s">
        <v>686</v>
      </c>
      <c r="D3544" t="s">
        <v>3185</v>
      </c>
      <c r="E3544" t="s">
        <v>646</v>
      </c>
      <c r="F3544" t="s">
        <v>40</v>
      </c>
      <c r="G3544">
        <v>2040</v>
      </c>
      <c r="H3544" s="12">
        <v>3991</v>
      </c>
      <c r="I3544" t="s">
        <v>3183</v>
      </c>
      <c r="J3544" t="s">
        <v>394</v>
      </c>
      <c r="K3544" t="s">
        <v>11</v>
      </c>
      <c r="L3544" t="s">
        <v>655</v>
      </c>
      <c r="M3544" t="s">
        <v>16</v>
      </c>
    </row>
    <row r="3545" spans="1:13">
      <c r="A3545" t="s">
        <v>851</v>
      </c>
      <c r="B3545" t="s">
        <v>686</v>
      </c>
      <c r="C3545" t="s">
        <v>686</v>
      </c>
      <c r="D3545" t="s">
        <v>3185</v>
      </c>
      <c r="E3545" t="s">
        <v>646</v>
      </c>
      <c r="F3545" t="s">
        <v>40</v>
      </c>
      <c r="G3545">
        <v>2045</v>
      </c>
      <c r="H3545" s="12">
        <v>3986</v>
      </c>
      <c r="I3545" t="s">
        <v>3183</v>
      </c>
      <c r="J3545" t="s">
        <v>394</v>
      </c>
      <c r="K3545" t="s">
        <v>11</v>
      </c>
      <c r="L3545" t="s">
        <v>655</v>
      </c>
      <c r="M3545" t="s">
        <v>16</v>
      </c>
    </row>
    <row r="3546" spans="1:13">
      <c r="A3546" t="s">
        <v>851</v>
      </c>
      <c r="B3546" t="s">
        <v>686</v>
      </c>
      <c r="C3546" t="s">
        <v>686</v>
      </c>
      <c r="D3546" t="s">
        <v>3185</v>
      </c>
      <c r="E3546" t="s">
        <v>646</v>
      </c>
      <c r="F3546" t="s">
        <v>40</v>
      </c>
      <c r="G3546">
        <v>2050</v>
      </c>
      <c r="H3546" s="12">
        <v>4028</v>
      </c>
      <c r="I3546" t="s">
        <v>3183</v>
      </c>
      <c r="J3546" t="s">
        <v>394</v>
      </c>
      <c r="K3546" t="s">
        <v>11</v>
      </c>
      <c r="L3546" t="s">
        <v>655</v>
      </c>
      <c r="M3546" t="s">
        <v>16</v>
      </c>
    </row>
    <row r="3547" spans="1:13">
      <c r="A3547" t="s">
        <v>851</v>
      </c>
      <c r="B3547" t="s">
        <v>687</v>
      </c>
      <c r="C3547" t="s">
        <v>687</v>
      </c>
      <c r="D3547" t="s">
        <v>3185</v>
      </c>
      <c r="E3547" t="s">
        <v>646</v>
      </c>
      <c r="F3547" t="s">
        <v>40</v>
      </c>
      <c r="G3547">
        <v>2030</v>
      </c>
      <c r="H3547" s="12">
        <v>3702</v>
      </c>
      <c r="I3547" t="s">
        <v>3183</v>
      </c>
      <c r="J3547" t="s">
        <v>394</v>
      </c>
      <c r="K3547" t="s">
        <v>11</v>
      </c>
      <c r="L3547" t="s">
        <v>655</v>
      </c>
      <c r="M3547" t="s">
        <v>16</v>
      </c>
    </row>
    <row r="3548" spans="1:13">
      <c r="A3548" t="s">
        <v>851</v>
      </c>
      <c r="B3548" t="s">
        <v>687</v>
      </c>
      <c r="C3548" t="s">
        <v>687</v>
      </c>
      <c r="D3548" t="s">
        <v>3185</v>
      </c>
      <c r="E3548" t="s">
        <v>646</v>
      </c>
      <c r="F3548" t="s">
        <v>40</v>
      </c>
      <c r="G3548">
        <v>2035</v>
      </c>
      <c r="H3548" s="12">
        <v>3846</v>
      </c>
      <c r="I3548" t="s">
        <v>3183</v>
      </c>
      <c r="J3548" t="s">
        <v>394</v>
      </c>
      <c r="K3548" t="s">
        <v>11</v>
      </c>
      <c r="L3548" t="s">
        <v>655</v>
      </c>
      <c r="M3548" t="s">
        <v>16</v>
      </c>
    </row>
    <row r="3549" spans="1:13">
      <c r="A3549" t="s">
        <v>851</v>
      </c>
      <c r="B3549" t="s">
        <v>687</v>
      </c>
      <c r="C3549" t="s">
        <v>687</v>
      </c>
      <c r="D3549" t="s">
        <v>3185</v>
      </c>
      <c r="E3549" t="s">
        <v>646</v>
      </c>
      <c r="F3549" t="s">
        <v>40</v>
      </c>
      <c r="G3549">
        <v>2040</v>
      </c>
      <c r="H3549" s="12">
        <v>3783</v>
      </c>
      <c r="I3549" t="s">
        <v>3183</v>
      </c>
      <c r="J3549" t="s">
        <v>394</v>
      </c>
      <c r="K3549" t="s">
        <v>11</v>
      </c>
      <c r="L3549" t="s">
        <v>655</v>
      </c>
      <c r="M3549" t="s">
        <v>16</v>
      </c>
    </row>
    <row r="3550" spans="1:13">
      <c r="A3550" t="s">
        <v>851</v>
      </c>
      <c r="B3550" t="s">
        <v>687</v>
      </c>
      <c r="C3550" t="s">
        <v>687</v>
      </c>
      <c r="D3550" t="s">
        <v>3185</v>
      </c>
      <c r="E3550" t="s">
        <v>646</v>
      </c>
      <c r="F3550" t="s">
        <v>40</v>
      </c>
      <c r="G3550">
        <v>2045</v>
      </c>
      <c r="H3550" s="12">
        <v>3664</v>
      </c>
      <c r="I3550" t="s">
        <v>3183</v>
      </c>
      <c r="J3550" t="s">
        <v>394</v>
      </c>
      <c r="K3550" t="s">
        <v>11</v>
      </c>
      <c r="L3550" t="s">
        <v>655</v>
      </c>
      <c r="M3550" t="s">
        <v>16</v>
      </c>
    </row>
    <row r="3551" spans="1:13">
      <c r="A3551" t="s">
        <v>851</v>
      </c>
      <c r="B3551" t="s">
        <v>687</v>
      </c>
      <c r="C3551" t="s">
        <v>687</v>
      </c>
      <c r="D3551" t="s">
        <v>3185</v>
      </c>
      <c r="E3551" t="s">
        <v>646</v>
      </c>
      <c r="F3551" t="s">
        <v>40</v>
      </c>
      <c r="G3551">
        <v>2050</v>
      </c>
      <c r="H3551" s="12">
        <v>3585</v>
      </c>
      <c r="I3551" t="s">
        <v>3183</v>
      </c>
      <c r="J3551" t="s">
        <v>394</v>
      </c>
      <c r="K3551" t="s">
        <v>11</v>
      </c>
      <c r="L3551" t="s">
        <v>655</v>
      </c>
      <c r="M3551" t="s">
        <v>16</v>
      </c>
    </row>
    <row r="3552" spans="1:13">
      <c r="A3552" t="s">
        <v>851</v>
      </c>
      <c r="B3552" t="s">
        <v>686</v>
      </c>
      <c r="C3552" t="s">
        <v>686</v>
      </c>
      <c r="D3552" t="s">
        <v>3185</v>
      </c>
      <c r="E3552" t="s">
        <v>646</v>
      </c>
      <c r="F3552" t="s">
        <v>40</v>
      </c>
      <c r="G3552">
        <v>2010</v>
      </c>
      <c r="H3552" s="12">
        <v>1434</v>
      </c>
      <c r="I3552" t="s">
        <v>3183</v>
      </c>
      <c r="J3552" t="s">
        <v>344</v>
      </c>
      <c r="K3552" t="s">
        <v>9</v>
      </c>
      <c r="L3552" t="s">
        <v>655</v>
      </c>
      <c r="M3552" t="s">
        <v>10</v>
      </c>
    </row>
    <row r="3553" spans="1:13">
      <c r="A3553" t="s">
        <v>851</v>
      </c>
      <c r="B3553" t="s">
        <v>686</v>
      </c>
      <c r="C3553" t="s">
        <v>686</v>
      </c>
      <c r="D3553" t="s">
        <v>3185</v>
      </c>
      <c r="E3553" t="s">
        <v>646</v>
      </c>
      <c r="F3553" t="s">
        <v>40</v>
      </c>
      <c r="G3553">
        <v>2015</v>
      </c>
      <c r="H3553" s="12">
        <v>1468</v>
      </c>
      <c r="I3553" t="s">
        <v>3183</v>
      </c>
      <c r="J3553" t="s">
        <v>344</v>
      </c>
      <c r="K3553" t="s">
        <v>9</v>
      </c>
      <c r="L3553" t="s">
        <v>655</v>
      </c>
      <c r="M3553" t="s">
        <v>10</v>
      </c>
    </row>
    <row r="3554" spans="1:13">
      <c r="A3554" t="s">
        <v>851</v>
      </c>
      <c r="B3554" t="s">
        <v>686</v>
      </c>
      <c r="C3554" t="s">
        <v>686</v>
      </c>
      <c r="D3554" t="s">
        <v>3185</v>
      </c>
      <c r="E3554" t="s">
        <v>646</v>
      </c>
      <c r="F3554" t="s">
        <v>40</v>
      </c>
      <c r="G3554">
        <v>2020</v>
      </c>
      <c r="H3554" s="12">
        <v>1493</v>
      </c>
      <c r="I3554" t="s">
        <v>3183</v>
      </c>
      <c r="J3554" t="s">
        <v>344</v>
      </c>
      <c r="K3554" t="s">
        <v>9</v>
      </c>
      <c r="L3554" t="s">
        <v>655</v>
      </c>
      <c r="M3554" t="s">
        <v>10</v>
      </c>
    </row>
    <row r="3555" spans="1:13">
      <c r="A3555" t="s">
        <v>851</v>
      </c>
      <c r="B3555" t="s">
        <v>686</v>
      </c>
      <c r="C3555" t="s">
        <v>686</v>
      </c>
      <c r="D3555" t="s">
        <v>3185</v>
      </c>
      <c r="E3555" t="s">
        <v>646</v>
      </c>
      <c r="F3555" t="s">
        <v>40</v>
      </c>
      <c r="G3555">
        <v>2030</v>
      </c>
      <c r="H3555" s="12">
        <v>1745</v>
      </c>
      <c r="I3555" t="s">
        <v>3183</v>
      </c>
      <c r="J3555" t="s">
        <v>344</v>
      </c>
      <c r="K3555" t="s">
        <v>9</v>
      </c>
      <c r="L3555" t="s">
        <v>655</v>
      </c>
      <c r="M3555" t="s">
        <v>10</v>
      </c>
    </row>
    <row r="3556" spans="1:13">
      <c r="A3556" t="s">
        <v>851</v>
      </c>
      <c r="B3556" t="s">
        <v>686</v>
      </c>
      <c r="C3556" t="s">
        <v>686</v>
      </c>
      <c r="D3556" t="s">
        <v>3185</v>
      </c>
      <c r="E3556" t="s">
        <v>646</v>
      </c>
      <c r="F3556" t="s">
        <v>40</v>
      </c>
      <c r="G3556">
        <v>2035</v>
      </c>
      <c r="H3556" s="12">
        <v>1859</v>
      </c>
      <c r="I3556" t="s">
        <v>3183</v>
      </c>
      <c r="J3556" t="s">
        <v>344</v>
      </c>
      <c r="K3556" t="s">
        <v>9</v>
      </c>
      <c r="L3556" t="s">
        <v>655</v>
      </c>
      <c r="M3556" t="s">
        <v>10</v>
      </c>
    </row>
    <row r="3557" spans="1:13">
      <c r="A3557" t="s">
        <v>851</v>
      </c>
      <c r="B3557" t="s">
        <v>686</v>
      </c>
      <c r="C3557" t="s">
        <v>686</v>
      </c>
      <c r="D3557" t="s">
        <v>3185</v>
      </c>
      <c r="E3557" t="s">
        <v>646</v>
      </c>
      <c r="F3557" t="s">
        <v>40</v>
      </c>
      <c r="G3557">
        <v>2040</v>
      </c>
      <c r="H3557" s="12">
        <v>1961</v>
      </c>
      <c r="I3557" t="s">
        <v>3183</v>
      </c>
      <c r="J3557" t="s">
        <v>344</v>
      </c>
      <c r="K3557" t="s">
        <v>9</v>
      </c>
      <c r="L3557" t="s">
        <v>655</v>
      </c>
      <c r="M3557" t="s">
        <v>10</v>
      </c>
    </row>
    <row r="3558" spans="1:13">
      <c r="A3558" t="s">
        <v>851</v>
      </c>
      <c r="B3558" t="s">
        <v>686</v>
      </c>
      <c r="C3558" t="s">
        <v>686</v>
      </c>
      <c r="D3558" t="s">
        <v>3185</v>
      </c>
      <c r="E3558" t="s">
        <v>646</v>
      </c>
      <c r="F3558" t="s">
        <v>40</v>
      </c>
      <c r="G3558">
        <v>2045</v>
      </c>
      <c r="H3558" s="12">
        <v>2051</v>
      </c>
      <c r="I3558" t="s">
        <v>3183</v>
      </c>
      <c r="J3558" t="s">
        <v>344</v>
      </c>
      <c r="K3558" t="s">
        <v>9</v>
      </c>
      <c r="L3558" t="s">
        <v>655</v>
      </c>
      <c r="M3558" t="s">
        <v>10</v>
      </c>
    </row>
    <row r="3559" spans="1:13">
      <c r="A3559" t="s">
        <v>851</v>
      </c>
      <c r="B3559" t="s">
        <v>686</v>
      </c>
      <c r="C3559" t="s">
        <v>686</v>
      </c>
      <c r="D3559" t="s">
        <v>3185</v>
      </c>
      <c r="E3559" t="s">
        <v>646</v>
      </c>
      <c r="F3559" t="s">
        <v>40</v>
      </c>
      <c r="G3559">
        <v>2050</v>
      </c>
      <c r="H3559" s="12">
        <v>2123</v>
      </c>
      <c r="I3559" t="s">
        <v>3183</v>
      </c>
      <c r="J3559" t="s">
        <v>344</v>
      </c>
      <c r="K3559" t="s">
        <v>9</v>
      </c>
      <c r="L3559" t="s">
        <v>655</v>
      </c>
      <c r="M3559" t="s">
        <v>10</v>
      </c>
    </row>
    <row r="3560" spans="1:13">
      <c r="A3560" t="s">
        <v>851</v>
      </c>
      <c r="B3560" t="s">
        <v>687</v>
      </c>
      <c r="C3560" t="s">
        <v>687</v>
      </c>
      <c r="D3560" t="s">
        <v>3185</v>
      </c>
      <c r="E3560" t="s">
        <v>646</v>
      </c>
      <c r="F3560" t="s">
        <v>40</v>
      </c>
      <c r="G3560">
        <v>2030</v>
      </c>
      <c r="H3560" s="12">
        <v>1738</v>
      </c>
      <c r="I3560" t="s">
        <v>3183</v>
      </c>
      <c r="J3560" t="s">
        <v>344</v>
      </c>
      <c r="K3560" t="s">
        <v>9</v>
      </c>
      <c r="L3560" t="s">
        <v>655</v>
      </c>
      <c r="M3560" t="s">
        <v>10</v>
      </c>
    </row>
    <row r="3561" spans="1:13">
      <c r="A3561" t="s">
        <v>851</v>
      </c>
      <c r="B3561" t="s">
        <v>687</v>
      </c>
      <c r="C3561" t="s">
        <v>687</v>
      </c>
      <c r="D3561" t="s">
        <v>3185</v>
      </c>
      <c r="E3561" t="s">
        <v>646</v>
      </c>
      <c r="F3561" t="s">
        <v>40</v>
      </c>
      <c r="G3561">
        <v>2035</v>
      </c>
      <c r="H3561" s="12">
        <v>1864</v>
      </c>
      <c r="I3561" t="s">
        <v>3183</v>
      </c>
      <c r="J3561" t="s">
        <v>344</v>
      </c>
      <c r="K3561" t="s">
        <v>9</v>
      </c>
      <c r="L3561" t="s">
        <v>655</v>
      </c>
      <c r="M3561" t="s">
        <v>10</v>
      </c>
    </row>
    <row r="3562" spans="1:13">
      <c r="A3562" t="s">
        <v>851</v>
      </c>
      <c r="B3562" t="s">
        <v>687</v>
      </c>
      <c r="C3562" t="s">
        <v>687</v>
      </c>
      <c r="D3562" t="s">
        <v>3185</v>
      </c>
      <c r="E3562" t="s">
        <v>646</v>
      </c>
      <c r="F3562" t="s">
        <v>40</v>
      </c>
      <c r="G3562">
        <v>2040</v>
      </c>
      <c r="H3562" s="12">
        <v>1961</v>
      </c>
      <c r="I3562" t="s">
        <v>3183</v>
      </c>
      <c r="J3562" t="s">
        <v>344</v>
      </c>
      <c r="K3562" t="s">
        <v>9</v>
      </c>
      <c r="L3562" t="s">
        <v>655</v>
      </c>
      <c r="M3562" t="s">
        <v>10</v>
      </c>
    </row>
    <row r="3563" spans="1:13">
      <c r="A3563" t="s">
        <v>851</v>
      </c>
      <c r="B3563" t="s">
        <v>687</v>
      </c>
      <c r="C3563" t="s">
        <v>687</v>
      </c>
      <c r="D3563" t="s">
        <v>3185</v>
      </c>
      <c r="E3563" t="s">
        <v>646</v>
      </c>
      <c r="F3563" t="s">
        <v>40</v>
      </c>
      <c r="G3563">
        <v>2045</v>
      </c>
      <c r="H3563" s="12">
        <v>2043</v>
      </c>
      <c r="I3563" t="s">
        <v>3183</v>
      </c>
      <c r="J3563" t="s">
        <v>344</v>
      </c>
      <c r="K3563" t="s">
        <v>9</v>
      </c>
      <c r="L3563" t="s">
        <v>655</v>
      </c>
      <c r="M3563" t="s">
        <v>10</v>
      </c>
    </row>
    <row r="3564" spans="1:13">
      <c r="A3564" t="s">
        <v>851</v>
      </c>
      <c r="B3564" t="s">
        <v>687</v>
      </c>
      <c r="C3564" t="s">
        <v>687</v>
      </c>
      <c r="D3564" t="s">
        <v>3185</v>
      </c>
      <c r="E3564" t="s">
        <v>646</v>
      </c>
      <c r="F3564" t="s">
        <v>40</v>
      </c>
      <c r="G3564">
        <v>2050</v>
      </c>
      <c r="H3564" s="12">
        <v>2103</v>
      </c>
      <c r="I3564" t="s">
        <v>3183</v>
      </c>
      <c r="J3564" t="s">
        <v>344</v>
      </c>
      <c r="K3564" t="s">
        <v>9</v>
      </c>
      <c r="L3564" t="s">
        <v>655</v>
      </c>
      <c r="M3564" t="s">
        <v>10</v>
      </c>
    </row>
    <row r="3565" spans="1:13">
      <c r="A3565" t="s">
        <v>851</v>
      </c>
      <c r="B3565" t="s">
        <v>686</v>
      </c>
      <c r="C3565" t="s">
        <v>686</v>
      </c>
      <c r="D3565" t="s">
        <v>3185</v>
      </c>
      <c r="E3565" t="s">
        <v>573</v>
      </c>
      <c r="F3565" t="s">
        <v>40</v>
      </c>
      <c r="G3565">
        <v>2030</v>
      </c>
      <c r="H3565" s="12">
        <v>9577</v>
      </c>
      <c r="I3565" t="s">
        <v>3183</v>
      </c>
      <c r="J3565" t="s">
        <v>6</v>
      </c>
      <c r="K3565" t="s">
        <v>147</v>
      </c>
      <c r="L3565" t="s">
        <v>655</v>
      </c>
      <c r="M3565" t="s">
        <v>659</v>
      </c>
    </row>
    <row r="3566" spans="1:13">
      <c r="A3566" t="s">
        <v>851</v>
      </c>
      <c r="B3566" t="s">
        <v>686</v>
      </c>
      <c r="C3566" t="s">
        <v>686</v>
      </c>
      <c r="D3566" t="s">
        <v>3185</v>
      </c>
      <c r="E3566" t="s">
        <v>573</v>
      </c>
      <c r="F3566" t="s">
        <v>40</v>
      </c>
      <c r="G3566">
        <v>2035</v>
      </c>
      <c r="H3566" s="12">
        <v>9399</v>
      </c>
      <c r="I3566" t="s">
        <v>3183</v>
      </c>
      <c r="J3566" t="s">
        <v>6</v>
      </c>
      <c r="K3566" t="s">
        <v>147</v>
      </c>
      <c r="L3566" t="s">
        <v>655</v>
      </c>
      <c r="M3566" t="s">
        <v>659</v>
      </c>
    </row>
    <row r="3567" spans="1:13">
      <c r="A3567" t="s">
        <v>851</v>
      </c>
      <c r="B3567" t="s">
        <v>686</v>
      </c>
      <c r="C3567" t="s">
        <v>686</v>
      </c>
      <c r="D3567" t="s">
        <v>3185</v>
      </c>
      <c r="E3567" t="s">
        <v>573</v>
      </c>
      <c r="F3567" t="s">
        <v>40</v>
      </c>
      <c r="G3567">
        <v>2040</v>
      </c>
      <c r="H3567" s="12">
        <v>9670</v>
      </c>
      <c r="I3567" t="s">
        <v>3183</v>
      </c>
      <c r="J3567" t="s">
        <v>6</v>
      </c>
      <c r="K3567" t="s">
        <v>147</v>
      </c>
      <c r="L3567" t="s">
        <v>655</v>
      </c>
      <c r="M3567" t="s">
        <v>659</v>
      </c>
    </row>
    <row r="3568" spans="1:13">
      <c r="A3568" t="s">
        <v>851</v>
      </c>
      <c r="B3568" t="s">
        <v>686</v>
      </c>
      <c r="C3568" t="s">
        <v>686</v>
      </c>
      <c r="D3568" t="s">
        <v>3185</v>
      </c>
      <c r="E3568" t="s">
        <v>573</v>
      </c>
      <c r="F3568" t="s">
        <v>40</v>
      </c>
      <c r="G3568">
        <v>2045</v>
      </c>
      <c r="H3568" s="12">
        <v>9909</v>
      </c>
      <c r="I3568" t="s">
        <v>3183</v>
      </c>
      <c r="J3568" t="s">
        <v>6</v>
      </c>
      <c r="K3568" t="s">
        <v>147</v>
      </c>
      <c r="L3568" t="s">
        <v>655</v>
      </c>
      <c r="M3568" t="s">
        <v>659</v>
      </c>
    </row>
    <row r="3569" spans="1:13">
      <c r="A3569" t="s">
        <v>851</v>
      </c>
      <c r="B3569" t="s">
        <v>686</v>
      </c>
      <c r="C3569" t="s">
        <v>686</v>
      </c>
      <c r="D3569" t="s">
        <v>3185</v>
      </c>
      <c r="E3569" t="s">
        <v>573</v>
      </c>
      <c r="F3569" t="s">
        <v>40</v>
      </c>
      <c r="G3569">
        <v>2050</v>
      </c>
      <c r="H3569" s="12">
        <v>9935</v>
      </c>
      <c r="I3569" t="s">
        <v>3183</v>
      </c>
      <c r="J3569" t="s">
        <v>6</v>
      </c>
      <c r="K3569" t="s">
        <v>147</v>
      </c>
      <c r="L3569" t="s">
        <v>655</v>
      </c>
      <c r="M3569" t="s">
        <v>659</v>
      </c>
    </row>
    <row r="3570" spans="1:13">
      <c r="A3570" t="s">
        <v>851</v>
      </c>
      <c r="B3570" t="s">
        <v>687</v>
      </c>
      <c r="C3570" t="s">
        <v>687</v>
      </c>
      <c r="D3570" t="s">
        <v>3185</v>
      </c>
      <c r="E3570" t="s">
        <v>573</v>
      </c>
      <c r="F3570" t="s">
        <v>40</v>
      </c>
      <c r="G3570">
        <v>2030</v>
      </c>
      <c r="H3570" s="12">
        <v>8812</v>
      </c>
      <c r="I3570" t="s">
        <v>3183</v>
      </c>
      <c r="J3570" t="s">
        <v>6</v>
      </c>
      <c r="K3570" t="s">
        <v>147</v>
      </c>
      <c r="L3570" t="s">
        <v>655</v>
      </c>
      <c r="M3570" t="s">
        <v>659</v>
      </c>
    </row>
    <row r="3571" spans="1:13">
      <c r="A3571" t="s">
        <v>851</v>
      </c>
      <c r="B3571" t="s">
        <v>687</v>
      </c>
      <c r="C3571" t="s">
        <v>687</v>
      </c>
      <c r="D3571" t="s">
        <v>3185</v>
      </c>
      <c r="E3571" t="s">
        <v>573</v>
      </c>
      <c r="F3571" t="s">
        <v>40</v>
      </c>
      <c r="G3571">
        <v>2035</v>
      </c>
      <c r="H3571" s="12">
        <v>8564</v>
      </c>
      <c r="I3571" t="s">
        <v>3183</v>
      </c>
      <c r="J3571" t="s">
        <v>6</v>
      </c>
      <c r="K3571" t="s">
        <v>147</v>
      </c>
      <c r="L3571" t="s">
        <v>655</v>
      </c>
      <c r="M3571" t="s">
        <v>659</v>
      </c>
    </row>
    <row r="3572" spans="1:13">
      <c r="A3572" t="s">
        <v>851</v>
      </c>
      <c r="B3572" t="s">
        <v>687</v>
      </c>
      <c r="C3572" t="s">
        <v>687</v>
      </c>
      <c r="D3572" t="s">
        <v>3185</v>
      </c>
      <c r="E3572" t="s">
        <v>573</v>
      </c>
      <c r="F3572" t="s">
        <v>40</v>
      </c>
      <c r="G3572">
        <v>2040</v>
      </c>
      <c r="H3572" s="12">
        <v>8562</v>
      </c>
      <c r="I3572" t="s">
        <v>3183</v>
      </c>
      <c r="J3572" t="s">
        <v>6</v>
      </c>
      <c r="K3572" t="s">
        <v>147</v>
      </c>
      <c r="L3572" t="s">
        <v>655</v>
      </c>
      <c r="M3572" t="s">
        <v>659</v>
      </c>
    </row>
    <row r="3573" spans="1:13">
      <c r="A3573" t="s">
        <v>851</v>
      </c>
      <c r="B3573" t="s">
        <v>687</v>
      </c>
      <c r="C3573" t="s">
        <v>687</v>
      </c>
      <c r="D3573" t="s">
        <v>3185</v>
      </c>
      <c r="E3573" t="s">
        <v>573</v>
      </c>
      <c r="F3573" t="s">
        <v>40</v>
      </c>
      <c r="G3573">
        <v>2045</v>
      </c>
      <c r="H3573" s="12">
        <v>8473</v>
      </c>
      <c r="I3573" t="s">
        <v>3183</v>
      </c>
      <c r="J3573" t="s">
        <v>6</v>
      </c>
      <c r="K3573" t="s">
        <v>147</v>
      </c>
      <c r="L3573" t="s">
        <v>655</v>
      </c>
      <c r="M3573" t="s">
        <v>659</v>
      </c>
    </row>
    <row r="3574" spans="1:13">
      <c r="A3574" t="s">
        <v>851</v>
      </c>
      <c r="B3574" t="s">
        <v>687</v>
      </c>
      <c r="C3574" t="s">
        <v>687</v>
      </c>
      <c r="D3574" t="s">
        <v>3185</v>
      </c>
      <c r="E3574" t="s">
        <v>573</v>
      </c>
      <c r="F3574" t="s">
        <v>40</v>
      </c>
      <c r="G3574">
        <v>2050</v>
      </c>
      <c r="H3574" s="12">
        <v>8172</v>
      </c>
      <c r="I3574" t="s">
        <v>3183</v>
      </c>
      <c r="J3574" t="s">
        <v>6</v>
      </c>
      <c r="K3574" t="s">
        <v>147</v>
      </c>
      <c r="L3574" t="s">
        <v>655</v>
      </c>
      <c r="M3574" t="s">
        <v>659</v>
      </c>
    </row>
    <row r="3575" spans="1:13">
      <c r="A3575" t="s">
        <v>851</v>
      </c>
      <c r="B3575" t="s">
        <v>686</v>
      </c>
      <c r="C3575" t="s">
        <v>686</v>
      </c>
      <c r="D3575" t="s">
        <v>3185</v>
      </c>
      <c r="E3575" t="s">
        <v>573</v>
      </c>
      <c r="F3575" t="s">
        <v>40</v>
      </c>
      <c r="G3575">
        <v>2010</v>
      </c>
      <c r="H3575" s="12">
        <v>489</v>
      </c>
      <c r="I3575" t="s">
        <v>3183</v>
      </c>
      <c r="J3575" t="s">
        <v>394</v>
      </c>
      <c r="K3575" t="s">
        <v>147</v>
      </c>
      <c r="L3575" t="s">
        <v>655</v>
      </c>
      <c r="M3575" t="s">
        <v>16</v>
      </c>
    </row>
    <row r="3576" spans="1:13">
      <c r="A3576" t="s">
        <v>851</v>
      </c>
      <c r="B3576" t="s">
        <v>686</v>
      </c>
      <c r="C3576" t="s">
        <v>686</v>
      </c>
      <c r="D3576" t="s">
        <v>3185</v>
      </c>
      <c r="E3576" t="s">
        <v>573</v>
      </c>
      <c r="F3576" t="s">
        <v>40</v>
      </c>
      <c r="G3576">
        <v>2015</v>
      </c>
      <c r="H3576" s="12">
        <v>431</v>
      </c>
      <c r="I3576" t="s">
        <v>3183</v>
      </c>
      <c r="J3576" t="s">
        <v>394</v>
      </c>
      <c r="K3576" t="s">
        <v>147</v>
      </c>
      <c r="L3576" t="s">
        <v>655</v>
      </c>
      <c r="M3576" t="s">
        <v>16</v>
      </c>
    </row>
    <row r="3577" spans="1:13">
      <c r="A3577" t="s">
        <v>851</v>
      </c>
      <c r="B3577" t="s">
        <v>686</v>
      </c>
      <c r="C3577" t="s">
        <v>686</v>
      </c>
      <c r="D3577" t="s">
        <v>3185</v>
      </c>
      <c r="E3577" t="s">
        <v>573</v>
      </c>
      <c r="F3577" t="s">
        <v>40</v>
      </c>
      <c r="G3577">
        <v>2020</v>
      </c>
      <c r="H3577" s="12">
        <v>254</v>
      </c>
      <c r="I3577" t="s">
        <v>3183</v>
      </c>
      <c r="J3577" t="s">
        <v>394</v>
      </c>
      <c r="K3577" t="s">
        <v>147</v>
      </c>
      <c r="L3577" t="s">
        <v>655</v>
      </c>
      <c r="M3577" t="s">
        <v>16</v>
      </c>
    </row>
    <row r="3578" spans="1:13">
      <c r="A3578" t="s">
        <v>851</v>
      </c>
      <c r="B3578" t="s">
        <v>686</v>
      </c>
      <c r="C3578" t="s">
        <v>686</v>
      </c>
      <c r="D3578" t="s">
        <v>3185</v>
      </c>
      <c r="E3578" t="s">
        <v>573</v>
      </c>
      <c r="F3578" t="s">
        <v>40</v>
      </c>
      <c r="G3578">
        <v>2030</v>
      </c>
      <c r="H3578" s="12">
        <v>138</v>
      </c>
      <c r="I3578" t="s">
        <v>3183</v>
      </c>
      <c r="J3578" t="s">
        <v>394</v>
      </c>
      <c r="K3578" t="s">
        <v>147</v>
      </c>
      <c r="L3578" t="s">
        <v>655</v>
      </c>
      <c r="M3578" t="s">
        <v>16</v>
      </c>
    </row>
    <row r="3579" spans="1:13">
      <c r="A3579" t="s">
        <v>851</v>
      </c>
      <c r="B3579" t="s">
        <v>686</v>
      </c>
      <c r="C3579" t="s">
        <v>686</v>
      </c>
      <c r="D3579" t="s">
        <v>3185</v>
      </c>
      <c r="E3579" t="s">
        <v>573</v>
      </c>
      <c r="F3579" t="s">
        <v>40</v>
      </c>
      <c r="G3579">
        <v>2035</v>
      </c>
      <c r="H3579" s="12">
        <v>112</v>
      </c>
      <c r="I3579" t="s">
        <v>3183</v>
      </c>
      <c r="J3579" t="s">
        <v>394</v>
      </c>
      <c r="K3579" t="s">
        <v>147</v>
      </c>
      <c r="L3579" t="s">
        <v>655</v>
      </c>
      <c r="M3579" t="s">
        <v>16</v>
      </c>
    </row>
    <row r="3580" spans="1:13">
      <c r="A3580" t="s">
        <v>851</v>
      </c>
      <c r="B3580" t="s">
        <v>686</v>
      </c>
      <c r="C3580" t="s">
        <v>686</v>
      </c>
      <c r="D3580" t="s">
        <v>3185</v>
      </c>
      <c r="E3580" t="s">
        <v>573</v>
      </c>
      <c r="F3580" t="s">
        <v>40</v>
      </c>
      <c r="G3580">
        <v>2040</v>
      </c>
      <c r="H3580" s="12">
        <v>94</v>
      </c>
      <c r="I3580" t="s">
        <v>3183</v>
      </c>
      <c r="J3580" t="s">
        <v>394</v>
      </c>
      <c r="K3580" t="s">
        <v>147</v>
      </c>
      <c r="L3580" t="s">
        <v>655</v>
      </c>
      <c r="M3580" t="s">
        <v>16</v>
      </c>
    </row>
    <row r="3581" spans="1:13">
      <c r="A3581" t="s">
        <v>851</v>
      </c>
      <c r="B3581" t="s">
        <v>686</v>
      </c>
      <c r="C3581" t="s">
        <v>686</v>
      </c>
      <c r="D3581" t="s">
        <v>3185</v>
      </c>
      <c r="E3581" t="s">
        <v>573</v>
      </c>
      <c r="F3581" t="s">
        <v>40</v>
      </c>
      <c r="G3581">
        <v>2045</v>
      </c>
      <c r="H3581" s="12">
        <v>82</v>
      </c>
      <c r="I3581" t="s">
        <v>3183</v>
      </c>
      <c r="J3581" t="s">
        <v>394</v>
      </c>
      <c r="K3581" t="s">
        <v>147</v>
      </c>
      <c r="L3581" t="s">
        <v>655</v>
      </c>
      <c r="M3581" t="s">
        <v>16</v>
      </c>
    </row>
    <row r="3582" spans="1:13">
      <c r="A3582" t="s">
        <v>851</v>
      </c>
      <c r="B3582" t="s">
        <v>686</v>
      </c>
      <c r="C3582" t="s">
        <v>686</v>
      </c>
      <c r="D3582" t="s">
        <v>3185</v>
      </c>
      <c r="E3582" t="s">
        <v>573</v>
      </c>
      <c r="F3582" t="s">
        <v>40</v>
      </c>
      <c r="G3582">
        <v>2050</v>
      </c>
      <c r="H3582" s="12">
        <v>71</v>
      </c>
      <c r="I3582" t="s">
        <v>3183</v>
      </c>
      <c r="J3582" t="s">
        <v>394</v>
      </c>
      <c r="K3582" t="s">
        <v>147</v>
      </c>
      <c r="L3582" t="s">
        <v>655</v>
      </c>
      <c r="M3582" t="s">
        <v>16</v>
      </c>
    </row>
    <row r="3583" spans="1:13">
      <c r="A3583" t="s">
        <v>851</v>
      </c>
      <c r="B3583" t="s">
        <v>687</v>
      </c>
      <c r="C3583" t="s">
        <v>687</v>
      </c>
      <c r="D3583" t="s">
        <v>3185</v>
      </c>
      <c r="E3583" t="s">
        <v>573</v>
      </c>
      <c r="F3583" t="s">
        <v>40</v>
      </c>
      <c r="G3583">
        <v>2030</v>
      </c>
      <c r="H3583" s="12">
        <v>136</v>
      </c>
      <c r="I3583" t="s">
        <v>3183</v>
      </c>
      <c r="J3583" t="s">
        <v>394</v>
      </c>
      <c r="K3583" t="s">
        <v>147</v>
      </c>
      <c r="L3583" t="s">
        <v>655</v>
      </c>
      <c r="M3583" t="s">
        <v>16</v>
      </c>
    </row>
    <row r="3584" spans="1:13">
      <c r="A3584" t="s">
        <v>851</v>
      </c>
      <c r="B3584" t="s">
        <v>687</v>
      </c>
      <c r="C3584" t="s">
        <v>687</v>
      </c>
      <c r="D3584" t="s">
        <v>3185</v>
      </c>
      <c r="E3584" t="s">
        <v>573</v>
      </c>
      <c r="F3584" t="s">
        <v>40</v>
      </c>
      <c r="G3584">
        <v>2035</v>
      </c>
      <c r="H3584" s="12">
        <v>112</v>
      </c>
      <c r="I3584" t="s">
        <v>3183</v>
      </c>
      <c r="J3584" t="s">
        <v>394</v>
      </c>
      <c r="K3584" t="s">
        <v>147</v>
      </c>
      <c r="L3584" t="s">
        <v>655</v>
      </c>
      <c r="M3584" t="s">
        <v>16</v>
      </c>
    </row>
    <row r="3585" spans="1:13">
      <c r="A3585" t="s">
        <v>851</v>
      </c>
      <c r="B3585" t="s">
        <v>687</v>
      </c>
      <c r="C3585" t="s">
        <v>687</v>
      </c>
      <c r="D3585" t="s">
        <v>3185</v>
      </c>
      <c r="E3585" t="s">
        <v>573</v>
      </c>
      <c r="F3585" t="s">
        <v>40</v>
      </c>
      <c r="G3585">
        <v>2040</v>
      </c>
      <c r="H3585" s="12">
        <v>94</v>
      </c>
      <c r="I3585" t="s">
        <v>3183</v>
      </c>
      <c r="J3585" t="s">
        <v>394</v>
      </c>
      <c r="K3585" t="s">
        <v>147</v>
      </c>
      <c r="L3585" t="s">
        <v>655</v>
      </c>
      <c r="M3585" t="s">
        <v>16</v>
      </c>
    </row>
    <row r="3586" spans="1:13">
      <c r="A3586" t="s">
        <v>851</v>
      </c>
      <c r="B3586" t="s">
        <v>687</v>
      </c>
      <c r="C3586" t="s">
        <v>687</v>
      </c>
      <c r="D3586" t="s">
        <v>3185</v>
      </c>
      <c r="E3586" t="s">
        <v>573</v>
      </c>
      <c r="F3586" t="s">
        <v>40</v>
      </c>
      <c r="G3586">
        <v>2045</v>
      </c>
      <c r="H3586" s="12">
        <v>82</v>
      </c>
      <c r="I3586" t="s">
        <v>3183</v>
      </c>
      <c r="J3586" t="s">
        <v>394</v>
      </c>
      <c r="K3586" t="s">
        <v>147</v>
      </c>
      <c r="L3586" t="s">
        <v>655</v>
      </c>
      <c r="M3586" t="s">
        <v>16</v>
      </c>
    </row>
    <row r="3587" spans="1:13">
      <c r="A3587" t="s">
        <v>851</v>
      </c>
      <c r="B3587" t="s">
        <v>687</v>
      </c>
      <c r="C3587" t="s">
        <v>687</v>
      </c>
      <c r="D3587" t="s">
        <v>3185</v>
      </c>
      <c r="E3587" t="s">
        <v>573</v>
      </c>
      <c r="F3587" t="s">
        <v>40</v>
      </c>
      <c r="G3587">
        <v>2050</v>
      </c>
      <c r="H3587" s="12">
        <v>71</v>
      </c>
      <c r="I3587" t="s">
        <v>3183</v>
      </c>
      <c r="J3587" t="s">
        <v>394</v>
      </c>
      <c r="K3587" t="s">
        <v>147</v>
      </c>
      <c r="L3587" t="s">
        <v>655</v>
      </c>
      <c r="M3587" t="s">
        <v>16</v>
      </c>
    </row>
    <row r="3588" spans="1:13">
      <c r="A3588" t="s">
        <v>851</v>
      </c>
      <c r="B3588" t="s">
        <v>686</v>
      </c>
      <c r="C3588" t="s">
        <v>686</v>
      </c>
      <c r="D3588" t="s">
        <v>3185</v>
      </c>
      <c r="E3588" t="s">
        <v>573</v>
      </c>
      <c r="F3588" t="s">
        <v>40</v>
      </c>
      <c r="G3588">
        <v>2010</v>
      </c>
      <c r="H3588" s="12">
        <v>3764</v>
      </c>
      <c r="I3588" t="s">
        <v>3183</v>
      </c>
      <c r="J3588" t="s">
        <v>5</v>
      </c>
      <c r="K3588" t="s">
        <v>147</v>
      </c>
      <c r="L3588" t="s">
        <v>655</v>
      </c>
      <c r="M3588" t="s">
        <v>5</v>
      </c>
    </row>
    <row r="3589" spans="1:13">
      <c r="A3589" t="s">
        <v>851</v>
      </c>
      <c r="B3589" t="s">
        <v>686</v>
      </c>
      <c r="C3589" t="s">
        <v>686</v>
      </c>
      <c r="D3589" t="s">
        <v>3185</v>
      </c>
      <c r="E3589" t="s">
        <v>573</v>
      </c>
      <c r="F3589" t="s">
        <v>40</v>
      </c>
      <c r="G3589">
        <v>2015</v>
      </c>
      <c r="H3589" s="12">
        <v>3512</v>
      </c>
      <c r="I3589" t="s">
        <v>3183</v>
      </c>
      <c r="J3589" t="s">
        <v>5</v>
      </c>
      <c r="K3589" t="s">
        <v>147</v>
      </c>
      <c r="L3589" t="s">
        <v>655</v>
      </c>
      <c r="M3589" t="s">
        <v>5</v>
      </c>
    </row>
    <row r="3590" spans="1:13">
      <c r="A3590" t="s">
        <v>851</v>
      </c>
      <c r="B3590" t="s">
        <v>686</v>
      </c>
      <c r="C3590" t="s">
        <v>686</v>
      </c>
      <c r="D3590" t="s">
        <v>3185</v>
      </c>
      <c r="E3590" t="s">
        <v>573</v>
      </c>
      <c r="F3590" t="s">
        <v>40</v>
      </c>
      <c r="G3590">
        <v>2020</v>
      </c>
      <c r="H3590" s="12">
        <v>3626</v>
      </c>
      <c r="I3590" t="s">
        <v>3183</v>
      </c>
      <c r="J3590" t="s">
        <v>5</v>
      </c>
      <c r="K3590" t="s">
        <v>147</v>
      </c>
      <c r="L3590" t="s">
        <v>655</v>
      </c>
      <c r="M3590" t="s">
        <v>5</v>
      </c>
    </row>
    <row r="3591" spans="1:13">
      <c r="A3591" t="s">
        <v>851</v>
      </c>
      <c r="B3591" t="s">
        <v>686</v>
      </c>
      <c r="C3591" t="s">
        <v>686</v>
      </c>
      <c r="D3591" t="s">
        <v>3185</v>
      </c>
      <c r="E3591" t="s">
        <v>660</v>
      </c>
      <c r="F3591" t="s">
        <v>40</v>
      </c>
      <c r="G3591">
        <v>2040</v>
      </c>
      <c r="H3591" s="12">
        <v>0</v>
      </c>
      <c r="I3591" t="s">
        <v>3183</v>
      </c>
      <c r="J3591" t="s">
        <v>41</v>
      </c>
      <c r="K3591" t="s">
        <v>657</v>
      </c>
      <c r="L3591" t="s">
        <v>655</v>
      </c>
      <c r="M3591" t="s">
        <v>661</v>
      </c>
    </row>
    <row r="3592" spans="1:13">
      <c r="A3592" t="s">
        <v>851</v>
      </c>
      <c r="B3592" t="s">
        <v>686</v>
      </c>
      <c r="C3592" t="s">
        <v>686</v>
      </c>
      <c r="D3592" t="s">
        <v>3185</v>
      </c>
      <c r="E3592" t="s">
        <v>660</v>
      </c>
      <c r="F3592" t="s">
        <v>40</v>
      </c>
      <c r="G3592">
        <v>2045</v>
      </c>
      <c r="H3592" s="12">
        <v>0</v>
      </c>
      <c r="I3592" t="s">
        <v>3183</v>
      </c>
      <c r="J3592" t="s">
        <v>41</v>
      </c>
      <c r="K3592" t="s">
        <v>657</v>
      </c>
      <c r="L3592" t="s">
        <v>655</v>
      </c>
      <c r="M3592" t="s">
        <v>661</v>
      </c>
    </row>
    <row r="3593" spans="1:13">
      <c r="A3593" t="s">
        <v>851</v>
      </c>
      <c r="B3593" t="s">
        <v>686</v>
      </c>
      <c r="C3593" t="s">
        <v>686</v>
      </c>
      <c r="D3593" t="s">
        <v>3185</v>
      </c>
      <c r="E3593" t="s">
        <v>660</v>
      </c>
      <c r="F3593" t="s">
        <v>40</v>
      </c>
      <c r="G3593">
        <v>2050</v>
      </c>
      <c r="H3593" s="12">
        <v>0</v>
      </c>
      <c r="I3593" t="s">
        <v>3183</v>
      </c>
      <c r="J3593" t="s">
        <v>41</v>
      </c>
      <c r="K3593" t="s">
        <v>657</v>
      </c>
      <c r="L3593" t="s">
        <v>655</v>
      </c>
      <c r="M3593" t="s">
        <v>661</v>
      </c>
    </row>
    <row r="3594" spans="1:13">
      <c r="A3594" t="s">
        <v>851</v>
      </c>
      <c r="B3594" t="s">
        <v>687</v>
      </c>
      <c r="C3594" t="s">
        <v>687</v>
      </c>
      <c r="D3594" t="s">
        <v>3185</v>
      </c>
      <c r="E3594" t="s">
        <v>646</v>
      </c>
      <c r="F3594" t="s">
        <v>40</v>
      </c>
      <c r="G3594">
        <v>2045</v>
      </c>
      <c r="H3594" s="12">
        <v>2063</v>
      </c>
      <c r="I3594" t="s">
        <v>3183</v>
      </c>
      <c r="J3594" t="s">
        <v>394</v>
      </c>
      <c r="K3594" t="s">
        <v>272</v>
      </c>
      <c r="L3594" t="s">
        <v>655</v>
      </c>
      <c r="M3594" t="s">
        <v>16</v>
      </c>
    </row>
    <row r="3595" spans="1:13">
      <c r="A3595" t="s">
        <v>851</v>
      </c>
      <c r="B3595" t="s">
        <v>687</v>
      </c>
      <c r="C3595" t="s">
        <v>687</v>
      </c>
      <c r="D3595" t="s">
        <v>3185</v>
      </c>
      <c r="E3595" t="s">
        <v>646</v>
      </c>
      <c r="F3595" t="s">
        <v>40</v>
      </c>
      <c r="G3595">
        <v>2050</v>
      </c>
      <c r="H3595" s="12">
        <v>2098</v>
      </c>
      <c r="I3595" t="s">
        <v>3183</v>
      </c>
      <c r="J3595" t="s">
        <v>394</v>
      </c>
      <c r="K3595" t="s">
        <v>272</v>
      </c>
      <c r="L3595" t="s">
        <v>655</v>
      </c>
      <c r="M3595" t="s">
        <v>16</v>
      </c>
    </row>
    <row r="3596" spans="1:13">
      <c r="A3596" t="s">
        <v>851</v>
      </c>
      <c r="B3596" t="s">
        <v>686</v>
      </c>
      <c r="C3596" t="s">
        <v>686</v>
      </c>
      <c r="D3596" t="s">
        <v>3185</v>
      </c>
      <c r="E3596" t="s">
        <v>660</v>
      </c>
      <c r="F3596" t="s">
        <v>40</v>
      </c>
      <c r="G3596">
        <v>2010</v>
      </c>
      <c r="H3596" s="12">
        <v>5946</v>
      </c>
      <c r="I3596" t="s">
        <v>3183</v>
      </c>
      <c r="J3596" t="s">
        <v>5</v>
      </c>
      <c r="K3596" t="s">
        <v>657</v>
      </c>
      <c r="L3596" t="s">
        <v>655</v>
      </c>
      <c r="M3596" t="s">
        <v>5</v>
      </c>
    </row>
    <row r="3597" spans="1:13">
      <c r="A3597" t="s">
        <v>851</v>
      </c>
      <c r="B3597" t="s">
        <v>686</v>
      </c>
      <c r="C3597" t="s">
        <v>686</v>
      </c>
      <c r="D3597" t="s">
        <v>3185</v>
      </c>
      <c r="E3597" t="s">
        <v>660</v>
      </c>
      <c r="F3597" t="s">
        <v>40</v>
      </c>
      <c r="G3597">
        <v>2015</v>
      </c>
      <c r="H3597" s="12">
        <v>6159</v>
      </c>
      <c r="I3597" t="s">
        <v>3183</v>
      </c>
      <c r="J3597" t="s">
        <v>5</v>
      </c>
      <c r="K3597" t="s">
        <v>657</v>
      </c>
      <c r="L3597" t="s">
        <v>655</v>
      </c>
      <c r="M3597" t="s">
        <v>5</v>
      </c>
    </row>
    <row r="3598" spans="1:13">
      <c r="A3598" t="s">
        <v>851</v>
      </c>
      <c r="B3598" t="s">
        <v>686</v>
      </c>
      <c r="C3598" t="s">
        <v>686</v>
      </c>
      <c r="D3598" t="s">
        <v>3185</v>
      </c>
      <c r="E3598" t="s">
        <v>660</v>
      </c>
      <c r="F3598" t="s">
        <v>40</v>
      </c>
      <c r="G3598">
        <v>2020</v>
      </c>
      <c r="H3598" s="12">
        <v>6376</v>
      </c>
      <c r="I3598" t="s">
        <v>3183</v>
      </c>
      <c r="J3598" t="s">
        <v>5</v>
      </c>
      <c r="K3598" t="s">
        <v>657</v>
      </c>
      <c r="L3598" t="s">
        <v>655</v>
      </c>
      <c r="M3598" t="s">
        <v>5</v>
      </c>
    </row>
    <row r="3599" spans="1:13">
      <c r="A3599" t="s">
        <v>851</v>
      </c>
      <c r="B3599" t="s">
        <v>686</v>
      </c>
      <c r="C3599" t="s">
        <v>686</v>
      </c>
      <c r="D3599" t="s">
        <v>3185</v>
      </c>
      <c r="E3599" t="s">
        <v>660</v>
      </c>
      <c r="F3599" t="s">
        <v>40</v>
      </c>
      <c r="G3599">
        <v>2030</v>
      </c>
      <c r="H3599" s="12">
        <v>5044</v>
      </c>
      <c r="I3599" t="s">
        <v>3183</v>
      </c>
      <c r="J3599" t="s">
        <v>5</v>
      </c>
      <c r="K3599" t="s">
        <v>657</v>
      </c>
      <c r="L3599" t="s">
        <v>655</v>
      </c>
      <c r="M3599" t="s">
        <v>5</v>
      </c>
    </row>
    <row r="3600" spans="1:13">
      <c r="A3600" t="s">
        <v>851</v>
      </c>
      <c r="B3600" t="s">
        <v>686</v>
      </c>
      <c r="C3600" t="s">
        <v>686</v>
      </c>
      <c r="D3600" t="s">
        <v>3185</v>
      </c>
      <c r="E3600" t="s">
        <v>660</v>
      </c>
      <c r="F3600" t="s">
        <v>40</v>
      </c>
      <c r="G3600">
        <v>2035</v>
      </c>
      <c r="H3600" s="12">
        <v>4817</v>
      </c>
      <c r="I3600" t="s">
        <v>3183</v>
      </c>
      <c r="J3600" t="s">
        <v>5</v>
      </c>
      <c r="K3600" t="s">
        <v>657</v>
      </c>
      <c r="L3600" t="s">
        <v>655</v>
      </c>
      <c r="M3600" t="s">
        <v>5</v>
      </c>
    </row>
    <row r="3601" spans="1:13">
      <c r="A3601" t="s">
        <v>851</v>
      </c>
      <c r="B3601" t="s">
        <v>686</v>
      </c>
      <c r="C3601" t="s">
        <v>686</v>
      </c>
      <c r="D3601" t="s">
        <v>3185</v>
      </c>
      <c r="E3601" t="s">
        <v>660</v>
      </c>
      <c r="F3601" t="s">
        <v>40</v>
      </c>
      <c r="G3601">
        <v>2040</v>
      </c>
      <c r="H3601" s="12">
        <v>4623</v>
      </c>
      <c r="I3601" t="s">
        <v>3183</v>
      </c>
      <c r="J3601" t="s">
        <v>5</v>
      </c>
      <c r="K3601" t="s">
        <v>657</v>
      </c>
      <c r="L3601" t="s">
        <v>655</v>
      </c>
      <c r="M3601" t="s">
        <v>5</v>
      </c>
    </row>
    <row r="3602" spans="1:13">
      <c r="A3602" t="s">
        <v>851</v>
      </c>
      <c r="B3602" t="s">
        <v>686</v>
      </c>
      <c r="C3602" t="s">
        <v>686</v>
      </c>
      <c r="D3602" t="s">
        <v>3185</v>
      </c>
      <c r="E3602" t="s">
        <v>660</v>
      </c>
      <c r="F3602" t="s">
        <v>40</v>
      </c>
      <c r="G3602">
        <v>2045</v>
      </c>
      <c r="H3602" s="12">
        <v>4637</v>
      </c>
      <c r="I3602" t="s">
        <v>3183</v>
      </c>
      <c r="J3602" t="s">
        <v>5</v>
      </c>
      <c r="K3602" t="s">
        <v>657</v>
      </c>
      <c r="L3602" t="s">
        <v>655</v>
      </c>
      <c r="M3602" t="s">
        <v>5</v>
      </c>
    </row>
    <row r="3603" spans="1:13">
      <c r="A3603" t="s">
        <v>851</v>
      </c>
      <c r="B3603" t="s">
        <v>686</v>
      </c>
      <c r="C3603" t="s">
        <v>686</v>
      </c>
      <c r="D3603" t="s">
        <v>3185</v>
      </c>
      <c r="E3603" t="s">
        <v>660</v>
      </c>
      <c r="F3603" t="s">
        <v>40</v>
      </c>
      <c r="G3603">
        <v>2050</v>
      </c>
      <c r="H3603" s="12">
        <v>4694</v>
      </c>
      <c r="I3603" t="s">
        <v>3183</v>
      </c>
      <c r="J3603" t="s">
        <v>5</v>
      </c>
      <c r="K3603" t="s">
        <v>657</v>
      </c>
      <c r="L3603" t="s">
        <v>655</v>
      </c>
      <c r="M3603" t="s">
        <v>5</v>
      </c>
    </row>
    <row r="3604" spans="1:13">
      <c r="A3604" t="s">
        <v>851</v>
      </c>
      <c r="B3604" t="s">
        <v>687</v>
      </c>
      <c r="C3604" t="s">
        <v>687</v>
      </c>
      <c r="D3604" t="s">
        <v>3185</v>
      </c>
      <c r="E3604" t="s">
        <v>660</v>
      </c>
      <c r="F3604" t="s">
        <v>40</v>
      </c>
      <c r="G3604">
        <v>2030</v>
      </c>
      <c r="H3604" s="12">
        <v>4749</v>
      </c>
      <c r="I3604" t="s">
        <v>3183</v>
      </c>
      <c r="J3604" t="s">
        <v>5</v>
      </c>
      <c r="K3604" t="s">
        <v>657</v>
      </c>
      <c r="L3604" t="s">
        <v>655</v>
      </c>
      <c r="M3604" t="s">
        <v>5</v>
      </c>
    </row>
    <row r="3605" spans="1:13">
      <c r="A3605" t="s">
        <v>851</v>
      </c>
      <c r="B3605" t="s">
        <v>687</v>
      </c>
      <c r="C3605" t="s">
        <v>687</v>
      </c>
      <c r="D3605" t="s">
        <v>3185</v>
      </c>
      <c r="E3605" t="s">
        <v>660</v>
      </c>
      <c r="F3605" t="s">
        <v>40</v>
      </c>
      <c r="G3605">
        <v>2035</v>
      </c>
      <c r="H3605" s="12">
        <v>4227</v>
      </c>
      <c r="I3605" t="s">
        <v>3183</v>
      </c>
      <c r="J3605" t="s">
        <v>5</v>
      </c>
      <c r="K3605" t="s">
        <v>657</v>
      </c>
      <c r="L3605" t="s">
        <v>655</v>
      </c>
      <c r="M3605" t="s">
        <v>5</v>
      </c>
    </row>
    <row r="3606" spans="1:13">
      <c r="A3606" t="s">
        <v>851</v>
      </c>
      <c r="B3606" t="s">
        <v>687</v>
      </c>
      <c r="C3606" t="s">
        <v>687</v>
      </c>
      <c r="D3606" t="s">
        <v>3185</v>
      </c>
      <c r="E3606" t="s">
        <v>660</v>
      </c>
      <c r="F3606" t="s">
        <v>40</v>
      </c>
      <c r="G3606">
        <v>2040</v>
      </c>
      <c r="H3606" s="12">
        <v>3834</v>
      </c>
      <c r="I3606" t="s">
        <v>3183</v>
      </c>
      <c r="J3606" t="s">
        <v>5</v>
      </c>
      <c r="K3606" t="s">
        <v>657</v>
      </c>
      <c r="L3606" t="s">
        <v>655</v>
      </c>
      <c r="M3606" t="s">
        <v>5</v>
      </c>
    </row>
    <row r="3607" spans="1:13">
      <c r="A3607" t="s">
        <v>851</v>
      </c>
      <c r="B3607" t="s">
        <v>687</v>
      </c>
      <c r="C3607" t="s">
        <v>687</v>
      </c>
      <c r="D3607" t="s">
        <v>3185</v>
      </c>
      <c r="E3607" t="s">
        <v>660</v>
      </c>
      <c r="F3607" t="s">
        <v>40</v>
      </c>
      <c r="G3607">
        <v>2045</v>
      </c>
      <c r="H3607" s="12">
        <v>3622</v>
      </c>
      <c r="I3607" t="s">
        <v>3183</v>
      </c>
      <c r="J3607" t="s">
        <v>5</v>
      </c>
      <c r="K3607" t="s">
        <v>657</v>
      </c>
      <c r="L3607" t="s">
        <v>655</v>
      </c>
      <c r="M3607" t="s">
        <v>5</v>
      </c>
    </row>
    <row r="3608" spans="1:13">
      <c r="A3608" t="s">
        <v>851</v>
      </c>
      <c r="B3608" t="s">
        <v>687</v>
      </c>
      <c r="C3608" t="s">
        <v>687</v>
      </c>
      <c r="D3608" t="s">
        <v>3185</v>
      </c>
      <c r="E3608" t="s">
        <v>660</v>
      </c>
      <c r="F3608" t="s">
        <v>40</v>
      </c>
      <c r="G3608">
        <v>2050</v>
      </c>
      <c r="H3608" s="12">
        <v>3533</v>
      </c>
      <c r="I3608" t="s">
        <v>3183</v>
      </c>
      <c r="J3608" t="s">
        <v>5</v>
      </c>
      <c r="K3608" t="s">
        <v>657</v>
      </c>
      <c r="L3608" t="s">
        <v>655</v>
      </c>
      <c r="M3608" t="s">
        <v>5</v>
      </c>
    </row>
    <row r="3609" spans="1:13">
      <c r="A3609" t="s">
        <v>851</v>
      </c>
      <c r="B3609" t="s">
        <v>686</v>
      </c>
      <c r="C3609" t="s">
        <v>686</v>
      </c>
      <c r="D3609" t="s">
        <v>3185</v>
      </c>
      <c r="E3609" t="s">
        <v>573</v>
      </c>
      <c r="F3609" t="s">
        <v>40</v>
      </c>
      <c r="G3609">
        <v>2010</v>
      </c>
      <c r="H3609" s="12">
        <v>1901</v>
      </c>
      <c r="I3609" t="s">
        <v>3183</v>
      </c>
      <c r="J3609" t="s">
        <v>15</v>
      </c>
      <c r="K3609" t="s">
        <v>147</v>
      </c>
      <c r="L3609" t="s">
        <v>655</v>
      </c>
      <c r="M3609" t="s">
        <v>15</v>
      </c>
    </row>
    <row r="3610" spans="1:13">
      <c r="A3610" t="s">
        <v>851</v>
      </c>
      <c r="B3610" t="s">
        <v>686</v>
      </c>
      <c r="C3610" t="s">
        <v>686</v>
      </c>
      <c r="D3610" t="s">
        <v>3185</v>
      </c>
      <c r="E3610" t="s">
        <v>573</v>
      </c>
      <c r="F3610" t="s">
        <v>40</v>
      </c>
      <c r="G3610">
        <v>2015</v>
      </c>
      <c r="H3610" s="12">
        <v>2182</v>
      </c>
      <c r="I3610" t="s">
        <v>3183</v>
      </c>
      <c r="J3610" t="s">
        <v>15</v>
      </c>
      <c r="K3610" t="s">
        <v>147</v>
      </c>
      <c r="L3610" t="s">
        <v>655</v>
      </c>
      <c r="M3610" t="s">
        <v>15</v>
      </c>
    </row>
    <row r="3611" spans="1:13">
      <c r="A3611" t="s">
        <v>851</v>
      </c>
      <c r="B3611" t="s">
        <v>686</v>
      </c>
      <c r="C3611" t="s">
        <v>686</v>
      </c>
      <c r="D3611" t="s">
        <v>3185</v>
      </c>
      <c r="E3611" t="s">
        <v>573</v>
      </c>
      <c r="F3611" t="s">
        <v>40</v>
      </c>
      <c r="G3611">
        <v>2020</v>
      </c>
      <c r="H3611" s="12">
        <v>2398</v>
      </c>
      <c r="I3611" t="s">
        <v>3183</v>
      </c>
      <c r="J3611" t="s">
        <v>15</v>
      </c>
      <c r="K3611" t="s">
        <v>147</v>
      </c>
      <c r="L3611" t="s">
        <v>655</v>
      </c>
      <c r="M3611" t="s">
        <v>15</v>
      </c>
    </row>
    <row r="3612" spans="1:13">
      <c r="A3612" t="s">
        <v>851</v>
      </c>
      <c r="B3612" t="s">
        <v>686</v>
      </c>
      <c r="C3612" t="s">
        <v>686</v>
      </c>
      <c r="D3612" t="s">
        <v>3185</v>
      </c>
      <c r="E3612" t="s">
        <v>573</v>
      </c>
      <c r="F3612" t="s">
        <v>40</v>
      </c>
      <c r="G3612">
        <v>2030</v>
      </c>
      <c r="H3612" s="12">
        <v>2532</v>
      </c>
      <c r="I3612" t="s">
        <v>3183</v>
      </c>
      <c r="J3612" t="s">
        <v>15</v>
      </c>
      <c r="K3612" t="s">
        <v>147</v>
      </c>
      <c r="L3612" t="s">
        <v>655</v>
      </c>
      <c r="M3612" t="s">
        <v>15</v>
      </c>
    </row>
    <row r="3613" spans="1:13">
      <c r="A3613" t="s">
        <v>851</v>
      </c>
      <c r="B3613" t="s">
        <v>686</v>
      </c>
      <c r="C3613" t="s">
        <v>686</v>
      </c>
      <c r="D3613" t="s">
        <v>3185</v>
      </c>
      <c r="E3613" t="s">
        <v>573</v>
      </c>
      <c r="F3613" t="s">
        <v>40</v>
      </c>
      <c r="G3613">
        <v>2035</v>
      </c>
      <c r="H3613" s="12">
        <v>2852</v>
      </c>
      <c r="I3613" t="s">
        <v>3183</v>
      </c>
      <c r="J3613" t="s">
        <v>15</v>
      </c>
      <c r="K3613" t="s">
        <v>147</v>
      </c>
      <c r="L3613" t="s">
        <v>655</v>
      </c>
      <c r="M3613" t="s">
        <v>15</v>
      </c>
    </row>
    <row r="3614" spans="1:13">
      <c r="A3614" t="s">
        <v>851</v>
      </c>
      <c r="B3614" t="s">
        <v>686</v>
      </c>
      <c r="C3614" t="s">
        <v>686</v>
      </c>
      <c r="D3614" t="s">
        <v>3185</v>
      </c>
      <c r="E3614" t="s">
        <v>573</v>
      </c>
      <c r="F3614" t="s">
        <v>40</v>
      </c>
      <c r="G3614">
        <v>2040</v>
      </c>
      <c r="H3614" s="12">
        <v>2964</v>
      </c>
      <c r="I3614" t="s">
        <v>3183</v>
      </c>
      <c r="J3614" t="s">
        <v>15</v>
      </c>
      <c r="K3614" t="s">
        <v>147</v>
      </c>
      <c r="L3614" t="s">
        <v>655</v>
      </c>
      <c r="M3614" t="s">
        <v>15</v>
      </c>
    </row>
    <row r="3615" spans="1:13">
      <c r="A3615" t="s">
        <v>851</v>
      </c>
      <c r="B3615" t="s">
        <v>686</v>
      </c>
      <c r="C3615" t="s">
        <v>686</v>
      </c>
      <c r="D3615" t="s">
        <v>3185</v>
      </c>
      <c r="E3615" t="s">
        <v>573</v>
      </c>
      <c r="F3615" t="s">
        <v>40</v>
      </c>
      <c r="G3615">
        <v>2045</v>
      </c>
      <c r="H3615" s="12">
        <v>3073</v>
      </c>
      <c r="I3615" t="s">
        <v>3183</v>
      </c>
      <c r="J3615" t="s">
        <v>15</v>
      </c>
      <c r="K3615" t="s">
        <v>147</v>
      </c>
      <c r="L3615" t="s">
        <v>655</v>
      </c>
      <c r="M3615" t="s">
        <v>15</v>
      </c>
    </row>
    <row r="3616" spans="1:13">
      <c r="A3616" t="s">
        <v>851</v>
      </c>
      <c r="B3616" t="s">
        <v>686</v>
      </c>
      <c r="C3616" t="s">
        <v>686</v>
      </c>
      <c r="D3616" t="s">
        <v>3185</v>
      </c>
      <c r="E3616" t="s">
        <v>573</v>
      </c>
      <c r="F3616" t="s">
        <v>40</v>
      </c>
      <c r="G3616">
        <v>2050</v>
      </c>
      <c r="H3616" s="12">
        <v>3195</v>
      </c>
      <c r="I3616" t="s">
        <v>3183</v>
      </c>
      <c r="J3616" t="s">
        <v>15</v>
      </c>
      <c r="K3616" t="s">
        <v>147</v>
      </c>
      <c r="L3616" t="s">
        <v>655</v>
      </c>
      <c r="M3616" t="s">
        <v>15</v>
      </c>
    </row>
    <row r="3617" spans="1:13">
      <c r="A3617" t="s">
        <v>851</v>
      </c>
      <c r="B3617" t="s">
        <v>687</v>
      </c>
      <c r="C3617" t="s">
        <v>687</v>
      </c>
      <c r="D3617" t="s">
        <v>3185</v>
      </c>
      <c r="E3617" t="s">
        <v>573</v>
      </c>
      <c r="F3617" t="s">
        <v>40</v>
      </c>
      <c r="G3617">
        <v>2030</v>
      </c>
      <c r="H3617" s="12">
        <v>2559</v>
      </c>
      <c r="I3617" t="s">
        <v>3183</v>
      </c>
      <c r="J3617" t="s">
        <v>15</v>
      </c>
      <c r="K3617" t="s">
        <v>147</v>
      </c>
      <c r="L3617" t="s">
        <v>655</v>
      </c>
      <c r="M3617" t="s">
        <v>15</v>
      </c>
    </row>
    <row r="3618" spans="1:13">
      <c r="A3618" t="s">
        <v>851</v>
      </c>
      <c r="B3618" t="s">
        <v>687</v>
      </c>
      <c r="C3618" t="s">
        <v>687</v>
      </c>
      <c r="D3618" t="s">
        <v>3185</v>
      </c>
      <c r="E3618" t="s">
        <v>573</v>
      </c>
      <c r="F3618" t="s">
        <v>40</v>
      </c>
      <c r="G3618">
        <v>2035</v>
      </c>
      <c r="H3618" s="12">
        <v>2892</v>
      </c>
      <c r="I3618" t="s">
        <v>3183</v>
      </c>
      <c r="J3618" t="s">
        <v>15</v>
      </c>
      <c r="K3618" t="s">
        <v>147</v>
      </c>
      <c r="L3618" t="s">
        <v>655</v>
      </c>
      <c r="M3618" t="s">
        <v>15</v>
      </c>
    </row>
    <row r="3619" spans="1:13">
      <c r="A3619" t="s">
        <v>851</v>
      </c>
      <c r="B3619" t="s">
        <v>687</v>
      </c>
      <c r="C3619" t="s">
        <v>687</v>
      </c>
      <c r="D3619" t="s">
        <v>3185</v>
      </c>
      <c r="E3619" t="s">
        <v>573</v>
      </c>
      <c r="F3619" t="s">
        <v>40</v>
      </c>
      <c r="G3619">
        <v>2040</v>
      </c>
      <c r="H3619" s="12">
        <v>3069</v>
      </c>
      <c r="I3619" t="s">
        <v>3183</v>
      </c>
      <c r="J3619" t="s">
        <v>15</v>
      </c>
      <c r="K3619" t="s">
        <v>147</v>
      </c>
      <c r="L3619" t="s">
        <v>655</v>
      </c>
      <c r="M3619" t="s">
        <v>15</v>
      </c>
    </row>
    <row r="3620" spans="1:13">
      <c r="A3620" t="s">
        <v>851</v>
      </c>
      <c r="B3620" t="s">
        <v>687</v>
      </c>
      <c r="C3620" t="s">
        <v>687</v>
      </c>
      <c r="D3620" t="s">
        <v>3185</v>
      </c>
      <c r="E3620" t="s">
        <v>573</v>
      </c>
      <c r="F3620" t="s">
        <v>40</v>
      </c>
      <c r="G3620">
        <v>2045</v>
      </c>
      <c r="H3620" s="12">
        <v>3202</v>
      </c>
      <c r="I3620" t="s">
        <v>3183</v>
      </c>
      <c r="J3620" t="s">
        <v>15</v>
      </c>
      <c r="K3620" t="s">
        <v>147</v>
      </c>
      <c r="L3620" t="s">
        <v>655</v>
      </c>
      <c r="M3620" t="s">
        <v>15</v>
      </c>
    </row>
    <row r="3621" spans="1:13">
      <c r="A3621" t="s">
        <v>851</v>
      </c>
      <c r="B3621" t="s">
        <v>687</v>
      </c>
      <c r="C3621" t="s">
        <v>687</v>
      </c>
      <c r="D3621" t="s">
        <v>3185</v>
      </c>
      <c r="E3621" t="s">
        <v>573</v>
      </c>
      <c r="F3621" t="s">
        <v>40</v>
      </c>
      <c r="G3621">
        <v>2050</v>
      </c>
      <c r="H3621" s="12">
        <v>3335</v>
      </c>
      <c r="I3621" t="s">
        <v>3183</v>
      </c>
      <c r="J3621" t="s">
        <v>15</v>
      </c>
      <c r="K3621" t="s">
        <v>147</v>
      </c>
      <c r="L3621" t="s">
        <v>655</v>
      </c>
      <c r="M3621" t="s">
        <v>15</v>
      </c>
    </row>
    <row r="3622" spans="1:13">
      <c r="A3622" t="s">
        <v>851</v>
      </c>
      <c r="B3622" t="s">
        <v>686</v>
      </c>
      <c r="C3622" t="s">
        <v>686</v>
      </c>
      <c r="D3622" t="s">
        <v>3185</v>
      </c>
      <c r="E3622" t="s">
        <v>573</v>
      </c>
      <c r="F3622" t="s">
        <v>40</v>
      </c>
      <c r="G3622">
        <v>2010</v>
      </c>
      <c r="H3622" s="12">
        <v>10406</v>
      </c>
      <c r="I3622" t="s">
        <v>3183</v>
      </c>
      <c r="J3622" t="s">
        <v>6</v>
      </c>
      <c r="K3622" t="s">
        <v>147</v>
      </c>
      <c r="L3622" t="s">
        <v>655</v>
      </c>
      <c r="M3622" t="s">
        <v>659</v>
      </c>
    </row>
    <row r="3623" spans="1:13">
      <c r="A3623" t="s">
        <v>851</v>
      </c>
      <c r="B3623" t="s">
        <v>686</v>
      </c>
      <c r="C3623" t="s">
        <v>686</v>
      </c>
      <c r="D3623" t="s">
        <v>3185</v>
      </c>
      <c r="E3623" t="s">
        <v>573</v>
      </c>
      <c r="F3623" t="s">
        <v>40</v>
      </c>
      <c r="G3623">
        <v>2015</v>
      </c>
      <c r="H3623" s="12">
        <v>10061</v>
      </c>
      <c r="I3623" t="s">
        <v>3183</v>
      </c>
      <c r="J3623" t="s">
        <v>6</v>
      </c>
      <c r="K3623" t="s">
        <v>147</v>
      </c>
      <c r="L3623" t="s">
        <v>655</v>
      </c>
      <c r="M3623" t="s">
        <v>659</v>
      </c>
    </row>
    <row r="3624" spans="1:13">
      <c r="A3624" t="s">
        <v>851</v>
      </c>
      <c r="B3624" t="s">
        <v>686</v>
      </c>
      <c r="C3624" t="s">
        <v>686</v>
      </c>
      <c r="D3624" t="s">
        <v>3185</v>
      </c>
      <c r="E3624" t="s">
        <v>573</v>
      </c>
      <c r="F3624" t="s">
        <v>40</v>
      </c>
      <c r="G3624">
        <v>2020</v>
      </c>
      <c r="H3624" s="12">
        <v>9539</v>
      </c>
      <c r="I3624" t="s">
        <v>3183</v>
      </c>
      <c r="J3624" t="s">
        <v>6</v>
      </c>
      <c r="K3624" t="s">
        <v>147</v>
      </c>
      <c r="L3624" t="s">
        <v>655</v>
      </c>
      <c r="M3624" t="s">
        <v>659</v>
      </c>
    </row>
    <row r="3625" spans="1:13">
      <c r="A3625" t="s">
        <v>851</v>
      </c>
      <c r="B3625" t="s">
        <v>686</v>
      </c>
      <c r="C3625" t="s">
        <v>686</v>
      </c>
      <c r="D3625" t="s">
        <v>3185</v>
      </c>
      <c r="E3625" t="s">
        <v>573</v>
      </c>
      <c r="F3625" t="s">
        <v>40</v>
      </c>
      <c r="G3625">
        <v>2030</v>
      </c>
      <c r="H3625" s="12">
        <v>2905</v>
      </c>
      <c r="I3625" t="s">
        <v>3183</v>
      </c>
      <c r="J3625" t="s">
        <v>5</v>
      </c>
      <c r="K3625" t="s">
        <v>147</v>
      </c>
      <c r="L3625" t="s">
        <v>655</v>
      </c>
      <c r="M3625" t="s">
        <v>5</v>
      </c>
    </row>
    <row r="3626" spans="1:13">
      <c r="A3626" t="s">
        <v>851</v>
      </c>
      <c r="B3626" t="s">
        <v>686</v>
      </c>
      <c r="C3626" t="s">
        <v>686</v>
      </c>
      <c r="D3626" t="s">
        <v>3185</v>
      </c>
      <c r="E3626" t="s">
        <v>573</v>
      </c>
      <c r="F3626" t="s">
        <v>40</v>
      </c>
      <c r="G3626">
        <v>2035</v>
      </c>
      <c r="H3626" s="12">
        <v>2718</v>
      </c>
      <c r="I3626" t="s">
        <v>3183</v>
      </c>
      <c r="J3626" t="s">
        <v>5</v>
      </c>
      <c r="K3626" t="s">
        <v>147</v>
      </c>
      <c r="L3626" t="s">
        <v>655</v>
      </c>
      <c r="M3626" t="s">
        <v>5</v>
      </c>
    </row>
    <row r="3627" spans="1:13">
      <c r="A3627" t="s">
        <v>851</v>
      </c>
      <c r="B3627" t="s">
        <v>686</v>
      </c>
      <c r="C3627" t="s">
        <v>686</v>
      </c>
      <c r="D3627" t="s">
        <v>3185</v>
      </c>
      <c r="E3627" t="s">
        <v>573</v>
      </c>
      <c r="F3627" t="s">
        <v>40</v>
      </c>
      <c r="G3627">
        <v>2040</v>
      </c>
      <c r="H3627" s="12">
        <v>2541</v>
      </c>
      <c r="I3627" t="s">
        <v>3183</v>
      </c>
      <c r="J3627" t="s">
        <v>5</v>
      </c>
      <c r="K3627" t="s">
        <v>147</v>
      </c>
      <c r="L3627" t="s">
        <v>655</v>
      </c>
      <c r="M3627" t="s">
        <v>5</v>
      </c>
    </row>
    <row r="3628" spans="1:13">
      <c r="A3628" t="s">
        <v>851</v>
      </c>
      <c r="B3628" t="s">
        <v>686</v>
      </c>
      <c r="C3628" t="s">
        <v>686</v>
      </c>
      <c r="D3628" t="s">
        <v>3185</v>
      </c>
      <c r="E3628" t="s">
        <v>573</v>
      </c>
      <c r="F3628" t="s">
        <v>40</v>
      </c>
      <c r="G3628">
        <v>2045</v>
      </c>
      <c r="H3628" s="12">
        <v>2575</v>
      </c>
      <c r="I3628" t="s">
        <v>3183</v>
      </c>
      <c r="J3628" t="s">
        <v>5</v>
      </c>
      <c r="K3628" t="s">
        <v>147</v>
      </c>
      <c r="L3628" t="s">
        <v>655</v>
      </c>
      <c r="M3628" t="s">
        <v>5</v>
      </c>
    </row>
    <row r="3629" spans="1:13">
      <c r="A3629" t="s">
        <v>851</v>
      </c>
      <c r="B3629" t="s">
        <v>686</v>
      </c>
      <c r="C3629" t="s">
        <v>686</v>
      </c>
      <c r="D3629" t="s">
        <v>3185</v>
      </c>
      <c r="E3629" t="s">
        <v>573</v>
      </c>
      <c r="F3629" t="s">
        <v>40</v>
      </c>
      <c r="G3629">
        <v>2050</v>
      </c>
      <c r="H3629" s="12">
        <v>2653</v>
      </c>
      <c r="I3629" t="s">
        <v>3183</v>
      </c>
      <c r="J3629" t="s">
        <v>5</v>
      </c>
      <c r="K3629" t="s">
        <v>147</v>
      </c>
      <c r="L3629" t="s">
        <v>655</v>
      </c>
      <c r="M3629" t="s">
        <v>5</v>
      </c>
    </row>
    <row r="3630" spans="1:13">
      <c r="A3630" t="s">
        <v>851</v>
      </c>
      <c r="B3630" t="s">
        <v>687</v>
      </c>
      <c r="C3630" t="s">
        <v>687</v>
      </c>
      <c r="D3630" t="s">
        <v>3185</v>
      </c>
      <c r="E3630" t="s">
        <v>573</v>
      </c>
      <c r="F3630" t="s">
        <v>40</v>
      </c>
      <c r="G3630">
        <v>2030</v>
      </c>
      <c r="H3630" s="12">
        <v>2740</v>
      </c>
      <c r="I3630" t="s">
        <v>3183</v>
      </c>
      <c r="J3630" t="s">
        <v>5</v>
      </c>
      <c r="K3630" t="s">
        <v>147</v>
      </c>
      <c r="L3630" t="s">
        <v>655</v>
      </c>
      <c r="M3630" t="s">
        <v>5</v>
      </c>
    </row>
    <row r="3631" spans="1:13">
      <c r="A3631" t="s">
        <v>851</v>
      </c>
      <c r="B3631" t="s">
        <v>687</v>
      </c>
      <c r="C3631" t="s">
        <v>687</v>
      </c>
      <c r="D3631" t="s">
        <v>3185</v>
      </c>
      <c r="E3631" t="s">
        <v>573</v>
      </c>
      <c r="F3631" t="s">
        <v>40</v>
      </c>
      <c r="G3631">
        <v>2035</v>
      </c>
      <c r="H3631" s="12">
        <v>2343</v>
      </c>
      <c r="I3631" t="s">
        <v>3183</v>
      </c>
      <c r="J3631" t="s">
        <v>5</v>
      </c>
      <c r="K3631" t="s">
        <v>147</v>
      </c>
      <c r="L3631" t="s">
        <v>655</v>
      </c>
      <c r="M3631" t="s">
        <v>5</v>
      </c>
    </row>
    <row r="3632" spans="1:13">
      <c r="A3632" t="s">
        <v>851</v>
      </c>
      <c r="B3632" t="s">
        <v>687</v>
      </c>
      <c r="C3632" t="s">
        <v>687</v>
      </c>
      <c r="D3632" t="s">
        <v>3185</v>
      </c>
      <c r="E3632" t="s">
        <v>573</v>
      </c>
      <c r="F3632" t="s">
        <v>40</v>
      </c>
      <c r="G3632">
        <v>2040</v>
      </c>
      <c r="H3632" s="12">
        <v>2040</v>
      </c>
      <c r="I3632" t="s">
        <v>3183</v>
      </c>
      <c r="J3632" t="s">
        <v>5</v>
      </c>
      <c r="K3632" t="s">
        <v>147</v>
      </c>
      <c r="L3632" t="s">
        <v>655</v>
      </c>
      <c r="M3632" t="s">
        <v>5</v>
      </c>
    </row>
    <row r="3633" spans="1:13">
      <c r="A3633" t="s">
        <v>851</v>
      </c>
      <c r="B3633" t="s">
        <v>687</v>
      </c>
      <c r="C3633" t="s">
        <v>687</v>
      </c>
      <c r="D3633" t="s">
        <v>3185</v>
      </c>
      <c r="E3633" t="s">
        <v>573</v>
      </c>
      <c r="F3633" t="s">
        <v>40</v>
      </c>
      <c r="G3633">
        <v>2045</v>
      </c>
      <c r="H3633" s="12">
        <v>1899</v>
      </c>
      <c r="I3633" t="s">
        <v>3183</v>
      </c>
      <c r="J3633" t="s">
        <v>5</v>
      </c>
      <c r="K3633" t="s">
        <v>147</v>
      </c>
      <c r="L3633" t="s">
        <v>655</v>
      </c>
      <c r="M3633" t="s">
        <v>5</v>
      </c>
    </row>
    <row r="3634" spans="1:13">
      <c r="A3634" t="s">
        <v>851</v>
      </c>
      <c r="B3634" t="s">
        <v>687</v>
      </c>
      <c r="C3634" t="s">
        <v>687</v>
      </c>
      <c r="D3634" t="s">
        <v>3185</v>
      </c>
      <c r="E3634" t="s">
        <v>573</v>
      </c>
      <c r="F3634" t="s">
        <v>40</v>
      </c>
      <c r="G3634">
        <v>2050</v>
      </c>
      <c r="H3634" s="12">
        <v>1863</v>
      </c>
      <c r="I3634" t="s">
        <v>3183</v>
      </c>
      <c r="J3634" t="s">
        <v>5</v>
      </c>
      <c r="K3634" t="s">
        <v>147</v>
      </c>
      <c r="L3634" t="s">
        <v>655</v>
      </c>
      <c r="M3634" t="s">
        <v>5</v>
      </c>
    </row>
    <row r="3635" spans="1:13">
      <c r="A3635" t="s">
        <v>851</v>
      </c>
      <c r="B3635" t="s">
        <v>686</v>
      </c>
      <c r="C3635" t="s">
        <v>686</v>
      </c>
      <c r="D3635" t="s">
        <v>3185</v>
      </c>
      <c r="E3635" t="s">
        <v>660</v>
      </c>
      <c r="F3635" t="s">
        <v>40</v>
      </c>
      <c r="G3635">
        <v>2010</v>
      </c>
      <c r="H3635" s="12">
        <v>0</v>
      </c>
      <c r="I3635" t="s">
        <v>3183</v>
      </c>
      <c r="J3635" t="s">
        <v>17</v>
      </c>
      <c r="K3635" t="s">
        <v>657</v>
      </c>
      <c r="L3635" t="s">
        <v>655</v>
      </c>
      <c r="M3635" t="s">
        <v>17</v>
      </c>
    </row>
    <row r="3636" spans="1:13">
      <c r="A3636" t="s">
        <v>851</v>
      </c>
      <c r="B3636" t="s">
        <v>686</v>
      </c>
      <c r="C3636" t="s">
        <v>686</v>
      </c>
      <c r="D3636" t="s">
        <v>3185</v>
      </c>
      <c r="E3636" t="s">
        <v>660</v>
      </c>
      <c r="F3636" t="s">
        <v>40</v>
      </c>
      <c r="G3636">
        <v>2015</v>
      </c>
      <c r="H3636" s="12">
        <v>2</v>
      </c>
      <c r="I3636" t="s">
        <v>3183</v>
      </c>
      <c r="J3636" t="s">
        <v>17</v>
      </c>
      <c r="K3636" t="s">
        <v>657</v>
      </c>
      <c r="L3636" t="s">
        <v>655</v>
      </c>
      <c r="M3636" t="s">
        <v>17</v>
      </c>
    </row>
    <row r="3637" spans="1:13">
      <c r="A3637" t="s">
        <v>851</v>
      </c>
      <c r="B3637" t="s">
        <v>686</v>
      </c>
      <c r="C3637" t="s">
        <v>686</v>
      </c>
      <c r="D3637" t="s">
        <v>3185</v>
      </c>
      <c r="E3637" t="s">
        <v>660</v>
      </c>
      <c r="F3637" t="s">
        <v>40</v>
      </c>
      <c r="G3637">
        <v>2020</v>
      </c>
      <c r="H3637" s="12">
        <v>14</v>
      </c>
      <c r="I3637" t="s">
        <v>3183</v>
      </c>
      <c r="J3637" t="s">
        <v>17</v>
      </c>
      <c r="K3637" t="s">
        <v>657</v>
      </c>
      <c r="L3637" t="s">
        <v>655</v>
      </c>
      <c r="M3637" t="s">
        <v>17</v>
      </c>
    </row>
    <row r="3638" spans="1:13">
      <c r="A3638" t="s">
        <v>851</v>
      </c>
      <c r="B3638" t="s">
        <v>686</v>
      </c>
      <c r="C3638" t="s">
        <v>686</v>
      </c>
      <c r="D3638" t="s">
        <v>3185</v>
      </c>
      <c r="E3638" t="s">
        <v>660</v>
      </c>
      <c r="F3638" t="s">
        <v>40</v>
      </c>
      <c r="G3638">
        <v>2030</v>
      </c>
      <c r="H3638" s="12">
        <v>64</v>
      </c>
      <c r="I3638" t="s">
        <v>3183</v>
      </c>
      <c r="J3638" t="s">
        <v>17</v>
      </c>
      <c r="K3638" t="s">
        <v>657</v>
      </c>
      <c r="L3638" t="s">
        <v>655</v>
      </c>
      <c r="M3638" t="s">
        <v>17</v>
      </c>
    </row>
    <row r="3639" spans="1:13">
      <c r="A3639" t="s">
        <v>851</v>
      </c>
      <c r="B3639" t="s">
        <v>686</v>
      </c>
      <c r="C3639" t="s">
        <v>686</v>
      </c>
      <c r="D3639" t="s">
        <v>3185</v>
      </c>
      <c r="E3639" t="s">
        <v>660</v>
      </c>
      <c r="F3639" t="s">
        <v>40</v>
      </c>
      <c r="G3639">
        <v>2035</v>
      </c>
      <c r="H3639" s="12">
        <v>88</v>
      </c>
      <c r="I3639" t="s">
        <v>3183</v>
      </c>
      <c r="J3639" t="s">
        <v>17</v>
      </c>
      <c r="K3639" t="s">
        <v>657</v>
      </c>
      <c r="L3639" t="s">
        <v>655</v>
      </c>
      <c r="M3639" t="s">
        <v>17</v>
      </c>
    </row>
    <row r="3640" spans="1:13">
      <c r="A3640" t="s">
        <v>851</v>
      </c>
      <c r="B3640" t="s">
        <v>686</v>
      </c>
      <c r="C3640" t="s">
        <v>686</v>
      </c>
      <c r="D3640" t="s">
        <v>3185</v>
      </c>
      <c r="E3640" t="s">
        <v>660</v>
      </c>
      <c r="F3640" t="s">
        <v>40</v>
      </c>
      <c r="G3640">
        <v>2040</v>
      </c>
      <c r="H3640" s="12">
        <v>113</v>
      </c>
      <c r="I3640" t="s">
        <v>3183</v>
      </c>
      <c r="J3640" t="s">
        <v>17</v>
      </c>
      <c r="K3640" t="s">
        <v>657</v>
      </c>
      <c r="L3640" t="s">
        <v>655</v>
      </c>
      <c r="M3640" t="s">
        <v>17</v>
      </c>
    </row>
    <row r="3641" spans="1:13">
      <c r="A3641" t="s">
        <v>851</v>
      </c>
      <c r="B3641" t="s">
        <v>686</v>
      </c>
      <c r="C3641" t="s">
        <v>686</v>
      </c>
      <c r="D3641" t="s">
        <v>3185</v>
      </c>
      <c r="E3641" t="s">
        <v>660</v>
      </c>
      <c r="F3641" t="s">
        <v>40</v>
      </c>
      <c r="G3641">
        <v>2045</v>
      </c>
      <c r="H3641" s="12">
        <v>139</v>
      </c>
      <c r="I3641" t="s">
        <v>3183</v>
      </c>
      <c r="J3641" t="s">
        <v>17</v>
      </c>
      <c r="K3641" t="s">
        <v>657</v>
      </c>
      <c r="L3641" t="s">
        <v>655</v>
      </c>
      <c r="M3641" t="s">
        <v>17</v>
      </c>
    </row>
    <row r="3642" spans="1:13">
      <c r="A3642" t="s">
        <v>851</v>
      </c>
      <c r="B3642" t="s">
        <v>686</v>
      </c>
      <c r="C3642" t="s">
        <v>686</v>
      </c>
      <c r="D3642" t="s">
        <v>3185</v>
      </c>
      <c r="E3642" t="s">
        <v>660</v>
      </c>
      <c r="F3642" t="s">
        <v>40</v>
      </c>
      <c r="G3642">
        <v>2050</v>
      </c>
      <c r="H3642" s="12">
        <v>165</v>
      </c>
      <c r="I3642" t="s">
        <v>3183</v>
      </c>
      <c r="J3642" t="s">
        <v>17</v>
      </c>
      <c r="K3642" t="s">
        <v>657</v>
      </c>
      <c r="L3642" t="s">
        <v>655</v>
      </c>
      <c r="M3642" t="s">
        <v>17</v>
      </c>
    </row>
    <row r="3643" spans="1:13">
      <c r="A3643" t="s">
        <v>851</v>
      </c>
      <c r="B3643" t="s">
        <v>687</v>
      </c>
      <c r="C3643" t="s">
        <v>687</v>
      </c>
      <c r="D3643" t="s">
        <v>3185</v>
      </c>
      <c r="E3643" t="s">
        <v>660</v>
      </c>
      <c r="F3643" t="s">
        <v>40</v>
      </c>
      <c r="G3643">
        <v>2030</v>
      </c>
      <c r="H3643" s="12">
        <v>78</v>
      </c>
      <c r="I3643" t="s">
        <v>3183</v>
      </c>
      <c r="J3643" t="s">
        <v>17</v>
      </c>
      <c r="K3643" t="s">
        <v>657</v>
      </c>
      <c r="L3643" t="s">
        <v>655</v>
      </c>
      <c r="M3643" t="s">
        <v>17</v>
      </c>
    </row>
    <row r="3644" spans="1:13">
      <c r="A3644" t="s">
        <v>851</v>
      </c>
      <c r="B3644" t="s">
        <v>687</v>
      </c>
      <c r="C3644" t="s">
        <v>687</v>
      </c>
      <c r="D3644" t="s">
        <v>3185</v>
      </c>
      <c r="E3644" t="s">
        <v>660</v>
      </c>
      <c r="F3644" t="s">
        <v>40</v>
      </c>
      <c r="G3644">
        <v>2035</v>
      </c>
      <c r="H3644" s="12">
        <v>113</v>
      </c>
      <c r="I3644" t="s">
        <v>3183</v>
      </c>
      <c r="J3644" t="s">
        <v>17</v>
      </c>
      <c r="K3644" t="s">
        <v>657</v>
      </c>
      <c r="L3644" t="s">
        <v>655</v>
      </c>
      <c r="M3644" t="s">
        <v>17</v>
      </c>
    </row>
    <row r="3645" spans="1:13">
      <c r="A3645" t="s">
        <v>851</v>
      </c>
      <c r="B3645" t="s">
        <v>687</v>
      </c>
      <c r="C3645" t="s">
        <v>687</v>
      </c>
      <c r="D3645" t="s">
        <v>3185</v>
      </c>
      <c r="E3645" t="s">
        <v>660</v>
      </c>
      <c r="F3645" t="s">
        <v>40</v>
      </c>
      <c r="G3645">
        <v>2040</v>
      </c>
      <c r="H3645" s="12">
        <v>153</v>
      </c>
      <c r="I3645" t="s">
        <v>3183</v>
      </c>
      <c r="J3645" t="s">
        <v>17</v>
      </c>
      <c r="K3645" t="s">
        <v>657</v>
      </c>
      <c r="L3645" t="s">
        <v>655</v>
      </c>
      <c r="M3645" t="s">
        <v>17</v>
      </c>
    </row>
    <row r="3646" spans="1:13">
      <c r="A3646" t="s">
        <v>851</v>
      </c>
      <c r="B3646" t="s">
        <v>687</v>
      </c>
      <c r="C3646" t="s">
        <v>687</v>
      </c>
      <c r="D3646" t="s">
        <v>3185</v>
      </c>
      <c r="E3646" t="s">
        <v>660</v>
      </c>
      <c r="F3646" t="s">
        <v>40</v>
      </c>
      <c r="G3646">
        <v>2045</v>
      </c>
      <c r="H3646" s="12">
        <v>192</v>
      </c>
      <c r="I3646" t="s">
        <v>3183</v>
      </c>
      <c r="J3646" t="s">
        <v>17</v>
      </c>
      <c r="K3646" t="s">
        <v>657</v>
      </c>
      <c r="L3646" t="s">
        <v>655</v>
      </c>
      <c r="M3646" t="s">
        <v>17</v>
      </c>
    </row>
    <row r="3647" spans="1:13">
      <c r="A3647" t="s">
        <v>851</v>
      </c>
      <c r="B3647" t="s">
        <v>687</v>
      </c>
      <c r="C3647" t="s">
        <v>687</v>
      </c>
      <c r="D3647" t="s">
        <v>3185</v>
      </c>
      <c r="E3647" t="s">
        <v>660</v>
      </c>
      <c r="F3647" t="s">
        <v>40</v>
      </c>
      <c r="G3647">
        <v>2050</v>
      </c>
      <c r="H3647" s="12">
        <v>237</v>
      </c>
      <c r="I3647" t="s">
        <v>3183</v>
      </c>
      <c r="J3647" t="s">
        <v>17</v>
      </c>
      <c r="K3647" t="s">
        <v>657</v>
      </c>
      <c r="L3647" t="s">
        <v>655</v>
      </c>
      <c r="M3647" t="s">
        <v>17</v>
      </c>
    </row>
    <row r="3648" spans="1:13">
      <c r="A3648" t="s">
        <v>851</v>
      </c>
      <c r="B3648" t="s">
        <v>686</v>
      </c>
      <c r="C3648" t="s">
        <v>686</v>
      </c>
      <c r="D3648" t="s">
        <v>3185</v>
      </c>
      <c r="E3648" t="s">
        <v>660</v>
      </c>
      <c r="F3648" t="s">
        <v>40</v>
      </c>
      <c r="G3648">
        <v>2010</v>
      </c>
      <c r="H3648" s="12">
        <v>0</v>
      </c>
      <c r="I3648" t="s">
        <v>3183</v>
      </c>
      <c r="J3648" t="s">
        <v>18</v>
      </c>
      <c r="K3648" t="s">
        <v>657</v>
      </c>
      <c r="L3648" t="s">
        <v>655</v>
      </c>
      <c r="M3648" t="s">
        <v>18</v>
      </c>
    </row>
    <row r="3649" spans="1:13">
      <c r="A3649" t="s">
        <v>851</v>
      </c>
      <c r="B3649" t="s">
        <v>686</v>
      </c>
      <c r="C3649" t="s">
        <v>686</v>
      </c>
      <c r="D3649" t="s">
        <v>3185</v>
      </c>
      <c r="E3649" t="s">
        <v>660</v>
      </c>
      <c r="F3649" t="s">
        <v>40</v>
      </c>
      <c r="G3649">
        <v>2015</v>
      </c>
      <c r="H3649" s="12">
        <v>1</v>
      </c>
      <c r="I3649" t="s">
        <v>3183</v>
      </c>
      <c r="J3649" t="s">
        <v>18</v>
      </c>
      <c r="K3649" t="s">
        <v>657</v>
      </c>
      <c r="L3649" t="s">
        <v>655</v>
      </c>
      <c r="M3649" t="s">
        <v>18</v>
      </c>
    </row>
    <row r="3650" spans="1:13">
      <c r="A3650" t="s">
        <v>851</v>
      </c>
      <c r="B3650" t="s">
        <v>686</v>
      </c>
      <c r="C3650" t="s">
        <v>686</v>
      </c>
      <c r="D3650" t="s">
        <v>3185</v>
      </c>
      <c r="E3650" t="s">
        <v>660</v>
      </c>
      <c r="F3650" t="s">
        <v>40</v>
      </c>
      <c r="G3650">
        <v>2020</v>
      </c>
      <c r="H3650" s="12">
        <v>9</v>
      </c>
      <c r="I3650" t="s">
        <v>3183</v>
      </c>
      <c r="J3650" t="s">
        <v>18</v>
      </c>
      <c r="K3650" t="s">
        <v>657</v>
      </c>
      <c r="L3650" t="s">
        <v>655</v>
      </c>
      <c r="M3650" t="s">
        <v>18</v>
      </c>
    </row>
    <row r="3651" spans="1:13">
      <c r="A3651" t="s">
        <v>851</v>
      </c>
      <c r="B3651" t="s">
        <v>686</v>
      </c>
      <c r="C3651" t="s">
        <v>686</v>
      </c>
      <c r="D3651" t="s">
        <v>3185</v>
      </c>
      <c r="E3651" t="s">
        <v>660</v>
      </c>
      <c r="F3651" t="s">
        <v>40</v>
      </c>
      <c r="G3651">
        <v>2030</v>
      </c>
      <c r="H3651" s="12">
        <v>83</v>
      </c>
      <c r="I3651" t="s">
        <v>3183</v>
      </c>
      <c r="J3651" t="s">
        <v>18</v>
      </c>
      <c r="K3651" t="s">
        <v>657</v>
      </c>
      <c r="L3651" t="s">
        <v>655</v>
      </c>
      <c r="M3651" t="s">
        <v>18</v>
      </c>
    </row>
    <row r="3652" spans="1:13">
      <c r="A3652" t="s">
        <v>851</v>
      </c>
      <c r="B3652" t="s">
        <v>686</v>
      </c>
      <c r="C3652" t="s">
        <v>686</v>
      </c>
      <c r="D3652" t="s">
        <v>3185</v>
      </c>
      <c r="E3652" t="s">
        <v>660</v>
      </c>
      <c r="F3652" t="s">
        <v>40</v>
      </c>
      <c r="G3652">
        <v>2035</v>
      </c>
      <c r="H3652" s="12">
        <v>130</v>
      </c>
      <c r="I3652" t="s">
        <v>3183</v>
      </c>
      <c r="J3652" t="s">
        <v>18</v>
      </c>
      <c r="K3652" t="s">
        <v>657</v>
      </c>
      <c r="L3652" t="s">
        <v>655</v>
      </c>
      <c r="M3652" t="s">
        <v>18</v>
      </c>
    </row>
    <row r="3653" spans="1:13">
      <c r="A3653" t="s">
        <v>851</v>
      </c>
      <c r="B3653" t="s">
        <v>686</v>
      </c>
      <c r="C3653" t="s">
        <v>686</v>
      </c>
      <c r="D3653" t="s">
        <v>3185</v>
      </c>
      <c r="E3653" t="s">
        <v>660</v>
      </c>
      <c r="F3653" t="s">
        <v>40</v>
      </c>
      <c r="G3653">
        <v>2040</v>
      </c>
      <c r="H3653" s="12">
        <v>185</v>
      </c>
      <c r="I3653" t="s">
        <v>3183</v>
      </c>
      <c r="J3653" t="s">
        <v>18</v>
      </c>
      <c r="K3653" t="s">
        <v>657</v>
      </c>
      <c r="L3653" t="s">
        <v>655</v>
      </c>
      <c r="M3653" t="s">
        <v>18</v>
      </c>
    </row>
    <row r="3654" spans="1:13">
      <c r="A3654" t="s">
        <v>851</v>
      </c>
      <c r="B3654" t="s">
        <v>686</v>
      </c>
      <c r="C3654" t="s">
        <v>686</v>
      </c>
      <c r="D3654" t="s">
        <v>3185</v>
      </c>
      <c r="E3654" t="s">
        <v>660</v>
      </c>
      <c r="F3654" t="s">
        <v>40</v>
      </c>
      <c r="G3654">
        <v>2045</v>
      </c>
      <c r="H3654" s="12">
        <v>256</v>
      </c>
      <c r="I3654" t="s">
        <v>3183</v>
      </c>
      <c r="J3654" t="s">
        <v>18</v>
      </c>
      <c r="K3654" t="s">
        <v>657</v>
      </c>
      <c r="L3654" t="s">
        <v>655</v>
      </c>
      <c r="M3654" t="s">
        <v>18</v>
      </c>
    </row>
    <row r="3655" spans="1:13">
      <c r="A3655" t="s">
        <v>851</v>
      </c>
      <c r="B3655" t="s">
        <v>686</v>
      </c>
      <c r="C3655" t="s">
        <v>686</v>
      </c>
      <c r="D3655" t="s">
        <v>3185</v>
      </c>
      <c r="E3655" t="s">
        <v>660</v>
      </c>
      <c r="F3655" t="s">
        <v>40</v>
      </c>
      <c r="G3655">
        <v>2050</v>
      </c>
      <c r="H3655" s="12">
        <v>328</v>
      </c>
      <c r="I3655" t="s">
        <v>3183</v>
      </c>
      <c r="J3655" t="s">
        <v>18</v>
      </c>
      <c r="K3655" t="s">
        <v>657</v>
      </c>
      <c r="L3655" t="s">
        <v>655</v>
      </c>
      <c r="M3655" t="s">
        <v>18</v>
      </c>
    </row>
    <row r="3656" spans="1:13">
      <c r="A3656" t="s">
        <v>851</v>
      </c>
      <c r="B3656" t="s">
        <v>687</v>
      </c>
      <c r="C3656" t="s">
        <v>687</v>
      </c>
      <c r="D3656" t="s">
        <v>3185</v>
      </c>
      <c r="E3656" t="s">
        <v>660</v>
      </c>
      <c r="F3656" t="s">
        <v>40</v>
      </c>
      <c r="G3656">
        <v>2030</v>
      </c>
      <c r="H3656" s="12">
        <v>182</v>
      </c>
      <c r="I3656" t="s">
        <v>3183</v>
      </c>
      <c r="J3656" t="s">
        <v>18</v>
      </c>
      <c r="K3656" t="s">
        <v>657</v>
      </c>
      <c r="L3656" t="s">
        <v>655</v>
      </c>
      <c r="M3656" t="s">
        <v>18</v>
      </c>
    </row>
    <row r="3657" spans="1:13">
      <c r="A3657" t="s">
        <v>851</v>
      </c>
      <c r="B3657" t="s">
        <v>687</v>
      </c>
      <c r="C3657" t="s">
        <v>687</v>
      </c>
      <c r="D3657" t="s">
        <v>3185</v>
      </c>
      <c r="E3657" t="s">
        <v>660</v>
      </c>
      <c r="F3657" t="s">
        <v>40</v>
      </c>
      <c r="G3657">
        <v>2035</v>
      </c>
      <c r="H3657" s="12">
        <v>317</v>
      </c>
      <c r="I3657" t="s">
        <v>3183</v>
      </c>
      <c r="J3657" t="s">
        <v>18</v>
      </c>
      <c r="K3657" t="s">
        <v>657</v>
      </c>
      <c r="L3657" t="s">
        <v>655</v>
      </c>
      <c r="M3657" t="s">
        <v>18</v>
      </c>
    </row>
    <row r="3658" spans="1:13">
      <c r="A3658" t="s">
        <v>851</v>
      </c>
      <c r="B3658" t="s">
        <v>687</v>
      </c>
      <c r="C3658" t="s">
        <v>687</v>
      </c>
      <c r="D3658" t="s">
        <v>3185</v>
      </c>
      <c r="E3658" t="s">
        <v>660</v>
      </c>
      <c r="F3658" t="s">
        <v>40</v>
      </c>
      <c r="G3658">
        <v>2040</v>
      </c>
      <c r="H3658" s="12">
        <v>464</v>
      </c>
      <c r="I3658" t="s">
        <v>3183</v>
      </c>
      <c r="J3658" t="s">
        <v>18</v>
      </c>
      <c r="K3658" t="s">
        <v>657</v>
      </c>
      <c r="L3658" t="s">
        <v>655</v>
      </c>
      <c r="M3658" t="s">
        <v>18</v>
      </c>
    </row>
    <row r="3659" spans="1:13">
      <c r="A3659" t="s">
        <v>851</v>
      </c>
      <c r="B3659" t="s">
        <v>687</v>
      </c>
      <c r="C3659" t="s">
        <v>687</v>
      </c>
      <c r="D3659" t="s">
        <v>3185</v>
      </c>
      <c r="E3659" t="s">
        <v>660</v>
      </c>
      <c r="F3659" t="s">
        <v>40</v>
      </c>
      <c r="G3659">
        <v>2045</v>
      </c>
      <c r="H3659" s="12">
        <v>616</v>
      </c>
      <c r="I3659" t="s">
        <v>3183</v>
      </c>
      <c r="J3659" t="s">
        <v>18</v>
      </c>
      <c r="K3659" t="s">
        <v>657</v>
      </c>
      <c r="L3659" t="s">
        <v>655</v>
      </c>
      <c r="M3659" t="s">
        <v>18</v>
      </c>
    </row>
    <row r="3660" spans="1:13">
      <c r="A3660" t="s">
        <v>851</v>
      </c>
      <c r="B3660" t="s">
        <v>687</v>
      </c>
      <c r="C3660" t="s">
        <v>687</v>
      </c>
      <c r="D3660" t="s">
        <v>3185</v>
      </c>
      <c r="E3660" t="s">
        <v>660</v>
      </c>
      <c r="F3660" t="s">
        <v>40</v>
      </c>
      <c r="G3660">
        <v>2050</v>
      </c>
      <c r="H3660" s="12">
        <v>768</v>
      </c>
      <c r="I3660" t="s">
        <v>3183</v>
      </c>
      <c r="J3660" t="s">
        <v>18</v>
      </c>
      <c r="K3660" t="s">
        <v>657</v>
      </c>
      <c r="L3660" t="s">
        <v>655</v>
      </c>
      <c r="M3660" t="s">
        <v>18</v>
      </c>
    </row>
    <row r="3661" spans="1:13">
      <c r="A3661" t="s">
        <v>851</v>
      </c>
      <c r="B3661" t="s">
        <v>686</v>
      </c>
      <c r="C3661" t="s">
        <v>686</v>
      </c>
      <c r="D3661" t="s">
        <v>3185</v>
      </c>
      <c r="E3661" t="s">
        <v>660</v>
      </c>
      <c r="F3661" t="s">
        <v>40</v>
      </c>
      <c r="G3661">
        <v>2010</v>
      </c>
      <c r="H3661" s="12">
        <v>812</v>
      </c>
      <c r="I3661" t="s">
        <v>3183</v>
      </c>
      <c r="J3661" t="s">
        <v>14</v>
      </c>
      <c r="K3661" t="s">
        <v>657</v>
      </c>
      <c r="L3661" t="s">
        <v>655</v>
      </c>
      <c r="M3661" t="s">
        <v>14</v>
      </c>
    </row>
    <row r="3662" spans="1:13">
      <c r="A3662" t="s">
        <v>851</v>
      </c>
      <c r="B3662" t="s">
        <v>686</v>
      </c>
      <c r="C3662" t="s">
        <v>686</v>
      </c>
      <c r="D3662" t="s">
        <v>3185</v>
      </c>
      <c r="E3662" t="s">
        <v>660</v>
      </c>
      <c r="F3662" t="s">
        <v>40</v>
      </c>
      <c r="G3662">
        <v>2015</v>
      </c>
      <c r="H3662" s="12">
        <v>808</v>
      </c>
      <c r="I3662" t="s">
        <v>3183</v>
      </c>
      <c r="J3662" t="s">
        <v>14</v>
      </c>
      <c r="K3662" t="s">
        <v>657</v>
      </c>
      <c r="L3662" t="s">
        <v>655</v>
      </c>
      <c r="M3662" t="s">
        <v>14</v>
      </c>
    </row>
    <row r="3663" spans="1:13">
      <c r="A3663" t="s">
        <v>851</v>
      </c>
      <c r="B3663" t="s">
        <v>686</v>
      </c>
      <c r="C3663" t="s">
        <v>686</v>
      </c>
      <c r="D3663" t="s">
        <v>3185</v>
      </c>
      <c r="E3663" t="s">
        <v>660</v>
      </c>
      <c r="F3663" t="s">
        <v>40</v>
      </c>
      <c r="G3663">
        <v>2020</v>
      </c>
      <c r="H3663" s="12">
        <v>974</v>
      </c>
      <c r="I3663" t="s">
        <v>3183</v>
      </c>
      <c r="J3663" t="s">
        <v>14</v>
      </c>
      <c r="K3663" t="s">
        <v>657</v>
      </c>
      <c r="L3663" t="s">
        <v>655</v>
      </c>
      <c r="M3663" t="s">
        <v>14</v>
      </c>
    </row>
    <row r="3664" spans="1:13">
      <c r="A3664" t="s">
        <v>851</v>
      </c>
      <c r="B3664" t="s">
        <v>686</v>
      </c>
      <c r="C3664" t="s">
        <v>686</v>
      </c>
      <c r="D3664" t="s">
        <v>3185</v>
      </c>
      <c r="E3664" t="s">
        <v>660</v>
      </c>
      <c r="F3664" t="s">
        <v>40</v>
      </c>
      <c r="G3664">
        <v>2030</v>
      </c>
      <c r="H3664" s="12">
        <v>1055</v>
      </c>
      <c r="I3664" t="s">
        <v>3183</v>
      </c>
      <c r="J3664" t="s">
        <v>14</v>
      </c>
      <c r="K3664" t="s">
        <v>657</v>
      </c>
      <c r="L3664" t="s">
        <v>655</v>
      </c>
      <c r="M3664" t="s">
        <v>14</v>
      </c>
    </row>
    <row r="3665" spans="1:13">
      <c r="A3665" t="s">
        <v>851</v>
      </c>
      <c r="B3665" t="s">
        <v>686</v>
      </c>
      <c r="C3665" t="s">
        <v>686</v>
      </c>
      <c r="D3665" t="s">
        <v>3185</v>
      </c>
      <c r="E3665" t="s">
        <v>660</v>
      </c>
      <c r="F3665" t="s">
        <v>40</v>
      </c>
      <c r="G3665">
        <v>2035</v>
      </c>
      <c r="H3665" s="12">
        <v>1115</v>
      </c>
      <c r="I3665" t="s">
        <v>3183</v>
      </c>
      <c r="J3665" t="s">
        <v>14</v>
      </c>
      <c r="K3665" t="s">
        <v>657</v>
      </c>
      <c r="L3665" t="s">
        <v>655</v>
      </c>
      <c r="M3665" t="s">
        <v>14</v>
      </c>
    </row>
    <row r="3666" spans="1:13">
      <c r="A3666" t="s">
        <v>851</v>
      </c>
      <c r="B3666" t="s">
        <v>686</v>
      </c>
      <c r="C3666" t="s">
        <v>686</v>
      </c>
      <c r="D3666" t="s">
        <v>3185</v>
      </c>
      <c r="E3666" t="s">
        <v>660</v>
      </c>
      <c r="F3666" t="s">
        <v>40</v>
      </c>
      <c r="G3666">
        <v>2040</v>
      </c>
      <c r="H3666" s="12">
        <v>1163</v>
      </c>
      <c r="I3666" t="s">
        <v>3183</v>
      </c>
      <c r="J3666" t="s">
        <v>14</v>
      </c>
      <c r="K3666" t="s">
        <v>657</v>
      </c>
      <c r="L3666" t="s">
        <v>655</v>
      </c>
      <c r="M3666" t="s">
        <v>14</v>
      </c>
    </row>
    <row r="3667" spans="1:13">
      <c r="A3667" t="s">
        <v>851</v>
      </c>
      <c r="B3667" t="s">
        <v>686</v>
      </c>
      <c r="C3667" t="s">
        <v>686</v>
      </c>
      <c r="D3667" t="s">
        <v>3185</v>
      </c>
      <c r="E3667" t="s">
        <v>660</v>
      </c>
      <c r="F3667" t="s">
        <v>40</v>
      </c>
      <c r="G3667">
        <v>2045</v>
      </c>
      <c r="H3667" s="12">
        <v>1201</v>
      </c>
      <c r="I3667" t="s">
        <v>3183</v>
      </c>
      <c r="J3667" t="s">
        <v>14</v>
      </c>
      <c r="K3667" t="s">
        <v>657</v>
      </c>
      <c r="L3667" t="s">
        <v>655</v>
      </c>
      <c r="M3667" t="s">
        <v>14</v>
      </c>
    </row>
    <row r="3668" spans="1:13">
      <c r="A3668" t="s">
        <v>851</v>
      </c>
      <c r="B3668" t="s">
        <v>686</v>
      </c>
      <c r="C3668" t="s">
        <v>686</v>
      </c>
      <c r="D3668" t="s">
        <v>3185</v>
      </c>
      <c r="E3668" t="s">
        <v>660</v>
      </c>
      <c r="F3668" t="s">
        <v>40</v>
      </c>
      <c r="G3668">
        <v>2050</v>
      </c>
      <c r="H3668" s="12">
        <v>1233</v>
      </c>
      <c r="I3668" t="s">
        <v>3183</v>
      </c>
      <c r="J3668" t="s">
        <v>14</v>
      </c>
      <c r="K3668" t="s">
        <v>657</v>
      </c>
      <c r="L3668" t="s">
        <v>655</v>
      </c>
      <c r="M3668" t="s">
        <v>14</v>
      </c>
    </row>
    <row r="3669" spans="1:13">
      <c r="A3669" t="s">
        <v>851</v>
      </c>
      <c r="B3669" t="s">
        <v>687</v>
      </c>
      <c r="C3669" t="s">
        <v>687</v>
      </c>
      <c r="D3669" t="s">
        <v>3185</v>
      </c>
      <c r="E3669" t="s">
        <v>660</v>
      </c>
      <c r="F3669" t="s">
        <v>40</v>
      </c>
      <c r="G3669">
        <v>2030</v>
      </c>
      <c r="H3669" s="12">
        <v>1077</v>
      </c>
      <c r="I3669" t="s">
        <v>3183</v>
      </c>
      <c r="J3669" t="s">
        <v>14</v>
      </c>
      <c r="K3669" t="s">
        <v>657</v>
      </c>
      <c r="L3669" t="s">
        <v>655</v>
      </c>
      <c r="M3669" t="s">
        <v>14</v>
      </c>
    </row>
    <row r="3670" spans="1:13">
      <c r="A3670" t="s">
        <v>851</v>
      </c>
      <c r="B3670" t="s">
        <v>687</v>
      </c>
      <c r="C3670" t="s">
        <v>687</v>
      </c>
      <c r="D3670" t="s">
        <v>3185</v>
      </c>
      <c r="E3670" t="s">
        <v>660</v>
      </c>
      <c r="F3670" t="s">
        <v>40</v>
      </c>
      <c r="G3670">
        <v>2035</v>
      </c>
      <c r="H3670" s="12">
        <v>1161</v>
      </c>
      <c r="I3670" t="s">
        <v>3183</v>
      </c>
      <c r="J3670" t="s">
        <v>14</v>
      </c>
      <c r="K3670" t="s">
        <v>657</v>
      </c>
      <c r="L3670" t="s">
        <v>655</v>
      </c>
      <c r="M3670" t="s">
        <v>14</v>
      </c>
    </row>
    <row r="3671" spans="1:13">
      <c r="A3671" t="s">
        <v>851</v>
      </c>
      <c r="B3671" t="s">
        <v>687</v>
      </c>
      <c r="C3671" t="s">
        <v>687</v>
      </c>
      <c r="D3671" t="s">
        <v>3185</v>
      </c>
      <c r="E3671" t="s">
        <v>660</v>
      </c>
      <c r="F3671" t="s">
        <v>40</v>
      </c>
      <c r="G3671">
        <v>2040</v>
      </c>
      <c r="H3671" s="12">
        <v>1240</v>
      </c>
      <c r="I3671" t="s">
        <v>3183</v>
      </c>
      <c r="J3671" t="s">
        <v>14</v>
      </c>
      <c r="K3671" t="s">
        <v>657</v>
      </c>
      <c r="L3671" t="s">
        <v>655</v>
      </c>
      <c r="M3671" t="s">
        <v>14</v>
      </c>
    </row>
    <row r="3672" spans="1:13">
      <c r="A3672" t="s">
        <v>851</v>
      </c>
      <c r="B3672" t="s">
        <v>687</v>
      </c>
      <c r="C3672" t="s">
        <v>687</v>
      </c>
      <c r="D3672" t="s">
        <v>3185</v>
      </c>
      <c r="E3672" t="s">
        <v>660</v>
      </c>
      <c r="F3672" t="s">
        <v>40</v>
      </c>
      <c r="G3672">
        <v>2045</v>
      </c>
      <c r="H3672" s="12">
        <v>1313</v>
      </c>
      <c r="I3672" t="s">
        <v>3183</v>
      </c>
      <c r="J3672" t="s">
        <v>14</v>
      </c>
      <c r="K3672" t="s">
        <v>657</v>
      </c>
      <c r="L3672" t="s">
        <v>655</v>
      </c>
      <c r="M3672" t="s">
        <v>14</v>
      </c>
    </row>
    <row r="3673" spans="1:13">
      <c r="A3673" t="s">
        <v>851</v>
      </c>
      <c r="B3673" t="s">
        <v>687</v>
      </c>
      <c r="C3673" t="s">
        <v>687</v>
      </c>
      <c r="D3673" t="s">
        <v>3185</v>
      </c>
      <c r="E3673" t="s">
        <v>660</v>
      </c>
      <c r="F3673" t="s">
        <v>40</v>
      </c>
      <c r="G3673">
        <v>2030</v>
      </c>
      <c r="H3673" s="12">
        <v>0</v>
      </c>
      <c r="I3673" t="s">
        <v>3183</v>
      </c>
      <c r="J3673" t="s">
        <v>41</v>
      </c>
      <c r="K3673" t="s">
        <v>657</v>
      </c>
      <c r="L3673" t="s">
        <v>655</v>
      </c>
      <c r="M3673" t="s">
        <v>661</v>
      </c>
    </row>
    <row r="3674" spans="1:13">
      <c r="A3674" t="s">
        <v>851</v>
      </c>
      <c r="B3674" t="s">
        <v>687</v>
      </c>
      <c r="C3674" t="s">
        <v>687</v>
      </c>
      <c r="D3674" t="s">
        <v>3185</v>
      </c>
      <c r="E3674" t="s">
        <v>660</v>
      </c>
      <c r="F3674" t="s">
        <v>40</v>
      </c>
      <c r="G3674">
        <v>2035</v>
      </c>
      <c r="H3674" s="12">
        <v>0</v>
      </c>
      <c r="I3674" t="s">
        <v>3183</v>
      </c>
      <c r="J3674" t="s">
        <v>41</v>
      </c>
      <c r="K3674" t="s">
        <v>657</v>
      </c>
      <c r="L3674" t="s">
        <v>655</v>
      </c>
      <c r="M3674" t="s">
        <v>661</v>
      </c>
    </row>
    <row r="3675" spans="1:13">
      <c r="A3675" t="s">
        <v>851</v>
      </c>
      <c r="B3675" t="s">
        <v>687</v>
      </c>
      <c r="C3675" t="s">
        <v>687</v>
      </c>
      <c r="D3675" t="s">
        <v>3185</v>
      </c>
      <c r="E3675" t="s">
        <v>660</v>
      </c>
      <c r="F3675" t="s">
        <v>40</v>
      </c>
      <c r="G3675">
        <v>2040</v>
      </c>
      <c r="H3675" s="12">
        <v>0</v>
      </c>
      <c r="I3675" t="s">
        <v>3183</v>
      </c>
      <c r="J3675" t="s">
        <v>41</v>
      </c>
      <c r="K3675" t="s">
        <v>657</v>
      </c>
      <c r="L3675" t="s">
        <v>655</v>
      </c>
      <c r="M3675" t="s">
        <v>661</v>
      </c>
    </row>
    <row r="3676" spans="1:13">
      <c r="A3676" t="s">
        <v>851</v>
      </c>
      <c r="B3676" t="s">
        <v>687</v>
      </c>
      <c r="C3676" t="s">
        <v>687</v>
      </c>
      <c r="D3676" t="s">
        <v>3185</v>
      </c>
      <c r="E3676" t="s">
        <v>660</v>
      </c>
      <c r="F3676" t="s">
        <v>40</v>
      </c>
      <c r="G3676">
        <v>2045</v>
      </c>
      <c r="H3676" s="12">
        <v>0</v>
      </c>
      <c r="I3676" t="s">
        <v>3183</v>
      </c>
      <c r="J3676" t="s">
        <v>41</v>
      </c>
      <c r="K3676" t="s">
        <v>657</v>
      </c>
      <c r="L3676" t="s">
        <v>655</v>
      </c>
      <c r="M3676" t="s">
        <v>661</v>
      </c>
    </row>
    <row r="3677" spans="1:13">
      <c r="A3677" t="s">
        <v>851</v>
      </c>
      <c r="B3677" t="s">
        <v>687</v>
      </c>
      <c r="C3677" t="s">
        <v>687</v>
      </c>
      <c r="D3677" t="s">
        <v>3185</v>
      </c>
      <c r="E3677" t="s">
        <v>660</v>
      </c>
      <c r="F3677" t="s">
        <v>40</v>
      </c>
      <c r="G3677">
        <v>2050</v>
      </c>
      <c r="H3677" s="12">
        <v>0</v>
      </c>
      <c r="I3677" t="s">
        <v>3183</v>
      </c>
      <c r="J3677" t="s">
        <v>41</v>
      </c>
      <c r="K3677" t="s">
        <v>657</v>
      </c>
      <c r="L3677" t="s">
        <v>655</v>
      </c>
      <c r="M3677" t="s">
        <v>661</v>
      </c>
    </row>
    <row r="3678" spans="1:13">
      <c r="A3678" t="s">
        <v>851</v>
      </c>
      <c r="B3678" t="s">
        <v>686</v>
      </c>
      <c r="C3678" t="s">
        <v>686</v>
      </c>
      <c r="D3678" t="s">
        <v>3185</v>
      </c>
      <c r="E3678" t="s">
        <v>660</v>
      </c>
      <c r="F3678" t="s">
        <v>40</v>
      </c>
      <c r="G3678">
        <v>2010</v>
      </c>
      <c r="H3678" s="12">
        <v>1901</v>
      </c>
      <c r="I3678" t="s">
        <v>3183</v>
      </c>
      <c r="J3678" t="s">
        <v>15</v>
      </c>
      <c r="K3678" t="s">
        <v>657</v>
      </c>
      <c r="L3678" t="s">
        <v>655</v>
      </c>
      <c r="M3678" t="s">
        <v>15</v>
      </c>
    </row>
    <row r="3679" spans="1:13">
      <c r="A3679" t="s">
        <v>851</v>
      </c>
      <c r="B3679" t="s">
        <v>686</v>
      </c>
      <c r="C3679" t="s">
        <v>686</v>
      </c>
      <c r="D3679" t="s">
        <v>3185</v>
      </c>
      <c r="E3679" t="s">
        <v>660</v>
      </c>
      <c r="F3679" t="s">
        <v>40</v>
      </c>
      <c r="G3679">
        <v>2015</v>
      </c>
      <c r="H3679" s="12">
        <v>2182</v>
      </c>
      <c r="I3679" t="s">
        <v>3183</v>
      </c>
      <c r="J3679" t="s">
        <v>15</v>
      </c>
      <c r="K3679" t="s">
        <v>657</v>
      </c>
      <c r="L3679" t="s">
        <v>655</v>
      </c>
      <c r="M3679" t="s">
        <v>15</v>
      </c>
    </row>
    <row r="3680" spans="1:13">
      <c r="A3680" t="s">
        <v>851</v>
      </c>
      <c r="B3680" t="s">
        <v>686</v>
      </c>
      <c r="C3680" t="s">
        <v>686</v>
      </c>
      <c r="D3680" t="s">
        <v>3185</v>
      </c>
      <c r="E3680" t="s">
        <v>660</v>
      </c>
      <c r="F3680" t="s">
        <v>40</v>
      </c>
      <c r="G3680">
        <v>2020</v>
      </c>
      <c r="H3680" s="12">
        <v>2398</v>
      </c>
      <c r="I3680" t="s">
        <v>3183</v>
      </c>
      <c r="J3680" t="s">
        <v>15</v>
      </c>
      <c r="K3680" t="s">
        <v>657</v>
      </c>
      <c r="L3680" t="s">
        <v>655</v>
      </c>
      <c r="M3680" t="s">
        <v>15</v>
      </c>
    </row>
    <row r="3681" spans="1:13">
      <c r="A3681" t="s">
        <v>851</v>
      </c>
      <c r="B3681" t="s">
        <v>686</v>
      </c>
      <c r="C3681" t="s">
        <v>686</v>
      </c>
      <c r="D3681" t="s">
        <v>3185</v>
      </c>
      <c r="E3681" t="s">
        <v>660</v>
      </c>
      <c r="F3681" t="s">
        <v>40</v>
      </c>
      <c r="G3681">
        <v>2030</v>
      </c>
      <c r="H3681" s="12">
        <v>2532</v>
      </c>
      <c r="I3681" t="s">
        <v>3183</v>
      </c>
      <c r="J3681" t="s">
        <v>15</v>
      </c>
      <c r="K3681" t="s">
        <v>657</v>
      </c>
      <c r="L3681" t="s">
        <v>655</v>
      </c>
      <c r="M3681" t="s">
        <v>15</v>
      </c>
    </row>
    <row r="3682" spans="1:13">
      <c r="A3682" t="s">
        <v>851</v>
      </c>
      <c r="B3682" t="s">
        <v>686</v>
      </c>
      <c r="C3682" t="s">
        <v>686</v>
      </c>
      <c r="D3682" t="s">
        <v>3185</v>
      </c>
      <c r="E3682" t="s">
        <v>660</v>
      </c>
      <c r="F3682" t="s">
        <v>40</v>
      </c>
      <c r="G3682">
        <v>2035</v>
      </c>
      <c r="H3682" s="12">
        <v>2852</v>
      </c>
      <c r="I3682" t="s">
        <v>3183</v>
      </c>
      <c r="J3682" t="s">
        <v>15</v>
      </c>
      <c r="K3682" t="s">
        <v>657</v>
      </c>
      <c r="L3682" t="s">
        <v>655</v>
      </c>
      <c r="M3682" t="s">
        <v>15</v>
      </c>
    </row>
    <row r="3683" spans="1:13">
      <c r="A3683" t="s">
        <v>851</v>
      </c>
      <c r="B3683" t="s">
        <v>686</v>
      </c>
      <c r="C3683" t="s">
        <v>686</v>
      </c>
      <c r="D3683" t="s">
        <v>3185</v>
      </c>
      <c r="E3683" t="s">
        <v>660</v>
      </c>
      <c r="F3683" t="s">
        <v>40</v>
      </c>
      <c r="G3683">
        <v>2040</v>
      </c>
      <c r="H3683" s="12">
        <v>2964</v>
      </c>
      <c r="I3683" t="s">
        <v>3183</v>
      </c>
      <c r="J3683" t="s">
        <v>15</v>
      </c>
      <c r="K3683" t="s">
        <v>657</v>
      </c>
      <c r="L3683" t="s">
        <v>655</v>
      </c>
      <c r="M3683" t="s">
        <v>15</v>
      </c>
    </row>
    <row r="3684" spans="1:13">
      <c r="A3684" t="s">
        <v>851</v>
      </c>
      <c r="B3684" t="s">
        <v>686</v>
      </c>
      <c r="C3684" t="s">
        <v>686</v>
      </c>
      <c r="D3684" t="s">
        <v>3185</v>
      </c>
      <c r="E3684" t="s">
        <v>660</v>
      </c>
      <c r="F3684" t="s">
        <v>40</v>
      </c>
      <c r="G3684">
        <v>2045</v>
      </c>
      <c r="H3684" s="12">
        <v>3073</v>
      </c>
      <c r="I3684" t="s">
        <v>3183</v>
      </c>
      <c r="J3684" t="s">
        <v>15</v>
      </c>
      <c r="K3684" t="s">
        <v>657</v>
      </c>
      <c r="L3684" t="s">
        <v>655</v>
      </c>
      <c r="M3684" t="s">
        <v>15</v>
      </c>
    </row>
    <row r="3685" spans="1:13">
      <c r="A3685" t="s">
        <v>851</v>
      </c>
      <c r="B3685" t="s">
        <v>686</v>
      </c>
      <c r="C3685" t="s">
        <v>686</v>
      </c>
      <c r="D3685" t="s">
        <v>3185</v>
      </c>
      <c r="E3685" t="s">
        <v>660</v>
      </c>
      <c r="F3685" t="s">
        <v>40</v>
      </c>
      <c r="G3685">
        <v>2050</v>
      </c>
      <c r="H3685" s="12">
        <v>3195</v>
      </c>
      <c r="I3685" t="s">
        <v>3183</v>
      </c>
      <c r="J3685" t="s">
        <v>15</v>
      </c>
      <c r="K3685" t="s">
        <v>657</v>
      </c>
      <c r="L3685" t="s">
        <v>655</v>
      </c>
      <c r="M3685" t="s">
        <v>15</v>
      </c>
    </row>
    <row r="3686" spans="1:13">
      <c r="A3686" t="s">
        <v>851</v>
      </c>
      <c r="B3686" t="s">
        <v>687</v>
      </c>
      <c r="C3686" t="s">
        <v>687</v>
      </c>
      <c r="D3686" t="s">
        <v>3185</v>
      </c>
      <c r="E3686" t="s">
        <v>660</v>
      </c>
      <c r="F3686" t="s">
        <v>40</v>
      </c>
      <c r="G3686">
        <v>2030</v>
      </c>
      <c r="H3686" s="12">
        <v>2559</v>
      </c>
      <c r="I3686" t="s">
        <v>3183</v>
      </c>
      <c r="J3686" t="s">
        <v>15</v>
      </c>
      <c r="K3686" t="s">
        <v>657</v>
      </c>
      <c r="L3686" t="s">
        <v>655</v>
      </c>
      <c r="M3686" t="s">
        <v>15</v>
      </c>
    </row>
    <row r="3687" spans="1:13">
      <c r="A3687" t="s">
        <v>851</v>
      </c>
      <c r="B3687" t="s">
        <v>687</v>
      </c>
      <c r="C3687" t="s">
        <v>687</v>
      </c>
      <c r="D3687" t="s">
        <v>3185</v>
      </c>
      <c r="E3687" t="s">
        <v>660</v>
      </c>
      <c r="F3687" t="s">
        <v>40</v>
      </c>
      <c r="G3687">
        <v>2035</v>
      </c>
      <c r="H3687" s="12">
        <v>2892</v>
      </c>
      <c r="I3687" t="s">
        <v>3183</v>
      </c>
      <c r="J3687" t="s">
        <v>15</v>
      </c>
      <c r="K3687" t="s">
        <v>657</v>
      </c>
      <c r="L3687" t="s">
        <v>655</v>
      </c>
      <c r="M3687" t="s">
        <v>15</v>
      </c>
    </row>
    <row r="3688" spans="1:13">
      <c r="A3688" t="s">
        <v>851</v>
      </c>
      <c r="B3688" t="s">
        <v>687</v>
      </c>
      <c r="C3688" t="s">
        <v>687</v>
      </c>
      <c r="D3688" t="s">
        <v>3185</v>
      </c>
      <c r="E3688" t="s">
        <v>660</v>
      </c>
      <c r="F3688" t="s">
        <v>40</v>
      </c>
      <c r="G3688">
        <v>2040</v>
      </c>
      <c r="H3688" s="12">
        <v>3069</v>
      </c>
      <c r="I3688" t="s">
        <v>3183</v>
      </c>
      <c r="J3688" t="s">
        <v>15</v>
      </c>
      <c r="K3688" t="s">
        <v>657</v>
      </c>
      <c r="L3688" t="s">
        <v>655</v>
      </c>
      <c r="M3688" t="s">
        <v>15</v>
      </c>
    </row>
    <row r="3689" spans="1:13">
      <c r="A3689" t="s">
        <v>851</v>
      </c>
      <c r="B3689" t="s">
        <v>687</v>
      </c>
      <c r="C3689" t="s">
        <v>687</v>
      </c>
      <c r="D3689" t="s">
        <v>3185</v>
      </c>
      <c r="E3689" t="s">
        <v>660</v>
      </c>
      <c r="F3689" t="s">
        <v>40</v>
      </c>
      <c r="G3689">
        <v>2045</v>
      </c>
      <c r="H3689" s="12">
        <v>3202</v>
      </c>
      <c r="I3689" t="s">
        <v>3183</v>
      </c>
      <c r="J3689" t="s">
        <v>15</v>
      </c>
      <c r="K3689" t="s">
        <v>657</v>
      </c>
      <c r="L3689" t="s">
        <v>655</v>
      </c>
      <c r="M3689" t="s">
        <v>15</v>
      </c>
    </row>
    <row r="3690" spans="1:13">
      <c r="A3690" t="s">
        <v>851</v>
      </c>
      <c r="B3690" t="s">
        <v>687</v>
      </c>
      <c r="C3690" t="s">
        <v>687</v>
      </c>
      <c r="D3690" t="s">
        <v>3185</v>
      </c>
      <c r="E3690" t="s">
        <v>660</v>
      </c>
      <c r="F3690" t="s">
        <v>40</v>
      </c>
      <c r="G3690">
        <v>2050</v>
      </c>
      <c r="H3690" s="12">
        <v>3335</v>
      </c>
      <c r="I3690" t="s">
        <v>3183</v>
      </c>
      <c r="J3690" t="s">
        <v>15</v>
      </c>
      <c r="K3690" t="s">
        <v>657</v>
      </c>
      <c r="L3690" t="s">
        <v>655</v>
      </c>
      <c r="M3690" t="s">
        <v>15</v>
      </c>
    </row>
    <row r="3691" spans="1:13">
      <c r="A3691" t="s">
        <v>851</v>
      </c>
      <c r="B3691" t="s">
        <v>686</v>
      </c>
      <c r="C3691" t="s">
        <v>686</v>
      </c>
      <c r="D3691" t="s">
        <v>3185</v>
      </c>
      <c r="E3691" t="s">
        <v>660</v>
      </c>
      <c r="F3691" t="s">
        <v>40</v>
      </c>
      <c r="G3691">
        <v>2010</v>
      </c>
      <c r="H3691" s="12">
        <v>19926</v>
      </c>
      <c r="I3691" t="s">
        <v>3183</v>
      </c>
      <c r="J3691" t="s">
        <v>6</v>
      </c>
      <c r="K3691" t="s">
        <v>657</v>
      </c>
      <c r="L3691" t="s">
        <v>655</v>
      </c>
      <c r="M3691" t="s">
        <v>659</v>
      </c>
    </row>
    <row r="3692" spans="1:13">
      <c r="A3692" t="s">
        <v>851</v>
      </c>
      <c r="B3692" t="s">
        <v>686</v>
      </c>
      <c r="C3692" t="s">
        <v>686</v>
      </c>
      <c r="D3692" t="s">
        <v>3185</v>
      </c>
      <c r="E3692" t="s">
        <v>660</v>
      </c>
      <c r="F3692" t="s">
        <v>40</v>
      </c>
      <c r="G3692">
        <v>2015</v>
      </c>
      <c r="H3692" s="12">
        <v>18398</v>
      </c>
      <c r="I3692" t="s">
        <v>3183</v>
      </c>
      <c r="J3692" t="s">
        <v>6</v>
      </c>
      <c r="K3692" t="s">
        <v>657</v>
      </c>
      <c r="L3692" t="s">
        <v>655</v>
      </c>
      <c r="M3692" t="s">
        <v>659</v>
      </c>
    </row>
    <row r="3693" spans="1:13">
      <c r="A3693" t="s">
        <v>851</v>
      </c>
      <c r="B3693" t="s">
        <v>686</v>
      </c>
      <c r="C3693" t="s">
        <v>686</v>
      </c>
      <c r="D3693" t="s">
        <v>3185</v>
      </c>
      <c r="E3693" t="s">
        <v>660</v>
      </c>
      <c r="F3693" t="s">
        <v>40</v>
      </c>
      <c r="G3693">
        <v>2020</v>
      </c>
      <c r="H3693" s="12">
        <v>21079</v>
      </c>
      <c r="I3693" t="s">
        <v>3183</v>
      </c>
      <c r="J3693" t="s">
        <v>6</v>
      </c>
      <c r="K3693" t="s">
        <v>657</v>
      </c>
      <c r="L3693" t="s">
        <v>655</v>
      </c>
      <c r="M3693" t="s">
        <v>659</v>
      </c>
    </row>
    <row r="3694" spans="1:13">
      <c r="A3694" t="s">
        <v>851</v>
      </c>
      <c r="B3694" t="s">
        <v>686</v>
      </c>
      <c r="C3694" t="s">
        <v>686</v>
      </c>
      <c r="D3694" t="s">
        <v>3185</v>
      </c>
      <c r="E3694" t="s">
        <v>660</v>
      </c>
      <c r="F3694" t="s">
        <v>40</v>
      </c>
      <c r="G3694">
        <v>2030</v>
      </c>
      <c r="H3694" s="12">
        <v>21679</v>
      </c>
      <c r="I3694" t="s">
        <v>3183</v>
      </c>
      <c r="J3694" t="s">
        <v>6</v>
      </c>
      <c r="K3694" t="s">
        <v>657</v>
      </c>
      <c r="L3694" t="s">
        <v>655</v>
      </c>
      <c r="M3694" t="s">
        <v>659</v>
      </c>
    </row>
    <row r="3695" spans="1:13">
      <c r="A3695" t="s">
        <v>851</v>
      </c>
      <c r="B3695" t="s">
        <v>686</v>
      </c>
      <c r="C3695" t="s">
        <v>686</v>
      </c>
      <c r="D3695" t="s">
        <v>3185</v>
      </c>
      <c r="E3695" t="s">
        <v>660</v>
      </c>
      <c r="F3695" t="s">
        <v>40</v>
      </c>
      <c r="G3695">
        <v>2035</v>
      </c>
      <c r="H3695" s="12">
        <v>21399</v>
      </c>
      <c r="I3695" t="s">
        <v>3183</v>
      </c>
      <c r="J3695" t="s">
        <v>6</v>
      </c>
      <c r="K3695" t="s">
        <v>657</v>
      </c>
      <c r="L3695" t="s">
        <v>655</v>
      </c>
      <c r="M3695" t="s">
        <v>659</v>
      </c>
    </row>
    <row r="3696" spans="1:13">
      <c r="A3696" t="s">
        <v>851</v>
      </c>
      <c r="B3696" t="s">
        <v>686</v>
      </c>
      <c r="C3696" t="s">
        <v>686</v>
      </c>
      <c r="D3696" t="s">
        <v>3185</v>
      </c>
      <c r="E3696" t="s">
        <v>660</v>
      </c>
      <c r="F3696" t="s">
        <v>40</v>
      </c>
      <c r="G3696">
        <v>2040</v>
      </c>
      <c r="H3696" s="12">
        <v>21575</v>
      </c>
      <c r="I3696" t="s">
        <v>3183</v>
      </c>
      <c r="J3696" t="s">
        <v>6</v>
      </c>
      <c r="K3696" t="s">
        <v>657</v>
      </c>
      <c r="L3696" t="s">
        <v>655</v>
      </c>
      <c r="M3696" t="s">
        <v>659</v>
      </c>
    </row>
    <row r="3697" spans="1:13">
      <c r="A3697" t="s">
        <v>851</v>
      </c>
      <c r="B3697" t="s">
        <v>686</v>
      </c>
      <c r="C3697" t="s">
        <v>686</v>
      </c>
      <c r="D3697" t="s">
        <v>3185</v>
      </c>
      <c r="E3697" t="s">
        <v>660</v>
      </c>
      <c r="F3697" t="s">
        <v>40</v>
      </c>
      <c r="G3697">
        <v>2045</v>
      </c>
      <c r="H3697" s="12">
        <v>21925</v>
      </c>
      <c r="I3697" t="s">
        <v>3183</v>
      </c>
      <c r="J3697" t="s">
        <v>6</v>
      </c>
      <c r="K3697" t="s">
        <v>657</v>
      </c>
      <c r="L3697" t="s">
        <v>655</v>
      </c>
      <c r="M3697" t="s">
        <v>659</v>
      </c>
    </row>
    <row r="3698" spans="1:13">
      <c r="A3698" t="s">
        <v>851</v>
      </c>
      <c r="B3698" t="s">
        <v>686</v>
      </c>
      <c r="C3698" t="s">
        <v>686</v>
      </c>
      <c r="D3698" t="s">
        <v>3185</v>
      </c>
      <c r="E3698" t="s">
        <v>660</v>
      </c>
      <c r="F3698" t="s">
        <v>40</v>
      </c>
      <c r="G3698">
        <v>2050</v>
      </c>
      <c r="H3698" s="12">
        <v>22015</v>
      </c>
      <c r="I3698" t="s">
        <v>3183</v>
      </c>
      <c r="J3698" t="s">
        <v>6</v>
      </c>
      <c r="K3698" t="s">
        <v>657</v>
      </c>
      <c r="L3698" t="s">
        <v>655</v>
      </c>
      <c r="M3698" t="s">
        <v>659</v>
      </c>
    </row>
    <row r="3699" spans="1:13">
      <c r="A3699" t="s">
        <v>851</v>
      </c>
      <c r="B3699" t="s">
        <v>687</v>
      </c>
      <c r="C3699" t="s">
        <v>687</v>
      </c>
      <c r="D3699" t="s">
        <v>3185</v>
      </c>
      <c r="E3699" t="s">
        <v>660</v>
      </c>
      <c r="F3699" t="s">
        <v>40</v>
      </c>
      <c r="G3699">
        <v>2030</v>
      </c>
      <c r="H3699" s="12">
        <v>20326</v>
      </c>
      <c r="I3699" t="s">
        <v>3183</v>
      </c>
      <c r="J3699" t="s">
        <v>6</v>
      </c>
      <c r="K3699" t="s">
        <v>657</v>
      </c>
      <c r="L3699" t="s">
        <v>655</v>
      </c>
      <c r="M3699" t="s">
        <v>659</v>
      </c>
    </row>
    <row r="3700" spans="1:13">
      <c r="A3700" t="s">
        <v>851</v>
      </c>
      <c r="B3700" t="s">
        <v>687</v>
      </c>
      <c r="C3700" t="s">
        <v>687</v>
      </c>
      <c r="D3700" t="s">
        <v>3185</v>
      </c>
      <c r="E3700" t="s">
        <v>660</v>
      </c>
      <c r="F3700" t="s">
        <v>40</v>
      </c>
      <c r="G3700">
        <v>2035</v>
      </c>
      <c r="H3700" s="12">
        <v>19623</v>
      </c>
      <c r="I3700" t="s">
        <v>3183</v>
      </c>
      <c r="J3700" t="s">
        <v>6</v>
      </c>
      <c r="K3700" t="s">
        <v>657</v>
      </c>
      <c r="L3700" t="s">
        <v>655</v>
      </c>
      <c r="M3700" t="s">
        <v>659</v>
      </c>
    </row>
    <row r="3701" spans="1:13">
      <c r="A3701" t="s">
        <v>851</v>
      </c>
      <c r="B3701" t="s">
        <v>687</v>
      </c>
      <c r="C3701" t="s">
        <v>687</v>
      </c>
      <c r="D3701" t="s">
        <v>3185</v>
      </c>
      <c r="E3701" t="s">
        <v>660</v>
      </c>
      <c r="F3701" t="s">
        <v>40</v>
      </c>
      <c r="G3701">
        <v>2040</v>
      </c>
      <c r="H3701" s="12">
        <v>19214</v>
      </c>
      <c r="I3701" t="s">
        <v>3183</v>
      </c>
      <c r="J3701" t="s">
        <v>6</v>
      </c>
      <c r="K3701" t="s">
        <v>657</v>
      </c>
      <c r="L3701" t="s">
        <v>655</v>
      </c>
      <c r="M3701" t="s">
        <v>659</v>
      </c>
    </row>
    <row r="3702" spans="1:13">
      <c r="A3702" t="s">
        <v>851</v>
      </c>
      <c r="B3702" t="s">
        <v>687</v>
      </c>
      <c r="C3702" t="s">
        <v>687</v>
      </c>
      <c r="D3702" t="s">
        <v>3185</v>
      </c>
      <c r="E3702" t="s">
        <v>660</v>
      </c>
      <c r="F3702" t="s">
        <v>40</v>
      </c>
      <c r="G3702">
        <v>2045</v>
      </c>
      <c r="H3702" s="12">
        <v>18936</v>
      </c>
      <c r="I3702" t="s">
        <v>3183</v>
      </c>
      <c r="J3702" t="s">
        <v>6</v>
      </c>
      <c r="K3702" t="s">
        <v>657</v>
      </c>
      <c r="L3702" t="s">
        <v>655</v>
      </c>
      <c r="M3702" t="s">
        <v>659</v>
      </c>
    </row>
    <row r="3703" spans="1:13">
      <c r="A3703" t="s">
        <v>851</v>
      </c>
      <c r="B3703" t="s">
        <v>687</v>
      </c>
      <c r="C3703" t="s">
        <v>687</v>
      </c>
      <c r="D3703" t="s">
        <v>3185</v>
      </c>
      <c r="E3703" t="s">
        <v>660</v>
      </c>
      <c r="F3703" t="s">
        <v>40</v>
      </c>
      <c r="G3703">
        <v>2050</v>
      </c>
      <c r="H3703" s="12">
        <v>18448</v>
      </c>
      <c r="I3703" t="s">
        <v>3183</v>
      </c>
      <c r="J3703" t="s">
        <v>6</v>
      </c>
      <c r="K3703" t="s">
        <v>657</v>
      </c>
      <c r="L3703" t="s">
        <v>655</v>
      </c>
      <c r="M3703" t="s">
        <v>659</v>
      </c>
    </row>
    <row r="3704" spans="1:13">
      <c r="A3704" t="s">
        <v>851</v>
      </c>
      <c r="B3704" t="s">
        <v>686</v>
      </c>
      <c r="C3704" t="s">
        <v>686</v>
      </c>
      <c r="D3704" t="s">
        <v>3185</v>
      </c>
      <c r="E3704" t="s">
        <v>660</v>
      </c>
      <c r="F3704" t="s">
        <v>40</v>
      </c>
      <c r="G3704">
        <v>2010</v>
      </c>
      <c r="H3704" s="12">
        <v>6457</v>
      </c>
      <c r="I3704" t="s">
        <v>3183</v>
      </c>
      <c r="J3704" t="s">
        <v>394</v>
      </c>
      <c r="K3704" t="s">
        <v>657</v>
      </c>
      <c r="L3704" t="s">
        <v>655</v>
      </c>
      <c r="M3704" t="s">
        <v>16</v>
      </c>
    </row>
    <row r="3705" spans="1:13">
      <c r="A3705" t="s">
        <v>851</v>
      </c>
      <c r="B3705" t="s">
        <v>686</v>
      </c>
      <c r="C3705" t="s">
        <v>686</v>
      </c>
      <c r="D3705" t="s">
        <v>3185</v>
      </c>
      <c r="E3705" t="s">
        <v>660</v>
      </c>
      <c r="F3705" t="s">
        <v>40</v>
      </c>
      <c r="G3705">
        <v>2015</v>
      </c>
      <c r="H3705" s="12">
        <v>7092</v>
      </c>
      <c r="I3705" t="s">
        <v>3183</v>
      </c>
      <c r="J3705" t="s">
        <v>394</v>
      </c>
      <c r="K3705" t="s">
        <v>657</v>
      </c>
      <c r="L3705" t="s">
        <v>655</v>
      </c>
      <c r="M3705" t="s">
        <v>16</v>
      </c>
    </row>
    <row r="3706" spans="1:13">
      <c r="A3706" t="s">
        <v>851</v>
      </c>
      <c r="B3706" t="s">
        <v>686</v>
      </c>
      <c r="C3706" t="s">
        <v>686</v>
      </c>
      <c r="D3706" t="s">
        <v>3185</v>
      </c>
      <c r="E3706" t="s">
        <v>660</v>
      </c>
      <c r="F3706" t="s">
        <v>40</v>
      </c>
      <c r="G3706">
        <v>2020</v>
      </c>
      <c r="H3706" s="12">
        <v>7447</v>
      </c>
      <c r="I3706" t="s">
        <v>3183</v>
      </c>
      <c r="J3706" t="s">
        <v>394</v>
      </c>
      <c r="K3706" t="s">
        <v>657</v>
      </c>
      <c r="L3706" t="s">
        <v>655</v>
      </c>
      <c r="M3706" t="s">
        <v>16</v>
      </c>
    </row>
    <row r="3707" spans="1:13">
      <c r="A3707" t="s">
        <v>851</v>
      </c>
      <c r="B3707" t="s">
        <v>686</v>
      </c>
      <c r="C3707" t="s">
        <v>686</v>
      </c>
      <c r="D3707" t="s">
        <v>3185</v>
      </c>
      <c r="E3707" t="s">
        <v>660</v>
      </c>
      <c r="F3707" t="s">
        <v>40</v>
      </c>
      <c r="G3707">
        <v>2030</v>
      </c>
      <c r="H3707" s="12">
        <v>8023</v>
      </c>
      <c r="I3707" t="s">
        <v>3183</v>
      </c>
      <c r="J3707" t="s">
        <v>394</v>
      </c>
      <c r="K3707" t="s">
        <v>657</v>
      </c>
      <c r="L3707" t="s">
        <v>655</v>
      </c>
      <c r="M3707" t="s">
        <v>16</v>
      </c>
    </row>
    <row r="3708" spans="1:13">
      <c r="A3708" t="s">
        <v>851</v>
      </c>
      <c r="B3708" t="s">
        <v>686</v>
      </c>
      <c r="C3708" t="s">
        <v>686</v>
      </c>
      <c r="D3708" t="s">
        <v>3185</v>
      </c>
      <c r="E3708" t="s">
        <v>660</v>
      </c>
      <c r="F3708" t="s">
        <v>40</v>
      </c>
      <c r="G3708">
        <v>2035</v>
      </c>
      <c r="H3708" s="12">
        <v>8416</v>
      </c>
      <c r="I3708" t="s">
        <v>3183</v>
      </c>
      <c r="J3708" t="s">
        <v>394</v>
      </c>
      <c r="K3708" t="s">
        <v>657</v>
      </c>
      <c r="L3708" t="s">
        <v>655</v>
      </c>
      <c r="M3708" t="s">
        <v>16</v>
      </c>
    </row>
    <row r="3709" spans="1:13">
      <c r="A3709" t="s">
        <v>851</v>
      </c>
      <c r="B3709" t="s">
        <v>686</v>
      </c>
      <c r="C3709" t="s">
        <v>686</v>
      </c>
      <c r="D3709" t="s">
        <v>3185</v>
      </c>
      <c r="E3709" t="s">
        <v>660</v>
      </c>
      <c r="F3709" t="s">
        <v>40</v>
      </c>
      <c r="G3709">
        <v>2040</v>
      </c>
      <c r="H3709" s="12">
        <v>8554</v>
      </c>
      <c r="I3709" t="s">
        <v>3183</v>
      </c>
      <c r="J3709" t="s">
        <v>394</v>
      </c>
      <c r="K3709" t="s">
        <v>657</v>
      </c>
      <c r="L3709" t="s">
        <v>655</v>
      </c>
      <c r="M3709" t="s">
        <v>16</v>
      </c>
    </row>
    <row r="3710" spans="1:13">
      <c r="A3710" t="s">
        <v>851</v>
      </c>
      <c r="B3710" t="s">
        <v>686</v>
      </c>
      <c r="C3710" t="s">
        <v>686</v>
      </c>
      <c r="D3710" t="s">
        <v>3185</v>
      </c>
      <c r="E3710" t="s">
        <v>660</v>
      </c>
      <c r="F3710" t="s">
        <v>40</v>
      </c>
      <c r="G3710">
        <v>2045</v>
      </c>
      <c r="H3710" s="12">
        <v>8587</v>
      </c>
      <c r="I3710" t="s">
        <v>3183</v>
      </c>
      <c r="J3710" t="s">
        <v>394</v>
      </c>
      <c r="K3710" t="s">
        <v>657</v>
      </c>
      <c r="L3710" t="s">
        <v>655</v>
      </c>
      <c r="M3710" t="s">
        <v>16</v>
      </c>
    </row>
    <row r="3711" spans="1:13">
      <c r="A3711" t="s">
        <v>851</v>
      </c>
      <c r="B3711" t="s">
        <v>686</v>
      </c>
      <c r="C3711" t="s">
        <v>686</v>
      </c>
      <c r="D3711" t="s">
        <v>3185</v>
      </c>
      <c r="E3711" t="s">
        <v>660</v>
      </c>
      <c r="F3711" t="s">
        <v>40</v>
      </c>
      <c r="G3711">
        <v>2050</v>
      </c>
      <c r="H3711" s="12">
        <v>8629</v>
      </c>
      <c r="I3711" t="s">
        <v>3183</v>
      </c>
      <c r="J3711" t="s">
        <v>394</v>
      </c>
      <c r="K3711" t="s">
        <v>657</v>
      </c>
      <c r="L3711" t="s">
        <v>655</v>
      </c>
      <c r="M3711" t="s">
        <v>16</v>
      </c>
    </row>
    <row r="3712" spans="1:13">
      <c r="A3712" t="s">
        <v>851</v>
      </c>
      <c r="B3712" t="s">
        <v>687</v>
      </c>
      <c r="C3712" t="s">
        <v>687</v>
      </c>
      <c r="D3712" t="s">
        <v>3185</v>
      </c>
      <c r="E3712" t="s">
        <v>660</v>
      </c>
      <c r="F3712" t="s">
        <v>40</v>
      </c>
      <c r="G3712">
        <v>2030</v>
      </c>
      <c r="H3712" s="12">
        <v>7735</v>
      </c>
      <c r="I3712" t="s">
        <v>3183</v>
      </c>
      <c r="J3712" t="s">
        <v>394</v>
      </c>
      <c r="K3712" t="s">
        <v>657</v>
      </c>
      <c r="L3712" t="s">
        <v>655</v>
      </c>
      <c r="M3712" t="s">
        <v>16</v>
      </c>
    </row>
    <row r="3713" spans="1:13">
      <c r="A3713" t="s">
        <v>851</v>
      </c>
      <c r="B3713" t="s">
        <v>687</v>
      </c>
      <c r="C3713" t="s">
        <v>687</v>
      </c>
      <c r="D3713" t="s">
        <v>3185</v>
      </c>
      <c r="E3713" t="s">
        <v>660</v>
      </c>
      <c r="F3713" t="s">
        <v>40</v>
      </c>
      <c r="G3713">
        <v>2035</v>
      </c>
      <c r="H3713" s="12">
        <v>7836</v>
      </c>
      <c r="I3713" t="s">
        <v>3183</v>
      </c>
      <c r="J3713" t="s">
        <v>394</v>
      </c>
      <c r="K3713" t="s">
        <v>657</v>
      </c>
      <c r="L3713" t="s">
        <v>655</v>
      </c>
      <c r="M3713" t="s">
        <v>16</v>
      </c>
    </row>
    <row r="3714" spans="1:13">
      <c r="A3714" t="s">
        <v>851</v>
      </c>
      <c r="B3714" t="s">
        <v>687</v>
      </c>
      <c r="C3714" t="s">
        <v>687</v>
      </c>
      <c r="D3714" t="s">
        <v>3185</v>
      </c>
      <c r="E3714" t="s">
        <v>660</v>
      </c>
      <c r="F3714" t="s">
        <v>40</v>
      </c>
      <c r="G3714">
        <v>2040</v>
      </c>
      <c r="H3714" s="12">
        <v>7764</v>
      </c>
      <c r="I3714" t="s">
        <v>3183</v>
      </c>
      <c r="J3714" t="s">
        <v>394</v>
      </c>
      <c r="K3714" t="s">
        <v>657</v>
      </c>
      <c r="L3714" t="s">
        <v>655</v>
      </c>
      <c r="M3714" t="s">
        <v>16</v>
      </c>
    </row>
    <row r="3715" spans="1:13">
      <c r="A3715" t="s">
        <v>851</v>
      </c>
      <c r="B3715" t="s">
        <v>687</v>
      </c>
      <c r="C3715" t="s">
        <v>687</v>
      </c>
      <c r="D3715" t="s">
        <v>3185</v>
      </c>
      <c r="E3715" t="s">
        <v>660</v>
      </c>
      <c r="F3715" t="s">
        <v>40</v>
      </c>
      <c r="G3715">
        <v>2045</v>
      </c>
      <c r="H3715" s="12">
        <v>7587</v>
      </c>
      <c r="I3715" t="s">
        <v>3183</v>
      </c>
      <c r="J3715" t="s">
        <v>394</v>
      </c>
      <c r="K3715" t="s">
        <v>657</v>
      </c>
      <c r="L3715" t="s">
        <v>655</v>
      </c>
      <c r="M3715" t="s">
        <v>16</v>
      </c>
    </row>
    <row r="3716" spans="1:13">
      <c r="A3716" t="s">
        <v>851</v>
      </c>
      <c r="B3716" t="s">
        <v>687</v>
      </c>
      <c r="C3716" t="s">
        <v>687</v>
      </c>
      <c r="D3716" t="s">
        <v>3185</v>
      </c>
      <c r="E3716" t="s">
        <v>660</v>
      </c>
      <c r="F3716" t="s">
        <v>40</v>
      </c>
      <c r="G3716">
        <v>2050</v>
      </c>
      <c r="H3716" s="12">
        <v>7445</v>
      </c>
      <c r="I3716" t="s">
        <v>3183</v>
      </c>
      <c r="J3716" t="s">
        <v>394</v>
      </c>
      <c r="K3716" t="s">
        <v>657</v>
      </c>
      <c r="L3716" t="s">
        <v>655</v>
      </c>
      <c r="M3716" t="s">
        <v>16</v>
      </c>
    </row>
    <row r="3717" spans="1:13">
      <c r="A3717" t="s">
        <v>851</v>
      </c>
      <c r="B3717" t="s">
        <v>686</v>
      </c>
      <c r="C3717" t="s">
        <v>686</v>
      </c>
      <c r="D3717" t="s">
        <v>3185</v>
      </c>
      <c r="E3717" t="s">
        <v>646</v>
      </c>
      <c r="F3717" t="s">
        <v>40</v>
      </c>
      <c r="G3717">
        <v>2010</v>
      </c>
      <c r="H3717" s="12">
        <v>889</v>
      </c>
      <c r="I3717" t="s">
        <v>3183</v>
      </c>
      <c r="J3717" t="s">
        <v>394</v>
      </c>
      <c r="K3717" t="s">
        <v>272</v>
      </c>
      <c r="L3717" t="s">
        <v>655</v>
      </c>
      <c r="M3717" t="s">
        <v>16</v>
      </c>
    </row>
    <row r="3718" spans="1:13">
      <c r="A3718" t="s">
        <v>851</v>
      </c>
      <c r="B3718" t="s">
        <v>686</v>
      </c>
      <c r="C3718" t="s">
        <v>686</v>
      </c>
      <c r="D3718" t="s">
        <v>3185</v>
      </c>
      <c r="E3718" t="s">
        <v>646</v>
      </c>
      <c r="F3718" t="s">
        <v>40</v>
      </c>
      <c r="G3718">
        <v>2015</v>
      </c>
      <c r="H3718" s="12">
        <v>1003</v>
      </c>
      <c r="I3718" t="s">
        <v>3183</v>
      </c>
      <c r="J3718" t="s">
        <v>394</v>
      </c>
      <c r="K3718" t="s">
        <v>272</v>
      </c>
      <c r="L3718" t="s">
        <v>655</v>
      </c>
      <c r="M3718" t="s">
        <v>16</v>
      </c>
    </row>
    <row r="3719" spans="1:13">
      <c r="A3719" t="s">
        <v>851</v>
      </c>
      <c r="B3719" t="s">
        <v>686</v>
      </c>
      <c r="C3719" t="s">
        <v>686</v>
      </c>
      <c r="D3719" t="s">
        <v>3185</v>
      </c>
      <c r="E3719" t="s">
        <v>646</v>
      </c>
      <c r="F3719" t="s">
        <v>40</v>
      </c>
      <c r="G3719">
        <v>2020</v>
      </c>
      <c r="H3719" s="12">
        <v>1680</v>
      </c>
      <c r="I3719" t="s">
        <v>3183</v>
      </c>
      <c r="J3719" t="s">
        <v>394</v>
      </c>
      <c r="K3719" t="s">
        <v>272</v>
      </c>
      <c r="L3719" t="s">
        <v>655</v>
      </c>
      <c r="M3719" t="s">
        <v>16</v>
      </c>
    </row>
    <row r="3720" spans="1:13">
      <c r="A3720" t="s">
        <v>851</v>
      </c>
      <c r="B3720" t="s">
        <v>686</v>
      </c>
      <c r="C3720" t="s">
        <v>686</v>
      </c>
      <c r="D3720" t="s">
        <v>3185</v>
      </c>
      <c r="E3720" t="s">
        <v>646</v>
      </c>
      <c r="F3720" t="s">
        <v>40</v>
      </c>
      <c r="G3720">
        <v>2030</v>
      </c>
      <c r="H3720" s="12">
        <v>1939</v>
      </c>
      <c r="I3720" t="s">
        <v>3183</v>
      </c>
      <c r="J3720" t="s">
        <v>394</v>
      </c>
      <c r="K3720" t="s">
        <v>272</v>
      </c>
      <c r="L3720" t="s">
        <v>655</v>
      </c>
      <c r="M3720" t="s">
        <v>16</v>
      </c>
    </row>
    <row r="3721" spans="1:13">
      <c r="A3721" t="s">
        <v>851</v>
      </c>
      <c r="B3721" t="s">
        <v>686</v>
      </c>
      <c r="C3721" t="s">
        <v>686</v>
      </c>
      <c r="D3721" t="s">
        <v>3185</v>
      </c>
      <c r="E3721" t="s">
        <v>646</v>
      </c>
      <c r="F3721" t="s">
        <v>40</v>
      </c>
      <c r="G3721">
        <v>2035</v>
      </c>
      <c r="H3721" s="12">
        <v>2084</v>
      </c>
      <c r="I3721" t="s">
        <v>3183</v>
      </c>
      <c r="J3721" t="s">
        <v>394</v>
      </c>
      <c r="K3721" t="s">
        <v>272</v>
      </c>
      <c r="L3721" t="s">
        <v>655</v>
      </c>
      <c r="M3721" t="s">
        <v>16</v>
      </c>
    </row>
    <row r="3722" spans="1:13">
      <c r="A3722" t="s">
        <v>851</v>
      </c>
      <c r="B3722" t="s">
        <v>686</v>
      </c>
      <c r="C3722" t="s">
        <v>686</v>
      </c>
      <c r="D3722" t="s">
        <v>3185</v>
      </c>
      <c r="E3722" t="s">
        <v>646</v>
      </c>
      <c r="F3722" t="s">
        <v>40</v>
      </c>
      <c r="G3722">
        <v>2040</v>
      </c>
      <c r="H3722" s="12">
        <v>2200</v>
      </c>
      <c r="I3722" t="s">
        <v>3183</v>
      </c>
      <c r="J3722" t="s">
        <v>394</v>
      </c>
      <c r="K3722" t="s">
        <v>272</v>
      </c>
      <c r="L3722" t="s">
        <v>655</v>
      </c>
      <c r="M3722" t="s">
        <v>16</v>
      </c>
    </row>
    <row r="3723" spans="1:13">
      <c r="A3723" t="s">
        <v>851</v>
      </c>
      <c r="B3723" t="s">
        <v>686</v>
      </c>
      <c r="C3723" t="s">
        <v>686</v>
      </c>
      <c r="D3723" t="s">
        <v>3185</v>
      </c>
      <c r="E3723" t="s">
        <v>646</v>
      </c>
      <c r="F3723" t="s">
        <v>40</v>
      </c>
      <c r="G3723">
        <v>2045</v>
      </c>
      <c r="H3723" s="12">
        <v>2336</v>
      </c>
      <c r="I3723" t="s">
        <v>3183</v>
      </c>
      <c r="J3723" t="s">
        <v>394</v>
      </c>
      <c r="K3723" t="s">
        <v>272</v>
      </c>
      <c r="L3723" t="s">
        <v>655</v>
      </c>
      <c r="M3723" t="s">
        <v>16</v>
      </c>
    </row>
    <row r="3724" spans="1:13">
      <c r="A3724" t="s">
        <v>851</v>
      </c>
      <c r="B3724" t="s">
        <v>686</v>
      </c>
      <c r="C3724" t="s">
        <v>686</v>
      </c>
      <c r="D3724" t="s">
        <v>3185</v>
      </c>
      <c r="E3724" t="s">
        <v>646</v>
      </c>
      <c r="F3724" t="s">
        <v>40</v>
      </c>
      <c r="G3724">
        <v>2050</v>
      </c>
      <c r="H3724" s="12">
        <v>2470</v>
      </c>
      <c r="I3724" t="s">
        <v>3183</v>
      </c>
      <c r="J3724" t="s">
        <v>394</v>
      </c>
      <c r="K3724" t="s">
        <v>272</v>
      </c>
      <c r="L3724" t="s">
        <v>655</v>
      </c>
      <c r="M3724" t="s">
        <v>16</v>
      </c>
    </row>
    <row r="3725" spans="1:13">
      <c r="A3725" t="s">
        <v>851</v>
      </c>
      <c r="B3725" t="s">
        <v>687</v>
      </c>
      <c r="C3725" t="s">
        <v>687</v>
      </c>
      <c r="D3725" t="s">
        <v>3185</v>
      </c>
      <c r="E3725" t="s">
        <v>646</v>
      </c>
      <c r="F3725" t="s">
        <v>40</v>
      </c>
      <c r="G3725">
        <v>2030</v>
      </c>
      <c r="H3725" s="12">
        <v>1903</v>
      </c>
      <c r="I3725" t="s">
        <v>3183</v>
      </c>
      <c r="J3725" t="s">
        <v>394</v>
      </c>
      <c r="K3725" t="s">
        <v>272</v>
      </c>
      <c r="L3725" t="s">
        <v>655</v>
      </c>
      <c r="M3725" t="s">
        <v>16</v>
      </c>
    </row>
    <row r="3726" spans="1:13">
      <c r="A3726" t="s">
        <v>851</v>
      </c>
      <c r="B3726" t="s">
        <v>687</v>
      </c>
      <c r="C3726" t="s">
        <v>687</v>
      </c>
      <c r="D3726" t="s">
        <v>3185</v>
      </c>
      <c r="E3726" t="s">
        <v>646</v>
      </c>
      <c r="F3726" t="s">
        <v>40</v>
      </c>
      <c r="G3726">
        <v>2035</v>
      </c>
      <c r="H3726" s="12">
        <v>1986</v>
      </c>
      <c r="I3726" t="s">
        <v>3183</v>
      </c>
      <c r="J3726" t="s">
        <v>394</v>
      </c>
      <c r="K3726" t="s">
        <v>272</v>
      </c>
      <c r="L3726" t="s">
        <v>655</v>
      </c>
      <c r="M3726" t="s">
        <v>16</v>
      </c>
    </row>
    <row r="3727" spans="1:13">
      <c r="A3727" t="s">
        <v>851</v>
      </c>
      <c r="B3727" t="s">
        <v>687</v>
      </c>
      <c r="C3727" t="s">
        <v>687</v>
      </c>
      <c r="D3727" t="s">
        <v>3185</v>
      </c>
      <c r="E3727" t="s">
        <v>646</v>
      </c>
      <c r="F3727" t="s">
        <v>40</v>
      </c>
      <c r="G3727">
        <v>2040</v>
      </c>
      <c r="H3727" s="12">
        <v>2020</v>
      </c>
      <c r="I3727" t="s">
        <v>3183</v>
      </c>
      <c r="J3727" t="s">
        <v>394</v>
      </c>
      <c r="K3727" t="s">
        <v>272</v>
      </c>
      <c r="L3727" t="s">
        <v>655</v>
      </c>
      <c r="M3727" t="s">
        <v>16</v>
      </c>
    </row>
    <row r="3728" spans="1:13">
      <c r="A3728" t="s">
        <v>851</v>
      </c>
      <c r="B3728" t="s">
        <v>687</v>
      </c>
      <c r="C3728" t="s">
        <v>687</v>
      </c>
      <c r="D3728" t="s">
        <v>3185</v>
      </c>
      <c r="E3728" t="s">
        <v>242</v>
      </c>
      <c r="F3728" t="s">
        <v>663</v>
      </c>
      <c r="G3728">
        <v>2035</v>
      </c>
      <c r="H3728" s="12">
        <v>572.79</v>
      </c>
      <c r="I3728" t="s">
        <v>3183</v>
      </c>
      <c r="J3728" t="s">
        <v>394</v>
      </c>
      <c r="K3728" t="s">
        <v>664</v>
      </c>
      <c r="L3728" t="s">
        <v>654</v>
      </c>
      <c r="M3728" t="s">
        <v>16</v>
      </c>
    </row>
    <row r="3729" spans="1:13">
      <c r="A3729" t="s">
        <v>851</v>
      </c>
      <c r="B3729" t="s">
        <v>687</v>
      </c>
      <c r="C3729" t="s">
        <v>687</v>
      </c>
      <c r="D3729" t="s">
        <v>3185</v>
      </c>
      <c r="E3729" t="s">
        <v>242</v>
      </c>
      <c r="F3729" t="s">
        <v>663</v>
      </c>
      <c r="G3729">
        <v>2040</v>
      </c>
      <c r="H3729" s="12">
        <v>572.57000000000005</v>
      </c>
      <c r="I3729" t="s">
        <v>3183</v>
      </c>
      <c r="J3729" t="s">
        <v>394</v>
      </c>
      <c r="K3729" t="s">
        <v>664</v>
      </c>
      <c r="L3729" t="s">
        <v>654</v>
      </c>
      <c r="M3729" t="s">
        <v>16</v>
      </c>
    </row>
    <row r="3730" spans="1:13">
      <c r="A3730" t="s">
        <v>851</v>
      </c>
      <c r="B3730" t="s">
        <v>687</v>
      </c>
      <c r="C3730" t="s">
        <v>687</v>
      </c>
      <c r="D3730" t="s">
        <v>3185</v>
      </c>
      <c r="E3730" t="s">
        <v>242</v>
      </c>
      <c r="F3730" t="s">
        <v>663</v>
      </c>
      <c r="G3730">
        <v>2045</v>
      </c>
      <c r="H3730" s="12">
        <v>547.38</v>
      </c>
      <c r="I3730" t="s">
        <v>3183</v>
      </c>
      <c r="J3730" t="s">
        <v>394</v>
      </c>
      <c r="K3730" t="s">
        <v>664</v>
      </c>
      <c r="L3730" t="s">
        <v>654</v>
      </c>
      <c r="M3730" t="s">
        <v>16</v>
      </c>
    </row>
    <row r="3731" spans="1:13">
      <c r="A3731" t="s">
        <v>851</v>
      </c>
      <c r="B3731" t="s">
        <v>687</v>
      </c>
      <c r="C3731" t="s">
        <v>687</v>
      </c>
      <c r="D3731" t="s">
        <v>3185</v>
      </c>
      <c r="E3731" t="s">
        <v>242</v>
      </c>
      <c r="F3731" t="s">
        <v>663</v>
      </c>
      <c r="G3731">
        <v>2050</v>
      </c>
      <c r="H3731" s="12">
        <v>503.7</v>
      </c>
      <c r="I3731" t="s">
        <v>3183</v>
      </c>
      <c r="J3731" t="s">
        <v>394</v>
      </c>
      <c r="K3731" t="s">
        <v>664</v>
      </c>
      <c r="L3731" t="s">
        <v>654</v>
      </c>
      <c r="M3731" t="s">
        <v>16</v>
      </c>
    </row>
    <row r="3732" spans="1:13">
      <c r="A3732" t="s">
        <v>851</v>
      </c>
      <c r="B3732" t="s">
        <v>686</v>
      </c>
      <c r="C3732" t="s">
        <v>686</v>
      </c>
      <c r="D3732" t="s">
        <v>3185</v>
      </c>
      <c r="E3732" t="s">
        <v>242</v>
      </c>
      <c r="F3732" t="s">
        <v>663</v>
      </c>
      <c r="G3732">
        <v>2010</v>
      </c>
      <c r="H3732" s="12">
        <v>306.08</v>
      </c>
      <c r="I3732" t="s">
        <v>3183</v>
      </c>
      <c r="J3732" t="s">
        <v>6</v>
      </c>
      <c r="K3732" t="s">
        <v>664</v>
      </c>
      <c r="L3732" t="s">
        <v>654</v>
      </c>
      <c r="M3732" t="s">
        <v>659</v>
      </c>
    </row>
    <row r="3733" spans="1:13">
      <c r="A3733" t="s">
        <v>851</v>
      </c>
      <c r="B3733" t="s">
        <v>686</v>
      </c>
      <c r="C3733" t="s">
        <v>686</v>
      </c>
      <c r="D3733" t="s">
        <v>3185</v>
      </c>
      <c r="E3733" t="s">
        <v>242</v>
      </c>
      <c r="F3733" t="s">
        <v>663</v>
      </c>
      <c r="G3733">
        <v>2015</v>
      </c>
      <c r="H3733" s="12">
        <v>388.59</v>
      </c>
      <c r="I3733" t="s">
        <v>3183</v>
      </c>
      <c r="J3733" t="s">
        <v>6</v>
      </c>
      <c r="K3733" t="s">
        <v>664</v>
      </c>
      <c r="L3733" t="s">
        <v>654</v>
      </c>
      <c r="M3733" t="s">
        <v>659</v>
      </c>
    </row>
    <row r="3734" spans="1:13">
      <c r="A3734" t="s">
        <v>851</v>
      </c>
      <c r="B3734" t="s">
        <v>686</v>
      </c>
      <c r="C3734" t="s">
        <v>686</v>
      </c>
      <c r="D3734" t="s">
        <v>3185</v>
      </c>
      <c r="E3734" t="s">
        <v>242</v>
      </c>
      <c r="F3734" t="s">
        <v>663</v>
      </c>
      <c r="G3734">
        <v>2020</v>
      </c>
      <c r="H3734" s="12">
        <v>390.73</v>
      </c>
      <c r="I3734" t="s">
        <v>3183</v>
      </c>
      <c r="J3734" t="s">
        <v>6</v>
      </c>
      <c r="K3734" t="s">
        <v>664</v>
      </c>
      <c r="L3734" t="s">
        <v>654</v>
      </c>
      <c r="M3734" t="s">
        <v>659</v>
      </c>
    </row>
    <row r="3735" spans="1:13">
      <c r="A3735" t="s">
        <v>851</v>
      </c>
      <c r="B3735" t="s">
        <v>686</v>
      </c>
      <c r="C3735" t="s">
        <v>686</v>
      </c>
      <c r="D3735" t="s">
        <v>3185</v>
      </c>
      <c r="E3735" t="s">
        <v>242</v>
      </c>
      <c r="F3735" t="s">
        <v>663</v>
      </c>
      <c r="G3735">
        <v>2030</v>
      </c>
      <c r="H3735" s="12">
        <v>566.62</v>
      </c>
      <c r="I3735" t="s">
        <v>3183</v>
      </c>
      <c r="J3735" t="s">
        <v>6</v>
      </c>
      <c r="K3735" t="s">
        <v>664</v>
      </c>
      <c r="L3735" t="s">
        <v>654</v>
      </c>
      <c r="M3735" t="s">
        <v>659</v>
      </c>
    </row>
    <row r="3736" spans="1:13">
      <c r="A3736" t="s">
        <v>851</v>
      </c>
      <c r="B3736" t="s">
        <v>686</v>
      </c>
      <c r="C3736" t="s">
        <v>686</v>
      </c>
      <c r="D3736" t="s">
        <v>3185</v>
      </c>
      <c r="E3736" t="s">
        <v>242</v>
      </c>
      <c r="F3736" t="s">
        <v>663</v>
      </c>
      <c r="G3736">
        <v>2035</v>
      </c>
      <c r="H3736" s="12">
        <v>625.79999999999995</v>
      </c>
      <c r="I3736" t="s">
        <v>3183</v>
      </c>
      <c r="J3736" t="s">
        <v>6</v>
      </c>
      <c r="K3736" t="s">
        <v>664</v>
      </c>
      <c r="L3736" t="s">
        <v>654</v>
      </c>
      <c r="M3736" t="s">
        <v>659</v>
      </c>
    </row>
    <row r="3737" spans="1:13">
      <c r="A3737" t="s">
        <v>851</v>
      </c>
      <c r="B3737" t="s">
        <v>686</v>
      </c>
      <c r="C3737" t="s">
        <v>686</v>
      </c>
      <c r="D3737" t="s">
        <v>3185</v>
      </c>
      <c r="E3737" t="s">
        <v>242</v>
      </c>
      <c r="F3737" t="s">
        <v>663</v>
      </c>
      <c r="G3737">
        <v>2040</v>
      </c>
      <c r="H3737" s="12">
        <v>655.77</v>
      </c>
      <c r="I3737" t="s">
        <v>3183</v>
      </c>
      <c r="J3737" t="s">
        <v>6</v>
      </c>
      <c r="K3737" t="s">
        <v>664</v>
      </c>
      <c r="L3737" t="s">
        <v>654</v>
      </c>
      <c r="M3737" t="s">
        <v>659</v>
      </c>
    </row>
    <row r="3738" spans="1:13">
      <c r="A3738" t="s">
        <v>851</v>
      </c>
      <c r="B3738" t="s">
        <v>686</v>
      </c>
      <c r="C3738" t="s">
        <v>686</v>
      </c>
      <c r="D3738" t="s">
        <v>3185</v>
      </c>
      <c r="E3738" t="s">
        <v>242</v>
      </c>
      <c r="F3738" t="s">
        <v>663</v>
      </c>
      <c r="G3738">
        <v>2045</v>
      </c>
      <c r="H3738" s="12">
        <v>685.09</v>
      </c>
      <c r="I3738" t="s">
        <v>3183</v>
      </c>
      <c r="J3738" t="s">
        <v>6</v>
      </c>
      <c r="K3738" t="s">
        <v>664</v>
      </c>
      <c r="L3738" t="s">
        <v>654</v>
      </c>
      <c r="M3738" t="s">
        <v>659</v>
      </c>
    </row>
    <row r="3739" spans="1:13">
      <c r="A3739" t="s">
        <v>851</v>
      </c>
      <c r="B3739" t="s">
        <v>686</v>
      </c>
      <c r="C3739" t="s">
        <v>686</v>
      </c>
      <c r="D3739" t="s">
        <v>3185</v>
      </c>
      <c r="E3739" t="s">
        <v>242</v>
      </c>
      <c r="F3739" t="s">
        <v>663</v>
      </c>
      <c r="G3739">
        <v>2050</v>
      </c>
      <c r="H3739" s="12">
        <v>712.2</v>
      </c>
      <c r="I3739" t="s">
        <v>3183</v>
      </c>
      <c r="J3739" t="s">
        <v>6</v>
      </c>
      <c r="K3739" t="s">
        <v>664</v>
      </c>
      <c r="L3739" t="s">
        <v>654</v>
      </c>
      <c r="M3739" t="s">
        <v>659</v>
      </c>
    </row>
    <row r="3740" spans="1:13">
      <c r="A3740" t="s">
        <v>851</v>
      </c>
      <c r="B3740" t="s">
        <v>687</v>
      </c>
      <c r="C3740" t="s">
        <v>687</v>
      </c>
      <c r="D3740" t="s">
        <v>3185</v>
      </c>
      <c r="E3740" t="s">
        <v>242</v>
      </c>
      <c r="F3740" t="s">
        <v>663</v>
      </c>
      <c r="G3740">
        <v>2030</v>
      </c>
      <c r="H3740" s="12">
        <v>500.5</v>
      </c>
      <c r="I3740" t="s">
        <v>3183</v>
      </c>
      <c r="J3740" t="s">
        <v>6</v>
      </c>
      <c r="K3740" t="s">
        <v>664</v>
      </c>
      <c r="L3740" t="s">
        <v>654</v>
      </c>
      <c r="M3740" t="s">
        <v>659</v>
      </c>
    </row>
    <row r="3741" spans="1:13">
      <c r="A3741" t="s">
        <v>851</v>
      </c>
      <c r="B3741" t="s">
        <v>687</v>
      </c>
      <c r="C3741" t="s">
        <v>687</v>
      </c>
      <c r="D3741" t="s">
        <v>3185</v>
      </c>
      <c r="E3741" t="s">
        <v>242</v>
      </c>
      <c r="F3741" t="s">
        <v>663</v>
      </c>
      <c r="G3741">
        <v>2035</v>
      </c>
      <c r="H3741" s="12">
        <v>509.76</v>
      </c>
      <c r="I3741" t="s">
        <v>3183</v>
      </c>
      <c r="J3741" t="s">
        <v>6</v>
      </c>
      <c r="K3741" t="s">
        <v>664</v>
      </c>
      <c r="L3741" t="s">
        <v>654</v>
      </c>
      <c r="M3741" t="s">
        <v>659</v>
      </c>
    </row>
    <row r="3742" spans="1:13">
      <c r="A3742" t="s">
        <v>851</v>
      </c>
      <c r="B3742" t="s">
        <v>687</v>
      </c>
      <c r="C3742" t="s">
        <v>687</v>
      </c>
      <c r="D3742" t="s">
        <v>3185</v>
      </c>
      <c r="E3742" t="s">
        <v>242</v>
      </c>
      <c r="F3742" t="s">
        <v>663</v>
      </c>
      <c r="G3742">
        <v>2040</v>
      </c>
      <c r="H3742" s="12">
        <v>516.37</v>
      </c>
      <c r="I3742" t="s">
        <v>3183</v>
      </c>
      <c r="J3742" t="s">
        <v>6</v>
      </c>
      <c r="K3742" t="s">
        <v>664</v>
      </c>
      <c r="L3742" t="s">
        <v>654</v>
      </c>
      <c r="M3742" t="s">
        <v>659</v>
      </c>
    </row>
    <row r="3743" spans="1:13">
      <c r="A3743" t="s">
        <v>851</v>
      </c>
      <c r="B3743" t="s">
        <v>687</v>
      </c>
      <c r="C3743" t="s">
        <v>687</v>
      </c>
      <c r="D3743" t="s">
        <v>3185</v>
      </c>
      <c r="E3743" t="s">
        <v>242</v>
      </c>
      <c r="F3743" t="s">
        <v>663</v>
      </c>
      <c r="G3743">
        <v>2045</v>
      </c>
      <c r="H3743" s="12">
        <v>518.27</v>
      </c>
      <c r="I3743" t="s">
        <v>3183</v>
      </c>
      <c r="J3743" t="s">
        <v>6</v>
      </c>
      <c r="K3743" t="s">
        <v>664</v>
      </c>
      <c r="L3743" t="s">
        <v>654</v>
      </c>
      <c r="M3743" t="s">
        <v>659</v>
      </c>
    </row>
    <row r="3744" spans="1:13">
      <c r="A3744" t="s">
        <v>851</v>
      </c>
      <c r="B3744" t="s">
        <v>687</v>
      </c>
      <c r="C3744" t="s">
        <v>687</v>
      </c>
      <c r="D3744" t="s">
        <v>3185</v>
      </c>
      <c r="E3744" t="s">
        <v>242</v>
      </c>
      <c r="F3744" t="s">
        <v>663</v>
      </c>
      <c r="G3744">
        <v>2050</v>
      </c>
      <c r="H3744" s="12">
        <v>516.59</v>
      </c>
      <c r="I3744" t="s">
        <v>3183</v>
      </c>
      <c r="J3744" t="s">
        <v>6</v>
      </c>
      <c r="K3744" t="s">
        <v>664</v>
      </c>
      <c r="L3744" t="s">
        <v>654</v>
      </c>
      <c r="M3744" t="s">
        <v>659</v>
      </c>
    </row>
    <row r="3745" spans="1:13">
      <c r="A3745" t="s">
        <v>851</v>
      </c>
      <c r="B3745" t="s">
        <v>687</v>
      </c>
      <c r="C3745" t="s">
        <v>687</v>
      </c>
      <c r="D3745" t="s">
        <v>3185</v>
      </c>
      <c r="E3745" t="s">
        <v>660</v>
      </c>
      <c r="F3745" t="s">
        <v>40</v>
      </c>
      <c r="G3745">
        <v>2050</v>
      </c>
      <c r="H3745" s="12">
        <v>1382</v>
      </c>
      <c r="I3745" t="s">
        <v>3183</v>
      </c>
      <c r="J3745" t="s">
        <v>14</v>
      </c>
      <c r="K3745" t="s">
        <v>657</v>
      </c>
      <c r="L3745" t="s">
        <v>655</v>
      </c>
      <c r="M3745" t="s">
        <v>14</v>
      </c>
    </row>
    <row r="3746" spans="1:13">
      <c r="A3746" t="s">
        <v>851</v>
      </c>
      <c r="B3746" t="s">
        <v>686</v>
      </c>
      <c r="C3746" t="s">
        <v>686</v>
      </c>
      <c r="D3746" t="s">
        <v>3185</v>
      </c>
      <c r="E3746" t="s">
        <v>660</v>
      </c>
      <c r="F3746" t="s">
        <v>40</v>
      </c>
      <c r="G3746">
        <v>2010</v>
      </c>
      <c r="H3746" s="12">
        <v>291</v>
      </c>
      <c r="I3746" t="s">
        <v>3183</v>
      </c>
      <c r="J3746" t="s">
        <v>41</v>
      </c>
      <c r="K3746" t="s">
        <v>657</v>
      </c>
      <c r="L3746" t="s">
        <v>655</v>
      </c>
      <c r="M3746" t="s">
        <v>662</v>
      </c>
    </row>
    <row r="3747" spans="1:13">
      <c r="A3747" t="s">
        <v>851</v>
      </c>
      <c r="B3747" t="s">
        <v>686</v>
      </c>
      <c r="C3747" t="s">
        <v>686</v>
      </c>
      <c r="D3747" t="s">
        <v>3185</v>
      </c>
      <c r="E3747" t="s">
        <v>660</v>
      </c>
      <c r="F3747" t="s">
        <v>40</v>
      </c>
      <c r="G3747">
        <v>2015</v>
      </c>
      <c r="H3747" s="12">
        <v>320</v>
      </c>
      <c r="I3747" t="s">
        <v>3183</v>
      </c>
      <c r="J3747" t="s">
        <v>41</v>
      </c>
      <c r="K3747" t="s">
        <v>657</v>
      </c>
      <c r="L3747" t="s">
        <v>655</v>
      </c>
      <c r="M3747" t="s">
        <v>662</v>
      </c>
    </row>
    <row r="3748" spans="1:13">
      <c r="A3748" t="s">
        <v>851</v>
      </c>
      <c r="B3748" t="s">
        <v>686</v>
      </c>
      <c r="C3748" t="s">
        <v>686</v>
      </c>
      <c r="D3748" t="s">
        <v>3185</v>
      </c>
      <c r="E3748" t="s">
        <v>660</v>
      </c>
      <c r="F3748" t="s">
        <v>40</v>
      </c>
      <c r="G3748">
        <v>2020</v>
      </c>
      <c r="H3748" s="12">
        <v>413</v>
      </c>
      <c r="I3748" t="s">
        <v>3183</v>
      </c>
      <c r="J3748" t="s">
        <v>41</v>
      </c>
      <c r="K3748" t="s">
        <v>657</v>
      </c>
      <c r="L3748" t="s">
        <v>655</v>
      </c>
      <c r="M3748" t="s">
        <v>662</v>
      </c>
    </row>
    <row r="3749" spans="1:13">
      <c r="A3749" t="s">
        <v>851</v>
      </c>
      <c r="B3749" t="s">
        <v>686</v>
      </c>
      <c r="C3749" t="s">
        <v>686</v>
      </c>
      <c r="D3749" t="s">
        <v>3185</v>
      </c>
      <c r="E3749" t="s">
        <v>660</v>
      </c>
      <c r="F3749" t="s">
        <v>40</v>
      </c>
      <c r="G3749">
        <v>2030</v>
      </c>
      <c r="H3749" s="12">
        <v>512</v>
      </c>
      <c r="I3749" t="s">
        <v>3183</v>
      </c>
      <c r="J3749" t="s">
        <v>41</v>
      </c>
      <c r="K3749" t="s">
        <v>657</v>
      </c>
      <c r="L3749" t="s">
        <v>655</v>
      </c>
      <c r="M3749" t="s">
        <v>662</v>
      </c>
    </row>
    <row r="3750" spans="1:13">
      <c r="A3750" t="s">
        <v>851</v>
      </c>
      <c r="B3750" t="s">
        <v>686</v>
      </c>
      <c r="C3750" t="s">
        <v>686</v>
      </c>
      <c r="D3750" t="s">
        <v>3185</v>
      </c>
      <c r="E3750" t="s">
        <v>660</v>
      </c>
      <c r="F3750" t="s">
        <v>40</v>
      </c>
      <c r="G3750">
        <v>2035</v>
      </c>
      <c r="H3750" s="12">
        <v>635</v>
      </c>
      <c r="I3750" t="s">
        <v>3183</v>
      </c>
      <c r="J3750" t="s">
        <v>41</v>
      </c>
      <c r="K3750" t="s">
        <v>657</v>
      </c>
      <c r="L3750" t="s">
        <v>655</v>
      </c>
      <c r="M3750" t="s">
        <v>662</v>
      </c>
    </row>
    <row r="3751" spans="1:13">
      <c r="A3751" t="s">
        <v>851</v>
      </c>
      <c r="B3751" t="s">
        <v>686</v>
      </c>
      <c r="C3751" t="s">
        <v>686</v>
      </c>
      <c r="D3751" t="s">
        <v>3185</v>
      </c>
      <c r="E3751" t="s">
        <v>660</v>
      </c>
      <c r="F3751" t="s">
        <v>40</v>
      </c>
      <c r="G3751">
        <v>2040</v>
      </c>
      <c r="H3751" s="12">
        <v>810</v>
      </c>
      <c r="I3751" t="s">
        <v>3183</v>
      </c>
      <c r="J3751" t="s">
        <v>41</v>
      </c>
      <c r="K3751" t="s">
        <v>657</v>
      </c>
      <c r="L3751" t="s">
        <v>655</v>
      </c>
      <c r="M3751" t="s">
        <v>662</v>
      </c>
    </row>
    <row r="3752" spans="1:13">
      <c r="A3752" t="s">
        <v>851</v>
      </c>
      <c r="B3752" t="s">
        <v>686</v>
      </c>
      <c r="C3752" t="s">
        <v>686</v>
      </c>
      <c r="D3752" t="s">
        <v>3185</v>
      </c>
      <c r="E3752" t="s">
        <v>660</v>
      </c>
      <c r="F3752" t="s">
        <v>40</v>
      </c>
      <c r="G3752">
        <v>2045</v>
      </c>
      <c r="H3752" s="12">
        <v>1009</v>
      </c>
      <c r="I3752" t="s">
        <v>3183</v>
      </c>
      <c r="J3752" t="s">
        <v>41</v>
      </c>
      <c r="K3752" t="s">
        <v>657</v>
      </c>
      <c r="L3752" t="s">
        <v>655</v>
      </c>
      <c r="M3752" t="s">
        <v>662</v>
      </c>
    </row>
    <row r="3753" spans="1:13">
      <c r="A3753" t="s">
        <v>851</v>
      </c>
      <c r="B3753" t="s">
        <v>686</v>
      </c>
      <c r="C3753" t="s">
        <v>686</v>
      </c>
      <c r="D3753" t="s">
        <v>3185</v>
      </c>
      <c r="E3753" t="s">
        <v>660</v>
      </c>
      <c r="F3753" t="s">
        <v>40</v>
      </c>
      <c r="G3753">
        <v>2050</v>
      </c>
      <c r="H3753" s="12">
        <v>1266</v>
      </c>
      <c r="I3753" t="s">
        <v>3183</v>
      </c>
      <c r="J3753" t="s">
        <v>41</v>
      </c>
      <c r="K3753" t="s">
        <v>657</v>
      </c>
      <c r="L3753" t="s">
        <v>655</v>
      </c>
      <c r="M3753" t="s">
        <v>662</v>
      </c>
    </row>
    <row r="3754" spans="1:13">
      <c r="A3754" t="s">
        <v>851</v>
      </c>
      <c r="B3754" t="s">
        <v>687</v>
      </c>
      <c r="C3754" t="s">
        <v>687</v>
      </c>
      <c r="D3754" t="s">
        <v>3185</v>
      </c>
      <c r="E3754" t="s">
        <v>660</v>
      </c>
      <c r="F3754" t="s">
        <v>40</v>
      </c>
      <c r="G3754">
        <v>2030</v>
      </c>
      <c r="H3754" s="12">
        <v>688</v>
      </c>
      <c r="I3754" t="s">
        <v>3183</v>
      </c>
      <c r="J3754" t="s">
        <v>41</v>
      </c>
      <c r="K3754" t="s">
        <v>657</v>
      </c>
      <c r="L3754" t="s">
        <v>655</v>
      </c>
      <c r="M3754" t="s">
        <v>662</v>
      </c>
    </row>
    <row r="3755" spans="1:13">
      <c r="A3755" t="s">
        <v>851</v>
      </c>
      <c r="B3755" t="s">
        <v>687</v>
      </c>
      <c r="C3755" t="s">
        <v>687</v>
      </c>
      <c r="D3755" t="s">
        <v>3185</v>
      </c>
      <c r="E3755" t="s">
        <v>660</v>
      </c>
      <c r="F3755" t="s">
        <v>40</v>
      </c>
      <c r="G3755">
        <v>2035</v>
      </c>
      <c r="H3755" s="12">
        <v>1028</v>
      </c>
      <c r="I3755" t="s">
        <v>3183</v>
      </c>
      <c r="J3755" t="s">
        <v>41</v>
      </c>
      <c r="K3755" t="s">
        <v>657</v>
      </c>
      <c r="L3755" t="s">
        <v>655</v>
      </c>
      <c r="M3755" t="s">
        <v>662</v>
      </c>
    </row>
    <row r="3756" spans="1:13">
      <c r="A3756" t="s">
        <v>851</v>
      </c>
      <c r="B3756" t="s">
        <v>687</v>
      </c>
      <c r="C3756" t="s">
        <v>687</v>
      </c>
      <c r="D3756" t="s">
        <v>3185</v>
      </c>
      <c r="E3756" t="s">
        <v>660</v>
      </c>
      <c r="F3756" t="s">
        <v>40</v>
      </c>
      <c r="G3756">
        <v>2040</v>
      </c>
      <c r="H3756" s="12">
        <v>1373</v>
      </c>
      <c r="I3756" t="s">
        <v>3183</v>
      </c>
      <c r="J3756" t="s">
        <v>41</v>
      </c>
      <c r="K3756" t="s">
        <v>657</v>
      </c>
      <c r="L3756" t="s">
        <v>655</v>
      </c>
      <c r="M3756" t="s">
        <v>662</v>
      </c>
    </row>
    <row r="3757" spans="1:13">
      <c r="A3757" t="s">
        <v>851</v>
      </c>
      <c r="B3757" t="s">
        <v>687</v>
      </c>
      <c r="C3757" t="s">
        <v>687</v>
      </c>
      <c r="D3757" t="s">
        <v>3185</v>
      </c>
      <c r="E3757" t="s">
        <v>660</v>
      </c>
      <c r="F3757" t="s">
        <v>40</v>
      </c>
      <c r="G3757">
        <v>2045</v>
      </c>
      <c r="H3757" s="12">
        <v>1782</v>
      </c>
      <c r="I3757" t="s">
        <v>3183</v>
      </c>
      <c r="J3757" t="s">
        <v>41</v>
      </c>
      <c r="K3757" t="s">
        <v>657</v>
      </c>
      <c r="L3757" t="s">
        <v>655</v>
      </c>
      <c r="M3757" t="s">
        <v>662</v>
      </c>
    </row>
    <row r="3758" spans="1:13">
      <c r="A3758" t="s">
        <v>851</v>
      </c>
      <c r="B3758" t="s">
        <v>687</v>
      </c>
      <c r="C3758" t="s">
        <v>687</v>
      </c>
      <c r="D3758" t="s">
        <v>3185</v>
      </c>
      <c r="E3758" t="s">
        <v>660</v>
      </c>
      <c r="F3758" t="s">
        <v>40</v>
      </c>
      <c r="G3758">
        <v>2050</v>
      </c>
      <c r="H3758" s="12">
        <v>2262</v>
      </c>
      <c r="I3758" t="s">
        <v>3183</v>
      </c>
      <c r="J3758" t="s">
        <v>41</v>
      </c>
      <c r="K3758" t="s">
        <v>657</v>
      </c>
      <c r="L3758" t="s">
        <v>655</v>
      </c>
      <c r="M3758" t="s">
        <v>662</v>
      </c>
    </row>
    <row r="3759" spans="1:13">
      <c r="A3759" t="s">
        <v>851</v>
      </c>
      <c r="B3759" t="s">
        <v>686</v>
      </c>
      <c r="C3759" t="s">
        <v>686</v>
      </c>
      <c r="D3759" t="s">
        <v>3185</v>
      </c>
      <c r="E3759" t="s">
        <v>660</v>
      </c>
      <c r="F3759" t="s">
        <v>40</v>
      </c>
      <c r="G3759">
        <v>2010</v>
      </c>
      <c r="H3759" s="12">
        <v>0</v>
      </c>
      <c r="I3759" t="s">
        <v>3183</v>
      </c>
      <c r="J3759" t="s">
        <v>41</v>
      </c>
      <c r="K3759" t="s">
        <v>657</v>
      </c>
      <c r="L3759" t="s">
        <v>655</v>
      </c>
      <c r="M3759" t="s">
        <v>661</v>
      </c>
    </row>
    <row r="3760" spans="1:13">
      <c r="A3760" t="s">
        <v>851</v>
      </c>
      <c r="B3760" t="s">
        <v>686</v>
      </c>
      <c r="C3760" t="s">
        <v>686</v>
      </c>
      <c r="D3760" t="s">
        <v>3185</v>
      </c>
      <c r="E3760" t="s">
        <v>660</v>
      </c>
      <c r="F3760" t="s">
        <v>40</v>
      </c>
      <c r="G3760">
        <v>2015</v>
      </c>
      <c r="H3760" s="12">
        <v>0</v>
      </c>
      <c r="I3760" t="s">
        <v>3183</v>
      </c>
      <c r="J3760" t="s">
        <v>41</v>
      </c>
      <c r="K3760" t="s">
        <v>657</v>
      </c>
      <c r="L3760" t="s">
        <v>655</v>
      </c>
      <c r="M3760" t="s">
        <v>661</v>
      </c>
    </row>
    <row r="3761" spans="1:13">
      <c r="A3761" t="s">
        <v>851</v>
      </c>
      <c r="B3761" t="s">
        <v>686</v>
      </c>
      <c r="C3761" t="s">
        <v>686</v>
      </c>
      <c r="D3761" t="s">
        <v>3185</v>
      </c>
      <c r="E3761" t="s">
        <v>660</v>
      </c>
      <c r="F3761" t="s">
        <v>40</v>
      </c>
      <c r="G3761">
        <v>2020</v>
      </c>
      <c r="H3761" s="12">
        <v>0</v>
      </c>
      <c r="I3761" t="s">
        <v>3183</v>
      </c>
      <c r="J3761" t="s">
        <v>41</v>
      </c>
      <c r="K3761" t="s">
        <v>657</v>
      </c>
      <c r="L3761" t="s">
        <v>655</v>
      </c>
      <c r="M3761" t="s">
        <v>661</v>
      </c>
    </row>
    <row r="3762" spans="1:13">
      <c r="A3762" t="s">
        <v>851</v>
      </c>
      <c r="B3762" t="s">
        <v>686</v>
      </c>
      <c r="C3762" t="s">
        <v>686</v>
      </c>
      <c r="D3762" t="s">
        <v>3185</v>
      </c>
      <c r="E3762" t="s">
        <v>660</v>
      </c>
      <c r="F3762" t="s">
        <v>40</v>
      </c>
      <c r="G3762">
        <v>2030</v>
      </c>
      <c r="H3762" s="12">
        <v>0</v>
      </c>
      <c r="I3762" t="s">
        <v>3183</v>
      </c>
      <c r="J3762" t="s">
        <v>41</v>
      </c>
      <c r="K3762" t="s">
        <v>657</v>
      </c>
      <c r="L3762" t="s">
        <v>655</v>
      </c>
      <c r="M3762" t="s">
        <v>661</v>
      </c>
    </row>
    <row r="3763" spans="1:13">
      <c r="A3763" t="s">
        <v>851</v>
      </c>
      <c r="B3763" t="s">
        <v>686</v>
      </c>
      <c r="C3763" t="s">
        <v>686</v>
      </c>
      <c r="D3763" t="s">
        <v>3185</v>
      </c>
      <c r="E3763" t="s">
        <v>660</v>
      </c>
      <c r="F3763" t="s">
        <v>40</v>
      </c>
      <c r="G3763">
        <v>2035</v>
      </c>
      <c r="H3763" s="12">
        <v>0</v>
      </c>
      <c r="I3763" t="s">
        <v>3183</v>
      </c>
      <c r="J3763" t="s">
        <v>41</v>
      </c>
      <c r="K3763" t="s">
        <v>657</v>
      </c>
      <c r="L3763" t="s">
        <v>655</v>
      </c>
      <c r="M3763" t="s">
        <v>661</v>
      </c>
    </row>
    <row r="3764" spans="1:13">
      <c r="A3764" t="s">
        <v>851</v>
      </c>
      <c r="B3764" t="s">
        <v>686</v>
      </c>
      <c r="C3764" t="s">
        <v>686</v>
      </c>
      <c r="D3764" t="s">
        <v>3185</v>
      </c>
      <c r="E3764" t="s">
        <v>242</v>
      </c>
      <c r="F3764" t="s">
        <v>663</v>
      </c>
      <c r="G3764">
        <v>2010</v>
      </c>
      <c r="H3764" s="12">
        <v>1.32</v>
      </c>
      <c r="I3764" t="s">
        <v>3183</v>
      </c>
      <c r="J3764" t="s">
        <v>5</v>
      </c>
      <c r="K3764" t="s">
        <v>147</v>
      </c>
      <c r="L3764" t="s">
        <v>654</v>
      </c>
      <c r="M3764" t="s">
        <v>5</v>
      </c>
    </row>
    <row r="3765" spans="1:13">
      <c r="A3765" t="s">
        <v>851</v>
      </c>
      <c r="B3765" t="s">
        <v>686</v>
      </c>
      <c r="C3765" t="s">
        <v>686</v>
      </c>
      <c r="D3765" t="s">
        <v>3185</v>
      </c>
      <c r="E3765" t="s">
        <v>242</v>
      </c>
      <c r="F3765" t="s">
        <v>663</v>
      </c>
      <c r="G3765">
        <v>2015</v>
      </c>
      <c r="H3765" s="12">
        <v>1.71</v>
      </c>
      <c r="I3765" t="s">
        <v>3183</v>
      </c>
      <c r="J3765" t="s">
        <v>5</v>
      </c>
      <c r="K3765" t="s">
        <v>147</v>
      </c>
      <c r="L3765" t="s">
        <v>654</v>
      </c>
      <c r="M3765" t="s">
        <v>5</v>
      </c>
    </row>
    <row r="3766" spans="1:13">
      <c r="A3766" t="s">
        <v>851</v>
      </c>
      <c r="B3766" t="s">
        <v>686</v>
      </c>
      <c r="C3766" t="s">
        <v>686</v>
      </c>
      <c r="D3766" t="s">
        <v>3185</v>
      </c>
      <c r="E3766" t="s">
        <v>242</v>
      </c>
      <c r="F3766" t="s">
        <v>663</v>
      </c>
      <c r="G3766">
        <v>2020</v>
      </c>
      <c r="H3766" s="12">
        <v>2.25</v>
      </c>
      <c r="I3766" t="s">
        <v>3183</v>
      </c>
      <c r="J3766" t="s">
        <v>5</v>
      </c>
      <c r="K3766" t="s">
        <v>147</v>
      </c>
      <c r="L3766" t="s">
        <v>654</v>
      </c>
      <c r="M3766" t="s">
        <v>5</v>
      </c>
    </row>
    <row r="3767" spans="1:13">
      <c r="A3767" t="s">
        <v>851</v>
      </c>
      <c r="B3767" t="s">
        <v>686</v>
      </c>
      <c r="C3767" t="s">
        <v>686</v>
      </c>
      <c r="D3767" t="s">
        <v>3185</v>
      </c>
      <c r="E3767" t="s">
        <v>242</v>
      </c>
      <c r="F3767" t="s">
        <v>663</v>
      </c>
      <c r="G3767">
        <v>2030</v>
      </c>
      <c r="H3767" s="12">
        <v>6.85</v>
      </c>
      <c r="I3767" t="s">
        <v>3183</v>
      </c>
      <c r="J3767" t="s">
        <v>5</v>
      </c>
      <c r="K3767" t="s">
        <v>147</v>
      </c>
      <c r="L3767" t="s">
        <v>654</v>
      </c>
      <c r="M3767" t="s">
        <v>5</v>
      </c>
    </row>
    <row r="3768" spans="1:13">
      <c r="A3768" t="s">
        <v>851</v>
      </c>
      <c r="B3768" t="s">
        <v>686</v>
      </c>
      <c r="C3768" t="s">
        <v>686</v>
      </c>
      <c r="D3768" t="s">
        <v>3185</v>
      </c>
      <c r="E3768" t="s">
        <v>242</v>
      </c>
      <c r="F3768" t="s">
        <v>663</v>
      </c>
      <c r="G3768">
        <v>2035</v>
      </c>
      <c r="H3768" s="12">
        <v>11.15</v>
      </c>
      <c r="I3768" t="s">
        <v>3183</v>
      </c>
      <c r="J3768" t="s">
        <v>5</v>
      </c>
      <c r="K3768" t="s">
        <v>147</v>
      </c>
      <c r="L3768" t="s">
        <v>654</v>
      </c>
      <c r="M3768" t="s">
        <v>5</v>
      </c>
    </row>
    <row r="3769" spans="1:13">
      <c r="A3769" t="s">
        <v>851</v>
      </c>
      <c r="B3769" t="s">
        <v>686</v>
      </c>
      <c r="C3769" t="s">
        <v>686</v>
      </c>
      <c r="D3769" t="s">
        <v>3185</v>
      </c>
      <c r="E3769" t="s">
        <v>242</v>
      </c>
      <c r="F3769" t="s">
        <v>663</v>
      </c>
      <c r="G3769">
        <v>2040</v>
      </c>
      <c r="H3769" s="12">
        <v>16.27</v>
      </c>
      <c r="I3769" t="s">
        <v>3183</v>
      </c>
      <c r="J3769" t="s">
        <v>5</v>
      </c>
      <c r="K3769" t="s">
        <v>147</v>
      </c>
      <c r="L3769" t="s">
        <v>654</v>
      </c>
      <c r="M3769" t="s">
        <v>5</v>
      </c>
    </row>
    <row r="3770" spans="1:13">
      <c r="A3770" t="s">
        <v>851</v>
      </c>
      <c r="B3770" t="s">
        <v>686</v>
      </c>
      <c r="C3770" t="s">
        <v>686</v>
      </c>
      <c r="D3770" t="s">
        <v>3185</v>
      </c>
      <c r="E3770" t="s">
        <v>242</v>
      </c>
      <c r="F3770" t="s">
        <v>663</v>
      </c>
      <c r="G3770">
        <v>2045</v>
      </c>
      <c r="H3770" s="12">
        <v>21.75</v>
      </c>
      <c r="I3770" t="s">
        <v>3183</v>
      </c>
      <c r="J3770" t="s">
        <v>5</v>
      </c>
      <c r="K3770" t="s">
        <v>147</v>
      </c>
      <c r="L3770" t="s">
        <v>654</v>
      </c>
      <c r="M3770" t="s">
        <v>5</v>
      </c>
    </row>
    <row r="3771" spans="1:13">
      <c r="A3771" t="s">
        <v>851</v>
      </c>
      <c r="B3771" t="s">
        <v>686</v>
      </c>
      <c r="C3771" t="s">
        <v>686</v>
      </c>
      <c r="D3771" t="s">
        <v>3185</v>
      </c>
      <c r="E3771" t="s">
        <v>242</v>
      </c>
      <c r="F3771" t="s">
        <v>663</v>
      </c>
      <c r="G3771">
        <v>2050</v>
      </c>
      <c r="H3771" s="12">
        <v>27.7</v>
      </c>
      <c r="I3771" t="s">
        <v>3183</v>
      </c>
      <c r="J3771" t="s">
        <v>5</v>
      </c>
      <c r="K3771" t="s">
        <v>147</v>
      </c>
      <c r="L3771" t="s">
        <v>654</v>
      </c>
      <c r="M3771" t="s">
        <v>5</v>
      </c>
    </row>
    <row r="3772" spans="1:13">
      <c r="A3772" t="s">
        <v>851</v>
      </c>
      <c r="B3772" t="s">
        <v>687</v>
      </c>
      <c r="C3772" t="s">
        <v>687</v>
      </c>
      <c r="D3772" t="s">
        <v>3185</v>
      </c>
      <c r="E3772" t="s">
        <v>242</v>
      </c>
      <c r="F3772" t="s">
        <v>663</v>
      </c>
      <c r="G3772">
        <v>2030</v>
      </c>
      <c r="H3772" s="12">
        <v>6.33</v>
      </c>
      <c r="I3772" t="s">
        <v>3183</v>
      </c>
      <c r="J3772" t="s">
        <v>5</v>
      </c>
      <c r="K3772" t="s">
        <v>147</v>
      </c>
      <c r="L3772" t="s">
        <v>654</v>
      </c>
      <c r="M3772" t="s">
        <v>5</v>
      </c>
    </row>
    <row r="3773" spans="1:13">
      <c r="A3773" t="s">
        <v>851</v>
      </c>
      <c r="B3773" t="s">
        <v>686</v>
      </c>
      <c r="C3773" t="s">
        <v>686</v>
      </c>
      <c r="D3773" t="s">
        <v>3185</v>
      </c>
      <c r="E3773" t="s">
        <v>242</v>
      </c>
      <c r="F3773" t="s">
        <v>663</v>
      </c>
      <c r="G3773">
        <v>2010</v>
      </c>
      <c r="H3773" s="12">
        <v>9.06</v>
      </c>
      <c r="I3773" t="s">
        <v>3183</v>
      </c>
      <c r="J3773" t="s">
        <v>5</v>
      </c>
      <c r="K3773" t="s">
        <v>664</v>
      </c>
      <c r="L3773" t="s">
        <v>654</v>
      </c>
      <c r="M3773" t="s">
        <v>5</v>
      </c>
    </row>
    <row r="3774" spans="1:13">
      <c r="A3774" t="s">
        <v>851</v>
      </c>
      <c r="B3774" t="s">
        <v>686</v>
      </c>
      <c r="C3774" t="s">
        <v>686</v>
      </c>
      <c r="D3774" t="s">
        <v>3185</v>
      </c>
      <c r="E3774" t="s">
        <v>242</v>
      </c>
      <c r="F3774" t="s">
        <v>663</v>
      </c>
      <c r="G3774">
        <v>2015</v>
      </c>
      <c r="H3774" s="12">
        <v>11.88</v>
      </c>
      <c r="I3774" t="s">
        <v>3183</v>
      </c>
      <c r="J3774" t="s">
        <v>5</v>
      </c>
      <c r="K3774" t="s">
        <v>664</v>
      </c>
      <c r="L3774" t="s">
        <v>654</v>
      </c>
      <c r="M3774" t="s">
        <v>5</v>
      </c>
    </row>
    <row r="3775" spans="1:13">
      <c r="A3775" t="s">
        <v>851</v>
      </c>
      <c r="B3775" t="s">
        <v>686</v>
      </c>
      <c r="C3775" t="s">
        <v>686</v>
      </c>
      <c r="D3775" t="s">
        <v>3185</v>
      </c>
      <c r="E3775" t="s">
        <v>242</v>
      </c>
      <c r="F3775" t="s">
        <v>663</v>
      </c>
      <c r="G3775">
        <v>2020</v>
      </c>
      <c r="H3775" s="12">
        <v>13.07</v>
      </c>
      <c r="I3775" t="s">
        <v>3183</v>
      </c>
      <c r="J3775" t="s">
        <v>5</v>
      </c>
      <c r="K3775" t="s">
        <v>664</v>
      </c>
      <c r="L3775" t="s">
        <v>654</v>
      </c>
      <c r="M3775" t="s">
        <v>5</v>
      </c>
    </row>
    <row r="3776" spans="1:13">
      <c r="A3776" t="s">
        <v>851</v>
      </c>
      <c r="B3776" t="s">
        <v>686</v>
      </c>
      <c r="C3776" t="s">
        <v>686</v>
      </c>
      <c r="D3776" t="s">
        <v>3185</v>
      </c>
      <c r="E3776" t="s">
        <v>242</v>
      </c>
      <c r="F3776" t="s">
        <v>663</v>
      </c>
      <c r="G3776">
        <v>2030</v>
      </c>
      <c r="H3776" s="12">
        <v>15.02</v>
      </c>
      <c r="I3776" t="s">
        <v>3183</v>
      </c>
      <c r="J3776" t="s">
        <v>5</v>
      </c>
      <c r="K3776" t="s">
        <v>664</v>
      </c>
      <c r="L3776" t="s">
        <v>654</v>
      </c>
      <c r="M3776" t="s">
        <v>5</v>
      </c>
    </row>
    <row r="3777" spans="1:13">
      <c r="A3777" t="s">
        <v>851</v>
      </c>
      <c r="B3777" t="s">
        <v>686</v>
      </c>
      <c r="C3777" t="s">
        <v>686</v>
      </c>
      <c r="D3777" t="s">
        <v>3185</v>
      </c>
      <c r="E3777" t="s">
        <v>242</v>
      </c>
      <c r="F3777" t="s">
        <v>663</v>
      </c>
      <c r="G3777">
        <v>2035</v>
      </c>
      <c r="H3777" s="12">
        <v>15.41</v>
      </c>
      <c r="I3777" t="s">
        <v>3183</v>
      </c>
      <c r="J3777" t="s">
        <v>5</v>
      </c>
      <c r="K3777" t="s">
        <v>664</v>
      </c>
      <c r="L3777" t="s">
        <v>654</v>
      </c>
      <c r="M3777" t="s">
        <v>5</v>
      </c>
    </row>
    <row r="3778" spans="1:13">
      <c r="A3778" t="s">
        <v>851</v>
      </c>
      <c r="B3778" t="s">
        <v>686</v>
      </c>
      <c r="C3778" t="s">
        <v>686</v>
      </c>
      <c r="D3778" t="s">
        <v>3185</v>
      </c>
      <c r="E3778" t="s">
        <v>242</v>
      </c>
      <c r="F3778" t="s">
        <v>663</v>
      </c>
      <c r="G3778">
        <v>2040</v>
      </c>
      <c r="H3778" s="12">
        <v>15.35</v>
      </c>
      <c r="I3778" t="s">
        <v>3183</v>
      </c>
      <c r="J3778" t="s">
        <v>5</v>
      </c>
      <c r="K3778" t="s">
        <v>664</v>
      </c>
      <c r="L3778" t="s">
        <v>654</v>
      </c>
      <c r="M3778" t="s">
        <v>5</v>
      </c>
    </row>
    <row r="3779" spans="1:13">
      <c r="A3779" t="s">
        <v>851</v>
      </c>
      <c r="B3779" t="s">
        <v>686</v>
      </c>
      <c r="C3779" t="s">
        <v>686</v>
      </c>
      <c r="D3779" t="s">
        <v>3185</v>
      </c>
      <c r="E3779" t="s">
        <v>242</v>
      </c>
      <c r="F3779" t="s">
        <v>663</v>
      </c>
      <c r="G3779">
        <v>2045</v>
      </c>
      <c r="H3779" s="12">
        <v>14.96</v>
      </c>
      <c r="I3779" t="s">
        <v>3183</v>
      </c>
      <c r="J3779" t="s">
        <v>5</v>
      </c>
      <c r="K3779" t="s">
        <v>664</v>
      </c>
      <c r="L3779" t="s">
        <v>654</v>
      </c>
      <c r="M3779" t="s">
        <v>5</v>
      </c>
    </row>
    <row r="3780" spans="1:13">
      <c r="A3780" t="s">
        <v>851</v>
      </c>
      <c r="B3780" t="s">
        <v>686</v>
      </c>
      <c r="C3780" t="s">
        <v>686</v>
      </c>
      <c r="D3780" t="s">
        <v>3185</v>
      </c>
      <c r="E3780" t="s">
        <v>242</v>
      </c>
      <c r="F3780" t="s">
        <v>663</v>
      </c>
      <c r="G3780">
        <v>2050</v>
      </c>
      <c r="H3780" s="12">
        <v>14.6</v>
      </c>
      <c r="I3780" t="s">
        <v>3183</v>
      </c>
      <c r="J3780" t="s">
        <v>5</v>
      </c>
      <c r="K3780" t="s">
        <v>664</v>
      </c>
      <c r="L3780" t="s">
        <v>654</v>
      </c>
      <c r="M3780" t="s">
        <v>5</v>
      </c>
    </row>
    <row r="3781" spans="1:13">
      <c r="A3781" t="s">
        <v>851</v>
      </c>
      <c r="B3781" t="s">
        <v>687</v>
      </c>
      <c r="C3781" t="s">
        <v>687</v>
      </c>
      <c r="D3781" t="s">
        <v>3185</v>
      </c>
      <c r="E3781" t="s">
        <v>242</v>
      </c>
      <c r="F3781" t="s">
        <v>663</v>
      </c>
      <c r="G3781">
        <v>2030</v>
      </c>
      <c r="H3781" s="12">
        <v>11.86</v>
      </c>
      <c r="I3781" t="s">
        <v>3183</v>
      </c>
      <c r="J3781" t="s">
        <v>5</v>
      </c>
      <c r="K3781" t="s">
        <v>664</v>
      </c>
      <c r="L3781" t="s">
        <v>654</v>
      </c>
      <c r="M3781" t="s">
        <v>5</v>
      </c>
    </row>
    <row r="3782" spans="1:13">
      <c r="A3782" t="s">
        <v>851</v>
      </c>
      <c r="B3782" t="s">
        <v>687</v>
      </c>
      <c r="C3782" t="s">
        <v>687</v>
      </c>
      <c r="D3782" t="s">
        <v>3185</v>
      </c>
      <c r="E3782" t="s">
        <v>242</v>
      </c>
      <c r="F3782" t="s">
        <v>663</v>
      </c>
      <c r="G3782">
        <v>2035</v>
      </c>
      <c r="H3782" s="12">
        <v>11.08</v>
      </c>
      <c r="I3782" t="s">
        <v>3183</v>
      </c>
      <c r="J3782" t="s">
        <v>5</v>
      </c>
      <c r="K3782" t="s">
        <v>664</v>
      </c>
      <c r="L3782" t="s">
        <v>654</v>
      </c>
      <c r="M3782" t="s">
        <v>5</v>
      </c>
    </row>
    <row r="3783" spans="1:13">
      <c r="A3783" t="s">
        <v>851</v>
      </c>
      <c r="B3783" t="s">
        <v>687</v>
      </c>
      <c r="C3783" t="s">
        <v>687</v>
      </c>
      <c r="D3783" t="s">
        <v>3185</v>
      </c>
      <c r="E3783" t="s">
        <v>242</v>
      </c>
      <c r="F3783" t="s">
        <v>663</v>
      </c>
      <c r="G3783">
        <v>2040</v>
      </c>
      <c r="H3783" s="12">
        <v>10.33</v>
      </c>
      <c r="I3783" t="s">
        <v>3183</v>
      </c>
      <c r="J3783" t="s">
        <v>5</v>
      </c>
      <c r="K3783" t="s">
        <v>664</v>
      </c>
      <c r="L3783" t="s">
        <v>654</v>
      </c>
      <c r="M3783" t="s">
        <v>5</v>
      </c>
    </row>
    <row r="3784" spans="1:13">
      <c r="A3784" t="s">
        <v>851</v>
      </c>
      <c r="B3784" t="s">
        <v>687</v>
      </c>
      <c r="C3784" t="s">
        <v>687</v>
      </c>
      <c r="D3784" t="s">
        <v>3185</v>
      </c>
      <c r="E3784" t="s">
        <v>242</v>
      </c>
      <c r="F3784" t="s">
        <v>663</v>
      </c>
      <c r="G3784">
        <v>2045</v>
      </c>
      <c r="H3784" s="12">
        <v>9.76</v>
      </c>
      <c r="I3784" t="s">
        <v>3183</v>
      </c>
      <c r="J3784" t="s">
        <v>5</v>
      </c>
      <c r="K3784" t="s">
        <v>664</v>
      </c>
      <c r="L3784" t="s">
        <v>654</v>
      </c>
      <c r="M3784" t="s">
        <v>5</v>
      </c>
    </row>
    <row r="3785" spans="1:13">
      <c r="A3785" t="s">
        <v>851</v>
      </c>
      <c r="B3785" t="s">
        <v>687</v>
      </c>
      <c r="C3785" t="s">
        <v>687</v>
      </c>
      <c r="D3785" t="s">
        <v>3185</v>
      </c>
      <c r="E3785" t="s">
        <v>242</v>
      </c>
      <c r="F3785" t="s">
        <v>663</v>
      </c>
      <c r="G3785">
        <v>2050</v>
      </c>
      <c r="H3785" s="12">
        <v>8.9700000000000006</v>
      </c>
      <c r="I3785" t="s">
        <v>3183</v>
      </c>
      <c r="J3785" t="s">
        <v>5</v>
      </c>
      <c r="K3785" t="s">
        <v>664</v>
      </c>
      <c r="L3785" t="s">
        <v>654</v>
      </c>
      <c r="M3785" t="s">
        <v>5</v>
      </c>
    </row>
    <row r="3786" spans="1:13">
      <c r="A3786" t="s">
        <v>851</v>
      </c>
      <c r="B3786" t="s">
        <v>686</v>
      </c>
      <c r="C3786" t="s">
        <v>686</v>
      </c>
      <c r="D3786" t="s">
        <v>3185</v>
      </c>
      <c r="E3786" t="s">
        <v>242</v>
      </c>
      <c r="F3786" t="s">
        <v>663</v>
      </c>
      <c r="G3786">
        <v>2010</v>
      </c>
      <c r="H3786" s="12">
        <v>513.91</v>
      </c>
      <c r="I3786" t="s">
        <v>3183</v>
      </c>
      <c r="J3786" t="s">
        <v>394</v>
      </c>
      <c r="K3786" t="s">
        <v>664</v>
      </c>
      <c r="L3786" t="s">
        <v>654</v>
      </c>
      <c r="M3786" t="s">
        <v>16</v>
      </c>
    </row>
    <row r="3787" spans="1:13">
      <c r="A3787" t="s">
        <v>851</v>
      </c>
      <c r="B3787" t="s">
        <v>686</v>
      </c>
      <c r="C3787" t="s">
        <v>686</v>
      </c>
      <c r="D3787" t="s">
        <v>3185</v>
      </c>
      <c r="E3787" t="s">
        <v>242</v>
      </c>
      <c r="F3787" t="s">
        <v>663</v>
      </c>
      <c r="G3787">
        <v>2015</v>
      </c>
      <c r="H3787" s="12">
        <v>569.70000000000005</v>
      </c>
      <c r="I3787" t="s">
        <v>3183</v>
      </c>
      <c r="J3787" t="s">
        <v>394</v>
      </c>
      <c r="K3787" t="s">
        <v>664</v>
      </c>
      <c r="L3787" t="s">
        <v>654</v>
      </c>
      <c r="M3787" t="s">
        <v>16</v>
      </c>
    </row>
    <row r="3788" spans="1:13">
      <c r="A3788" t="s">
        <v>851</v>
      </c>
      <c r="B3788" t="s">
        <v>686</v>
      </c>
      <c r="C3788" t="s">
        <v>686</v>
      </c>
      <c r="D3788" t="s">
        <v>3185</v>
      </c>
      <c r="E3788" t="s">
        <v>242</v>
      </c>
      <c r="F3788" t="s">
        <v>663</v>
      </c>
      <c r="G3788">
        <v>2020</v>
      </c>
      <c r="H3788" s="12">
        <v>499.66</v>
      </c>
      <c r="I3788" t="s">
        <v>3183</v>
      </c>
      <c r="J3788" t="s">
        <v>394</v>
      </c>
      <c r="K3788" t="s">
        <v>664</v>
      </c>
      <c r="L3788" t="s">
        <v>654</v>
      </c>
      <c r="M3788" t="s">
        <v>16</v>
      </c>
    </row>
    <row r="3789" spans="1:13">
      <c r="A3789" t="s">
        <v>851</v>
      </c>
      <c r="B3789" t="s">
        <v>686</v>
      </c>
      <c r="C3789" t="s">
        <v>686</v>
      </c>
      <c r="D3789" t="s">
        <v>3185</v>
      </c>
      <c r="E3789" t="s">
        <v>242</v>
      </c>
      <c r="F3789" t="s">
        <v>663</v>
      </c>
      <c r="G3789">
        <v>2030</v>
      </c>
      <c r="H3789" s="12">
        <v>593.02</v>
      </c>
      <c r="I3789" t="s">
        <v>3183</v>
      </c>
      <c r="J3789" t="s">
        <v>394</v>
      </c>
      <c r="K3789" t="s">
        <v>664</v>
      </c>
      <c r="L3789" t="s">
        <v>654</v>
      </c>
      <c r="M3789" t="s">
        <v>16</v>
      </c>
    </row>
    <row r="3790" spans="1:13">
      <c r="A3790" t="s">
        <v>851</v>
      </c>
      <c r="B3790" t="s">
        <v>686</v>
      </c>
      <c r="C3790" t="s">
        <v>686</v>
      </c>
      <c r="D3790" t="s">
        <v>3185</v>
      </c>
      <c r="E3790" t="s">
        <v>242</v>
      </c>
      <c r="F3790" t="s">
        <v>663</v>
      </c>
      <c r="G3790">
        <v>2035</v>
      </c>
      <c r="H3790" s="12">
        <v>657.91</v>
      </c>
      <c r="I3790" t="s">
        <v>3183</v>
      </c>
      <c r="J3790" t="s">
        <v>394</v>
      </c>
      <c r="K3790" t="s">
        <v>664</v>
      </c>
      <c r="L3790" t="s">
        <v>654</v>
      </c>
      <c r="M3790" t="s">
        <v>16</v>
      </c>
    </row>
    <row r="3791" spans="1:13">
      <c r="A3791" t="s">
        <v>851</v>
      </c>
      <c r="B3791" t="s">
        <v>686</v>
      </c>
      <c r="C3791" t="s">
        <v>686</v>
      </c>
      <c r="D3791" t="s">
        <v>3185</v>
      </c>
      <c r="E3791" t="s">
        <v>242</v>
      </c>
      <c r="F3791" t="s">
        <v>663</v>
      </c>
      <c r="G3791">
        <v>2040</v>
      </c>
      <c r="H3791" s="12">
        <v>710.19</v>
      </c>
      <c r="I3791" t="s">
        <v>3183</v>
      </c>
      <c r="J3791" t="s">
        <v>394</v>
      </c>
      <c r="K3791" t="s">
        <v>664</v>
      </c>
      <c r="L3791" t="s">
        <v>654</v>
      </c>
      <c r="M3791" t="s">
        <v>16</v>
      </c>
    </row>
    <row r="3792" spans="1:13">
      <c r="A3792" t="s">
        <v>851</v>
      </c>
      <c r="B3792" t="s">
        <v>686</v>
      </c>
      <c r="C3792" t="s">
        <v>686</v>
      </c>
      <c r="D3792" t="s">
        <v>3185</v>
      </c>
      <c r="E3792" t="s">
        <v>242</v>
      </c>
      <c r="F3792" t="s">
        <v>663</v>
      </c>
      <c r="G3792">
        <v>2045</v>
      </c>
      <c r="H3792" s="12">
        <v>746.94</v>
      </c>
      <c r="I3792" t="s">
        <v>3183</v>
      </c>
      <c r="J3792" t="s">
        <v>394</v>
      </c>
      <c r="K3792" t="s">
        <v>664</v>
      </c>
      <c r="L3792" t="s">
        <v>654</v>
      </c>
      <c r="M3792" t="s">
        <v>16</v>
      </c>
    </row>
    <row r="3793" spans="1:13">
      <c r="A3793" t="s">
        <v>851</v>
      </c>
      <c r="B3793" t="s">
        <v>686</v>
      </c>
      <c r="C3793" t="s">
        <v>686</v>
      </c>
      <c r="D3793" t="s">
        <v>3185</v>
      </c>
      <c r="E3793" t="s">
        <v>242</v>
      </c>
      <c r="F3793" t="s">
        <v>663</v>
      </c>
      <c r="G3793">
        <v>2050</v>
      </c>
      <c r="H3793" s="12">
        <v>754.73</v>
      </c>
      <c r="I3793" t="s">
        <v>3183</v>
      </c>
      <c r="J3793" t="s">
        <v>394</v>
      </c>
      <c r="K3793" t="s">
        <v>664</v>
      </c>
      <c r="L3793" t="s">
        <v>654</v>
      </c>
      <c r="M3793" t="s">
        <v>16</v>
      </c>
    </row>
    <row r="3794" spans="1:13">
      <c r="A3794" t="s">
        <v>851</v>
      </c>
      <c r="B3794" t="s">
        <v>687</v>
      </c>
      <c r="C3794" t="s">
        <v>687</v>
      </c>
      <c r="D3794" t="s">
        <v>3185</v>
      </c>
      <c r="E3794" t="s">
        <v>242</v>
      </c>
      <c r="F3794" t="s">
        <v>663</v>
      </c>
      <c r="G3794">
        <v>2030</v>
      </c>
      <c r="H3794" s="12">
        <v>549.38</v>
      </c>
      <c r="I3794" t="s">
        <v>3183</v>
      </c>
      <c r="J3794" t="s">
        <v>394</v>
      </c>
      <c r="K3794" t="s">
        <v>664</v>
      </c>
      <c r="L3794" t="s">
        <v>654</v>
      </c>
      <c r="M3794" t="s">
        <v>16</v>
      </c>
    </row>
    <row r="3795" spans="1:13">
      <c r="A3795" t="s">
        <v>851</v>
      </c>
      <c r="B3795" t="s">
        <v>687</v>
      </c>
      <c r="C3795" t="s">
        <v>687</v>
      </c>
      <c r="D3795" t="s">
        <v>3185</v>
      </c>
      <c r="E3795" t="s">
        <v>242</v>
      </c>
      <c r="F3795" t="s">
        <v>663</v>
      </c>
      <c r="G3795">
        <v>2035</v>
      </c>
      <c r="H3795" s="12">
        <v>11.32</v>
      </c>
      <c r="I3795" t="s">
        <v>3183</v>
      </c>
      <c r="J3795" t="s">
        <v>5</v>
      </c>
      <c r="K3795" t="s">
        <v>147</v>
      </c>
      <c r="L3795" t="s">
        <v>654</v>
      </c>
      <c r="M3795" t="s">
        <v>5</v>
      </c>
    </row>
    <row r="3796" spans="1:13">
      <c r="A3796" t="s">
        <v>851</v>
      </c>
      <c r="B3796" t="s">
        <v>687</v>
      </c>
      <c r="C3796" t="s">
        <v>687</v>
      </c>
      <c r="D3796" t="s">
        <v>3185</v>
      </c>
      <c r="E3796" t="s">
        <v>242</v>
      </c>
      <c r="F3796" t="s">
        <v>663</v>
      </c>
      <c r="G3796">
        <v>2040</v>
      </c>
      <c r="H3796" s="12">
        <v>16.25</v>
      </c>
      <c r="I3796" t="s">
        <v>3183</v>
      </c>
      <c r="J3796" t="s">
        <v>5</v>
      </c>
      <c r="K3796" t="s">
        <v>147</v>
      </c>
      <c r="L3796" t="s">
        <v>654</v>
      </c>
      <c r="M3796" t="s">
        <v>5</v>
      </c>
    </row>
    <row r="3797" spans="1:13">
      <c r="A3797" t="s">
        <v>851</v>
      </c>
      <c r="B3797" t="s">
        <v>687</v>
      </c>
      <c r="C3797" t="s">
        <v>687</v>
      </c>
      <c r="D3797" t="s">
        <v>3185</v>
      </c>
      <c r="E3797" t="s">
        <v>242</v>
      </c>
      <c r="F3797" t="s">
        <v>663</v>
      </c>
      <c r="G3797">
        <v>2045</v>
      </c>
      <c r="H3797" s="12">
        <v>21.17</v>
      </c>
      <c r="I3797" t="s">
        <v>3183</v>
      </c>
      <c r="J3797" t="s">
        <v>5</v>
      </c>
      <c r="K3797" t="s">
        <v>147</v>
      </c>
      <c r="L3797" t="s">
        <v>654</v>
      </c>
      <c r="M3797" t="s">
        <v>5</v>
      </c>
    </row>
    <row r="3798" spans="1:13">
      <c r="A3798" t="s">
        <v>851</v>
      </c>
      <c r="B3798" t="s">
        <v>687</v>
      </c>
      <c r="C3798" t="s">
        <v>687</v>
      </c>
      <c r="D3798" t="s">
        <v>3185</v>
      </c>
      <c r="E3798" t="s">
        <v>242</v>
      </c>
      <c r="F3798" t="s">
        <v>663</v>
      </c>
      <c r="G3798">
        <v>2050</v>
      </c>
      <c r="H3798" s="12">
        <v>25.54</v>
      </c>
      <c r="I3798" t="s">
        <v>3183</v>
      </c>
      <c r="J3798" t="s">
        <v>5</v>
      </c>
      <c r="K3798" t="s">
        <v>147</v>
      </c>
      <c r="L3798" t="s">
        <v>654</v>
      </c>
      <c r="M3798" t="s">
        <v>5</v>
      </c>
    </row>
    <row r="3799" spans="1:13">
      <c r="A3799" t="s">
        <v>851</v>
      </c>
      <c r="B3799" t="s">
        <v>686</v>
      </c>
      <c r="C3799" t="s">
        <v>686</v>
      </c>
      <c r="D3799" t="s">
        <v>3185</v>
      </c>
      <c r="E3799" t="s">
        <v>242</v>
      </c>
      <c r="F3799" t="s">
        <v>663</v>
      </c>
      <c r="G3799">
        <v>2010</v>
      </c>
      <c r="H3799" s="12">
        <v>245.92</v>
      </c>
      <c r="I3799" t="s">
        <v>3183</v>
      </c>
      <c r="J3799" t="s">
        <v>394</v>
      </c>
      <c r="K3799" t="s">
        <v>147</v>
      </c>
      <c r="L3799" t="s">
        <v>654</v>
      </c>
      <c r="M3799" t="s">
        <v>16</v>
      </c>
    </row>
    <row r="3800" spans="1:13">
      <c r="A3800" t="s">
        <v>851</v>
      </c>
      <c r="B3800" t="s">
        <v>686</v>
      </c>
      <c r="C3800" t="s">
        <v>686</v>
      </c>
      <c r="D3800" t="s">
        <v>3185</v>
      </c>
      <c r="E3800" t="s">
        <v>242</v>
      </c>
      <c r="F3800" t="s">
        <v>663</v>
      </c>
      <c r="G3800">
        <v>2015</v>
      </c>
      <c r="H3800" s="12">
        <v>285.64</v>
      </c>
      <c r="I3800" t="s">
        <v>3183</v>
      </c>
      <c r="J3800" t="s">
        <v>394</v>
      </c>
      <c r="K3800" t="s">
        <v>147</v>
      </c>
      <c r="L3800" t="s">
        <v>654</v>
      </c>
      <c r="M3800" t="s">
        <v>16</v>
      </c>
    </row>
    <row r="3801" spans="1:13">
      <c r="A3801" t="s">
        <v>851</v>
      </c>
      <c r="B3801" t="s">
        <v>686</v>
      </c>
      <c r="C3801" t="s">
        <v>686</v>
      </c>
      <c r="D3801" t="s">
        <v>3185</v>
      </c>
      <c r="E3801" t="s">
        <v>242</v>
      </c>
      <c r="F3801" t="s">
        <v>663</v>
      </c>
      <c r="G3801">
        <v>2020</v>
      </c>
      <c r="H3801" s="12">
        <v>222.1</v>
      </c>
      <c r="I3801" t="s">
        <v>3183</v>
      </c>
      <c r="J3801" t="s">
        <v>394</v>
      </c>
      <c r="K3801" t="s">
        <v>147</v>
      </c>
      <c r="L3801" t="s">
        <v>654</v>
      </c>
      <c r="M3801" t="s">
        <v>16</v>
      </c>
    </row>
    <row r="3802" spans="1:13">
      <c r="A3802" t="s">
        <v>851</v>
      </c>
      <c r="B3802" t="s">
        <v>686</v>
      </c>
      <c r="C3802" t="s">
        <v>686</v>
      </c>
      <c r="D3802" t="s">
        <v>3185</v>
      </c>
      <c r="E3802" t="s">
        <v>242</v>
      </c>
      <c r="F3802" t="s">
        <v>663</v>
      </c>
      <c r="G3802">
        <v>2030</v>
      </c>
      <c r="H3802" s="12">
        <v>177.34</v>
      </c>
      <c r="I3802" t="s">
        <v>3183</v>
      </c>
      <c r="J3802" t="s">
        <v>394</v>
      </c>
      <c r="K3802" t="s">
        <v>147</v>
      </c>
      <c r="L3802" t="s">
        <v>654</v>
      </c>
      <c r="M3802" t="s">
        <v>16</v>
      </c>
    </row>
    <row r="3803" spans="1:13">
      <c r="A3803" t="s">
        <v>851</v>
      </c>
      <c r="B3803" t="s">
        <v>686</v>
      </c>
      <c r="C3803" t="s">
        <v>686</v>
      </c>
      <c r="D3803" t="s">
        <v>3185</v>
      </c>
      <c r="E3803" t="s">
        <v>242</v>
      </c>
      <c r="F3803" t="s">
        <v>663</v>
      </c>
      <c r="G3803">
        <v>2035</v>
      </c>
      <c r="H3803" s="12">
        <v>167.74</v>
      </c>
      <c r="I3803" t="s">
        <v>3183</v>
      </c>
      <c r="J3803" t="s">
        <v>394</v>
      </c>
      <c r="K3803" t="s">
        <v>147</v>
      </c>
      <c r="L3803" t="s">
        <v>654</v>
      </c>
      <c r="M3803" t="s">
        <v>16</v>
      </c>
    </row>
    <row r="3804" spans="1:13">
      <c r="A3804" t="s">
        <v>851</v>
      </c>
      <c r="B3804" t="s">
        <v>686</v>
      </c>
      <c r="C3804" t="s">
        <v>686</v>
      </c>
      <c r="D3804" t="s">
        <v>3185</v>
      </c>
      <c r="E3804" t="s">
        <v>242</v>
      </c>
      <c r="F3804" t="s">
        <v>663</v>
      </c>
      <c r="G3804">
        <v>2040</v>
      </c>
      <c r="H3804" s="12">
        <v>171.42</v>
      </c>
      <c r="I3804" t="s">
        <v>3183</v>
      </c>
      <c r="J3804" t="s">
        <v>394</v>
      </c>
      <c r="K3804" t="s">
        <v>147</v>
      </c>
      <c r="L3804" t="s">
        <v>654</v>
      </c>
      <c r="M3804" t="s">
        <v>16</v>
      </c>
    </row>
    <row r="3805" spans="1:13">
      <c r="A3805" t="s">
        <v>851</v>
      </c>
      <c r="B3805" t="s">
        <v>686</v>
      </c>
      <c r="C3805" t="s">
        <v>686</v>
      </c>
      <c r="D3805" t="s">
        <v>3185</v>
      </c>
      <c r="E3805" t="s">
        <v>242</v>
      </c>
      <c r="F3805" t="s">
        <v>663</v>
      </c>
      <c r="G3805">
        <v>2045</v>
      </c>
      <c r="H3805" s="12">
        <v>162.19999999999999</v>
      </c>
      <c r="I3805" t="s">
        <v>3183</v>
      </c>
      <c r="J3805" t="s">
        <v>394</v>
      </c>
      <c r="K3805" t="s">
        <v>147</v>
      </c>
      <c r="L3805" t="s">
        <v>654</v>
      </c>
      <c r="M3805" t="s">
        <v>16</v>
      </c>
    </row>
    <row r="3806" spans="1:13">
      <c r="A3806" t="s">
        <v>851</v>
      </c>
      <c r="B3806" t="s">
        <v>686</v>
      </c>
      <c r="C3806" t="s">
        <v>686</v>
      </c>
      <c r="D3806" t="s">
        <v>3185</v>
      </c>
      <c r="E3806" t="s">
        <v>242</v>
      </c>
      <c r="F3806" t="s">
        <v>663</v>
      </c>
      <c r="G3806">
        <v>2050</v>
      </c>
      <c r="H3806" s="12">
        <v>152.15</v>
      </c>
      <c r="I3806" t="s">
        <v>3183</v>
      </c>
      <c r="J3806" t="s">
        <v>394</v>
      </c>
      <c r="K3806" t="s">
        <v>147</v>
      </c>
      <c r="L3806" t="s">
        <v>654</v>
      </c>
      <c r="M3806" t="s">
        <v>16</v>
      </c>
    </row>
    <row r="3807" spans="1:13">
      <c r="A3807" t="s">
        <v>851</v>
      </c>
      <c r="B3807" t="s">
        <v>687</v>
      </c>
      <c r="C3807" t="s">
        <v>687</v>
      </c>
      <c r="D3807" t="s">
        <v>3185</v>
      </c>
      <c r="E3807" t="s">
        <v>242</v>
      </c>
      <c r="F3807" t="s">
        <v>663</v>
      </c>
      <c r="G3807">
        <v>2030</v>
      </c>
      <c r="H3807" s="12">
        <v>136.82</v>
      </c>
      <c r="I3807" t="s">
        <v>3183</v>
      </c>
      <c r="J3807" t="s">
        <v>394</v>
      </c>
      <c r="K3807" t="s">
        <v>147</v>
      </c>
      <c r="L3807" t="s">
        <v>654</v>
      </c>
      <c r="M3807" t="s">
        <v>16</v>
      </c>
    </row>
    <row r="3808" spans="1:13">
      <c r="A3808" t="s">
        <v>851</v>
      </c>
      <c r="B3808" t="s">
        <v>687</v>
      </c>
      <c r="C3808" t="s">
        <v>687</v>
      </c>
      <c r="D3808" t="s">
        <v>3185</v>
      </c>
      <c r="E3808" t="s">
        <v>242</v>
      </c>
      <c r="F3808" t="s">
        <v>663</v>
      </c>
      <c r="G3808">
        <v>2035</v>
      </c>
      <c r="H3808" s="12">
        <v>113.86</v>
      </c>
      <c r="I3808" t="s">
        <v>3183</v>
      </c>
      <c r="J3808" t="s">
        <v>394</v>
      </c>
      <c r="K3808" t="s">
        <v>147</v>
      </c>
      <c r="L3808" t="s">
        <v>654</v>
      </c>
      <c r="M3808" t="s">
        <v>16</v>
      </c>
    </row>
    <row r="3809" spans="1:13">
      <c r="A3809" t="s">
        <v>851</v>
      </c>
      <c r="B3809" t="s">
        <v>687</v>
      </c>
      <c r="C3809" t="s">
        <v>687</v>
      </c>
      <c r="D3809" t="s">
        <v>3185</v>
      </c>
      <c r="E3809" t="s">
        <v>242</v>
      </c>
      <c r="F3809" t="s">
        <v>663</v>
      </c>
      <c r="G3809">
        <v>2040</v>
      </c>
      <c r="H3809" s="12">
        <v>102.26</v>
      </c>
      <c r="I3809" t="s">
        <v>3183</v>
      </c>
      <c r="J3809" t="s">
        <v>394</v>
      </c>
      <c r="K3809" t="s">
        <v>147</v>
      </c>
      <c r="L3809" t="s">
        <v>654</v>
      </c>
      <c r="M3809" t="s">
        <v>16</v>
      </c>
    </row>
    <row r="3810" spans="1:13">
      <c r="A3810" t="s">
        <v>851</v>
      </c>
      <c r="B3810" t="s">
        <v>687</v>
      </c>
      <c r="C3810" t="s">
        <v>687</v>
      </c>
      <c r="D3810" t="s">
        <v>3185</v>
      </c>
      <c r="E3810" t="s">
        <v>242</v>
      </c>
      <c r="F3810" t="s">
        <v>663</v>
      </c>
      <c r="G3810">
        <v>2045</v>
      </c>
      <c r="H3810" s="12">
        <v>83.03</v>
      </c>
      <c r="I3810" t="s">
        <v>3183</v>
      </c>
      <c r="J3810" t="s">
        <v>394</v>
      </c>
      <c r="K3810" t="s">
        <v>147</v>
      </c>
      <c r="L3810" t="s">
        <v>654</v>
      </c>
      <c r="M3810" t="s">
        <v>16</v>
      </c>
    </row>
    <row r="3811" spans="1:13">
      <c r="A3811" t="s">
        <v>851</v>
      </c>
      <c r="B3811" t="s">
        <v>687</v>
      </c>
      <c r="C3811" t="s">
        <v>687</v>
      </c>
      <c r="D3811" t="s">
        <v>3185</v>
      </c>
      <c r="E3811" t="s">
        <v>242</v>
      </c>
      <c r="F3811" t="s">
        <v>663</v>
      </c>
      <c r="G3811">
        <v>2050</v>
      </c>
      <c r="H3811" s="12">
        <v>71.64</v>
      </c>
      <c r="I3811" t="s">
        <v>3183</v>
      </c>
      <c r="J3811" t="s">
        <v>394</v>
      </c>
      <c r="K3811" t="s">
        <v>147</v>
      </c>
      <c r="L3811" t="s">
        <v>654</v>
      </c>
      <c r="M3811" t="s">
        <v>16</v>
      </c>
    </row>
    <row r="3812" spans="1:13">
      <c r="A3812" t="s">
        <v>851</v>
      </c>
      <c r="B3812" t="s">
        <v>686</v>
      </c>
      <c r="C3812" t="s">
        <v>686</v>
      </c>
      <c r="D3812" t="s">
        <v>3185</v>
      </c>
      <c r="E3812" t="s">
        <v>242</v>
      </c>
      <c r="F3812" t="s">
        <v>663</v>
      </c>
      <c r="G3812">
        <v>2010</v>
      </c>
      <c r="H3812" s="12">
        <v>303.13</v>
      </c>
      <c r="I3812" t="s">
        <v>3183</v>
      </c>
      <c r="J3812" t="s">
        <v>6</v>
      </c>
      <c r="K3812" t="s">
        <v>147</v>
      </c>
      <c r="L3812" t="s">
        <v>654</v>
      </c>
      <c r="M3812" t="s">
        <v>659</v>
      </c>
    </row>
    <row r="3813" spans="1:13">
      <c r="A3813" t="s">
        <v>851</v>
      </c>
      <c r="B3813" t="s">
        <v>686</v>
      </c>
      <c r="C3813" t="s">
        <v>686</v>
      </c>
      <c r="D3813" t="s">
        <v>3185</v>
      </c>
      <c r="E3813" t="s">
        <v>242</v>
      </c>
      <c r="F3813" t="s">
        <v>663</v>
      </c>
      <c r="G3813">
        <v>2015</v>
      </c>
      <c r="H3813" s="12">
        <v>365.82</v>
      </c>
      <c r="I3813" t="s">
        <v>3183</v>
      </c>
      <c r="J3813" t="s">
        <v>6</v>
      </c>
      <c r="K3813" t="s">
        <v>147</v>
      </c>
      <c r="L3813" t="s">
        <v>654</v>
      </c>
      <c r="M3813" t="s">
        <v>659</v>
      </c>
    </row>
    <row r="3814" spans="1:13">
      <c r="A3814" t="s">
        <v>851</v>
      </c>
      <c r="B3814" t="s">
        <v>686</v>
      </c>
      <c r="C3814" t="s">
        <v>686</v>
      </c>
      <c r="D3814" t="s">
        <v>3185</v>
      </c>
      <c r="E3814" t="s">
        <v>242</v>
      </c>
      <c r="F3814" t="s">
        <v>663</v>
      </c>
      <c r="G3814">
        <v>2020</v>
      </c>
      <c r="H3814" s="12">
        <v>451.41</v>
      </c>
      <c r="I3814" t="s">
        <v>3183</v>
      </c>
      <c r="J3814" t="s">
        <v>6</v>
      </c>
      <c r="K3814" t="s">
        <v>147</v>
      </c>
      <c r="L3814" t="s">
        <v>654</v>
      </c>
      <c r="M3814" t="s">
        <v>659</v>
      </c>
    </row>
    <row r="3815" spans="1:13">
      <c r="A3815" t="s">
        <v>851</v>
      </c>
      <c r="B3815" t="s">
        <v>686</v>
      </c>
      <c r="C3815" t="s">
        <v>686</v>
      </c>
      <c r="D3815" t="s">
        <v>3185</v>
      </c>
      <c r="E3815" t="s">
        <v>242</v>
      </c>
      <c r="F3815" t="s">
        <v>663</v>
      </c>
      <c r="G3815">
        <v>2030</v>
      </c>
      <c r="H3815" s="12">
        <v>525.75</v>
      </c>
      <c r="I3815" t="s">
        <v>3183</v>
      </c>
      <c r="J3815" t="s">
        <v>6</v>
      </c>
      <c r="K3815" t="s">
        <v>147</v>
      </c>
      <c r="L3815" t="s">
        <v>654</v>
      </c>
      <c r="M3815" t="s">
        <v>659</v>
      </c>
    </row>
    <row r="3816" spans="1:13">
      <c r="A3816" t="s">
        <v>851</v>
      </c>
      <c r="B3816" t="s">
        <v>686</v>
      </c>
      <c r="C3816" t="s">
        <v>686</v>
      </c>
      <c r="D3816" t="s">
        <v>3185</v>
      </c>
      <c r="E3816" t="s">
        <v>242</v>
      </c>
      <c r="F3816" t="s">
        <v>663</v>
      </c>
      <c r="G3816">
        <v>2035</v>
      </c>
      <c r="H3816" s="12">
        <v>553.19000000000005</v>
      </c>
      <c r="I3816" t="s">
        <v>3183</v>
      </c>
      <c r="J3816" t="s">
        <v>6</v>
      </c>
      <c r="K3816" t="s">
        <v>147</v>
      </c>
      <c r="L3816" t="s">
        <v>654</v>
      </c>
      <c r="M3816" t="s">
        <v>659</v>
      </c>
    </row>
    <row r="3817" spans="1:13">
      <c r="A3817" t="s">
        <v>851</v>
      </c>
      <c r="B3817" t="s">
        <v>686</v>
      </c>
      <c r="C3817" t="s">
        <v>686</v>
      </c>
      <c r="D3817" t="s">
        <v>3185</v>
      </c>
      <c r="E3817" t="s">
        <v>242</v>
      </c>
      <c r="F3817" t="s">
        <v>663</v>
      </c>
      <c r="G3817">
        <v>2040</v>
      </c>
      <c r="H3817" s="12">
        <v>567.08000000000004</v>
      </c>
      <c r="I3817" t="s">
        <v>3183</v>
      </c>
      <c r="J3817" t="s">
        <v>6</v>
      </c>
      <c r="K3817" t="s">
        <v>147</v>
      </c>
      <c r="L3817" t="s">
        <v>654</v>
      </c>
      <c r="M3817" t="s">
        <v>659</v>
      </c>
    </row>
    <row r="3818" spans="1:13">
      <c r="A3818" t="s">
        <v>851</v>
      </c>
      <c r="B3818" t="s">
        <v>686</v>
      </c>
      <c r="C3818" t="s">
        <v>686</v>
      </c>
      <c r="D3818" t="s">
        <v>3185</v>
      </c>
      <c r="E3818" t="s">
        <v>242</v>
      </c>
      <c r="F3818" t="s">
        <v>663</v>
      </c>
      <c r="G3818">
        <v>2045</v>
      </c>
      <c r="H3818" s="12">
        <v>592.26</v>
      </c>
      <c r="I3818" t="s">
        <v>3183</v>
      </c>
      <c r="J3818" t="s">
        <v>6</v>
      </c>
      <c r="K3818" t="s">
        <v>147</v>
      </c>
      <c r="L3818" t="s">
        <v>654</v>
      </c>
      <c r="M3818" t="s">
        <v>659</v>
      </c>
    </row>
    <row r="3819" spans="1:13">
      <c r="A3819" t="s">
        <v>851</v>
      </c>
      <c r="B3819" t="s">
        <v>686</v>
      </c>
      <c r="C3819" t="s">
        <v>686</v>
      </c>
      <c r="D3819" t="s">
        <v>3185</v>
      </c>
      <c r="E3819" t="s">
        <v>242</v>
      </c>
      <c r="F3819" t="s">
        <v>663</v>
      </c>
      <c r="G3819">
        <v>2050</v>
      </c>
      <c r="H3819" s="12">
        <v>612.04</v>
      </c>
      <c r="I3819" t="s">
        <v>3183</v>
      </c>
      <c r="J3819" t="s">
        <v>6</v>
      </c>
      <c r="K3819" t="s">
        <v>147</v>
      </c>
      <c r="L3819" t="s">
        <v>654</v>
      </c>
      <c r="M3819" t="s">
        <v>659</v>
      </c>
    </row>
    <row r="3820" spans="1:13">
      <c r="A3820" t="s">
        <v>851</v>
      </c>
      <c r="B3820" t="s">
        <v>687</v>
      </c>
      <c r="C3820" t="s">
        <v>687</v>
      </c>
      <c r="D3820" t="s">
        <v>3185</v>
      </c>
      <c r="E3820" t="s">
        <v>242</v>
      </c>
      <c r="F3820" t="s">
        <v>663</v>
      </c>
      <c r="G3820">
        <v>2030</v>
      </c>
      <c r="H3820" s="12">
        <v>495.09</v>
      </c>
      <c r="I3820" t="s">
        <v>3183</v>
      </c>
      <c r="J3820" t="s">
        <v>6</v>
      </c>
      <c r="K3820" t="s">
        <v>147</v>
      </c>
      <c r="L3820" t="s">
        <v>654</v>
      </c>
      <c r="M3820" t="s">
        <v>659</v>
      </c>
    </row>
    <row r="3821" spans="1:13">
      <c r="A3821" t="s">
        <v>851</v>
      </c>
      <c r="B3821" t="s">
        <v>687</v>
      </c>
      <c r="C3821" t="s">
        <v>687</v>
      </c>
      <c r="D3821" t="s">
        <v>3185</v>
      </c>
      <c r="E3821" t="s">
        <v>242</v>
      </c>
      <c r="F3821" t="s">
        <v>663</v>
      </c>
      <c r="G3821">
        <v>2035</v>
      </c>
      <c r="H3821" s="12">
        <v>491.56</v>
      </c>
      <c r="I3821" t="s">
        <v>3183</v>
      </c>
      <c r="J3821" t="s">
        <v>6</v>
      </c>
      <c r="K3821" t="s">
        <v>147</v>
      </c>
      <c r="L3821" t="s">
        <v>654</v>
      </c>
      <c r="M3821" t="s">
        <v>659</v>
      </c>
    </row>
    <row r="3822" spans="1:13">
      <c r="A3822" t="s">
        <v>851</v>
      </c>
      <c r="B3822" t="s">
        <v>687</v>
      </c>
      <c r="C3822" t="s">
        <v>687</v>
      </c>
      <c r="D3822" t="s">
        <v>3185</v>
      </c>
      <c r="E3822" t="s">
        <v>242</v>
      </c>
      <c r="F3822" t="s">
        <v>663</v>
      </c>
      <c r="G3822">
        <v>2040</v>
      </c>
      <c r="H3822" s="12">
        <v>456.84</v>
      </c>
      <c r="I3822" t="s">
        <v>3183</v>
      </c>
      <c r="J3822" t="s">
        <v>6</v>
      </c>
      <c r="K3822" t="s">
        <v>147</v>
      </c>
      <c r="L3822" t="s">
        <v>654</v>
      </c>
      <c r="M3822" t="s">
        <v>659</v>
      </c>
    </row>
    <row r="3823" spans="1:13">
      <c r="A3823" t="s">
        <v>851</v>
      </c>
      <c r="B3823" t="s">
        <v>687</v>
      </c>
      <c r="C3823" t="s">
        <v>687</v>
      </c>
      <c r="D3823" t="s">
        <v>3185</v>
      </c>
      <c r="E3823" t="s">
        <v>242</v>
      </c>
      <c r="F3823" t="s">
        <v>663</v>
      </c>
      <c r="G3823">
        <v>2045</v>
      </c>
      <c r="H3823" s="12">
        <v>401.58</v>
      </c>
      <c r="I3823" t="s">
        <v>3183</v>
      </c>
      <c r="J3823" t="s">
        <v>6</v>
      </c>
      <c r="K3823" t="s">
        <v>147</v>
      </c>
      <c r="L3823" t="s">
        <v>654</v>
      </c>
      <c r="M3823" t="s">
        <v>659</v>
      </c>
    </row>
    <row r="3824" spans="1:13">
      <c r="A3824" t="s">
        <v>851</v>
      </c>
      <c r="B3824" t="s">
        <v>687</v>
      </c>
      <c r="C3824" t="s">
        <v>687</v>
      </c>
      <c r="D3824" t="s">
        <v>3185</v>
      </c>
      <c r="E3824" t="s">
        <v>242</v>
      </c>
      <c r="F3824" t="s">
        <v>663</v>
      </c>
      <c r="G3824">
        <v>2050</v>
      </c>
      <c r="H3824" s="12">
        <v>363.61</v>
      </c>
      <c r="I3824" t="s">
        <v>3183</v>
      </c>
      <c r="J3824" t="s">
        <v>6</v>
      </c>
      <c r="K3824" t="s">
        <v>147</v>
      </c>
      <c r="L3824" t="s">
        <v>654</v>
      </c>
      <c r="M3824" t="s">
        <v>659</v>
      </c>
    </row>
    <row r="3825" spans="1:13">
      <c r="A3825" t="s">
        <v>851</v>
      </c>
      <c r="B3825" t="s">
        <v>686</v>
      </c>
      <c r="C3825" t="s">
        <v>686</v>
      </c>
      <c r="D3825" t="s">
        <v>3185</v>
      </c>
      <c r="E3825" t="s">
        <v>656</v>
      </c>
      <c r="F3825" t="s">
        <v>31</v>
      </c>
      <c r="G3825">
        <v>2010</v>
      </c>
      <c r="H3825" s="12">
        <v>0.31</v>
      </c>
      <c r="I3825" t="s">
        <v>3183</v>
      </c>
      <c r="J3825" t="s">
        <v>5</v>
      </c>
      <c r="K3825" t="s">
        <v>147</v>
      </c>
      <c r="L3825" t="s">
        <v>654</v>
      </c>
      <c r="M3825" t="s">
        <v>665</v>
      </c>
    </row>
    <row r="3826" spans="1:13">
      <c r="A3826" t="s">
        <v>851</v>
      </c>
      <c r="B3826" t="s">
        <v>686</v>
      </c>
      <c r="C3826" t="s">
        <v>686</v>
      </c>
      <c r="D3826" t="s">
        <v>3185</v>
      </c>
      <c r="E3826" t="s">
        <v>656</v>
      </c>
      <c r="F3826" t="s">
        <v>31</v>
      </c>
      <c r="G3826">
        <v>2015</v>
      </c>
      <c r="H3826" s="12">
        <v>0.31</v>
      </c>
      <c r="I3826" t="s">
        <v>3183</v>
      </c>
      <c r="J3826" t="s">
        <v>5</v>
      </c>
      <c r="K3826" t="s">
        <v>147</v>
      </c>
      <c r="L3826" t="s">
        <v>654</v>
      </c>
      <c r="M3826" t="s">
        <v>665</v>
      </c>
    </row>
    <row r="3827" spans="1:13">
      <c r="A3827" t="s">
        <v>851</v>
      </c>
      <c r="B3827" t="s">
        <v>686</v>
      </c>
      <c r="C3827" t="s">
        <v>686</v>
      </c>
      <c r="D3827" t="s">
        <v>3185</v>
      </c>
      <c r="E3827" t="s">
        <v>656</v>
      </c>
      <c r="F3827" t="s">
        <v>31</v>
      </c>
      <c r="G3827">
        <v>2020</v>
      </c>
      <c r="H3827" s="12">
        <v>0.31</v>
      </c>
      <c r="I3827" t="s">
        <v>3183</v>
      </c>
      <c r="J3827" t="s">
        <v>5</v>
      </c>
      <c r="K3827" t="s">
        <v>147</v>
      </c>
      <c r="L3827" t="s">
        <v>654</v>
      </c>
      <c r="M3827" t="s">
        <v>665</v>
      </c>
    </row>
    <row r="3828" spans="1:13">
      <c r="A3828" t="s">
        <v>851</v>
      </c>
      <c r="B3828" t="s">
        <v>686</v>
      </c>
      <c r="C3828" t="s">
        <v>686</v>
      </c>
      <c r="D3828" t="s">
        <v>3185</v>
      </c>
      <c r="E3828" t="s">
        <v>656</v>
      </c>
      <c r="F3828" t="s">
        <v>31</v>
      </c>
      <c r="G3828">
        <v>2030</v>
      </c>
      <c r="H3828" s="12">
        <v>1.1200000000000001</v>
      </c>
      <c r="I3828" t="s">
        <v>3183</v>
      </c>
      <c r="J3828" t="s">
        <v>5</v>
      </c>
      <c r="K3828" t="s">
        <v>147</v>
      </c>
      <c r="L3828" t="s">
        <v>654</v>
      </c>
      <c r="M3828" t="s">
        <v>665</v>
      </c>
    </row>
    <row r="3829" spans="1:13">
      <c r="A3829" t="s">
        <v>851</v>
      </c>
      <c r="B3829" t="s">
        <v>686</v>
      </c>
      <c r="C3829" t="s">
        <v>686</v>
      </c>
      <c r="D3829" t="s">
        <v>3185</v>
      </c>
      <c r="E3829" t="s">
        <v>656</v>
      </c>
      <c r="F3829" t="s">
        <v>31</v>
      </c>
      <c r="G3829">
        <v>2035</v>
      </c>
      <c r="H3829" s="12">
        <v>1.83</v>
      </c>
      <c r="I3829" t="s">
        <v>3183</v>
      </c>
      <c r="J3829" t="s">
        <v>5</v>
      </c>
      <c r="K3829" t="s">
        <v>147</v>
      </c>
      <c r="L3829" t="s">
        <v>654</v>
      </c>
      <c r="M3829" t="s">
        <v>665</v>
      </c>
    </row>
    <row r="3830" spans="1:13">
      <c r="A3830" t="s">
        <v>851</v>
      </c>
      <c r="B3830" t="s">
        <v>686</v>
      </c>
      <c r="C3830" t="s">
        <v>686</v>
      </c>
      <c r="D3830" t="s">
        <v>3185</v>
      </c>
      <c r="E3830" t="s">
        <v>656</v>
      </c>
      <c r="F3830" t="s">
        <v>31</v>
      </c>
      <c r="G3830">
        <v>2040</v>
      </c>
      <c r="H3830" s="12">
        <v>2.65</v>
      </c>
      <c r="I3830" t="s">
        <v>3183</v>
      </c>
      <c r="J3830" t="s">
        <v>5</v>
      </c>
      <c r="K3830" t="s">
        <v>147</v>
      </c>
      <c r="L3830" t="s">
        <v>654</v>
      </c>
      <c r="M3830" t="s">
        <v>665</v>
      </c>
    </row>
    <row r="3831" spans="1:13">
      <c r="A3831" t="s">
        <v>851</v>
      </c>
      <c r="B3831" t="s">
        <v>686</v>
      </c>
      <c r="C3831" t="s">
        <v>686</v>
      </c>
      <c r="D3831" t="s">
        <v>3185</v>
      </c>
      <c r="E3831" t="s">
        <v>656</v>
      </c>
      <c r="F3831" t="s">
        <v>31</v>
      </c>
      <c r="G3831">
        <v>2045</v>
      </c>
      <c r="H3831" s="12">
        <v>3.57</v>
      </c>
      <c r="I3831" t="s">
        <v>3183</v>
      </c>
      <c r="J3831" t="s">
        <v>5</v>
      </c>
      <c r="K3831" t="s">
        <v>147</v>
      </c>
      <c r="L3831" t="s">
        <v>654</v>
      </c>
      <c r="M3831" t="s">
        <v>665</v>
      </c>
    </row>
    <row r="3832" spans="1:13">
      <c r="A3832" t="s">
        <v>851</v>
      </c>
      <c r="B3832" t="s">
        <v>686</v>
      </c>
      <c r="C3832" t="s">
        <v>686</v>
      </c>
      <c r="D3832" t="s">
        <v>3185</v>
      </c>
      <c r="E3832" t="s">
        <v>656</v>
      </c>
      <c r="F3832" t="s">
        <v>31</v>
      </c>
      <c r="G3832">
        <v>2050</v>
      </c>
      <c r="H3832" s="12">
        <v>4.57</v>
      </c>
      <c r="I3832" t="s">
        <v>3183</v>
      </c>
      <c r="J3832" t="s">
        <v>5</v>
      </c>
      <c r="K3832" t="s">
        <v>147</v>
      </c>
      <c r="L3832" t="s">
        <v>654</v>
      </c>
      <c r="M3832" t="s">
        <v>665</v>
      </c>
    </row>
    <row r="3833" spans="1:13">
      <c r="A3833" t="s">
        <v>851</v>
      </c>
      <c r="B3833" t="s">
        <v>687</v>
      </c>
      <c r="C3833" t="s">
        <v>687</v>
      </c>
      <c r="D3833" t="s">
        <v>3185</v>
      </c>
      <c r="E3833" t="s">
        <v>656</v>
      </c>
      <c r="F3833" t="s">
        <v>31</v>
      </c>
      <c r="G3833">
        <v>2030</v>
      </c>
      <c r="H3833" s="12">
        <v>1.04</v>
      </c>
      <c r="I3833" t="s">
        <v>3183</v>
      </c>
      <c r="J3833" t="s">
        <v>5</v>
      </c>
      <c r="K3833" t="s">
        <v>147</v>
      </c>
      <c r="L3833" t="s">
        <v>654</v>
      </c>
      <c r="M3833" t="s">
        <v>665</v>
      </c>
    </row>
    <row r="3834" spans="1:13">
      <c r="A3834" t="s">
        <v>851</v>
      </c>
      <c r="B3834" t="s">
        <v>687</v>
      </c>
      <c r="C3834" t="s">
        <v>687</v>
      </c>
      <c r="D3834" t="s">
        <v>3185</v>
      </c>
      <c r="E3834" t="s">
        <v>656</v>
      </c>
      <c r="F3834" t="s">
        <v>31</v>
      </c>
      <c r="G3834">
        <v>2035</v>
      </c>
      <c r="H3834" s="12">
        <v>1.86</v>
      </c>
      <c r="I3834" t="s">
        <v>3183</v>
      </c>
      <c r="J3834" t="s">
        <v>5</v>
      </c>
      <c r="K3834" t="s">
        <v>147</v>
      </c>
      <c r="L3834" t="s">
        <v>654</v>
      </c>
      <c r="M3834" t="s">
        <v>665</v>
      </c>
    </row>
    <row r="3835" spans="1:13">
      <c r="A3835" t="s">
        <v>851</v>
      </c>
      <c r="B3835" t="s">
        <v>687</v>
      </c>
      <c r="C3835" t="s">
        <v>687</v>
      </c>
      <c r="D3835" t="s">
        <v>3185</v>
      </c>
      <c r="E3835" t="s">
        <v>656</v>
      </c>
      <c r="F3835" t="s">
        <v>31</v>
      </c>
      <c r="G3835">
        <v>2040</v>
      </c>
      <c r="H3835" s="12">
        <v>2.65</v>
      </c>
      <c r="I3835" t="s">
        <v>3183</v>
      </c>
      <c r="J3835" t="s">
        <v>5</v>
      </c>
      <c r="K3835" t="s">
        <v>147</v>
      </c>
      <c r="L3835" t="s">
        <v>654</v>
      </c>
      <c r="M3835" t="s">
        <v>665</v>
      </c>
    </row>
    <row r="3836" spans="1:13">
      <c r="A3836" t="s">
        <v>851</v>
      </c>
      <c r="B3836" t="s">
        <v>687</v>
      </c>
      <c r="C3836" t="s">
        <v>687</v>
      </c>
      <c r="D3836" t="s">
        <v>3185</v>
      </c>
      <c r="E3836" t="s">
        <v>656</v>
      </c>
      <c r="F3836" t="s">
        <v>31</v>
      </c>
      <c r="G3836">
        <v>2045</v>
      </c>
      <c r="H3836" s="12">
        <v>3.47</v>
      </c>
      <c r="I3836" t="s">
        <v>3183</v>
      </c>
      <c r="J3836" t="s">
        <v>5</v>
      </c>
      <c r="K3836" t="s">
        <v>147</v>
      </c>
      <c r="L3836" t="s">
        <v>654</v>
      </c>
      <c r="M3836" t="s">
        <v>665</v>
      </c>
    </row>
    <row r="3837" spans="1:13">
      <c r="A3837" t="s">
        <v>851</v>
      </c>
      <c r="B3837" t="s">
        <v>687</v>
      </c>
      <c r="C3837" t="s">
        <v>687</v>
      </c>
      <c r="D3837" t="s">
        <v>3185</v>
      </c>
      <c r="E3837" t="s">
        <v>656</v>
      </c>
      <c r="F3837" t="s">
        <v>31</v>
      </c>
      <c r="G3837">
        <v>2050</v>
      </c>
      <c r="H3837" s="12">
        <v>4.21</v>
      </c>
      <c r="I3837" t="s">
        <v>3183</v>
      </c>
      <c r="J3837" t="s">
        <v>5</v>
      </c>
      <c r="K3837" t="s">
        <v>147</v>
      </c>
      <c r="L3837" t="s">
        <v>654</v>
      </c>
      <c r="M3837" t="s">
        <v>665</v>
      </c>
    </row>
    <row r="3838" spans="1:13">
      <c r="A3838" t="s">
        <v>851</v>
      </c>
      <c r="B3838" t="s">
        <v>686</v>
      </c>
      <c r="C3838" t="s">
        <v>686</v>
      </c>
      <c r="D3838" t="s">
        <v>3185</v>
      </c>
      <c r="E3838" t="s">
        <v>656</v>
      </c>
      <c r="F3838" t="s">
        <v>31</v>
      </c>
      <c r="G3838">
        <v>2010</v>
      </c>
      <c r="H3838" s="12">
        <v>143.36000000000001</v>
      </c>
      <c r="I3838" t="s">
        <v>3183</v>
      </c>
      <c r="J3838" t="s">
        <v>6</v>
      </c>
      <c r="K3838" t="s">
        <v>147</v>
      </c>
      <c r="L3838" t="s">
        <v>654</v>
      </c>
      <c r="M3838" t="s">
        <v>666</v>
      </c>
    </row>
    <row r="3839" spans="1:13">
      <c r="A3839" t="s">
        <v>851</v>
      </c>
      <c r="B3839" t="s">
        <v>686</v>
      </c>
      <c r="C3839" t="s">
        <v>686</v>
      </c>
      <c r="D3839" t="s">
        <v>3185</v>
      </c>
      <c r="E3839" t="s">
        <v>656</v>
      </c>
      <c r="F3839" t="s">
        <v>31</v>
      </c>
      <c r="G3839">
        <v>2015</v>
      </c>
      <c r="H3839" s="12">
        <v>192.45</v>
      </c>
      <c r="I3839" t="s">
        <v>3183</v>
      </c>
      <c r="J3839" t="s">
        <v>6</v>
      </c>
      <c r="K3839" t="s">
        <v>147</v>
      </c>
      <c r="L3839" t="s">
        <v>654</v>
      </c>
      <c r="M3839" t="s">
        <v>666</v>
      </c>
    </row>
    <row r="3840" spans="1:13">
      <c r="A3840" t="s">
        <v>851</v>
      </c>
      <c r="B3840" t="s">
        <v>686</v>
      </c>
      <c r="C3840" t="s">
        <v>686</v>
      </c>
      <c r="D3840" t="s">
        <v>3185</v>
      </c>
      <c r="E3840" t="s">
        <v>656</v>
      </c>
      <c r="F3840" t="s">
        <v>31</v>
      </c>
      <c r="G3840">
        <v>2020</v>
      </c>
      <c r="H3840" s="12">
        <v>233.72</v>
      </c>
      <c r="I3840" t="s">
        <v>3183</v>
      </c>
      <c r="J3840" t="s">
        <v>6</v>
      </c>
      <c r="K3840" t="s">
        <v>147</v>
      </c>
      <c r="L3840" t="s">
        <v>654</v>
      </c>
      <c r="M3840" t="s">
        <v>666</v>
      </c>
    </row>
    <row r="3841" spans="1:13">
      <c r="A3841" t="s">
        <v>851</v>
      </c>
      <c r="B3841" t="s">
        <v>686</v>
      </c>
      <c r="C3841" t="s">
        <v>686</v>
      </c>
      <c r="D3841" t="s">
        <v>3185</v>
      </c>
      <c r="E3841" t="s">
        <v>656</v>
      </c>
      <c r="F3841" t="s">
        <v>31</v>
      </c>
      <c r="G3841">
        <v>2030</v>
      </c>
      <c r="H3841" s="12">
        <v>324.68</v>
      </c>
      <c r="I3841" t="s">
        <v>3183</v>
      </c>
      <c r="J3841" t="s">
        <v>6</v>
      </c>
      <c r="K3841" t="s">
        <v>147</v>
      </c>
      <c r="L3841" t="s">
        <v>654</v>
      </c>
      <c r="M3841" t="s">
        <v>666</v>
      </c>
    </row>
    <row r="3842" spans="1:13">
      <c r="A3842" t="s">
        <v>851</v>
      </c>
      <c r="B3842" t="s">
        <v>686</v>
      </c>
      <c r="C3842" t="s">
        <v>686</v>
      </c>
      <c r="D3842" t="s">
        <v>3185</v>
      </c>
      <c r="E3842" t="s">
        <v>656</v>
      </c>
      <c r="F3842" t="s">
        <v>31</v>
      </c>
      <c r="G3842">
        <v>2035</v>
      </c>
      <c r="H3842" s="12">
        <v>358.24</v>
      </c>
      <c r="I3842" t="s">
        <v>3183</v>
      </c>
      <c r="J3842" t="s">
        <v>6</v>
      </c>
      <c r="K3842" t="s">
        <v>147</v>
      </c>
      <c r="L3842" t="s">
        <v>654</v>
      </c>
      <c r="M3842" t="s">
        <v>666</v>
      </c>
    </row>
    <row r="3843" spans="1:13">
      <c r="A3843" t="s">
        <v>851</v>
      </c>
      <c r="B3843" t="s">
        <v>686</v>
      </c>
      <c r="C3843" t="s">
        <v>686</v>
      </c>
      <c r="D3843" t="s">
        <v>3185</v>
      </c>
      <c r="E3843" t="s">
        <v>656</v>
      </c>
      <c r="F3843" t="s">
        <v>31</v>
      </c>
      <c r="G3843">
        <v>2040</v>
      </c>
      <c r="H3843" s="12">
        <v>385.97</v>
      </c>
      <c r="I3843" t="s">
        <v>3183</v>
      </c>
      <c r="J3843" t="s">
        <v>6</v>
      </c>
      <c r="K3843" t="s">
        <v>147</v>
      </c>
      <c r="L3843" t="s">
        <v>654</v>
      </c>
      <c r="M3843" t="s">
        <v>666</v>
      </c>
    </row>
    <row r="3844" spans="1:13">
      <c r="A3844" t="s">
        <v>851</v>
      </c>
      <c r="B3844" t="s">
        <v>686</v>
      </c>
      <c r="C3844" t="s">
        <v>686</v>
      </c>
      <c r="D3844" t="s">
        <v>3185</v>
      </c>
      <c r="E3844" t="s">
        <v>656</v>
      </c>
      <c r="F3844" t="s">
        <v>31</v>
      </c>
      <c r="G3844">
        <v>2045</v>
      </c>
      <c r="H3844" s="12">
        <v>407.7</v>
      </c>
      <c r="I3844" t="s">
        <v>3183</v>
      </c>
      <c r="J3844" t="s">
        <v>6</v>
      </c>
      <c r="K3844" t="s">
        <v>147</v>
      </c>
      <c r="L3844" t="s">
        <v>654</v>
      </c>
      <c r="M3844" t="s">
        <v>666</v>
      </c>
    </row>
    <row r="3845" spans="1:13">
      <c r="A3845" t="s">
        <v>851</v>
      </c>
      <c r="B3845" t="s">
        <v>686</v>
      </c>
      <c r="C3845" t="s">
        <v>686</v>
      </c>
      <c r="D3845" t="s">
        <v>3185</v>
      </c>
      <c r="E3845" t="s">
        <v>656</v>
      </c>
      <c r="F3845" t="s">
        <v>31</v>
      </c>
      <c r="G3845">
        <v>2050</v>
      </c>
      <c r="H3845" s="12">
        <v>421.82</v>
      </c>
      <c r="I3845" t="s">
        <v>3183</v>
      </c>
      <c r="J3845" t="s">
        <v>6</v>
      </c>
      <c r="K3845" t="s">
        <v>147</v>
      </c>
      <c r="L3845" t="s">
        <v>654</v>
      </c>
      <c r="M3845" t="s">
        <v>666</v>
      </c>
    </row>
    <row r="3846" spans="1:13">
      <c r="A3846" t="s">
        <v>851</v>
      </c>
      <c r="B3846" t="s">
        <v>687</v>
      </c>
      <c r="C3846" t="s">
        <v>687</v>
      </c>
      <c r="D3846" t="s">
        <v>3185</v>
      </c>
      <c r="E3846" t="s">
        <v>656</v>
      </c>
      <c r="F3846" t="s">
        <v>31</v>
      </c>
      <c r="G3846">
        <v>2030</v>
      </c>
      <c r="H3846" s="12">
        <v>309.58</v>
      </c>
      <c r="I3846" t="s">
        <v>3183</v>
      </c>
      <c r="J3846" t="s">
        <v>6</v>
      </c>
      <c r="K3846" t="s">
        <v>147</v>
      </c>
      <c r="L3846" t="s">
        <v>654</v>
      </c>
      <c r="M3846" t="s">
        <v>666</v>
      </c>
    </row>
    <row r="3847" spans="1:13">
      <c r="A3847" t="s">
        <v>851</v>
      </c>
      <c r="B3847" t="s">
        <v>687</v>
      </c>
      <c r="C3847" t="s">
        <v>687</v>
      </c>
      <c r="D3847" t="s">
        <v>3185</v>
      </c>
      <c r="E3847" t="s">
        <v>656</v>
      </c>
      <c r="F3847" t="s">
        <v>31</v>
      </c>
      <c r="G3847">
        <v>2035</v>
      </c>
      <c r="H3847" s="12">
        <v>342.44</v>
      </c>
      <c r="I3847" t="s">
        <v>3183</v>
      </c>
      <c r="J3847" t="s">
        <v>6</v>
      </c>
      <c r="K3847" t="s">
        <v>147</v>
      </c>
      <c r="L3847" t="s">
        <v>654</v>
      </c>
      <c r="M3847" t="s">
        <v>666</v>
      </c>
    </row>
    <row r="3848" spans="1:13">
      <c r="A3848" t="s">
        <v>851</v>
      </c>
      <c r="B3848" t="s">
        <v>687</v>
      </c>
      <c r="C3848" t="s">
        <v>687</v>
      </c>
      <c r="D3848" t="s">
        <v>3185</v>
      </c>
      <c r="E3848" t="s">
        <v>656</v>
      </c>
      <c r="F3848" t="s">
        <v>31</v>
      </c>
      <c r="G3848">
        <v>2040</v>
      </c>
      <c r="H3848" s="12">
        <v>363.95</v>
      </c>
      <c r="I3848" t="s">
        <v>3183</v>
      </c>
      <c r="J3848" t="s">
        <v>6</v>
      </c>
      <c r="K3848" t="s">
        <v>147</v>
      </c>
      <c r="L3848" t="s">
        <v>654</v>
      </c>
      <c r="M3848" t="s">
        <v>666</v>
      </c>
    </row>
    <row r="3849" spans="1:13">
      <c r="A3849" t="s">
        <v>851</v>
      </c>
      <c r="B3849" t="s">
        <v>687</v>
      </c>
      <c r="C3849" t="s">
        <v>687</v>
      </c>
      <c r="D3849" t="s">
        <v>3185</v>
      </c>
      <c r="E3849" t="s">
        <v>656</v>
      </c>
      <c r="F3849" t="s">
        <v>31</v>
      </c>
      <c r="G3849">
        <v>2045</v>
      </c>
      <c r="H3849" s="12">
        <v>376.31</v>
      </c>
      <c r="I3849" t="s">
        <v>3183</v>
      </c>
      <c r="J3849" t="s">
        <v>6</v>
      </c>
      <c r="K3849" t="s">
        <v>147</v>
      </c>
      <c r="L3849" t="s">
        <v>654</v>
      </c>
      <c r="M3849" t="s">
        <v>666</v>
      </c>
    </row>
    <row r="3850" spans="1:13">
      <c r="A3850" t="s">
        <v>851</v>
      </c>
      <c r="B3850" t="s">
        <v>687</v>
      </c>
      <c r="C3850" t="s">
        <v>687</v>
      </c>
      <c r="D3850" t="s">
        <v>3185</v>
      </c>
      <c r="E3850" t="s">
        <v>656</v>
      </c>
      <c r="F3850" t="s">
        <v>31</v>
      </c>
      <c r="G3850">
        <v>2050</v>
      </c>
      <c r="H3850" s="12">
        <v>382.32</v>
      </c>
      <c r="I3850" t="s">
        <v>3183</v>
      </c>
      <c r="J3850" t="s">
        <v>6</v>
      </c>
      <c r="K3850" t="s">
        <v>147</v>
      </c>
      <c r="L3850" t="s">
        <v>654</v>
      </c>
      <c r="M3850" t="s">
        <v>666</v>
      </c>
    </row>
    <row r="3851" spans="1:13">
      <c r="A3851" t="s">
        <v>851</v>
      </c>
      <c r="B3851" t="s">
        <v>686</v>
      </c>
      <c r="C3851" t="s">
        <v>686</v>
      </c>
      <c r="D3851" t="s">
        <v>3185</v>
      </c>
      <c r="E3851" t="s">
        <v>656</v>
      </c>
      <c r="F3851" t="s">
        <v>31</v>
      </c>
      <c r="G3851">
        <v>2010</v>
      </c>
      <c r="H3851" s="12">
        <v>69.150000000000006</v>
      </c>
      <c r="I3851" t="s">
        <v>3183</v>
      </c>
      <c r="J3851" t="s">
        <v>394</v>
      </c>
      <c r="K3851" t="s">
        <v>147</v>
      </c>
      <c r="L3851" t="s">
        <v>654</v>
      </c>
      <c r="M3851" t="s">
        <v>16</v>
      </c>
    </row>
    <row r="3852" spans="1:13">
      <c r="A3852" t="s">
        <v>851</v>
      </c>
      <c r="B3852" t="s">
        <v>686</v>
      </c>
      <c r="C3852" t="s">
        <v>686</v>
      </c>
      <c r="D3852" t="s">
        <v>3185</v>
      </c>
      <c r="E3852" t="s">
        <v>656</v>
      </c>
      <c r="F3852" t="s">
        <v>31</v>
      </c>
      <c r="G3852">
        <v>2015</v>
      </c>
      <c r="H3852" s="12">
        <v>88.61</v>
      </c>
      <c r="I3852" t="s">
        <v>3183</v>
      </c>
      <c r="J3852" t="s">
        <v>394</v>
      </c>
      <c r="K3852" t="s">
        <v>147</v>
      </c>
      <c r="L3852" t="s">
        <v>654</v>
      </c>
      <c r="M3852" t="s">
        <v>16</v>
      </c>
    </row>
    <row r="3853" spans="1:13">
      <c r="A3853" t="s">
        <v>851</v>
      </c>
      <c r="B3853" t="s">
        <v>686</v>
      </c>
      <c r="C3853" t="s">
        <v>686</v>
      </c>
      <c r="D3853" t="s">
        <v>3185</v>
      </c>
      <c r="E3853" t="s">
        <v>656</v>
      </c>
      <c r="F3853" t="s">
        <v>31</v>
      </c>
      <c r="G3853">
        <v>2020</v>
      </c>
      <c r="H3853" s="12">
        <v>99.41</v>
      </c>
      <c r="I3853" t="s">
        <v>3183</v>
      </c>
      <c r="J3853" t="s">
        <v>394</v>
      </c>
      <c r="K3853" t="s">
        <v>147</v>
      </c>
      <c r="L3853" t="s">
        <v>654</v>
      </c>
      <c r="M3853" t="s">
        <v>16</v>
      </c>
    </row>
    <row r="3854" spans="1:13">
      <c r="A3854" t="s">
        <v>851</v>
      </c>
      <c r="B3854" t="s">
        <v>686</v>
      </c>
      <c r="C3854" t="s">
        <v>686</v>
      </c>
      <c r="D3854" t="s">
        <v>3185</v>
      </c>
      <c r="E3854" t="s">
        <v>656</v>
      </c>
      <c r="F3854" t="s">
        <v>31</v>
      </c>
      <c r="G3854">
        <v>2030</v>
      </c>
      <c r="H3854" s="12">
        <v>80.73</v>
      </c>
      <c r="I3854" t="s">
        <v>3183</v>
      </c>
      <c r="J3854" t="s">
        <v>394</v>
      </c>
      <c r="K3854" t="s">
        <v>147</v>
      </c>
      <c r="L3854" t="s">
        <v>654</v>
      </c>
      <c r="M3854" t="s">
        <v>16</v>
      </c>
    </row>
    <row r="3855" spans="1:13">
      <c r="A3855" t="s">
        <v>851</v>
      </c>
      <c r="B3855" t="s">
        <v>686</v>
      </c>
      <c r="C3855" t="s">
        <v>686</v>
      </c>
      <c r="D3855" t="s">
        <v>3185</v>
      </c>
      <c r="E3855" t="s">
        <v>656</v>
      </c>
      <c r="F3855" t="s">
        <v>31</v>
      </c>
      <c r="G3855">
        <v>2035</v>
      </c>
      <c r="H3855" s="12">
        <v>75.91</v>
      </c>
      <c r="I3855" t="s">
        <v>3183</v>
      </c>
      <c r="J3855" t="s">
        <v>394</v>
      </c>
      <c r="K3855" t="s">
        <v>147</v>
      </c>
      <c r="L3855" t="s">
        <v>654</v>
      </c>
      <c r="M3855" t="s">
        <v>16</v>
      </c>
    </row>
    <row r="3856" spans="1:13">
      <c r="A3856" t="s">
        <v>851</v>
      </c>
      <c r="B3856" t="s">
        <v>686</v>
      </c>
      <c r="C3856" t="s">
        <v>686</v>
      </c>
      <c r="D3856" t="s">
        <v>3185</v>
      </c>
      <c r="E3856" t="s">
        <v>656</v>
      </c>
      <c r="F3856" t="s">
        <v>31</v>
      </c>
      <c r="G3856">
        <v>2015</v>
      </c>
      <c r="H3856" s="12">
        <v>0.01</v>
      </c>
      <c r="I3856" t="s">
        <v>3183</v>
      </c>
      <c r="J3856" t="s">
        <v>484</v>
      </c>
      <c r="K3856" t="s">
        <v>147</v>
      </c>
      <c r="L3856" t="s">
        <v>654</v>
      </c>
      <c r="M3856" t="s">
        <v>667</v>
      </c>
    </row>
    <row r="3857" spans="1:13">
      <c r="A3857" t="s">
        <v>851</v>
      </c>
      <c r="B3857" t="s">
        <v>686</v>
      </c>
      <c r="C3857" t="s">
        <v>686</v>
      </c>
      <c r="D3857" t="s">
        <v>3185</v>
      </c>
      <c r="E3857" t="s">
        <v>656</v>
      </c>
      <c r="F3857" t="s">
        <v>31</v>
      </c>
      <c r="G3857">
        <v>2020</v>
      </c>
      <c r="H3857" s="12">
        <v>0.13</v>
      </c>
      <c r="I3857" t="s">
        <v>3183</v>
      </c>
      <c r="J3857" t="s">
        <v>484</v>
      </c>
      <c r="K3857" t="s">
        <v>147</v>
      </c>
      <c r="L3857" t="s">
        <v>654</v>
      </c>
      <c r="M3857" t="s">
        <v>667</v>
      </c>
    </row>
    <row r="3858" spans="1:13">
      <c r="A3858" t="s">
        <v>851</v>
      </c>
      <c r="B3858" t="s">
        <v>686</v>
      </c>
      <c r="C3858" t="s">
        <v>686</v>
      </c>
      <c r="D3858" t="s">
        <v>3185</v>
      </c>
      <c r="E3858" t="s">
        <v>656</v>
      </c>
      <c r="F3858" t="s">
        <v>31</v>
      </c>
      <c r="G3858">
        <v>2030</v>
      </c>
      <c r="H3858" s="12">
        <v>2.69</v>
      </c>
      <c r="I3858" t="s">
        <v>3183</v>
      </c>
      <c r="J3858" t="s">
        <v>484</v>
      </c>
      <c r="K3858" t="s">
        <v>147</v>
      </c>
      <c r="L3858" t="s">
        <v>654</v>
      </c>
      <c r="M3858" t="s">
        <v>667</v>
      </c>
    </row>
    <row r="3859" spans="1:13">
      <c r="A3859" t="s">
        <v>851</v>
      </c>
      <c r="B3859" t="s">
        <v>686</v>
      </c>
      <c r="C3859" t="s">
        <v>686</v>
      </c>
      <c r="D3859" t="s">
        <v>3185</v>
      </c>
      <c r="E3859" t="s">
        <v>656</v>
      </c>
      <c r="F3859" t="s">
        <v>31</v>
      </c>
      <c r="G3859">
        <v>2035</v>
      </c>
      <c r="H3859" s="12">
        <v>5.55</v>
      </c>
      <c r="I3859" t="s">
        <v>3183</v>
      </c>
      <c r="J3859" t="s">
        <v>484</v>
      </c>
      <c r="K3859" t="s">
        <v>147</v>
      </c>
      <c r="L3859" t="s">
        <v>654</v>
      </c>
      <c r="M3859" t="s">
        <v>667</v>
      </c>
    </row>
    <row r="3860" spans="1:13">
      <c r="A3860" t="s">
        <v>851</v>
      </c>
      <c r="B3860" t="s">
        <v>686</v>
      </c>
      <c r="C3860" t="s">
        <v>686</v>
      </c>
      <c r="D3860" t="s">
        <v>3185</v>
      </c>
      <c r="E3860" t="s">
        <v>656</v>
      </c>
      <c r="F3860" t="s">
        <v>31</v>
      </c>
      <c r="G3860">
        <v>2040</v>
      </c>
      <c r="H3860" s="12">
        <v>9.0399999999999991</v>
      </c>
      <c r="I3860" t="s">
        <v>3183</v>
      </c>
      <c r="J3860" t="s">
        <v>484</v>
      </c>
      <c r="K3860" t="s">
        <v>147</v>
      </c>
      <c r="L3860" t="s">
        <v>654</v>
      </c>
      <c r="M3860" t="s">
        <v>667</v>
      </c>
    </row>
    <row r="3861" spans="1:13">
      <c r="A3861" t="s">
        <v>851</v>
      </c>
      <c r="B3861" t="s">
        <v>686</v>
      </c>
      <c r="C3861" t="s">
        <v>686</v>
      </c>
      <c r="D3861" t="s">
        <v>3185</v>
      </c>
      <c r="E3861" t="s">
        <v>656</v>
      </c>
      <c r="F3861" t="s">
        <v>31</v>
      </c>
      <c r="G3861">
        <v>2045</v>
      </c>
      <c r="H3861" s="12">
        <v>12.91</v>
      </c>
      <c r="I3861" t="s">
        <v>3183</v>
      </c>
      <c r="J3861" t="s">
        <v>484</v>
      </c>
      <c r="K3861" t="s">
        <v>147</v>
      </c>
      <c r="L3861" t="s">
        <v>654</v>
      </c>
      <c r="M3861" t="s">
        <v>667</v>
      </c>
    </row>
    <row r="3862" spans="1:13">
      <c r="A3862" t="s">
        <v>851</v>
      </c>
      <c r="B3862" t="s">
        <v>686</v>
      </c>
      <c r="C3862" t="s">
        <v>686</v>
      </c>
      <c r="D3862" t="s">
        <v>3185</v>
      </c>
      <c r="E3862" t="s">
        <v>656</v>
      </c>
      <c r="F3862" t="s">
        <v>31</v>
      </c>
      <c r="G3862">
        <v>2050</v>
      </c>
      <c r="H3862" s="12">
        <v>17.760000000000002</v>
      </c>
      <c r="I3862" t="s">
        <v>3183</v>
      </c>
      <c r="J3862" t="s">
        <v>484</v>
      </c>
      <c r="K3862" t="s">
        <v>147</v>
      </c>
      <c r="L3862" t="s">
        <v>654</v>
      </c>
      <c r="M3862" t="s">
        <v>667</v>
      </c>
    </row>
    <row r="3863" spans="1:13">
      <c r="A3863" t="s">
        <v>851</v>
      </c>
      <c r="B3863" t="s">
        <v>687</v>
      </c>
      <c r="C3863" t="s">
        <v>687</v>
      </c>
      <c r="D3863" t="s">
        <v>3185</v>
      </c>
      <c r="E3863" t="s">
        <v>656</v>
      </c>
      <c r="F3863" t="s">
        <v>31</v>
      </c>
      <c r="G3863">
        <v>2030</v>
      </c>
      <c r="H3863" s="12">
        <v>2.98</v>
      </c>
      <c r="I3863" t="s">
        <v>3183</v>
      </c>
      <c r="J3863" t="s">
        <v>484</v>
      </c>
      <c r="K3863" t="s">
        <v>147</v>
      </c>
      <c r="L3863" t="s">
        <v>654</v>
      </c>
      <c r="M3863" t="s">
        <v>667</v>
      </c>
    </row>
    <row r="3864" spans="1:13">
      <c r="A3864" t="s">
        <v>851</v>
      </c>
      <c r="B3864" t="s">
        <v>687</v>
      </c>
      <c r="C3864" t="s">
        <v>687</v>
      </c>
      <c r="D3864" t="s">
        <v>3185</v>
      </c>
      <c r="E3864" t="s">
        <v>656</v>
      </c>
      <c r="F3864" t="s">
        <v>31</v>
      </c>
      <c r="G3864">
        <v>2035</v>
      </c>
      <c r="H3864" s="12">
        <v>9.17</v>
      </c>
      <c r="I3864" t="s">
        <v>3183</v>
      </c>
      <c r="J3864" t="s">
        <v>484</v>
      </c>
      <c r="K3864" t="s">
        <v>147</v>
      </c>
      <c r="L3864" t="s">
        <v>654</v>
      </c>
      <c r="M3864" t="s">
        <v>667</v>
      </c>
    </row>
    <row r="3865" spans="1:13">
      <c r="A3865" t="s">
        <v>851</v>
      </c>
      <c r="B3865" t="s">
        <v>687</v>
      </c>
      <c r="C3865" t="s">
        <v>687</v>
      </c>
      <c r="D3865" t="s">
        <v>3185</v>
      </c>
      <c r="E3865" t="s">
        <v>656</v>
      </c>
      <c r="F3865" t="s">
        <v>31</v>
      </c>
      <c r="G3865">
        <v>2040</v>
      </c>
      <c r="H3865" s="12">
        <v>17.18</v>
      </c>
      <c r="I3865" t="s">
        <v>3183</v>
      </c>
      <c r="J3865" t="s">
        <v>484</v>
      </c>
      <c r="K3865" t="s">
        <v>147</v>
      </c>
      <c r="L3865" t="s">
        <v>654</v>
      </c>
      <c r="M3865" t="s">
        <v>667</v>
      </c>
    </row>
    <row r="3866" spans="1:13">
      <c r="A3866" t="s">
        <v>851</v>
      </c>
      <c r="B3866" t="s">
        <v>687</v>
      </c>
      <c r="C3866" t="s">
        <v>687</v>
      </c>
      <c r="D3866" t="s">
        <v>3185</v>
      </c>
      <c r="E3866" t="s">
        <v>656</v>
      </c>
      <c r="F3866" t="s">
        <v>31</v>
      </c>
      <c r="G3866">
        <v>2045</v>
      </c>
      <c r="H3866" s="12">
        <v>27.39</v>
      </c>
      <c r="I3866" t="s">
        <v>3183</v>
      </c>
      <c r="J3866" t="s">
        <v>484</v>
      </c>
      <c r="K3866" t="s">
        <v>147</v>
      </c>
      <c r="L3866" t="s">
        <v>654</v>
      </c>
      <c r="M3866" t="s">
        <v>667</v>
      </c>
    </row>
    <row r="3867" spans="1:13">
      <c r="A3867" t="s">
        <v>851</v>
      </c>
      <c r="B3867" t="s">
        <v>687</v>
      </c>
      <c r="C3867" t="s">
        <v>687</v>
      </c>
      <c r="D3867" t="s">
        <v>3185</v>
      </c>
      <c r="E3867" t="s">
        <v>656</v>
      </c>
      <c r="F3867" t="s">
        <v>31</v>
      </c>
      <c r="G3867">
        <v>2050</v>
      </c>
      <c r="H3867" s="12">
        <v>51.94</v>
      </c>
      <c r="I3867" t="s">
        <v>3183</v>
      </c>
      <c r="J3867" t="s">
        <v>484</v>
      </c>
      <c r="K3867" t="s">
        <v>147</v>
      </c>
      <c r="L3867" t="s">
        <v>654</v>
      </c>
      <c r="M3867" t="s">
        <v>667</v>
      </c>
    </row>
    <row r="3868" spans="1:13">
      <c r="A3868" t="s">
        <v>851</v>
      </c>
      <c r="B3868" t="s">
        <v>686</v>
      </c>
      <c r="C3868" t="s">
        <v>686</v>
      </c>
      <c r="D3868" t="s">
        <v>3185</v>
      </c>
      <c r="E3868" t="s">
        <v>656</v>
      </c>
      <c r="F3868" t="s">
        <v>31</v>
      </c>
      <c r="G3868">
        <v>2010</v>
      </c>
      <c r="H3868" s="12">
        <v>0.02</v>
      </c>
      <c r="I3868" t="s">
        <v>3183</v>
      </c>
      <c r="J3868" t="s">
        <v>17</v>
      </c>
      <c r="K3868" t="s">
        <v>147</v>
      </c>
      <c r="L3868" t="s">
        <v>654</v>
      </c>
      <c r="M3868" t="s">
        <v>671</v>
      </c>
    </row>
    <row r="3869" spans="1:13">
      <c r="A3869" t="s">
        <v>851</v>
      </c>
      <c r="B3869" t="s">
        <v>686</v>
      </c>
      <c r="C3869" t="s">
        <v>686</v>
      </c>
      <c r="D3869" t="s">
        <v>3185</v>
      </c>
      <c r="E3869" t="s">
        <v>656</v>
      </c>
      <c r="F3869" t="s">
        <v>31</v>
      </c>
      <c r="G3869">
        <v>2015</v>
      </c>
      <c r="H3869" s="12">
        <v>0.31</v>
      </c>
      <c r="I3869" t="s">
        <v>3183</v>
      </c>
      <c r="J3869" t="s">
        <v>17</v>
      </c>
      <c r="K3869" t="s">
        <v>147</v>
      </c>
      <c r="L3869" t="s">
        <v>654</v>
      </c>
      <c r="M3869" t="s">
        <v>671</v>
      </c>
    </row>
    <row r="3870" spans="1:13">
      <c r="A3870" t="s">
        <v>851</v>
      </c>
      <c r="B3870" t="s">
        <v>686</v>
      </c>
      <c r="C3870" t="s">
        <v>686</v>
      </c>
      <c r="D3870" t="s">
        <v>3185</v>
      </c>
      <c r="E3870" t="s">
        <v>656</v>
      </c>
      <c r="F3870" t="s">
        <v>31</v>
      </c>
      <c r="G3870">
        <v>2020</v>
      </c>
      <c r="H3870" s="12">
        <v>5.0599999999999996</v>
      </c>
      <c r="I3870" t="s">
        <v>3183</v>
      </c>
      <c r="J3870" t="s">
        <v>17</v>
      </c>
      <c r="K3870" t="s">
        <v>147</v>
      </c>
      <c r="L3870" t="s">
        <v>654</v>
      </c>
      <c r="M3870" t="s">
        <v>671</v>
      </c>
    </row>
    <row r="3871" spans="1:13">
      <c r="A3871" t="s">
        <v>851</v>
      </c>
      <c r="B3871" t="s">
        <v>686</v>
      </c>
      <c r="C3871" t="s">
        <v>686</v>
      </c>
      <c r="D3871" t="s">
        <v>3185</v>
      </c>
      <c r="E3871" t="s">
        <v>656</v>
      </c>
      <c r="F3871" t="s">
        <v>31</v>
      </c>
      <c r="G3871">
        <v>2030</v>
      </c>
      <c r="H3871" s="12">
        <v>44.7</v>
      </c>
      <c r="I3871" t="s">
        <v>3183</v>
      </c>
      <c r="J3871" t="s">
        <v>17</v>
      </c>
      <c r="K3871" t="s">
        <v>147</v>
      </c>
      <c r="L3871" t="s">
        <v>654</v>
      </c>
      <c r="M3871" t="s">
        <v>671</v>
      </c>
    </row>
    <row r="3872" spans="1:13">
      <c r="A3872" t="s">
        <v>851</v>
      </c>
      <c r="B3872" t="s">
        <v>686</v>
      </c>
      <c r="C3872" t="s">
        <v>686</v>
      </c>
      <c r="D3872" t="s">
        <v>3185</v>
      </c>
      <c r="E3872" t="s">
        <v>656</v>
      </c>
      <c r="F3872" t="s">
        <v>31</v>
      </c>
      <c r="G3872">
        <v>2035</v>
      </c>
      <c r="H3872" s="12">
        <v>87.62</v>
      </c>
      <c r="I3872" t="s">
        <v>3183</v>
      </c>
      <c r="J3872" t="s">
        <v>17</v>
      </c>
      <c r="K3872" t="s">
        <v>147</v>
      </c>
      <c r="L3872" t="s">
        <v>654</v>
      </c>
      <c r="M3872" t="s">
        <v>671</v>
      </c>
    </row>
    <row r="3873" spans="1:13">
      <c r="A3873" t="s">
        <v>851</v>
      </c>
      <c r="B3873" t="s">
        <v>686</v>
      </c>
      <c r="C3873" t="s">
        <v>686</v>
      </c>
      <c r="D3873" t="s">
        <v>3185</v>
      </c>
      <c r="E3873" t="s">
        <v>656</v>
      </c>
      <c r="F3873" t="s">
        <v>31</v>
      </c>
      <c r="G3873">
        <v>2040</v>
      </c>
      <c r="H3873" s="12">
        <v>135.19999999999999</v>
      </c>
      <c r="I3873" t="s">
        <v>3183</v>
      </c>
      <c r="J3873" t="s">
        <v>17</v>
      </c>
      <c r="K3873" t="s">
        <v>147</v>
      </c>
      <c r="L3873" t="s">
        <v>654</v>
      </c>
      <c r="M3873" t="s">
        <v>671</v>
      </c>
    </row>
    <row r="3874" spans="1:13">
      <c r="A3874" t="s">
        <v>851</v>
      </c>
      <c r="B3874" t="s">
        <v>686</v>
      </c>
      <c r="C3874" t="s">
        <v>686</v>
      </c>
      <c r="D3874" t="s">
        <v>3185</v>
      </c>
      <c r="E3874" t="s">
        <v>656</v>
      </c>
      <c r="F3874" t="s">
        <v>31</v>
      </c>
      <c r="G3874">
        <v>2045</v>
      </c>
      <c r="H3874" s="12">
        <v>185.37</v>
      </c>
      <c r="I3874" t="s">
        <v>3183</v>
      </c>
      <c r="J3874" t="s">
        <v>17</v>
      </c>
      <c r="K3874" t="s">
        <v>147</v>
      </c>
      <c r="L3874" t="s">
        <v>654</v>
      </c>
      <c r="M3874" t="s">
        <v>671</v>
      </c>
    </row>
    <row r="3875" spans="1:13">
      <c r="A3875" t="s">
        <v>851</v>
      </c>
      <c r="B3875" t="s">
        <v>686</v>
      </c>
      <c r="C3875" t="s">
        <v>686</v>
      </c>
      <c r="D3875" t="s">
        <v>3185</v>
      </c>
      <c r="E3875" t="s">
        <v>656</v>
      </c>
      <c r="F3875" t="s">
        <v>31</v>
      </c>
      <c r="G3875">
        <v>2050</v>
      </c>
      <c r="H3875" s="12">
        <v>240.39</v>
      </c>
      <c r="I3875" t="s">
        <v>3183</v>
      </c>
      <c r="J3875" t="s">
        <v>17</v>
      </c>
      <c r="K3875" t="s">
        <v>147</v>
      </c>
      <c r="L3875" t="s">
        <v>654</v>
      </c>
      <c r="M3875" t="s">
        <v>671</v>
      </c>
    </row>
    <row r="3876" spans="1:13">
      <c r="A3876" t="s">
        <v>851</v>
      </c>
      <c r="B3876" t="s">
        <v>687</v>
      </c>
      <c r="C3876" t="s">
        <v>687</v>
      </c>
      <c r="D3876" t="s">
        <v>3185</v>
      </c>
      <c r="E3876" t="s">
        <v>656</v>
      </c>
      <c r="F3876" t="s">
        <v>31</v>
      </c>
      <c r="G3876">
        <v>2030</v>
      </c>
      <c r="H3876" s="12">
        <v>54.88</v>
      </c>
      <c r="I3876" t="s">
        <v>3183</v>
      </c>
      <c r="J3876" t="s">
        <v>17</v>
      </c>
      <c r="K3876" t="s">
        <v>147</v>
      </c>
      <c r="L3876" t="s">
        <v>654</v>
      </c>
      <c r="M3876" t="s">
        <v>671</v>
      </c>
    </row>
    <row r="3877" spans="1:13">
      <c r="A3877" t="s">
        <v>851</v>
      </c>
      <c r="B3877" t="s">
        <v>687</v>
      </c>
      <c r="C3877" t="s">
        <v>687</v>
      </c>
      <c r="D3877" t="s">
        <v>3185</v>
      </c>
      <c r="E3877" t="s">
        <v>656</v>
      </c>
      <c r="F3877" t="s">
        <v>31</v>
      </c>
      <c r="G3877">
        <v>2035</v>
      </c>
      <c r="H3877" s="12">
        <v>157.13999999999999</v>
      </c>
      <c r="I3877" t="s">
        <v>3183</v>
      </c>
      <c r="J3877" t="s">
        <v>17</v>
      </c>
      <c r="K3877" t="s">
        <v>147</v>
      </c>
      <c r="L3877" t="s">
        <v>654</v>
      </c>
      <c r="M3877" t="s">
        <v>671</v>
      </c>
    </row>
    <row r="3878" spans="1:13">
      <c r="A3878" t="s">
        <v>851</v>
      </c>
      <c r="B3878" t="s">
        <v>687</v>
      </c>
      <c r="C3878" t="s">
        <v>687</v>
      </c>
      <c r="D3878" t="s">
        <v>3185</v>
      </c>
      <c r="E3878" t="s">
        <v>656</v>
      </c>
      <c r="F3878" t="s">
        <v>31</v>
      </c>
      <c r="G3878">
        <v>2040</v>
      </c>
      <c r="H3878" s="12">
        <v>257.82</v>
      </c>
      <c r="I3878" t="s">
        <v>3183</v>
      </c>
      <c r="J3878" t="s">
        <v>17</v>
      </c>
      <c r="K3878" t="s">
        <v>147</v>
      </c>
      <c r="L3878" t="s">
        <v>654</v>
      </c>
      <c r="M3878" t="s">
        <v>671</v>
      </c>
    </row>
    <row r="3879" spans="1:13">
      <c r="A3879" t="s">
        <v>851</v>
      </c>
      <c r="B3879" t="s">
        <v>687</v>
      </c>
      <c r="C3879" t="s">
        <v>687</v>
      </c>
      <c r="D3879" t="s">
        <v>3185</v>
      </c>
      <c r="E3879" t="s">
        <v>656</v>
      </c>
      <c r="F3879" t="s">
        <v>31</v>
      </c>
      <c r="G3879">
        <v>2045</v>
      </c>
      <c r="H3879" s="12">
        <v>386.17</v>
      </c>
      <c r="I3879" t="s">
        <v>3183</v>
      </c>
      <c r="J3879" t="s">
        <v>17</v>
      </c>
      <c r="K3879" t="s">
        <v>147</v>
      </c>
      <c r="L3879" t="s">
        <v>654</v>
      </c>
      <c r="M3879" t="s">
        <v>671</v>
      </c>
    </row>
    <row r="3880" spans="1:13">
      <c r="A3880" t="s">
        <v>851</v>
      </c>
      <c r="B3880" t="s">
        <v>687</v>
      </c>
      <c r="C3880" t="s">
        <v>687</v>
      </c>
      <c r="D3880" t="s">
        <v>3185</v>
      </c>
      <c r="E3880" t="s">
        <v>656</v>
      </c>
      <c r="F3880" t="s">
        <v>31</v>
      </c>
      <c r="G3880">
        <v>2050</v>
      </c>
      <c r="H3880" s="12">
        <v>519.92999999999995</v>
      </c>
      <c r="I3880" t="s">
        <v>3183</v>
      </c>
      <c r="J3880" t="s">
        <v>17</v>
      </c>
      <c r="K3880" t="s">
        <v>147</v>
      </c>
      <c r="L3880" t="s">
        <v>654</v>
      </c>
      <c r="M3880" t="s">
        <v>671</v>
      </c>
    </row>
    <row r="3881" spans="1:13">
      <c r="A3881" t="s">
        <v>851</v>
      </c>
      <c r="B3881" t="s">
        <v>686</v>
      </c>
      <c r="C3881" t="s">
        <v>686</v>
      </c>
      <c r="D3881" t="s">
        <v>3185</v>
      </c>
      <c r="E3881" t="s">
        <v>656</v>
      </c>
      <c r="F3881" t="s">
        <v>31</v>
      </c>
      <c r="G3881">
        <v>2010</v>
      </c>
      <c r="H3881" s="12">
        <v>0.09</v>
      </c>
      <c r="I3881" t="s">
        <v>3183</v>
      </c>
      <c r="J3881" t="s">
        <v>18</v>
      </c>
      <c r="K3881" t="s">
        <v>147</v>
      </c>
      <c r="L3881" t="s">
        <v>654</v>
      </c>
      <c r="M3881" t="s">
        <v>18</v>
      </c>
    </row>
    <row r="3882" spans="1:13">
      <c r="A3882" t="s">
        <v>851</v>
      </c>
      <c r="B3882" t="s">
        <v>686</v>
      </c>
      <c r="C3882" t="s">
        <v>686</v>
      </c>
      <c r="D3882" t="s">
        <v>3185</v>
      </c>
      <c r="E3882" t="s">
        <v>656</v>
      </c>
      <c r="F3882" t="s">
        <v>31</v>
      </c>
      <c r="G3882">
        <v>2015</v>
      </c>
      <c r="H3882" s="12">
        <v>0.27</v>
      </c>
      <c r="I3882" t="s">
        <v>3183</v>
      </c>
      <c r="J3882" t="s">
        <v>18</v>
      </c>
      <c r="K3882" t="s">
        <v>147</v>
      </c>
      <c r="L3882" t="s">
        <v>654</v>
      </c>
      <c r="M3882" t="s">
        <v>18</v>
      </c>
    </row>
    <row r="3883" spans="1:13">
      <c r="A3883" t="s">
        <v>851</v>
      </c>
      <c r="B3883" t="s">
        <v>686</v>
      </c>
      <c r="C3883" t="s">
        <v>686</v>
      </c>
      <c r="D3883" t="s">
        <v>3185</v>
      </c>
      <c r="E3883" t="s">
        <v>656</v>
      </c>
      <c r="F3883" t="s">
        <v>31</v>
      </c>
      <c r="G3883">
        <v>2020</v>
      </c>
      <c r="H3883" s="12">
        <v>0.89</v>
      </c>
      <c r="I3883" t="s">
        <v>3183</v>
      </c>
      <c r="J3883" t="s">
        <v>18</v>
      </c>
      <c r="K3883" t="s">
        <v>147</v>
      </c>
      <c r="L3883" t="s">
        <v>654</v>
      </c>
      <c r="M3883" t="s">
        <v>18</v>
      </c>
    </row>
    <row r="3884" spans="1:13">
      <c r="A3884" t="s">
        <v>851</v>
      </c>
      <c r="B3884" t="s">
        <v>686</v>
      </c>
      <c r="C3884" t="s">
        <v>686</v>
      </c>
      <c r="D3884" t="s">
        <v>3185</v>
      </c>
      <c r="E3884" t="s">
        <v>656</v>
      </c>
      <c r="F3884" t="s">
        <v>31</v>
      </c>
      <c r="G3884">
        <v>2030</v>
      </c>
      <c r="H3884" s="12">
        <v>9.77</v>
      </c>
      <c r="I3884" t="s">
        <v>3183</v>
      </c>
      <c r="J3884" t="s">
        <v>18</v>
      </c>
      <c r="K3884" t="s">
        <v>147</v>
      </c>
      <c r="L3884" t="s">
        <v>654</v>
      </c>
      <c r="M3884" t="s">
        <v>18</v>
      </c>
    </row>
    <row r="3885" spans="1:13">
      <c r="A3885" t="s">
        <v>851</v>
      </c>
      <c r="B3885" t="s">
        <v>686</v>
      </c>
      <c r="C3885" t="s">
        <v>686</v>
      </c>
      <c r="D3885" t="s">
        <v>3185</v>
      </c>
      <c r="E3885" t="s">
        <v>656</v>
      </c>
      <c r="F3885" t="s">
        <v>31</v>
      </c>
      <c r="G3885">
        <v>2035</v>
      </c>
      <c r="H3885" s="12">
        <v>21.08</v>
      </c>
      <c r="I3885" t="s">
        <v>3183</v>
      </c>
      <c r="J3885" t="s">
        <v>18</v>
      </c>
      <c r="K3885" t="s">
        <v>147</v>
      </c>
      <c r="L3885" t="s">
        <v>654</v>
      </c>
      <c r="M3885" t="s">
        <v>18</v>
      </c>
    </row>
    <row r="3886" spans="1:13">
      <c r="A3886" t="s">
        <v>851</v>
      </c>
      <c r="B3886" t="s">
        <v>686</v>
      </c>
      <c r="C3886" t="s">
        <v>686</v>
      </c>
      <c r="D3886" t="s">
        <v>3185</v>
      </c>
      <c r="E3886" t="s">
        <v>656</v>
      </c>
      <c r="F3886" t="s">
        <v>31</v>
      </c>
      <c r="G3886">
        <v>2040</v>
      </c>
      <c r="H3886" s="12">
        <v>37.049999999999997</v>
      </c>
      <c r="I3886" t="s">
        <v>3183</v>
      </c>
      <c r="J3886" t="s">
        <v>18</v>
      </c>
      <c r="K3886" t="s">
        <v>147</v>
      </c>
      <c r="L3886" t="s">
        <v>654</v>
      </c>
      <c r="M3886" t="s">
        <v>18</v>
      </c>
    </row>
    <row r="3887" spans="1:13">
      <c r="A3887" t="s">
        <v>851</v>
      </c>
      <c r="B3887" t="s">
        <v>686</v>
      </c>
      <c r="C3887" t="s">
        <v>686</v>
      </c>
      <c r="D3887" t="s">
        <v>3185</v>
      </c>
      <c r="E3887" t="s">
        <v>656</v>
      </c>
      <c r="F3887" t="s">
        <v>31</v>
      </c>
      <c r="G3887">
        <v>2045</v>
      </c>
      <c r="H3887" s="12">
        <v>56.52</v>
      </c>
      <c r="I3887" t="s">
        <v>3183</v>
      </c>
      <c r="J3887" t="s">
        <v>18</v>
      </c>
      <c r="K3887" t="s">
        <v>147</v>
      </c>
      <c r="L3887" t="s">
        <v>654</v>
      </c>
      <c r="M3887" t="s">
        <v>18</v>
      </c>
    </row>
    <row r="3888" spans="1:13">
      <c r="A3888" t="s">
        <v>851</v>
      </c>
      <c r="B3888" t="s">
        <v>687</v>
      </c>
      <c r="C3888" t="s">
        <v>687</v>
      </c>
      <c r="D3888" t="s">
        <v>3185</v>
      </c>
      <c r="E3888" t="s">
        <v>656</v>
      </c>
      <c r="F3888" t="s">
        <v>31</v>
      </c>
      <c r="G3888">
        <v>2030</v>
      </c>
      <c r="H3888" s="12">
        <v>20.309999999999999</v>
      </c>
      <c r="I3888" t="s">
        <v>3183</v>
      </c>
      <c r="J3888" t="s">
        <v>14</v>
      </c>
      <c r="K3888" t="s">
        <v>147</v>
      </c>
      <c r="L3888" t="s">
        <v>654</v>
      </c>
      <c r="M3888" t="s">
        <v>14</v>
      </c>
    </row>
    <row r="3889" spans="1:13">
      <c r="A3889" t="s">
        <v>851</v>
      </c>
      <c r="B3889" t="s">
        <v>687</v>
      </c>
      <c r="C3889" t="s">
        <v>687</v>
      </c>
      <c r="D3889" t="s">
        <v>3185</v>
      </c>
      <c r="E3889" t="s">
        <v>656</v>
      </c>
      <c r="F3889" t="s">
        <v>31</v>
      </c>
      <c r="G3889">
        <v>2035</v>
      </c>
      <c r="H3889" s="12">
        <v>22.79</v>
      </c>
      <c r="I3889" t="s">
        <v>3183</v>
      </c>
      <c r="J3889" t="s">
        <v>14</v>
      </c>
      <c r="K3889" t="s">
        <v>147</v>
      </c>
      <c r="L3889" t="s">
        <v>654</v>
      </c>
      <c r="M3889" t="s">
        <v>14</v>
      </c>
    </row>
    <row r="3890" spans="1:13">
      <c r="A3890" t="s">
        <v>851</v>
      </c>
      <c r="B3890" t="s">
        <v>687</v>
      </c>
      <c r="C3890" t="s">
        <v>687</v>
      </c>
      <c r="D3890" t="s">
        <v>3185</v>
      </c>
      <c r="E3890" t="s">
        <v>656</v>
      </c>
      <c r="F3890" t="s">
        <v>31</v>
      </c>
      <c r="G3890">
        <v>2040</v>
      </c>
      <c r="H3890" s="12">
        <v>24.8</v>
      </c>
      <c r="I3890" t="s">
        <v>3183</v>
      </c>
      <c r="J3890" t="s">
        <v>14</v>
      </c>
      <c r="K3890" t="s">
        <v>147</v>
      </c>
      <c r="L3890" t="s">
        <v>654</v>
      </c>
      <c r="M3890" t="s">
        <v>14</v>
      </c>
    </row>
    <row r="3891" spans="1:13">
      <c r="A3891" t="s">
        <v>851</v>
      </c>
      <c r="B3891" t="s">
        <v>687</v>
      </c>
      <c r="C3891" t="s">
        <v>687</v>
      </c>
      <c r="D3891" t="s">
        <v>3185</v>
      </c>
      <c r="E3891" t="s">
        <v>656</v>
      </c>
      <c r="F3891" t="s">
        <v>31</v>
      </c>
      <c r="G3891">
        <v>2045</v>
      </c>
      <c r="H3891" s="12">
        <v>26.41</v>
      </c>
      <c r="I3891" t="s">
        <v>3183</v>
      </c>
      <c r="J3891" t="s">
        <v>14</v>
      </c>
      <c r="K3891" t="s">
        <v>147</v>
      </c>
      <c r="L3891" t="s">
        <v>654</v>
      </c>
      <c r="M3891" t="s">
        <v>14</v>
      </c>
    </row>
    <row r="3892" spans="1:13">
      <c r="A3892" t="s">
        <v>851</v>
      </c>
      <c r="B3892" t="s">
        <v>687</v>
      </c>
      <c r="C3892" t="s">
        <v>687</v>
      </c>
      <c r="D3892" t="s">
        <v>3185</v>
      </c>
      <c r="E3892" t="s">
        <v>656</v>
      </c>
      <c r="F3892" t="s">
        <v>31</v>
      </c>
      <c r="G3892">
        <v>2050</v>
      </c>
      <c r="H3892" s="12">
        <v>27.31</v>
      </c>
      <c r="I3892" t="s">
        <v>3183</v>
      </c>
      <c r="J3892" t="s">
        <v>14</v>
      </c>
      <c r="K3892" t="s">
        <v>147</v>
      </c>
      <c r="L3892" t="s">
        <v>654</v>
      </c>
      <c r="M3892" t="s">
        <v>14</v>
      </c>
    </row>
    <row r="3893" spans="1:13">
      <c r="A3893" t="s">
        <v>851</v>
      </c>
      <c r="B3893" t="s">
        <v>686</v>
      </c>
      <c r="C3893" t="s">
        <v>686</v>
      </c>
      <c r="D3893" t="s">
        <v>3185</v>
      </c>
      <c r="E3893" t="s">
        <v>656</v>
      </c>
      <c r="F3893" t="s">
        <v>31</v>
      </c>
      <c r="G3893">
        <v>2010</v>
      </c>
      <c r="H3893" s="12">
        <v>0</v>
      </c>
      <c r="I3893" t="s">
        <v>3183</v>
      </c>
      <c r="J3893" t="s">
        <v>41</v>
      </c>
      <c r="K3893" t="s">
        <v>147</v>
      </c>
      <c r="L3893" t="s">
        <v>654</v>
      </c>
      <c r="M3893" t="s">
        <v>669</v>
      </c>
    </row>
    <row r="3894" spans="1:13">
      <c r="A3894" t="s">
        <v>851</v>
      </c>
      <c r="B3894" t="s">
        <v>686</v>
      </c>
      <c r="C3894" t="s">
        <v>686</v>
      </c>
      <c r="D3894" t="s">
        <v>3185</v>
      </c>
      <c r="E3894" t="s">
        <v>656</v>
      </c>
      <c r="F3894" t="s">
        <v>31</v>
      </c>
      <c r="G3894">
        <v>2015</v>
      </c>
      <c r="H3894" s="12">
        <v>0.01</v>
      </c>
      <c r="I3894" t="s">
        <v>3183</v>
      </c>
      <c r="J3894" t="s">
        <v>41</v>
      </c>
      <c r="K3894" t="s">
        <v>147</v>
      </c>
      <c r="L3894" t="s">
        <v>654</v>
      </c>
      <c r="M3894" t="s">
        <v>669</v>
      </c>
    </row>
    <row r="3895" spans="1:13">
      <c r="A3895" t="s">
        <v>851</v>
      </c>
      <c r="B3895" t="s">
        <v>686</v>
      </c>
      <c r="C3895" t="s">
        <v>686</v>
      </c>
      <c r="D3895" t="s">
        <v>3185</v>
      </c>
      <c r="E3895" t="s">
        <v>656</v>
      </c>
      <c r="F3895" t="s">
        <v>31</v>
      </c>
      <c r="G3895">
        <v>2020</v>
      </c>
      <c r="H3895" s="12">
        <v>0.02</v>
      </c>
      <c r="I3895" t="s">
        <v>3183</v>
      </c>
      <c r="J3895" t="s">
        <v>41</v>
      </c>
      <c r="K3895" t="s">
        <v>147</v>
      </c>
      <c r="L3895" t="s">
        <v>654</v>
      </c>
      <c r="M3895" t="s">
        <v>669</v>
      </c>
    </row>
    <row r="3896" spans="1:13">
      <c r="A3896" t="s">
        <v>851</v>
      </c>
      <c r="B3896" t="s">
        <v>686</v>
      </c>
      <c r="C3896" t="s">
        <v>686</v>
      </c>
      <c r="D3896" t="s">
        <v>3185</v>
      </c>
      <c r="E3896" t="s">
        <v>656</v>
      </c>
      <c r="F3896" t="s">
        <v>31</v>
      </c>
      <c r="G3896">
        <v>2030</v>
      </c>
      <c r="H3896" s="12">
        <v>1.47</v>
      </c>
      <c r="I3896" t="s">
        <v>3183</v>
      </c>
      <c r="J3896" t="s">
        <v>41</v>
      </c>
      <c r="K3896" t="s">
        <v>147</v>
      </c>
      <c r="L3896" t="s">
        <v>654</v>
      </c>
      <c r="M3896" t="s">
        <v>669</v>
      </c>
    </row>
    <row r="3897" spans="1:13">
      <c r="A3897" t="s">
        <v>851</v>
      </c>
      <c r="B3897" t="s">
        <v>686</v>
      </c>
      <c r="C3897" t="s">
        <v>686</v>
      </c>
      <c r="D3897" t="s">
        <v>3185</v>
      </c>
      <c r="E3897" t="s">
        <v>656</v>
      </c>
      <c r="F3897" t="s">
        <v>31</v>
      </c>
      <c r="G3897">
        <v>2035</v>
      </c>
      <c r="H3897" s="12">
        <v>3.14</v>
      </c>
      <c r="I3897" t="s">
        <v>3183</v>
      </c>
      <c r="J3897" t="s">
        <v>41</v>
      </c>
      <c r="K3897" t="s">
        <v>147</v>
      </c>
      <c r="L3897" t="s">
        <v>654</v>
      </c>
      <c r="M3897" t="s">
        <v>669</v>
      </c>
    </row>
    <row r="3898" spans="1:13">
      <c r="A3898" t="s">
        <v>851</v>
      </c>
      <c r="B3898" t="s">
        <v>686</v>
      </c>
      <c r="C3898" t="s">
        <v>686</v>
      </c>
      <c r="D3898" t="s">
        <v>3185</v>
      </c>
      <c r="E3898" t="s">
        <v>656</v>
      </c>
      <c r="F3898" t="s">
        <v>31</v>
      </c>
      <c r="G3898">
        <v>2040</v>
      </c>
      <c r="H3898" s="12">
        <v>4.87</v>
      </c>
      <c r="I3898" t="s">
        <v>3183</v>
      </c>
      <c r="J3898" t="s">
        <v>41</v>
      </c>
      <c r="K3898" t="s">
        <v>147</v>
      </c>
      <c r="L3898" t="s">
        <v>654</v>
      </c>
      <c r="M3898" t="s">
        <v>669</v>
      </c>
    </row>
    <row r="3899" spans="1:13">
      <c r="A3899" t="s">
        <v>851</v>
      </c>
      <c r="B3899" t="s">
        <v>686</v>
      </c>
      <c r="C3899" t="s">
        <v>686</v>
      </c>
      <c r="D3899" t="s">
        <v>3185</v>
      </c>
      <c r="E3899" t="s">
        <v>656</v>
      </c>
      <c r="F3899" t="s">
        <v>31</v>
      </c>
      <c r="G3899">
        <v>2045</v>
      </c>
      <c r="H3899" s="12">
        <v>6.59</v>
      </c>
      <c r="I3899" t="s">
        <v>3183</v>
      </c>
      <c r="J3899" t="s">
        <v>41</v>
      </c>
      <c r="K3899" t="s">
        <v>147</v>
      </c>
      <c r="L3899" t="s">
        <v>654</v>
      </c>
      <c r="M3899" t="s">
        <v>669</v>
      </c>
    </row>
    <row r="3900" spans="1:13">
      <c r="A3900" t="s">
        <v>851</v>
      </c>
      <c r="B3900" t="s">
        <v>686</v>
      </c>
      <c r="C3900" t="s">
        <v>686</v>
      </c>
      <c r="D3900" t="s">
        <v>3185</v>
      </c>
      <c r="E3900" t="s">
        <v>656</v>
      </c>
      <c r="F3900" t="s">
        <v>31</v>
      </c>
      <c r="G3900">
        <v>2050</v>
      </c>
      <c r="H3900" s="12">
        <v>8.36</v>
      </c>
      <c r="I3900" t="s">
        <v>3183</v>
      </c>
      <c r="J3900" t="s">
        <v>41</v>
      </c>
      <c r="K3900" t="s">
        <v>147</v>
      </c>
      <c r="L3900" t="s">
        <v>654</v>
      </c>
      <c r="M3900" t="s">
        <v>669</v>
      </c>
    </row>
    <row r="3901" spans="1:13">
      <c r="A3901" t="s">
        <v>851</v>
      </c>
      <c r="B3901" t="s">
        <v>687</v>
      </c>
      <c r="C3901" t="s">
        <v>687</v>
      </c>
      <c r="D3901" t="s">
        <v>3185</v>
      </c>
      <c r="E3901" t="s">
        <v>656</v>
      </c>
      <c r="F3901" t="s">
        <v>31</v>
      </c>
      <c r="G3901">
        <v>2030</v>
      </c>
      <c r="H3901" s="12">
        <v>1.65</v>
      </c>
      <c r="I3901" t="s">
        <v>3183</v>
      </c>
      <c r="J3901" t="s">
        <v>41</v>
      </c>
      <c r="K3901" t="s">
        <v>147</v>
      </c>
      <c r="L3901" t="s">
        <v>654</v>
      </c>
      <c r="M3901" t="s">
        <v>669</v>
      </c>
    </row>
    <row r="3902" spans="1:13">
      <c r="A3902" t="s">
        <v>851</v>
      </c>
      <c r="B3902" t="s">
        <v>687</v>
      </c>
      <c r="C3902" t="s">
        <v>687</v>
      </c>
      <c r="D3902" t="s">
        <v>3185</v>
      </c>
      <c r="E3902" t="s">
        <v>656</v>
      </c>
      <c r="F3902" t="s">
        <v>31</v>
      </c>
      <c r="G3902">
        <v>2035</v>
      </c>
      <c r="H3902" s="12">
        <v>3.33</v>
      </c>
      <c r="I3902" t="s">
        <v>3183</v>
      </c>
      <c r="J3902" t="s">
        <v>41</v>
      </c>
      <c r="K3902" t="s">
        <v>147</v>
      </c>
      <c r="L3902" t="s">
        <v>654</v>
      </c>
      <c r="M3902" t="s">
        <v>669</v>
      </c>
    </row>
    <row r="3903" spans="1:13">
      <c r="A3903" t="s">
        <v>851</v>
      </c>
      <c r="B3903" t="s">
        <v>687</v>
      </c>
      <c r="C3903" t="s">
        <v>687</v>
      </c>
      <c r="D3903" t="s">
        <v>3185</v>
      </c>
      <c r="E3903" t="s">
        <v>656</v>
      </c>
      <c r="F3903" t="s">
        <v>31</v>
      </c>
      <c r="G3903">
        <v>2040</v>
      </c>
      <c r="H3903" s="12">
        <v>5.05</v>
      </c>
      <c r="I3903" t="s">
        <v>3183</v>
      </c>
      <c r="J3903" t="s">
        <v>41</v>
      </c>
      <c r="K3903" t="s">
        <v>147</v>
      </c>
      <c r="L3903" t="s">
        <v>654</v>
      </c>
      <c r="M3903" t="s">
        <v>669</v>
      </c>
    </row>
    <row r="3904" spans="1:13">
      <c r="A3904" t="s">
        <v>851</v>
      </c>
      <c r="B3904" t="s">
        <v>687</v>
      </c>
      <c r="C3904" t="s">
        <v>687</v>
      </c>
      <c r="D3904" t="s">
        <v>3185</v>
      </c>
      <c r="E3904" t="s">
        <v>656</v>
      </c>
      <c r="F3904" t="s">
        <v>31</v>
      </c>
      <c r="G3904">
        <v>2045</v>
      </c>
      <c r="H3904" s="12">
        <v>6.77</v>
      </c>
      <c r="I3904" t="s">
        <v>3183</v>
      </c>
      <c r="J3904" t="s">
        <v>41</v>
      </c>
      <c r="K3904" t="s">
        <v>147</v>
      </c>
      <c r="L3904" t="s">
        <v>654</v>
      </c>
      <c r="M3904" t="s">
        <v>669</v>
      </c>
    </row>
    <row r="3905" spans="1:13">
      <c r="A3905" t="s">
        <v>851</v>
      </c>
      <c r="B3905" t="s">
        <v>687</v>
      </c>
      <c r="C3905" t="s">
        <v>687</v>
      </c>
      <c r="D3905" t="s">
        <v>3185</v>
      </c>
      <c r="E3905" t="s">
        <v>656</v>
      </c>
      <c r="F3905" t="s">
        <v>31</v>
      </c>
      <c r="G3905">
        <v>2050</v>
      </c>
      <c r="H3905" s="12">
        <v>8.49</v>
      </c>
      <c r="I3905" t="s">
        <v>3183</v>
      </c>
      <c r="J3905" t="s">
        <v>41</v>
      </c>
      <c r="K3905" t="s">
        <v>147</v>
      </c>
      <c r="L3905" t="s">
        <v>654</v>
      </c>
      <c r="M3905" t="s">
        <v>669</v>
      </c>
    </row>
    <row r="3906" spans="1:13">
      <c r="A3906" t="s">
        <v>851</v>
      </c>
      <c r="B3906" t="s">
        <v>686</v>
      </c>
      <c r="C3906" t="s">
        <v>686</v>
      </c>
      <c r="D3906" t="s">
        <v>3185</v>
      </c>
      <c r="E3906" t="s">
        <v>656</v>
      </c>
      <c r="F3906" t="s">
        <v>31</v>
      </c>
      <c r="G3906">
        <v>2010</v>
      </c>
      <c r="H3906" s="12">
        <v>0</v>
      </c>
      <c r="I3906" t="s">
        <v>3183</v>
      </c>
      <c r="J3906" t="s">
        <v>15</v>
      </c>
      <c r="K3906" t="s">
        <v>147</v>
      </c>
      <c r="L3906" t="s">
        <v>654</v>
      </c>
      <c r="M3906" t="s">
        <v>15</v>
      </c>
    </row>
    <row r="3907" spans="1:13">
      <c r="A3907" t="s">
        <v>851</v>
      </c>
      <c r="B3907" t="s">
        <v>686</v>
      </c>
      <c r="C3907" t="s">
        <v>686</v>
      </c>
      <c r="D3907" t="s">
        <v>3185</v>
      </c>
      <c r="E3907" t="s">
        <v>656</v>
      </c>
      <c r="F3907" t="s">
        <v>31</v>
      </c>
      <c r="G3907">
        <v>2015</v>
      </c>
      <c r="H3907" s="12">
        <v>1</v>
      </c>
      <c r="I3907" t="s">
        <v>3183</v>
      </c>
      <c r="J3907" t="s">
        <v>15</v>
      </c>
      <c r="K3907" t="s">
        <v>147</v>
      </c>
      <c r="L3907" t="s">
        <v>654</v>
      </c>
      <c r="M3907" t="s">
        <v>15</v>
      </c>
    </row>
    <row r="3908" spans="1:13">
      <c r="A3908" t="s">
        <v>851</v>
      </c>
      <c r="B3908" t="s">
        <v>686</v>
      </c>
      <c r="C3908" t="s">
        <v>686</v>
      </c>
      <c r="D3908" t="s">
        <v>3185</v>
      </c>
      <c r="E3908" t="s">
        <v>656</v>
      </c>
      <c r="F3908" t="s">
        <v>31</v>
      </c>
      <c r="G3908">
        <v>2020</v>
      </c>
      <c r="H3908" s="12">
        <v>2.4</v>
      </c>
      <c r="I3908" t="s">
        <v>3183</v>
      </c>
      <c r="J3908" t="s">
        <v>15</v>
      </c>
      <c r="K3908" t="s">
        <v>147</v>
      </c>
      <c r="L3908" t="s">
        <v>654</v>
      </c>
      <c r="M3908" t="s">
        <v>15</v>
      </c>
    </row>
    <row r="3909" spans="1:13">
      <c r="A3909" t="s">
        <v>851</v>
      </c>
      <c r="B3909" t="s">
        <v>686</v>
      </c>
      <c r="C3909" t="s">
        <v>686</v>
      </c>
      <c r="D3909" t="s">
        <v>3185</v>
      </c>
      <c r="E3909" t="s">
        <v>656</v>
      </c>
      <c r="F3909" t="s">
        <v>31</v>
      </c>
      <c r="G3909">
        <v>2030</v>
      </c>
      <c r="H3909" s="12">
        <v>8.68</v>
      </c>
      <c r="I3909" t="s">
        <v>3183</v>
      </c>
      <c r="J3909" t="s">
        <v>15</v>
      </c>
      <c r="K3909" t="s">
        <v>147</v>
      </c>
      <c r="L3909" t="s">
        <v>654</v>
      </c>
      <c r="M3909" t="s">
        <v>15</v>
      </c>
    </row>
    <row r="3910" spans="1:13">
      <c r="A3910" t="s">
        <v>851</v>
      </c>
      <c r="B3910" t="s">
        <v>686</v>
      </c>
      <c r="C3910" t="s">
        <v>686</v>
      </c>
      <c r="D3910" t="s">
        <v>3185</v>
      </c>
      <c r="E3910" t="s">
        <v>656</v>
      </c>
      <c r="F3910" t="s">
        <v>31</v>
      </c>
      <c r="G3910">
        <v>2035</v>
      </c>
      <c r="H3910" s="12">
        <v>12.28</v>
      </c>
      <c r="I3910" t="s">
        <v>3183</v>
      </c>
      <c r="J3910" t="s">
        <v>15</v>
      </c>
      <c r="K3910" t="s">
        <v>147</v>
      </c>
      <c r="L3910" t="s">
        <v>654</v>
      </c>
      <c r="M3910" t="s">
        <v>15</v>
      </c>
    </row>
    <row r="3911" spans="1:13">
      <c r="A3911" t="s">
        <v>851</v>
      </c>
      <c r="B3911" t="s">
        <v>686</v>
      </c>
      <c r="C3911" t="s">
        <v>686</v>
      </c>
      <c r="D3911" t="s">
        <v>3185</v>
      </c>
      <c r="E3911" t="s">
        <v>656</v>
      </c>
      <c r="F3911" t="s">
        <v>31</v>
      </c>
      <c r="G3911">
        <v>2040</v>
      </c>
      <c r="H3911" s="12">
        <v>12.97</v>
      </c>
      <c r="I3911" t="s">
        <v>3183</v>
      </c>
      <c r="J3911" t="s">
        <v>15</v>
      </c>
      <c r="K3911" t="s">
        <v>147</v>
      </c>
      <c r="L3911" t="s">
        <v>654</v>
      </c>
      <c r="M3911" t="s">
        <v>15</v>
      </c>
    </row>
    <row r="3912" spans="1:13">
      <c r="A3912" t="s">
        <v>851</v>
      </c>
      <c r="B3912" t="s">
        <v>686</v>
      </c>
      <c r="C3912" t="s">
        <v>686</v>
      </c>
      <c r="D3912" t="s">
        <v>3185</v>
      </c>
      <c r="E3912" t="s">
        <v>656</v>
      </c>
      <c r="F3912" t="s">
        <v>31</v>
      </c>
      <c r="G3912">
        <v>2045</v>
      </c>
      <c r="H3912" s="12">
        <v>14.38</v>
      </c>
      <c r="I3912" t="s">
        <v>3183</v>
      </c>
      <c r="J3912" t="s">
        <v>15</v>
      </c>
      <c r="K3912" t="s">
        <v>147</v>
      </c>
      <c r="L3912" t="s">
        <v>654</v>
      </c>
      <c r="M3912" t="s">
        <v>15</v>
      </c>
    </row>
    <row r="3913" spans="1:13">
      <c r="A3913" t="s">
        <v>851</v>
      </c>
      <c r="B3913" t="s">
        <v>686</v>
      </c>
      <c r="C3913" t="s">
        <v>686</v>
      </c>
      <c r="D3913" t="s">
        <v>3185</v>
      </c>
      <c r="E3913" t="s">
        <v>656</v>
      </c>
      <c r="F3913" t="s">
        <v>31</v>
      </c>
      <c r="G3913">
        <v>2050</v>
      </c>
      <c r="H3913" s="12">
        <v>15.57</v>
      </c>
      <c r="I3913" t="s">
        <v>3183</v>
      </c>
      <c r="J3913" t="s">
        <v>15</v>
      </c>
      <c r="K3913" t="s">
        <v>147</v>
      </c>
      <c r="L3913" t="s">
        <v>654</v>
      </c>
      <c r="M3913" t="s">
        <v>15</v>
      </c>
    </row>
    <row r="3914" spans="1:13">
      <c r="A3914" t="s">
        <v>851</v>
      </c>
      <c r="B3914" t="s">
        <v>687</v>
      </c>
      <c r="C3914" t="s">
        <v>687</v>
      </c>
      <c r="D3914" t="s">
        <v>3185</v>
      </c>
      <c r="E3914" t="s">
        <v>656</v>
      </c>
      <c r="F3914" t="s">
        <v>31</v>
      </c>
      <c r="G3914">
        <v>2030</v>
      </c>
      <c r="H3914" s="12">
        <v>8.68</v>
      </c>
      <c r="I3914" t="s">
        <v>3183</v>
      </c>
      <c r="J3914" t="s">
        <v>15</v>
      </c>
      <c r="K3914" t="s">
        <v>147</v>
      </c>
      <c r="L3914" t="s">
        <v>654</v>
      </c>
      <c r="M3914" t="s">
        <v>15</v>
      </c>
    </row>
    <row r="3915" spans="1:13">
      <c r="A3915" t="s">
        <v>851</v>
      </c>
      <c r="B3915" t="s">
        <v>687</v>
      </c>
      <c r="C3915" t="s">
        <v>687</v>
      </c>
      <c r="D3915" t="s">
        <v>3185</v>
      </c>
      <c r="E3915" t="s">
        <v>656</v>
      </c>
      <c r="F3915" t="s">
        <v>31</v>
      </c>
      <c r="G3915">
        <v>2035</v>
      </c>
      <c r="H3915" s="12">
        <v>12.28</v>
      </c>
      <c r="I3915" t="s">
        <v>3183</v>
      </c>
      <c r="J3915" t="s">
        <v>15</v>
      </c>
      <c r="K3915" t="s">
        <v>147</v>
      </c>
      <c r="L3915" t="s">
        <v>654</v>
      </c>
      <c r="M3915" t="s">
        <v>15</v>
      </c>
    </row>
    <row r="3916" spans="1:13">
      <c r="A3916" t="s">
        <v>851</v>
      </c>
      <c r="B3916" t="s">
        <v>687</v>
      </c>
      <c r="C3916" t="s">
        <v>687</v>
      </c>
      <c r="D3916" t="s">
        <v>3185</v>
      </c>
      <c r="E3916" t="s">
        <v>656</v>
      </c>
      <c r="F3916" t="s">
        <v>31</v>
      </c>
      <c r="G3916">
        <v>2040</v>
      </c>
      <c r="H3916" s="12">
        <v>16.38</v>
      </c>
      <c r="I3916" t="s">
        <v>3183</v>
      </c>
      <c r="J3916" t="s">
        <v>15</v>
      </c>
      <c r="K3916" t="s">
        <v>147</v>
      </c>
      <c r="L3916" t="s">
        <v>654</v>
      </c>
      <c r="M3916" t="s">
        <v>15</v>
      </c>
    </row>
    <row r="3917" spans="1:13">
      <c r="A3917" t="s">
        <v>851</v>
      </c>
      <c r="B3917" t="s">
        <v>687</v>
      </c>
      <c r="C3917" t="s">
        <v>687</v>
      </c>
      <c r="D3917" t="s">
        <v>3185</v>
      </c>
      <c r="E3917" t="s">
        <v>656</v>
      </c>
      <c r="F3917" t="s">
        <v>31</v>
      </c>
      <c r="G3917">
        <v>2045</v>
      </c>
      <c r="H3917" s="12">
        <v>18.07</v>
      </c>
      <c r="I3917" t="s">
        <v>3183</v>
      </c>
      <c r="J3917" t="s">
        <v>15</v>
      </c>
      <c r="K3917" t="s">
        <v>147</v>
      </c>
      <c r="L3917" t="s">
        <v>654</v>
      </c>
      <c r="M3917" t="s">
        <v>15</v>
      </c>
    </row>
    <row r="3918" spans="1:13">
      <c r="A3918" t="s">
        <v>851</v>
      </c>
      <c r="B3918" t="s">
        <v>687</v>
      </c>
      <c r="C3918" t="s">
        <v>687</v>
      </c>
      <c r="D3918" t="s">
        <v>3185</v>
      </c>
      <c r="E3918" t="s">
        <v>656</v>
      </c>
      <c r="F3918" t="s">
        <v>31</v>
      </c>
      <c r="G3918">
        <v>2050</v>
      </c>
      <c r="H3918" s="12">
        <v>19.57</v>
      </c>
      <c r="I3918" t="s">
        <v>3183</v>
      </c>
      <c r="J3918" t="s">
        <v>15</v>
      </c>
      <c r="K3918" t="s">
        <v>147</v>
      </c>
      <c r="L3918" t="s">
        <v>654</v>
      </c>
      <c r="M3918" t="s">
        <v>15</v>
      </c>
    </row>
    <row r="3919" spans="1:13">
      <c r="A3919" t="s">
        <v>851</v>
      </c>
      <c r="B3919" t="s">
        <v>686</v>
      </c>
      <c r="C3919" t="s">
        <v>686</v>
      </c>
      <c r="D3919" t="s">
        <v>3185</v>
      </c>
      <c r="E3919" t="s">
        <v>656</v>
      </c>
      <c r="F3919" t="s">
        <v>31</v>
      </c>
      <c r="G3919">
        <v>2010</v>
      </c>
      <c r="H3919" s="12">
        <v>0</v>
      </c>
      <c r="I3919" t="s">
        <v>3183</v>
      </c>
      <c r="J3919" t="s">
        <v>8</v>
      </c>
      <c r="K3919" t="s">
        <v>147</v>
      </c>
      <c r="L3919" t="s">
        <v>654</v>
      </c>
      <c r="M3919" t="s">
        <v>670</v>
      </c>
    </row>
    <row r="3920" spans="1:13">
      <c r="A3920" t="s">
        <v>851</v>
      </c>
      <c r="B3920" t="s">
        <v>686</v>
      </c>
      <c r="C3920" t="s">
        <v>686</v>
      </c>
      <c r="D3920" t="s">
        <v>3185</v>
      </c>
      <c r="E3920" t="s">
        <v>656</v>
      </c>
      <c r="F3920" t="s">
        <v>31</v>
      </c>
      <c r="G3920">
        <v>2015</v>
      </c>
      <c r="H3920" s="12">
        <v>0</v>
      </c>
      <c r="I3920" t="s">
        <v>3183</v>
      </c>
      <c r="J3920" t="s">
        <v>8</v>
      </c>
      <c r="K3920" t="s">
        <v>147</v>
      </c>
      <c r="L3920" t="s">
        <v>654</v>
      </c>
      <c r="M3920" t="s">
        <v>670</v>
      </c>
    </row>
    <row r="3921" spans="1:13">
      <c r="A3921" t="s">
        <v>851</v>
      </c>
      <c r="B3921" t="s">
        <v>686</v>
      </c>
      <c r="C3921" t="s">
        <v>686</v>
      </c>
      <c r="D3921" t="s">
        <v>3185</v>
      </c>
      <c r="E3921" t="s">
        <v>656</v>
      </c>
      <c r="F3921" t="s">
        <v>31</v>
      </c>
      <c r="G3921">
        <v>2020</v>
      </c>
      <c r="H3921" s="12">
        <v>0</v>
      </c>
      <c r="I3921" t="s">
        <v>3183</v>
      </c>
      <c r="J3921" t="s">
        <v>8</v>
      </c>
      <c r="K3921" t="s">
        <v>147</v>
      </c>
      <c r="L3921" t="s">
        <v>654</v>
      </c>
      <c r="M3921" t="s">
        <v>670</v>
      </c>
    </row>
    <row r="3922" spans="1:13">
      <c r="A3922" t="s">
        <v>851</v>
      </c>
      <c r="B3922" t="s">
        <v>686</v>
      </c>
      <c r="C3922" t="s">
        <v>686</v>
      </c>
      <c r="D3922" t="s">
        <v>3185</v>
      </c>
      <c r="E3922" t="s">
        <v>656</v>
      </c>
      <c r="F3922" t="s">
        <v>31</v>
      </c>
      <c r="G3922">
        <v>2030</v>
      </c>
      <c r="H3922" s="12">
        <v>0</v>
      </c>
      <c r="I3922" t="s">
        <v>3183</v>
      </c>
      <c r="J3922" t="s">
        <v>8</v>
      </c>
      <c r="K3922" t="s">
        <v>147</v>
      </c>
      <c r="L3922" t="s">
        <v>654</v>
      </c>
      <c r="M3922" t="s">
        <v>670</v>
      </c>
    </row>
    <row r="3923" spans="1:13">
      <c r="A3923" t="s">
        <v>851</v>
      </c>
      <c r="B3923" t="s">
        <v>686</v>
      </c>
      <c r="C3923" t="s">
        <v>686</v>
      </c>
      <c r="D3923" t="s">
        <v>3185</v>
      </c>
      <c r="E3923" t="s">
        <v>656</v>
      </c>
      <c r="F3923" t="s">
        <v>31</v>
      </c>
      <c r="G3923">
        <v>2035</v>
      </c>
      <c r="H3923" s="12">
        <v>0</v>
      </c>
      <c r="I3923" t="s">
        <v>3183</v>
      </c>
      <c r="J3923" t="s">
        <v>8</v>
      </c>
      <c r="K3923" t="s">
        <v>147</v>
      </c>
      <c r="L3923" t="s">
        <v>654</v>
      </c>
      <c r="M3923" t="s">
        <v>670</v>
      </c>
    </row>
    <row r="3924" spans="1:13">
      <c r="A3924" t="s">
        <v>851</v>
      </c>
      <c r="B3924" t="s">
        <v>686</v>
      </c>
      <c r="C3924" t="s">
        <v>686</v>
      </c>
      <c r="D3924" t="s">
        <v>3185</v>
      </c>
      <c r="E3924" t="s">
        <v>656</v>
      </c>
      <c r="F3924" t="s">
        <v>31</v>
      </c>
      <c r="G3924">
        <v>2040</v>
      </c>
      <c r="H3924" s="12">
        <v>0</v>
      </c>
      <c r="I3924" t="s">
        <v>3183</v>
      </c>
      <c r="J3924" t="s">
        <v>8</v>
      </c>
      <c r="K3924" t="s">
        <v>147</v>
      </c>
      <c r="L3924" t="s">
        <v>654</v>
      </c>
      <c r="M3924" t="s">
        <v>670</v>
      </c>
    </row>
    <row r="3925" spans="1:13">
      <c r="A3925" t="s">
        <v>851</v>
      </c>
      <c r="B3925" t="s">
        <v>686</v>
      </c>
      <c r="C3925" t="s">
        <v>686</v>
      </c>
      <c r="D3925" t="s">
        <v>3185</v>
      </c>
      <c r="E3925" t="s">
        <v>656</v>
      </c>
      <c r="F3925" t="s">
        <v>31</v>
      </c>
      <c r="G3925">
        <v>2045</v>
      </c>
      <c r="H3925" s="12">
        <v>0</v>
      </c>
      <c r="I3925" t="s">
        <v>3183</v>
      </c>
      <c r="J3925" t="s">
        <v>8</v>
      </c>
      <c r="K3925" t="s">
        <v>147</v>
      </c>
      <c r="L3925" t="s">
        <v>654</v>
      </c>
      <c r="M3925" t="s">
        <v>670</v>
      </c>
    </row>
    <row r="3926" spans="1:13">
      <c r="A3926" t="s">
        <v>851</v>
      </c>
      <c r="B3926" t="s">
        <v>686</v>
      </c>
      <c r="C3926" t="s">
        <v>686</v>
      </c>
      <c r="D3926" t="s">
        <v>3185</v>
      </c>
      <c r="E3926" t="s">
        <v>656</v>
      </c>
      <c r="F3926" t="s">
        <v>31</v>
      </c>
      <c r="G3926">
        <v>2050</v>
      </c>
      <c r="H3926" s="12">
        <v>0</v>
      </c>
      <c r="I3926" t="s">
        <v>3183</v>
      </c>
      <c r="J3926" t="s">
        <v>8</v>
      </c>
      <c r="K3926" t="s">
        <v>147</v>
      </c>
      <c r="L3926" t="s">
        <v>654</v>
      </c>
      <c r="M3926" t="s">
        <v>670</v>
      </c>
    </row>
    <row r="3927" spans="1:13">
      <c r="A3927" t="s">
        <v>851</v>
      </c>
      <c r="B3927" t="s">
        <v>687</v>
      </c>
      <c r="C3927" t="s">
        <v>687</v>
      </c>
      <c r="D3927" t="s">
        <v>3185</v>
      </c>
      <c r="E3927" t="s">
        <v>656</v>
      </c>
      <c r="F3927" t="s">
        <v>31</v>
      </c>
      <c r="G3927">
        <v>2030</v>
      </c>
      <c r="H3927" s="12">
        <v>0</v>
      </c>
      <c r="I3927" t="s">
        <v>3183</v>
      </c>
      <c r="J3927" t="s">
        <v>8</v>
      </c>
      <c r="K3927" t="s">
        <v>147</v>
      </c>
      <c r="L3927" t="s">
        <v>654</v>
      </c>
      <c r="M3927" t="s">
        <v>670</v>
      </c>
    </row>
    <row r="3928" spans="1:13">
      <c r="A3928" t="s">
        <v>851</v>
      </c>
      <c r="B3928" t="s">
        <v>687</v>
      </c>
      <c r="C3928" t="s">
        <v>687</v>
      </c>
      <c r="D3928" t="s">
        <v>3185</v>
      </c>
      <c r="E3928" t="s">
        <v>656</v>
      </c>
      <c r="F3928" t="s">
        <v>31</v>
      </c>
      <c r="G3928">
        <v>2035</v>
      </c>
      <c r="H3928" s="12">
        <v>0</v>
      </c>
      <c r="I3928" t="s">
        <v>3183</v>
      </c>
      <c r="J3928" t="s">
        <v>8</v>
      </c>
      <c r="K3928" t="s">
        <v>147</v>
      </c>
      <c r="L3928" t="s">
        <v>654</v>
      </c>
      <c r="M3928" t="s">
        <v>670</v>
      </c>
    </row>
    <row r="3929" spans="1:13">
      <c r="A3929" t="s">
        <v>851</v>
      </c>
      <c r="B3929" t="s">
        <v>687</v>
      </c>
      <c r="C3929" t="s">
        <v>687</v>
      </c>
      <c r="D3929" t="s">
        <v>3185</v>
      </c>
      <c r="E3929" t="s">
        <v>656</v>
      </c>
      <c r="F3929" t="s">
        <v>31</v>
      </c>
      <c r="G3929">
        <v>2040</v>
      </c>
      <c r="H3929" s="12">
        <v>0</v>
      </c>
      <c r="I3929" t="s">
        <v>3183</v>
      </c>
      <c r="J3929" t="s">
        <v>8</v>
      </c>
      <c r="K3929" t="s">
        <v>147</v>
      </c>
      <c r="L3929" t="s">
        <v>654</v>
      </c>
      <c r="M3929" t="s">
        <v>670</v>
      </c>
    </row>
    <row r="3930" spans="1:13">
      <c r="A3930" t="s">
        <v>851</v>
      </c>
      <c r="B3930" t="s">
        <v>687</v>
      </c>
      <c r="C3930" t="s">
        <v>687</v>
      </c>
      <c r="D3930" t="s">
        <v>3185</v>
      </c>
      <c r="E3930" t="s">
        <v>656</v>
      </c>
      <c r="F3930" t="s">
        <v>31</v>
      </c>
      <c r="G3930">
        <v>2045</v>
      </c>
      <c r="H3930" s="12">
        <v>0</v>
      </c>
      <c r="I3930" t="s">
        <v>3183</v>
      </c>
      <c r="J3930" t="s">
        <v>8</v>
      </c>
      <c r="K3930" t="s">
        <v>147</v>
      </c>
      <c r="L3930" t="s">
        <v>654</v>
      </c>
      <c r="M3930" t="s">
        <v>670</v>
      </c>
    </row>
    <row r="3931" spans="1:13">
      <c r="A3931" t="s">
        <v>851</v>
      </c>
      <c r="B3931" t="s">
        <v>687</v>
      </c>
      <c r="C3931" t="s">
        <v>687</v>
      </c>
      <c r="D3931" t="s">
        <v>3185</v>
      </c>
      <c r="E3931" t="s">
        <v>656</v>
      </c>
      <c r="F3931" t="s">
        <v>31</v>
      </c>
      <c r="G3931">
        <v>2050</v>
      </c>
      <c r="H3931" s="12">
        <v>0</v>
      </c>
      <c r="I3931" t="s">
        <v>3183</v>
      </c>
      <c r="J3931" t="s">
        <v>8</v>
      </c>
      <c r="K3931" t="s">
        <v>147</v>
      </c>
      <c r="L3931" t="s">
        <v>654</v>
      </c>
      <c r="M3931" t="s">
        <v>670</v>
      </c>
    </row>
    <row r="3932" spans="1:13">
      <c r="A3932" t="s">
        <v>851</v>
      </c>
      <c r="B3932" t="s">
        <v>686</v>
      </c>
      <c r="C3932" t="s">
        <v>686</v>
      </c>
      <c r="D3932" t="s">
        <v>3185</v>
      </c>
      <c r="E3932" t="s">
        <v>656</v>
      </c>
      <c r="F3932" t="s">
        <v>31</v>
      </c>
      <c r="G3932">
        <v>2040</v>
      </c>
      <c r="H3932" s="12">
        <v>77.56</v>
      </c>
      <c r="I3932" t="s">
        <v>3183</v>
      </c>
      <c r="J3932" t="s">
        <v>394</v>
      </c>
      <c r="K3932" t="s">
        <v>147</v>
      </c>
      <c r="L3932" t="s">
        <v>654</v>
      </c>
      <c r="M3932" t="s">
        <v>16</v>
      </c>
    </row>
    <row r="3933" spans="1:13">
      <c r="A3933" t="s">
        <v>851</v>
      </c>
      <c r="B3933" t="s">
        <v>686</v>
      </c>
      <c r="C3933" t="s">
        <v>686</v>
      </c>
      <c r="D3933" t="s">
        <v>3185</v>
      </c>
      <c r="E3933" t="s">
        <v>656</v>
      </c>
      <c r="F3933" t="s">
        <v>31</v>
      </c>
      <c r="G3933">
        <v>2045</v>
      </c>
      <c r="H3933" s="12">
        <v>73.37</v>
      </c>
      <c r="I3933" t="s">
        <v>3183</v>
      </c>
      <c r="J3933" t="s">
        <v>394</v>
      </c>
      <c r="K3933" t="s">
        <v>147</v>
      </c>
      <c r="L3933" t="s">
        <v>654</v>
      </c>
      <c r="M3933" t="s">
        <v>16</v>
      </c>
    </row>
    <row r="3934" spans="1:13">
      <c r="A3934" t="s">
        <v>851</v>
      </c>
      <c r="B3934" t="s">
        <v>686</v>
      </c>
      <c r="C3934" t="s">
        <v>686</v>
      </c>
      <c r="D3934" t="s">
        <v>3185</v>
      </c>
      <c r="E3934" t="s">
        <v>656</v>
      </c>
      <c r="F3934" t="s">
        <v>31</v>
      </c>
      <c r="G3934">
        <v>2050</v>
      </c>
      <c r="H3934" s="12">
        <v>68.94</v>
      </c>
      <c r="I3934" t="s">
        <v>3183</v>
      </c>
      <c r="J3934" t="s">
        <v>394</v>
      </c>
      <c r="K3934" t="s">
        <v>147</v>
      </c>
      <c r="L3934" t="s">
        <v>654</v>
      </c>
      <c r="M3934" t="s">
        <v>16</v>
      </c>
    </row>
    <row r="3935" spans="1:13">
      <c r="A3935" t="s">
        <v>851</v>
      </c>
      <c r="B3935" t="s">
        <v>687</v>
      </c>
      <c r="C3935" t="s">
        <v>687</v>
      </c>
      <c r="D3935" t="s">
        <v>3185</v>
      </c>
      <c r="E3935" t="s">
        <v>656</v>
      </c>
      <c r="F3935" t="s">
        <v>31</v>
      </c>
      <c r="G3935">
        <v>2030</v>
      </c>
      <c r="H3935" s="12">
        <v>79.14</v>
      </c>
      <c r="I3935" t="s">
        <v>3183</v>
      </c>
      <c r="J3935" t="s">
        <v>394</v>
      </c>
      <c r="K3935" t="s">
        <v>147</v>
      </c>
      <c r="L3935" t="s">
        <v>654</v>
      </c>
      <c r="M3935" t="s">
        <v>16</v>
      </c>
    </row>
    <row r="3936" spans="1:13">
      <c r="A3936" t="s">
        <v>851</v>
      </c>
      <c r="B3936" t="s">
        <v>687</v>
      </c>
      <c r="C3936" t="s">
        <v>687</v>
      </c>
      <c r="D3936" t="s">
        <v>3185</v>
      </c>
      <c r="E3936" t="s">
        <v>656</v>
      </c>
      <c r="F3936" t="s">
        <v>31</v>
      </c>
      <c r="G3936">
        <v>2035</v>
      </c>
      <c r="H3936" s="12">
        <v>73.430000000000007</v>
      </c>
      <c r="I3936" t="s">
        <v>3183</v>
      </c>
      <c r="J3936" t="s">
        <v>394</v>
      </c>
      <c r="K3936" t="s">
        <v>147</v>
      </c>
      <c r="L3936" t="s">
        <v>654</v>
      </c>
      <c r="M3936" t="s">
        <v>16</v>
      </c>
    </row>
    <row r="3937" spans="1:13">
      <c r="A3937" t="s">
        <v>851</v>
      </c>
      <c r="B3937" t="s">
        <v>687</v>
      </c>
      <c r="C3937" t="s">
        <v>687</v>
      </c>
      <c r="D3937" t="s">
        <v>3185</v>
      </c>
      <c r="E3937" t="s">
        <v>656</v>
      </c>
      <c r="F3937" t="s">
        <v>31</v>
      </c>
      <c r="G3937">
        <v>2040</v>
      </c>
      <c r="H3937" s="12">
        <v>73.55</v>
      </c>
      <c r="I3937" t="s">
        <v>3183</v>
      </c>
      <c r="J3937" t="s">
        <v>394</v>
      </c>
      <c r="K3937" t="s">
        <v>147</v>
      </c>
      <c r="L3937" t="s">
        <v>654</v>
      </c>
      <c r="M3937" t="s">
        <v>16</v>
      </c>
    </row>
    <row r="3938" spans="1:13">
      <c r="A3938" t="s">
        <v>851</v>
      </c>
      <c r="B3938" t="s">
        <v>687</v>
      </c>
      <c r="C3938" t="s">
        <v>687</v>
      </c>
      <c r="D3938" t="s">
        <v>3185</v>
      </c>
      <c r="E3938" t="s">
        <v>656</v>
      </c>
      <c r="F3938" t="s">
        <v>31</v>
      </c>
      <c r="G3938">
        <v>2045</v>
      </c>
      <c r="H3938" s="12">
        <v>67.88</v>
      </c>
      <c r="I3938" t="s">
        <v>3183</v>
      </c>
      <c r="J3938" t="s">
        <v>394</v>
      </c>
      <c r="K3938" t="s">
        <v>147</v>
      </c>
      <c r="L3938" t="s">
        <v>654</v>
      </c>
      <c r="M3938" t="s">
        <v>16</v>
      </c>
    </row>
    <row r="3939" spans="1:13">
      <c r="A3939" t="s">
        <v>851</v>
      </c>
      <c r="B3939" t="s">
        <v>687</v>
      </c>
      <c r="C3939" t="s">
        <v>687</v>
      </c>
      <c r="D3939" t="s">
        <v>3185</v>
      </c>
      <c r="E3939" t="s">
        <v>656</v>
      </c>
      <c r="F3939" t="s">
        <v>31</v>
      </c>
      <c r="G3939">
        <v>2050</v>
      </c>
      <c r="H3939" s="12">
        <v>61.79</v>
      </c>
      <c r="I3939" t="s">
        <v>3183</v>
      </c>
      <c r="J3939" t="s">
        <v>394</v>
      </c>
      <c r="K3939" t="s">
        <v>147</v>
      </c>
      <c r="L3939" t="s">
        <v>654</v>
      </c>
      <c r="M3939" t="s">
        <v>16</v>
      </c>
    </row>
    <row r="3940" spans="1:13">
      <c r="A3940" t="s">
        <v>851</v>
      </c>
      <c r="B3940" t="s">
        <v>686</v>
      </c>
      <c r="C3940" t="s">
        <v>686</v>
      </c>
      <c r="D3940" t="s">
        <v>3185</v>
      </c>
      <c r="E3940" t="s">
        <v>656</v>
      </c>
      <c r="F3940" t="s">
        <v>31</v>
      </c>
      <c r="G3940">
        <v>2010</v>
      </c>
      <c r="H3940" s="12">
        <v>0.01</v>
      </c>
      <c r="I3940" t="s">
        <v>3183</v>
      </c>
      <c r="J3940" t="s">
        <v>484</v>
      </c>
      <c r="K3940" t="s">
        <v>147</v>
      </c>
      <c r="L3940" t="s">
        <v>654</v>
      </c>
      <c r="M3940" t="s">
        <v>667</v>
      </c>
    </row>
    <row r="3941" spans="1:13">
      <c r="A3941" t="s">
        <v>851</v>
      </c>
      <c r="B3941" t="s">
        <v>687</v>
      </c>
      <c r="C3941" t="s">
        <v>687</v>
      </c>
      <c r="D3941" t="s">
        <v>3185</v>
      </c>
      <c r="E3941" t="s">
        <v>461</v>
      </c>
      <c r="F3941" t="s">
        <v>668</v>
      </c>
      <c r="G3941">
        <v>2030</v>
      </c>
      <c r="H3941" s="12">
        <v>9.23</v>
      </c>
      <c r="I3941" t="s">
        <v>3183</v>
      </c>
      <c r="J3941" t="s">
        <v>41</v>
      </c>
      <c r="K3941" t="s">
        <v>147</v>
      </c>
      <c r="L3941" t="s">
        <v>654</v>
      </c>
      <c r="M3941" t="s">
        <v>669</v>
      </c>
    </row>
    <row r="3942" spans="1:13">
      <c r="A3942" t="s">
        <v>851</v>
      </c>
      <c r="B3942" t="s">
        <v>687</v>
      </c>
      <c r="C3942" t="s">
        <v>687</v>
      </c>
      <c r="D3942" t="s">
        <v>3185</v>
      </c>
      <c r="E3942" t="s">
        <v>461</v>
      </c>
      <c r="F3942" t="s">
        <v>668</v>
      </c>
      <c r="G3942">
        <v>2035</v>
      </c>
      <c r="H3942" s="12">
        <v>19.23</v>
      </c>
      <c r="I3942" t="s">
        <v>3183</v>
      </c>
      <c r="J3942" t="s">
        <v>41</v>
      </c>
      <c r="K3942" t="s">
        <v>147</v>
      </c>
      <c r="L3942" t="s">
        <v>654</v>
      </c>
      <c r="M3942" t="s">
        <v>669</v>
      </c>
    </row>
    <row r="3943" spans="1:13">
      <c r="A3943" t="s">
        <v>851</v>
      </c>
      <c r="B3943" t="s">
        <v>687</v>
      </c>
      <c r="C3943" t="s">
        <v>687</v>
      </c>
      <c r="D3943" t="s">
        <v>3185</v>
      </c>
      <c r="E3943" t="s">
        <v>461</v>
      </c>
      <c r="F3943" t="s">
        <v>668</v>
      </c>
      <c r="G3943">
        <v>2040</v>
      </c>
      <c r="H3943" s="12">
        <v>30.11</v>
      </c>
      <c r="I3943" t="s">
        <v>3183</v>
      </c>
      <c r="J3943" t="s">
        <v>41</v>
      </c>
      <c r="K3943" t="s">
        <v>147</v>
      </c>
      <c r="L3943" t="s">
        <v>654</v>
      </c>
      <c r="M3943" t="s">
        <v>669</v>
      </c>
    </row>
    <row r="3944" spans="1:13">
      <c r="A3944" t="s">
        <v>851</v>
      </c>
      <c r="B3944" t="s">
        <v>687</v>
      </c>
      <c r="C3944" t="s">
        <v>687</v>
      </c>
      <c r="D3944" t="s">
        <v>3185</v>
      </c>
      <c r="E3944" t="s">
        <v>461</v>
      </c>
      <c r="F3944" t="s">
        <v>668</v>
      </c>
      <c r="G3944">
        <v>2045</v>
      </c>
      <c r="H3944" s="12">
        <v>40.869999999999997</v>
      </c>
      <c r="I3944" t="s">
        <v>3183</v>
      </c>
      <c r="J3944" t="s">
        <v>41</v>
      </c>
      <c r="K3944" t="s">
        <v>147</v>
      </c>
      <c r="L3944" t="s">
        <v>654</v>
      </c>
      <c r="M3944" t="s">
        <v>669</v>
      </c>
    </row>
    <row r="3945" spans="1:13">
      <c r="A3945" t="s">
        <v>851</v>
      </c>
      <c r="B3945" t="s">
        <v>687</v>
      </c>
      <c r="C3945" t="s">
        <v>687</v>
      </c>
      <c r="D3945" t="s">
        <v>3185</v>
      </c>
      <c r="E3945" t="s">
        <v>461</v>
      </c>
      <c r="F3945" t="s">
        <v>668</v>
      </c>
      <c r="G3945">
        <v>2050</v>
      </c>
      <c r="H3945" s="12">
        <v>52.17</v>
      </c>
      <c r="I3945" t="s">
        <v>3183</v>
      </c>
      <c r="J3945" t="s">
        <v>41</v>
      </c>
      <c r="K3945" t="s">
        <v>147</v>
      </c>
      <c r="L3945" t="s">
        <v>654</v>
      </c>
      <c r="M3945" t="s">
        <v>669</v>
      </c>
    </row>
    <row r="3946" spans="1:13">
      <c r="A3946" t="s">
        <v>851</v>
      </c>
      <c r="B3946" t="s">
        <v>686</v>
      </c>
      <c r="C3946" t="s">
        <v>686</v>
      </c>
      <c r="D3946" t="s">
        <v>3185</v>
      </c>
      <c r="E3946" t="s">
        <v>461</v>
      </c>
      <c r="F3946" t="s">
        <v>668</v>
      </c>
      <c r="G3946">
        <v>2010</v>
      </c>
      <c r="H3946" s="12">
        <v>0</v>
      </c>
      <c r="I3946" t="s">
        <v>3183</v>
      </c>
      <c r="J3946" t="s">
        <v>15</v>
      </c>
      <c r="K3946" t="s">
        <v>147</v>
      </c>
      <c r="L3946" t="s">
        <v>654</v>
      </c>
      <c r="M3946" t="s">
        <v>15</v>
      </c>
    </row>
    <row r="3947" spans="1:13">
      <c r="A3947" t="s">
        <v>851</v>
      </c>
      <c r="B3947" t="s">
        <v>686</v>
      </c>
      <c r="C3947" t="s">
        <v>686</v>
      </c>
      <c r="D3947" t="s">
        <v>3185</v>
      </c>
      <c r="E3947" t="s">
        <v>461</v>
      </c>
      <c r="F3947" t="s">
        <v>668</v>
      </c>
      <c r="G3947">
        <v>2015</v>
      </c>
      <c r="H3947" s="12">
        <v>2.91</v>
      </c>
      <c r="I3947" t="s">
        <v>3183</v>
      </c>
      <c r="J3947" t="s">
        <v>15</v>
      </c>
      <c r="K3947" t="s">
        <v>147</v>
      </c>
      <c r="L3947" t="s">
        <v>654</v>
      </c>
      <c r="M3947" t="s">
        <v>15</v>
      </c>
    </row>
    <row r="3948" spans="1:13">
      <c r="A3948" t="s">
        <v>851</v>
      </c>
      <c r="B3948" t="s">
        <v>686</v>
      </c>
      <c r="C3948" t="s">
        <v>686</v>
      </c>
      <c r="D3948" t="s">
        <v>3185</v>
      </c>
      <c r="E3948" t="s">
        <v>461</v>
      </c>
      <c r="F3948" t="s">
        <v>668</v>
      </c>
      <c r="G3948">
        <v>2020</v>
      </c>
      <c r="H3948" s="12">
        <v>5.79</v>
      </c>
      <c r="I3948" t="s">
        <v>3183</v>
      </c>
      <c r="J3948" t="s">
        <v>15</v>
      </c>
      <c r="K3948" t="s">
        <v>147</v>
      </c>
      <c r="L3948" t="s">
        <v>654</v>
      </c>
      <c r="M3948" t="s">
        <v>15</v>
      </c>
    </row>
    <row r="3949" spans="1:13">
      <c r="A3949" t="s">
        <v>851</v>
      </c>
      <c r="B3949" t="s">
        <v>686</v>
      </c>
      <c r="C3949" t="s">
        <v>686</v>
      </c>
      <c r="D3949" t="s">
        <v>3185</v>
      </c>
      <c r="E3949" t="s">
        <v>461</v>
      </c>
      <c r="F3949" t="s">
        <v>668</v>
      </c>
      <c r="G3949">
        <v>2030</v>
      </c>
      <c r="H3949" s="12">
        <v>50.62</v>
      </c>
      <c r="I3949" t="s">
        <v>3183</v>
      </c>
      <c r="J3949" t="s">
        <v>15</v>
      </c>
      <c r="K3949" t="s">
        <v>147</v>
      </c>
      <c r="L3949" t="s">
        <v>654</v>
      </c>
      <c r="M3949" t="s">
        <v>15</v>
      </c>
    </row>
    <row r="3950" spans="1:13">
      <c r="A3950" t="s">
        <v>851</v>
      </c>
      <c r="B3950" t="s">
        <v>686</v>
      </c>
      <c r="C3950" t="s">
        <v>686</v>
      </c>
      <c r="D3950" t="s">
        <v>3185</v>
      </c>
      <c r="E3950" t="s">
        <v>461</v>
      </c>
      <c r="F3950" t="s">
        <v>668</v>
      </c>
      <c r="G3950">
        <v>2035</v>
      </c>
      <c r="H3950" s="12">
        <v>71.44</v>
      </c>
      <c r="I3950" t="s">
        <v>3183</v>
      </c>
      <c r="J3950" t="s">
        <v>15</v>
      </c>
      <c r="K3950" t="s">
        <v>147</v>
      </c>
      <c r="L3950" t="s">
        <v>654</v>
      </c>
      <c r="M3950" t="s">
        <v>15</v>
      </c>
    </row>
    <row r="3951" spans="1:13">
      <c r="A3951" t="s">
        <v>851</v>
      </c>
      <c r="B3951" t="s">
        <v>686</v>
      </c>
      <c r="C3951" t="s">
        <v>686</v>
      </c>
      <c r="D3951" t="s">
        <v>3185</v>
      </c>
      <c r="E3951" t="s">
        <v>461</v>
      </c>
      <c r="F3951" t="s">
        <v>668</v>
      </c>
      <c r="G3951">
        <v>2040</v>
      </c>
      <c r="H3951" s="12">
        <v>79.56</v>
      </c>
      <c r="I3951" t="s">
        <v>3183</v>
      </c>
      <c r="J3951" t="s">
        <v>15</v>
      </c>
      <c r="K3951" t="s">
        <v>147</v>
      </c>
      <c r="L3951" t="s">
        <v>654</v>
      </c>
      <c r="M3951" t="s">
        <v>15</v>
      </c>
    </row>
    <row r="3952" spans="1:13">
      <c r="A3952" t="s">
        <v>851</v>
      </c>
      <c r="B3952" t="s">
        <v>686</v>
      </c>
      <c r="C3952" t="s">
        <v>686</v>
      </c>
      <c r="D3952" t="s">
        <v>3185</v>
      </c>
      <c r="E3952" t="s">
        <v>461</v>
      </c>
      <c r="F3952" t="s">
        <v>668</v>
      </c>
      <c r="G3952">
        <v>2045</v>
      </c>
      <c r="H3952" s="12">
        <v>88.15</v>
      </c>
      <c r="I3952" t="s">
        <v>3183</v>
      </c>
      <c r="J3952" t="s">
        <v>15</v>
      </c>
      <c r="K3952" t="s">
        <v>147</v>
      </c>
      <c r="L3952" t="s">
        <v>654</v>
      </c>
      <c r="M3952" t="s">
        <v>15</v>
      </c>
    </row>
    <row r="3953" spans="1:13">
      <c r="A3953" t="s">
        <v>851</v>
      </c>
      <c r="B3953" t="s">
        <v>686</v>
      </c>
      <c r="C3953" t="s">
        <v>686</v>
      </c>
      <c r="D3953" t="s">
        <v>3185</v>
      </c>
      <c r="E3953" t="s">
        <v>461</v>
      </c>
      <c r="F3953" t="s">
        <v>668</v>
      </c>
      <c r="G3953">
        <v>2050</v>
      </c>
      <c r="H3953" s="12">
        <v>95.51</v>
      </c>
      <c r="I3953" t="s">
        <v>3183</v>
      </c>
      <c r="J3953" t="s">
        <v>15</v>
      </c>
      <c r="K3953" t="s">
        <v>147</v>
      </c>
      <c r="L3953" t="s">
        <v>654</v>
      </c>
      <c r="M3953" t="s">
        <v>15</v>
      </c>
    </row>
    <row r="3954" spans="1:13">
      <c r="A3954" t="s">
        <v>851</v>
      </c>
      <c r="B3954" t="s">
        <v>687</v>
      </c>
      <c r="C3954" t="s">
        <v>687</v>
      </c>
      <c r="D3954" t="s">
        <v>3185</v>
      </c>
      <c r="E3954" t="s">
        <v>461</v>
      </c>
      <c r="F3954" t="s">
        <v>668</v>
      </c>
      <c r="G3954">
        <v>2030</v>
      </c>
      <c r="H3954" s="12">
        <v>61.99</v>
      </c>
      <c r="I3954" t="s">
        <v>3183</v>
      </c>
      <c r="J3954" t="s">
        <v>15</v>
      </c>
      <c r="K3954" t="s">
        <v>147</v>
      </c>
      <c r="L3954" t="s">
        <v>654</v>
      </c>
      <c r="M3954" t="s">
        <v>15</v>
      </c>
    </row>
    <row r="3955" spans="1:13">
      <c r="A3955" t="s">
        <v>851</v>
      </c>
      <c r="B3955" t="s">
        <v>687</v>
      </c>
      <c r="C3955" t="s">
        <v>687</v>
      </c>
      <c r="D3955" t="s">
        <v>3185</v>
      </c>
      <c r="E3955" t="s">
        <v>461</v>
      </c>
      <c r="F3955" t="s">
        <v>668</v>
      </c>
      <c r="G3955">
        <v>2035</v>
      </c>
      <c r="H3955" s="12">
        <v>86.75</v>
      </c>
      <c r="I3955" t="s">
        <v>3183</v>
      </c>
      <c r="J3955" t="s">
        <v>15</v>
      </c>
      <c r="K3955" t="s">
        <v>147</v>
      </c>
      <c r="L3955" t="s">
        <v>654</v>
      </c>
      <c r="M3955" t="s">
        <v>15</v>
      </c>
    </row>
    <row r="3956" spans="1:13">
      <c r="A3956" t="s">
        <v>851</v>
      </c>
      <c r="B3956" t="s">
        <v>687</v>
      </c>
      <c r="C3956" t="s">
        <v>687</v>
      </c>
      <c r="D3956" t="s">
        <v>3185</v>
      </c>
      <c r="E3956" t="s">
        <v>461</v>
      </c>
      <c r="F3956" t="s">
        <v>668</v>
      </c>
      <c r="G3956">
        <v>2040</v>
      </c>
      <c r="H3956" s="12">
        <v>118.2</v>
      </c>
      <c r="I3956" t="s">
        <v>3183</v>
      </c>
      <c r="J3956" t="s">
        <v>15</v>
      </c>
      <c r="K3956" t="s">
        <v>147</v>
      </c>
      <c r="L3956" t="s">
        <v>654</v>
      </c>
      <c r="M3956" t="s">
        <v>15</v>
      </c>
    </row>
    <row r="3957" spans="1:13">
      <c r="A3957" t="s">
        <v>851</v>
      </c>
      <c r="B3957" t="s">
        <v>687</v>
      </c>
      <c r="C3957" t="s">
        <v>687</v>
      </c>
      <c r="D3957" t="s">
        <v>3185</v>
      </c>
      <c r="E3957" t="s">
        <v>461</v>
      </c>
      <c r="F3957" t="s">
        <v>668</v>
      </c>
      <c r="G3957">
        <v>2045</v>
      </c>
      <c r="H3957" s="12">
        <v>134.59</v>
      </c>
      <c r="I3957" t="s">
        <v>3183</v>
      </c>
      <c r="J3957" t="s">
        <v>15</v>
      </c>
      <c r="K3957" t="s">
        <v>147</v>
      </c>
      <c r="L3957" t="s">
        <v>654</v>
      </c>
      <c r="M3957" t="s">
        <v>15</v>
      </c>
    </row>
    <row r="3958" spans="1:13">
      <c r="A3958" t="s">
        <v>851</v>
      </c>
      <c r="B3958" t="s">
        <v>687</v>
      </c>
      <c r="C3958" t="s">
        <v>687</v>
      </c>
      <c r="D3958" t="s">
        <v>3185</v>
      </c>
      <c r="E3958" t="s">
        <v>461</v>
      </c>
      <c r="F3958" t="s">
        <v>668</v>
      </c>
      <c r="G3958">
        <v>2050</v>
      </c>
      <c r="H3958" s="12">
        <v>137.81</v>
      </c>
      <c r="I3958" t="s">
        <v>3183</v>
      </c>
      <c r="J3958" t="s">
        <v>15</v>
      </c>
      <c r="K3958" t="s">
        <v>147</v>
      </c>
      <c r="L3958" t="s">
        <v>654</v>
      </c>
      <c r="M3958" t="s">
        <v>15</v>
      </c>
    </row>
    <row r="3959" spans="1:13">
      <c r="A3959" t="s">
        <v>851</v>
      </c>
      <c r="B3959" t="s">
        <v>686</v>
      </c>
      <c r="C3959" t="s">
        <v>686</v>
      </c>
      <c r="D3959" t="s">
        <v>3185</v>
      </c>
      <c r="E3959" t="s">
        <v>461</v>
      </c>
      <c r="F3959" t="s">
        <v>668</v>
      </c>
      <c r="G3959">
        <v>2010</v>
      </c>
      <c r="H3959" s="12">
        <v>0</v>
      </c>
      <c r="I3959" t="s">
        <v>3183</v>
      </c>
      <c r="J3959" t="s">
        <v>8</v>
      </c>
      <c r="K3959" t="s">
        <v>147</v>
      </c>
      <c r="L3959" t="s">
        <v>654</v>
      </c>
      <c r="M3959" t="s">
        <v>670</v>
      </c>
    </row>
    <row r="3960" spans="1:13">
      <c r="A3960" t="s">
        <v>851</v>
      </c>
      <c r="B3960" t="s">
        <v>686</v>
      </c>
      <c r="C3960" t="s">
        <v>686</v>
      </c>
      <c r="D3960" t="s">
        <v>3185</v>
      </c>
      <c r="E3960" t="s">
        <v>461</v>
      </c>
      <c r="F3960" t="s">
        <v>668</v>
      </c>
      <c r="G3960">
        <v>2015</v>
      </c>
      <c r="H3960" s="12">
        <v>0</v>
      </c>
      <c r="I3960" t="s">
        <v>3183</v>
      </c>
      <c r="J3960" t="s">
        <v>8</v>
      </c>
      <c r="K3960" t="s">
        <v>147</v>
      </c>
      <c r="L3960" t="s">
        <v>654</v>
      </c>
      <c r="M3960" t="s">
        <v>670</v>
      </c>
    </row>
    <row r="3961" spans="1:13">
      <c r="A3961" t="s">
        <v>851</v>
      </c>
      <c r="B3961" t="s">
        <v>686</v>
      </c>
      <c r="C3961" t="s">
        <v>686</v>
      </c>
      <c r="D3961" t="s">
        <v>3185</v>
      </c>
      <c r="E3961" t="s">
        <v>461</v>
      </c>
      <c r="F3961" t="s">
        <v>668</v>
      </c>
      <c r="G3961">
        <v>2020</v>
      </c>
      <c r="H3961" s="12">
        <v>0</v>
      </c>
      <c r="I3961" t="s">
        <v>3183</v>
      </c>
      <c r="J3961" t="s">
        <v>8</v>
      </c>
      <c r="K3961" t="s">
        <v>147</v>
      </c>
      <c r="L3961" t="s">
        <v>654</v>
      </c>
      <c r="M3961" t="s">
        <v>670</v>
      </c>
    </row>
    <row r="3962" spans="1:13">
      <c r="A3962" t="s">
        <v>851</v>
      </c>
      <c r="B3962" t="s">
        <v>686</v>
      </c>
      <c r="C3962" t="s">
        <v>686</v>
      </c>
      <c r="D3962" t="s">
        <v>3185</v>
      </c>
      <c r="E3962" t="s">
        <v>461</v>
      </c>
      <c r="F3962" t="s">
        <v>668</v>
      </c>
      <c r="G3962">
        <v>2030</v>
      </c>
      <c r="H3962" s="12">
        <v>0</v>
      </c>
      <c r="I3962" t="s">
        <v>3183</v>
      </c>
      <c r="J3962" t="s">
        <v>8</v>
      </c>
      <c r="K3962" t="s">
        <v>147</v>
      </c>
      <c r="L3962" t="s">
        <v>654</v>
      </c>
      <c r="M3962" t="s">
        <v>670</v>
      </c>
    </row>
    <row r="3963" spans="1:13">
      <c r="A3963" t="s">
        <v>851</v>
      </c>
      <c r="B3963" t="s">
        <v>686</v>
      </c>
      <c r="C3963" t="s">
        <v>686</v>
      </c>
      <c r="D3963" t="s">
        <v>3185</v>
      </c>
      <c r="E3963" t="s">
        <v>461</v>
      </c>
      <c r="F3963" t="s">
        <v>668</v>
      </c>
      <c r="G3963">
        <v>2035</v>
      </c>
      <c r="H3963" s="12">
        <v>0</v>
      </c>
      <c r="I3963" t="s">
        <v>3183</v>
      </c>
      <c r="J3963" t="s">
        <v>8</v>
      </c>
      <c r="K3963" t="s">
        <v>147</v>
      </c>
      <c r="L3963" t="s">
        <v>654</v>
      </c>
      <c r="M3963" t="s">
        <v>670</v>
      </c>
    </row>
    <row r="3964" spans="1:13">
      <c r="A3964" t="s">
        <v>851</v>
      </c>
      <c r="B3964" t="s">
        <v>686</v>
      </c>
      <c r="C3964" t="s">
        <v>686</v>
      </c>
      <c r="D3964" t="s">
        <v>3185</v>
      </c>
      <c r="E3964" t="s">
        <v>461</v>
      </c>
      <c r="F3964" t="s">
        <v>668</v>
      </c>
      <c r="G3964">
        <v>2040</v>
      </c>
      <c r="H3964" s="12">
        <v>0</v>
      </c>
      <c r="I3964" t="s">
        <v>3183</v>
      </c>
      <c r="J3964" t="s">
        <v>8</v>
      </c>
      <c r="K3964" t="s">
        <v>147</v>
      </c>
      <c r="L3964" t="s">
        <v>654</v>
      </c>
      <c r="M3964" t="s">
        <v>670</v>
      </c>
    </row>
    <row r="3965" spans="1:13">
      <c r="A3965" t="s">
        <v>851</v>
      </c>
      <c r="B3965" t="s">
        <v>686</v>
      </c>
      <c r="C3965" t="s">
        <v>686</v>
      </c>
      <c r="D3965" t="s">
        <v>3185</v>
      </c>
      <c r="E3965" t="s">
        <v>461</v>
      </c>
      <c r="F3965" t="s">
        <v>668</v>
      </c>
      <c r="G3965">
        <v>2045</v>
      </c>
      <c r="H3965" s="12">
        <v>0</v>
      </c>
      <c r="I3965" t="s">
        <v>3183</v>
      </c>
      <c r="J3965" t="s">
        <v>8</v>
      </c>
      <c r="K3965" t="s">
        <v>147</v>
      </c>
      <c r="L3965" t="s">
        <v>654</v>
      </c>
      <c r="M3965" t="s">
        <v>670</v>
      </c>
    </row>
    <row r="3966" spans="1:13">
      <c r="A3966" t="s">
        <v>851</v>
      </c>
      <c r="B3966" t="s">
        <v>686</v>
      </c>
      <c r="C3966" t="s">
        <v>686</v>
      </c>
      <c r="D3966" t="s">
        <v>3185</v>
      </c>
      <c r="E3966" t="s">
        <v>461</v>
      </c>
      <c r="F3966" t="s">
        <v>668</v>
      </c>
      <c r="G3966">
        <v>2050</v>
      </c>
      <c r="H3966" s="12">
        <v>0</v>
      </c>
      <c r="I3966" t="s">
        <v>3183</v>
      </c>
      <c r="J3966" t="s">
        <v>8</v>
      </c>
      <c r="K3966" t="s">
        <v>147</v>
      </c>
      <c r="L3966" t="s">
        <v>654</v>
      </c>
      <c r="M3966" t="s">
        <v>670</v>
      </c>
    </row>
    <row r="3967" spans="1:13">
      <c r="A3967" t="s">
        <v>851</v>
      </c>
      <c r="B3967" t="s">
        <v>687</v>
      </c>
      <c r="C3967" t="s">
        <v>687</v>
      </c>
      <c r="D3967" t="s">
        <v>3185</v>
      </c>
      <c r="E3967" t="s">
        <v>461</v>
      </c>
      <c r="F3967" t="s">
        <v>668</v>
      </c>
      <c r="G3967">
        <v>2030</v>
      </c>
      <c r="H3967" s="12">
        <v>0</v>
      </c>
      <c r="I3967" t="s">
        <v>3183</v>
      </c>
      <c r="J3967" t="s">
        <v>8</v>
      </c>
      <c r="K3967" t="s">
        <v>147</v>
      </c>
      <c r="L3967" t="s">
        <v>654</v>
      </c>
      <c r="M3967" t="s">
        <v>670</v>
      </c>
    </row>
    <row r="3968" spans="1:13">
      <c r="A3968" t="s">
        <v>851</v>
      </c>
      <c r="B3968" t="s">
        <v>687</v>
      </c>
      <c r="C3968" t="s">
        <v>687</v>
      </c>
      <c r="D3968" t="s">
        <v>3185</v>
      </c>
      <c r="E3968" t="s">
        <v>461</v>
      </c>
      <c r="F3968" t="s">
        <v>668</v>
      </c>
      <c r="G3968">
        <v>2035</v>
      </c>
      <c r="H3968" s="12">
        <v>0</v>
      </c>
      <c r="I3968" t="s">
        <v>3183</v>
      </c>
      <c r="J3968" t="s">
        <v>8</v>
      </c>
      <c r="K3968" t="s">
        <v>147</v>
      </c>
      <c r="L3968" t="s">
        <v>654</v>
      </c>
      <c r="M3968" t="s">
        <v>670</v>
      </c>
    </row>
    <row r="3969" spans="1:13">
      <c r="A3969" t="s">
        <v>851</v>
      </c>
      <c r="B3969" t="s">
        <v>686</v>
      </c>
      <c r="C3969" t="s">
        <v>686</v>
      </c>
      <c r="D3969" t="s">
        <v>3185</v>
      </c>
      <c r="E3969" t="s">
        <v>461</v>
      </c>
      <c r="F3969" t="s">
        <v>668</v>
      </c>
      <c r="G3969">
        <v>2050</v>
      </c>
      <c r="H3969" s="12">
        <v>15.84</v>
      </c>
      <c r="I3969" t="s">
        <v>3183</v>
      </c>
      <c r="J3969" t="s">
        <v>5</v>
      </c>
      <c r="K3969" t="s">
        <v>147</v>
      </c>
      <c r="L3969" t="s">
        <v>654</v>
      </c>
      <c r="M3969" t="s">
        <v>665</v>
      </c>
    </row>
    <row r="3970" spans="1:13">
      <c r="A3970" t="s">
        <v>851</v>
      </c>
      <c r="B3970" t="s">
        <v>687</v>
      </c>
      <c r="C3970" t="s">
        <v>687</v>
      </c>
      <c r="D3970" t="s">
        <v>3185</v>
      </c>
      <c r="E3970" t="s">
        <v>461</v>
      </c>
      <c r="F3970" t="s">
        <v>668</v>
      </c>
      <c r="G3970">
        <v>2030</v>
      </c>
      <c r="H3970" s="12">
        <v>3.32</v>
      </c>
      <c r="I3970" t="s">
        <v>3183</v>
      </c>
      <c r="J3970" t="s">
        <v>5</v>
      </c>
      <c r="K3970" t="s">
        <v>147</v>
      </c>
      <c r="L3970" t="s">
        <v>654</v>
      </c>
      <c r="M3970" t="s">
        <v>665</v>
      </c>
    </row>
    <row r="3971" spans="1:13">
      <c r="A3971" t="s">
        <v>851</v>
      </c>
      <c r="B3971" t="s">
        <v>687</v>
      </c>
      <c r="C3971" t="s">
        <v>687</v>
      </c>
      <c r="D3971" t="s">
        <v>3185</v>
      </c>
      <c r="E3971" t="s">
        <v>461</v>
      </c>
      <c r="F3971" t="s">
        <v>668</v>
      </c>
      <c r="G3971">
        <v>2035</v>
      </c>
      <c r="H3971" s="12">
        <v>6.21</v>
      </c>
      <c r="I3971" t="s">
        <v>3183</v>
      </c>
      <c r="J3971" t="s">
        <v>5</v>
      </c>
      <c r="K3971" t="s">
        <v>147</v>
      </c>
      <c r="L3971" t="s">
        <v>654</v>
      </c>
      <c r="M3971" t="s">
        <v>665</v>
      </c>
    </row>
    <row r="3972" spans="1:13">
      <c r="A3972" t="s">
        <v>851</v>
      </c>
      <c r="B3972" t="s">
        <v>687</v>
      </c>
      <c r="C3972" t="s">
        <v>687</v>
      </c>
      <c r="D3972" t="s">
        <v>3185</v>
      </c>
      <c r="E3972" t="s">
        <v>461</v>
      </c>
      <c r="F3972" t="s">
        <v>668</v>
      </c>
      <c r="G3972">
        <v>2040</v>
      </c>
      <c r="H3972" s="12">
        <v>9.1</v>
      </c>
      <c r="I3972" t="s">
        <v>3183</v>
      </c>
      <c r="J3972" t="s">
        <v>5</v>
      </c>
      <c r="K3972" t="s">
        <v>147</v>
      </c>
      <c r="L3972" t="s">
        <v>654</v>
      </c>
      <c r="M3972" t="s">
        <v>665</v>
      </c>
    </row>
    <row r="3973" spans="1:13">
      <c r="A3973" t="s">
        <v>851</v>
      </c>
      <c r="B3973" t="s">
        <v>687</v>
      </c>
      <c r="C3973" t="s">
        <v>687</v>
      </c>
      <c r="D3973" t="s">
        <v>3185</v>
      </c>
      <c r="E3973" t="s">
        <v>461</v>
      </c>
      <c r="F3973" t="s">
        <v>668</v>
      </c>
      <c r="G3973">
        <v>2045</v>
      </c>
      <c r="H3973" s="12">
        <v>11.99</v>
      </c>
      <c r="I3973" t="s">
        <v>3183</v>
      </c>
      <c r="J3973" t="s">
        <v>5</v>
      </c>
      <c r="K3973" t="s">
        <v>147</v>
      </c>
      <c r="L3973" t="s">
        <v>654</v>
      </c>
      <c r="M3973" t="s">
        <v>665</v>
      </c>
    </row>
    <row r="3974" spans="1:13">
      <c r="A3974" t="s">
        <v>851</v>
      </c>
      <c r="B3974" t="s">
        <v>687</v>
      </c>
      <c r="C3974" t="s">
        <v>687</v>
      </c>
      <c r="D3974" t="s">
        <v>3185</v>
      </c>
      <c r="E3974" t="s">
        <v>461</v>
      </c>
      <c r="F3974" t="s">
        <v>668</v>
      </c>
      <c r="G3974">
        <v>2050</v>
      </c>
      <c r="H3974" s="12">
        <v>14.56</v>
      </c>
      <c r="I3974" t="s">
        <v>3183</v>
      </c>
      <c r="J3974" t="s">
        <v>5</v>
      </c>
      <c r="K3974" t="s">
        <v>147</v>
      </c>
      <c r="L3974" t="s">
        <v>654</v>
      </c>
      <c r="M3974" t="s">
        <v>665</v>
      </c>
    </row>
    <row r="3975" spans="1:13">
      <c r="A3975" t="s">
        <v>851</v>
      </c>
      <c r="B3975" t="s">
        <v>686</v>
      </c>
      <c r="C3975" t="s">
        <v>686</v>
      </c>
      <c r="D3975" t="s">
        <v>3185</v>
      </c>
      <c r="E3975" t="s">
        <v>461</v>
      </c>
      <c r="F3975" t="s">
        <v>668</v>
      </c>
      <c r="G3975">
        <v>2010</v>
      </c>
      <c r="H3975" s="12">
        <v>527.37</v>
      </c>
      <c r="I3975" t="s">
        <v>3183</v>
      </c>
      <c r="J3975" t="s">
        <v>6</v>
      </c>
      <c r="K3975" t="s">
        <v>147</v>
      </c>
      <c r="L3975" t="s">
        <v>654</v>
      </c>
      <c r="M3975" t="s">
        <v>666</v>
      </c>
    </row>
    <row r="3976" spans="1:13">
      <c r="A3976" t="s">
        <v>851</v>
      </c>
      <c r="B3976" t="s">
        <v>686</v>
      </c>
      <c r="C3976" t="s">
        <v>686</v>
      </c>
      <c r="D3976" t="s">
        <v>3185</v>
      </c>
      <c r="E3976" t="s">
        <v>461</v>
      </c>
      <c r="F3976" t="s">
        <v>668</v>
      </c>
      <c r="G3976">
        <v>2015</v>
      </c>
      <c r="H3976" s="12">
        <v>665.69</v>
      </c>
      <c r="I3976" t="s">
        <v>3183</v>
      </c>
      <c r="J3976" t="s">
        <v>6</v>
      </c>
      <c r="K3976" t="s">
        <v>147</v>
      </c>
      <c r="L3976" t="s">
        <v>654</v>
      </c>
      <c r="M3976" t="s">
        <v>666</v>
      </c>
    </row>
    <row r="3977" spans="1:13">
      <c r="A3977" t="s">
        <v>851</v>
      </c>
      <c r="B3977" t="s">
        <v>686</v>
      </c>
      <c r="C3977" t="s">
        <v>686</v>
      </c>
      <c r="D3977" t="s">
        <v>3185</v>
      </c>
      <c r="E3977" t="s">
        <v>461</v>
      </c>
      <c r="F3977" t="s">
        <v>668</v>
      </c>
      <c r="G3977">
        <v>2020</v>
      </c>
      <c r="H3977" s="12">
        <v>872.56</v>
      </c>
      <c r="I3977" t="s">
        <v>3183</v>
      </c>
      <c r="J3977" t="s">
        <v>6</v>
      </c>
      <c r="K3977" t="s">
        <v>147</v>
      </c>
      <c r="L3977" t="s">
        <v>654</v>
      </c>
      <c r="M3977" t="s">
        <v>666</v>
      </c>
    </row>
    <row r="3978" spans="1:13">
      <c r="A3978" t="s">
        <v>851</v>
      </c>
      <c r="B3978" t="s">
        <v>686</v>
      </c>
      <c r="C3978" t="s">
        <v>686</v>
      </c>
      <c r="D3978" t="s">
        <v>3185</v>
      </c>
      <c r="E3978" t="s">
        <v>461</v>
      </c>
      <c r="F3978" t="s">
        <v>668</v>
      </c>
      <c r="G3978">
        <v>2030</v>
      </c>
      <c r="H3978" s="12">
        <v>1198.1099999999999</v>
      </c>
      <c r="I3978" t="s">
        <v>3183</v>
      </c>
      <c r="J3978" t="s">
        <v>6</v>
      </c>
      <c r="K3978" t="s">
        <v>147</v>
      </c>
      <c r="L3978" t="s">
        <v>654</v>
      </c>
      <c r="M3978" t="s">
        <v>666</v>
      </c>
    </row>
    <row r="3979" spans="1:13">
      <c r="A3979" t="s">
        <v>851</v>
      </c>
      <c r="B3979" t="s">
        <v>686</v>
      </c>
      <c r="C3979" t="s">
        <v>686</v>
      </c>
      <c r="D3979" t="s">
        <v>3185</v>
      </c>
      <c r="E3979" t="s">
        <v>461</v>
      </c>
      <c r="F3979" t="s">
        <v>668</v>
      </c>
      <c r="G3979">
        <v>2035</v>
      </c>
      <c r="H3979" s="12">
        <v>1319.68</v>
      </c>
      <c r="I3979" t="s">
        <v>3183</v>
      </c>
      <c r="J3979" t="s">
        <v>6</v>
      </c>
      <c r="K3979" t="s">
        <v>147</v>
      </c>
      <c r="L3979" t="s">
        <v>654</v>
      </c>
      <c r="M3979" t="s">
        <v>666</v>
      </c>
    </row>
    <row r="3980" spans="1:13">
      <c r="A3980" t="s">
        <v>851</v>
      </c>
      <c r="B3980" t="s">
        <v>686</v>
      </c>
      <c r="C3980" t="s">
        <v>686</v>
      </c>
      <c r="D3980" t="s">
        <v>3185</v>
      </c>
      <c r="E3980" t="s">
        <v>461</v>
      </c>
      <c r="F3980" t="s">
        <v>668</v>
      </c>
      <c r="G3980">
        <v>2040</v>
      </c>
      <c r="H3980" s="12">
        <v>1418.28</v>
      </c>
      <c r="I3980" t="s">
        <v>3183</v>
      </c>
      <c r="J3980" t="s">
        <v>6</v>
      </c>
      <c r="K3980" t="s">
        <v>147</v>
      </c>
      <c r="L3980" t="s">
        <v>654</v>
      </c>
      <c r="M3980" t="s">
        <v>666</v>
      </c>
    </row>
    <row r="3981" spans="1:13">
      <c r="A3981" t="s">
        <v>851</v>
      </c>
      <c r="B3981" t="s">
        <v>686</v>
      </c>
      <c r="C3981" t="s">
        <v>686</v>
      </c>
      <c r="D3981" t="s">
        <v>3185</v>
      </c>
      <c r="E3981" t="s">
        <v>461</v>
      </c>
      <c r="F3981" t="s">
        <v>668</v>
      </c>
      <c r="G3981">
        <v>2045</v>
      </c>
      <c r="H3981" s="12">
        <v>1527.49</v>
      </c>
      <c r="I3981" t="s">
        <v>3183</v>
      </c>
      <c r="J3981" t="s">
        <v>6</v>
      </c>
      <c r="K3981" t="s">
        <v>147</v>
      </c>
      <c r="L3981" t="s">
        <v>654</v>
      </c>
      <c r="M3981" t="s">
        <v>666</v>
      </c>
    </row>
    <row r="3982" spans="1:13">
      <c r="A3982" t="s">
        <v>851</v>
      </c>
      <c r="B3982" t="s">
        <v>686</v>
      </c>
      <c r="C3982" t="s">
        <v>686</v>
      </c>
      <c r="D3982" t="s">
        <v>3185</v>
      </c>
      <c r="E3982" t="s">
        <v>461</v>
      </c>
      <c r="F3982" t="s">
        <v>668</v>
      </c>
      <c r="G3982">
        <v>2050</v>
      </c>
      <c r="H3982" s="12">
        <v>1606.44</v>
      </c>
      <c r="I3982" t="s">
        <v>3183</v>
      </c>
      <c r="J3982" t="s">
        <v>6</v>
      </c>
      <c r="K3982" t="s">
        <v>147</v>
      </c>
      <c r="L3982" t="s">
        <v>654</v>
      </c>
      <c r="M3982" t="s">
        <v>666</v>
      </c>
    </row>
    <row r="3983" spans="1:13">
      <c r="A3983" t="s">
        <v>851</v>
      </c>
      <c r="B3983" t="s">
        <v>687</v>
      </c>
      <c r="C3983" t="s">
        <v>687</v>
      </c>
      <c r="D3983" t="s">
        <v>3185</v>
      </c>
      <c r="E3983" t="s">
        <v>461</v>
      </c>
      <c r="F3983" t="s">
        <v>668</v>
      </c>
      <c r="G3983">
        <v>2030</v>
      </c>
      <c r="H3983" s="12">
        <v>1128.3800000000001</v>
      </c>
      <c r="I3983" t="s">
        <v>3183</v>
      </c>
      <c r="J3983" t="s">
        <v>6</v>
      </c>
      <c r="K3983" t="s">
        <v>147</v>
      </c>
      <c r="L3983" t="s">
        <v>654</v>
      </c>
      <c r="M3983" t="s">
        <v>666</v>
      </c>
    </row>
    <row r="3984" spans="1:13">
      <c r="A3984" t="s">
        <v>851</v>
      </c>
      <c r="B3984" t="s">
        <v>687</v>
      </c>
      <c r="C3984" t="s">
        <v>687</v>
      </c>
      <c r="D3984" t="s">
        <v>3185</v>
      </c>
      <c r="E3984" t="s">
        <v>461</v>
      </c>
      <c r="F3984" t="s">
        <v>668</v>
      </c>
      <c r="G3984">
        <v>2035</v>
      </c>
      <c r="H3984" s="12">
        <v>1182.3399999999999</v>
      </c>
      <c r="I3984" t="s">
        <v>3183</v>
      </c>
      <c r="J3984" t="s">
        <v>6</v>
      </c>
      <c r="K3984" t="s">
        <v>147</v>
      </c>
      <c r="L3984" t="s">
        <v>654</v>
      </c>
      <c r="M3984" t="s">
        <v>666</v>
      </c>
    </row>
    <row r="3985" spans="1:13">
      <c r="A3985" t="s">
        <v>851</v>
      </c>
      <c r="B3985" t="s">
        <v>687</v>
      </c>
      <c r="C3985" t="s">
        <v>687</v>
      </c>
      <c r="D3985" t="s">
        <v>3185</v>
      </c>
      <c r="E3985" t="s">
        <v>461</v>
      </c>
      <c r="F3985" t="s">
        <v>668</v>
      </c>
      <c r="G3985">
        <v>2040</v>
      </c>
      <c r="H3985" s="12">
        <v>1156.1300000000001</v>
      </c>
      <c r="I3985" t="s">
        <v>3183</v>
      </c>
      <c r="J3985" t="s">
        <v>6</v>
      </c>
      <c r="K3985" t="s">
        <v>147</v>
      </c>
      <c r="L3985" t="s">
        <v>654</v>
      </c>
      <c r="M3985" t="s">
        <v>666</v>
      </c>
    </row>
    <row r="3986" spans="1:13">
      <c r="A3986" t="s">
        <v>851</v>
      </c>
      <c r="B3986" t="s">
        <v>687</v>
      </c>
      <c r="C3986" t="s">
        <v>687</v>
      </c>
      <c r="D3986" t="s">
        <v>3185</v>
      </c>
      <c r="E3986" t="s">
        <v>461</v>
      </c>
      <c r="F3986" t="s">
        <v>668</v>
      </c>
      <c r="G3986">
        <v>2045</v>
      </c>
      <c r="H3986" s="12">
        <v>1051.47</v>
      </c>
      <c r="I3986" t="s">
        <v>3183</v>
      </c>
      <c r="J3986" t="s">
        <v>6</v>
      </c>
      <c r="K3986" t="s">
        <v>147</v>
      </c>
      <c r="L3986" t="s">
        <v>654</v>
      </c>
      <c r="M3986" t="s">
        <v>666</v>
      </c>
    </row>
    <row r="3987" spans="1:13">
      <c r="A3987" t="s">
        <v>851</v>
      </c>
      <c r="B3987" t="s">
        <v>687</v>
      </c>
      <c r="C3987" t="s">
        <v>687</v>
      </c>
      <c r="D3987" t="s">
        <v>3185</v>
      </c>
      <c r="E3987" t="s">
        <v>461</v>
      </c>
      <c r="F3987" t="s">
        <v>668</v>
      </c>
      <c r="G3987">
        <v>2050</v>
      </c>
      <c r="H3987" s="12">
        <v>987.66</v>
      </c>
      <c r="I3987" t="s">
        <v>3183</v>
      </c>
      <c r="J3987" t="s">
        <v>6</v>
      </c>
      <c r="K3987" t="s">
        <v>147</v>
      </c>
      <c r="L3987" t="s">
        <v>654</v>
      </c>
      <c r="M3987" t="s">
        <v>666</v>
      </c>
    </row>
    <row r="3988" spans="1:13">
      <c r="A3988" t="s">
        <v>851</v>
      </c>
      <c r="B3988" t="s">
        <v>686</v>
      </c>
      <c r="C3988" t="s">
        <v>686</v>
      </c>
      <c r="D3988" t="s">
        <v>3185</v>
      </c>
      <c r="E3988" t="s">
        <v>461</v>
      </c>
      <c r="F3988" t="s">
        <v>668</v>
      </c>
      <c r="G3988">
        <v>2010</v>
      </c>
      <c r="H3988" s="12">
        <v>283.7</v>
      </c>
      <c r="I3988" t="s">
        <v>3183</v>
      </c>
      <c r="J3988" t="s">
        <v>394</v>
      </c>
      <c r="K3988" t="s">
        <v>147</v>
      </c>
      <c r="L3988" t="s">
        <v>654</v>
      </c>
      <c r="M3988" t="s">
        <v>16</v>
      </c>
    </row>
    <row r="3989" spans="1:13">
      <c r="A3989" t="s">
        <v>851</v>
      </c>
      <c r="B3989" t="s">
        <v>686</v>
      </c>
      <c r="C3989" t="s">
        <v>686</v>
      </c>
      <c r="D3989" t="s">
        <v>3185</v>
      </c>
      <c r="E3989" t="s">
        <v>461</v>
      </c>
      <c r="F3989" t="s">
        <v>668</v>
      </c>
      <c r="G3989">
        <v>2015</v>
      </c>
      <c r="H3989" s="12">
        <v>381.92</v>
      </c>
      <c r="I3989" t="s">
        <v>3183</v>
      </c>
      <c r="J3989" t="s">
        <v>394</v>
      </c>
      <c r="K3989" t="s">
        <v>147</v>
      </c>
      <c r="L3989" t="s">
        <v>654</v>
      </c>
      <c r="M3989" t="s">
        <v>16</v>
      </c>
    </row>
    <row r="3990" spans="1:13">
      <c r="A3990" t="s">
        <v>851</v>
      </c>
      <c r="B3990" t="s">
        <v>686</v>
      </c>
      <c r="C3990" t="s">
        <v>686</v>
      </c>
      <c r="D3990" t="s">
        <v>3185</v>
      </c>
      <c r="E3990" t="s">
        <v>461</v>
      </c>
      <c r="F3990" t="s">
        <v>668</v>
      </c>
      <c r="G3990">
        <v>2020</v>
      </c>
      <c r="H3990" s="12">
        <v>288.39</v>
      </c>
      <c r="I3990" t="s">
        <v>3183</v>
      </c>
      <c r="J3990" t="s">
        <v>394</v>
      </c>
      <c r="K3990" t="s">
        <v>147</v>
      </c>
      <c r="L3990" t="s">
        <v>654</v>
      </c>
      <c r="M3990" t="s">
        <v>16</v>
      </c>
    </row>
    <row r="3991" spans="1:13">
      <c r="A3991" t="s">
        <v>851</v>
      </c>
      <c r="B3991" t="s">
        <v>686</v>
      </c>
      <c r="C3991" t="s">
        <v>686</v>
      </c>
      <c r="D3991" t="s">
        <v>3185</v>
      </c>
      <c r="E3991" t="s">
        <v>461</v>
      </c>
      <c r="F3991" t="s">
        <v>668</v>
      </c>
      <c r="G3991">
        <v>2030</v>
      </c>
      <c r="H3991" s="12">
        <v>233.5</v>
      </c>
      <c r="I3991" t="s">
        <v>3183</v>
      </c>
      <c r="J3991" t="s">
        <v>394</v>
      </c>
      <c r="K3991" t="s">
        <v>147</v>
      </c>
      <c r="L3991" t="s">
        <v>654</v>
      </c>
      <c r="M3991" t="s">
        <v>16</v>
      </c>
    </row>
    <row r="3992" spans="1:13">
      <c r="A3992" t="s">
        <v>851</v>
      </c>
      <c r="B3992" t="s">
        <v>686</v>
      </c>
      <c r="C3992" t="s">
        <v>686</v>
      </c>
      <c r="D3992" t="s">
        <v>3185</v>
      </c>
      <c r="E3992" t="s">
        <v>461</v>
      </c>
      <c r="F3992" t="s">
        <v>668</v>
      </c>
      <c r="G3992">
        <v>2035</v>
      </c>
      <c r="H3992" s="12">
        <v>221.51</v>
      </c>
      <c r="I3992" t="s">
        <v>3183</v>
      </c>
      <c r="J3992" t="s">
        <v>394</v>
      </c>
      <c r="K3992" t="s">
        <v>147</v>
      </c>
      <c r="L3992" t="s">
        <v>654</v>
      </c>
      <c r="M3992" t="s">
        <v>16</v>
      </c>
    </row>
    <row r="3993" spans="1:13">
      <c r="A3993" t="s">
        <v>851</v>
      </c>
      <c r="B3993" t="s">
        <v>686</v>
      </c>
      <c r="C3993" t="s">
        <v>686</v>
      </c>
      <c r="D3993" t="s">
        <v>3185</v>
      </c>
      <c r="E3993" t="s">
        <v>461</v>
      </c>
      <c r="F3993" t="s">
        <v>668</v>
      </c>
      <c r="G3993">
        <v>2040</v>
      </c>
      <c r="H3993" s="12">
        <v>226.68</v>
      </c>
      <c r="I3993" t="s">
        <v>3183</v>
      </c>
      <c r="J3993" t="s">
        <v>394</v>
      </c>
      <c r="K3993" t="s">
        <v>147</v>
      </c>
      <c r="L3993" t="s">
        <v>654</v>
      </c>
      <c r="M3993" t="s">
        <v>16</v>
      </c>
    </row>
    <row r="3994" spans="1:13">
      <c r="A3994" t="s">
        <v>851</v>
      </c>
      <c r="B3994" t="s">
        <v>686</v>
      </c>
      <c r="C3994" t="s">
        <v>686</v>
      </c>
      <c r="D3994" t="s">
        <v>3185</v>
      </c>
      <c r="E3994" t="s">
        <v>461</v>
      </c>
      <c r="F3994" t="s">
        <v>668</v>
      </c>
      <c r="G3994">
        <v>2045</v>
      </c>
      <c r="H3994" s="12">
        <v>215.03</v>
      </c>
      <c r="I3994" t="s">
        <v>3183</v>
      </c>
      <c r="J3994" t="s">
        <v>394</v>
      </c>
      <c r="K3994" t="s">
        <v>147</v>
      </c>
      <c r="L3994" t="s">
        <v>654</v>
      </c>
      <c r="M3994" t="s">
        <v>16</v>
      </c>
    </row>
    <row r="3995" spans="1:13">
      <c r="A3995" t="s">
        <v>851</v>
      </c>
      <c r="B3995" t="s">
        <v>686</v>
      </c>
      <c r="C3995" t="s">
        <v>686</v>
      </c>
      <c r="D3995" t="s">
        <v>3185</v>
      </c>
      <c r="E3995" t="s">
        <v>461</v>
      </c>
      <c r="F3995" t="s">
        <v>668</v>
      </c>
      <c r="G3995">
        <v>2050</v>
      </c>
      <c r="H3995" s="12">
        <v>202.85</v>
      </c>
      <c r="I3995" t="s">
        <v>3183</v>
      </c>
      <c r="J3995" t="s">
        <v>394</v>
      </c>
      <c r="K3995" t="s">
        <v>147</v>
      </c>
      <c r="L3995" t="s">
        <v>654</v>
      </c>
      <c r="M3995" t="s">
        <v>16</v>
      </c>
    </row>
    <row r="3996" spans="1:13">
      <c r="A3996" t="s">
        <v>851</v>
      </c>
      <c r="B3996" t="s">
        <v>687</v>
      </c>
      <c r="C3996" t="s">
        <v>687</v>
      </c>
      <c r="D3996" t="s">
        <v>3185</v>
      </c>
      <c r="E3996" t="s">
        <v>461</v>
      </c>
      <c r="F3996" t="s">
        <v>668</v>
      </c>
      <c r="G3996">
        <v>2030</v>
      </c>
      <c r="H3996" s="12">
        <v>178.28</v>
      </c>
      <c r="I3996" t="s">
        <v>3183</v>
      </c>
      <c r="J3996" t="s">
        <v>394</v>
      </c>
      <c r="K3996" t="s">
        <v>147</v>
      </c>
      <c r="L3996" t="s">
        <v>654</v>
      </c>
      <c r="M3996" t="s">
        <v>16</v>
      </c>
    </row>
    <row r="3997" spans="1:13">
      <c r="A3997" t="s">
        <v>851</v>
      </c>
      <c r="B3997" t="s">
        <v>687</v>
      </c>
      <c r="C3997" t="s">
        <v>687</v>
      </c>
      <c r="D3997" t="s">
        <v>3185</v>
      </c>
      <c r="E3997" t="s">
        <v>461</v>
      </c>
      <c r="F3997" t="s">
        <v>668</v>
      </c>
      <c r="G3997">
        <v>2035</v>
      </c>
      <c r="H3997" s="12">
        <v>148.30000000000001</v>
      </c>
      <c r="I3997" t="s">
        <v>3183</v>
      </c>
      <c r="J3997" t="s">
        <v>394</v>
      </c>
      <c r="K3997" t="s">
        <v>147</v>
      </c>
      <c r="L3997" t="s">
        <v>654</v>
      </c>
      <c r="M3997" t="s">
        <v>16</v>
      </c>
    </row>
    <row r="3998" spans="1:13">
      <c r="A3998" t="s">
        <v>851</v>
      </c>
      <c r="B3998" t="s">
        <v>687</v>
      </c>
      <c r="C3998" t="s">
        <v>687</v>
      </c>
      <c r="D3998" t="s">
        <v>3185</v>
      </c>
      <c r="E3998" t="s">
        <v>461</v>
      </c>
      <c r="F3998" t="s">
        <v>668</v>
      </c>
      <c r="G3998">
        <v>2040</v>
      </c>
      <c r="H3998" s="12">
        <v>132.96</v>
      </c>
      <c r="I3998" t="s">
        <v>3183</v>
      </c>
      <c r="J3998" t="s">
        <v>394</v>
      </c>
      <c r="K3998" t="s">
        <v>147</v>
      </c>
      <c r="L3998" t="s">
        <v>654</v>
      </c>
      <c r="M3998" t="s">
        <v>16</v>
      </c>
    </row>
    <row r="3999" spans="1:13">
      <c r="A3999" t="s">
        <v>851</v>
      </c>
      <c r="B3999" t="s">
        <v>687</v>
      </c>
      <c r="C3999" t="s">
        <v>687</v>
      </c>
      <c r="D3999" t="s">
        <v>3185</v>
      </c>
      <c r="E3999" t="s">
        <v>461</v>
      </c>
      <c r="F3999" t="s">
        <v>668</v>
      </c>
      <c r="G3999">
        <v>2045</v>
      </c>
      <c r="H3999" s="12">
        <v>107.6</v>
      </c>
      <c r="I3999" t="s">
        <v>3183</v>
      </c>
      <c r="J3999" t="s">
        <v>394</v>
      </c>
      <c r="K3999" t="s">
        <v>147</v>
      </c>
      <c r="L3999" t="s">
        <v>654</v>
      </c>
      <c r="M3999" t="s">
        <v>16</v>
      </c>
    </row>
    <row r="4000" spans="1:13">
      <c r="A4000" t="s">
        <v>851</v>
      </c>
      <c r="B4000" t="s">
        <v>687</v>
      </c>
      <c r="C4000" t="s">
        <v>687</v>
      </c>
      <c r="D4000" t="s">
        <v>3185</v>
      </c>
      <c r="E4000" t="s">
        <v>461</v>
      </c>
      <c r="F4000" t="s">
        <v>668</v>
      </c>
      <c r="G4000">
        <v>2050</v>
      </c>
      <c r="H4000" s="12">
        <v>92.7</v>
      </c>
      <c r="I4000" t="s">
        <v>3183</v>
      </c>
      <c r="J4000" t="s">
        <v>394</v>
      </c>
      <c r="K4000" t="s">
        <v>147</v>
      </c>
      <c r="L4000" t="s">
        <v>654</v>
      </c>
      <c r="M4000" t="s">
        <v>16</v>
      </c>
    </row>
    <row r="4001" spans="1:13">
      <c r="A4001" t="s">
        <v>851</v>
      </c>
      <c r="B4001" t="s">
        <v>686</v>
      </c>
      <c r="C4001" t="s">
        <v>686</v>
      </c>
      <c r="D4001" t="s">
        <v>3185</v>
      </c>
      <c r="E4001" t="s">
        <v>656</v>
      </c>
      <c r="F4001" t="s">
        <v>31</v>
      </c>
      <c r="G4001">
        <v>2050</v>
      </c>
      <c r="H4001" s="12">
        <v>81.430000000000007</v>
      </c>
      <c r="I4001" t="s">
        <v>3183</v>
      </c>
      <c r="J4001" t="s">
        <v>18</v>
      </c>
      <c r="K4001" t="s">
        <v>147</v>
      </c>
      <c r="L4001" t="s">
        <v>654</v>
      </c>
      <c r="M4001" t="s">
        <v>18</v>
      </c>
    </row>
    <row r="4002" spans="1:13">
      <c r="A4002" t="s">
        <v>851</v>
      </c>
      <c r="B4002" t="s">
        <v>687</v>
      </c>
      <c r="C4002" t="s">
        <v>687</v>
      </c>
      <c r="D4002" t="s">
        <v>3185</v>
      </c>
      <c r="E4002" t="s">
        <v>656</v>
      </c>
      <c r="F4002" t="s">
        <v>31</v>
      </c>
      <c r="G4002">
        <v>2030</v>
      </c>
      <c r="H4002" s="12">
        <v>21.15</v>
      </c>
      <c r="I4002" t="s">
        <v>3183</v>
      </c>
      <c r="J4002" t="s">
        <v>18</v>
      </c>
      <c r="K4002" t="s">
        <v>147</v>
      </c>
      <c r="L4002" t="s">
        <v>654</v>
      </c>
      <c r="M4002" t="s">
        <v>18</v>
      </c>
    </row>
    <row r="4003" spans="1:13">
      <c r="A4003" t="s">
        <v>851</v>
      </c>
      <c r="B4003" t="s">
        <v>687</v>
      </c>
      <c r="C4003" t="s">
        <v>687</v>
      </c>
      <c r="D4003" t="s">
        <v>3185</v>
      </c>
      <c r="E4003" t="s">
        <v>656</v>
      </c>
      <c r="F4003" t="s">
        <v>31</v>
      </c>
      <c r="G4003">
        <v>2035</v>
      </c>
      <c r="H4003" s="12">
        <v>53.32</v>
      </c>
      <c r="I4003" t="s">
        <v>3183</v>
      </c>
      <c r="J4003" t="s">
        <v>18</v>
      </c>
      <c r="K4003" t="s">
        <v>147</v>
      </c>
      <c r="L4003" t="s">
        <v>654</v>
      </c>
      <c r="M4003" t="s">
        <v>18</v>
      </c>
    </row>
    <row r="4004" spans="1:13">
      <c r="A4004" t="s">
        <v>851</v>
      </c>
      <c r="B4004" t="s">
        <v>687</v>
      </c>
      <c r="C4004" t="s">
        <v>687</v>
      </c>
      <c r="D4004" t="s">
        <v>3185</v>
      </c>
      <c r="E4004" t="s">
        <v>656</v>
      </c>
      <c r="F4004" t="s">
        <v>31</v>
      </c>
      <c r="G4004">
        <v>2040</v>
      </c>
      <c r="H4004" s="12">
        <v>94.58</v>
      </c>
      <c r="I4004" t="s">
        <v>3183</v>
      </c>
      <c r="J4004" t="s">
        <v>18</v>
      </c>
      <c r="K4004" t="s">
        <v>147</v>
      </c>
      <c r="L4004" t="s">
        <v>654</v>
      </c>
      <c r="M4004" t="s">
        <v>18</v>
      </c>
    </row>
    <row r="4005" spans="1:13">
      <c r="A4005" t="s">
        <v>851</v>
      </c>
      <c r="B4005" t="s">
        <v>687</v>
      </c>
      <c r="C4005" t="s">
        <v>687</v>
      </c>
      <c r="D4005" t="s">
        <v>3185</v>
      </c>
      <c r="E4005" t="s">
        <v>656</v>
      </c>
      <c r="F4005" t="s">
        <v>31</v>
      </c>
      <c r="G4005">
        <v>2045</v>
      </c>
      <c r="H4005" s="12">
        <v>154.66999999999999</v>
      </c>
      <c r="I4005" t="s">
        <v>3183</v>
      </c>
      <c r="J4005" t="s">
        <v>18</v>
      </c>
      <c r="K4005" t="s">
        <v>147</v>
      </c>
      <c r="L4005" t="s">
        <v>654</v>
      </c>
      <c r="M4005" t="s">
        <v>18</v>
      </c>
    </row>
    <row r="4006" spans="1:13">
      <c r="A4006" t="s">
        <v>851</v>
      </c>
      <c r="B4006" t="s">
        <v>687</v>
      </c>
      <c r="C4006" t="s">
        <v>687</v>
      </c>
      <c r="D4006" t="s">
        <v>3185</v>
      </c>
      <c r="E4006" t="s">
        <v>656</v>
      </c>
      <c r="F4006" t="s">
        <v>31</v>
      </c>
      <c r="G4006">
        <v>2050</v>
      </c>
      <c r="H4006" s="12">
        <v>227.12</v>
      </c>
      <c r="I4006" t="s">
        <v>3183</v>
      </c>
      <c r="J4006" t="s">
        <v>18</v>
      </c>
      <c r="K4006" t="s">
        <v>147</v>
      </c>
      <c r="L4006" t="s">
        <v>654</v>
      </c>
      <c r="M4006" t="s">
        <v>18</v>
      </c>
    </row>
    <row r="4007" spans="1:13">
      <c r="A4007" t="s">
        <v>851</v>
      </c>
      <c r="B4007" t="s">
        <v>686</v>
      </c>
      <c r="C4007" t="s">
        <v>686</v>
      </c>
      <c r="D4007" t="s">
        <v>3185</v>
      </c>
      <c r="E4007" t="s">
        <v>656</v>
      </c>
      <c r="F4007" t="s">
        <v>31</v>
      </c>
      <c r="G4007">
        <v>2010</v>
      </c>
      <c r="H4007" s="12">
        <v>12.7</v>
      </c>
      <c r="I4007" t="s">
        <v>3183</v>
      </c>
      <c r="J4007" t="s">
        <v>14</v>
      </c>
      <c r="K4007" t="s">
        <v>147</v>
      </c>
      <c r="L4007" t="s">
        <v>654</v>
      </c>
      <c r="M4007" t="s">
        <v>14</v>
      </c>
    </row>
    <row r="4008" spans="1:13">
      <c r="A4008" t="s">
        <v>851</v>
      </c>
      <c r="B4008" t="s">
        <v>686</v>
      </c>
      <c r="C4008" t="s">
        <v>686</v>
      </c>
      <c r="D4008" t="s">
        <v>3185</v>
      </c>
      <c r="E4008" t="s">
        <v>656</v>
      </c>
      <c r="F4008" t="s">
        <v>31</v>
      </c>
      <c r="G4008">
        <v>2015</v>
      </c>
      <c r="H4008" s="12">
        <v>16.03</v>
      </c>
      <c r="I4008" t="s">
        <v>3183</v>
      </c>
      <c r="J4008" t="s">
        <v>14</v>
      </c>
      <c r="K4008" t="s">
        <v>147</v>
      </c>
      <c r="L4008" t="s">
        <v>654</v>
      </c>
      <c r="M4008" t="s">
        <v>14</v>
      </c>
    </row>
    <row r="4009" spans="1:13">
      <c r="A4009" t="s">
        <v>851</v>
      </c>
      <c r="B4009" t="s">
        <v>686</v>
      </c>
      <c r="C4009" t="s">
        <v>686</v>
      </c>
      <c r="D4009" t="s">
        <v>3185</v>
      </c>
      <c r="E4009" t="s">
        <v>656</v>
      </c>
      <c r="F4009" t="s">
        <v>31</v>
      </c>
      <c r="G4009">
        <v>2020</v>
      </c>
      <c r="H4009" s="12">
        <v>16.87</v>
      </c>
      <c r="I4009" t="s">
        <v>3183</v>
      </c>
      <c r="J4009" t="s">
        <v>14</v>
      </c>
      <c r="K4009" t="s">
        <v>147</v>
      </c>
      <c r="L4009" t="s">
        <v>654</v>
      </c>
      <c r="M4009" t="s">
        <v>14</v>
      </c>
    </row>
    <row r="4010" spans="1:13">
      <c r="A4010" t="s">
        <v>851</v>
      </c>
      <c r="B4010" t="s">
        <v>686</v>
      </c>
      <c r="C4010" t="s">
        <v>686</v>
      </c>
      <c r="D4010" t="s">
        <v>3185</v>
      </c>
      <c r="E4010" t="s">
        <v>656</v>
      </c>
      <c r="F4010" t="s">
        <v>31</v>
      </c>
      <c r="G4010">
        <v>2030</v>
      </c>
      <c r="H4010" s="12">
        <v>20.329999999999998</v>
      </c>
      <c r="I4010" t="s">
        <v>3183</v>
      </c>
      <c r="J4010" t="s">
        <v>14</v>
      </c>
      <c r="K4010" t="s">
        <v>147</v>
      </c>
      <c r="L4010" t="s">
        <v>654</v>
      </c>
      <c r="M4010" t="s">
        <v>14</v>
      </c>
    </row>
    <row r="4011" spans="1:13">
      <c r="A4011" t="s">
        <v>851</v>
      </c>
      <c r="B4011" t="s">
        <v>686</v>
      </c>
      <c r="C4011" t="s">
        <v>686</v>
      </c>
      <c r="D4011" t="s">
        <v>3185</v>
      </c>
      <c r="E4011" t="s">
        <v>656</v>
      </c>
      <c r="F4011" t="s">
        <v>31</v>
      </c>
      <c r="G4011">
        <v>2035</v>
      </c>
      <c r="H4011" s="12">
        <v>22.47</v>
      </c>
      <c r="I4011" t="s">
        <v>3183</v>
      </c>
      <c r="J4011" t="s">
        <v>14</v>
      </c>
      <c r="K4011" t="s">
        <v>147</v>
      </c>
      <c r="L4011" t="s">
        <v>654</v>
      </c>
      <c r="M4011" t="s">
        <v>14</v>
      </c>
    </row>
    <row r="4012" spans="1:13">
      <c r="A4012" t="s">
        <v>851</v>
      </c>
      <c r="B4012" t="s">
        <v>686</v>
      </c>
      <c r="C4012" t="s">
        <v>686</v>
      </c>
      <c r="D4012" t="s">
        <v>3185</v>
      </c>
      <c r="E4012" t="s">
        <v>656</v>
      </c>
      <c r="F4012" t="s">
        <v>31</v>
      </c>
      <c r="G4012">
        <v>2040</v>
      </c>
      <c r="H4012" s="12">
        <v>24.37</v>
      </c>
      <c r="I4012" t="s">
        <v>3183</v>
      </c>
      <c r="J4012" t="s">
        <v>14</v>
      </c>
      <c r="K4012" t="s">
        <v>147</v>
      </c>
      <c r="L4012" t="s">
        <v>654</v>
      </c>
      <c r="M4012" t="s">
        <v>14</v>
      </c>
    </row>
    <row r="4013" spans="1:13">
      <c r="A4013" t="s">
        <v>851</v>
      </c>
      <c r="B4013" t="s">
        <v>686</v>
      </c>
      <c r="C4013" t="s">
        <v>686</v>
      </c>
      <c r="D4013" t="s">
        <v>3185</v>
      </c>
      <c r="E4013" t="s">
        <v>656</v>
      </c>
      <c r="F4013" t="s">
        <v>31</v>
      </c>
      <c r="G4013">
        <v>2045</v>
      </c>
      <c r="H4013" s="12">
        <v>25.98</v>
      </c>
      <c r="I4013" t="s">
        <v>3183</v>
      </c>
      <c r="J4013" t="s">
        <v>14</v>
      </c>
      <c r="K4013" t="s">
        <v>147</v>
      </c>
      <c r="L4013" t="s">
        <v>654</v>
      </c>
      <c r="M4013" t="s">
        <v>14</v>
      </c>
    </row>
    <row r="4014" spans="1:13">
      <c r="A4014" t="s">
        <v>851</v>
      </c>
      <c r="B4014" t="s">
        <v>686</v>
      </c>
      <c r="C4014" t="s">
        <v>686</v>
      </c>
      <c r="D4014" t="s">
        <v>3185</v>
      </c>
      <c r="E4014" t="s">
        <v>656</v>
      </c>
      <c r="F4014" t="s">
        <v>31</v>
      </c>
      <c r="G4014">
        <v>2050</v>
      </c>
      <c r="H4014" s="12">
        <v>26.93</v>
      </c>
      <c r="I4014" t="s">
        <v>3183</v>
      </c>
      <c r="J4014" t="s">
        <v>14</v>
      </c>
      <c r="K4014" t="s">
        <v>147</v>
      </c>
      <c r="L4014" t="s">
        <v>654</v>
      </c>
      <c r="M4014" t="s">
        <v>14</v>
      </c>
    </row>
    <row r="4015" spans="1:13">
      <c r="A4015" t="s">
        <v>851</v>
      </c>
      <c r="B4015" t="s">
        <v>686</v>
      </c>
      <c r="C4015" t="s">
        <v>686</v>
      </c>
      <c r="D4015" t="s">
        <v>3185</v>
      </c>
      <c r="E4015" t="s">
        <v>646</v>
      </c>
      <c r="F4015" t="s">
        <v>40</v>
      </c>
      <c r="G4015">
        <v>2010</v>
      </c>
      <c r="H4015" s="12">
        <v>0</v>
      </c>
      <c r="I4015" t="s">
        <v>3183</v>
      </c>
      <c r="J4015" t="s">
        <v>5</v>
      </c>
      <c r="K4015" t="s">
        <v>658</v>
      </c>
      <c r="L4015" t="s">
        <v>654</v>
      </c>
      <c r="M4015" t="s">
        <v>5</v>
      </c>
    </row>
    <row r="4016" spans="1:13">
      <c r="A4016" t="s">
        <v>851</v>
      </c>
      <c r="B4016" t="s">
        <v>686</v>
      </c>
      <c r="C4016" t="s">
        <v>686</v>
      </c>
      <c r="D4016" t="s">
        <v>3185</v>
      </c>
      <c r="E4016" t="s">
        <v>646</v>
      </c>
      <c r="F4016" t="s">
        <v>40</v>
      </c>
      <c r="G4016">
        <v>2015</v>
      </c>
      <c r="H4016" s="12">
        <v>0</v>
      </c>
      <c r="I4016" t="s">
        <v>3183</v>
      </c>
      <c r="J4016" t="s">
        <v>5</v>
      </c>
      <c r="K4016" t="s">
        <v>658</v>
      </c>
      <c r="L4016" t="s">
        <v>654</v>
      </c>
      <c r="M4016" t="s">
        <v>5</v>
      </c>
    </row>
    <row r="4017" spans="1:13">
      <c r="A4017" t="s">
        <v>851</v>
      </c>
      <c r="B4017" t="s">
        <v>686</v>
      </c>
      <c r="C4017" t="s">
        <v>686</v>
      </c>
      <c r="D4017" t="s">
        <v>3185</v>
      </c>
      <c r="E4017" t="s">
        <v>646</v>
      </c>
      <c r="F4017" t="s">
        <v>40</v>
      </c>
      <c r="G4017">
        <v>2020</v>
      </c>
      <c r="H4017" s="12">
        <v>0</v>
      </c>
      <c r="I4017" t="s">
        <v>3183</v>
      </c>
      <c r="J4017" t="s">
        <v>5</v>
      </c>
      <c r="K4017" t="s">
        <v>658</v>
      </c>
      <c r="L4017" t="s">
        <v>654</v>
      </c>
      <c r="M4017" t="s">
        <v>5</v>
      </c>
    </row>
    <row r="4018" spans="1:13">
      <c r="A4018" t="s">
        <v>851</v>
      </c>
      <c r="B4018" t="s">
        <v>686</v>
      </c>
      <c r="C4018" t="s">
        <v>686</v>
      </c>
      <c r="D4018" t="s">
        <v>3185</v>
      </c>
      <c r="E4018" t="s">
        <v>646</v>
      </c>
      <c r="F4018" t="s">
        <v>40</v>
      </c>
      <c r="G4018">
        <v>2030</v>
      </c>
      <c r="H4018" s="12">
        <v>1</v>
      </c>
      <c r="I4018" t="s">
        <v>3183</v>
      </c>
      <c r="J4018" t="s">
        <v>5</v>
      </c>
      <c r="K4018" t="s">
        <v>658</v>
      </c>
      <c r="L4018" t="s">
        <v>654</v>
      </c>
      <c r="M4018" t="s">
        <v>5</v>
      </c>
    </row>
    <row r="4019" spans="1:13">
      <c r="A4019" t="s">
        <v>851</v>
      </c>
      <c r="B4019" t="s">
        <v>686</v>
      </c>
      <c r="C4019" t="s">
        <v>686</v>
      </c>
      <c r="D4019" t="s">
        <v>3185</v>
      </c>
      <c r="E4019" t="s">
        <v>646</v>
      </c>
      <c r="F4019" t="s">
        <v>40</v>
      </c>
      <c r="G4019">
        <v>2035</v>
      </c>
      <c r="H4019" s="12">
        <v>1</v>
      </c>
      <c r="I4019" t="s">
        <v>3183</v>
      </c>
      <c r="J4019" t="s">
        <v>5</v>
      </c>
      <c r="K4019" t="s">
        <v>658</v>
      </c>
      <c r="L4019" t="s">
        <v>654</v>
      </c>
      <c r="M4019" t="s">
        <v>5</v>
      </c>
    </row>
    <row r="4020" spans="1:13">
      <c r="A4020" t="s">
        <v>851</v>
      </c>
      <c r="B4020" t="s">
        <v>686</v>
      </c>
      <c r="C4020" t="s">
        <v>686</v>
      </c>
      <c r="D4020" t="s">
        <v>3185</v>
      </c>
      <c r="E4020" t="s">
        <v>646</v>
      </c>
      <c r="F4020" t="s">
        <v>40</v>
      </c>
      <c r="G4020">
        <v>2040</v>
      </c>
      <c r="H4020" s="12">
        <v>0</v>
      </c>
      <c r="I4020" t="s">
        <v>3183</v>
      </c>
      <c r="J4020" t="s">
        <v>5</v>
      </c>
      <c r="K4020" t="s">
        <v>658</v>
      </c>
      <c r="L4020" t="s">
        <v>654</v>
      </c>
      <c r="M4020" t="s">
        <v>5</v>
      </c>
    </row>
    <row r="4021" spans="1:13">
      <c r="A4021" t="s">
        <v>851</v>
      </c>
      <c r="B4021" t="s">
        <v>686</v>
      </c>
      <c r="C4021" t="s">
        <v>686</v>
      </c>
      <c r="D4021" t="s">
        <v>3185</v>
      </c>
      <c r="E4021" t="s">
        <v>461</v>
      </c>
      <c r="F4021" t="s">
        <v>668</v>
      </c>
      <c r="G4021">
        <v>2010</v>
      </c>
      <c r="H4021" s="12">
        <v>0.02</v>
      </c>
      <c r="I4021" t="s">
        <v>3183</v>
      </c>
      <c r="J4021" t="s">
        <v>17</v>
      </c>
      <c r="K4021" t="s">
        <v>147</v>
      </c>
      <c r="L4021" t="s">
        <v>654</v>
      </c>
      <c r="M4021" t="s">
        <v>671</v>
      </c>
    </row>
    <row r="4022" spans="1:13">
      <c r="A4022" t="s">
        <v>851</v>
      </c>
      <c r="B4022" t="s">
        <v>686</v>
      </c>
      <c r="C4022" t="s">
        <v>686</v>
      </c>
      <c r="D4022" t="s">
        <v>3185</v>
      </c>
      <c r="E4022" t="s">
        <v>461</v>
      </c>
      <c r="F4022" t="s">
        <v>668</v>
      </c>
      <c r="G4022">
        <v>2015</v>
      </c>
      <c r="H4022" s="12">
        <v>0.3</v>
      </c>
      <c r="I4022" t="s">
        <v>3183</v>
      </c>
      <c r="J4022" t="s">
        <v>17</v>
      </c>
      <c r="K4022" t="s">
        <v>147</v>
      </c>
      <c r="L4022" t="s">
        <v>654</v>
      </c>
      <c r="M4022" t="s">
        <v>671</v>
      </c>
    </row>
    <row r="4023" spans="1:13">
      <c r="A4023" t="s">
        <v>851</v>
      </c>
      <c r="B4023" t="s">
        <v>686</v>
      </c>
      <c r="C4023" t="s">
        <v>686</v>
      </c>
      <c r="D4023" t="s">
        <v>3185</v>
      </c>
      <c r="E4023" t="s">
        <v>461</v>
      </c>
      <c r="F4023" t="s">
        <v>668</v>
      </c>
      <c r="G4023">
        <v>2020</v>
      </c>
      <c r="H4023" s="12">
        <v>10.19</v>
      </c>
      <c r="I4023" t="s">
        <v>3183</v>
      </c>
      <c r="J4023" t="s">
        <v>17</v>
      </c>
      <c r="K4023" t="s">
        <v>147</v>
      </c>
      <c r="L4023" t="s">
        <v>654</v>
      </c>
      <c r="M4023" t="s">
        <v>671</v>
      </c>
    </row>
    <row r="4024" spans="1:13">
      <c r="A4024" t="s">
        <v>851</v>
      </c>
      <c r="B4024" t="s">
        <v>686</v>
      </c>
      <c r="C4024" t="s">
        <v>686</v>
      </c>
      <c r="D4024" t="s">
        <v>3185</v>
      </c>
      <c r="E4024" t="s">
        <v>461</v>
      </c>
      <c r="F4024" t="s">
        <v>668</v>
      </c>
      <c r="G4024">
        <v>2030</v>
      </c>
      <c r="H4024" s="12">
        <v>89.15</v>
      </c>
      <c r="I4024" t="s">
        <v>3183</v>
      </c>
      <c r="J4024" t="s">
        <v>17</v>
      </c>
      <c r="K4024" t="s">
        <v>147</v>
      </c>
      <c r="L4024" t="s">
        <v>654</v>
      </c>
      <c r="M4024" t="s">
        <v>671</v>
      </c>
    </row>
    <row r="4025" spans="1:13">
      <c r="A4025" t="s">
        <v>851</v>
      </c>
      <c r="B4025" t="s">
        <v>686</v>
      </c>
      <c r="C4025" t="s">
        <v>686</v>
      </c>
      <c r="D4025" t="s">
        <v>3185</v>
      </c>
      <c r="E4025" t="s">
        <v>461</v>
      </c>
      <c r="F4025" t="s">
        <v>668</v>
      </c>
      <c r="G4025">
        <v>2035</v>
      </c>
      <c r="H4025" s="12">
        <v>182.71</v>
      </c>
      <c r="I4025" t="s">
        <v>3183</v>
      </c>
      <c r="J4025" t="s">
        <v>17</v>
      </c>
      <c r="K4025" t="s">
        <v>147</v>
      </c>
      <c r="L4025" t="s">
        <v>654</v>
      </c>
      <c r="M4025" t="s">
        <v>671</v>
      </c>
    </row>
    <row r="4026" spans="1:13">
      <c r="A4026" t="s">
        <v>851</v>
      </c>
      <c r="B4026" t="s">
        <v>686</v>
      </c>
      <c r="C4026" t="s">
        <v>686</v>
      </c>
      <c r="D4026" t="s">
        <v>3185</v>
      </c>
      <c r="E4026" t="s">
        <v>461</v>
      </c>
      <c r="F4026" t="s">
        <v>668</v>
      </c>
      <c r="G4026">
        <v>2040</v>
      </c>
      <c r="H4026" s="12">
        <v>286.18</v>
      </c>
      <c r="I4026" t="s">
        <v>3183</v>
      </c>
      <c r="J4026" t="s">
        <v>17</v>
      </c>
      <c r="K4026" t="s">
        <v>147</v>
      </c>
      <c r="L4026" t="s">
        <v>654</v>
      </c>
      <c r="M4026" t="s">
        <v>671</v>
      </c>
    </row>
    <row r="4027" spans="1:13">
      <c r="A4027" t="s">
        <v>851</v>
      </c>
      <c r="B4027" t="s">
        <v>686</v>
      </c>
      <c r="C4027" t="s">
        <v>686</v>
      </c>
      <c r="D4027" t="s">
        <v>3185</v>
      </c>
      <c r="E4027" t="s">
        <v>461</v>
      </c>
      <c r="F4027" t="s">
        <v>668</v>
      </c>
      <c r="G4027">
        <v>2045</v>
      </c>
      <c r="H4027" s="12">
        <v>398.97</v>
      </c>
      <c r="I4027" t="s">
        <v>3183</v>
      </c>
      <c r="J4027" t="s">
        <v>17</v>
      </c>
      <c r="K4027" t="s">
        <v>147</v>
      </c>
      <c r="L4027" t="s">
        <v>654</v>
      </c>
      <c r="M4027" t="s">
        <v>671</v>
      </c>
    </row>
    <row r="4028" spans="1:13">
      <c r="A4028" t="s">
        <v>851</v>
      </c>
      <c r="B4028" t="s">
        <v>686</v>
      </c>
      <c r="C4028" t="s">
        <v>686</v>
      </c>
      <c r="D4028" t="s">
        <v>3185</v>
      </c>
      <c r="E4028" t="s">
        <v>461</v>
      </c>
      <c r="F4028" t="s">
        <v>668</v>
      </c>
      <c r="G4028">
        <v>2050</v>
      </c>
      <c r="H4028" s="12">
        <v>521.58000000000004</v>
      </c>
      <c r="I4028" t="s">
        <v>3183</v>
      </c>
      <c r="J4028" t="s">
        <v>17</v>
      </c>
      <c r="K4028" t="s">
        <v>147</v>
      </c>
      <c r="L4028" t="s">
        <v>654</v>
      </c>
      <c r="M4028" t="s">
        <v>671</v>
      </c>
    </row>
    <row r="4029" spans="1:13">
      <c r="A4029" t="s">
        <v>851</v>
      </c>
      <c r="B4029" t="s">
        <v>687</v>
      </c>
      <c r="C4029" t="s">
        <v>687</v>
      </c>
      <c r="D4029" t="s">
        <v>3185</v>
      </c>
      <c r="E4029" t="s">
        <v>461</v>
      </c>
      <c r="F4029" t="s">
        <v>668</v>
      </c>
      <c r="G4029">
        <v>2030</v>
      </c>
      <c r="H4029" s="12">
        <v>113.96</v>
      </c>
      <c r="I4029" t="s">
        <v>3183</v>
      </c>
      <c r="J4029" t="s">
        <v>17</v>
      </c>
      <c r="K4029" t="s">
        <v>147</v>
      </c>
      <c r="L4029" t="s">
        <v>654</v>
      </c>
      <c r="M4029" t="s">
        <v>671</v>
      </c>
    </row>
    <row r="4030" spans="1:13">
      <c r="A4030" t="s">
        <v>851</v>
      </c>
      <c r="B4030" t="s">
        <v>687</v>
      </c>
      <c r="C4030" t="s">
        <v>687</v>
      </c>
      <c r="D4030" t="s">
        <v>3185</v>
      </c>
      <c r="E4030" t="s">
        <v>461</v>
      </c>
      <c r="F4030" t="s">
        <v>668</v>
      </c>
      <c r="G4030">
        <v>2035</v>
      </c>
      <c r="H4030" s="12">
        <v>338.39</v>
      </c>
      <c r="I4030" t="s">
        <v>3183</v>
      </c>
      <c r="J4030" t="s">
        <v>17</v>
      </c>
      <c r="K4030" t="s">
        <v>147</v>
      </c>
      <c r="L4030" t="s">
        <v>654</v>
      </c>
      <c r="M4030" t="s">
        <v>671</v>
      </c>
    </row>
    <row r="4031" spans="1:13">
      <c r="A4031" t="s">
        <v>851</v>
      </c>
      <c r="B4031" t="s">
        <v>687</v>
      </c>
      <c r="C4031" t="s">
        <v>687</v>
      </c>
      <c r="D4031" t="s">
        <v>3185</v>
      </c>
      <c r="E4031" t="s">
        <v>461</v>
      </c>
      <c r="F4031" t="s">
        <v>668</v>
      </c>
      <c r="G4031">
        <v>2040</v>
      </c>
      <c r="H4031" s="12">
        <v>563.67999999999995</v>
      </c>
      <c r="I4031" t="s">
        <v>3183</v>
      </c>
      <c r="J4031" t="s">
        <v>17</v>
      </c>
      <c r="K4031" t="s">
        <v>147</v>
      </c>
      <c r="L4031" t="s">
        <v>654</v>
      </c>
      <c r="M4031" t="s">
        <v>671</v>
      </c>
    </row>
    <row r="4032" spans="1:13">
      <c r="A4032" t="s">
        <v>851</v>
      </c>
      <c r="B4032" t="s">
        <v>687</v>
      </c>
      <c r="C4032" t="s">
        <v>687</v>
      </c>
      <c r="D4032" t="s">
        <v>3185</v>
      </c>
      <c r="E4032" t="s">
        <v>461</v>
      </c>
      <c r="F4032" t="s">
        <v>668</v>
      </c>
      <c r="G4032">
        <v>2045</v>
      </c>
      <c r="H4032" s="12">
        <v>849.53</v>
      </c>
      <c r="I4032" t="s">
        <v>3183</v>
      </c>
      <c r="J4032" t="s">
        <v>17</v>
      </c>
      <c r="K4032" t="s">
        <v>147</v>
      </c>
      <c r="L4032" t="s">
        <v>654</v>
      </c>
      <c r="M4032" t="s">
        <v>671</v>
      </c>
    </row>
    <row r="4033" spans="1:13">
      <c r="A4033" t="s">
        <v>851</v>
      </c>
      <c r="B4033" t="s">
        <v>687</v>
      </c>
      <c r="C4033" t="s">
        <v>687</v>
      </c>
      <c r="D4033" t="s">
        <v>3185</v>
      </c>
      <c r="E4033" t="s">
        <v>461</v>
      </c>
      <c r="F4033" t="s">
        <v>668</v>
      </c>
      <c r="G4033">
        <v>2050</v>
      </c>
      <c r="H4033" s="12">
        <v>1152.68</v>
      </c>
      <c r="I4033" t="s">
        <v>3183</v>
      </c>
      <c r="J4033" t="s">
        <v>17</v>
      </c>
      <c r="K4033" t="s">
        <v>147</v>
      </c>
      <c r="L4033" t="s">
        <v>654</v>
      </c>
      <c r="M4033" t="s">
        <v>671</v>
      </c>
    </row>
    <row r="4034" spans="1:13">
      <c r="A4034" t="s">
        <v>851</v>
      </c>
      <c r="B4034" t="s">
        <v>686</v>
      </c>
      <c r="C4034" t="s">
        <v>686</v>
      </c>
      <c r="D4034" t="s">
        <v>3185</v>
      </c>
      <c r="E4034" t="s">
        <v>461</v>
      </c>
      <c r="F4034" t="s">
        <v>668</v>
      </c>
      <c r="G4034">
        <v>2010</v>
      </c>
      <c r="H4034" s="12">
        <v>0.17</v>
      </c>
      <c r="I4034" t="s">
        <v>3183</v>
      </c>
      <c r="J4034" t="s">
        <v>18</v>
      </c>
      <c r="K4034" t="s">
        <v>147</v>
      </c>
      <c r="L4034" t="s">
        <v>654</v>
      </c>
      <c r="M4034" t="s">
        <v>18</v>
      </c>
    </row>
    <row r="4035" spans="1:13">
      <c r="A4035" t="s">
        <v>851</v>
      </c>
      <c r="B4035" t="s">
        <v>686</v>
      </c>
      <c r="C4035" t="s">
        <v>686</v>
      </c>
      <c r="D4035" t="s">
        <v>3185</v>
      </c>
      <c r="E4035" t="s">
        <v>461</v>
      </c>
      <c r="F4035" t="s">
        <v>668</v>
      </c>
      <c r="G4035">
        <v>2015</v>
      </c>
      <c r="H4035" s="12">
        <v>0.35</v>
      </c>
      <c r="I4035" t="s">
        <v>3183</v>
      </c>
      <c r="J4035" t="s">
        <v>18</v>
      </c>
      <c r="K4035" t="s">
        <v>147</v>
      </c>
      <c r="L4035" t="s">
        <v>654</v>
      </c>
      <c r="M4035" t="s">
        <v>18</v>
      </c>
    </row>
    <row r="4036" spans="1:13">
      <c r="A4036" t="s">
        <v>851</v>
      </c>
      <c r="B4036" t="s">
        <v>686</v>
      </c>
      <c r="C4036" t="s">
        <v>686</v>
      </c>
      <c r="D4036" t="s">
        <v>3185</v>
      </c>
      <c r="E4036" t="s">
        <v>461</v>
      </c>
      <c r="F4036" t="s">
        <v>668</v>
      </c>
      <c r="G4036">
        <v>2020</v>
      </c>
      <c r="H4036" s="12">
        <v>1.98</v>
      </c>
      <c r="I4036" t="s">
        <v>3183</v>
      </c>
      <c r="J4036" t="s">
        <v>18</v>
      </c>
      <c r="K4036" t="s">
        <v>147</v>
      </c>
      <c r="L4036" t="s">
        <v>654</v>
      </c>
      <c r="M4036" t="s">
        <v>18</v>
      </c>
    </row>
    <row r="4037" spans="1:13">
      <c r="A4037" t="s">
        <v>851</v>
      </c>
      <c r="B4037" t="s">
        <v>686</v>
      </c>
      <c r="C4037" t="s">
        <v>686</v>
      </c>
      <c r="D4037" t="s">
        <v>3185</v>
      </c>
      <c r="E4037" t="s">
        <v>461</v>
      </c>
      <c r="F4037" t="s">
        <v>668</v>
      </c>
      <c r="G4037">
        <v>2030</v>
      </c>
      <c r="H4037" s="12">
        <v>26.36</v>
      </c>
      <c r="I4037" t="s">
        <v>3183</v>
      </c>
      <c r="J4037" t="s">
        <v>18</v>
      </c>
      <c r="K4037" t="s">
        <v>147</v>
      </c>
      <c r="L4037" t="s">
        <v>654</v>
      </c>
      <c r="M4037" t="s">
        <v>18</v>
      </c>
    </row>
    <row r="4038" spans="1:13">
      <c r="A4038" t="s">
        <v>851</v>
      </c>
      <c r="B4038" t="s">
        <v>686</v>
      </c>
      <c r="C4038" t="s">
        <v>686</v>
      </c>
      <c r="D4038" t="s">
        <v>3185</v>
      </c>
      <c r="E4038" t="s">
        <v>461</v>
      </c>
      <c r="F4038" t="s">
        <v>668</v>
      </c>
      <c r="G4038">
        <v>2035</v>
      </c>
      <c r="H4038" s="12">
        <v>59.86</v>
      </c>
      <c r="I4038" t="s">
        <v>3183</v>
      </c>
      <c r="J4038" t="s">
        <v>18</v>
      </c>
      <c r="K4038" t="s">
        <v>147</v>
      </c>
      <c r="L4038" t="s">
        <v>654</v>
      </c>
      <c r="M4038" t="s">
        <v>18</v>
      </c>
    </row>
    <row r="4039" spans="1:13">
      <c r="A4039" t="s">
        <v>851</v>
      </c>
      <c r="B4039" t="s">
        <v>686</v>
      </c>
      <c r="C4039" t="s">
        <v>686</v>
      </c>
      <c r="D4039" t="s">
        <v>3185</v>
      </c>
      <c r="E4039" t="s">
        <v>461</v>
      </c>
      <c r="F4039" t="s">
        <v>668</v>
      </c>
      <c r="G4039">
        <v>2040</v>
      </c>
      <c r="H4039" s="12">
        <v>108.4</v>
      </c>
      <c r="I4039" t="s">
        <v>3183</v>
      </c>
      <c r="J4039" t="s">
        <v>18</v>
      </c>
      <c r="K4039" t="s">
        <v>147</v>
      </c>
      <c r="L4039" t="s">
        <v>654</v>
      </c>
      <c r="M4039" t="s">
        <v>18</v>
      </c>
    </row>
    <row r="4040" spans="1:13">
      <c r="A4040" t="s">
        <v>851</v>
      </c>
      <c r="B4040" t="s">
        <v>686</v>
      </c>
      <c r="C4040" t="s">
        <v>686</v>
      </c>
      <c r="D4040" t="s">
        <v>3185</v>
      </c>
      <c r="E4040" t="s">
        <v>461</v>
      </c>
      <c r="F4040" t="s">
        <v>668</v>
      </c>
      <c r="G4040">
        <v>2045</v>
      </c>
      <c r="H4040" s="12">
        <v>168.71</v>
      </c>
      <c r="I4040" t="s">
        <v>3183</v>
      </c>
      <c r="J4040" t="s">
        <v>18</v>
      </c>
      <c r="K4040" t="s">
        <v>147</v>
      </c>
      <c r="L4040" t="s">
        <v>654</v>
      </c>
      <c r="M4040" t="s">
        <v>18</v>
      </c>
    </row>
    <row r="4041" spans="1:13">
      <c r="A4041" t="s">
        <v>851</v>
      </c>
      <c r="B4041" t="s">
        <v>686</v>
      </c>
      <c r="C4041" t="s">
        <v>686</v>
      </c>
      <c r="D4041" t="s">
        <v>3185</v>
      </c>
      <c r="E4041" t="s">
        <v>461</v>
      </c>
      <c r="F4041" t="s">
        <v>668</v>
      </c>
      <c r="G4041">
        <v>2050</v>
      </c>
      <c r="H4041" s="12">
        <v>245.75</v>
      </c>
      <c r="I4041" t="s">
        <v>3183</v>
      </c>
      <c r="J4041" t="s">
        <v>18</v>
      </c>
      <c r="K4041" t="s">
        <v>147</v>
      </c>
      <c r="L4041" t="s">
        <v>654</v>
      </c>
      <c r="M4041" t="s">
        <v>18</v>
      </c>
    </row>
    <row r="4042" spans="1:13">
      <c r="A4042" t="s">
        <v>851</v>
      </c>
      <c r="B4042" t="s">
        <v>687</v>
      </c>
      <c r="C4042" t="s">
        <v>687</v>
      </c>
      <c r="D4042" t="s">
        <v>3185</v>
      </c>
      <c r="E4042" t="s">
        <v>461</v>
      </c>
      <c r="F4042" t="s">
        <v>668</v>
      </c>
      <c r="G4042">
        <v>2030</v>
      </c>
      <c r="H4042" s="12">
        <v>57.55</v>
      </c>
      <c r="I4042" t="s">
        <v>3183</v>
      </c>
      <c r="J4042" t="s">
        <v>18</v>
      </c>
      <c r="K4042" t="s">
        <v>147</v>
      </c>
      <c r="L4042" t="s">
        <v>654</v>
      </c>
      <c r="M4042" t="s">
        <v>18</v>
      </c>
    </row>
    <row r="4043" spans="1:13">
      <c r="A4043" t="s">
        <v>851</v>
      </c>
      <c r="B4043" t="s">
        <v>687</v>
      </c>
      <c r="C4043" t="s">
        <v>687</v>
      </c>
      <c r="D4043" t="s">
        <v>3185</v>
      </c>
      <c r="E4043" t="s">
        <v>461</v>
      </c>
      <c r="F4043" t="s">
        <v>668</v>
      </c>
      <c r="G4043">
        <v>2035</v>
      </c>
      <c r="H4043" s="12">
        <v>151.56</v>
      </c>
      <c r="I4043" t="s">
        <v>3183</v>
      </c>
      <c r="J4043" t="s">
        <v>18</v>
      </c>
      <c r="K4043" t="s">
        <v>147</v>
      </c>
      <c r="L4043" t="s">
        <v>654</v>
      </c>
      <c r="M4043" t="s">
        <v>18</v>
      </c>
    </row>
    <row r="4044" spans="1:13">
      <c r="A4044" t="s">
        <v>851</v>
      </c>
      <c r="B4044" t="s">
        <v>687</v>
      </c>
      <c r="C4044" t="s">
        <v>687</v>
      </c>
      <c r="D4044" t="s">
        <v>3185</v>
      </c>
      <c r="E4044" t="s">
        <v>461</v>
      </c>
      <c r="F4044" t="s">
        <v>668</v>
      </c>
      <c r="G4044">
        <v>2040</v>
      </c>
      <c r="H4044" s="12">
        <v>280.67</v>
      </c>
      <c r="I4044" t="s">
        <v>3183</v>
      </c>
      <c r="J4044" t="s">
        <v>18</v>
      </c>
      <c r="K4044" t="s">
        <v>147</v>
      </c>
      <c r="L4044" t="s">
        <v>654</v>
      </c>
      <c r="M4044" t="s">
        <v>18</v>
      </c>
    </row>
    <row r="4045" spans="1:13">
      <c r="A4045" t="s">
        <v>851</v>
      </c>
      <c r="B4045" t="s">
        <v>687</v>
      </c>
      <c r="C4045" t="s">
        <v>687</v>
      </c>
      <c r="D4045" t="s">
        <v>3185</v>
      </c>
      <c r="E4045" t="s">
        <v>461</v>
      </c>
      <c r="F4045" t="s">
        <v>668</v>
      </c>
      <c r="G4045">
        <v>2045</v>
      </c>
      <c r="H4045" s="12">
        <v>468.58</v>
      </c>
      <c r="I4045" t="s">
        <v>3183</v>
      </c>
      <c r="J4045" t="s">
        <v>18</v>
      </c>
      <c r="K4045" t="s">
        <v>147</v>
      </c>
      <c r="L4045" t="s">
        <v>654</v>
      </c>
      <c r="M4045" t="s">
        <v>18</v>
      </c>
    </row>
    <row r="4046" spans="1:13">
      <c r="A4046" t="s">
        <v>851</v>
      </c>
      <c r="B4046" t="s">
        <v>687</v>
      </c>
      <c r="C4046" t="s">
        <v>687</v>
      </c>
      <c r="D4046" t="s">
        <v>3185</v>
      </c>
      <c r="E4046" t="s">
        <v>461</v>
      </c>
      <c r="F4046" t="s">
        <v>668</v>
      </c>
      <c r="G4046">
        <v>2050</v>
      </c>
      <c r="H4046" s="12">
        <v>704.04</v>
      </c>
      <c r="I4046" t="s">
        <v>3183</v>
      </c>
      <c r="J4046" t="s">
        <v>18</v>
      </c>
      <c r="K4046" t="s">
        <v>147</v>
      </c>
      <c r="L4046" t="s">
        <v>654</v>
      </c>
      <c r="M4046" t="s">
        <v>18</v>
      </c>
    </row>
    <row r="4047" spans="1:13">
      <c r="A4047" t="s">
        <v>851</v>
      </c>
      <c r="B4047" t="s">
        <v>686</v>
      </c>
      <c r="C4047" t="s">
        <v>686</v>
      </c>
      <c r="D4047" t="s">
        <v>3185</v>
      </c>
      <c r="E4047" t="s">
        <v>461</v>
      </c>
      <c r="F4047" t="s">
        <v>668</v>
      </c>
      <c r="G4047">
        <v>2010</v>
      </c>
      <c r="H4047" s="12">
        <v>17.79</v>
      </c>
      <c r="I4047" t="s">
        <v>3183</v>
      </c>
      <c r="J4047" t="s">
        <v>14</v>
      </c>
      <c r="K4047" t="s">
        <v>147</v>
      </c>
      <c r="L4047" t="s">
        <v>654</v>
      </c>
      <c r="M4047" t="s">
        <v>14</v>
      </c>
    </row>
    <row r="4048" spans="1:13">
      <c r="A4048" t="s">
        <v>851</v>
      </c>
      <c r="B4048" t="s">
        <v>686</v>
      </c>
      <c r="C4048" t="s">
        <v>686</v>
      </c>
      <c r="D4048" t="s">
        <v>3185</v>
      </c>
      <c r="E4048" t="s">
        <v>461</v>
      </c>
      <c r="F4048" t="s">
        <v>668</v>
      </c>
      <c r="G4048">
        <v>2015</v>
      </c>
      <c r="H4048" s="12">
        <v>17.579999999999998</v>
      </c>
      <c r="I4048" t="s">
        <v>3183</v>
      </c>
      <c r="J4048" t="s">
        <v>14</v>
      </c>
      <c r="K4048" t="s">
        <v>147</v>
      </c>
      <c r="L4048" t="s">
        <v>654</v>
      </c>
      <c r="M4048" t="s">
        <v>14</v>
      </c>
    </row>
    <row r="4049" spans="1:13">
      <c r="A4049" t="s">
        <v>851</v>
      </c>
      <c r="B4049" t="s">
        <v>686</v>
      </c>
      <c r="C4049" t="s">
        <v>686</v>
      </c>
      <c r="D4049" t="s">
        <v>3185</v>
      </c>
      <c r="E4049" t="s">
        <v>461</v>
      </c>
      <c r="F4049" t="s">
        <v>668</v>
      </c>
      <c r="G4049">
        <v>2020</v>
      </c>
      <c r="H4049" s="12">
        <v>22.63</v>
      </c>
      <c r="I4049" t="s">
        <v>3183</v>
      </c>
      <c r="J4049" t="s">
        <v>14</v>
      </c>
      <c r="K4049" t="s">
        <v>147</v>
      </c>
      <c r="L4049" t="s">
        <v>654</v>
      </c>
      <c r="M4049" t="s">
        <v>14</v>
      </c>
    </row>
    <row r="4050" spans="1:13">
      <c r="A4050" t="s">
        <v>851</v>
      </c>
      <c r="B4050" t="s">
        <v>686</v>
      </c>
      <c r="C4050" t="s">
        <v>686</v>
      </c>
      <c r="D4050" t="s">
        <v>3185</v>
      </c>
      <c r="E4050" t="s">
        <v>461</v>
      </c>
      <c r="F4050" t="s">
        <v>668</v>
      </c>
      <c r="G4050">
        <v>2030</v>
      </c>
      <c r="H4050" s="12">
        <v>31.74</v>
      </c>
      <c r="I4050" t="s">
        <v>3183</v>
      </c>
      <c r="J4050" t="s">
        <v>14</v>
      </c>
      <c r="K4050" t="s">
        <v>147</v>
      </c>
      <c r="L4050" t="s">
        <v>654</v>
      </c>
      <c r="M4050" t="s">
        <v>14</v>
      </c>
    </row>
    <row r="4051" spans="1:13">
      <c r="A4051" t="s">
        <v>851</v>
      </c>
      <c r="B4051" t="s">
        <v>686</v>
      </c>
      <c r="C4051" t="s">
        <v>686</v>
      </c>
      <c r="D4051" t="s">
        <v>3185</v>
      </c>
      <c r="E4051" t="s">
        <v>461</v>
      </c>
      <c r="F4051" t="s">
        <v>668</v>
      </c>
      <c r="G4051">
        <v>2035</v>
      </c>
      <c r="H4051" s="12">
        <v>36.130000000000003</v>
      </c>
      <c r="I4051" t="s">
        <v>3183</v>
      </c>
      <c r="J4051" t="s">
        <v>14</v>
      </c>
      <c r="K4051" t="s">
        <v>147</v>
      </c>
      <c r="L4051" t="s">
        <v>654</v>
      </c>
      <c r="M4051" t="s">
        <v>14</v>
      </c>
    </row>
    <row r="4052" spans="1:13">
      <c r="A4052" t="s">
        <v>851</v>
      </c>
      <c r="B4052" t="s">
        <v>686</v>
      </c>
      <c r="C4052" t="s">
        <v>686</v>
      </c>
      <c r="D4052" t="s">
        <v>3185</v>
      </c>
      <c r="E4052" t="s">
        <v>461</v>
      </c>
      <c r="F4052" t="s">
        <v>668</v>
      </c>
      <c r="G4052">
        <v>2040</v>
      </c>
      <c r="H4052" s="12">
        <v>40.229999999999997</v>
      </c>
      <c r="I4052" t="s">
        <v>3183</v>
      </c>
      <c r="J4052" t="s">
        <v>14</v>
      </c>
      <c r="K4052" t="s">
        <v>147</v>
      </c>
      <c r="L4052" t="s">
        <v>654</v>
      </c>
      <c r="M4052" t="s">
        <v>14</v>
      </c>
    </row>
    <row r="4053" spans="1:13">
      <c r="A4053" t="s">
        <v>851</v>
      </c>
      <c r="B4053" t="s">
        <v>686</v>
      </c>
      <c r="C4053" t="s">
        <v>686</v>
      </c>
      <c r="D4053" t="s">
        <v>3185</v>
      </c>
      <c r="E4053" t="s">
        <v>461</v>
      </c>
      <c r="F4053" t="s">
        <v>668</v>
      </c>
      <c r="G4053">
        <v>2045</v>
      </c>
      <c r="H4053" s="12">
        <v>44.35</v>
      </c>
      <c r="I4053" t="s">
        <v>3183</v>
      </c>
      <c r="J4053" t="s">
        <v>14</v>
      </c>
      <c r="K4053" t="s">
        <v>147</v>
      </c>
      <c r="L4053" t="s">
        <v>654</v>
      </c>
      <c r="M4053" t="s">
        <v>14</v>
      </c>
    </row>
    <row r="4054" spans="1:13">
      <c r="A4054" t="s">
        <v>851</v>
      </c>
      <c r="B4054" t="s">
        <v>686</v>
      </c>
      <c r="C4054" t="s">
        <v>686</v>
      </c>
      <c r="D4054" t="s">
        <v>3185</v>
      </c>
      <c r="E4054" t="s">
        <v>461</v>
      </c>
      <c r="F4054" t="s">
        <v>668</v>
      </c>
      <c r="G4054">
        <v>2050</v>
      </c>
      <c r="H4054" s="12">
        <v>47.84</v>
      </c>
      <c r="I4054" t="s">
        <v>3183</v>
      </c>
      <c r="J4054" t="s">
        <v>14</v>
      </c>
      <c r="K4054" t="s">
        <v>147</v>
      </c>
      <c r="L4054" t="s">
        <v>654</v>
      </c>
      <c r="M4054" t="s">
        <v>14</v>
      </c>
    </row>
    <row r="4055" spans="1:13">
      <c r="A4055" t="s">
        <v>851</v>
      </c>
      <c r="B4055" t="s">
        <v>687</v>
      </c>
      <c r="C4055" t="s">
        <v>687</v>
      </c>
      <c r="D4055" t="s">
        <v>3185</v>
      </c>
      <c r="E4055" t="s">
        <v>461</v>
      </c>
      <c r="F4055" t="s">
        <v>668</v>
      </c>
      <c r="G4055">
        <v>2030</v>
      </c>
      <c r="H4055" s="12">
        <v>31.73</v>
      </c>
      <c r="I4055" t="s">
        <v>3183</v>
      </c>
      <c r="J4055" t="s">
        <v>14</v>
      </c>
      <c r="K4055" t="s">
        <v>147</v>
      </c>
      <c r="L4055" t="s">
        <v>654</v>
      </c>
      <c r="M4055" t="s">
        <v>14</v>
      </c>
    </row>
    <row r="4056" spans="1:13">
      <c r="A4056" t="s">
        <v>851</v>
      </c>
      <c r="B4056" t="s">
        <v>687</v>
      </c>
      <c r="C4056" t="s">
        <v>687</v>
      </c>
      <c r="D4056" t="s">
        <v>3185</v>
      </c>
      <c r="E4056" t="s">
        <v>461</v>
      </c>
      <c r="F4056" t="s">
        <v>668</v>
      </c>
      <c r="G4056">
        <v>2035</v>
      </c>
      <c r="H4056" s="12">
        <v>36.71</v>
      </c>
      <c r="I4056" t="s">
        <v>3183</v>
      </c>
      <c r="J4056" t="s">
        <v>14</v>
      </c>
      <c r="K4056" t="s">
        <v>147</v>
      </c>
      <c r="L4056" t="s">
        <v>654</v>
      </c>
      <c r="M4056" t="s">
        <v>14</v>
      </c>
    </row>
    <row r="4057" spans="1:13">
      <c r="A4057" t="s">
        <v>851</v>
      </c>
      <c r="B4057" t="s">
        <v>687</v>
      </c>
      <c r="C4057" t="s">
        <v>687</v>
      </c>
      <c r="D4057" t="s">
        <v>3185</v>
      </c>
      <c r="E4057" t="s">
        <v>461</v>
      </c>
      <c r="F4057" t="s">
        <v>668</v>
      </c>
      <c r="G4057">
        <v>2040</v>
      </c>
      <c r="H4057" s="12">
        <v>41.13</v>
      </c>
      <c r="I4057" t="s">
        <v>3183</v>
      </c>
      <c r="J4057" t="s">
        <v>14</v>
      </c>
      <c r="K4057" t="s">
        <v>147</v>
      </c>
      <c r="L4057" t="s">
        <v>654</v>
      </c>
      <c r="M4057" t="s">
        <v>14</v>
      </c>
    </row>
    <row r="4058" spans="1:13">
      <c r="A4058" t="s">
        <v>851</v>
      </c>
      <c r="B4058" t="s">
        <v>687</v>
      </c>
      <c r="C4058" t="s">
        <v>687</v>
      </c>
      <c r="D4058" t="s">
        <v>3185</v>
      </c>
      <c r="E4058" t="s">
        <v>461</v>
      </c>
      <c r="F4058" t="s">
        <v>668</v>
      </c>
      <c r="G4058">
        <v>2045</v>
      </c>
      <c r="H4058" s="12">
        <v>45.22</v>
      </c>
      <c r="I4058" t="s">
        <v>3183</v>
      </c>
      <c r="J4058" t="s">
        <v>14</v>
      </c>
      <c r="K4058" t="s">
        <v>147</v>
      </c>
      <c r="L4058" t="s">
        <v>654</v>
      </c>
      <c r="M4058" t="s">
        <v>14</v>
      </c>
    </row>
    <row r="4059" spans="1:13">
      <c r="A4059" t="s">
        <v>851</v>
      </c>
      <c r="B4059" t="s">
        <v>687</v>
      </c>
      <c r="C4059" t="s">
        <v>687</v>
      </c>
      <c r="D4059" t="s">
        <v>3185</v>
      </c>
      <c r="E4059" t="s">
        <v>461</v>
      </c>
      <c r="F4059" t="s">
        <v>668</v>
      </c>
      <c r="G4059">
        <v>2050</v>
      </c>
      <c r="H4059" s="12">
        <v>48.6</v>
      </c>
      <c r="I4059" t="s">
        <v>3183</v>
      </c>
      <c r="J4059" t="s">
        <v>14</v>
      </c>
      <c r="K4059" t="s">
        <v>147</v>
      </c>
      <c r="L4059" t="s">
        <v>654</v>
      </c>
      <c r="M4059" t="s">
        <v>14</v>
      </c>
    </row>
    <row r="4060" spans="1:13">
      <c r="A4060" t="s">
        <v>851</v>
      </c>
      <c r="B4060" t="s">
        <v>686</v>
      </c>
      <c r="C4060" t="s">
        <v>686</v>
      </c>
      <c r="D4060" t="s">
        <v>3185</v>
      </c>
      <c r="E4060" t="s">
        <v>461</v>
      </c>
      <c r="F4060" t="s">
        <v>668</v>
      </c>
      <c r="G4060">
        <v>2010</v>
      </c>
      <c r="H4060" s="12">
        <v>0.02</v>
      </c>
      <c r="I4060" t="s">
        <v>3183</v>
      </c>
      <c r="J4060" t="s">
        <v>41</v>
      </c>
      <c r="K4060" t="s">
        <v>147</v>
      </c>
      <c r="L4060" t="s">
        <v>654</v>
      </c>
      <c r="M4060" t="s">
        <v>669</v>
      </c>
    </row>
    <row r="4061" spans="1:13">
      <c r="A4061" t="s">
        <v>851</v>
      </c>
      <c r="B4061" t="s">
        <v>686</v>
      </c>
      <c r="C4061" t="s">
        <v>686</v>
      </c>
      <c r="D4061" t="s">
        <v>3185</v>
      </c>
      <c r="E4061" t="s">
        <v>461</v>
      </c>
      <c r="F4061" t="s">
        <v>668</v>
      </c>
      <c r="G4061">
        <v>2015</v>
      </c>
      <c r="H4061" s="12">
        <v>0.02</v>
      </c>
      <c r="I4061" t="s">
        <v>3183</v>
      </c>
      <c r="J4061" t="s">
        <v>41</v>
      </c>
      <c r="K4061" t="s">
        <v>147</v>
      </c>
      <c r="L4061" t="s">
        <v>654</v>
      </c>
      <c r="M4061" t="s">
        <v>669</v>
      </c>
    </row>
    <row r="4062" spans="1:13">
      <c r="A4062" t="s">
        <v>851</v>
      </c>
      <c r="B4062" t="s">
        <v>686</v>
      </c>
      <c r="C4062" t="s">
        <v>686</v>
      </c>
      <c r="D4062" t="s">
        <v>3185</v>
      </c>
      <c r="E4062" t="s">
        <v>461</v>
      </c>
      <c r="F4062" t="s">
        <v>668</v>
      </c>
      <c r="G4062">
        <v>2020</v>
      </c>
      <c r="H4062" s="12">
        <v>0.05</v>
      </c>
      <c r="I4062" t="s">
        <v>3183</v>
      </c>
      <c r="J4062" t="s">
        <v>41</v>
      </c>
      <c r="K4062" t="s">
        <v>147</v>
      </c>
      <c r="L4062" t="s">
        <v>654</v>
      </c>
      <c r="M4062" t="s">
        <v>669</v>
      </c>
    </row>
    <row r="4063" spans="1:13">
      <c r="A4063" t="s">
        <v>851</v>
      </c>
      <c r="B4063" t="s">
        <v>686</v>
      </c>
      <c r="C4063" t="s">
        <v>686</v>
      </c>
      <c r="D4063" t="s">
        <v>3185</v>
      </c>
      <c r="E4063" t="s">
        <v>461</v>
      </c>
      <c r="F4063" t="s">
        <v>668</v>
      </c>
      <c r="G4063">
        <v>2030</v>
      </c>
      <c r="H4063" s="12">
        <v>8.0500000000000007</v>
      </c>
      <c r="I4063" t="s">
        <v>3183</v>
      </c>
      <c r="J4063" t="s">
        <v>41</v>
      </c>
      <c r="K4063" t="s">
        <v>147</v>
      </c>
      <c r="L4063" t="s">
        <v>654</v>
      </c>
      <c r="M4063" t="s">
        <v>669</v>
      </c>
    </row>
    <row r="4064" spans="1:13">
      <c r="A4064" t="s">
        <v>851</v>
      </c>
      <c r="B4064" t="s">
        <v>686</v>
      </c>
      <c r="C4064" t="s">
        <v>686</v>
      </c>
      <c r="D4064" t="s">
        <v>3185</v>
      </c>
      <c r="E4064" t="s">
        <v>461</v>
      </c>
      <c r="F4064" t="s">
        <v>668</v>
      </c>
      <c r="G4064">
        <v>2035</v>
      </c>
      <c r="H4064" s="12">
        <v>18.14</v>
      </c>
      <c r="I4064" t="s">
        <v>3183</v>
      </c>
      <c r="J4064" t="s">
        <v>41</v>
      </c>
      <c r="K4064" t="s">
        <v>147</v>
      </c>
      <c r="L4064" t="s">
        <v>654</v>
      </c>
      <c r="M4064" t="s">
        <v>669</v>
      </c>
    </row>
    <row r="4065" spans="1:13">
      <c r="A4065" t="s">
        <v>851</v>
      </c>
      <c r="B4065" t="s">
        <v>686</v>
      </c>
      <c r="C4065" t="s">
        <v>686</v>
      </c>
      <c r="D4065" t="s">
        <v>3185</v>
      </c>
      <c r="E4065" t="s">
        <v>461</v>
      </c>
      <c r="F4065" t="s">
        <v>668</v>
      </c>
      <c r="G4065">
        <v>2040</v>
      </c>
      <c r="H4065" s="12">
        <v>29.02</v>
      </c>
      <c r="I4065" t="s">
        <v>3183</v>
      </c>
      <c r="J4065" t="s">
        <v>41</v>
      </c>
      <c r="K4065" t="s">
        <v>147</v>
      </c>
      <c r="L4065" t="s">
        <v>654</v>
      </c>
      <c r="M4065" t="s">
        <v>669</v>
      </c>
    </row>
    <row r="4066" spans="1:13">
      <c r="A4066" t="s">
        <v>851</v>
      </c>
      <c r="B4066" t="s">
        <v>686</v>
      </c>
      <c r="C4066" t="s">
        <v>686</v>
      </c>
      <c r="D4066" t="s">
        <v>3185</v>
      </c>
      <c r="E4066" t="s">
        <v>461</v>
      </c>
      <c r="F4066" t="s">
        <v>668</v>
      </c>
      <c r="G4066">
        <v>2045</v>
      </c>
      <c r="H4066" s="12">
        <v>40.020000000000003</v>
      </c>
      <c r="I4066" t="s">
        <v>3183</v>
      </c>
      <c r="J4066" t="s">
        <v>41</v>
      </c>
      <c r="K4066" t="s">
        <v>147</v>
      </c>
      <c r="L4066" t="s">
        <v>654</v>
      </c>
      <c r="M4066" t="s">
        <v>669</v>
      </c>
    </row>
    <row r="4067" spans="1:13">
      <c r="A4067" t="s">
        <v>851</v>
      </c>
      <c r="B4067" t="s">
        <v>686</v>
      </c>
      <c r="C4067" t="s">
        <v>686</v>
      </c>
      <c r="D4067" t="s">
        <v>3185</v>
      </c>
      <c r="E4067" t="s">
        <v>461</v>
      </c>
      <c r="F4067" t="s">
        <v>668</v>
      </c>
      <c r="G4067">
        <v>2050</v>
      </c>
      <c r="H4067" s="12">
        <v>51.56</v>
      </c>
      <c r="I4067" t="s">
        <v>3183</v>
      </c>
      <c r="J4067" t="s">
        <v>41</v>
      </c>
      <c r="K4067" t="s">
        <v>147</v>
      </c>
      <c r="L4067" t="s">
        <v>654</v>
      </c>
      <c r="M4067" t="s">
        <v>669</v>
      </c>
    </row>
    <row r="4068" spans="1:13">
      <c r="A4068" t="s">
        <v>851</v>
      </c>
      <c r="B4068" t="s">
        <v>687</v>
      </c>
      <c r="C4068" t="s">
        <v>687</v>
      </c>
      <c r="D4068" t="s">
        <v>3185</v>
      </c>
      <c r="E4068" t="s">
        <v>461</v>
      </c>
      <c r="F4068" t="s">
        <v>668</v>
      </c>
      <c r="G4068">
        <v>2040</v>
      </c>
      <c r="H4068" s="12">
        <v>0</v>
      </c>
      <c r="I4068" t="s">
        <v>3183</v>
      </c>
      <c r="J4068" t="s">
        <v>8</v>
      </c>
      <c r="K4068" t="s">
        <v>147</v>
      </c>
      <c r="L4068" t="s">
        <v>654</v>
      </c>
      <c r="M4068" t="s">
        <v>670</v>
      </c>
    </row>
    <row r="4069" spans="1:13">
      <c r="A4069" t="s">
        <v>851</v>
      </c>
      <c r="B4069" t="s">
        <v>687</v>
      </c>
      <c r="C4069" t="s">
        <v>687</v>
      </c>
      <c r="D4069" t="s">
        <v>3185</v>
      </c>
      <c r="E4069" t="s">
        <v>461</v>
      </c>
      <c r="F4069" t="s">
        <v>668</v>
      </c>
      <c r="G4069">
        <v>2045</v>
      </c>
      <c r="H4069" s="12">
        <v>0</v>
      </c>
      <c r="I4069" t="s">
        <v>3183</v>
      </c>
      <c r="J4069" t="s">
        <v>8</v>
      </c>
      <c r="K4069" t="s">
        <v>147</v>
      </c>
      <c r="L4069" t="s">
        <v>654</v>
      </c>
      <c r="M4069" t="s">
        <v>670</v>
      </c>
    </row>
    <row r="4070" spans="1:13">
      <c r="A4070" t="s">
        <v>851</v>
      </c>
      <c r="B4070" t="s">
        <v>687</v>
      </c>
      <c r="C4070" t="s">
        <v>687</v>
      </c>
      <c r="D4070" t="s">
        <v>3185</v>
      </c>
      <c r="E4070" t="s">
        <v>461</v>
      </c>
      <c r="F4070" t="s">
        <v>668</v>
      </c>
      <c r="G4070">
        <v>2050</v>
      </c>
      <c r="H4070" s="12">
        <v>0</v>
      </c>
      <c r="I4070" t="s">
        <v>3183</v>
      </c>
      <c r="J4070" t="s">
        <v>8</v>
      </c>
      <c r="K4070" t="s">
        <v>147</v>
      </c>
      <c r="L4070" t="s">
        <v>654</v>
      </c>
      <c r="M4070" t="s">
        <v>670</v>
      </c>
    </row>
    <row r="4071" spans="1:13">
      <c r="A4071" t="s">
        <v>851</v>
      </c>
      <c r="B4071" t="s">
        <v>686</v>
      </c>
      <c r="C4071" t="s">
        <v>686</v>
      </c>
      <c r="D4071" t="s">
        <v>3185</v>
      </c>
      <c r="E4071" t="s">
        <v>461</v>
      </c>
      <c r="F4071" t="s">
        <v>668</v>
      </c>
      <c r="G4071">
        <v>2010</v>
      </c>
      <c r="H4071" s="12">
        <v>0.35</v>
      </c>
      <c r="I4071" t="s">
        <v>3183</v>
      </c>
      <c r="J4071" t="s">
        <v>5</v>
      </c>
      <c r="K4071" t="s">
        <v>147</v>
      </c>
      <c r="L4071" t="s">
        <v>654</v>
      </c>
      <c r="M4071" t="s">
        <v>665</v>
      </c>
    </row>
    <row r="4072" spans="1:13">
      <c r="A4072" t="s">
        <v>851</v>
      </c>
      <c r="B4072" t="s">
        <v>686</v>
      </c>
      <c r="C4072" t="s">
        <v>686</v>
      </c>
      <c r="D4072" t="s">
        <v>3185</v>
      </c>
      <c r="E4072" t="s">
        <v>461</v>
      </c>
      <c r="F4072" t="s">
        <v>668</v>
      </c>
      <c r="G4072">
        <v>2015</v>
      </c>
      <c r="H4072" s="12">
        <v>0.46</v>
      </c>
      <c r="I4072" t="s">
        <v>3183</v>
      </c>
      <c r="J4072" t="s">
        <v>5</v>
      </c>
      <c r="K4072" t="s">
        <v>147</v>
      </c>
      <c r="L4072" t="s">
        <v>654</v>
      </c>
      <c r="M4072" t="s">
        <v>665</v>
      </c>
    </row>
    <row r="4073" spans="1:13">
      <c r="A4073" t="s">
        <v>851</v>
      </c>
      <c r="B4073" t="s">
        <v>686</v>
      </c>
      <c r="C4073" t="s">
        <v>686</v>
      </c>
      <c r="D4073" t="s">
        <v>3185</v>
      </c>
      <c r="E4073" t="s">
        <v>461</v>
      </c>
      <c r="F4073" t="s">
        <v>668</v>
      </c>
      <c r="G4073">
        <v>2020</v>
      </c>
      <c r="H4073" s="12">
        <v>0.75</v>
      </c>
      <c r="I4073" t="s">
        <v>3183</v>
      </c>
      <c r="J4073" t="s">
        <v>5</v>
      </c>
      <c r="K4073" t="s">
        <v>147</v>
      </c>
      <c r="L4073" t="s">
        <v>654</v>
      </c>
      <c r="M4073" t="s">
        <v>665</v>
      </c>
    </row>
    <row r="4074" spans="1:13">
      <c r="A4074" t="s">
        <v>851</v>
      </c>
      <c r="B4074" t="s">
        <v>686</v>
      </c>
      <c r="C4074" t="s">
        <v>686</v>
      </c>
      <c r="D4074" t="s">
        <v>3185</v>
      </c>
      <c r="E4074" t="s">
        <v>461</v>
      </c>
      <c r="F4074" t="s">
        <v>668</v>
      </c>
      <c r="G4074">
        <v>2030</v>
      </c>
      <c r="H4074" s="12">
        <v>3.61</v>
      </c>
      <c r="I4074" t="s">
        <v>3183</v>
      </c>
      <c r="J4074" t="s">
        <v>5</v>
      </c>
      <c r="K4074" t="s">
        <v>147</v>
      </c>
      <c r="L4074" t="s">
        <v>654</v>
      </c>
      <c r="M4074" t="s">
        <v>665</v>
      </c>
    </row>
    <row r="4075" spans="1:13">
      <c r="A4075" t="s">
        <v>851</v>
      </c>
      <c r="B4075" t="s">
        <v>686</v>
      </c>
      <c r="C4075" t="s">
        <v>686</v>
      </c>
      <c r="D4075" t="s">
        <v>3185</v>
      </c>
      <c r="E4075" t="s">
        <v>461</v>
      </c>
      <c r="F4075" t="s">
        <v>668</v>
      </c>
      <c r="G4075">
        <v>2035</v>
      </c>
      <c r="H4075" s="12">
        <v>6.11</v>
      </c>
      <c r="I4075" t="s">
        <v>3183</v>
      </c>
      <c r="J4075" t="s">
        <v>5</v>
      </c>
      <c r="K4075" t="s">
        <v>147</v>
      </c>
      <c r="L4075" t="s">
        <v>654</v>
      </c>
      <c r="M4075" t="s">
        <v>665</v>
      </c>
    </row>
    <row r="4076" spans="1:13">
      <c r="A4076" t="s">
        <v>851</v>
      </c>
      <c r="B4076" t="s">
        <v>686</v>
      </c>
      <c r="C4076" t="s">
        <v>686</v>
      </c>
      <c r="D4076" t="s">
        <v>3185</v>
      </c>
      <c r="E4076" t="s">
        <v>461</v>
      </c>
      <c r="F4076" t="s">
        <v>668</v>
      </c>
      <c r="G4076">
        <v>2040</v>
      </c>
      <c r="H4076" s="12">
        <v>9.1</v>
      </c>
      <c r="I4076" t="s">
        <v>3183</v>
      </c>
      <c r="J4076" t="s">
        <v>5</v>
      </c>
      <c r="K4076" t="s">
        <v>147</v>
      </c>
      <c r="L4076" t="s">
        <v>654</v>
      </c>
      <c r="M4076" t="s">
        <v>665</v>
      </c>
    </row>
    <row r="4077" spans="1:13">
      <c r="A4077" t="s">
        <v>851</v>
      </c>
      <c r="B4077" t="s">
        <v>686</v>
      </c>
      <c r="C4077" t="s">
        <v>686</v>
      </c>
      <c r="D4077" t="s">
        <v>3185</v>
      </c>
      <c r="E4077" t="s">
        <v>461</v>
      </c>
      <c r="F4077" t="s">
        <v>668</v>
      </c>
      <c r="G4077">
        <v>2045</v>
      </c>
      <c r="H4077" s="12">
        <v>12.33</v>
      </c>
      <c r="I4077" t="s">
        <v>3183</v>
      </c>
      <c r="J4077" t="s">
        <v>5</v>
      </c>
      <c r="K4077" t="s">
        <v>147</v>
      </c>
      <c r="L4077" t="s">
        <v>654</v>
      </c>
      <c r="M4077" t="s">
        <v>665</v>
      </c>
    </row>
    <row r="4078" spans="1:13">
      <c r="A4078" t="s">
        <v>851</v>
      </c>
      <c r="B4078" t="s">
        <v>686</v>
      </c>
      <c r="C4078" t="s">
        <v>686</v>
      </c>
      <c r="D4078" t="s">
        <v>3185</v>
      </c>
      <c r="E4078" t="s">
        <v>646</v>
      </c>
      <c r="F4078" t="s">
        <v>40</v>
      </c>
      <c r="G4078">
        <v>2010</v>
      </c>
      <c r="H4078" s="12">
        <v>1831</v>
      </c>
      <c r="I4078" t="s">
        <v>3183</v>
      </c>
      <c r="J4078" t="s">
        <v>344</v>
      </c>
      <c r="K4078" t="s">
        <v>658</v>
      </c>
      <c r="L4078" t="s">
        <v>654</v>
      </c>
      <c r="M4078" t="s">
        <v>10</v>
      </c>
    </row>
    <row r="4079" spans="1:13">
      <c r="A4079" t="s">
        <v>851</v>
      </c>
      <c r="B4079" t="s">
        <v>686</v>
      </c>
      <c r="C4079" t="s">
        <v>686</v>
      </c>
      <c r="D4079" t="s">
        <v>3185</v>
      </c>
      <c r="E4079" t="s">
        <v>646</v>
      </c>
      <c r="F4079" t="s">
        <v>40</v>
      </c>
      <c r="G4079">
        <v>2015</v>
      </c>
      <c r="H4079" s="12">
        <v>2398</v>
      </c>
      <c r="I4079" t="s">
        <v>3183</v>
      </c>
      <c r="J4079" t="s">
        <v>344</v>
      </c>
      <c r="K4079" t="s">
        <v>658</v>
      </c>
      <c r="L4079" t="s">
        <v>654</v>
      </c>
      <c r="M4079" t="s">
        <v>10</v>
      </c>
    </row>
    <row r="4080" spans="1:13">
      <c r="A4080" t="s">
        <v>851</v>
      </c>
      <c r="B4080" t="s">
        <v>686</v>
      </c>
      <c r="C4080" t="s">
        <v>686</v>
      </c>
      <c r="D4080" t="s">
        <v>3185</v>
      </c>
      <c r="E4080" t="s">
        <v>646</v>
      </c>
      <c r="F4080" t="s">
        <v>40</v>
      </c>
      <c r="G4080">
        <v>2020</v>
      </c>
      <c r="H4080" s="12">
        <v>2576</v>
      </c>
      <c r="I4080" t="s">
        <v>3183</v>
      </c>
      <c r="J4080" t="s">
        <v>344</v>
      </c>
      <c r="K4080" t="s">
        <v>658</v>
      </c>
      <c r="L4080" t="s">
        <v>654</v>
      </c>
      <c r="M4080" t="s">
        <v>10</v>
      </c>
    </row>
    <row r="4081" spans="1:13">
      <c r="A4081" t="s">
        <v>851</v>
      </c>
      <c r="B4081" t="s">
        <v>686</v>
      </c>
      <c r="C4081" t="s">
        <v>686</v>
      </c>
      <c r="D4081" t="s">
        <v>3185</v>
      </c>
      <c r="E4081" t="s">
        <v>646</v>
      </c>
      <c r="F4081" t="s">
        <v>40</v>
      </c>
      <c r="G4081">
        <v>2030</v>
      </c>
      <c r="H4081" s="12">
        <v>3556</v>
      </c>
      <c r="I4081" t="s">
        <v>3183</v>
      </c>
      <c r="J4081" t="s">
        <v>344</v>
      </c>
      <c r="K4081" t="s">
        <v>658</v>
      </c>
      <c r="L4081" t="s">
        <v>654</v>
      </c>
      <c r="M4081" t="s">
        <v>10</v>
      </c>
    </row>
    <row r="4082" spans="1:13">
      <c r="A4082" t="s">
        <v>851</v>
      </c>
      <c r="B4082" t="s">
        <v>686</v>
      </c>
      <c r="C4082" t="s">
        <v>686</v>
      </c>
      <c r="D4082" t="s">
        <v>3185</v>
      </c>
      <c r="E4082" t="s">
        <v>646</v>
      </c>
      <c r="F4082" t="s">
        <v>40</v>
      </c>
      <c r="G4082">
        <v>2035</v>
      </c>
      <c r="H4082" s="12">
        <v>4258</v>
      </c>
      <c r="I4082" t="s">
        <v>3183</v>
      </c>
      <c r="J4082" t="s">
        <v>344</v>
      </c>
      <c r="K4082" t="s">
        <v>658</v>
      </c>
      <c r="L4082" t="s">
        <v>654</v>
      </c>
      <c r="M4082" t="s">
        <v>10</v>
      </c>
    </row>
    <row r="4083" spans="1:13">
      <c r="A4083" t="s">
        <v>851</v>
      </c>
      <c r="B4083" t="s">
        <v>686</v>
      </c>
      <c r="C4083" t="s">
        <v>686</v>
      </c>
      <c r="D4083" t="s">
        <v>3185</v>
      </c>
      <c r="E4083" t="s">
        <v>646</v>
      </c>
      <c r="F4083" t="s">
        <v>40</v>
      </c>
      <c r="G4083">
        <v>2040</v>
      </c>
      <c r="H4083" s="12">
        <v>5021</v>
      </c>
      <c r="I4083" t="s">
        <v>3183</v>
      </c>
      <c r="J4083" t="s">
        <v>344</v>
      </c>
      <c r="K4083" t="s">
        <v>658</v>
      </c>
      <c r="L4083" t="s">
        <v>654</v>
      </c>
      <c r="M4083" t="s">
        <v>10</v>
      </c>
    </row>
    <row r="4084" spans="1:13">
      <c r="A4084" t="s">
        <v>851</v>
      </c>
      <c r="B4084" t="s">
        <v>686</v>
      </c>
      <c r="C4084" t="s">
        <v>686</v>
      </c>
      <c r="D4084" t="s">
        <v>3185</v>
      </c>
      <c r="E4084" t="s">
        <v>646</v>
      </c>
      <c r="F4084" t="s">
        <v>40</v>
      </c>
      <c r="G4084">
        <v>2045</v>
      </c>
      <c r="H4084" s="12">
        <v>5831</v>
      </c>
      <c r="I4084" t="s">
        <v>3183</v>
      </c>
      <c r="J4084" t="s">
        <v>344</v>
      </c>
      <c r="K4084" t="s">
        <v>658</v>
      </c>
      <c r="L4084" t="s">
        <v>654</v>
      </c>
      <c r="M4084" t="s">
        <v>10</v>
      </c>
    </row>
    <row r="4085" spans="1:13">
      <c r="A4085" t="s">
        <v>851</v>
      </c>
      <c r="B4085" t="s">
        <v>686</v>
      </c>
      <c r="C4085" t="s">
        <v>686</v>
      </c>
      <c r="D4085" t="s">
        <v>3185</v>
      </c>
      <c r="E4085" t="s">
        <v>646</v>
      </c>
      <c r="F4085" t="s">
        <v>40</v>
      </c>
      <c r="G4085">
        <v>2050</v>
      </c>
      <c r="H4085" s="12">
        <v>6671</v>
      </c>
      <c r="I4085" t="s">
        <v>3183</v>
      </c>
      <c r="J4085" t="s">
        <v>344</v>
      </c>
      <c r="K4085" t="s">
        <v>658</v>
      </c>
      <c r="L4085" t="s">
        <v>654</v>
      </c>
      <c r="M4085" t="s">
        <v>10</v>
      </c>
    </row>
    <row r="4086" spans="1:13">
      <c r="A4086" t="s">
        <v>851</v>
      </c>
      <c r="B4086" t="s">
        <v>687</v>
      </c>
      <c r="C4086" t="s">
        <v>687</v>
      </c>
      <c r="D4086" t="s">
        <v>3185</v>
      </c>
      <c r="E4086" t="s">
        <v>646</v>
      </c>
      <c r="F4086" t="s">
        <v>40</v>
      </c>
      <c r="G4086">
        <v>2030</v>
      </c>
      <c r="H4086" s="12">
        <v>3427</v>
      </c>
      <c r="I4086" t="s">
        <v>3183</v>
      </c>
      <c r="J4086" t="s">
        <v>344</v>
      </c>
      <c r="K4086" t="s">
        <v>658</v>
      </c>
      <c r="L4086" t="s">
        <v>654</v>
      </c>
      <c r="M4086" t="s">
        <v>10</v>
      </c>
    </row>
    <row r="4087" spans="1:13">
      <c r="A4087" t="s">
        <v>851</v>
      </c>
      <c r="B4087" t="s">
        <v>687</v>
      </c>
      <c r="C4087" t="s">
        <v>687</v>
      </c>
      <c r="D4087" t="s">
        <v>3185</v>
      </c>
      <c r="E4087" t="s">
        <v>646</v>
      </c>
      <c r="F4087" t="s">
        <v>40</v>
      </c>
      <c r="G4087">
        <v>2035</v>
      </c>
      <c r="H4087" s="12">
        <v>4086</v>
      </c>
      <c r="I4087" t="s">
        <v>3183</v>
      </c>
      <c r="J4087" t="s">
        <v>344</v>
      </c>
      <c r="K4087" t="s">
        <v>658</v>
      </c>
      <c r="L4087" t="s">
        <v>654</v>
      </c>
      <c r="M4087" t="s">
        <v>10</v>
      </c>
    </row>
    <row r="4088" spans="1:13">
      <c r="A4088" t="s">
        <v>851</v>
      </c>
      <c r="B4088" t="s">
        <v>687</v>
      </c>
      <c r="C4088" t="s">
        <v>687</v>
      </c>
      <c r="D4088" t="s">
        <v>3185</v>
      </c>
      <c r="E4088" t="s">
        <v>646</v>
      </c>
      <c r="F4088" t="s">
        <v>40</v>
      </c>
      <c r="G4088">
        <v>2040</v>
      </c>
      <c r="H4088" s="12">
        <v>4787</v>
      </c>
      <c r="I4088" t="s">
        <v>3183</v>
      </c>
      <c r="J4088" t="s">
        <v>344</v>
      </c>
      <c r="K4088" t="s">
        <v>658</v>
      </c>
      <c r="L4088" t="s">
        <v>654</v>
      </c>
      <c r="M4088" t="s">
        <v>10</v>
      </c>
    </row>
    <row r="4089" spans="1:13">
      <c r="A4089" t="s">
        <v>851</v>
      </c>
      <c r="B4089" t="s">
        <v>687</v>
      </c>
      <c r="C4089" t="s">
        <v>687</v>
      </c>
      <c r="D4089" t="s">
        <v>3185</v>
      </c>
      <c r="E4089" t="s">
        <v>646</v>
      </c>
      <c r="F4089" t="s">
        <v>40</v>
      </c>
      <c r="G4089">
        <v>2045</v>
      </c>
      <c r="H4089" s="12">
        <v>5541</v>
      </c>
      <c r="I4089" t="s">
        <v>3183</v>
      </c>
      <c r="J4089" t="s">
        <v>344</v>
      </c>
      <c r="K4089" t="s">
        <v>658</v>
      </c>
      <c r="L4089" t="s">
        <v>654</v>
      </c>
      <c r="M4089" t="s">
        <v>10</v>
      </c>
    </row>
    <row r="4090" spans="1:13">
      <c r="A4090" t="s">
        <v>851</v>
      </c>
      <c r="B4090" t="s">
        <v>687</v>
      </c>
      <c r="C4090" t="s">
        <v>687</v>
      </c>
      <c r="D4090" t="s">
        <v>3185</v>
      </c>
      <c r="E4090" t="s">
        <v>646</v>
      </c>
      <c r="F4090" t="s">
        <v>40</v>
      </c>
      <c r="G4090">
        <v>2050</v>
      </c>
      <c r="H4090" s="12">
        <v>6326</v>
      </c>
      <c r="I4090" t="s">
        <v>3183</v>
      </c>
      <c r="J4090" t="s">
        <v>344</v>
      </c>
      <c r="K4090" t="s">
        <v>658</v>
      </c>
      <c r="L4090" t="s">
        <v>654</v>
      </c>
      <c r="M4090" t="s">
        <v>10</v>
      </c>
    </row>
    <row r="4091" spans="1:13">
      <c r="A4091" t="s">
        <v>851</v>
      </c>
      <c r="B4091" t="s">
        <v>686</v>
      </c>
      <c r="C4091" t="s">
        <v>686</v>
      </c>
      <c r="D4091" t="s">
        <v>3185</v>
      </c>
      <c r="E4091" t="s">
        <v>646</v>
      </c>
      <c r="F4091" t="s">
        <v>40</v>
      </c>
      <c r="G4091">
        <v>2010</v>
      </c>
      <c r="H4091" s="12">
        <v>2465</v>
      </c>
      <c r="I4091" t="s">
        <v>3183</v>
      </c>
      <c r="J4091" t="s">
        <v>6</v>
      </c>
      <c r="K4091" t="s">
        <v>658</v>
      </c>
      <c r="L4091" t="s">
        <v>654</v>
      </c>
      <c r="M4091" t="s">
        <v>659</v>
      </c>
    </row>
    <row r="4092" spans="1:13">
      <c r="A4092" t="s">
        <v>851</v>
      </c>
      <c r="B4092" t="s">
        <v>686</v>
      </c>
      <c r="C4092" t="s">
        <v>686</v>
      </c>
      <c r="D4092" t="s">
        <v>3185</v>
      </c>
      <c r="E4092" t="s">
        <v>646</v>
      </c>
      <c r="F4092" t="s">
        <v>40</v>
      </c>
      <c r="G4092">
        <v>2015</v>
      </c>
      <c r="H4092" s="12">
        <v>2958</v>
      </c>
      <c r="I4092" t="s">
        <v>3183</v>
      </c>
      <c r="J4092" t="s">
        <v>6</v>
      </c>
      <c r="K4092" t="s">
        <v>658</v>
      </c>
      <c r="L4092" t="s">
        <v>654</v>
      </c>
      <c r="M4092" t="s">
        <v>659</v>
      </c>
    </row>
    <row r="4093" spans="1:13">
      <c r="A4093" t="s">
        <v>851</v>
      </c>
      <c r="B4093" t="s">
        <v>686</v>
      </c>
      <c r="C4093" t="s">
        <v>686</v>
      </c>
      <c r="D4093" t="s">
        <v>3185</v>
      </c>
      <c r="E4093" t="s">
        <v>646</v>
      </c>
      <c r="F4093" t="s">
        <v>40</v>
      </c>
      <c r="G4093">
        <v>2020</v>
      </c>
      <c r="H4093" s="12">
        <v>3242</v>
      </c>
      <c r="I4093" t="s">
        <v>3183</v>
      </c>
      <c r="J4093" t="s">
        <v>6</v>
      </c>
      <c r="K4093" t="s">
        <v>658</v>
      </c>
      <c r="L4093" t="s">
        <v>654</v>
      </c>
      <c r="M4093" t="s">
        <v>659</v>
      </c>
    </row>
    <row r="4094" spans="1:13">
      <c r="A4094" t="s">
        <v>851</v>
      </c>
      <c r="B4094" t="s">
        <v>686</v>
      </c>
      <c r="C4094" t="s">
        <v>686</v>
      </c>
      <c r="D4094" t="s">
        <v>3185</v>
      </c>
      <c r="E4094" t="s">
        <v>646</v>
      </c>
      <c r="F4094" t="s">
        <v>40</v>
      </c>
      <c r="G4094">
        <v>2030</v>
      </c>
      <c r="H4094" s="12">
        <v>4581</v>
      </c>
      <c r="I4094" t="s">
        <v>3183</v>
      </c>
      <c r="J4094" t="s">
        <v>6</v>
      </c>
      <c r="K4094" t="s">
        <v>658</v>
      </c>
      <c r="L4094" t="s">
        <v>654</v>
      </c>
      <c r="M4094" t="s">
        <v>659</v>
      </c>
    </row>
    <row r="4095" spans="1:13">
      <c r="A4095" t="s">
        <v>851</v>
      </c>
      <c r="B4095" t="s">
        <v>686</v>
      </c>
      <c r="C4095" t="s">
        <v>686</v>
      </c>
      <c r="D4095" t="s">
        <v>3185</v>
      </c>
      <c r="E4095" t="s">
        <v>646</v>
      </c>
      <c r="F4095" t="s">
        <v>40</v>
      </c>
      <c r="G4095">
        <v>2035</v>
      </c>
      <c r="H4095" s="12">
        <v>5360</v>
      </c>
      <c r="I4095" t="s">
        <v>3183</v>
      </c>
      <c r="J4095" t="s">
        <v>6</v>
      </c>
      <c r="K4095" t="s">
        <v>658</v>
      </c>
      <c r="L4095" t="s">
        <v>654</v>
      </c>
      <c r="M4095" t="s">
        <v>659</v>
      </c>
    </row>
    <row r="4096" spans="1:13">
      <c r="A4096" t="s">
        <v>851</v>
      </c>
      <c r="B4096" t="s">
        <v>686</v>
      </c>
      <c r="C4096" t="s">
        <v>686</v>
      </c>
      <c r="D4096" t="s">
        <v>3185</v>
      </c>
      <c r="E4096" t="s">
        <v>646</v>
      </c>
      <c r="F4096" t="s">
        <v>40</v>
      </c>
      <c r="G4096">
        <v>2040</v>
      </c>
      <c r="H4096" s="12">
        <v>5680</v>
      </c>
      <c r="I4096" t="s">
        <v>3183</v>
      </c>
      <c r="J4096" t="s">
        <v>6</v>
      </c>
      <c r="K4096" t="s">
        <v>658</v>
      </c>
      <c r="L4096" t="s">
        <v>654</v>
      </c>
      <c r="M4096" t="s">
        <v>659</v>
      </c>
    </row>
    <row r="4097" spans="1:13">
      <c r="A4097" t="s">
        <v>851</v>
      </c>
      <c r="B4097" t="s">
        <v>686</v>
      </c>
      <c r="C4097" t="s">
        <v>686</v>
      </c>
      <c r="D4097" t="s">
        <v>3185</v>
      </c>
      <c r="E4097" t="s">
        <v>646</v>
      </c>
      <c r="F4097" t="s">
        <v>40</v>
      </c>
      <c r="G4097">
        <v>2045</v>
      </c>
      <c r="H4097" s="12">
        <v>6076</v>
      </c>
      <c r="I4097" t="s">
        <v>3183</v>
      </c>
      <c r="J4097" t="s">
        <v>6</v>
      </c>
      <c r="K4097" t="s">
        <v>658</v>
      </c>
      <c r="L4097" t="s">
        <v>654</v>
      </c>
      <c r="M4097" t="s">
        <v>659</v>
      </c>
    </row>
    <row r="4098" spans="1:13">
      <c r="A4098" t="s">
        <v>851</v>
      </c>
      <c r="B4098" t="s">
        <v>686</v>
      </c>
      <c r="C4098" t="s">
        <v>686</v>
      </c>
      <c r="D4098" t="s">
        <v>3185</v>
      </c>
      <c r="E4098" t="s">
        <v>646</v>
      </c>
      <c r="F4098" t="s">
        <v>40</v>
      </c>
      <c r="G4098">
        <v>2050</v>
      </c>
      <c r="H4098" s="12">
        <v>6472</v>
      </c>
      <c r="I4098" t="s">
        <v>3183</v>
      </c>
      <c r="J4098" t="s">
        <v>6</v>
      </c>
      <c r="K4098" t="s">
        <v>658</v>
      </c>
      <c r="L4098" t="s">
        <v>654</v>
      </c>
      <c r="M4098" t="s">
        <v>659</v>
      </c>
    </row>
    <row r="4099" spans="1:13">
      <c r="A4099" t="s">
        <v>851</v>
      </c>
      <c r="B4099" t="s">
        <v>687</v>
      </c>
      <c r="C4099" t="s">
        <v>687</v>
      </c>
      <c r="D4099" t="s">
        <v>3185</v>
      </c>
      <c r="E4099" t="s">
        <v>646</v>
      </c>
      <c r="F4099" t="s">
        <v>40</v>
      </c>
      <c r="G4099">
        <v>2030</v>
      </c>
      <c r="H4099" s="12">
        <v>3812</v>
      </c>
      <c r="I4099" t="s">
        <v>3183</v>
      </c>
      <c r="J4099" t="s">
        <v>6</v>
      </c>
      <c r="K4099" t="s">
        <v>658</v>
      </c>
      <c r="L4099" t="s">
        <v>654</v>
      </c>
      <c r="M4099" t="s">
        <v>659</v>
      </c>
    </row>
    <row r="4100" spans="1:13">
      <c r="A4100" t="s">
        <v>851</v>
      </c>
      <c r="B4100" t="s">
        <v>687</v>
      </c>
      <c r="C4100" t="s">
        <v>687</v>
      </c>
      <c r="D4100" t="s">
        <v>3185</v>
      </c>
      <c r="E4100" t="s">
        <v>646</v>
      </c>
      <c r="F4100" t="s">
        <v>40</v>
      </c>
      <c r="G4100">
        <v>2035</v>
      </c>
      <c r="H4100" s="12">
        <v>4039</v>
      </c>
      <c r="I4100" t="s">
        <v>3183</v>
      </c>
      <c r="J4100" t="s">
        <v>6</v>
      </c>
      <c r="K4100" t="s">
        <v>658</v>
      </c>
      <c r="L4100" t="s">
        <v>654</v>
      </c>
      <c r="M4100" t="s">
        <v>659</v>
      </c>
    </row>
    <row r="4101" spans="1:13">
      <c r="A4101" t="s">
        <v>851</v>
      </c>
      <c r="B4101" t="s">
        <v>686</v>
      </c>
      <c r="C4101" t="s">
        <v>686</v>
      </c>
      <c r="D4101" t="s">
        <v>3185</v>
      </c>
      <c r="E4101" t="s">
        <v>646</v>
      </c>
      <c r="F4101" t="s">
        <v>40</v>
      </c>
      <c r="G4101">
        <v>2045</v>
      </c>
      <c r="H4101" s="12">
        <v>0</v>
      </c>
      <c r="I4101" t="s">
        <v>3183</v>
      </c>
      <c r="J4101" t="s">
        <v>5</v>
      </c>
      <c r="K4101" t="s">
        <v>658</v>
      </c>
      <c r="L4101" t="s">
        <v>654</v>
      </c>
      <c r="M4101" t="s">
        <v>5</v>
      </c>
    </row>
    <row r="4102" spans="1:13">
      <c r="A4102" t="s">
        <v>851</v>
      </c>
      <c r="B4102" t="s">
        <v>686</v>
      </c>
      <c r="C4102" t="s">
        <v>686</v>
      </c>
      <c r="D4102" t="s">
        <v>3185</v>
      </c>
      <c r="E4102" t="s">
        <v>646</v>
      </c>
      <c r="F4102" t="s">
        <v>40</v>
      </c>
      <c r="G4102">
        <v>2050</v>
      </c>
      <c r="H4102" s="12">
        <v>0</v>
      </c>
      <c r="I4102" t="s">
        <v>3183</v>
      </c>
      <c r="J4102" t="s">
        <v>5</v>
      </c>
      <c r="K4102" t="s">
        <v>658</v>
      </c>
      <c r="L4102" t="s">
        <v>654</v>
      </c>
      <c r="M4102" t="s">
        <v>5</v>
      </c>
    </row>
    <row r="4103" spans="1:13">
      <c r="A4103" t="s">
        <v>851</v>
      </c>
      <c r="B4103" t="s">
        <v>687</v>
      </c>
      <c r="C4103" t="s">
        <v>687</v>
      </c>
      <c r="D4103" t="s">
        <v>3185</v>
      </c>
      <c r="E4103" t="s">
        <v>646</v>
      </c>
      <c r="F4103" t="s">
        <v>40</v>
      </c>
      <c r="G4103">
        <v>2030</v>
      </c>
      <c r="H4103" s="12">
        <v>1</v>
      </c>
      <c r="I4103" t="s">
        <v>3183</v>
      </c>
      <c r="J4103" t="s">
        <v>5</v>
      </c>
      <c r="K4103" t="s">
        <v>658</v>
      </c>
      <c r="L4103" t="s">
        <v>654</v>
      </c>
      <c r="M4103" t="s">
        <v>5</v>
      </c>
    </row>
    <row r="4104" spans="1:13">
      <c r="A4104" t="s">
        <v>851</v>
      </c>
      <c r="B4104" t="s">
        <v>687</v>
      </c>
      <c r="C4104" t="s">
        <v>687</v>
      </c>
      <c r="D4104" t="s">
        <v>3185</v>
      </c>
      <c r="E4104" t="s">
        <v>646</v>
      </c>
      <c r="F4104" t="s">
        <v>40</v>
      </c>
      <c r="G4104">
        <v>2035</v>
      </c>
      <c r="H4104" s="12">
        <v>1</v>
      </c>
      <c r="I4104" t="s">
        <v>3183</v>
      </c>
      <c r="J4104" t="s">
        <v>5</v>
      </c>
      <c r="K4104" t="s">
        <v>658</v>
      </c>
      <c r="L4104" t="s">
        <v>654</v>
      </c>
      <c r="M4104" t="s">
        <v>5</v>
      </c>
    </row>
    <row r="4105" spans="1:13">
      <c r="A4105" t="s">
        <v>851</v>
      </c>
      <c r="B4105" t="s">
        <v>687</v>
      </c>
      <c r="C4105" t="s">
        <v>687</v>
      </c>
      <c r="D4105" t="s">
        <v>3185</v>
      </c>
      <c r="E4105" t="s">
        <v>646</v>
      </c>
      <c r="F4105" t="s">
        <v>40</v>
      </c>
      <c r="G4105">
        <v>2040</v>
      </c>
      <c r="H4105" s="12">
        <v>0</v>
      </c>
      <c r="I4105" t="s">
        <v>3183</v>
      </c>
      <c r="J4105" t="s">
        <v>5</v>
      </c>
      <c r="K4105" t="s">
        <v>658</v>
      </c>
      <c r="L4105" t="s">
        <v>654</v>
      </c>
      <c r="M4105" t="s">
        <v>5</v>
      </c>
    </row>
    <row r="4106" spans="1:13">
      <c r="A4106" t="s">
        <v>851</v>
      </c>
      <c r="B4106" t="s">
        <v>687</v>
      </c>
      <c r="C4106" t="s">
        <v>687</v>
      </c>
      <c r="D4106" t="s">
        <v>3185</v>
      </c>
      <c r="E4106" t="s">
        <v>646</v>
      </c>
      <c r="F4106" t="s">
        <v>40</v>
      </c>
      <c r="G4106">
        <v>2045</v>
      </c>
      <c r="H4106" s="12">
        <v>0</v>
      </c>
      <c r="I4106" t="s">
        <v>3183</v>
      </c>
      <c r="J4106" t="s">
        <v>5</v>
      </c>
      <c r="K4106" t="s">
        <v>658</v>
      </c>
      <c r="L4106" t="s">
        <v>654</v>
      </c>
      <c r="M4106" t="s">
        <v>5</v>
      </c>
    </row>
    <row r="4107" spans="1:13">
      <c r="A4107" t="s">
        <v>851</v>
      </c>
      <c r="B4107" t="s">
        <v>687</v>
      </c>
      <c r="C4107" t="s">
        <v>687</v>
      </c>
      <c r="D4107" t="s">
        <v>3185</v>
      </c>
      <c r="E4107" t="s">
        <v>646</v>
      </c>
      <c r="F4107" t="s">
        <v>40</v>
      </c>
      <c r="G4107">
        <v>2050</v>
      </c>
      <c r="H4107" s="12">
        <v>0</v>
      </c>
      <c r="I4107" t="s">
        <v>3183</v>
      </c>
      <c r="J4107" t="s">
        <v>5</v>
      </c>
      <c r="K4107" t="s">
        <v>658</v>
      </c>
      <c r="L4107" t="s">
        <v>654</v>
      </c>
      <c r="M4107" t="s">
        <v>5</v>
      </c>
    </row>
    <row r="4108" spans="1:13">
      <c r="A4108" t="s">
        <v>851</v>
      </c>
      <c r="B4108" t="s">
        <v>686</v>
      </c>
      <c r="C4108" t="s">
        <v>686</v>
      </c>
      <c r="D4108" t="s">
        <v>3185</v>
      </c>
      <c r="E4108" t="s">
        <v>646</v>
      </c>
      <c r="F4108" t="s">
        <v>40</v>
      </c>
      <c r="G4108">
        <v>2050</v>
      </c>
      <c r="H4108" s="12">
        <v>6806</v>
      </c>
      <c r="I4108" t="s">
        <v>3183</v>
      </c>
      <c r="J4108" t="s">
        <v>6</v>
      </c>
      <c r="K4108" t="s">
        <v>9</v>
      </c>
      <c r="L4108" t="s">
        <v>654</v>
      </c>
      <c r="M4108" t="s">
        <v>666</v>
      </c>
    </row>
    <row r="4109" spans="1:13">
      <c r="A4109" t="s">
        <v>851</v>
      </c>
      <c r="B4109" t="s">
        <v>687</v>
      </c>
      <c r="C4109" t="s">
        <v>687</v>
      </c>
      <c r="D4109" t="s">
        <v>3185</v>
      </c>
      <c r="E4109" t="s">
        <v>646</v>
      </c>
      <c r="F4109" t="s">
        <v>40</v>
      </c>
      <c r="G4109">
        <v>2030</v>
      </c>
      <c r="H4109" s="12">
        <v>5643</v>
      </c>
      <c r="I4109" t="s">
        <v>3183</v>
      </c>
      <c r="J4109" t="s">
        <v>6</v>
      </c>
      <c r="K4109" t="s">
        <v>9</v>
      </c>
      <c r="L4109" t="s">
        <v>654</v>
      </c>
      <c r="M4109" t="s">
        <v>666</v>
      </c>
    </row>
    <row r="4110" spans="1:13">
      <c r="A4110" t="s">
        <v>851</v>
      </c>
      <c r="B4110" t="s">
        <v>687</v>
      </c>
      <c r="C4110" t="s">
        <v>687</v>
      </c>
      <c r="D4110" t="s">
        <v>3185</v>
      </c>
      <c r="E4110" t="s">
        <v>646</v>
      </c>
      <c r="F4110" t="s">
        <v>40</v>
      </c>
      <c r="G4110">
        <v>2035</v>
      </c>
      <c r="H4110" s="12">
        <v>5629</v>
      </c>
      <c r="I4110" t="s">
        <v>3183</v>
      </c>
      <c r="J4110" t="s">
        <v>6</v>
      </c>
      <c r="K4110" t="s">
        <v>9</v>
      </c>
      <c r="L4110" t="s">
        <v>654</v>
      </c>
      <c r="M4110" t="s">
        <v>666</v>
      </c>
    </row>
    <row r="4111" spans="1:13">
      <c r="A4111" t="s">
        <v>851</v>
      </c>
      <c r="B4111" t="s">
        <v>687</v>
      </c>
      <c r="C4111" t="s">
        <v>687</v>
      </c>
      <c r="D4111" t="s">
        <v>3185</v>
      </c>
      <c r="E4111" t="s">
        <v>646</v>
      </c>
      <c r="F4111" t="s">
        <v>40</v>
      </c>
      <c r="G4111">
        <v>2040</v>
      </c>
      <c r="H4111" s="12">
        <v>5541</v>
      </c>
      <c r="I4111" t="s">
        <v>3183</v>
      </c>
      <c r="J4111" t="s">
        <v>6</v>
      </c>
      <c r="K4111" t="s">
        <v>9</v>
      </c>
      <c r="L4111" t="s">
        <v>654</v>
      </c>
      <c r="M4111" t="s">
        <v>666</v>
      </c>
    </row>
    <row r="4112" spans="1:13">
      <c r="A4112" t="s">
        <v>851</v>
      </c>
      <c r="B4112" t="s">
        <v>687</v>
      </c>
      <c r="C4112" t="s">
        <v>687</v>
      </c>
      <c r="D4112" t="s">
        <v>3185</v>
      </c>
      <c r="E4112" t="s">
        <v>646</v>
      </c>
      <c r="F4112" t="s">
        <v>40</v>
      </c>
      <c r="G4112">
        <v>2045</v>
      </c>
      <c r="H4112" s="12">
        <v>5332</v>
      </c>
      <c r="I4112" t="s">
        <v>3183</v>
      </c>
      <c r="J4112" t="s">
        <v>6</v>
      </c>
      <c r="K4112" t="s">
        <v>9</v>
      </c>
      <c r="L4112" t="s">
        <v>654</v>
      </c>
      <c r="M4112" t="s">
        <v>666</v>
      </c>
    </row>
    <row r="4113" spans="1:13">
      <c r="A4113" t="s">
        <v>851</v>
      </c>
      <c r="B4113" t="s">
        <v>687</v>
      </c>
      <c r="C4113" t="s">
        <v>687</v>
      </c>
      <c r="D4113" t="s">
        <v>3185</v>
      </c>
      <c r="E4113" t="s">
        <v>646</v>
      </c>
      <c r="F4113" t="s">
        <v>40</v>
      </c>
      <c r="G4113">
        <v>2050</v>
      </c>
      <c r="H4113" s="12">
        <v>5066</v>
      </c>
      <c r="I4113" t="s">
        <v>3183</v>
      </c>
      <c r="J4113" t="s">
        <v>6</v>
      </c>
      <c r="K4113" t="s">
        <v>9</v>
      </c>
      <c r="L4113" t="s">
        <v>654</v>
      </c>
      <c r="M4113" t="s">
        <v>666</v>
      </c>
    </row>
    <row r="4114" spans="1:13">
      <c r="A4114" t="s">
        <v>851</v>
      </c>
      <c r="B4114" t="s">
        <v>686</v>
      </c>
      <c r="C4114" t="s">
        <v>686</v>
      </c>
      <c r="D4114" t="s">
        <v>3185</v>
      </c>
      <c r="E4114" t="s">
        <v>646</v>
      </c>
      <c r="F4114" t="s">
        <v>40</v>
      </c>
      <c r="G4114">
        <v>2010</v>
      </c>
      <c r="H4114" s="12">
        <v>112</v>
      </c>
      <c r="I4114" t="s">
        <v>3183</v>
      </c>
      <c r="J4114" t="s">
        <v>5</v>
      </c>
      <c r="K4114" t="s">
        <v>9</v>
      </c>
      <c r="L4114" t="s">
        <v>654</v>
      </c>
      <c r="M4114" t="s">
        <v>665</v>
      </c>
    </row>
    <row r="4115" spans="1:13">
      <c r="A4115" t="s">
        <v>851</v>
      </c>
      <c r="B4115" t="s">
        <v>686</v>
      </c>
      <c r="C4115" t="s">
        <v>686</v>
      </c>
      <c r="D4115" t="s">
        <v>3185</v>
      </c>
      <c r="E4115" t="s">
        <v>646</v>
      </c>
      <c r="F4115" t="s">
        <v>40</v>
      </c>
      <c r="G4115">
        <v>2015</v>
      </c>
      <c r="H4115" s="12">
        <v>135</v>
      </c>
      <c r="I4115" t="s">
        <v>3183</v>
      </c>
      <c r="J4115" t="s">
        <v>5</v>
      </c>
      <c r="K4115" t="s">
        <v>9</v>
      </c>
      <c r="L4115" t="s">
        <v>654</v>
      </c>
      <c r="M4115" t="s">
        <v>665</v>
      </c>
    </row>
    <row r="4116" spans="1:13">
      <c r="A4116" t="s">
        <v>851</v>
      </c>
      <c r="B4116" t="s">
        <v>686</v>
      </c>
      <c r="C4116" t="s">
        <v>686</v>
      </c>
      <c r="D4116" t="s">
        <v>3185</v>
      </c>
      <c r="E4116" t="s">
        <v>646</v>
      </c>
      <c r="F4116" t="s">
        <v>40</v>
      </c>
      <c r="G4116">
        <v>2020</v>
      </c>
      <c r="H4116" s="12">
        <v>152</v>
      </c>
      <c r="I4116" t="s">
        <v>3183</v>
      </c>
      <c r="J4116" t="s">
        <v>5</v>
      </c>
      <c r="K4116" t="s">
        <v>9</v>
      </c>
      <c r="L4116" t="s">
        <v>654</v>
      </c>
      <c r="M4116" t="s">
        <v>665</v>
      </c>
    </row>
    <row r="4117" spans="1:13">
      <c r="A4117" t="s">
        <v>851</v>
      </c>
      <c r="B4117" t="s">
        <v>686</v>
      </c>
      <c r="C4117" t="s">
        <v>686</v>
      </c>
      <c r="D4117" t="s">
        <v>3185</v>
      </c>
      <c r="E4117" t="s">
        <v>646</v>
      </c>
      <c r="F4117" t="s">
        <v>40</v>
      </c>
      <c r="G4117">
        <v>2030</v>
      </c>
      <c r="H4117" s="12">
        <v>209</v>
      </c>
      <c r="I4117" t="s">
        <v>3183</v>
      </c>
      <c r="J4117" t="s">
        <v>5</v>
      </c>
      <c r="K4117" t="s">
        <v>9</v>
      </c>
      <c r="L4117" t="s">
        <v>654</v>
      </c>
      <c r="M4117" t="s">
        <v>665</v>
      </c>
    </row>
    <row r="4118" spans="1:13">
      <c r="A4118" t="s">
        <v>851</v>
      </c>
      <c r="B4118" t="s">
        <v>686</v>
      </c>
      <c r="C4118" t="s">
        <v>686</v>
      </c>
      <c r="D4118" t="s">
        <v>3185</v>
      </c>
      <c r="E4118" t="s">
        <v>646</v>
      </c>
      <c r="F4118" t="s">
        <v>40</v>
      </c>
      <c r="G4118">
        <v>2035</v>
      </c>
      <c r="H4118" s="12">
        <v>222</v>
      </c>
      <c r="I4118" t="s">
        <v>3183</v>
      </c>
      <c r="J4118" t="s">
        <v>5</v>
      </c>
      <c r="K4118" t="s">
        <v>9</v>
      </c>
      <c r="L4118" t="s">
        <v>654</v>
      </c>
      <c r="M4118" t="s">
        <v>665</v>
      </c>
    </row>
    <row r="4119" spans="1:13">
      <c r="A4119" t="s">
        <v>851</v>
      </c>
      <c r="B4119" t="s">
        <v>686</v>
      </c>
      <c r="C4119" t="s">
        <v>686</v>
      </c>
      <c r="D4119" t="s">
        <v>3185</v>
      </c>
      <c r="E4119" t="s">
        <v>646</v>
      </c>
      <c r="F4119" t="s">
        <v>40</v>
      </c>
      <c r="G4119">
        <v>2040</v>
      </c>
      <c r="H4119" s="12">
        <v>217</v>
      </c>
      <c r="I4119" t="s">
        <v>3183</v>
      </c>
      <c r="J4119" t="s">
        <v>5</v>
      </c>
      <c r="K4119" t="s">
        <v>9</v>
      </c>
      <c r="L4119" t="s">
        <v>654</v>
      </c>
      <c r="M4119" t="s">
        <v>665</v>
      </c>
    </row>
    <row r="4120" spans="1:13">
      <c r="A4120" t="s">
        <v>851</v>
      </c>
      <c r="B4120" t="s">
        <v>686</v>
      </c>
      <c r="C4120" t="s">
        <v>686</v>
      </c>
      <c r="D4120" t="s">
        <v>3185</v>
      </c>
      <c r="E4120" t="s">
        <v>646</v>
      </c>
      <c r="F4120" t="s">
        <v>40</v>
      </c>
      <c r="G4120">
        <v>2045</v>
      </c>
      <c r="H4120" s="12">
        <v>207</v>
      </c>
      <c r="I4120" t="s">
        <v>3183</v>
      </c>
      <c r="J4120" t="s">
        <v>5</v>
      </c>
      <c r="K4120" t="s">
        <v>9</v>
      </c>
      <c r="L4120" t="s">
        <v>654</v>
      </c>
      <c r="M4120" t="s">
        <v>665</v>
      </c>
    </row>
    <row r="4121" spans="1:13">
      <c r="A4121" t="s">
        <v>851</v>
      </c>
      <c r="B4121" t="s">
        <v>686</v>
      </c>
      <c r="C4121" t="s">
        <v>686</v>
      </c>
      <c r="D4121" t="s">
        <v>3185</v>
      </c>
      <c r="E4121" t="s">
        <v>646</v>
      </c>
      <c r="F4121" t="s">
        <v>40</v>
      </c>
      <c r="G4121">
        <v>2050</v>
      </c>
      <c r="H4121" s="12">
        <v>203</v>
      </c>
      <c r="I4121" t="s">
        <v>3183</v>
      </c>
      <c r="J4121" t="s">
        <v>5</v>
      </c>
      <c r="K4121" t="s">
        <v>9</v>
      </c>
      <c r="L4121" t="s">
        <v>654</v>
      </c>
      <c r="M4121" t="s">
        <v>665</v>
      </c>
    </row>
    <row r="4122" spans="1:13">
      <c r="A4122" t="s">
        <v>851</v>
      </c>
      <c r="B4122" t="s">
        <v>686</v>
      </c>
      <c r="C4122" t="s">
        <v>686</v>
      </c>
      <c r="D4122" t="s">
        <v>3185</v>
      </c>
      <c r="E4122" t="s">
        <v>646</v>
      </c>
      <c r="F4122" t="s">
        <v>40</v>
      </c>
      <c r="G4122">
        <v>2010</v>
      </c>
      <c r="H4122" s="12">
        <v>4640</v>
      </c>
      <c r="I4122" t="s">
        <v>3183</v>
      </c>
      <c r="J4122" t="s">
        <v>394</v>
      </c>
      <c r="K4122" t="s">
        <v>11</v>
      </c>
      <c r="L4122" t="s">
        <v>654</v>
      </c>
      <c r="M4122" t="s">
        <v>16</v>
      </c>
    </row>
    <row r="4123" spans="1:13">
      <c r="A4123" t="s">
        <v>851</v>
      </c>
      <c r="B4123" t="s">
        <v>686</v>
      </c>
      <c r="C4123" t="s">
        <v>686</v>
      </c>
      <c r="D4123" t="s">
        <v>3185</v>
      </c>
      <c r="E4123" t="s">
        <v>646</v>
      </c>
      <c r="F4123" t="s">
        <v>40</v>
      </c>
      <c r="G4123">
        <v>2015</v>
      </c>
      <c r="H4123" s="12">
        <v>5505</v>
      </c>
      <c r="I4123" t="s">
        <v>3183</v>
      </c>
      <c r="J4123" t="s">
        <v>394</v>
      </c>
      <c r="K4123" t="s">
        <v>11</v>
      </c>
      <c r="L4123" t="s">
        <v>654</v>
      </c>
      <c r="M4123" t="s">
        <v>16</v>
      </c>
    </row>
    <row r="4124" spans="1:13">
      <c r="A4124" t="s">
        <v>851</v>
      </c>
      <c r="B4124" t="s">
        <v>686</v>
      </c>
      <c r="C4124" t="s">
        <v>686</v>
      </c>
      <c r="D4124" t="s">
        <v>3185</v>
      </c>
      <c r="E4124" t="s">
        <v>646</v>
      </c>
      <c r="F4124" t="s">
        <v>40</v>
      </c>
      <c r="G4124">
        <v>2020</v>
      </c>
      <c r="H4124" s="12">
        <v>4957</v>
      </c>
      <c r="I4124" t="s">
        <v>3183</v>
      </c>
      <c r="J4124" t="s">
        <v>394</v>
      </c>
      <c r="K4124" t="s">
        <v>11</v>
      </c>
      <c r="L4124" t="s">
        <v>654</v>
      </c>
      <c r="M4124" t="s">
        <v>16</v>
      </c>
    </row>
    <row r="4125" spans="1:13">
      <c r="A4125" t="s">
        <v>851</v>
      </c>
      <c r="B4125" t="s">
        <v>686</v>
      </c>
      <c r="C4125" t="s">
        <v>686</v>
      </c>
      <c r="D4125" t="s">
        <v>3185</v>
      </c>
      <c r="E4125" t="s">
        <v>646</v>
      </c>
      <c r="F4125" t="s">
        <v>40</v>
      </c>
      <c r="G4125">
        <v>2030</v>
      </c>
      <c r="H4125" s="12">
        <v>6052</v>
      </c>
      <c r="I4125" t="s">
        <v>3183</v>
      </c>
      <c r="J4125" t="s">
        <v>394</v>
      </c>
      <c r="K4125" t="s">
        <v>11</v>
      </c>
      <c r="L4125" t="s">
        <v>654</v>
      </c>
      <c r="M4125" t="s">
        <v>16</v>
      </c>
    </row>
    <row r="4126" spans="1:13">
      <c r="A4126" t="s">
        <v>851</v>
      </c>
      <c r="B4126" t="s">
        <v>686</v>
      </c>
      <c r="C4126" t="s">
        <v>686</v>
      </c>
      <c r="D4126" t="s">
        <v>3185</v>
      </c>
      <c r="E4126" t="s">
        <v>646</v>
      </c>
      <c r="F4126" t="s">
        <v>40</v>
      </c>
      <c r="G4126">
        <v>2035</v>
      </c>
      <c r="H4126" s="12">
        <v>6950</v>
      </c>
      <c r="I4126" t="s">
        <v>3183</v>
      </c>
      <c r="J4126" t="s">
        <v>394</v>
      </c>
      <c r="K4126" t="s">
        <v>11</v>
      </c>
      <c r="L4126" t="s">
        <v>654</v>
      </c>
      <c r="M4126" t="s">
        <v>16</v>
      </c>
    </row>
    <row r="4127" spans="1:13">
      <c r="A4127" t="s">
        <v>851</v>
      </c>
      <c r="B4127" t="s">
        <v>686</v>
      </c>
      <c r="C4127" t="s">
        <v>686</v>
      </c>
      <c r="D4127" t="s">
        <v>3185</v>
      </c>
      <c r="E4127" t="s">
        <v>646</v>
      </c>
      <c r="F4127" t="s">
        <v>40</v>
      </c>
      <c r="G4127">
        <v>2040</v>
      </c>
      <c r="H4127" s="12">
        <v>7642</v>
      </c>
      <c r="I4127" t="s">
        <v>3183</v>
      </c>
      <c r="J4127" t="s">
        <v>394</v>
      </c>
      <c r="K4127" t="s">
        <v>11</v>
      </c>
      <c r="L4127" t="s">
        <v>654</v>
      </c>
      <c r="M4127" t="s">
        <v>16</v>
      </c>
    </row>
    <row r="4128" spans="1:13">
      <c r="A4128" t="s">
        <v>851</v>
      </c>
      <c r="B4128" t="s">
        <v>686</v>
      </c>
      <c r="C4128" t="s">
        <v>686</v>
      </c>
      <c r="D4128" t="s">
        <v>3185</v>
      </c>
      <c r="E4128" t="s">
        <v>646</v>
      </c>
      <c r="F4128" t="s">
        <v>40</v>
      </c>
      <c r="G4128">
        <v>2045</v>
      </c>
      <c r="H4128" s="12">
        <v>8129</v>
      </c>
      <c r="I4128" t="s">
        <v>3183</v>
      </c>
      <c r="J4128" t="s">
        <v>394</v>
      </c>
      <c r="K4128" t="s">
        <v>11</v>
      </c>
      <c r="L4128" t="s">
        <v>654</v>
      </c>
      <c r="M4128" t="s">
        <v>16</v>
      </c>
    </row>
    <row r="4129" spans="1:13">
      <c r="A4129" t="s">
        <v>851</v>
      </c>
      <c r="B4129" t="s">
        <v>686</v>
      </c>
      <c r="C4129" t="s">
        <v>686</v>
      </c>
      <c r="D4129" t="s">
        <v>3185</v>
      </c>
      <c r="E4129" t="s">
        <v>646</v>
      </c>
      <c r="F4129" t="s">
        <v>40</v>
      </c>
      <c r="G4129">
        <v>2050</v>
      </c>
      <c r="H4129" s="12">
        <v>8224</v>
      </c>
      <c r="I4129" t="s">
        <v>3183</v>
      </c>
      <c r="J4129" t="s">
        <v>394</v>
      </c>
      <c r="K4129" t="s">
        <v>11</v>
      </c>
      <c r="L4129" t="s">
        <v>654</v>
      </c>
      <c r="M4129" t="s">
        <v>16</v>
      </c>
    </row>
    <row r="4130" spans="1:13">
      <c r="A4130" t="s">
        <v>851</v>
      </c>
      <c r="B4130" t="s">
        <v>687</v>
      </c>
      <c r="C4130" t="s">
        <v>687</v>
      </c>
      <c r="D4130" t="s">
        <v>3185</v>
      </c>
      <c r="E4130" t="s">
        <v>646</v>
      </c>
      <c r="F4130" t="s">
        <v>40</v>
      </c>
      <c r="G4130">
        <v>2030</v>
      </c>
      <c r="H4130" s="12">
        <v>5762</v>
      </c>
      <c r="I4130" t="s">
        <v>3183</v>
      </c>
      <c r="J4130" t="s">
        <v>394</v>
      </c>
      <c r="K4130" t="s">
        <v>11</v>
      </c>
      <c r="L4130" t="s">
        <v>654</v>
      </c>
      <c r="M4130" t="s">
        <v>16</v>
      </c>
    </row>
    <row r="4131" spans="1:13">
      <c r="A4131" t="s">
        <v>851</v>
      </c>
      <c r="B4131" t="s">
        <v>687</v>
      </c>
      <c r="C4131" t="s">
        <v>687</v>
      </c>
      <c r="D4131" t="s">
        <v>3185</v>
      </c>
      <c r="E4131" t="s">
        <v>646</v>
      </c>
      <c r="F4131" t="s">
        <v>40</v>
      </c>
      <c r="G4131">
        <v>2035</v>
      </c>
      <c r="H4131" s="12">
        <v>6190</v>
      </c>
      <c r="I4131" t="s">
        <v>3183</v>
      </c>
      <c r="J4131" t="s">
        <v>394</v>
      </c>
      <c r="K4131" t="s">
        <v>11</v>
      </c>
      <c r="L4131" t="s">
        <v>654</v>
      </c>
      <c r="M4131" t="s">
        <v>16</v>
      </c>
    </row>
    <row r="4132" spans="1:13">
      <c r="A4132" t="s">
        <v>851</v>
      </c>
      <c r="B4132" t="s">
        <v>687</v>
      </c>
      <c r="C4132" t="s">
        <v>687</v>
      </c>
      <c r="D4132" t="s">
        <v>3185</v>
      </c>
      <c r="E4132" t="s">
        <v>646</v>
      </c>
      <c r="F4132" t="s">
        <v>40</v>
      </c>
      <c r="G4132">
        <v>2040</v>
      </c>
      <c r="H4132" s="12">
        <v>6231</v>
      </c>
      <c r="I4132" t="s">
        <v>3183</v>
      </c>
      <c r="J4132" t="s">
        <v>394</v>
      </c>
      <c r="K4132" t="s">
        <v>11</v>
      </c>
      <c r="L4132" t="s">
        <v>654</v>
      </c>
      <c r="M4132" t="s">
        <v>16</v>
      </c>
    </row>
    <row r="4133" spans="1:13">
      <c r="A4133" t="s">
        <v>851</v>
      </c>
      <c r="B4133" t="s">
        <v>687</v>
      </c>
      <c r="C4133" t="s">
        <v>687</v>
      </c>
      <c r="D4133" t="s">
        <v>3185</v>
      </c>
      <c r="E4133" t="s">
        <v>646</v>
      </c>
      <c r="F4133" t="s">
        <v>40</v>
      </c>
      <c r="G4133">
        <v>2045</v>
      </c>
      <c r="H4133" s="12">
        <v>5913</v>
      </c>
      <c r="I4133" t="s">
        <v>3183</v>
      </c>
      <c r="J4133" t="s">
        <v>394</v>
      </c>
      <c r="K4133" t="s">
        <v>11</v>
      </c>
      <c r="L4133" t="s">
        <v>654</v>
      </c>
      <c r="M4133" t="s">
        <v>16</v>
      </c>
    </row>
    <row r="4134" spans="1:13">
      <c r="A4134" t="s">
        <v>851</v>
      </c>
      <c r="B4134" t="s">
        <v>687</v>
      </c>
      <c r="C4134" t="s">
        <v>687</v>
      </c>
      <c r="D4134" t="s">
        <v>3185</v>
      </c>
      <c r="E4134" t="s">
        <v>646</v>
      </c>
      <c r="F4134" t="s">
        <v>40</v>
      </c>
      <c r="G4134">
        <v>2050</v>
      </c>
      <c r="H4134" s="12">
        <v>5341</v>
      </c>
      <c r="I4134" t="s">
        <v>3183</v>
      </c>
      <c r="J4134" t="s">
        <v>394</v>
      </c>
      <c r="K4134" t="s">
        <v>11</v>
      </c>
      <c r="L4134" t="s">
        <v>654</v>
      </c>
      <c r="M4134" t="s">
        <v>16</v>
      </c>
    </row>
    <row r="4135" spans="1:13">
      <c r="A4135" t="s">
        <v>851</v>
      </c>
      <c r="B4135" t="s">
        <v>686</v>
      </c>
      <c r="C4135" t="s">
        <v>686</v>
      </c>
      <c r="D4135" t="s">
        <v>3185</v>
      </c>
      <c r="E4135" t="s">
        <v>646</v>
      </c>
      <c r="F4135" t="s">
        <v>40</v>
      </c>
      <c r="G4135">
        <v>2010</v>
      </c>
      <c r="H4135" s="12">
        <v>214</v>
      </c>
      <c r="I4135" t="s">
        <v>3183</v>
      </c>
      <c r="J4135" t="s">
        <v>6</v>
      </c>
      <c r="K4135" t="s">
        <v>11</v>
      </c>
      <c r="L4135" t="s">
        <v>654</v>
      </c>
      <c r="M4135" t="s">
        <v>659</v>
      </c>
    </row>
    <row r="4136" spans="1:13">
      <c r="A4136" t="s">
        <v>851</v>
      </c>
      <c r="B4136" t="s">
        <v>686</v>
      </c>
      <c r="C4136" t="s">
        <v>686</v>
      </c>
      <c r="D4136" t="s">
        <v>3185</v>
      </c>
      <c r="E4136" t="s">
        <v>646</v>
      </c>
      <c r="F4136" t="s">
        <v>40</v>
      </c>
      <c r="G4136">
        <v>2015</v>
      </c>
      <c r="H4136" s="12">
        <v>279</v>
      </c>
      <c r="I4136" t="s">
        <v>3183</v>
      </c>
      <c r="J4136" t="s">
        <v>6</v>
      </c>
      <c r="K4136" t="s">
        <v>11</v>
      </c>
      <c r="L4136" t="s">
        <v>654</v>
      </c>
      <c r="M4136" t="s">
        <v>659</v>
      </c>
    </row>
    <row r="4137" spans="1:13">
      <c r="A4137" t="s">
        <v>851</v>
      </c>
      <c r="B4137" t="s">
        <v>686</v>
      </c>
      <c r="C4137" t="s">
        <v>686</v>
      </c>
      <c r="D4137" t="s">
        <v>3185</v>
      </c>
      <c r="E4137" t="s">
        <v>646</v>
      </c>
      <c r="F4137" t="s">
        <v>40</v>
      </c>
      <c r="G4137">
        <v>2020</v>
      </c>
      <c r="H4137" s="12">
        <v>299</v>
      </c>
      <c r="I4137" t="s">
        <v>3183</v>
      </c>
      <c r="J4137" t="s">
        <v>6</v>
      </c>
      <c r="K4137" t="s">
        <v>11</v>
      </c>
      <c r="L4137" t="s">
        <v>654</v>
      </c>
      <c r="M4137" t="s">
        <v>659</v>
      </c>
    </row>
    <row r="4138" spans="1:13">
      <c r="A4138" t="s">
        <v>851</v>
      </c>
      <c r="B4138" t="s">
        <v>686</v>
      </c>
      <c r="C4138" t="s">
        <v>686</v>
      </c>
      <c r="D4138" t="s">
        <v>3185</v>
      </c>
      <c r="E4138" t="s">
        <v>646</v>
      </c>
      <c r="F4138" t="s">
        <v>40</v>
      </c>
      <c r="G4138">
        <v>2030</v>
      </c>
      <c r="H4138" s="12">
        <v>302</v>
      </c>
      <c r="I4138" t="s">
        <v>3183</v>
      </c>
      <c r="J4138" t="s">
        <v>6</v>
      </c>
      <c r="K4138" t="s">
        <v>11</v>
      </c>
      <c r="L4138" t="s">
        <v>654</v>
      </c>
      <c r="M4138" t="s">
        <v>659</v>
      </c>
    </row>
    <row r="4139" spans="1:13">
      <c r="A4139" t="s">
        <v>851</v>
      </c>
      <c r="B4139" t="s">
        <v>686</v>
      </c>
      <c r="C4139" t="s">
        <v>686</v>
      </c>
      <c r="D4139" t="s">
        <v>3185</v>
      </c>
      <c r="E4139" t="s">
        <v>646</v>
      </c>
      <c r="F4139" t="s">
        <v>40</v>
      </c>
      <c r="G4139">
        <v>2035</v>
      </c>
      <c r="H4139" s="12">
        <v>322</v>
      </c>
      <c r="I4139" t="s">
        <v>3183</v>
      </c>
      <c r="J4139" t="s">
        <v>6</v>
      </c>
      <c r="K4139" t="s">
        <v>11</v>
      </c>
      <c r="L4139" t="s">
        <v>654</v>
      </c>
      <c r="M4139" t="s">
        <v>659</v>
      </c>
    </row>
    <row r="4140" spans="1:13">
      <c r="A4140" t="s">
        <v>851</v>
      </c>
      <c r="B4140" t="s">
        <v>686</v>
      </c>
      <c r="C4140" t="s">
        <v>686</v>
      </c>
      <c r="D4140" t="s">
        <v>3185</v>
      </c>
      <c r="E4140" t="s">
        <v>646</v>
      </c>
      <c r="F4140" t="s">
        <v>40</v>
      </c>
      <c r="G4140">
        <v>2040</v>
      </c>
      <c r="H4140" s="12">
        <v>348</v>
      </c>
      <c r="I4140" t="s">
        <v>3183</v>
      </c>
      <c r="J4140" t="s">
        <v>6</v>
      </c>
      <c r="K4140" t="s">
        <v>11</v>
      </c>
      <c r="L4140" t="s">
        <v>654</v>
      </c>
      <c r="M4140" t="s">
        <v>659</v>
      </c>
    </row>
    <row r="4141" spans="1:13">
      <c r="A4141" t="s">
        <v>851</v>
      </c>
      <c r="B4141" t="s">
        <v>686</v>
      </c>
      <c r="C4141" t="s">
        <v>686</v>
      </c>
      <c r="D4141" t="s">
        <v>3185</v>
      </c>
      <c r="E4141" t="s">
        <v>646</v>
      </c>
      <c r="F4141" t="s">
        <v>40</v>
      </c>
      <c r="G4141">
        <v>2045</v>
      </c>
      <c r="H4141" s="12">
        <v>362</v>
      </c>
      <c r="I4141" t="s">
        <v>3183</v>
      </c>
      <c r="J4141" t="s">
        <v>6</v>
      </c>
      <c r="K4141" t="s">
        <v>11</v>
      </c>
      <c r="L4141" t="s">
        <v>654</v>
      </c>
      <c r="M4141" t="s">
        <v>659</v>
      </c>
    </row>
    <row r="4142" spans="1:13">
      <c r="A4142" t="s">
        <v>851</v>
      </c>
      <c r="B4142" t="s">
        <v>686</v>
      </c>
      <c r="C4142" t="s">
        <v>686</v>
      </c>
      <c r="D4142" t="s">
        <v>3185</v>
      </c>
      <c r="E4142" t="s">
        <v>646</v>
      </c>
      <c r="F4142" t="s">
        <v>40</v>
      </c>
      <c r="G4142">
        <v>2050</v>
      </c>
      <c r="H4142" s="12">
        <v>387</v>
      </c>
      <c r="I4142" t="s">
        <v>3183</v>
      </c>
      <c r="J4142" t="s">
        <v>6</v>
      </c>
      <c r="K4142" t="s">
        <v>11</v>
      </c>
      <c r="L4142" t="s">
        <v>654</v>
      </c>
      <c r="M4142" t="s">
        <v>659</v>
      </c>
    </row>
    <row r="4143" spans="1:13">
      <c r="A4143" t="s">
        <v>851</v>
      </c>
      <c r="B4143" t="s">
        <v>687</v>
      </c>
      <c r="C4143" t="s">
        <v>687</v>
      </c>
      <c r="D4143" t="s">
        <v>3185</v>
      </c>
      <c r="E4143" t="s">
        <v>646</v>
      </c>
      <c r="F4143" t="s">
        <v>40</v>
      </c>
      <c r="G4143">
        <v>2030</v>
      </c>
      <c r="H4143" s="12">
        <v>259</v>
      </c>
      <c r="I4143" t="s">
        <v>3183</v>
      </c>
      <c r="J4143" t="s">
        <v>6</v>
      </c>
      <c r="K4143" t="s">
        <v>11</v>
      </c>
      <c r="L4143" t="s">
        <v>654</v>
      </c>
      <c r="M4143" t="s">
        <v>659</v>
      </c>
    </row>
    <row r="4144" spans="1:13">
      <c r="A4144" t="s">
        <v>851</v>
      </c>
      <c r="B4144" t="s">
        <v>687</v>
      </c>
      <c r="C4144" t="s">
        <v>687</v>
      </c>
      <c r="D4144" t="s">
        <v>3185</v>
      </c>
      <c r="E4144" t="s">
        <v>646</v>
      </c>
      <c r="F4144" t="s">
        <v>40</v>
      </c>
      <c r="G4144">
        <v>2035</v>
      </c>
      <c r="H4144" s="12">
        <v>249</v>
      </c>
      <c r="I4144" t="s">
        <v>3183</v>
      </c>
      <c r="J4144" t="s">
        <v>6</v>
      </c>
      <c r="K4144" t="s">
        <v>11</v>
      </c>
      <c r="L4144" t="s">
        <v>654</v>
      </c>
      <c r="M4144" t="s">
        <v>659</v>
      </c>
    </row>
    <row r="4145" spans="1:13">
      <c r="A4145" t="s">
        <v>851</v>
      </c>
      <c r="B4145" t="s">
        <v>687</v>
      </c>
      <c r="C4145" t="s">
        <v>687</v>
      </c>
      <c r="D4145" t="s">
        <v>3185</v>
      </c>
      <c r="E4145" t="s">
        <v>646</v>
      </c>
      <c r="F4145" t="s">
        <v>40</v>
      </c>
      <c r="G4145">
        <v>2040</v>
      </c>
      <c r="H4145" s="12">
        <v>252</v>
      </c>
      <c r="I4145" t="s">
        <v>3183</v>
      </c>
      <c r="J4145" t="s">
        <v>6</v>
      </c>
      <c r="K4145" t="s">
        <v>11</v>
      </c>
      <c r="L4145" t="s">
        <v>654</v>
      </c>
      <c r="M4145" t="s">
        <v>659</v>
      </c>
    </row>
    <row r="4146" spans="1:13">
      <c r="A4146" t="s">
        <v>851</v>
      </c>
      <c r="B4146" t="s">
        <v>687</v>
      </c>
      <c r="C4146" t="s">
        <v>687</v>
      </c>
      <c r="D4146" t="s">
        <v>3185</v>
      </c>
      <c r="E4146" t="s">
        <v>646</v>
      </c>
      <c r="F4146" t="s">
        <v>40</v>
      </c>
      <c r="G4146">
        <v>2045</v>
      </c>
      <c r="H4146" s="12">
        <v>248</v>
      </c>
      <c r="I4146" t="s">
        <v>3183</v>
      </c>
      <c r="J4146" t="s">
        <v>6</v>
      </c>
      <c r="K4146" t="s">
        <v>11</v>
      </c>
      <c r="L4146" t="s">
        <v>654</v>
      </c>
      <c r="M4146" t="s">
        <v>659</v>
      </c>
    </row>
    <row r="4147" spans="1:13">
      <c r="A4147" t="s">
        <v>851</v>
      </c>
      <c r="B4147" t="s">
        <v>687</v>
      </c>
      <c r="C4147" t="s">
        <v>687</v>
      </c>
      <c r="D4147" t="s">
        <v>3185</v>
      </c>
      <c r="E4147" t="s">
        <v>646</v>
      </c>
      <c r="F4147" t="s">
        <v>40</v>
      </c>
      <c r="G4147">
        <v>2050</v>
      </c>
      <c r="H4147" s="12">
        <v>235</v>
      </c>
      <c r="I4147" t="s">
        <v>3183</v>
      </c>
      <c r="J4147" t="s">
        <v>6</v>
      </c>
      <c r="K4147" t="s">
        <v>11</v>
      </c>
      <c r="L4147" t="s">
        <v>654</v>
      </c>
      <c r="M4147" t="s">
        <v>659</v>
      </c>
    </row>
    <row r="4148" spans="1:13">
      <c r="A4148" t="s">
        <v>851</v>
      </c>
      <c r="B4148" t="s">
        <v>687</v>
      </c>
      <c r="C4148" t="s">
        <v>687</v>
      </c>
      <c r="D4148" t="s">
        <v>3185</v>
      </c>
      <c r="E4148" t="s">
        <v>646</v>
      </c>
      <c r="F4148" t="s">
        <v>40</v>
      </c>
      <c r="G4148">
        <v>2040</v>
      </c>
      <c r="H4148" s="12">
        <v>4273</v>
      </c>
      <c r="I4148" t="s">
        <v>3183</v>
      </c>
      <c r="J4148" t="s">
        <v>6</v>
      </c>
      <c r="K4148" t="s">
        <v>658</v>
      </c>
      <c r="L4148" t="s">
        <v>654</v>
      </c>
      <c r="M4148" t="s">
        <v>659</v>
      </c>
    </row>
    <row r="4149" spans="1:13">
      <c r="A4149" t="s">
        <v>851</v>
      </c>
      <c r="B4149" t="s">
        <v>687</v>
      </c>
      <c r="C4149" t="s">
        <v>687</v>
      </c>
      <c r="D4149" t="s">
        <v>3185</v>
      </c>
      <c r="E4149" t="s">
        <v>646</v>
      </c>
      <c r="F4149" t="s">
        <v>40</v>
      </c>
      <c r="G4149">
        <v>2045</v>
      </c>
      <c r="H4149" s="12">
        <v>4548</v>
      </c>
      <c r="I4149" t="s">
        <v>3183</v>
      </c>
      <c r="J4149" t="s">
        <v>6</v>
      </c>
      <c r="K4149" t="s">
        <v>658</v>
      </c>
      <c r="L4149" t="s">
        <v>654</v>
      </c>
      <c r="M4149" t="s">
        <v>659</v>
      </c>
    </row>
    <row r="4150" spans="1:13">
      <c r="A4150" t="s">
        <v>851</v>
      </c>
      <c r="B4150" t="s">
        <v>687</v>
      </c>
      <c r="C4150" t="s">
        <v>687</v>
      </c>
      <c r="D4150" t="s">
        <v>3185</v>
      </c>
      <c r="E4150" t="s">
        <v>646</v>
      </c>
      <c r="F4150" t="s">
        <v>40</v>
      </c>
      <c r="G4150">
        <v>2050</v>
      </c>
      <c r="H4150" s="12">
        <v>4822</v>
      </c>
      <c r="I4150" t="s">
        <v>3183</v>
      </c>
      <c r="J4150" t="s">
        <v>6</v>
      </c>
      <c r="K4150" t="s">
        <v>658</v>
      </c>
      <c r="L4150" t="s">
        <v>654</v>
      </c>
      <c r="M4150" t="s">
        <v>659</v>
      </c>
    </row>
    <row r="4151" spans="1:13">
      <c r="A4151" t="s">
        <v>851</v>
      </c>
      <c r="B4151" t="s">
        <v>686</v>
      </c>
      <c r="C4151" t="s">
        <v>686</v>
      </c>
      <c r="D4151" t="s">
        <v>3185</v>
      </c>
      <c r="E4151" t="s">
        <v>646</v>
      </c>
      <c r="F4151" t="s">
        <v>40</v>
      </c>
      <c r="G4151">
        <v>2010</v>
      </c>
      <c r="H4151" s="12">
        <v>545</v>
      </c>
      <c r="I4151" t="s">
        <v>3183</v>
      </c>
      <c r="J4151" t="s">
        <v>344</v>
      </c>
      <c r="K4151" t="s">
        <v>9</v>
      </c>
      <c r="L4151" t="s">
        <v>654</v>
      </c>
      <c r="M4151" t="s">
        <v>10</v>
      </c>
    </row>
    <row r="4152" spans="1:13">
      <c r="A4152" t="s">
        <v>851</v>
      </c>
      <c r="B4152" t="s">
        <v>686</v>
      </c>
      <c r="C4152" t="s">
        <v>686</v>
      </c>
      <c r="D4152" t="s">
        <v>3185</v>
      </c>
      <c r="E4152" t="s">
        <v>646</v>
      </c>
      <c r="F4152" t="s">
        <v>40</v>
      </c>
      <c r="G4152">
        <v>2015</v>
      </c>
      <c r="H4152" s="12">
        <v>621</v>
      </c>
      <c r="I4152" t="s">
        <v>3183</v>
      </c>
      <c r="J4152" t="s">
        <v>344</v>
      </c>
      <c r="K4152" t="s">
        <v>9</v>
      </c>
      <c r="L4152" t="s">
        <v>654</v>
      </c>
      <c r="M4152" t="s">
        <v>10</v>
      </c>
    </row>
    <row r="4153" spans="1:13">
      <c r="A4153" t="s">
        <v>851</v>
      </c>
      <c r="B4153" t="s">
        <v>686</v>
      </c>
      <c r="C4153" t="s">
        <v>686</v>
      </c>
      <c r="D4153" t="s">
        <v>3185</v>
      </c>
      <c r="E4153" t="s">
        <v>646</v>
      </c>
      <c r="F4153" t="s">
        <v>40</v>
      </c>
      <c r="G4153">
        <v>2020</v>
      </c>
      <c r="H4153" s="12">
        <v>778</v>
      </c>
      <c r="I4153" t="s">
        <v>3183</v>
      </c>
      <c r="J4153" t="s">
        <v>344</v>
      </c>
      <c r="K4153" t="s">
        <v>9</v>
      </c>
      <c r="L4153" t="s">
        <v>654</v>
      </c>
      <c r="M4153" t="s">
        <v>10</v>
      </c>
    </row>
    <row r="4154" spans="1:13">
      <c r="A4154" t="s">
        <v>851</v>
      </c>
      <c r="B4154" t="s">
        <v>686</v>
      </c>
      <c r="C4154" t="s">
        <v>686</v>
      </c>
      <c r="D4154" t="s">
        <v>3185</v>
      </c>
      <c r="E4154" t="s">
        <v>646</v>
      </c>
      <c r="F4154" t="s">
        <v>40</v>
      </c>
      <c r="G4154">
        <v>2030</v>
      </c>
      <c r="H4154" s="12">
        <v>950</v>
      </c>
      <c r="I4154" t="s">
        <v>3183</v>
      </c>
      <c r="J4154" t="s">
        <v>344</v>
      </c>
      <c r="K4154" t="s">
        <v>9</v>
      </c>
      <c r="L4154" t="s">
        <v>654</v>
      </c>
      <c r="M4154" t="s">
        <v>10</v>
      </c>
    </row>
    <row r="4155" spans="1:13">
      <c r="A4155" t="s">
        <v>851</v>
      </c>
      <c r="B4155" t="s">
        <v>686</v>
      </c>
      <c r="C4155" t="s">
        <v>686</v>
      </c>
      <c r="D4155" t="s">
        <v>3185</v>
      </c>
      <c r="E4155" t="s">
        <v>646</v>
      </c>
      <c r="F4155" t="s">
        <v>40</v>
      </c>
      <c r="G4155">
        <v>2035</v>
      </c>
      <c r="H4155" s="12">
        <v>1033</v>
      </c>
      <c r="I4155" t="s">
        <v>3183</v>
      </c>
      <c r="J4155" t="s">
        <v>344</v>
      </c>
      <c r="K4155" t="s">
        <v>9</v>
      </c>
      <c r="L4155" t="s">
        <v>654</v>
      </c>
      <c r="M4155" t="s">
        <v>10</v>
      </c>
    </row>
    <row r="4156" spans="1:13">
      <c r="A4156" t="s">
        <v>851</v>
      </c>
      <c r="B4156" t="s">
        <v>686</v>
      </c>
      <c r="C4156" t="s">
        <v>686</v>
      </c>
      <c r="D4156" t="s">
        <v>3185</v>
      </c>
      <c r="E4156" t="s">
        <v>646</v>
      </c>
      <c r="F4156" t="s">
        <v>40</v>
      </c>
      <c r="G4156">
        <v>2040</v>
      </c>
      <c r="H4156" s="12">
        <v>1111</v>
      </c>
      <c r="I4156" t="s">
        <v>3183</v>
      </c>
      <c r="J4156" t="s">
        <v>344</v>
      </c>
      <c r="K4156" t="s">
        <v>9</v>
      </c>
      <c r="L4156" t="s">
        <v>654</v>
      </c>
      <c r="M4156" t="s">
        <v>10</v>
      </c>
    </row>
    <row r="4157" spans="1:13">
      <c r="A4157" t="s">
        <v>851</v>
      </c>
      <c r="B4157" t="s">
        <v>686</v>
      </c>
      <c r="C4157" t="s">
        <v>686</v>
      </c>
      <c r="D4157" t="s">
        <v>3185</v>
      </c>
      <c r="E4157" t="s">
        <v>646</v>
      </c>
      <c r="F4157" t="s">
        <v>40</v>
      </c>
      <c r="G4157">
        <v>2045</v>
      </c>
      <c r="H4157" s="12">
        <v>1180</v>
      </c>
      <c r="I4157" t="s">
        <v>3183</v>
      </c>
      <c r="J4157" t="s">
        <v>344</v>
      </c>
      <c r="K4157" t="s">
        <v>9</v>
      </c>
      <c r="L4157" t="s">
        <v>654</v>
      </c>
      <c r="M4157" t="s">
        <v>10</v>
      </c>
    </row>
    <row r="4158" spans="1:13">
      <c r="A4158" t="s">
        <v>851</v>
      </c>
      <c r="B4158" t="s">
        <v>686</v>
      </c>
      <c r="C4158" t="s">
        <v>686</v>
      </c>
      <c r="D4158" t="s">
        <v>3185</v>
      </c>
      <c r="E4158" t="s">
        <v>646</v>
      </c>
      <c r="F4158" t="s">
        <v>40</v>
      </c>
      <c r="G4158">
        <v>2050</v>
      </c>
      <c r="H4158" s="12">
        <v>1235</v>
      </c>
      <c r="I4158" t="s">
        <v>3183</v>
      </c>
      <c r="J4158" t="s">
        <v>344</v>
      </c>
      <c r="K4158" t="s">
        <v>9</v>
      </c>
      <c r="L4158" t="s">
        <v>654</v>
      </c>
      <c r="M4158" t="s">
        <v>10</v>
      </c>
    </row>
    <row r="4159" spans="1:13">
      <c r="A4159" t="s">
        <v>851</v>
      </c>
      <c r="B4159" t="s">
        <v>687</v>
      </c>
      <c r="C4159" t="s">
        <v>687</v>
      </c>
      <c r="D4159" t="s">
        <v>3185</v>
      </c>
      <c r="E4159" t="s">
        <v>646</v>
      </c>
      <c r="F4159" t="s">
        <v>40</v>
      </c>
      <c r="G4159">
        <v>2030</v>
      </c>
      <c r="H4159" s="12">
        <v>910</v>
      </c>
      <c r="I4159" t="s">
        <v>3183</v>
      </c>
      <c r="J4159" t="s">
        <v>344</v>
      </c>
      <c r="K4159" t="s">
        <v>9</v>
      </c>
      <c r="L4159" t="s">
        <v>654</v>
      </c>
      <c r="M4159" t="s">
        <v>10</v>
      </c>
    </row>
    <row r="4160" spans="1:13">
      <c r="A4160" t="s">
        <v>851</v>
      </c>
      <c r="B4160" t="s">
        <v>687</v>
      </c>
      <c r="C4160" t="s">
        <v>687</v>
      </c>
      <c r="D4160" t="s">
        <v>3185</v>
      </c>
      <c r="E4160" t="s">
        <v>646</v>
      </c>
      <c r="F4160" t="s">
        <v>40</v>
      </c>
      <c r="G4160">
        <v>2035</v>
      </c>
      <c r="H4160" s="12">
        <v>981</v>
      </c>
      <c r="I4160" t="s">
        <v>3183</v>
      </c>
      <c r="J4160" t="s">
        <v>344</v>
      </c>
      <c r="K4160" t="s">
        <v>9</v>
      </c>
      <c r="L4160" t="s">
        <v>654</v>
      </c>
      <c r="M4160" t="s">
        <v>10</v>
      </c>
    </row>
    <row r="4161" spans="1:13">
      <c r="A4161" t="s">
        <v>851</v>
      </c>
      <c r="B4161" t="s">
        <v>687</v>
      </c>
      <c r="C4161" t="s">
        <v>687</v>
      </c>
      <c r="D4161" t="s">
        <v>3185</v>
      </c>
      <c r="E4161" t="s">
        <v>646</v>
      </c>
      <c r="F4161" t="s">
        <v>40</v>
      </c>
      <c r="G4161">
        <v>2040</v>
      </c>
      <c r="H4161" s="12">
        <v>1049</v>
      </c>
      <c r="I4161" t="s">
        <v>3183</v>
      </c>
      <c r="J4161" t="s">
        <v>344</v>
      </c>
      <c r="K4161" t="s">
        <v>9</v>
      </c>
      <c r="L4161" t="s">
        <v>654</v>
      </c>
      <c r="M4161" t="s">
        <v>10</v>
      </c>
    </row>
    <row r="4162" spans="1:13">
      <c r="A4162" t="s">
        <v>851</v>
      </c>
      <c r="B4162" t="s">
        <v>687</v>
      </c>
      <c r="C4162" t="s">
        <v>687</v>
      </c>
      <c r="D4162" t="s">
        <v>3185</v>
      </c>
      <c r="E4162" t="s">
        <v>646</v>
      </c>
      <c r="F4162" t="s">
        <v>40</v>
      </c>
      <c r="G4162">
        <v>2045</v>
      </c>
      <c r="H4162" s="12">
        <v>1121</v>
      </c>
      <c r="I4162" t="s">
        <v>3183</v>
      </c>
      <c r="J4162" t="s">
        <v>344</v>
      </c>
      <c r="K4162" t="s">
        <v>9</v>
      </c>
      <c r="L4162" t="s">
        <v>654</v>
      </c>
      <c r="M4162" t="s">
        <v>10</v>
      </c>
    </row>
    <row r="4163" spans="1:13">
      <c r="A4163" t="s">
        <v>851</v>
      </c>
      <c r="B4163" t="s">
        <v>687</v>
      </c>
      <c r="C4163" t="s">
        <v>687</v>
      </c>
      <c r="D4163" t="s">
        <v>3185</v>
      </c>
      <c r="E4163" t="s">
        <v>646</v>
      </c>
      <c r="F4163" t="s">
        <v>40</v>
      </c>
      <c r="G4163">
        <v>2050</v>
      </c>
      <c r="H4163" s="12">
        <v>1181</v>
      </c>
      <c r="I4163" t="s">
        <v>3183</v>
      </c>
      <c r="J4163" t="s">
        <v>344</v>
      </c>
      <c r="K4163" t="s">
        <v>9</v>
      </c>
      <c r="L4163" t="s">
        <v>654</v>
      </c>
      <c r="M4163" t="s">
        <v>10</v>
      </c>
    </row>
    <row r="4164" spans="1:13">
      <c r="A4164" t="s">
        <v>851</v>
      </c>
      <c r="B4164" t="s">
        <v>686</v>
      </c>
      <c r="C4164" t="s">
        <v>686</v>
      </c>
      <c r="D4164" t="s">
        <v>3185</v>
      </c>
      <c r="E4164" t="s">
        <v>646</v>
      </c>
      <c r="F4164" t="s">
        <v>40</v>
      </c>
      <c r="G4164">
        <v>2010</v>
      </c>
      <c r="H4164" s="12">
        <v>3985</v>
      </c>
      <c r="I4164" t="s">
        <v>3183</v>
      </c>
      <c r="J4164" t="s">
        <v>6</v>
      </c>
      <c r="K4164" t="s">
        <v>9</v>
      </c>
      <c r="L4164" t="s">
        <v>654</v>
      </c>
      <c r="M4164" t="s">
        <v>666</v>
      </c>
    </row>
    <row r="4165" spans="1:13">
      <c r="A4165" t="s">
        <v>851</v>
      </c>
      <c r="B4165" t="s">
        <v>686</v>
      </c>
      <c r="C4165" t="s">
        <v>686</v>
      </c>
      <c r="D4165" t="s">
        <v>3185</v>
      </c>
      <c r="E4165" t="s">
        <v>646</v>
      </c>
      <c r="F4165" t="s">
        <v>40</v>
      </c>
      <c r="G4165">
        <v>2015</v>
      </c>
      <c r="H4165" s="12">
        <v>5066</v>
      </c>
      <c r="I4165" t="s">
        <v>3183</v>
      </c>
      <c r="J4165" t="s">
        <v>6</v>
      </c>
      <c r="K4165" t="s">
        <v>9</v>
      </c>
      <c r="L4165" t="s">
        <v>654</v>
      </c>
      <c r="M4165" t="s">
        <v>666</v>
      </c>
    </row>
    <row r="4166" spans="1:13">
      <c r="A4166" t="s">
        <v>851</v>
      </c>
      <c r="B4166" t="s">
        <v>686</v>
      </c>
      <c r="C4166" t="s">
        <v>686</v>
      </c>
      <c r="D4166" t="s">
        <v>3185</v>
      </c>
      <c r="E4166" t="s">
        <v>646</v>
      </c>
      <c r="F4166" t="s">
        <v>40</v>
      </c>
      <c r="G4166">
        <v>2020</v>
      </c>
      <c r="H4166" s="12">
        <v>4960</v>
      </c>
      <c r="I4166" t="s">
        <v>3183</v>
      </c>
      <c r="J4166" t="s">
        <v>6</v>
      </c>
      <c r="K4166" t="s">
        <v>9</v>
      </c>
      <c r="L4166" t="s">
        <v>654</v>
      </c>
      <c r="M4166" t="s">
        <v>666</v>
      </c>
    </row>
    <row r="4167" spans="1:13">
      <c r="A4167" t="s">
        <v>851</v>
      </c>
      <c r="B4167" t="s">
        <v>686</v>
      </c>
      <c r="C4167" t="s">
        <v>686</v>
      </c>
      <c r="D4167" t="s">
        <v>3185</v>
      </c>
      <c r="E4167" t="s">
        <v>646</v>
      </c>
      <c r="F4167" t="s">
        <v>40</v>
      </c>
      <c r="G4167">
        <v>2030</v>
      </c>
      <c r="H4167" s="12">
        <v>6036</v>
      </c>
      <c r="I4167" t="s">
        <v>3183</v>
      </c>
      <c r="J4167" t="s">
        <v>6</v>
      </c>
      <c r="K4167" t="s">
        <v>9</v>
      </c>
      <c r="L4167" t="s">
        <v>654</v>
      </c>
      <c r="M4167" t="s">
        <v>666</v>
      </c>
    </row>
    <row r="4168" spans="1:13">
      <c r="A4168" t="s">
        <v>851</v>
      </c>
      <c r="B4168" t="s">
        <v>686</v>
      </c>
      <c r="C4168" t="s">
        <v>686</v>
      </c>
      <c r="D4168" t="s">
        <v>3185</v>
      </c>
      <c r="E4168" t="s">
        <v>646</v>
      </c>
      <c r="F4168" t="s">
        <v>40</v>
      </c>
      <c r="G4168">
        <v>2035</v>
      </c>
      <c r="H4168" s="12">
        <v>6339</v>
      </c>
      <c r="I4168" t="s">
        <v>3183</v>
      </c>
      <c r="J4168" t="s">
        <v>6</v>
      </c>
      <c r="K4168" t="s">
        <v>9</v>
      </c>
      <c r="L4168" t="s">
        <v>654</v>
      </c>
      <c r="M4168" t="s">
        <v>666</v>
      </c>
    </row>
    <row r="4169" spans="1:13">
      <c r="A4169" t="s">
        <v>851</v>
      </c>
      <c r="B4169" t="s">
        <v>686</v>
      </c>
      <c r="C4169" t="s">
        <v>686</v>
      </c>
      <c r="D4169" t="s">
        <v>3185</v>
      </c>
      <c r="E4169" t="s">
        <v>646</v>
      </c>
      <c r="F4169" t="s">
        <v>40</v>
      </c>
      <c r="G4169">
        <v>2040</v>
      </c>
      <c r="H4169" s="12">
        <v>6568</v>
      </c>
      <c r="I4169" t="s">
        <v>3183</v>
      </c>
      <c r="J4169" t="s">
        <v>6</v>
      </c>
      <c r="K4169" t="s">
        <v>9</v>
      </c>
      <c r="L4169" t="s">
        <v>654</v>
      </c>
      <c r="M4169" t="s">
        <v>666</v>
      </c>
    </row>
    <row r="4170" spans="1:13">
      <c r="A4170" t="s">
        <v>851</v>
      </c>
      <c r="B4170" t="s">
        <v>686</v>
      </c>
      <c r="C4170" t="s">
        <v>686</v>
      </c>
      <c r="D4170" t="s">
        <v>3185</v>
      </c>
      <c r="E4170" t="s">
        <v>646</v>
      </c>
      <c r="F4170" t="s">
        <v>40</v>
      </c>
      <c r="G4170">
        <v>2045</v>
      </c>
      <c r="H4170" s="12">
        <v>6716</v>
      </c>
      <c r="I4170" t="s">
        <v>3183</v>
      </c>
      <c r="J4170" t="s">
        <v>6</v>
      </c>
      <c r="K4170" t="s">
        <v>9</v>
      </c>
      <c r="L4170" t="s">
        <v>654</v>
      </c>
      <c r="M4170" t="s">
        <v>666</v>
      </c>
    </row>
    <row r="4171" spans="1:13">
      <c r="A4171" t="s">
        <v>851</v>
      </c>
      <c r="B4171" t="s">
        <v>687</v>
      </c>
      <c r="C4171" t="s">
        <v>687</v>
      </c>
      <c r="D4171" t="s">
        <v>3185</v>
      </c>
      <c r="E4171" t="s">
        <v>646</v>
      </c>
      <c r="F4171" t="s">
        <v>40</v>
      </c>
      <c r="G4171">
        <v>2030</v>
      </c>
      <c r="H4171" s="12">
        <v>161</v>
      </c>
      <c r="I4171" t="s">
        <v>3183</v>
      </c>
      <c r="J4171" t="s">
        <v>5</v>
      </c>
      <c r="K4171" t="s">
        <v>9</v>
      </c>
      <c r="L4171" t="s">
        <v>654</v>
      </c>
      <c r="M4171" t="s">
        <v>665</v>
      </c>
    </row>
    <row r="4172" spans="1:13">
      <c r="A4172" t="s">
        <v>851</v>
      </c>
      <c r="B4172" t="s">
        <v>687</v>
      </c>
      <c r="C4172" t="s">
        <v>687</v>
      </c>
      <c r="D4172" t="s">
        <v>3185</v>
      </c>
      <c r="E4172" t="s">
        <v>646</v>
      </c>
      <c r="F4172" t="s">
        <v>40</v>
      </c>
      <c r="G4172">
        <v>2035</v>
      </c>
      <c r="H4172" s="12">
        <v>154</v>
      </c>
      <c r="I4172" t="s">
        <v>3183</v>
      </c>
      <c r="J4172" t="s">
        <v>5</v>
      </c>
      <c r="K4172" t="s">
        <v>9</v>
      </c>
      <c r="L4172" t="s">
        <v>654</v>
      </c>
      <c r="M4172" t="s">
        <v>665</v>
      </c>
    </row>
    <row r="4173" spans="1:13">
      <c r="A4173" t="s">
        <v>851</v>
      </c>
      <c r="B4173" t="s">
        <v>687</v>
      </c>
      <c r="C4173" t="s">
        <v>687</v>
      </c>
      <c r="D4173" t="s">
        <v>3185</v>
      </c>
      <c r="E4173" t="s">
        <v>646</v>
      </c>
      <c r="F4173" t="s">
        <v>40</v>
      </c>
      <c r="G4173">
        <v>2040</v>
      </c>
      <c r="H4173" s="12">
        <v>142</v>
      </c>
      <c r="I4173" t="s">
        <v>3183</v>
      </c>
      <c r="J4173" t="s">
        <v>5</v>
      </c>
      <c r="K4173" t="s">
        <v>9</v>
      </c>
      <c r="L4173" t="s">
        <v>654</v>
      </c>
      <c r="M4173" t="s">
        <v>665</v>
      </c>
    </row>
    <row r="4174" spans="1:13">
      <c r="A4174" t="s">
        <v>851</v>
      </c>
      <c r="B4174" t="s">
        <v>687</v>
      </c>
      <c r="C4174" t="s">
        <v>687</v>
      </c>
      <c r="D4174" t="s">
        <v>3185</v>
      </c>
      <c r="E4174" t="s">
        <v>646</v>
      </c>
      <c r="F4174" t="s">
        <v>40</v>
      </c>
      <c r="G4174">
        <v>2045</v>
      </c>
      <c r="H4174" s="12">
        <v>134</v>
      </c>
      <c r="I4174" t="s">
        <v>3183</v>
      </c>
      <c r="J4174" t="s">
        <v>5</v>
      </c>
      <c r="K4174" t="s">
        <v>9</v>
      </c>
      <c r="L4174" t="s">
        <v>654</v>
      </c>
      <c r="M4174" t="s">
        <v>665</v>
      </c>
    </row>
    <row r="4175" spans="1:13">
      <c r="A4175" t="s">
        <v>851</v>
      </c>
      <c r="B4175" t="s">
        <v>687</v>
      </c>
      <c r="C4175" t="s">
        <v>687</v>
      </c>
      <c r="D4175" t="s">
        <v>3185</v>
      </c>
      <c r="E4175" t="s">
        <v>646</v>
      </c>
      <c r="F4175" t="s">
        <v>40</v>
      </c>
      <c r="G4175">
        <v>2050</v>
      </c>
      <c r="H4175" s="12">
        <v>125</v>
      </c>
      <c r="I4175" t="s">
        <v>3183</v>
      </c>
      <c r="J4175" t="s">
        <v>5</v>
      </c>
      <c r="K4175" t="s">
        <v>9</v>
      </c>
      <c r="L4175" t="s">
        <v>654</v>
      </c>
      <c r="M4175" t="s">
        <v>665</v>
      </c>
    </row>
    <row r="4176" spans="1:13">
      <c r="A4176" t="s">
        <v>851</v>
      </c>
      <c r="B4176" t="s">
        <v>686</v>
      </c>
      <c r="C4176" t="s">
        <v>686</v>
      </c>
      <c r="D4176" t="s">
        <v>3185</v>
      </c>
      <c r="E4176" t="s">
        <v>646</v>
      </c>
      <c r="F4176" t="s">
        <v>40</v>
      </c>
      <c r="G4176">
        <v>2010</v>
      </c>
      <c r="H4176" s="12">
        <v>1</v>
      </c>
      <c r="I4176" t="s">
        <v>3183</v>
      </c>
      <c r="J4176" t="s">
        <v>344</v>
      </c>
      <c r="K4176" t="s">
        <v>11</v>
      </c>
      <c r="L4176" t="s">
        <v>654</v>
      </c>
      <c r="M4176" t="s">
        <v>10</v>
      </c>
    </row>
    <row r="4177" spans="1:13">
      <c r="A4177" t="s">
        <v>851</v>
      </c>
      <c r="B4177" t="s">
        <v>686</v>
      </c>
      <c r="C4177" t="s">
        <v>686</v>
      </c>
      <c r="D4177" t="s">
        <v>3185</v>
      </c>
      <c r="E4177" t="s">
        <v>646</v>
      </c>
      <c r="F4177" t="s">
        <v>40</v>
      </c>
      <c r="G4177">
        <v>2015</v>
      </c>
      <c r="H4177" s="12">
        <v>2</v>
      </c>
      <c r="I4177" t="s">
        <v>3183</v>
      </c>
      <c r="J4177" t="s">
        <v>344</v>
      </c>
      <c r="K4177" t="s">
        <v>11</v>
      </c>
      <c r="L4177" t="s">
        <v>654</v>
      </c>
      <c r="M4177" t="s">
        <v>10</v>
      </c>
    </row>
    <row r="4178" spans="1:13">
      <c r="A4178" t="s">
        <v>851</v>
      </c>
      <c r="B4178" t="s">
        <v>686</v>
      </c>
      <c r="C4178" t="s">
        <v>686</v>
      </c>
      <c r="D4178" t="s">
        <v>3185</v>
      </c>
      <c r="E4178" t="s">
        <v>646</v>
      </c>
      <c r="F4178" t="s">
        <v>40</v>
      </c>
      <c r="G4178">
        <v>2020</v>
      </c>
      <c r="H4178" s="12">
        <v>2</v>
      </c>
      <c r="I4178" t="s">
        <v>3183</v>
      </c>
      <c r="J4178" t="s">
        <v>344</v>
      </c>
      <c r="K4178" t="s">
        <v>11</v>
      </c>
      <c r="L4178" t="s">
        <v>654</v>
      </c>
      <c r="M4178" t="s">
        <v>10</v>
      </c>
    </row>
    <row r="4179" spans="1:13">
      <c r="A4179" t="s">
        <v>851</v>
      </c>
      <c r="B4179" t="s">
        <v>686</v>
      </c>
      <c r="C4179" t="s">
        <v>686</v>
      </c>
      <c r="D4179" t="s">
        <v>3185</v>
      </c>
      <c r="E4179" t="s">
        <v>646</v>
      </c>
      <c r="F4179" t="s">
        <v>40</v>
      </c>
      <c r="G4179">
        <v>2030</v>
      </c>
      <c r="H4179" s="12">
        <v>24</v>
      </c>
      <c r="I4179" t="s">
        <v>3183</v>
      </c>
      <c r="J4179" t="s">
        <v>344</v>
      </c>
      <c r="K4179" t="s">
        <v>11</v>
      </c>
      <c r="L4179" t="s">
        <v>654</v>
      </c>
      <c r="M4179" t="s">
        <v>10</v>
      </c>
    </row>
    <row r="4180" spans="1:13">
      <c r="A4180" t="s">
        <v>851</v>
      </c>
      <c r="B4180" t="s">
        <v>686</v>
      </c>
      <c r="C4180" t="s">
        <v>686</v>
      </c>
      <c r="D4180" t="s">
        <v>3185</v>
      </c>
      <c r="E4180" t="s">
        <v>646</v>
      </c>
      <c r="F4180" t="s">
        <v>40</v>
      </c>
      <c r="G4180">
        <v>2035</v>
      </c>
      <c r="H4180" s="12">
        <v>63</v>
      </c>
      <c r="I4180" t="s">
        <v>3183</v>
      </c>
      <c r="J4180" t="s">
        <v>344</v>
      </c>
      <c r="K4180" t="s">
        <v>11</v>
      </c>
      <c r="L4180" t="s">
        <v>654</v>
      </c>
      <c r="M4180" t="s">
        <v>10</v>
      </c>
    </row>
    <row r="4181" spans="1:13">
      <c r="A4181" t="s">
        <v>851</v>
      </c>
      <c r="B4181" t="s">
        <v>686</v>
      </c>
      <c r="C4181" t="s">
        <v>686</v>
      </c>
      <c r="D4181" t="s">
        <v>3185</v>
      </c>
      <c r="E4181" t="s">
        <v>646</v>
      </c>
      <c r="F4181" t="s">
        <v>40</v>
      </c>
      <c r="G4181">
        <v>2040</v>
      </c>
      <c r="H4181" s="12">
        <v>113</v>
      </c>
      <c r="I4181" t="s">
        <v>3183</v>
      </c>
      <c r="J4181" t="s">
        <v>344</v>
      </c>
      <c r="K4181" t="s">
        <v>11</v>
      </c>
      <c r="L4181" t="s">
        <v>654</v>
      </c>
      <c r="M4181" t="s">
        <v>10</v>
      </c>
    </row>
    <row r="4182" spans="1:13">
      <c r="A4182" t="s">
        <v>851</v>
      </c>
      <c r="B4182" t="s">
        <v>686</v>
      </c>
      <c r="C4182" t="s">
        <v>686</v>
      </c>
      <c r="D4182" t="s">
        <v>3185</v>
      </c>
      <c r="E4182" t="s">
        <v>646</v>
      </c>
      <c r="F4182" t="s">
        <v>40</v>
      </c>
      <c r="G4182">
        <v>2045</v>
      </c>
      <c r="H4182" s="12">
        <v>166</v>
      </c>
      <c r="I4182" t="s">
        <v>3183</v>
      </c>
      <c r="J4182" t="s">
        <v>344</v>
      </c>
      <c r="K4182" t="s">
        <v>11</v>
      </c>
      <c r="L4182" t="s">
        <v>654</v>
      </c>
      <c r="M4182" t="s">
        <v>10</v>
      </c>
    </row>
    <row r="4183" spans="1:13">
      <c r="A4183" t="s">
        <v>851</v>
      </c>
      <c r="B4183" t="s">
        <v>686</v>
      </c>
      <c r="C4183" t="s">
        <v>686</v>
      </c>
      <c r="D4183" t="s">
        <v>3185</v>
      </c>
      <c r="E4183" t="s">
        <v>646</v>
      </c>
      <c r="F4183" t="s">
        <v>40</v>
      </c>
      <c r="G4183">
        <v>2050</v>
      </c>
      <c r="H4183" s="12">
        <v>226</v>
      </c>
      <c r="I4183" t="s">
        <v>3183</v>
      </c>
      <c r="J4183" t="s">
        <v>344</v>
      </c>
      <c r="K4183" t="s">
        <v>11</v>
      </c>
      <c r="L4183" t="s">
        <v>654</v>
      </c>
      <c r="M4183" t="s">
        <v>10</v>
      </c>
    </row>
    <row r="4184" spans="1:13">
      <c r="A4184" t="s">
        <v>851</v>
      </c>
      <c r="B4184" t="s">
        <v>687</v>
      </c>
      <c r="C4184" t="s">
        <v>687</v>
      </c>
      <c r="D4184" t="s">
        <v>3185</v>
      </c>
      <c r="E4184" t="s">
        <v>646</v>
      </c>
      <c r="F4184" t="s">
        <v>40</v>
      </c>
      <c r="G4184">
        <v>2030</v>
      </c>
      <c r="H4184" s="12">
        <v>50</v>
      </c>
      <c r="I4184" t="s">
        <v>3183</v>
      </c>
      <c r="J4184" t="s">
        <v>344</v>
      </c>
      <c r="K4184" t="s">
        <v>11</v>
      </c>
      <c r="L4184" t="s">
        <v>654</v>
      </c>
      <c r="M4184" t="s">
        <v>10</v>
      </c>
    </row>
    <row r="4185" spans="1:13">
      <c r="A4185" t="s">
        <v>851</v>
      </c>
      <c r="B4185" t="s">
        <v>687</v>
      </c>
      <c r="C4185" t="s">
        <v>687</v>
      </c>
      <c r="D4185" t="s">
        <v>3185</v>
      </c>
      <c r="E4185" t="s">
        <v>646</v>
      </c>
      <c r="F4185" t="s">
        <v>40</v>
      </c>
      <c r="G4185">
        <v>2035</v>
      </c>
      <c r="H4185" s="12">
        <v>181</v>
      </c>
      <c r="I4185" t="s">
        <v>3183</v>
      </c>
      <c r="J4185" t="s">
        <v>344</v>
      </c>
      <c r="K4185" t="s">
        <v>11</v>
      </c>
      <c r="L4185" t="s">
        <v>654</v>
      </c>
      <c r="M4185" t="s">
        <v>10</v>
      </c>
    </row>
    <row r="4186" spans="1:13">
      <c r="A4186" t="s">
        <v>851</v>
      </c>
      <c r="B4186" t="s">
        <v>687</v>
      </c>
      <c r="C4186" t="s">
        <v>687</v>
      </c>
      <c r="D4186" t="s">
        <v>3185</v>
      </c>
      <c r="E4186" t="s">
        <v>646</v>
      </c>
      <c r="F4186" t="s">
        <v>40</v>
      </c>
      <c r="G4186">
        <v>2040</v>
      </c>
      <c r="H4186" s="12">
        <v>428</v>
      </c>
      <c r="I4186" t="s">
        <v>3183</v>
      </c>
      <c r="J4186" t="s">
        <v>344</v>
      </c>
      <c r="K4186" t="s">
        <v>11</v>
      </c>
      <c r="L4186" t="s">
        <v>654</v>
      </c>
      <c r="M4186" t="s">
        <v>10</v>
      </c>
    </row>
    <row r="4187" spans="1:13">
      <c r="A4187" t="s">
        <v>851</v>
      </c>
      <c r="B4187" t="s">
        <v>687</v>
      </c>
      <c r="C4187" t="s">
        <v>687</v>
      </c>
      <c r="D4187" t="s">
        <v>3185</v>
      </c>
      <c r="E4187" t="s">
        <v>646</v>
      </c>
      <c r="F4187" t="s">
        <v>40</v>
      </c>
      <c r="G4187">
        <v>2045</v>
      </c>
      <c r="H4187" s="12">
        <v>719</v>
      </c>
      <c r="I4187" t="s">
        <v>3183</v>
      </c>
      <c r="J4187" t="s">
        <v>344</v>
      </c>
      <c r="K4187" t="s">
        <v>11</v>
      </c>
      <c r="L4187" t="s">
        <v>654</v>
      </c>
      <c r="M4187" t="s">
        <v>10</v>
      </c>
    </row>
    <row r="4188" spans="1:13">
      <c r="A4188" t="s">
        <v>851</v>
      </c>
      <c r="B4188" t="s">
        <v>687</v>
      </c>
      <c r="C4188" t="s">
        <v>687</v>
      </c>
      <c r="D4188" t="s">
        <v>3185</v>
      </c>
      <c r="E4188" t="s">
        <v>646</v>
      </c>
      <c r="F4188" t="s">
        <v>40</v>
      </c>
      <c r="G4188">
        <v>2050</v>
      </c>
      <c r="H4188" s="12">
        <v>1002</v>
      </c>
      <c r="I4188" t="s">
        <v>3183</v>
      </c>
      <c r="J4188" t="s">
        <v>344</v>
      </c>
      <c r="K4188" t="s">
        <v>11</v>
      </c>
      <c r="L4188" t="s">
        <v>654</v>
      </c>
      <c r="M4188" t="s">
        <v>10</v>
      </c>
    </row>
    <row r="4189" spans="1:13">
      <c r="A4189" t="s">
        <v>851</v>
      </c>
      <c r="B4189" t="s">
        <v>686</v>
      </c>
      <c r="C4189" t="s">
        <v>686</v>
      </c>
      <c r="D4189" t="s">
        <v>3185</v>
      </c>
      <c r="E4189" t="s">
        <v>573</v>
      </c>
      <c r="F4189" t="s">
        <v>40</v>
      </c>
      <c r="G4189">
        <v>2010</v>
      </c>
      <c r="H4189" s="12">
        <v>0</v>
      </c>
      <c r="I4189" t="s">
        <v>3183</v>
      </c>
      <c r="J4189" t="s">
        <v>15</v>
      </c>
      <c r="K4189" t="s">
        <v>147</v>
      </c>
      <c r="L4189" t="s">
        <v>654</v>
      </c>
      <c r="M4189" t="s">
        <v>15</v>
      </c>
    </row>
    <row r="4190" spans="1:13">
      <c r="A4190" t="s">
        <v>851</v>
      </c>
      <c r="B4190" t="s">
        <v>686</v>
      </c>
      <c r="C4190" t="s">
        <v>686</v>
      </c>
      <c r="D4190" t="s">
        <v>3185</v>
      </c>
      <c r="E4190" t="s">
        <v>573</v>
      </c>
      <c r="F4190" t="s">
        <v>40</v>
      </c>
      <c r="G4190">
        <v>2015</v>
      </c>
      <c r="H4190" s="12">
        <v>32</v>
      </c>
      <c r="I4190" t="s">
        <v>3183</v>
      </c>
      <c r="J4190" t="s">
        <v>15</v>
      </c>
      <c r="K4190" t="s">
        <v>147</v>
      </c>
      <c r="L4190" t="s">
        <v>654</v>
      </c>
      <c r="M4190" t="s">
        <v>15</v>
      </c>
    </row>
    <row r="4191" spans="1:13">
      <c r="A4191" t="s">
        <v>851</v>
      </c>
      <c r="B4191" t="s">
        <v>686</v>
      </c>
      <c r="C4191" t="s">
        <v>686</v>
      </c>
      <c r="D4191" t="s">
        <v>3185</v>
      </c>
      <c r="E4191" t="s">
        <v>573</v>
      </c>
      <c r="F4191" t="s">
        <v>40</v>
      </c>
      <c r="G4191">
        <v>2020</v>
      </c>
      <c r="H4191" s="12">
        <v>63</v>
      </c>
      <c r="I4191" t="s">
        <v>3183</v>
      </c>
      <c r="J4191" t="s">
        <v>15</v>
      </c>
      <c r="K4191" t="s">
        <v>147</v>
      </c>
      <c r="L4191" t="s">
        <v>654</v>
      </c>
      <c r="M4191" t="s">
        <v>15</v>
      </c>
    </row>
    <row r="4192" spans="1:13">
      <c r="A4192" t="s">
        <v>851</v>
      </c>
      <c r="B4192" t="s">
        <v>686</v>
      </c>
      <c r="C4192" t="s">
        <v>686</v>
      </c>
      <c r="D4192" t="s">
        <v>3185</v>
      </c>
      <c r="E4192" t="s">
        <v>573</v>
      </c>
      <c r="F4192" t="s">
        <v>40</v>
      </c>
      <c r="G4192">
        <v>2030</v>
      </c>
      <c r="H4192" s="12">
        <v>552</v>
      </c>
      <c r="I4192" t="s">
        <v>3183</v>
      </c>
      <c r="J4192" t="s">
        <v>15</v>
      </c>
      <c r="K4192" t="s">
        <v>147</v>
      </c>
      <c r="L4192" t="s">
        <v>654</v>
      </c>
      <c r="M4192" t="s">
        <v>15</v>
      </c>
    </row>
    <row r="4193" spans="1:13">
      <c r="A4193" t="s">
        <v>851</v>
      </c>
      <c r="B4193" t="s">
        <v>686</v>
      </c>
      <c r="C4193" t="s">
        <v>686</v>
      </c>
      <c r="D4193" t="s">
        <v>3185</v>
      </c>
      <c r="E4193" t="s">
        <v>573</v>
      </c>
      <c r="F4193" t="s">
        <v>40</v>
      </c>
      <c r="G4193">
        <v>2035</v>
      </c>
      <c r="H4193" s="12">
        <v>779</v>
      </c>
      <c r="I4193" t="s">
        <v>3183</v>
      </c>
      <c r="J4193" t="s">
        <v>15</v>
      </c>
      <c r="K4193" t="s">
        <v>147</v>
      </c>
      <c r="L4193" t="s">
        <v>654</v>
      </c>
      <c r="M4193" t="s">
        <v>15</v>
      </c>
    </row>
    <row r="4194" spans="1:13">
      <c r="A4194" t="s">
        <v>851</v>
      </c>
      <c r="B4194" t="s">
        <v>686</v>
      </c>
      <c r="C4194" t="s">
        <v>686</v>
      </c>
      <c r="D4194" t="s">
        <v>3185</v>
      </c>
      <c r="E4194" t="s">
        <v>573</v>
      </c>
      <c r="F4194" t="s">
        <v>40</v>
      </c>
      <c r="G4194">
        <v>2040</v>
      </c>
      <c r="H4194" s="12">
        <v>868</v>
      </c>
      <c r="I4194" t="s">
        <v>3183</v>
      </c>
      <c r="J4194" t="s">
        <v>15</v>
      </c>
      <c r="K4194" t="s">
        <v>147</v>
      </c>
      <c r="L4194" t="s">
        <v>654</v>
      </c>
      <c r="M4194" t="s">
        <v>15</v>
      </c>
    </row>
    <row r="4195" spans="1:13">
      <c r="A4195" t="s">
        <v>851</v>
      </c>
      <c r="B4195" t="s">
        <v>686</v>
      </c>
      <c r="C4195" t="s">
        <v>686</v>
      </c>
      <c r="D4195" t="s">
        <v>3185</v>
      </c>
      <c r="E4195" t="s">
        <v>573</v>
      </c>
      <c r="F4195" t="s">
        <v>40</v>
      </c>
      <c r="G4195">
        <v>2045</v>
      </c>
      <c r="H4195" s="12">
        <v>962</v>
      </c>
      <c r="I4195" t="s">
        <v>3183</v>
      </c>
      <c r="J4195" t="s">
        <v>15</v>
      </c>
      <c r="K4195" t="s">
        <v>147</v>
      </c>
      <c r="L4195" t="s">
        <v>654</v>
      </c>
      <c r="M4195" t="s">
        <v>15</v>
      </c>
    </row>
    <row r="4196" spans="1:13">
      <c r="A4196" t="s">
        <v>851</v>
      </c>
      <c r="B4196" t="s">
        <v>686</v>
      </c>
      <c r="C4196" t="s">
        <v>686</v>
      </c>
      <c r="D4196" t="s">
        <v>3185</v>
      </c>
      <c r="E4196" t="s">
        <v>573</v>
      </c>
      <c r="F4196" t="s">
        <v>40</v>
      </c>
      <c r="G4196">
        <v>2050</v>
      </c>
      <c r="H4196" s="12">
        <v>1042</v>
      </c>
      <c r="I4196" t="s">
        <v>3183</v>
      </c>
      <c r="J4196" t="s">
        <v>15</v>
      </c>
      <c r="K4196" t="s">
        <v>147</v>
      </c>
      <c r="L4196" t="s">
        <v>654</v>
      </c>
      <c r="M4196" t="s">
        <v>15</v>
      </c>
    </row>
    <row r="4197" spans="1:13">
      <c r="A4197" t="s">
        <v>851</v>
      </c>
      <c r="B4197" t="s">
        <v>687</v>
      </c>
      <c r="C4197" t="s">
        <v>687</v>
      </c>
      <c r="D4197" t="s">
        <v>3185</v>
      </c>
      <c r="E4197" t="s">
        <v>573</v>
      </c>
      <c r="F4197" t="s">
        <v>40</v>
      </c>
      <c r="G4197">
        <v>2030</v>
      </c>
      <c r="H4197" s="12">
        <v>676</v>
      </c>
      <c r="I4197" t="s">
        <v>3183</v>
      </c>
      <c r="J4197" t="s">
        <v>15</v>
      </c>
      <c r="K4197" t="s">
        <v>147</v>
      </c>
      <c r="L4197" t="s">
        <v>654</v>
      </c>
      <c r="M4197" t="s">
        <v>15</v>
      </c>
    </row>
    <row r="4198" spans="1:13">
      <c r="A4198" t="s">
        <v>851</v>
      </c>
      <c r="B4198" t="s">
        <v>687</v>
      </c>
      <c r="C4198" t="s">
        <v>687</v>
      </c>
      <c r="D4198" t="s">
        <v>3185</v>
      </c>
      <c r="E4198" t="s">
        <v>573</v>
      </c>
      <c r="F4198" t="s">
        <v>40</v>
      </c>
      <c r="G4198">
        <v>2035</v>
      </c>
      <c r="H4198" s="12">
        <v>946</v>
      </c>
      <c r="I4198" t="s">
        <v>3183</v>
      </c>
      <c r="J4198" t="s">
        <v>15</v>
      </c>
      <c r="K4198" t="s">
        <v>147</v>
      </c>
      <c r="L4198" t="s">
        <v>654</v>
      </c>
      <c r="M4198" t="s">
        <v>15</v>
      </c>
    </row>
    <row r="4199" spans="1:13">
      <c r="A4199" t="s">
        <v>851</v>
      </c>
      <c r="B4199" t="s">
        <v>687</v>
      </c>
      <c r="C4199" t="s">
        <v>687</v>
      </c>
      <c r="D4199" t="s">
        <v>3185</v>
      </c>
      <c r="E4199" t="s">
        <v>573</v>
      </c>
      <c r="F4199" t="s">
        <v>40</v>
      </c>
      <c r="G4199">
        <v>2040</v>
      </c>
      <c r="H4199" s="12">
        <v>1290</v>
      </c>
      <c r="I4199" t="s">
        <v>3183</v>
      </c>
      <c r="J4199" t="s">
        <v>15</v>
      </c>
      <c r="K4199" t="s">
        <v>147</v>
      </c>
      <c r="L4199" t="s">
        <v>654</v>
      </c>
      <c r="M4199" t="s">
        <v>15</v>
      </c>
    </row>
    <row r="4200" spans="1:13">
      <c r="A4200" t="s">
        <v>851</v>
      </c>
      <c r="B4200" t="s">
        <v>687</v>
      </c>
      <c r="C4200" t="s">
        <v>687</v>
      </c>
      <c r="D4200" t="s">
        <v>3185</v>
      </c>
      <c r="E4200" t="s">
        <v>573</v>
      </c>
      <c r="F4200" t="s">
        <v>40</v>
      </c>
      <c r="G4200">
        <v>2045</v>
      </c>
      <c r="H4200" s="12">
        <v>1468</v>
      </c>
      <c r="I4200" t="s">
        <v>3183</v>
      </c>
      <c r="J4200" t="s">
        <v>15</v>
      </c>
      <c r="K4200" t="s">
        <v>147</v>
      </c>
      <c r="L4200" t="s">
        <v>654</v>
      </c>
      <c r="M4200" t="s">
        <v>15</v>
      </c>
    </row>
    <row r="4201" spans="1:13">
      <c r="A4201" t="s">
        <v>851</v>
      </c>
      <c r="B4201" t="s">
        <v>687</v>
      </c>
      <c r="C4201" t="s">
        <v>687</v>
      </c>
      <c r="D4201" t="s">
        <v>3185</v>
      </c>
      <c r="E4201" t="s">
        <v>573</v>
      </c>
      <c r="F4201" t="s">
        <v>40</v>
      </c>
      <c r="G4201">
        <v>2050</v>
      </c>
      <c r="H4201" s="12">
        <v>1503</v>
      </c>
      <c r="I4201" t="s">
        <v>3183</v>
      </c>
      <c r="J4201" t="s">
        <v>15</v>
      </c>
      <c r="K4201" t="s">
        <v>147</v>
      </c>
      <c r="L4201" t="s">
        <v>654</v>
      </c>
      <c r="M4201" t="s">
        <v>15</v>
      </c>
    </row>
    <row r="4202" spans="1:13">
      <c r="A4202" t="s">
        <v>851</v>
      </c>
      <c r="B4202" t="s">
        <v>686</v>
      </c>
      <c r="C4202" t="s">
        <v>686</v>
      </c>
      <c r="D4202" t="s">
        <v>3185</v>
      </c>
      <c r="E4202" t="s">
        <v>573</v>
      </c>
      <c r="F4202" t="s">
        <v>40</v>
      </c>
      <c r="G4202">
        <v>2010</v>
      </c>
      <c r="H4202" s="12">
        <v>5403</v>
      </c>
      <c r="I4202" t="s">
        <v>3183</v>
      </c>
      <c r="J4202" t="s">
        <v>6</v>
      </c>
      <c r="K4202" t="s">
        <v>147</v>
      </c>
      <c r="L4202" t="s">
        <v>654</v>
      </c>
      <c r="M4202" t="s">
        <v>659</v>
      </c>
    </row>
    <row r="4203" spans="1:13">
      <c r="A4203" t="s">
        <v>851</v>
      </c>
      <c r="B4203" t="s">
        <v>686</v>
      </c>
      <c r="C4203" t="s">
        <v>686</v>
      </c>
      <c r="D4203" t="s">
        <v>3185</v>
      </c>
      <c r="E4203" t="s">
        <v>573</v>
      </c>
      <c r="F4203" t="s">
        <v>40</v>
      </c>
      <c r="G4203">
        <v>2015</v>
      </c>
      <c r="H4203" s="12">
        <v>6521</v>
      </c>
      <c r="I4203" t="s">
        <v>3183</v>
      </c>
      <c r="J4203" t="s">
        <v>6</v>
      </c>
      <c r="K4203" t="s">
        <v>147</v>
      </c>
      <c r="L4203" t="s">
        <v>654</v>
      </c>
      <c r="M4203" t="s">
        <v>659</v>
      </c>
    </row>
    <row r="4204" spans="1:13">
      <c r="A4204" t="s">
        <v>851</v>
      </c>
      <c r="B4204" t="s">
        <v>686</v>
      </c>
      <c r="C4204" t="s">
        <v>686</v>
      </c>
      <c r="D4204" t="s">
        <v>3185</v>
      </c>
      <c r="E4204" t="s">
        <v>573</v>
      </c>
      <c r="F4204" t="s">
        <v>40</v>
      </c>
      <c r="G4204">
        <v>2020</v>
      </c>
      <c r="H4204" s="12">
        <v>8019</v>
      </c>
      <c r="I4204" t="s">
        <v>3183</v>
      </c>
      <c r="J4204" t="s">
        <v>6</v>
      </c>
      <c r="K4204" t="s">
        <v>147</v>
      </c>
      <c r="L4204" t="s">
        <v>654</v>
      </c>
      <c r="M4204" t="s">
        <v>659</v>
      </c>
    </row>
    <row r="4205" spans="1:13">
      <c r="A4205" t="s">
        <v>851</v>
      </c>
      <c r="B4205" t="s">
        <v>686</v>
      </c>
      <c r="C4205" t="s">
        <v>686</v>
      </c>
      <c r="D4205" t="s">
        <v>3185</v>
      </c>
      <c r="E4205" t="s">
        <v>573</v>
      </c>
      <c r="F4205" t="s">
        <v>40</v>
      </c>
      <c r="G4205">
        <v>2030</v>
      </c>
      <c r="H4205" s="12">
        <v>9361</v>
      </c>
      <c r="I4205" t="s">
        <v>3183</v>
      </c>
      <c r="J4205" t="s">
        <v>6</v>
      </c>
      <c r="K4205" t="s">
        <v>147</v>
      </c>
      <c r="L4205" t="s">
        <v>654</v>
      </c>
      <c r="M4205" t="s">
        <v>659</v>
      </c>
    </row>
    <row r="4206" spans="1:13">
      <c r="A4206" t="s">
        <v>851</v>
      </c>
      <c r="B4206" t="s">
        <v>686</v>
      </c>
      <c r="C4206" t="s">
        <v>686</v>
      </c>
      <c r="D4206" t="s">
        <v>3185</v>
      </c>
      <c r="E4206" t="s">
        <v>573</v>
      </c>
      <c r="F4206" t="s">
        <v>40</v>
      </c>
      <c r="G4206">
        <v>2035</v>
      </c>
      <c r="H4206" s="12">
        <v>9849</v>
      </c>
      <c r="I4206" t="s">
        <v>3183</v>
      </c>
      <c r="J4206" t="s">
        <v>6</v>
      </c>
      <c r="K4206" t="s">
        <v>147</v>
      </c>
      <c r="L4206" t="s">
        <v>654</v>
      </c>
      <c r="M4206" t="s">
        <v>659</v>
      </c>
    </row>
    <row r="4207" spans="1:13">
      <c r="A4207" t="s">
        <v>851</v>
      </c>
      <c r="B4207" t="s">
        <v>686</v>
      </c>
      <c r="C4207" t="s">
        <v>686</v>
      </c>
      <c r="D4207" t="s">
        <v>3185</v>
      </c>
      <c r="E4207" t="s">
        <v>573</v>
      </c>
      <c r="F4207" t="s">
        <v>40</v>
      </c>
      <c r="G4207">
        <v>2040</v>
      </c>
      <c r="H4207" s="12">
        <v>10097</v>
      </c>
      <c r="I4207" t="s">
        <v>3183</v>
      </c>
      <c r="J4207" t="s">
        <v>6</v>
      </c>
      <c r="K4207" t="s">
        <v>147</v>
      </c>
      <c r="L4207" t="s">
        <v>654</v>
      </c>
      <c r="M4207" t="s">
        <v>659</v>
      </c>
    </row>
    <row r="4208" spans="1:13">
      <c r="A4208" t="s">
        <v>851</v>
      </c>
      <c r="B4208" t="s">
        <v>686</v>
      </c>
      <c r="C4208" t="s">
        <v>686</v>
      </c>
      <c r="D4208" t="s">
        <v>3185</v>
      </c>
      <c r="E4208" t="s">
        <v>573</v>
      </c>
      <c r="F4208" t="s">
        <v>40</v>
      </c>
      <c r="G4208">
        <v>2045</v>
      </c>
      <c r="H4208" s="12">
        <v>10545</v>
      </c>
      <c r="I4208" t="s">
        <v>3183</v>
      </c>
      <c r="J4208" t="s">
        <v>6</v>
      </c>
      <c r="K4208" t="s">
        <v>147</v>
      </c>
      <c r="L4208" t="s">
        <v>654</v>
      </c>
      <c r="M4208" t="s">
        <v>659</v>
      </c>
    </row>
    <row r="4209" spans="1:13">
      <c r="A4209" t="s">
        <v>851</v>
      </c>
      <c r="B4209" t="s">
        <v>686</v>
      </c>
      <c r="C4209" t="s">
        <v>686</v>
      </c>
      <c r="D4209" t="s">
        <v>3185</v>
      </c>
      <c r="E4209" t="s">
        <v>573</v>
      </c>
      <c r="F4209" t="s">
        <v>40</v>
      </c>
      <c r="G4209">
        <v>2050</v>
      </c>
      <c r="H4209" s="12">
        <v>10897</v>
      </c>
      <c r="I4209" t="s">
        <v>3183</v>
      </c>
      <c r="J4209" t="s">
        <v>6</v>
      </c>
      <c r="K4209" t="s">
        <v>147</v>
      </c>
      <c r="L4209" t="s">
        <v>654</v>
      </c>
      <c r="M4209" t="s">
        <v>659</v>
      </c>
    </row>
    <row r="4210" spans="1:13">
      <c r="A4210" t="s">
        <v>851</v>
      </c>
      <c r="B4210" t="s">
        <v>687</v>
      </c>
      <c r="C4210" t="s">
        <v>687</v>
      </c>
      <c r="D4210" t="s">
        <v>3185</v>
      </c>
      <c r="E4210" t="s">
        <v>573</v>
      </c>
      <c r="F4210" t="s">
        <v>40</v>
      </c>
      <c r="G4210">
        <v>2030</v>
      </c>
      <c r="H4210" s="12">
        <v>8815</v>
      </c>
      <c r="I4210" t="s">
        <v>3183</v>
      </c>
      <c r="J4210" t="s">
        <v>6</v>
      </c>
      <c r="K4210" t="s">
        <v>147</v>
      </c>
      <c r="L4210" t="s">
        <v>654</v>
      </c>
      <c r="M4210" t="s">
        <v>659</v>
      </c>
    </row>
    <row r="4211" spans="1:13">
      <c r="A4211" t="s">
        <v>851</v>
      </c>
      <c r="B4211" t="s">
        <v>687</v>
      </c>
      <c r="C4211" t="s">
        <v>687</v>
      </c>
      <c r="D4211" t="s">
        <v>3185</v>
      </c>
      <c r="E4211" t="s">
        <v>573</v>
      </c>
      <c r="F4211" t="s">
        <v>40</v>
      </c>
      <c r="G4211">
        <v>2035</v>
      </c>
      <c r="H4211" s="12">
        <v>8752</v>
      </c>
      <c r="I4211" t="s">
        <v>3183</v>
      </c>
      <c r="J4211" t="s">
        <v>6</v>
      </c>
      <c r="K4211" t="s">
        <v>147</v>
      </c>
      <c r="L4211" t="s">
        <v>654</v>
      </c>
      <c r="M4211" t="s">
        <v>659</v>
      </c>
    </row>
    <row r="4212" spans="1:13">
      <c r="A4212" t="s">
        <v>851</v>
      </c>
      <c r="B4212" t="s">
        <v>687</v>
      </c>
      <c r="C4212" t="s">
        <v>687</v>
      </c>
      <c r="D4212" t="s">
        <v>3185</v>
      </c>
      <c r="E4212" t="s">
        <v>573</v>
      </c>
      <c r="F4212" t="s">
        <v>40</v>
      </c>
      <c r="G4212">
        <v>2045</v>
      </c>
      <c r="H4212" s="12">
        <v>99</v>
      </c>
      <c r="I4212" t="s">
        <v>3183</v>
      </c>
      <c r="J4212" t="s">
        <v>5</v>
      </c>
      <c r="K4212" t="s">
        <v>147</v>
      </c>
      <c r="L4212" t="s">
        <v>654</v>
      </c>
      <c r="M4212" t="s">
        <v>5</v>
      </c>
    </row>
    <row r="4213" spans="1:13">
      <c r="A4213" t="s">
        <v>851</v>
      </c>
      <c r="B4213" t="s">
        <v>687</v>
      </c>
      <c r="C4213" t="s">
        <v>687</v>
      </c>
      <c r="D4213" t="s">
        <v>3185</v>
      </c>
      <c r="E4213" t="s">
        <v>573</v>
      </c>
      <c r="F4213" t="s">
        <v>40</v>
      </c>
      <c r="G4213">
        <v>2050</v>
      </c>
      <c r="H4213" s="12">
        <v>119</v>
      </c>
      <c r="I4213" t="s">
        <v>3183</v>
      </c>
      <c r="J4213" t="s">
        <v>5</v>
      </c>
      <c r="K4213" t="s">
        <v>147</v>
      </c>
      <c r="L4213" t="s">
        <v>654</v>
      </c>
      <c r="M4213" t="s">
        <v>5</v>
      </c>
    </row>
    <row r="4214" spans="1:13">
      <c r="A4214" t="s">
        <v>851</v>
      </c>
      <c r="B4214" t="s">
        <v>687</v>
      </c>
      <c r="C4214" t="s">
        <v>687</v>
      </c>
      <c r="D4214" t="s">
        <v>3185</v>
      </c>
      <c r="E4214" t="s">
        <v>660</v>
      </c>
      <c r="F4214" t="s">
        <v>40</v>
      </c>
      <c r="G4214">
        <v>2050</v>
      </c>
      <c r="H4214" s="12">
        <v>175</v>
      </c>
      <c r="I4214" t="s">
        <v>3183</v>
      </c>
      <c r="J4214" t="s">
        <v>14</v>
      </c>
      <c r="K4214" t="s">
        <v>657</v>
      </c>
      <c r="L4214" t="s">
        <v>654</v>
      </c>
      <c r="M4214" t="s">
        <v>14</v>
      </c>
    </row>
    <row r="4215" spans="1:13">
      <c r="A4215" t="s">
        <v>851</v>
      </c>
      <c r="B4215" t="s">
        <v>686</v>
      </c>
      <c r="C4215" t="s">
        <v>686</v>
      </c>
      <c r="D4215" t="s">
        <v>3185</v>
      </c>
      <c r="E4215" t="s">
        <v>660</v>
      </c>
      <c r="F4215" t="s">
        <v>40</v>
      </c>
      <c r="G4215">
        <v>2010</v>
      </c>
      <c r="H4215" s="12">
        <v>44</v>
      </c>
      <c r="I4215" t="s">
        <v>3183</v>
      </c>
      <c r="J4215" t="s">
        <v>41</v>
      </c>
      <c r="K4215" t="s">
        <v>657</v>
      </c>
      <c r="L4215" t="s">
        <v>654</v>
      </c>
      <c r="M4215" t="s">
        <v>662</v>
      </c>
    </row>
    <row r="4216" spans="1:13">
      <c r="A4216" t="s">
        <v>851</v>
      </c>
      <c r="B4216" t="s">
        <v>686</v>
      </c>
      <c r="C4216" t="s">
        <v>686</v>
      </c>
      <c r="D4216" t="s">
        <v>3185</v>
      </c>
      <c r="E4216" t="s">
        <v>660</v>
      </c>
      <c r="F4216" t="s">
        <v>40</v>
      </c>
      <c r="G4216">
        <v>2015</v>
      </c>
      <c r="H4216" s="12">
        <v>47</v>
      </c>
      <c r="I4216" t="s">
        <v>3183</v>
      </c>
      <c r="J4216" t="s">
        <v>41</v>
      </c>
      <c r="K4216" t="s">
        <v>657</v>
      </c>
      <c r="L4216" t="s">
        <v>654</v>
      </c>
      <c r="M4216" t="s">
        <v>662</v>
      </c>
    </row>
    <row r="4217" spans="1:13">
      <c r="A4217" t="s">
        <v>851</v>
      </c>
      <c r="B4217" t="s">
        <v>686</v>
      </c>
      <c r="C4217" t="s">
        <v>686</v>
      </c>
      <c r="D4217" t="s">
        <v>3185</v>
      </c>
      <c r="E4217" t="s">
        <v>660</v>
      </c>
      <c r="F4217" t="s">
        <v>40</v>
      </c>
      <c r="G4217">
        <v>2020</v>
      </c>
      <c r="H4217" s="12">
        <v>68</v>
      </c>
      <c r="I4217" t="s">
        <v>3183</v>
      </c>
      <c r="J4217" t="s">
        <v>41</v>
      </c>
      <c r="K4217" t="s">
        <v>657</v>
      </c>
      <c r="L4217" t="s">
        <v>654</v>
      </c>
      <c r="M4217" t="s">
        <v>662</v>
      </c>
    </row>
    <row r="4218" spans="1:13">
      <c r="A4218" t="s">
        <v>851</v>
      </c>
      <c r="B4218" t="s">
        <v>686</v>
      </c>
      <c r="C4218" t="s">
        <v>686</v>
      </c>
      <c r="D4218" t="s">
        <v>3185</v>
      </c>
      <c r="E4218" t="s">
        <v>660</v>
      </c>
      <c r="F4218" t="s">
        <v>40</v>
      </c>
      <c r="G4218">
        <v>2030</v>
      </c>
      <c r="H4218" s="12">
        <v>197</v>
      </c>
      <c r="I4218" t="s">
        <v>3183</v>
      </c>
      <c r="J4218" t="s">
        <v>41</v>
      </c>
      <c r="K4218" t="s">
        <v>657</v>
      </c>
      <c r="L4218" t="s">
        <v>654</v>
      </c>
      <c r="M4218" t="s">
        <v>662</v>
      </c>
    </row>
    <row r="4219" spans="1:13">
      <c r="A4219" t="s">
        <v>851</v>
      </c>
      <c r="B4219" t="s">
        <v>686</v>
      </c>
      <c r="C4219" t="s">
        <v>686</v>
      </c>
      <c r="D4219" t="s">
        <v>3185</v>
      </c>
      <c r="E4219" t="s">
        <v>660</v>
      </c>
      <c r="F4219" t="s">
        <v>40</v>
      </c>
      <c r="G4219">
        <v>2035</v>
      </c>
      <c r="H4219" s="12">
        <v>324</v>
      </c>
      <c r="I4219" t="s">
        <v>3183</v>
      </c>
      <c r="J4219" t="s">
        <v>41</v>
      </c>
      <c r="K4219" t="s">
        <v>657</v>
      </c>
      <c r="L4219" t="s">
        <v>654</v>
      </c>
      <c r="M4219" t="s">
        <v>662</v>
      </c>
    </row>
    <row r="4220" spans="1:13">
      <c r="A4220" t="s">
        <v>851</v>
      </c>
      <c r="B4220" t="s">
        <v>686</v>
      </c>
      <c r="C4220" t="s">
        <v>686</v>
      </c>
      <c r="D4220" t="s">
        <v>3185</v>
      </c>
      <c r="E4220" t="s">
        <v>660</v>
      </c>
      <c r="F4220" t="s">
        <v>40</v>
      </c>
      <c r="G4220">
        <v>2040</v>
      </c>
      <c r="H4220" s="12">
        <v>460</v>
      </c>
      <c r="I4220" t="s">
        <v>3183</v>
      </c>
      <c r="J4220" t="s">
        <v>41</v>
      </c>
      <c r="K4220" t="s">
        <v>657</v>
      </c>
      <c r="L4220" t="s">
        <v>654</v>
      </c>
      <c r="M4220" t="s">
        <v>662</v>
      </c>
    </row>
    <row r="4221" spans="1:13">
      <c r="A4221" t="s">
        <v>851</v>
      </c>
      <c r="B4221" t="s">
        <v>686</v>
      </c>
      <c r="C4221" t="s">
        <v>686</v>
      </c>
      <c r="D4221" t="s">
        <v>3185</v>
      </c>
      <c r="E4221" t="s">
        <v>660</v>
      </c>
      <c r="F4221" t="s">
        <v>40</v>
      </c>
      <c r="G4221">
        <v>2045</v>
      </c>
      <c r="H4221" s="12">
        <v>598</v>
      </c>
      <c r="I4221" t="s">
        <v>3183</v>
      </c>
      <c r="J4221" t="s">
        <v>41</v>
      </c>
      <c r="K4221" t="s">
        <v>657</v>
      </c>
      <c r="L4221" t="s">
        <v>654</v>
      </c>
      <c r="M4221" t="s">
        <v>662</v>
      </c>
    </row>
    <row r="4222" spans="1:13">
      <c r="A4222" t="s">
        <v>851</v>
      </c>
      <c r="B4222" t="s">
        <v>686</v>
      </c>
      <c r="C4222" t="s">
        <v>686</v>
      </c>
      <c r="D4222" t="s">
        <v>3185</v>
      </c>
      <c r="E4222" t="s">
        <v>660</v>
      </c>
      <c r="F4222" t="s">
        <v>40</v>
      </c>
      <c r="G4222">
        <v>2015</v>
      </c>
      <c r="H4222" s="12">
        <v>15072</v>
      </c>
      <c r="I4222" t="s">
        <v>3183</v>
      </c>
      <c r="J4222" t="s">
        <v>394</v>
      </c>
      <c r="K4222" t="s">
        <v>657</v>
      </c>
      <c r="L4222" t="s">
        <v>654</v>
      </c>
      <c r="M4222" t="s">
        <v>16</v>
      </c>
    </row>
    <row r="4223" spans="1:13">
      <c r="A4223" t="s">
        <v>851</v>
      </c>
      <c r="B4223" t="s">
        <v>686</v>
      </c>
      <c r="C4223" t="s">
        <v>686</v>
      </c>
      <c r="D4223" t="s">
        <v>3185</v>
      </c>
      <c r="E4223" t="s">
        <v>660</v>
      </c>
      <c r="F4223" t="s">
        <v>40</v>
      </c>
      <c r="G4223">
        <v>2020</v>
      </c>
      <c r="H4223" s="12">
        <v>13900</v>
      </c>
      <c r="I4223" t="s">
        <v>3183</v>
      </c>
      <c r="J4223" t="s">
        <v>394</v>
      </c>
      <c r="K4223" t="s">
        <v>657</v>
      </c>
      <c r="L4223" t="s">
        <v>654</v>
      </c>
      <c r="M4223" t="s">
        <v>16</v>
      </c>
    </row>
    <row r="4224" spans="1:13">
      <c r="A4224" t="s">
        <v>851</v>
      </c>
      <c r="B4224" t="s">
        <v>686</v>
      </c>
      <c r="C4224" t="s">
        <v>686</v>
      </c>
      <c r="D4224" t="s">
        <v>3185</v>
      </c>
      <c r="E4224" t="s">
        <v>660</v>
      </c>
      <c r="F4224" t="s">
        <v>40</v>
      </c>
      <c r="G4224">
        <v>2030</v>
      </c>
      <c r="H4224" s="12">
        <v>15941</v>
      </c>
      <c r="I4224" t="s">
        <v>3183</v>
      </c>
      <c r="J4224" t="s">
        <v>394</v>
      </c>
      <c r="K4224" t="s">
        <v>657</v>
      </c>
      <c r="L4224" t="s">
        <v>654</v>
      </c>
      <c r="M4224" t="s">
        <v>16</v>
      </c>
    </row>
    <row r="4225" spans="1:13">
      <c r="A4225" t="s">
        <v>851</v>
      </c>
      <c r="B4225" t="s">
        <v>686</v>
      </c>
      <c r="C4225" t="s">
        <v>686</v>
      </c>
      <c r="D4225" t="s">
        <v>3185</v>
      </c>
      <c r="E4225" t="s">
        <v>660</v>
      </c>
      <c r="F4225" t="s">
        <v>40</v>
      </c>
      <c r="G4225">
        <v>2035</v>
      </c>
      <c r="H4225" s="12">
        <v>17327</v>
      </c>
      <c r="I4225" t="s">
        <v>3183</v>
      </c>
      <c r="J4225" t="s">
        <v>394</v>
      </c>
      <c r="K4225" t="s">
        <v>657</v>
      </c>
      <c r="L4225" t="s">
        <v>654</v>
      </c>
      <c r="M4225" t="s">
        <v>16</v>
      </c>
    </row>
    <row r="4226" spans="1:13">
      <c r="A4226" t="s">
        <v>851</v>
      </c>
      <c r="B4226" t="s">
        <v>686</v>
      </c>
      <c r="C4226" t="s">
        <v>686</v>
      </c>
      <c r="D4226" t="s">
        <v>3185</v>
      </c>
      <c r="E4226" t="s">
        <v>660</v>
      </c>
      <c r="F4226" t="s">
        <v>40</v>
      </c>
      <c r="G4226">
        <v>2040</v>
      </c>
      <c r="H4226" s="12">
        <v>18495</v>
      </c>
      <c r="I4226" t="s">
        <v>3183</v>
      </c>
      <c r="J4226" t="s">
        <v>394</v>
      </c>
      <c r="K4226" t="s">
        <v>657</v>
      </c>
      <c r="L4226" t="s">
        <v>654</v>
      </c>
      <c r="M4226" t="s">
        <v>16</v>
      </c>
    </row>
    <row r="4227" spans="1:13">
      <c r="A4227" t="s">
        <v>851</v>
      </c>
      <c r="B4227" t="s">
        <v>686</v>
      </c>
      <c r="C4227" t="s">
        <v>686</v>
      </c>
      <c r="D4227" t="s">
        <v>3185</v>
      </c>
      <c r="E4227" t="s">
        <v>660</v>
      </c>
      <c r="F4227" t="s">
        <v>40</v>
      </c>
      <c r="G4227">
        <v>2045</v>
      </c>
      <c r="H4227" s="12">
        <v>19197</v>
      </c>
      <c r="I4227" t="s">
        <v>3183</v>
      </c>
      <c r="J4227" t="s">
        <v>394</v>
      </c>
      <c r="K4227" t="s">
        <v>657</v>
      </c>
      <c r="L4227" t="s">
        <v>654</v>
      </c>
      <c r="M4227" t="s">
        <v>16</v>
      </c>
    </row>
    <row r="4228" spans="1:13">
      <c r="A4228" t="s">
        <v>851</v>
      </c>
      <c r="B4228" t="s">
        <v>686</v>
      </c>
      <c r="C4228" t="s">
        <v>686</v>
      </c>
      <c r="D4228" t="s">
        <v>3185</v>
      </c>
      <c r="E4228" t="s">
        <v>660</v>
      </c>
      <c r="F4228" t="s">
        <v>40</v>
      </c>
      <c r="G4228">
        <v>2050</v>
      </c>
      <c r="H4228" s="12">
        <v>19378</v>
      </c>
      <c r="I4228" t="s">
        <v>3183</v>
      </c>
      <c r="J4228" t="s">
        <v>394</v>
      </c>
      <c r="K4228" t="s">
        <v>657</v>
      </c>
      <c r="L4228" t="s">
        <v>654</v>
      </c>
      <c r="M4228" t="s">
        <v>16</v>
      </c>
    </row>
    <row r="4229" spans="1:13">
      <c r="A4229" t="s">
        <v>851</v>
      </c>
      <c r="B4229" t="s">
        <v>687</v>
      </c>
      <c r="C4229" t="s">
        <v>687</v>
      </c>
      <c r="D4229" t="s">
        <v>3185</v>
      </c>
      <c r="E4229" t="s">
        <v>660</v>
      </c>
      <c r="F4229" t="s">
        <v>40</v>
      </c>
      <c r="G4229">
        <v>2030</v>
      </c>
      <c r="H4229" s="12">
        <v>14400</v>
      </c>
      <c r="I4229" t="s">
        <v>3183</v>
      </c>
      <c r="J4229" t="s">
        <v>394</v>
      </c>
      <c r="K4229" t="s">
        <v>657</v>
      </c>
      <c r="L4229" t="s">
        <v>654</v>
      </c>
      <c r="M4229" t="s">
        <v>16</v>
      </c>
    </row>
    <row r="4230" spans="1:13">
      <c r="A4230" t="s">
        <v>851</v>
      </c>
      <c r="B4230" t="s">
        <v>687</v>
      </c>
      <c r="C4230" t="s">
        <v>687</v>
      </c>
      <c r="D4230" t="s">
        <v>3185</v>
      </c>
      <c r="E4230" t="s">
        <v>660</v>
      </c>
      <c r="F4230" t="s">
        <v>40</v>
      </c>
      <c r="G4230">
        <v>2035</v>
      </c>
      <c r="H4230" s="12">
        <v>14795</v>
      </c>
      <c r="I4230" t="s">
        <v>3183</v>
      </c>
      <c r="J4230" t="s">
        <v>394</v>
      </c>
      <c r="K4230" t="s">
        <v>657</v>
      </c>
      <c r="L4230" t="s">
        <v>654</v>
      </c>
      <c r="M4230" t="s">
        <v>16</v>
      </c>
    </row>
    <row r="4231" spans="1:13">
      <c r="A4231" t="s">
        <v>851</v>
      </c>
      <c r="B4231" t="s">
        <v>687</v>
      </c>
      <c r="C4231" t="s">
        <v>687</v>
      </c>
      <c r="D4231" t="s">
        <v>3185</v>
      </c>
      <c r="E4231" t="s">
        <v>660</v>
      </c>
      <c r="F4231" t="s">
        <v>40</v>
      </c>
      <c r="G4231">
        <v>2040</v>
      </c>
      <c r="H4231" s="12">
        <v>14836</v>
      </c>
      <c r="I4231" t="s">
        <v>3183</v>
      </c>
      <c r="J4231" t="s">
        <v>394</v>
      </c>
      <c r="K4231" t="s">
        <v>657</v>
      </c>
      <c r="L4231" t="s">
        <v>654</v>
      </c>
      <c r="M4231" t="s">
        <v>16</v>
      </c>
    </row>
    <row r="4232" spans="1:13">
      <c r="A4232" t="s">
        <v>851</v>
      </c>
      <c r="B4232" t="s">
        <v>687</v>
      </c>
      <c r="C4232" t="s">
        <v>687</v>
      </c>
      <c r="D4232" t="s">
        <v>3185</v>
      </c>
      <c r="E4232" t="s">
        <v>660</v>
      </c>
      <c r="F4232" t="s">
        <v>40</v>
      </c>
      <c r="G4232">
        <v>2045</v>
      </c>
      <c r="H4232" s="12">
        <v>14366</v>
      </c>
      <c r="I4232" t="s">
        <v>3183</v>
      </c>
      <c r="J4232" t="s">
        <v>394</v>
      </c>
      <c r="K4232" t="s">
        <v>657</v>
      </c>
      <c r="L4232" t="s">
        <v>654</v>
      </c>
      <c r="M4232" t="s">
        <v>16</v>
      </c>
    </row>
    <row r="4233" spans="1:13">
      <c r="A4233" t="s">
        <v>851</v>
      </c>
      <c r="B4233" t="s">
        <v>687</v>
      </c>
      <c r="C4233" t="s">
        <v>687</v>
      </c>
      <c r="D4233" t="s">
        <v>3185</v>
      </c>
      <c r="E4233" t="s">
        <v>660</v>
      </c>
      <c r="F4233" t="s">
        <v>40</v>
      </c>
      <c r="G4233">
        <v>2050</v>
      </c>
      <c r="H4233" s="12">
        <v>13661</v>
      </c>
      <c r="I4233" t="s">
        <v>3183</v>
      </c>
      <c r="J4233" t="s">
        <v>394</v>
      </c>
      <c r="K4233" t="s">
        <v>657</v>
      </c>
      <c r="L4233" t="s">
        <v>654</v>
      </c>
      <c r="M4233" t="s">
        <v>16</v>
      </c>
    </row>
    <row r="4234" spans="1:13">
      <c r="A4234" t="s">
        <v>851</v>
      </c>
      <c r="B4234" t="s">
        <v>686</v>
      </c>
      <c r="C4234" t="s">
        <v>686</v>
      </c>
      <c r="D4234" t="s">
        <v>3185</v>
      </c>
      <c r="E4234" t="s">
        <v>646</v>
      </c>
      <c r="F4234" t="s">
        <v>40</v>
      </c>
      <c r="G4234">
        <v>2010</v>
      </c>
      <c r="H4234" s="12">
        <v>2495</v>
      </c>
      <c r="I4234" t="s">
        <v>3183</v>
      </c>
      <c r="J4234" t="s">
        <v>394</v>
      </c>
      <c r="K4234" t="s">
        <v>272</v>
      </c>
      <c r="L4234" t="s">
        <v>654</v>
      </c>
      <c r="M4234" t="s">
        <v>16</v>
      </c>
    </row>
    <row r="4235" spans="1:13">
      <c r="A4235" t="s">
        <v>851</v>
      </c>
      <c r="B4235" t="s">
        <v>686</v>
      </c>
      <c r="C4235" t="s">
        <v>686</v>
      </c>
      <c r="D4235" t="s">
        <v>3185</v>
      </c>
      <c r="E4235" t="s">
        <v>646</v>
      </c>
      <c r="F4235" t="s">
        <v>40</v>
      </c>
      <c r="G4235">
        <v>2015</v>
      </c>
      <c r="H4235" s="12">
        <v>3103</v>
      </c>
      <c r="I4235" t="s">
        <v>3183</v>
      </c>
      <c r="J4235" t="s">
        <v>394</v>
      </c>
      <c r="K4235" t="s">
        <v>272</v>
      </c>
      <c r="L4235" t="s">
        <v>654</v>
      </c>
      <c r="M4235" t="s">
        <v>16</v>
      </c>
    </row>
    <row r="4236" spans="1:13">
      <c r="A4236" t="s">
        <v>851</v>
      </c>
      <c r="B4236" t="s">
        <v>686</v>
      </c>
      <c r="C4236" t="s">
        <v>686</v>
      </c>
      <c r="D4236" t="s">
        <v>3185</v>
      </c>
      <c r="E4236" t="s">
        <v>646</v>
      </c>
      <c r="F4236" t="s">
        <v>40</v>
      </c>
      <c r="G4236">
        <v>2020</v>
      </c>
      <c r="H4236" s="12">
        <v>3338</v>
      </c>
      <c r="I4236" t="s">
        <v>3183</v>
      </c>
      <c r="J4236" t="s">
        <v>394</v>
      </c>
      <c r="K4236" t="s">
        <v>272</v>
      </c>
      <c r="L4236" t="s">
        <v>654</v>
      </c>
      <c r="M4236" t="s">
        <v>16</v>
      </c>
    </row>
    <row r="4237" spans="1:13">
      <c r="A4237" t="s">
        <v>851</v>
      </c>
      <c r="B4237" t="s">
        <v>686</v>
      </c>
      <c r="C4237" t="s">
        <v>686</v>
      </c>
      <c r="D4237" t="s">
        <v>3185</v>
      </c>
      <c r="E4237" t="s">
        <v>646</v>
      </c>
      <c r="F4237" t="s">
        <v>40</v>
      </c>
      <c r="G4237">
        <v>2030</v>
      </c>
      <c r="H4237" s="12">
        <v>4679</v>
      </c>
      <c r="I4237" t="s">
        <v>3183</v>
      </c>
      <c r="J4237" t="s">
        <v>394</v>
      </c>
      <c r="K4237" t="s">
        <v>272</v>
      </c>
      <c r="L4237" t="s">
        <v>654</v>
      </c>
      <c r="M4237" t="s">
        <v>16</v>
      </c>
    </row>
    <row r="4238" spans="1:13">
      <c r="A4238" t="s">
        <v>851</v>
      </c>
      <c r="B4238" t="s">
        <v>686</v>
      </c>
      <c r="C4238" t="s">
        <v>686</v>
      </c>
      <c r="D4238" t="s">
        <v>3185</v>
      </c>
      <c r="E4238" t="s">
        <v>646</v>
      </c>
      <c r="F4238" t="s">
        <v>40</v>
      </c>
      <c r="G4238">
        <v>2035</v>
      </c>
      <c r="H4238" s="12">
        <v>5206</v>
      </c>
      <c r="I4238" t="s">
        <v>3183</v>
      </c>
      <c r="J4238" t="s">
        <v>394</v>
      </c>
      <c r="K4238" t="s">
        <v>272</v>
      </c>
      <c r="L4238" t="s">
        <v>654</v>
      </c>
      <c r="M4238" t="s">
        <v>16</v>
      </c>
    </row>
    <row r="4239" spans="1:13">
      <c r="A4239" t="s">
        <v>851</v>
      </c>
      <c r="B4239" t="s">
        <v>686</v>
      </c>
      <c r="C4239" t="s">
        <v>686</v>
      </c>
      <c r="D4239" t="s">
        <v>3185</v>
      </c>
      <c r="E4239" t="s">
        <v>646</v>
      </c>
      <c r="F4239" t="s">
        <v>40</v>
      </c>
      <c r="G4239">
        <v>2040</v>
      </c>
      <c r="H4239" s="12">
        <v>5595</v>
      </c>
      <c r="I4239" t="s">
        <v>3183</v>
      </c>
      <c r="J4239" t="s">
        <v>394</v>
      </c>
      <c r="K4239" t="s">
        <v>272</v>
      </c>
      <c r="L4239" t="s">
        <v>654</v>
      </c>
      <c r="M4239" t="s">
        <v>16</v>
      </c>
    </row>
    <row r="4240" spans="1:13">
      <c r="A4240" t="s">
        <v>851</v>
      </c>
      <c r="B4240" t="s">
        <v>686</v>
      </c>
      <c r="C4240" t="s">
        <v>686</v>
      </c>
      <c r="D4240" t="s">
        <v>3185</v>
      </c>
      <c r="E4240" t="s">
        <v>646</v>
      </c>
      <c r="F4240" t="s">
        <v>40</v>
      </c>
      <c r="G4240">
        <v>2045</v>
      </c>
      <c r="H4240" s="12">
        <v>5878</v>
      </c>
      <c r="I4240" t="s">
        <v>3183</v>
      </c>
      <c r="J4240" t="s">
        <v>394</v>
      </c>
      <c r="K4240" t="s">
        <v>272</v>
      </c>
      <c r="L4240" t="s">
        <v>654</v>
      </c>
      <c r="M4240" t="s">
        <v>16</v>
      </c>
    </row>
    <row r="4241" spans="1:13">
      <c r="A4241" t="s">
        <v>851</v>
      </c>
      <c r="B4241" t="s">
        <v>686</v>
      </c>
      <c r="C4241" t="s">
        <v>686</v>
      </c>
      <c r="D4241" t="s">
        <v>3185</v>
      </c>
      <c r="E4241" t="s">
        <v>646</v>
      </c>
      <c r="F4241" t="s">
        <v>40</v>
      </c>
      <c r="G4241">
        <v>2050</v>
      </c>
      <c r="H4241" s="12">
        <v>6076</v>
      </c>
      <c r="I4241" t="s">
        <v>3183</v>
      </c>
      <c r="J4241" t="s">
        <v>394</v>
      </c>
      <c r="K4241" t="s">
        <v>272</v>
      </c>
      <c r="L4241" t="s">
        <v>654</v>
      </c>
      <c r="M4241" t="s">
        <v>16</v>
      </c>
    </row>
    <row r="4242" spans="1:13">
      <c r="A4242" t="s">
        <v>851</v>
      </c>
      <c r="B4242" t="s">
        <v>687</v>
      </c>
      <c r="C4242" t="s">
        <v>687</v>
      </c>
      <c r="D4242" t="s">
        <v>3185</v>
      </c>
      <c r="E4242" t="s">
        <v>646</v>
      </c>
      <c r="F4242" t="s">
        <v>40</v>
      </c>
      <c r="G4242">
        <v>2030</v>
      </c>
      <c r="H4242" s="12">
        <v>4302</v>
      </c>
      <c r="I4242" t="s">
        <v>3183</v>
      </c>
      <c r="J4242" t="s">
        <v>394</v>
      </c>
      <c r="K4242" t="s">
        <v>272</v>
      </c>
      <c r="L4242" t="s">
        <v>654</v>
      </c>
      <c r="M4242" t="s">
        <v>16</v>
      </c>
    </row>
    <row r="4243" spans="1:13">
      <c r="A4243" t="s">
        <v>851</v>
      </c>
      <c r="B4243" t="s">
        <v>687</v>
      </c>
      <c r="C4243" t="s">
        <v>687</v>
      </c>
      <c r="D4243" t="s">
        <v>3185</v>
      </c>
      <c r="E4243" t="s">
        <v>646</v>
      </c>
      <c r="F4243" t="s">
        <v>40</v>
      </c>
      <c r="G4243">
        <v>2035</v>
      </c>
      <c r="H4243" s="12">
        <v>4667</v>
      </c>
      <c r="I4243" t="s">
        <v>3183</v>
      </c>
      <c r="J4243" t="s">
        <v>394</v>
      </c>
      <c r="K4243" t="s">
        <v>272</v>
      </c>
      <c r="L4243" t="s">
        <v>654</v>
      </c>
      <c r="M4243" t="s">
        <v>16</v>
      </c>
    </row>
    <row r="4244" spans="1:13">
      <c r="A4244" t="s">
        <v>851</v>
      </c>
      <c r="B4244" t="s">
        <v>687</v>
      </c>
      <c r="C4244" t="s">
        <v>687</v>
      </c>
      <c r="D4244" t="s">
        <v>3185</v>
      </c>
      <c r="E4244" t="s">
        <v>646</v>
      </c>
      <c r="F4244" t="s">
        <v>40</v>
      </c>
      <c r="G4244">
        <v>2040</v>
      </c>
      <c r="H4244" s="12">
        <v>4915</v>
      </c>
      <c r="I4244" t="s">
        <v>3183</v>
      </c>
      <c r="J4244" t="s">
        <v>394</v>
      </c>
      <c r="K4244" t="s">
        <v>272</v>
      </c>
      <c r="L4244" t="s">
        <v>654</v>
      </c>
      <c r="M4244" t="s">
        <v>16</v>
      </c>
    </row>
    <row r="4245" spans="1:13">
      <c r="A4245" t="s">
        <v>851</v>
      </c>
      <c r="B4245" t="s">
        <v>687</v>
      </c>
      <c r="C4245" t="s">
        <v>687</v>
      </c>
      <c r="D4245" t="s">
        <v>3185</v>
      </c>
      <c r="E4245" t="s">
        <v>646</v>
      </c>
      <c r="F4245" t="s">
        <v>40</v>
      </c>
      <c r="G4245">
        <v>2045</v>
      </c>
      <c r="H4245" s="12">
        <v>5046</v>
      </c>
      <c r="I4245" t="s">
        <v>3183</v>
      </c>
      <c r="J4245" t="s">
        <v>394</v>
      </c>
      <c r="K4245" t="s">
        <v>272</v>
      </c>
      <c r="L4245" t="s">
        <v>654</v>
      </c>
      <c r="M4245" t="s">
        <v>16</v>
      </c>
    </row>
    <row r="4246" spans="1:13">
      <c r="A4246" t="s">
        <v>851</v>
      </c>
      <c r="B4246" t="s">
        <v>687</v>
      </c>
      <c r="C4246" t="s">
        <v>687</v>
      </c>
      <c r="D4246" t="s">
        <v>3185</v>
      </c>
      <c r="E4246" t="s">
        <v>646</v>
      </c>
      <c r="F4246" t="s">
        <v>40</v>
      </c>
      <c r="G4246">
        <v>2050</v>
      </c>
      <c r="H4246" s="12">
        <v>5114</v>
      </c>
      <c r="I4246" t="s">
        <v>3183</v>
      </c>
      <c r="J4246" t="s">
        <v>394</v>
      </c>
      <c r="K4246" t="s">
        <v>272</v>
      </c>
      <c r="L4246" t="s">
        <v>654</v>
      </c>
      <c r="M4246" t="s">
        <v>16</v>
      </c>
    </row>
    <row r="4247" spans="1:13">
      <c r="A4247" t="s">
        <v>851</v>
      </c>
      <c r="B4247" t="s">
        <v>686</v>
      </c>
      <c r="C4247" t="s">
        <v>686</v>
      </c>
      <c r="D4247" t="s">
        <v>3185</v>
      </c>
      <c r="E4247" t="s">
        <v>660</v>
      </c>
      <c r="F4247" t="s">
        <v>40</v>
      </c>
      <c r="G4247">
        <v>2010</v>
      </c>
      <c r="H4247" s="12">
        <v>140</v>
      </c>
      <c r="I4247" t="s">
        <v>3183</v>
      </c>
      <c r="J4247" t="s">
        <v>5</v>
      </c>
      <c r="K4247" t="s">
        <v>657</v>
      </c>
      <c r="L4247" t="s">
        <v>654</v>
      </c>
      <c r="M4247" t="s">
        <v>5</v>
      </c>
    </row>
    <row r="4248" spans="1:13">
      <c r="A4248" t="s">
        <v>851</v>
      </c>
      <c r="B4248" t="s">
        <v>686</v>
      </c>
      <c r="C4248" t="s">
        <v>686</v>
      </c>
      <c r="D4248" t="s">
        <v>3185</v>
      </c>
      <c r="E4248" t="s">
        <v>660</v>
      </c>
      <c r="F4248" t="s">
        <v>40</v>
      </c>
      <c r="G4248">
        <v>2015</v>
      </c>
      <c r="H4248" s="12">
        <v>137</v>
      </c>
      <c r="I4248" t="s">
        <v>3183</v>
      </c>
      <c r="J4248" t="s">
        <v>5</v>
      </c>
      <c r="K4248" t="s">
        <v>657</v>
      </c>
      <c r="L4248" t="s">
        <v>654</v>
      </c>
      <c r="M4248" t="s">
        <v>5</v>
      </c>
    </row>
    <row r="4249" spans="1:13">
      <c r="A4249" t="s">
        <v>851</v>
      </c>
      <c r="B4249" t="s">
        <v>686</v>
      </c>
      <c r="C4249" t="s">
        <v>686</v>
      </c>
      <c r="D4249" t="s">
        <v>3185</v>
      </c>
      <c r="E4249" t="s">
        <v>660</v>
      </c>
      <c r="F4249" t="s">
        <v>40</v>
      </c>
      <c r="G4249">
        <v>2020</v>
      </c>
      <c r="H4249" s="12">
        <v>147</v>
      </c>
      <c r="I4249" t="s">
        <v>3183</v>
      </c>
      <c r="J4249" t="s">
        <v>5</v>
      </c>
      <c r="K4249" t="s">
        <v>657</v>
      </c>
      <c r="L4249" t="s">
        <v>654</v>
      </c>
      <c r="M4249" t="s">
        <v>5</v>
      </c>
    </row>
    <row r="4250" spans="1:13">
      <c r="A4250" t="s">
        <v>851</v>
      </c>
      <c r="B4250" t="s">
        <v>686</v>
      </c>
      <c r="C4250" t="s">
        <v>686</v>
      </c>
      <c r="D4250" t="s">
        <v>3185</v>
      </c>
      <c r="E4250" t="s">
        <v>660</v>
      </c>
      <c r="F4250" t="s">
        <v>40</v>
      </c>
      <c r="G4250">
        <v>2030</v>
      </c>
      <c r="H4250" s="12">
        <v>242</v>
      </c>
      <c r="I4250" t="s">
        <v>3183</v>
      </c>
      <c r="J4250" t="s">
        <v>5</v>
      </c>
      <c r="K4250" t="s">
        <v>657</v>
      </c>
      <c r="L4250" t="s">
        <v>654</v>
      </c>
      <c r="M4250" t="s">
        <v>5</v>
      </c>
    </row>
    <row r="4251" spans="1:13">
      <c r="A4251" t="s">
        <v>851</v>
      </c>
      <c r="B4251" t="s">
        <v>686</v>
      </c>
      <c r="C4251" t="s">
        <v>686</v>
      </c>
      <c r="D4251" t="s">
        <v>3185</v>
      </c>
      <c r="E4251" t="s">
        <v>660</v>
      </c>
      <c r="F4251" t="s">
        <v>40</v>
      </c>
      <c r="G4251">
        <v>2035</v>
      </c>
      <c r="H4251" s="12">
        <v>284</v>
      </c>
      <c r="I4251" t="s">
        <v>3183</v>
      </c>
      <c r="J4251" t="s">
        <v>5</v>
      </c>
      <c r="K4251" t="s">
        <v>657</v>
      </c>
      <c r="L4251" t="s">
        <v>654</v>
      </c>
      <c r="M4251" t="s">
        <v>5</v>
      </c>
    </row>
    <row r="4252" spans="1:13">
      <c r="A4252" t="s">
        <v>851</v>
      </c>
      <c r="B4252" t="s">
        <v>686</v>
      </c>
      <c r="C4252" t="s">
        <v>686</v>
      </c>
      <c r="D4252" t="s">
        <v>3185</v>
      </c>
      <c r="E4252" t="s">
        <v>660</v>
      </c>
      <c r="F4252" t="s">
        <v>40</v>
      </c>
      <c r="G4252">
        <v>2040</v>
      </c>
      <c r="H4252" s="12">
        <v>312</v>
      </c>
      <c r="I4252" t="s">
        <v>3183</v>
      </c>
      <c r="J4252" t="s">
        <v>5</v>
      </c>
      <c r="K4252" t="s">
        <v>657</v>
      </c>
      <c r="L4252" t="s">
        <v>654</v>
      </c>
      <c r="M4252" t="s">
        <v>5</v>
      </c>
    </row>
    <row r="4253" spans="1:13">
      <c r="A4253" t="s">
        <v>851</v>
      </c>
      <c r="B4253" t="s">
        <v>686</v>
      </c>
      <c r="C4253" t="s">
        <v>686</v>
      </c>
      <c r="D4253" t="s">
        <v>3185</v>
      </c>
      <c r="E4253" t="s">
        <v>660</v>
      </c>
      <c r="F4253" t="s">
        <v>40</v>
      </c>
      <c r="G4253">
        <v>2045</v>
      </c>
      <c r="H4253" s="12">
        <v>326</v>
      </c>
      <c r="I4253" t="s">
        <v>3183</v>
      </c>
      <c r="J4253" t="s">
        <v>5</v>
      </c>
      <c r="K4253" t="s">
        <v>657</v>
      </c>
      <c r="L4253" t="s">
        <v>654</v>
      </c>
      <c r="M4253" t="s">
        <v>5</v>
      </c>
    </row>
    <row r="4254" spans="1:13">
      <c r="A4254" t="s">
        <v>851</v>
      </c>
      <c r="B4254" t="s">
        <v>686</v>
      </c>
      <c r="C4254" t="s">
        <v>686</v>
      </c>
      <c r="D4254" t="s">
        <v>3185</v>
      </c>
      <c r="E4254" t="s">
        <v>660</v>
      </c>
      <c r="F4254" t="s">
        <v>40</v>
      </c>
      <c r="G4254">
        <v>2050</v>
      </c>
      <c r="H4254" s="12">
        <v>349</v>
      </c>
      <c r="I4254" t="s">
        <v>3183</v>
      </c>
      <c r="J4254" t="s">
        <v>5</v>
      </c>
      <c r="K4254" t="s">
        <v>657</v>
      </c>
      <c r="L4254" t="s">
        <v>654</v>
      </c>
      <c r="M4254" t="s">
        <v>5</v>
      </c>
    </row>
    <row r="4255" spans="1:13">
      <c r="A4255" t="s">
        <v>851</v>
      </c>
      <c r="B4255" t="s">
        <v>687</v>
      </c>
      <c r="C4255" t="s">
        <v>687</v>
      </c>
      <c r="D4255" t="s">
        <v>3185</v>
      </c>
      <c r="E4255" t="s">
        <v>660</v>
      </c>
      <c r="F4255" t="s">
        <v>40</v>
      </c>
      <c r="G4255">
        <v>2030</v>
      </c>
      <c r="H4255" s="12">
        <v>193</v>
      </c>
      <c r="I4255" t="s">
        <v>3183</v>
      </c>
      <c r="J4255" t="s">
        <v>5</v>
      </c>
      <c r="K4255" t="s">
        <v>657</v>
      </c>
      <c r="L4255" t="s">
        <v>654</v>
      </c>
      <c r="M4255" t="s">
        <v>5</v>
      </c>
    </row>
    <row r="4256" spans="1:13">
      <c r="A4256" t="s">
        <v>851</v>
      </c>
      <c r="B4256" t="s">
        <v>687</v>
      </c>
      <c r="C4256" t="s">
        <v>687</v>
      </c>
      <c r="D4256" t="s">
        <v>3185</v>
      </c>
      <c r="E4256" t="s">
        <v>660</v>
      </c>
      <c r="F4256" t="s">
        <v>40</v>
      </c>
      <c r="G4256">
        <v>2035</v>
      </c>
      <c r="H4256" s="12">
        <v>220</v>
      </c>
      <c r="I4256" t="s">
        <v>3183</v>
      </c>
      <c r="J4256" t="s">
        <v>5</v>
      </c>
      <c r="K4256" t="s">
        <v>657</v>
      </c>
      <c r="L4256" t="s">
        <v>654</v>
      </c>
      <c r="M4256" t="s">
        <v>5</v>
      </c>
    </row>
    <row r="4257" spans="1:13">
      <c r="A4257" t="s">
        <v>851</v>
      </c>
      <c r="B4257" t="s">
        <v>687</v>
      </c>
      <c r="C4257" t="s">
        <v>687</v>
      </c>
      <c r="D4257" t="s">
        <v>3185</v>
      </c>
      <c r="E4257" t="s">
        <v>660</v>
      </c>
      <c r="F4257" t="s">
        <v>40</v>
      </c>
      <c r="G4257">
        <v>2040</v>
      </c>
      <c r="H4257" s="12">
        <v>241</v>
      </c>
      <c r="I4257" t="s">
        <v>3183</v>
      </c>
      <c r="J4257" t="s">
        <v>5</v>
      </c>
      <c r="K4257" t="s">
        <v>657</v>
      </c>
      <c r="L4257" t="s">
        <v>654</v>
      </c>
      <c r="M4257" t="s">
        <v>5</v>
      </c>
    </row>
    <row r="4258" spans="1:13">
      <c r="A4258" t="s">
        <v>851</v>
      </c>
      <c r="B4258" t="s">
        <v>687</v>
      </c>
      <c r="C4258" t="s">
        <v>687</v>
      </c>
      <c r="D4258" t="s">
        <v>3185</v>
      </c>
      <c r="E4258" t="s">
        <v>660</v>
      </c>
      <c r="F4258" t="s">
        <v>40</v>
      </c>
      <c r="G4258">
        <v>2045</v>
      </c>
      <c r="H4258" s="12">
        <v>255</v>
      </c>
      <c r="I4258" t="s">
        <v>3183</v>
      </c>
      <c r="J4258" t="s">
        <v>5</v>
      </c>
      <c r="K4258" t="s">
        <v>657</v>
      </c>
      <c r="L4258" t="s">
        <v>654</v>
      </c>
      <c r="M4258" t="s">
        <v>5</v>
      </c>
    </row>
    <row r="4259" spans="1:13">
      <c r="A4259" t="s">
        <v>851</v>
      </c>
      <c r="B4259" t="s">
        <v>687</v>
      </c>
      <c r="C4259" t="s">
        <v>687</v>
      </c>
      <c r="D4259" t="s">
        <v>3185</v>
      </c>
      <c r="E4259" t="s">
        <v>660</v>
      </c>
      <c r="F4259" t="s">
        <v>40</v>
      </c>
      <c r="G4259">
        <v>2050</v>
      </c>
      <c r="H4259" s="12">
        <v>266</v>
      </c>
      <c r="I4259" t="s">
        <v>3183</v>
      </c>
      <c r="J4259" t="s">
        <v>5</v>
      </c>
      <c r="K4259" t="s">
        <v>657</v>
      </c>
      <c r="L4259" t="s">
        <v>654</v>
      </c>
      <c r="M4259" t="s">
        <v>5</v>
      </c>
    </row>
    <row r="4260" spans="1:13">
      <c r="A4260" t="s">
        <v>851</v>
      </c>
      <c r="B4260" t="s">
        <v>687</v>
      </c>
      <c r="C4260" t="s">
        <v>687</v>
      </c>
      <c r="D4260" t="s">
        <v>3185</v>
      </c>
      <c r="E4260" t="s">
        <v>573</v>
      </c>
      <c r="F4260" t="s">
        <v>40</v>
      </c>
      <c r="G4260">
        <v>2040</v>
      </c>
      <c r="H4260" s="12">
        <v>8134</v>
      </c>
      <c r="I4260" t="s">
        <v>3183</v>
      </c>
      <c r="J4260" t="s">
        <v>6</v>
      </c>
      <c r="K4260" t="s">
        <v>147</v>
      </c>
      <c r="L4260" t="s">
        <v>654</v>
      </c>
      <c r="M4260" t="s">
        <v>659</v>
      </c>
    </row>
    <row r="4261" spans="1:13">
      <c r="A4261" t="s">
        <v>851</v>
      </c>
      <c r="B4261" t="s">
        <v>687</v>
      </c>
      <c r="C4261" t="s">
        <v>687</v>
      </c>
      <c r="D4261" t="s">
        <v>3185</v>
      </c>
      <c r="E4261" t="s">
        <v>573</v>
      </c>
      <c r="F4261" t="s">
        <v>40</v>
      </c>
      <c r="G4261">
        <v>2045</v>
      </c>
      <c r="H4261" s="12">
        <v>7150</v>
      </c>
      <c r="I4261" t="s">
        <v>3183</v>
      </c>
      <c r="J4261" t="s">
        <v>6</v>
      </c>
      <c r="K4261" t="s">
        <v>147</v>
      </c>
      <c r="L4261" t="s">
        <v>654</v>
      </c>
      <c r="M4261" t="s">
        <v>659</v>
      </c>
    </row>
    <row r="4262" spans="1:13">
      <c r="A4262" t="s">
        <v>851</v>
      </c>
      <c r="B4262" t="s">
        <v>687</v>
      </c>
      <c r="C4262" t="s">
        <v>687</v>
      </c>
      <c r="D4262" t="s">
        <v>3185</v>
      </c>
      <c r="E4262" t="s">
        <v>573</v>
      </c>
      <c r="F4262" t="s">
        <v>40</v>
      </c>
      <c r="G4262">
        <v>2050</v>
      </c>
      <c r="H4262" s="12">
        <v>6474</v>
      </c>
      <c r="I4262" t="s">
        <v>3183</v>
      </c>
      <c r="J4262" t="s">
        <v>6</v>
      </c>
      <c r="K4262" t="s">
        <v>147</v>
      </c>
      <c r="L4262" t="s">
        <v>654</v>
      </c>
      <c r="M4262" t="s">
        <v>659</v>
      </c>
    </row>
    <row r="4263" spans="1:13">
      <c r="A4263" t="s">
        <v>851</v>
      </c>
      <c r="B4263" t="s">
        <v>686</v>
      </c>
      <c r="C4263" t="s">
        <v>686</v>
      </c>
      <c r="D4263" t="s">
        <v>3185</v>
      </c>
      <c r="E4263" t="s">
        <v>573</v>
      </c>
      <c r="F4263" t="s">
        <v>40</v>
      </c>
      <c r="G4263">
        <v>2010</v>
      </c>
      <c r="H4263" s="12">
        <v>3277</v>
      </c>
      <c r="I4263" t="s">
        <v>3183</v>
      </c>
      <c r="J4263" t="s">
        <v>394</v>
      </c>
      <c r="K4263" t="s">
        <v>147</v>
      </c>
      <c r="L4263" t="s">
        <v>654</v>
      </c>
      <c r="M4263" t="s">
        <v>16</v>
      </c>
    </row>
    <row r="4264" spans="1:13">
      <c r="A4264" t="s">
        <v>851</v>
      </c>
      <c r="B4264" t="s">
        <v>686</v>
      </c>
      <c r="C4264" t="s">
        <v>686</v>
      </c>
      <c r="D4264" t="s">
        <v>3185</v>
      </c>
      <c r="E4264" t="s">
        <v>573</v>
      </c>
      <c r="F4264" t="s">
        <v>40</v>
      </c>
      <c r="G4264">
        <v>2015</v>
      </c>
      <c r="H4264" s="12">
        <v>3817</v>
      </c>
      <c r="I4264" t="s">
        <v>3183</v>
      </c>
      <c r="J4264" t="s">
        <v>394</v>
      </c>
      <c r="K4264" t="s">
        <v>147</v>
      </c>
      <c r="L4264" t="s">
        <v>654</v>
      </c>
      <c r="M4264" t="s">
        <v>16</v>
      </c>
    </row>
    <row r="4265" spans="1:13">
      <c r="A4265" t="s">
        <v>851</v>
      </c>
      <c r="B4265" t="s">
        <v>686</v>
      </c>
      <c r="C4265" t="s">
        <v>686</v>
      </c>
      <c r="D4265" t="s">
        <v>3185</v>
      </c>
      <c r="E4265" t="s">
        <v>573</v>
      </c>
      <c r="F4265" t="s">
        <v>40</v>
      </c>
      <c r="G4265">
        <v>2020</v>
      </c>
      <c r="H4265" s="12">
        <v>2986</v>
      </c>
      <c r="I4265" t="s">
        <v>3183</v>
      </c>
      <c r="J4265" t="s">
        <v>394</v>
      </c>
      <c r="K4265" t="s">
        <v>147</v>
      </c>
      <c r="L4265" t="s">
        <v>654</v>
      </c>
      <c r="M4265" t="s">
        <v>16</v>
      </c>
    </row>
    <row r="4266" spans="1:13">
      <c r="A4266" t="s">
        <v>851</v>
      </c>
      <c r="B4266" t="s">
        <v>686</v>
      </c>
      <c r="C4266" t="s">
        <v>686</v>
      </c>
      <c r="D4266" t="s">
        <v>3185</v>
      </c>
      <c r="E4266" t="s">
        <v>573</v>
      </c>
      <c r="F4266" t="s">
        <v>40</v>
      </c>
      <c r="G4266">
        <v>2030</v>
      </c>
      <c r="H4266" s="12">
        <v>2367</v>
      </c>
      <c r="I4266" t="s">
        <v>3183</v>
      </c>
      <c r="J4266" t="s">
        <v>394</v>
      </c>
      <c r="K4266" t="s">
        <v>147</v>
      </c>
      <c r="L4266" t="s">
        <v>654</v>
      </c>
      <c r="M4266" t="s">
        <v>16</v>
      </c>
    </row>
    <row r="4267" spans="1:13">
      <c r="A4267" t="s">
        <v>851</v>
      </c>
      <c r="B4267" t="s">
        <v>686</v>
      </c>
      <c r="C4267" t="s">
        <v>686</v>
      </c>
      <c r="D4267" t="s">
        <v>3185</v>
      </c>
      <c r="E4267" t="s">
        <v>573</v>
      </c>
      <c r="F4267" t="s">
        <v>40</v>
      </c>
      <c r="G4267">
        <v>2035</v>
      </c>
      <c r="H4267" s="12">
        <v>2239</v>
      </c>
      <c r="I4267" t="s">
        <v>3183</v>
      </c>
      <c r="J4267" t="s">
        <v>394</v>
      </c>
      <c r="K4267" t="s">
        <v>147</v>
      </c>
      <c r="L4267" t="s">
        <v>654</v>
      </c>
      <c r="M4267" t="s">
        <v>16</v>
      </c>
    </row>
    <row r="4268" spans="1:13">
      <c r="A4268" t="s">
        <v>851</v>
      </c>
      <c r="B4268" t="s">
        <v>686</v>
      </c>
      <c r="C4268" t="s">
        <v>686</v>
      </c>
      <c r="D4268" t="s">
        <v>3185</v>
      </c>
      <c r="E4268" t="s">
        <v>573</v>
      </c>
      <c r="F4268" t="s">
        <v>40</v>
      </c>
      <c r="G4268">
        <v>2040</v>
      </c>
      <c r="H4268" s="12">
        <v>2288</v>
      </c>
      <c r="I4268" t="s">
        <v>3183</v>
      </c>
      <c r="J4268" t="s">
        <v>394</v>
      </c>
      <c r="K4268" t="s">
        <v>147</v>
      </c>
      <c r="L4268" t="s">
        <v>654</v>
      </c>
      <c r="M4268" t="s">
        <v>16</v>
      </c>
    </row>
    <row r="4269" spans="1:13">
      <c r="A4269" t="s">
        <v>851</v>
      </c>
      <c r="B4269" t="s">
        <v>686</v>
      </c>
      <c r="C4269" t="s">
        <v>686</v>
      </c>
      <c r="D4269" t="s">
        <v>3185</v>
      </c>
      <c r="E4269" t="s">
        <v>573</v>
      </c>
      <c r="F4269" t="s">
        <v>40</v>
      </c>
      <c r="G4269">
        <v>2045</v>
      </c>
      <c r="H4269" s="12">
        <v>2165</v>
      </c>
      <c r="I4269" t="s">
        <v>3183</v>
      </c>
      <c r="J4269" t="s">
        <v>394</v>
      </c>
      <c r="K4269" t="s">
        <v>147</v>
      </c>
      <c r="L4269" t="s">
        <v>654</v>
      </c>
      <c r="M4269" t="s">
        <v>16</v>
      </c>
    </row>
    <row r="4270" spans="1:13">
      <c r="A4270" t="s">
        <v>851</v>
      </c>
      <c r="B4270" t="s">
        <v>686</v>
      </c>
      <c r="C4270" t="s">
        <v>686</v>
      </c>
      <c r="D4270" t="s">
        <v>3185</v>
      </c>
      <c r="E4270" t="s">
        <v>573</v>
      </c>
      <c r="F4270" t="s">
        <v>40</v>
      </c>
      <c r="G4270">
        <v>2050</v>
      </c>
      <c r="H4270" s="12">
        <v>2031</v>
      </c>
      <c r="I4270" t="s">
        <v>3183</v>
      </c>
      <c r="J4270" t="s">
        <v>394</v>
      </c>
      <c r="K4270" t="s">
        <v>147</v>
      </c>
      <c r="L4270" t="s">
        <v>654</v>
      </c>
      <c r="M4270" t="s">
        <v>16</v>
      </c>
    </row>
    <row r="4271" spans="1:13">
      <c r="A4271" t="s">
        <v>851</v>
      </c>
      <c r="B4271" t="s">
        <v>687</v>
      </c>
      <c r="C4271" t="s">
        <v>687</v>
      </c>
      <c r="D4271" t="s">
        <v>3185</v>
      </c>
      <c r="E4271" t="s">
        <v>573</v>
      </c>
      <c r="F4271" t="s">
        <v>40</v>
      </c>
      <c r="G4271">
        <v>2030</v>
      </c>
      <c r="H4271" s="12">
        <v>1826</v>
      </c>
      <c r="I4271" t="s">
        <v>3183</v>
      </c>
      <c r="J4271" t="s">
        <v>394</v>
      </c>
      <c r="K4271" t="s">
        <v>147</v>
      </c>
      <c r="L4271" t="s">
        <v>654</v>
      </c>
      <c r="M4271" t="s">
        <v>16</v>
      </c>
    </row>
    <row r="4272" spans="1:13">
      <c r="A4272" t="s">
        <v>851</v>
      </c>
      <c r="B4272" t="s">
        <v>687</v>
      </c>
      <c r="C4272" t="s">
        <v>687</v>
      </c>
      <c r="D4272" t="s">
        <v>3185</v>
      </c>
      <c r="E4272" t="s">
        <v>573</v>
      </c>
      <c r="F4272" t="s">
        <v>40</v>
      </c>
      <c r="G4272">
        <v>2035</v>
      </c>
      <c r="H4272" s="12">
        <v>1520</v>
      </c>
      <c r="I4272" t="s">
        <v>3183</v>
      </c>
      <c r="J4272" t="s">
        <v>394</v>
      </c>
      <c r="K4272" t="s">
        <v>147</v>
      </c>
      <c r="L4272" t="s">
        <v>654</v>
      </c>
      <c r="M4272" t="s">
        <v>16</v>
      </c>
    </row>
    <row r="4273" spans="1:13">
      <c r="A4273" t="s">
        <v>851</v>
      </c>
      <c r="B4273" t="s">
        <v>687</v>
      </c>
      <c r="C4273" t="s">
        <v>687</v>
      </c>
      <c r="D4273" t="s">
        <v>3185</v>
      </c>
      <c r="E4273" t="s">
        <v>573</v>
      </c>
      <c r="F4273" t="s">
        <v>40</v>
      </c>
      <c r="G4273">
        <v>2040</v>
      </c>
      <c r="H4273" s="12">
        <v>1365</v>
      </c>
      <c r="I4273" t="s">
        <v>3183</v>
      </c>
      <c r="J4273" t="s">
        <v>394</v>
      </c>
      <c r="K4273" t="s">
        <v>147</v>
      </c>
      <c r="L4273" t="s">
        <v>654</v>
      </c>
      <c r="M4273" t="s">
        <v>16</v>
      </c>
    </row>
    <row r="4274" spans="1:13">
      <c r="A4274" t="s">
        <v>851</v>
      </c>
      <c r="B4274" t="s">
        <v>687</v>
      </c>
      <c r="C4274" t="s">
        <v>687</v>
      </c>
      <c r="D4274" t="s">
        <v>3185</v>
      </c>
      <c r="E4274" t="s">
        <v>573</v>
      </c>
      <c r="F4274" t="s">
        <v>40</v>
      </c>
      <c r="G4274">
        <v>2045</v>
      </c>
      <c r="H4274" s="12">
        <v>1108</v>
      </c>
      <c r="I4274" t="s">
        <v>3183</v>
      </c>
      <c r="J4274" t="s">
        <v>394</v>
      </c>
      <c r="K4274" t="s">
        <v>147</v>
      </c>
      <c r="L4274" t="s">
        <v>654</v>
      </c>
      <c r="M4274" t="s">
        <v>16</v>
      </c>
    </row>
    <row r="4275" spans="1:13">
      <c r="A4275" t="s">
        <v>851</v>
      </c>
      <c r="B4275" t="s">
        <v>687</v>
      </c>
      <c r="C4275" t="s">
        <v>687</v>
      </c>
      <c r="D4275" t="s">
        <v>3185</v>
      </c>
      <c r="E4275" t="s">
        <v>573</v>
      </c>
      <c r="F4275" t="s">
        <v>40</v>
      </c>
      <c r="G4275">
        <v>2050</v>
      </c>
      <c r="H4275" s="12">
        <v>956</v>
      </c>
      <c r="I4275" t="s">
        <v>3183</v>
      </c>
      <c r="J4275" t="s">
        <v>394</v>
      </c>
      <c r="K4275" t="s">
        <v>147</v>
      </c>
      <c r="L4275" t="s">
        <v>654</v>
      </c>
      <c r="M4275" t="s">
        <v>16</v>
      </c>
    </row>
    <row r="4276" spans="1:13">
      <c r="A4276" t="s">
        <v>851</v>
      </c>
      <c r="B4276" t="s">
        <v>686</v>
      </c>
      <c r="C4276" t="s">
        <v>686</v>
      </c>
      <c r="D4276" t="s">
        <v>3185</v>
      </c>
      <c r="E4276" t="s">
        <v>573</v>
      </c>
      <c r="F4276" t="s">
        <v>40</v>
      </c>
      <c r="G4276">
        <v>2010</v>
      </c>
      <c r="H4276" s="12">
        <v>5</v>
      </c>
      <c r="I4276" t="s">
        <v>3183</v>
      </c>
      <c r="J4276" t="s">
        <v>5</v>
      </c>
      <c r="K4276" t="s">
        <v>147</v>
      </c>
      <c r="L4276" t="s">
        <v>654</v>
      </c>
      <c r="M4276" t="s">
        <v>5</v>
      </c>
    </row>
    <row r="4277" spans="1:13">
      <c r="A4277" t="s">
        <v>851</v>
      </c>
      <c r="B4277" t="s">
        <v>686</v>
      </c>
      <c r="C4277" t="s">
        <v>686</v>
      </c>
      <c r="D4277" t="s">
        <v>3185</v>
      </c>
      <c r="E4277" t="s">
        <v>573</v>
      </c>
      <c r="F4277" t="s">
        <v>40</v>
      </c>
      <c r="G4277">
        <v>2015</v>
      </c>
      <c r="H4277" s="12">
        <v>7</v>
      </c>
      <c r="I4277" t="s">
        <v>3183</v>
      </c>
      <c r="J4277" t="s">
        <v>5</v>
      </c>
      <c r="K4277" t="s">
        <v>147</v>
      </c>
      <c r="L4277" t="s">
        <v>654</v>
      </c>
      <c r="M4277" t="s">
        <v>5</v>
      </c>
    </row>
    <row r="4278" spans="1:13">
      <c r="A4278" t="s">
        <v>851</v>
      </c>
      <c r="B4278" t="s">
        <v>686</v>
      </c>
      <c r="C4278" t="s">
        <v>686</v>
      </c>
      <c r="D4278" t="s">
        <v>3185</v>
      </c>
      <c r="E4278" t="s">
        <v>573</v>
      </c>
      <c r="F4278" t="s">
        <v>40</v>
      </c>
      <c r="G4278">
        <v>2020</v>
      </c>
      <c r="H4278" s="12">
        <v>11</v>
      </c>
      <c r="I4278" t="s">
        <v>3183</v>
      </c>
      <c r="J4278" t="s">
        <v>5</v>
      </c>
      <c r="K4278" t="s">
        <v>147</v>
      </c>
      <c r="L4278" t="s">
        <v>654</v>
      </c>
      <c r="M4278" t="s">
        <v>5</v>
      </c>
    </row>
    <row r="4279" spans="1:13">
      <c r="A4279" t="s">
        <v>851</v>
      </c>
      <c r="B4279" t="s">
        <v>686</v>
      </c>
      <c r="C4279" t="s">
        <v>686</v>
      </c>
      <c r="D4279" t="s">
        <v>3185</v>
      </c>
      <c r="E4279" t="s">
        <v>573</v>
      </c>
      <c r="F4279" t="s">
        <v>40</v>
      </c>
      <c r="G4279">
        <v>2030</v>
      </c>
      <c r="H4279" s="12">
        <v>32</v>
      </c>
      <c r="I4279" t="s">
        <v>3183</v>
      </c>
      <c r="J4279" t="s">
        <v>5</v>
      </c>
      <c r="K4279" t="s">
        <v>147</v>
      </c>
      <c r="L4279" t="s">
        <v>654</v>
      </c>
      <c r="M4279" t="s">
        <v>5</v>
      </c>
    </row>
    <row r="4280" spans="1:13">
      <c r="A4280" t="s">
        <v>851</v>
      </c>
      <c r="B4280" t="s">
        <v>686</v>
      </c>
      <c r="C4280" t="s">
        <v>686</v>
      </c>
      <c r="D4280" t="s">
        <v>3185</v>
      </c>
      <c r="E4280" t="s">
        <v>573</v>
      </c>
      <c r="F4280" t="s">
        <v>40</v>
      </c>
      <c r="G4280">
        <v>2035</v>
      </c>
      <c r="H4280" s="12">
        <v>52</v>
      </c>
      <c r="I4280" t="s">
        <v>3183</v>
      </c>
      <c r="J4280" t="s">
        <v>5</v>
      </c>
      <c r="K4280" t="s">
        <v>147</v>
      </c>
      <c r="L4280" t="s">
        <v>654</v>
      </c>
      <c r="M4280" t="s">
        <v>5</v>
      </c>
    </row>
    <row r="4281" spans="1:13">
      <c r="A4281" t="s">
        <v>851</v>
      </c>
      <c r="B4281" t="s">
        <v>686</v>
      </c>
      <c r="C4281" t="s">
        <v>686</v>
      </c>
      <c r="D4281" t="s">
        <v>3185</v>
      </c>
      <c r="E4281" t="s">
        <v>573</v>
      </c>
      <c r="F4281" t="s">
        <v>40</v>
      </c>
      <c r="G4281">
        <v>2040</v>
      </c>
      <c r="H4281" s="12">
        <v>76</v>
      </c>
      <c r="I4281" t="s">
        <v>3183</v>
      </c>
      <c r="J4281" t="s">
        <v>5</v>
      </c>
      <c r="K4281" t="s">
        <v>147</v>
      </c>
      <c r="L4281" t="s">
        <v>654</v>
      </c>
      <c r="M4281" t="s">
        <v>5</v>
      </c>
    </row>
    <row r="4282" spans="1:13">
      <c r="A4282" t="s">
        <v>851</v>
      </c>
      <c r="B4282" t="s">
        <v>686</v>
      </c>
      <c r="C4282" t="s">
        <v>686</v>
      </c>
      <c r="D4282" t="s">
        <v>3185</v>
      </c>
      <c r="E4282" t="s">
        <v>573</v>
      </c>
      <c r="F4282" t="s">
        <v>40</v>
      </c>
      <c r="G4282">
        <v>2045</v>
      </c>
      <c r="H4282" s="12">
        <v>101</v>
      </c>
      <c r="I4282" t="s">
        <v>3183</v>
      </c>
      <c r="J4282" t="s">
        <v>5</v>
      </c>
      <c r="K4282" t="s">
        <v>147</v>
      </c>
      <c r="L4282" t="s">
        <v>654</v>
      </c>
      <c r="M4282" t="s">
        <v>5</v>
      </c>
    </row>
    <row r="4283" spans="1:13">
      <c r="A4283" t="s">
        <v>851</v>
      </c>
      <c r="B4283" t="s">
        <v>686</v>
      </c>
      <c r="C4283" t="s">
        <v>686</v>
      </c>
      <c r="D4283" t="s">
        <v>3185</v>
      </c>
      <c r="E4283" t="s">
        <v>573</v>
      </c>
      <c r="F4283" t="s">
        <v>40</v>
      </c>
      <c r="G4283">
        <v>2050</v>
      </c>
      <c r="H4283" s="12">
        <v>129</v>
      </c>
      <c r="I4283" t="s">
        <v>3183</v>
      </c>
      <c r="J4283" t="s">
        <v>5</v>
      </c>
      <c r="K4283" t="s">
        <v>147</v>
      </c>
      <c r="L4283" t="s">
        <v>654</v>
      </c>
      <c r="M4283" t="s">
        <v>5</v>
      </c>
    </row>
    <row r="4284" spans="1:13">
      <c r="A4284" t="s">
        <v>851</v>
      </c>
      <c r="B4284" t="s">
        <v>687</v>
      </c>
      <c r="C4284" t="s">
        <v>687</v>
      </c>
      <c r="D4284" t="s">
        <v>3185</v>
      </c>
      <c r="E4284" t="s">
        <v>573</v>
      </c>
      <c r="F4284" t="s">
        <v>40</v>
      </c>
      <c r="G4284">
        <v>2030</v>
      </c>
      <c r="H4284" s="12">
        <v>29</v>
      </c>
      <c r="I4284" t="s">
        <v>3183</v>
      </c>
      <c r="J4284" t="s">
        <v>5</v>
      </c>
      <c r="K4284" t="s">
        <v>147</v>
      </c>
      <c r="L4284" t="s">
        <v>654</v>
      </c>
      <c r="M4284" t="s">
        <v>5</v>
      </c>
    </row>
    <row r="4285" spans="1:13">
      <c r="A4285" t="s">
        <v>851</v>
      </c>
      <c r="B4285" t="s">
        <v>687</v>
      </c>
      <c r="C4285" t="s">
        <v>687</v>
      </c>
      <c r="D4285" t="s">
        <v>3185</v>
      </c>
      <c r="E4285" t="s">
        <v>573</v>
      </c>
      <c r="F4285" t="s">
        <v>40</v>
      </c>
      <c r="G4285">
        <v>2035</v>
      </c>
      <c r="H4285" s="12">
        <v>53</v>
      </c>
      <c r="I4285" t="s">
        <v>3183</v>
      </c>
      <c r="J4285" t="s">
        <v>5</v>
      </c>
      <c r="K4285" t="s">
        <v>147</v>
      </c>
      <c r="L4285" t="s">
        <v>654</v>
      </c>
      <c r="M4285" t="s">
        <v>5</v>
      </c>
    </row>
    <row r="4286" spans="1:13">
      <c r="A4286" t="s">
        <v>851</v>
      </c>
      <c r="B4286" t="s">
        <v>687</v>
      </c>
      <c r="C4286" t="s">
        <v>687</v>
      </c>
      <c r="D4286" t="s">
        <v>3185</v>
      </c>
      <c r="E4286" t="s">
        <v>573</v>
      </c>
      <c r="F4286" t="s">
        <v>40</v>
      </c>
      <c r="G4286">
        <v>2040</v>
      </c>
      <c r="H4286" s="12">
        <v>76</v>
      </c>
      <c r="I4286" t="s">
        <v>3183</v>
      </c>
      <c r="J4286" t="s">
        <v>5</v>
      </c>
      <c r="K4286" t="s">
        <v>147</v>
      </c>
      <c r="L4286" t="s">
        <v>654</v>
      </c>
      <c r="M4286" t="s">
        <v>5</v>
      </c>
    </row>
    <row r="4287" spans="1:13">
      <c r="A4287" t="s">
        <v>851</v>
      </c>
      <c r="B4287" t="s">
        <v>686</v>
      </c>
      <c r="C4287" t="s">
        <v>686</v>
      </c>
      <c r="D4287" t="s">
        <v>3185</v>
      </c>
      <c r="E4287" t="s">
        <v>660</v>
      </c>
      <c r="F4287" t="s">
        <v>40</v>
      </c>
      <c r="G4287">
        <v>2010</v>
      </c>
      <c r="H4287" s="12">
        <v>6</v>
      </c>
      <c r="I4287" t="s">
        <v>3183</v>
      </c>
      <c r="J4287" t="s">
        <v>17</v>
      </c>
      <c r="K4287" t="s">
        <v>657</v>
      </c>
      <c r="L4287" t="s">
        <v>654</v>
      </c>
      <c r="M4287" t="s">
        <v>17</v>
      </c>
    </row>
    <row r="4288" spans="1:13">
      <c r="A4288" t="s">
        <v>851</v>
      </c>
      <c r="B4288" t="s">
        <v>686</v>
      </c>
      <c r="C4288" t="s">
        <v>686</v>
      </c>
      <c r="D4288" t="s">
        <v>3185</v>
      </c>
      <c r="E4288" t="s">
        <v>660</v>
      </c>
      <c r="F4288" t="s">
        <v>40</v>
      </c>
      <c r="G4288">
        <v>2015</v>
      </c>
      <c r="H4288" s="12">
        <v>12</v>
      </c>
      <c r="I4288" t="s">
        <v>3183</v>
      </c>
      <c r="J4288" t="s">
        <v>17</v>
      </c>
      <c r="K4288" t="s">
        <v>657</v>
      </c>
      <c r="L4288" t="s">
        <v>654</v>
      </c>
      <c r="M4288" t="s">
        <v>17</v>
      </c>
    </row>
    <row r="4289" spans="1:13">
      <c r="A4289" t="s">
        <v>851</v>
      </c>
      <c r="B4289" t="s">
        <v>686</v>
      </c>
      <c r="C4289" t="s">
        <v>686</v>
      </c>
      <c r="D4289" t="s">
        <v>3185</v>
      </c>
      <c r="E4289" t="s">
        <v>660</v>
      </c>
      <c r="F4289" t="s">
        <v>40</v>
      </c>
      <c r="G4289">
        <v>2020</v>
      </c>
      <c r="H4289" s="12">
        <v>59</v>
      </c>
      <c r="I4289" t="s">
        <v>3183</v>
      </c>
      <c r="J4289" t="s">
        <v>17</v>
      </c>
      <c r="K4289" t="s">
        <v>657</v>
      </c>
      <c r="L4289" t="s">
        <v>654</v>
      </c>
      <c r="M4289" t="s">
        <v>17</v>
      </c>
    </row>
    <row r="4290" spans="1:13">
      <c r="A4290" t="s">
        <v>851</v>
      </c>
      <c r="B4290" t="s">
        <v>686</v>
      </c>
      <c r="C4290" t="s">
        <v>686</v>
      </c>
      <c r="D4290" t="s">
        <v>3185</v>
      </c>
      <c r="E4290" t="s">
        <v>660</v>
      </c>
      <c r="F4290" t="s">
        <v>40</v>
      </c>
      <c r="G4290">
        <v>2030</v>
      </c>
      <c r="H4290" s="12">
        <v>635</v>
      </c>
      <c r="I4290" t="s">
        <v>3183</v>
      </c>
      <c r="J4290" t="s">
        <v>17</v>
      </c>
      <c r="K4290" t="s">
        <v>657</v>
      </c>
      <c r="L4290" t="s">
        <v>654</v>
      </c>
      <c r="M4290" t="s">
        <v>17</v>
      </c>
    </row>
    <row r="4291" spans="1:13">
      <c r="A4291" t="s">
        <v>851</v>
      </c>
      <c r="B4291" t="s">
        <v>686</v>
      </c>
      <c r="C4291" t="s">
        <v>686</v>
      </c>
      <c r="D4291" t="s">
        <v>3185</v>
      </c>
      <c r="E4291" t="s">
        <v>660</v>
      </c>
      <c r="F4291" t="s">
        <v>40</v>
      </c>
      <c r="G4291">
        <v>2035</v>
      </c>
      <c r="H4291" s="12">
        <v>1220</v>
      </c>
      <c r="I4291" t="s">
        <v>3183</v>
      </c>
      <c r="J4291" t="s">
        <v>17</v>
      </c>
      <c r="K4291" t="s">
        <v>657</v>
      </c>
      <c r="L4291" t="s">
        <v>654</v>
      </c>
      <c r="M4291" t="s">
        <v>17</v>
      </c>
    </row>
    <row r="4292" spans="1:13">
      <c r="A4292" t="s">
        <v>851</v>
      </c>
      <c r="B4292" t="s">
        <v>686</v>
      </c>
      <c r="C4292" t="s">
        <v>686</v>
      </c>
      <c r="D4292" t="s">
        <v>3185</v>
      </c>
      <c r="E4292" t="s">
        <v>660</v>
      </c>
      <c r="F4292" t="s">
        <v>40</v>
      </c>
      <c r="G4292">
        <v>2040</v>
      </c>
      <c r="H4292" s="12">
        <v>1856</v>
      </c>
      <c r="I4292" t="s">
        <v>3183</v>
      </c>
      <c r="J4292" t="s">
        <v>17</v>
      </c>
      <c r="K4292" t="s">
        <v>657</v>
      </c>
      <c r="L4292" t="s">
        <v>654</v>
      </c>
      <c r="M4292" t="s">
        <v>17</v>
      </c>
    </row>
    <row r="4293" spans="1:13">
      <c r="A4293" t="s">
        <v>851</v>
      </c>
      <c r="B4293" t="s">
        <v>686</v>
      </c>
      <c r="C4293" t="s">
        <v>686</v>
      </c>
      <c r="D4293" t="s">
        <v>3185</v>
      </c>
      <c r="E4293" t="s">
        <v>660</v>
      </c>
      <c r="F4293" t="s">
        <v>40</v>
      </c>
      <c r="G4293">
        <v>2045</v>
      </c>
      <c r="H4293" s="12">
        <v>2575</v>
      </c>
      <c r="I4293" t="s">
        <v>3183</v>
      </c>
      <c r="J4293" t="s">
        <v>17</v>
      </c>
      <c r="K4293" t="s">
        <v>657</v>
      </c>
      <c r="L4293" t="s">
        <v>654</v>
      </c>
      <c r="M4293" t="s">
        <v>17</v>
      </c>
    </row>
    <row r="4294" spans="1:13">
      <c r="A4294" t="s">
        <v>851</v>
      </c>
      <c r="B4294" t="s">
        <v>686</v>
      </c>
      <c r="C4294" t="s">
        <v>686</v>
      </c>
      <c r="D4294" t="s">
        <v>3185</v>
      </c>
      <c r="E4294" t="s">
        <v>660</v>
      </c>
      <c r="F4294" t="s">
        <v>40</v>
      </c>
      <c r="G4294">
        <v>2050</v>
      </c>
      <c r="H4294" s="12">
        <v>3395</v>
      </c>
      <c r="I4294" t="s">
        <v>3183</v>
      </c>
      <c r="J4294" t="s">
        <v>17</v>
      </c>
      <c r="K4294" t="s">
        <v>657</v>
      </c>
      <c r="L4294" t="s">
        <v>654</v>
      </c>
      <c r="M4294" t="s">
        <v>17</v>
      </c>
    </row>
    <row r="4295" spans="1:13">
      <c r="A4295" t="s">
        <v>851</v>
      </c>
      <c r="B4295" t="s">
        <v>687</v>
      </c>
      <c r="C4295" t="s">
        <v>687</v>
      </c>
      <c r="D4295" t="s">
        <v>3185</v>
      </c>
      <c r="E4295" t="s">
        <v>660</v>
      </c>
      <c r="F4295" t="s">
        <v>40</v>
      </c>
      <c r="G4295">
        <v>2030</v>
      </c>
      <c r="H4295" s="12">
        <v>1361</v>
      </c>
      <c r="I4295" t="s">
        <v>3183</v>
      </c>
      <c r="J4295" t="s">
        <v>17</v>
      </c>
      <c r="K4295" t="s">
        <v>657</v>
      </c>
      <c r="L4295" t="s">
        <v>654</v>
      </c>
      <c r="M4295" t="s">
        <v>17</v>
      </c>
    </row>
    <row r="4296" spans="1:13">
      <c r="A4296" t="s">
        <v>851</v>
      </c>
      <c r="B4296" t="s">
        <v>687</v>
      </c>
      <c r="C4296" t="s">
        <v>687</v>
      </c>
      <c r="D4296" t="s">
        <v>3185</v>
      </c>
      <c r="E4296" t="s">
        <v>660</v>
      </c>
      <c r="F4296" t="s">
        <v>40</v>
      </c>
      <c r="G4296">
        <v>2035</v>
      </c>
      <c r="H4296" s="12">
        <v>2841</v>
      </c>
      <c r="I4296" t="s">
        <v>3183</v>
      </c>
      <c r="J4296" t="s">
        <v>17</v>
      </c>
      <c r="K4296" t="s">
        <v>657</v>
      </c>
      <c r="L4296" t="s">
        <v>654</v>
      </c>
      <c r="M4296" t="s">
        <v>17</v>
      </c>
    </row>
    <row r="4297" spans="1:13">
      <c r="A4297" t="s">
        <v>851</v>
      </c>
      <c r="B4297" t="s">
        <v>687</v>
      </c>
      <c r="C4297" t="s">
        <v>687</v>
      </c>
      <c r="D4297" t="s">
        <v>3185</v>
      </c>
      <c r="E4297" t="s">
        <v>660</v>
      </c>
      <c r="F4297" t="s">
        <v>40</v>
      </c>
      <c r="G4297">
        <v>2040</v>
      </c>
      <c r="H4297" s="12">
        <v>4391</v>
      </c>
      <c r="I4297" t="s">
        <v>3183</v>
      </c>
      <c r="J4297" t="s">
        <v>17</v>
      </c>
      <c r="K4297" t="s">
        <v>657</v>
      </c>
      <c r="L4297" t="s">
        <v>654</v>
      </c>
      <c r="M4297" t="s">
        <v>17</v>
      </c>
    </row>
    <row r="4298" spans="1:13">
      <c r="A4298" t="s">
        <v>851</v>
      </c>
      <c r="B4298" t="s">
        <v>687</v>
      </c>
      <c r="C4298" t="s">
        <v>687</v>
      </c>
      <c r="D4298" t="s">
        <v>3185</v>
      </c>
      <c r="E4298" t="s">
        <v>660</v>
      </c>
      <c r="F4298" t="s">
        <v>40</v>
      </c>
      <c r="G4298">
        <v>2045</v>
      </c>
      <c r="H4298" s="12">
        <v>6318</v>
      </c>
      <c r="I4298" t="s">
        <v>3183</v>
      </c>
      <c r="J4298" t="s">
        <v>17</v>
      </c>
      <c r="K4298" t="s">
        <v>657</v>
      </c>
      <c r="L4298" t="s">
        <v>654</v>
      </c>
      <c r="M4298" t="s">
        <v>17</v>
      </c>
    </row>
    <row r="4299" spans="1:13">
      <c r="A4299" t="s">
        <v>851</v>
      </c>
      <c r="B4299" t="s">
        <v>687</v>
      </c>
      <c r="C4299" t="s">
        <v>687</v>
      </c>
      <c r="D4299" t="s">
        <v>3185</v>
      </c>
      <c r="E4299" t="s">
        <v>660</v>
      </c>
      <c r="F4299" t="s">
        <v>40</v>
      </c>
      <c r="G4299">
        <v>2050</v>
      </c>
      <c r="H4299" s="12">
        <v>8417</v>
      </c>
      <c r="I4299" t="s">
        <v>3183</v>
      </c>
      <c r="J4299" t="s">
        <v>17</v>
      </c>
      <c r="K4299" t="s">
        <v>657</v>
      </c>
      <c r="L4299" t="s">
        <v>654</v>
      </c>
      <c r="M4299" t="s">
        <v>17</v>
      </c>
    </row>
    <row r="4300" spans="1:13">
      <c r="A4300" t="s">
        <v>851</v>
      </c>
      <c r="B4300" t="s">
        <v>686</v>
      </c>
      <c r="C4300" t="s">
        <v>686</v>
      </c>
      <c r="D4300" t="s">
        <v>3185</v>
      </c>
      <c r="E4300" t="s">
        <v>660</v>
      </c>
      <c r="F4300" t="s">
        <v>40</v>
      </c>
      <c r="G4300">
        <v>2010</v>
      </c>
      <c r="H4300" s="12">
        <v>1</v>
      </c>
      <c r="I4300" t="s">
        <v>3183</v>
      </c>
      <c r="J4300" t="s">
        <v>18</v>
      </c>
      <c r="K4300" t="s">
        <v>657</v>
      </c>
      <c r="L4300" t="s">
        <v>654</v>
      </c>
      <c r="M4300" t="s">
        <v>18</v>
      </c>
    </row>
    <row r="4301" spans="1:13">
      <c r="A4301" t="s">
        <v>851</v>
      </c>
      <c r="B4301" t="s">
        <v>686</v>
      </c>
      <c r="C4301" t="s">
        <v>686</v>
      </c>
      <c r="D4301" t="s">
        <v>3185</v>
      </c>
      <c r="E4301" t="s">
        <v>660</v>
      </c>
      <c r="F4301" t="s">
        <v>40</v>
      </c>
      <c r="G4301">
        <v>2015</v>
      </c>
      <c r="H4301" s="12">
        <v>1</v>
      </c>
      <c r="I4301" t="s">
        <v>3183</v>
      </c>
      <c r="J4301" t="s">
        <v>18</v>
      </c>
      <c r="K4301" t="s">
        <v>657</v>
      </c>
      <c r="L4301" t="s">
        <v>654</v>
      </c>
      <c r="M4301" t="s">
        <v>18</v>
      </c>
    </row>
    <row r="4302" spans="1:13">
      <c r="A4302" t="s">
        <v>851</v>
      </c>
      <c r="B4302" t="s">
        <v>686</v>
      </c>
      <c r="C4302" t="s">
        <v>686</v>
      </c>
      <c r="D4302" t="s">
        <v>3185</v>
      </c>
      <c r="E4302" t="s">
        <v>660</v>
      </c>
      <c r="F4302" t="s">
        <v>40</v>
      </c>
      <c r="G4302">
        <v>2020</v>
      </c>
      <c r="H4302" s="12">
        <v>7</v>
      </c>
      <c r="I4302" t="s">
        <v>3183</v>
      </c>
      <c r="J4302" t="s">
        <v>18</v>
      </c>
      <c r="K4302" t="s">
        <v>657</v>
      </c>
      <c r="L4302" t="s">
        <v>654</v>
      </c>
      <c r="M4302" t="s">
        <v>18</v>
      </c>
    </row>
    <row r="4303" spans="1:13">
      <c r="A4303" t="s">
        <v>851</v>
      </c>
      <c r="B4303" t="s">
        <v>686</v>
      </c>
      <c r="C4303" t="s">
        <v>686</v>
      </c>
      <c r="D4303" t="s">
        <v>3185</v>
      </c>
      <c r="E4303" t="s">
        <v>660</v>
      </c>
      <c r="F4303" t="s">
        <v>40</v>
      </c>
      <c r="G4303">
        <v>2030</v>
      </c>
      <c r="H4303" s="12">
        <v>95</v>
      </c>
      <c r="I4303" t="s">
        <v>3183</v>
      </c>
      <c r="J4303" t="s">
        <v>18</v>
      </c>
      <c r="K4303" t="s">
        <v>657</v>
      </c>
      <c r="L4303" t="s">
        <v>654</v>
      </c>
      <c r="M4303" t="s">
        <v>18</v>
      </c>
    </row>
    <row r="4304" spans="1:13">
      <c r="A4304" t="s">
        <v>851</v>
      </c>
      <c r="B4304" t="s">
        <v>686</v>
      </c>
      <c r="C4304" t="s">
        <v>686</v>
      </c>
      <c r="D4304" t="s">
        <v>3185</v>
      </c>
      <c r="E4304" t="s">
        <v>660</v>
      </c>
      <c r="F4304" t="s">
        <v>40</v>
      </c>
      <c r="G4304">
        <v>2035</v>
      </c>
      <c r="H4304" s="12">
        <v>216</v>
      </c>
      <c r="I4304" t="s">
        <v>3183</v>
      </c>
      <c r="J4304" t="s">
        <v>18</v>
      </c>
      <c r="K4304" t="s">
        <v>657</v>
      </c>
      <c r="L4304" t="s">
        <v>654</v>
      </c>
      <c r="M4304" t="s">
        <v>18</v>
      </c>
    </row>
    <row r="4305" spans="1:13">
      <c r="A4305" t="s">
        <v>851</v>
      </c>
      <c r="B4305" t="s">
        <v>686</v>
      </c>
      <c r="C4305" t="s">
        <v>686</v>
      </c>
      <c r="D4305" t="s">
        <v>3185</v>
      </c>
      <c r="E4305" t="s">
        <v>660</v>
      </c>
      <c r="F4305" t="s">
        <v>40</v>
      </c>
      <c r="G4305">
        <v>2040</v>
      </c>
      <c r="H4305" s="12">
        <v>390</v>
      </c>
      <c r="I4305" t="s">
        <v>3183</v>
      </c>
      <c r="J4305" t="s">
        <v>18</v>
      </c>
      <c r="K4305" t="s">
        <v>657</v>
      </c>
      <c r="L4305" t="s">
        <v>654</v>
      </c>
      <c r="M4305" t="s">
        <v>18</v>
      </c>
    </row>
    <row r="4306" spans="1:13">
      <c r="A4306" t="s">
        <v>851</v>
      </c>
      <c r="B4306" t="s">
        <v>686</v>
      </c>
      <c r="C4306" t="s">
        <v>686</v>
      </c>
      <c r="D4306" t="s">
        <v>3185</v>
      </c>
      <c r="E4306" t="s">
        <v>660</v>
      </c>
      <c r="F4306" t="s">
        <v>40</v>
      </c>
      <c r="G4306">
        <v>2045</v>
      </c>
      <c r="H4306" s="12">
        <v>607</v>
      </c>
      <c r="I4306" t="s">
        <v>3183</v>
      </c>
      <c r="J4306" t="s">
        <v>18</v>
      </c>
      <c r="K4306" t="s">
        <v>657</v>
      </c>
      <c r="L4306" t="s">
        <v>654</v>
      </c>
      <c r="M4306" t="s">
        <v>18</v>
      </c>
    </row>
    <row r="4307" spans="1:13">
      <c r="A4307" t="s">
        <v>851</v>
      </c>
      <c r="B4307" t="s">
        <v>686</v>
      </c>
      <c r="C4307" t="s">
        <v>686</v>
      </c>
      <c r="D4307" t="s">
        <v>3185</v>
      </c>
      <c r="E4307" t="s">
        <v>660</v>
      </c>
      <c r="F4307" t="s">
        <v>40</v>
      </c>
      <c r="G4307">
        <v>2050</v>
      </c>
      <c r="H4307" s="12">
        <v>885</v>
      </c>
      <c r="I4307" t="s">
        <v>3183</v>
      </c>
      <c r="J4307" t="s">
        <v>18</v>
      </c>
      <c r="K4307" t="s">
        <v>657</v>
      </c>
      <c r="L4307" t="s">
        <v>654</v>
      </c>
      <c r="M4307" t="s">
        <v>18</v>
      </c>
    </row>
    <row r="4308" spans="1:13">
      <c r="A4308" t="s">
        <v>851</v>
      </c>
      <c r="B4308" t="s">
        <v>687</v>
      </c>
      <c r="C4308" t="s">
        <v>687</v>
      </c>
      <c r="D4308" t="s">
        <v>3185</v>
      </c>
      <c r="E4308" t="s">
        <v>660</v>
      </c>
      <c r="F4308" t="s">
        <v>40</v>
      </c>
      <c r="G4308">
        <v>2030</v>
      </c>
      <c r="H4308" s="12">
        <v>207</v>
      </c>
      <c r="I4308" t="s">
        <v>3183</v>
      </c>
      <c r="J4308" t="s">
        <v>18</v>
      </c>
      <c r="K4308" t="s">
        <v>657</v>
      </c>
      <c r="L4308" t="s">
        <v>654</v>
      </c>
      <c r="M4308" t="s">
        <v>18</v>
      </c>
    </row>
    <row r="4309" spans="1:13">
      <c r="A4309" t="s">
        <v>851</v>
      </c>
      <c r="B4309" t="s">
        <v>687</v>
      </c>
      <c r="C4309" t="s">
        <v>687</v>
      </c>
      <c r="D4309" t="s">
        <v>3185</v>
      </c>
      <c r="E4309" t="s">
        <v>660</v>
      </c>
      <c r="F4309" t="s">
        <v>40</v>
      </c>
      <c r="G4309">
        <v>2035</v>
      </c>
      <c r="H4309" s="12">
        <v>546</v>
      </c>
      <c r="I4309" t="s">
        <v>3183</v>
      </c>
      <c r="J4309" t="s">
        <v>18</v>
      </c>
      <c r="K4309" t="s">
        <v>657</v>
      </c>
      <c r="L4309" t="s">
        <v>654</v>
      </c>
      <c r="M4309" t="s">
        <v>18</v>
      </c>
    </row>
    <row r="4310" spans="1:13">
      <c r="A4310" t="s">
        <v>851</v>
      </c>
      <c r="B4310" t="s">
        <v>687</v>
      </c>
      <c r="C4310" t="s">
        <v>687</v>
      </c>
      <c r="D4310" t="s">
        <v>3185</v>
      </c>
      <c r="E4310" t="s">
        <v>660</v>
      </c>
      <c r="F4310" t="s">
        <v>40</v>
      </c>
      <c r="G4310">
        <v>2040</v>
      </c>
      <c r="H4310" s="12">
        <v>1010</v>
      </c>
      <c r="I4310" t="s">
        <v>3183</v>
      </c>
      <c r="J4310" t="s">
        <v>18</v>
      </c>
      <c r="K4310" t="s">
        <v>657</v>
      </c>
      <c r="L4310" t="s">
        <v>654</v>
      </c>
      <c r="M4310" t="s">
        <v>18</v>
      </c>
    </row>
    <row r="4311" spans="1:13">
      <c r="A4311" t="s">
        <v>851</v>
      </c>
      <c r="B4311" t="s">
        <v>687</v>
      </c>
      <c r="C4311" t="s">
        <v>687</v>
      </c>
      <c r="D4311" t="s">
        <v>3185</v>
      </c>
      <c r="E4311" t="s">
        <v>660</v>
      </c>
      <c r="F4311" t="s">
        <v>40</v>
      </c>
      <c r="G4311">
        <v>2045</v>
      </c>
      <c r="H4311" s="12">
        <v>1687</v>
      </c>
      <c r="I4311" t="s">
        <v>3183</v>
      </c>
      <c r="J4311" t="s">
        <v>18</v>
      </c>
      <c r="K4311" t="s">
        <v>657</v>
      </c>
      <c r="L4311" t="s">
        <v>654</v>
      </c>
      <c r="M4311" t="s">
        <v>18</v>
      </c>
    </row>
    <row r="4312" spans="1:13">
      <c r="A4312" t="s">
        <v>851</v>
      </c>
      <c r="B4312" t="s">
        <v>687</v>
      </c>
      <c r="C4312" t="s">
        <v>687</v>
      </c>
      <c r="D4312" t="s">
        <v>3185</v>
      </c>
      <c r="E4312" t="s">
        <v>660</v>
      </c>
      <c r="F4312" t="s">
        <v>40</v>
      </c>
      <c r="G4312">
        <v>2050</v>
      </c>
      <c r="H4312" s="12">
        <v>2535</v>
      </c>
      <c r="I4312" t="s">
        <v>3183</v>
      </c>
      <c r="J4312" t="s">
        <v>18</v>
      </c>
      <c r="K4312" t="s">
        <v>657</v>
      </c>
      <c r="L4312" t="s">
        <v>654</v>
      </c>
      <c r="M4312" t="s">
        <v>18</v>
      </c>
    </row>
    <row r="4313" spans="1:13">
      <c r="A4313" t="s">
        <v>851</v>
      </c>
      <c r="B4313" t="s">
        <v>686</v>
      </c>
      <c r="C4313" t="s">
        <v>686</v>
      </c>
      <c r="D4313" t="s">
        <v>3185</v>
      </c>
      <c r="E4313" t="s">
        <v>660</v>
      </c>
      <c r="F4313" t="s">
        <v>40</v>
      </c>
      <c r="G4313">
        <v>2010</v>
      </c>
      <c r="H4313" s="12">
        <v>64</v>
      </c>
      <c r="I4313" t="s">
        <v>3183</v>
      </c>
      <c r="J4313" t="s">
        <v>14</v>
      </c>
      <c r="K4313" t="s">
        <v>657</v>
      </c>
      <c r="L4313" t="s">
        <v>654</v>
      </c>
      <c r="M4313" t="s">
        <v>14</v>
      </c>
    </row>
    <row r="4314" spans="1:13">
      <c r="A4314" t="s">
        <v>851</v>
      </c>
      <c r="B4314" t="s">
        <v>686</v>
      </c>
      <c r="C4314" t="s">
        <v>686</v>
      </c>
      <c r="D4314" t="s">
        <v>3185</v>
      </c>
      <c r="E4314" t="s">
        <v>660</v>
      </c>
      <c r="F4314" t="s">
        <v>40</v>
      </c>
      <c r="G4314">
        <v>2015</v>
      </c>
      <c r="H4314" s="12">
        <v>63</v>
      </c>
      <c r="I4314" t="s">
        <v>3183</v>
      </c>
      <c r="J4314" t="s">
        <v>14</v>
      </c>
      <c r="K4314" t="s">
        <v>657</v>
      </c>
      <c r="L4314" t="s">
        <v>654</v>
      </c>
      <c r="M4314" t="s">
        <v>14</v>
      </c>
    </row>
    <row r="4315" spans="1:13">
      <c r="A4315" t="s">
        <v>851</v>
      </c>
      <c r="B4315" t="s">
        <v>686</v>
      </c>
      <c r="C4315" t="s">
        <v>686</v>
      </c>
      <c r="D4315" t="s">
        <v>3185</v>
      </c>
      <c r="E4315" t="s">
        <v>660</v>
      </c>
      <c r="F4315" t="s">
        <v>40</v>
      </c>
      <c r="G4315">
        <v>2020</v>
      </c>
      <c r="H4315" s="12">
        <v>81</v>
      </c>
      <c r="I4315" t="s">
        <v>3183</v>
      </c>
      <c r="J4315" t="s">
        <v>14</v>
      </c>
      <c r="K4315" t="s">
        <v>657</v>
      </c>
      <c r="L4315" t="s">
        <v>654</v>
      </c>
      <c r="M4315" t="s">
        <v>14</v>
      </c>
    </row>
    <row r="4316" spans="1:13">
      <c r="A4316" t="s">
        <v>851</v>
      </c>
      <c r="B4316" t="s">
        <v>686</v>
      </c>
      <c r="C4316" t="s">
        <v>686</v>
      </c>
      <c r="D4316" t="s">
        <v>3185</v>
      </c>
      <c r="E4316" t="s">
        <v>660</v>
      </c>
      <c r="F4316" t="s">
        <v>40</v>
      </c>
      <c r="G4316">
        <v>2050</v>
      </c>
      <c r="H4316" s="12">
        <v>743</v>
      </c>
      <c r="I4316" t="s">
        <v>3183</v>
      </c>
      <c r="J4316" t="s">
        <v>41</v>
      </c>
      <c r="K4316" t="s">
        <v>657</v>
      </c>
      <c r="L4316" t="s">
        <v>654</v>
      </c>
      <c r="M4316" t="s">
        <v>662</v>
      </c>
    </row>
    <row r="4317" spans="1:13">
      <c r="A4317" t="s">
        <v>851</v>
      </c>
      <c r="B4317" t="s">
        <v>687</v>
      </c>
      <c r="C4317" t="s">
        <v>687</v>
      </c>
      <c r="D4317" t="s">
        <v>3185</v>
      </c>
      <c r="E4317" t="s">
        <v>660</v>
      </c>
      <c r="F4317" t="s">
        <v>40</v>
      </c>
      <c r="G4317">
        <v>2030</v>
      </c>
      <c r="H4317" s="12">
        <v>289</v>
      </c>
      <c r="I4317" t="s">
        <v>3183</v>
      </c>
      <c r="J4317" t="s">
        <v>41</v>
      </c>
      <c r="K4317" t="s">
        <v>657</v>
      </c>
      <c r="L4317" t="s">
        <v>654</v>
      </c>
      <c r="M4317" t="s">
        <v>662</v>
      </c>
    </row>
    <row r="4318" spans="1:13">
      <c r="A4318" t="s">
        <v>851</v>
      </c>
      <c r="B4318" t="s">
        <v>687</v>
      </c>
      <c r="C4318" t="s">
        <v>687</v>
      </c>
      <c r="D4318" t="s">
        <v>3185</v>
      </c>
      <c r="E4318" t="s">
        <v>660</v>
      </c>
      <c r="F4318" t="s">
        <v>40</v>
      </c>
      <c r="G4318">
        <v>2035</v>
      </c>
      <c r="H4318" s="12">
        <v>504</v>
      </c>
      <c r="I4318" t="s">
        <v>3183</v>
      </c>
      <c r="J4318" t="s">
        <v>41</v>
      </c>
      <c r="K4318" t="s">
        <v>657</v>
      </c>
      <c r="L4318" t="s">
        <v>654</v>
      </c>
      <c r="M4318" t="s">
        <v>662</v>
      </c>
    </row>
    <row r="4319" spans="1:13">
      <c r="A4319" t="s">
        <v>851</v>
      </c>
      <c r="B4319" t="s">
        <v>687</v>
      </c>
      <c r="C4319" t="s">
        <v>687</v>
      </c>
      <c r="D4319" t="s">
        <v>3185</v>
      </c>
      <c r="E4319" t="s">
        <v>660</v>
      </c>
      <c r="F4319" t="s">
        <v>40</v>
      </c>
      <c r="G4319">
        <v>2040</v>
      </c>
      <c r="H4319" s="12">
        <v>674</v>
      </c>
      <c r="I4319" t="s">
        <v>3183</v>
      </c>
      <c r="J4319" t="s">
        <v>41</v>
      </c>
      <c r="K4319" t="s">
        <v>657</v>
      </c>
      <c r="L4319" t="s">
        <v>654</v>
      </c>
      <c r="M4319" t="s">
        <v>662</v>
      </c>
    </row>
    <row r="4320" spans="1:13">
      <c r="A4320" t="s">
        <v>851</v>
      </c>
      <c r="B4320" t="s">
        <v>687</v>
      </c>
      <c r="C4320" t="s">
        <v>687</v>
      </c>
      <c r="D4320" t="s">
        <v>3185</v>
      </c>
      <c r="E4320" t="s">
        <v>660</v>
      </c>
      <c r="F4320" t="s">
        <v>40</v>
      </c>
      <c r="G4320">
        <v>2045</v>
      </c>
      <c r="H4320" s="12">
        <v>859</v>
      </c>
      <c r="I4320" t="s">
        <v>3183</v>
      </c>
      <c r="J4320" t="s">
        <v>41</v>
      </c>
      <c r="K4320" t="s">
        <v>657</v>
      </c>
      <c r="L4320" t="s">
        <v>654</v>
      </c>
      <c r="M4320" t="s">
        <v>662</v>
      </c>
    </row>
    <row r="4321" spans="1:13">
      <c r="A4321" t="s">
        <v>851</v>
      </c>
      <c r="B4321" t="s">
        <v>687</v>
      </c>
      <c r="C4321" t="s">
        <v>687</v>
      </c>
      <c r="D4321" t="s">
        <v>3185</v>
      </c>
      <c r="E4321" t="s">
        <v>660</v>
      </c>
      <c r="F4321" t="s">
        <v>40</v>
      </c>
      <c r="G4321">
        <v>2050</v>
      </c>
      <c r="H4321" s="12">
        <v>1046</v>
      </c>
      <c r="I4321" t="s">
        <v>3183</v>
      </c>
      <c r="J4321" t="s">
        <v>41</v>
      </c>
      <c r="K4321" t="s">
        <v>657</v>
      </c>
      <c r="L4321" t="s">
        <v>654</v>
      </c>
      <c r="M4321" t="s">
        <v>662</v>
      </c>
    </row>
    <row r="4322" spans="1:13">
      <c r="A4322" t="s">
        <v>851</v>
      </c>
      <c r="B4322" t="s">
        <v>686</v>
      </c>
      <c r="C4322" t="s">
        <v>686</v>
      </c>
      <c r="D4322" t="s">
        <v>3185</v>
      </c>
      <c r="E4322" t="s">
        <v>660</v>
      </c>
      <c r="F4322" t="s">
        <v>40</v>
      </c>
      <c r="G4322">
        <v>2010</v>
      </c>
      <c r="H4322" s="12">
        <v>19</v>
      </c>
      <c r="I4322" t="s">
        <v>3183</v>
      </c>
      <c r="J4322" t="s">
        <v>41</v>
      </c>
      <c r="K4322" t="s">
        <v>657</v>
      </c>
      <c r="L4322" t="s">
        <v>654</v>
      </c>
      <c r="M4322" t="s">
        <v>661</v>
      </c>
    </row>
    <row r="4323" spans="1:13">
      <c r="A4323" t="s">
        <v>851</v>
      </c>
      <c r="B4323" t="s">
        <v>686</v>
      </c>
      <c r="C4323" t="s">
        <v>686</v>
      </c>
      <c r="D4323" t="s">
        <v>3185</v>
      </c>
      <c r="E4323" t="s">
        <v>660</v>
      </c>
      <c r="F4323" t="s">
        <v>40</v>
      </c>
      <c r="G4323">
        <v>2015</v>
      </c>
      <c r="H4323" s="12">
        <v>16</v>
      </c>
      <c r="I4323" t="s">
        <v>3183</v>
      </c>
      <c r="J4323" t="s">
        <v>41</v>
      </c>
      <c r="K4323" t="s">
        <v>657</v>
      </c>
      <c r="L4323" t="s">
        <v>654</v>
      </c>
      <c r="M4323" t="s">
        <v>661</v>
      </c>
    </row>
    <row r="4324" spans="1:13">
      <c r="A4324" t="s">
        <v>851</v>
      </c>
      <c r="B4324" t="s">
        <v>686</v>
      </c>
      <c r="C4324" t="s">
        <v>686</v>
      </c>
      <c r="D4324" t="s">
        <v>3185</v>
      </c>
      <c r="E4324" t="s">
        <v>660</v>
      </c>
      <c r="F4324" t="s">
        <v>40</v>
      </c>
      <c r="G4324">
        <v>2020</v>
      </c>
      <c r="H4324" s="12">
        <v>18</v>
      </c>
      <c r="I4324" t="s">
        <v>3183</v>
      </c>
      <c r="J4324" t="s">
        <v>41</v>
      </c>
      <c r="K4324" t="s">
        <v>657</v>
      </c>
      <c r="L4324" t="s">
        <v>654</v>
      </c>
      <c r="M4324" t="s">
        <v>661</v>
      </c>
    </row>
    <row r="4325" spans="1:13">
      <c r="A4325" t="s">
        <v>851</v>
      </c>
      <c r="B4325" t="s">
        <v>686</v>
      </c>
      <c r="C4325" t="s">
        <v>686</v>
      </c>
      <c r="D4325" t="s">
        <v>3185</v>
      </c>
      <c r="E4325" t="s">
        <v>660</v>
      </c>
      <c r="F4325" t="s">
        <v>40</v>
      </c>
      <c r="G4325">
        <v>2030</v>
      </c>
      <c r="H4325" s="12">
        <v>16</v>
      </c>
      <c r="I4325" t="s">
        <v>3183</v>
      </c>
      <c r="J4325" t="s">
        <v>41</v>
      </c>
      <c r="K4325" t="s">
        <v>657</v>
      </c>
      <c r="L4325" t="s">
        <v>654</v>
      </c>
      <c r="M4325" t="s">
        <v>661</v>
      </c>
    </row>
    <row r="4326" spans="1:13">
      <c r="A4326" t="s">
        <v>851</v>
      </c>
      <c r="B4326" t="s">
        <v>686</v>
      </c>
      <c r="C4326" t="s">
        <v>686</v>
      </c>
      <c r="D4326" t="s">
        <v>3185</v>
      </c>
      <c r="E4326" t="s">
        <v>660</v>
      </c>
      <c r="F4326" t="s">
        <v>40</v>
      </c>
      <c r="G4326">
        <v>2035</v>
      </c>
      <c r="H4326" s="12">
        <v>13</v>
      </c>
      <c r="I4326" t="s">
        <v>3183</v>
      </c>
      <c r="J4326" t="s">
        <v>41</v>
      </c>
      <c r="K4326" t="s">
        <v>657</v>
      </c>
      <c r="L4326" t="s">
        <v>654</v>
      </c>
      <c r="M4326" t="s">
        <v>661</v>
      </c>
    </row>
    <row r="4327" spans="1:13">
      <c r="A4327" t="s">
        <v>851</v>
      </c>
      <c r="B4327" t="s">
        <v>686</v>
      </c>
      <c r="C4327" t="s">
        <v>686</v>
      </c>
      <c r="D4327" t="s">
        <v>3185</v>
      </c>
      <c r="E4327" t="s">
        <v>660</v>
      </c>
      <c r="F4327" t="s">
        <v>40</v>
      </c>
      <c r="G4327">
        <v>2040</v>
      </c>
      <c r="H4327" s="12">
        <v>10</v>
      </c>
      <c r="I4327" t="s">
        <v>3183</v>
      </c>
      <c r="J4327" t="s">
        <v>41</v>
      </c>
      <c r="K4327" t="s">
        <v>657</v>
      </c>
      <c r="L4327" t="s">
        <v>654</v>
      </c>
      <c r="M4327" t="s">
        <v>661</v>
      </c>
    </row>
    <row r="4328" spans="1:13">
      <c r="A4328" t="s">
        <v>851</v>
      </c>
      <c r="B4328" t="s">
        <v>686</v>
      </c>
      <c r="C4328" t="s">
        <v>686</v>
      </c>
      <c r="D4328" t="s">
        <v>3185</v>
      </c>
      <c r="E4328" t="s">
        <v>660</v>
      </c>
      <c r="F4328" t="s">
        <v>40</v>
      </c>
      <c r="G4328">
        <v>2045</v>
      </c>
      <c r="H4328" s="12">
        <v>10</v>
      </c>
      <c r="I4328" t="s">
        <v>3183</v>
      </c>
      <c r="J4328" t="s">
        <v>41</v>
      </c>
      <c r="K4328" t="s">
        <v>657</v>
      </c>
      <c r="L4328" t="s">
        <v>654</v>
      </c>
      <c r="M4328" t="s">
        <v>661</v>
      </c>
    </row>
    <row r="4329" spans="1:13">
      <c r="A4329" t="s">
        <v>851</v>
      </c>
      <c r="B4329" t="s">
        <v>686</v>
      </c>
      <c r="C4329" t="s">
        <v>686</v>
      </c>
      <c r="D4329" t="s">
        <v>3185</v>
      </c>
      <c r="E4329" t="s">
        <v>660</v>
      </c>
      <c r="F4329" t="s">
        <v>40</v>
      </c>
      <c r="G4329">
        <v>2050</v>
      </c>
      <c r="H4329" s="12">
        <v>9</v>
      </c>
      <c r="I4329" t="s">
        <v>3183</v>
      </c>
      <c r="J4329" t="s">
        <v>41</v>
      </c>
      <c r="K4329" t="s">
        <v>657</v>
      </c>
      <c r="L4329" t="s">
        <v>654</v>
      </c>
      <c r="M4329" t="s">
        <v>661</v>
      </c>
    </row>
    <row r="4330" spans="1:13">
      <c r="A4330" t="s">
        <v>851</v>
      </c>
      <c r="B4330" t="s">
        <v>687</v>
      </c>
      <c r="C4330" t="s">
        <v>687</v>
      </c>
      <c r="D4330" t="s">
        <v>3185</v>
      </c>
      <c r="E4330" t="s">
        <v>660</v>
      </c>
      <c r="F4330" t="s">
        <v>40</v>
      </c>
      <c r="G4330">
        <v>2030</v>
      </c>
      <c r="H4330" s="12">
        <v>16</v>
      </c>
      <c r="I4330" t="s">
        <v>3183</v>
      </c>
      <c r="J4330" t="s">
        <v>41</v>
      </c>
      <c r="K4330" t="s">
        <v>657</v>
      </c>
      <c r="L4330" t="s">
        <v>654</v>
      </c>
      <c r="M4330" t="s">
        <v>661</v>
      </c>
    </row>
    <row r="4331" spans="1:13">
      <c r="A4331" t="s">
        <v>851</v>
      </c>
      <c r="B4331" t="s">
        <v>687</v>
      </c>
      <c r="C4331" t="s">
        <v>687</v>
      </c>
      <c r="D4331" t="s">
        <v>3185</v>
      </c>
      <c r="E4331" t="s">
        <v>660</v>
      </c>
      <c r="F4331" t="s">
        <v>40</v>
      </c>
      <c r="G4331">
        <v>2035</v>
      </c>
      <c r="H4331" s="12">
        <v>13</v>
      </c>
      <c r="I4331" t="s">
        <v>3183</v>
      </c>
      <c r="J4331" t="s">
        <v>41</v>
      </c>
      <c r="K4331" t="s">
        <v>657</v>
      </c>
      <c r="L4331" t="s">
        <v>654</v>
      </c>
      <c r="M4331" t="s">
        <v>661</v>
      </c>
    </row>
    <row r="4332" spans="1:13">
      <c r="A4332" t="s">
        <v>851</v>
      </c>
      <c r="B4332" t="s">
        <v>687</v>
      </c>
      <c r="C4332" t="s">
        <v>687</v>
      </c>
      <c r="D4332" t="s">
        <v>3185</v>
      </c>
      <c r="E4332" t="s">
        <v>660</v>
      </c>
      <c r="F4332" t="s">
        <v>40</v>
      </c>
      <c r="G4332">
        <v>2040</v>
      </c>
      <c r="H4332" s="12">
        <v>10</v>
      </c>
      <c r="I4332" t="s">
        <v>3183</v>
      </c>
      <c r="J4332" t="s">
        <v>41</v>
      </c>
      <c r="K4332" t="s">
        <v>657</v>
      </c>
      <c r="L4332" t="s">
        <v>654</v>
      </c>
      <c r="M4332" t="s">
        <v>661</v>
      </c>
    </row>
    <row r="4333" spans="1:13">
      <c r="A4333" t="s">
        <v>851</v>
      </c>
      <c r="B4333" t="s">
        <v>687</v>
      </c>
      <c r="C4333" t="s">
        <v>687</v>
      </c>
      <c r="D4333" t="s">
        <v>3185</v>
      </c>
      <c r="E4333" t="s">
        <v>660</v>
      </c>
      <c r="F4333" t="s">
        <v>40</v>
      </c>
      <c r="G4333">
        <v>2045</v>
      </c>
      <c r="H4333" s="12">
        <v>10</v>
      </c>
      <c r="I4333" t="s">
        <v>3183</v>
      </c>
      <c r="J4333" t="s">
        <v>41</v>
      </c>
      <c r="K4333" t="s">
        <v>657</v>
      </c>
      <c r="L4333" t="s">
        <v>654</v>
      </c>
      <c r="M4333" t="s">
        <v>661</v>
      </c>
    </row>
    <row r="4334" spans="1:13">
      <c r="A4334" t="s">
        <v>851</v>
      </c>
      <c r="B4334" t="s">
        <v>687</v>
      </c>
      <c r="C4334" t="s">
        <v>687</v>
      </c>
      <c r="D4334" t="s">
        <v>3185</v>
      </c>
      <c r="E4334" t="s">
        <v>660</v>
      </c>
      <c r="F4334" t="s">
        <v>40</v>
      </c>
      <c r="G4334">
        <v>2050</v>
      </c>
      <c r="H4334" s="12">
        <v>9</v>
      </c>
      <c r="I4334" t="s">
        <v>3183</v>
      </c>
      <c r="J4334" t="s">
        <v>41</v>
      </c>
      <c r="K4334" t="s">
        <v>657</v>
      </c>
      <c r="L4334" t="s">
        <v>654</v>
      </c>
      <c r="M4334" t="s">
        <v>661</v>
      </c>
    </row>
    <row r="4335" spans="1:13">
      <c r="A4335" t="s">
        <v>851</v>
      </c>
      <c r="B4335" t="s">
        <v>686</v>
      </c>
      <c r="C4335" t="s">
        <v>686</v>
      </c>
      <c r="D4335" t="s">
        <v>3185</v>
      </c>
      <c r="E4335" t="s">
        <v>660</v>
      </c>
      <c r="F4335" t="s">
        <v>40</v>
      </c>
      <c r="G4335">
        <v>2010</v>
      </c>
      <c r="H4335" s="12">
        <v>0</v>
      </c>
      <c r="I4335" t="s">
        <v>3183</v>
      </c>
      <c r="J4335" t="s">
        <v>15</v>
      </c>
      <c r="K4335" t="s">
        <v>657</v>
      </c>
      <c r="L4335" t="s">
        <v>654</v>
      </c>
      <c r="M4335" t="s">
        <v>15</v>
      </c>
    </row>
    <row r="4336" spans="1:13">
      <c r="A4336" t="s">
        <v>851</v>
      </c>
      <c r="B4336" t="s">
        <v>686</v>
      </c>
      <c r="C4336" t="s">
        <v>686</v>
      </c>
      <c r="D4336" t="s">
        <v>3185</v>
      </c>
      <c r="E4336" t="s">
        <v>660</v>
      </c>
      <c r="F4336" t="s">
        <v>40</v>
      </c>
      <c r="G4336">
        <v>2015</v>
      </c>
      <c r="H4336" s="12">
        <v>32</v>
      </c>
      <c r="I4336" t="s">
        <v>3183</v>
      </c>
      <c r="J4336" t="s">
        <v>15</v>
      </c>
      <c r="K4336" t="s">
        <v>657</v>
      </c>
      <c r="L4336" t="s">
        <v>654</v>
      </c>
      <c r="M4336" t="s">
        <v>15</v>
      </c>
    </row>
    <row r="4337" spans="1:13">
      <c r="A4337" t="s">
        <v>851</v>
      </c>
      <c r="B4337" t="s">
        <v>686</v>
      </c>
      <c r="C4337" t="s">
        <v>686</v>
      </c>
      <c r="D4337" t="s">
        <v>3185</v>
      </c>
      <c r="E4337" t="s">
        <v>660</v>
      </c>
      <c r="F4337" t="s">
        <v>40</v>
      </c>
      <c r="G4337">
        <v>2020</v>
      </c>
      <c r="H4337" s="12">
        <v>63</v>
      </c>
      <c r="I4337" t="s">
        <v>3183</v>
      </c>
      <c r="J4337" t="s">
        <v>15</v>
      </c>
      <c r="K4337" t="s">
        <v>657</v>
      </c>
      <c r="L4337" t="s">
        <v>654</v>
      </c>
      <c r="M4337" t="s">
        <v>15</v>
      </c>
    </row>
    <row r="4338" spans="1:13">
      <c r="A4338" t="s">
        <v>851</v>
      </c>
      <c r="B4338" t="s">
        <v>686</v>
      </c>
      <c r="C4338" t="s">
        <v>686</v>
      </c>
      <c r="D4338" t="s">
        <v>3185</v>
      </c>
      <c r="E4338" t="s">
        <v>660</v>
      </c>
      <c r="F4338" t="s">
        <v>40</v>
      </c>
      <c r="G4338">
        <v>2030</v>
      </c>
      <c r="H4338" s="12">
        <v>552</v>
      </c>
      <c r="I4338" t="s">
        <v>3183</v>
      </c>
      <c r="J4338" t="s">
        <v>15</v>
      </c>
      <c r="K4338" t="s">
        <v>657</v>
      </c>
      <c r="L4338" t="s">
        <v>654</v>
      </c>
      <c r="M4338" t="s">
        <v>15</v>
      </c>
    </row>
    <row r="4339" spans="1:13">
      <c r="A4339" t="s">
        <v>851</v>
      </c>
      <c r="B4339" t="s">
        <v>686</v>
      </c>
      <c r="C4339" t="s">
        <v>686</v>
      </c>
      <c r="D4339" t="s">
        <v>3185</v>
      </c>
      <c r="E4339" t="s">
        <v>660</v>
      </c>
      <c r="F4339" t="s">
        <v>40</v>
      </c>
      <c r="G4339">
        <v>2035</v>
      </c>
      <c r="H4339" s="12">
        <v>779</v>
      </c>
      <c r="I4339" t="s">
        <v>3183</v>
      </c>
      <c r="J4339" t="s">
        <v>15</v>
      </c>
      <c r="K4339" t="s">
        <v>657</v>
      </c>
      <c r="L4339" t="s">
        <v>654</v>
      </c>
      <c r="M4339" t="s">
        <v>15</v>
      </c>
    </row>
    <row r="4340" spans="1:13">
      <c r="A4340" t="s">
        <v>851</v>
      </c>
      <c r="B4340" t="s">
        <v>686</v>
      </c>
      <c r="C4340" t="s">
        <v>686</v>
      </c>
      <c r="D4340" t="s">
        <v>3185</v>
      </c>
      <c r="E4340" t="s">
        <v>660</v>
      </c>
      <c r="F4340" t="s">
        <v>40</v>
      </c>
      <c r="G4340">
        <v>2040</v>
      </c>
      <c r="H4340" s="12">
        <v>868</v>
      </c>
      <c r="I4340" t="s">
        <v>3183</v>
      </c>
      <c r="J4340" t="s">
        <v>15</v>
      </c>
      <c r="K4340" t="s">
        <v>657</v>
      </c>
      <c r="L4340" t="s">
        <v>654</v>
      </c>
      <c r="M4340" t="s">
        <v>15</v>
      </c>
    </row>
    <row r="4341" spans="1:13">
      <c r="A4341" t="s">
        <v>851</v>
      </c>
      <c r="B4341" t="s">
        <v>686</v>
      </c>
      <c r="C4341" t="s">
        <v>686</v>
      </c>
      <c r="D4341" t="s">
        <v>3185</v>
      </c>
      <c r="E4341" t="s">
        <v>660</v>
      </c>
      <c r="F4341" t="s">
        <v>40</v>
      </c>
      <c r="G4341">
        <v>2045</v>
      </c>
      <c r="H4341" s="12">
        <v>962</v>
      </c>
      <c r="I4341" t="s">
        <v>3183</v>
      </c>
      <c r="J4341" t="s">
        <v>15</v>
      </c>
      <c r="K4341" t="s">
        <v>657</v>
      </c>
      <c r="L4341" t="s">
        <v>654</v>
      </c>
      <c r="M4341" t="s">
        <v>15</v>
      </c>
    </row>
    <row r="4342" spans="1:13">
      <c r="A4342" t="s">
        <v>851</v>
      </c>
      <c r="B4342" t="s">
        <v>686</v>
      </c>
      <c r="C4342" t="s">
        <v>686</v>
      </c>
      <c r="D4342" t="s">
        <v>3185</v>
      </c>
      <c r="E4342" t="s">
        <v>660</v>
      </c>
      <c r="F4342" t="s">
        <v>40</v>
      </c>
      <c r="G4342">
        <v>2050</v>
      </c>
      <c r="H4342" s="12">
        <v>1042</v>
      </c>
      <c r="I4342" t="s">
        <v>3183</v>
      </c>
      <c r="J4342" t="s">
        <v>15</v>
      </c>
      <c r="K4342" t="s">
        <v>657</v>
      </c>
      <c r="L4342" t="s">
        <v>654</v>
      </c>
      <c r="M4342" t="s">
        <v>15</v>
      </c>
    </row>
    <row r="4343" spans="1:13">
      <c r="A4343" t="s">
        <v>851</v>
      </c>
      <c r="B4343" t="s">
        <v>687</v>
      </c>
      <c r="C4343" t="s">
        <v>687</v>
      </c>
      <c r="D4343" t="s">
        <v>3185</v>
      </c>
      <c r="E4343" t="s">
        <v>660</v>
      </c>
      <c r="F4343" t="s">
        <v>40</v>
      </c>
      <c r="G4343">
        <v>2030</v>
      </c>
      <c r="H4343" s="12">
        <v>676</v>
      </c>
      <c r="I4343" t="s">
        <v>3183</v>
      </c>
      <c r="J4343" t="s">
        <v>15</v>
      </c>
      <c r="K4343" t="s">
        <v>657</v>
      </c>
      <c r="L4343" t="s">
        <v>654</v>
      </c>
      <c r="M4343" t="s">
        <v>15</v>
      </c>
    </row>
    <row r="4344" spans="1:13">
      <c r="A4344" t="s">
        <v>851</v>
      </c>
      <c r="B4344" t="s">
        <v>687</v>
      </c>
      <c r="C4344" t="s">
        <v>687</v>
      </c>
      <c r="D4344" t="s">
        <v>3185</v>
      </c>
      <c r="E4344" t="s">
        <v>660</v>
      </c>
      <c r="F4344" t="s">
        <v>40</v>
      </c>
      <c r="G4344">
        <v>2035</v>
      </c>
      <c r="H4344" s="12">
        <v>946</v>
      </c>
      <c r="I4344" t="s">
        <v>3183</v>
      </c>
      <c r="J4344" t="s">
        <v>15</v>
      </c>
      <c r="K4344" t="s">
        <v>657</v>
      </c>
      <c r="L4344" t="s">
        <v>654</v>
      </c>
      <c r="M4344" t="s">
        <v>15</v>
      </c>
    </row>
    <row r="4345" spans="1:13">
      <c r="A4345" t="s">
        <v>851</v>
      </c>
      <c r="B4345" t="s">
        <v>687</v>
      </c>
      <c r="C4345" t="s">
        <v>687</v>
      </c>
      <c r="D4345" t="s">
        <v>3185</v>
      </c>
      <c r="E4345" t="s">
        <v>660</v>
      </c>
      <c r="F4345" t="s">
        <v>40</v>
      </c>
      <c r="G4345">
        <v>2040</v>
      </c>
      <c r="H4345" s="12">
        <v>1290</v>
      </c>
      <c r="I4345" t="s">
        <v>3183</v>
      </c>
      <c r="J4345" t="s">
        <v>15</v>
      </c>
      <c r="K4345" t="s">
        <v>657</v>
      </c>
      <c r="L4345" t="s">
        <v>654</v>
      </c>
      <c r="M4345" t="s">
        <v>15</v>
      </c>
    </row>
    <row r="4346" spans="1:13">
      <c r="A4346" t="s">
        <v>851</v>
      </c>
      <c r="B4346" t="s">
        <v>687</v>
      </c>
      <c r="C4346" t="s">
        <v>687</v>
      </c>
      <c r="D4346" t="s">
        <v>3185</v>
      </c>
      <c r="E4346" t="s">
        <v>660</v>
      </c>
      <c r="F4346" t="s">
        <v>40</v>
      </c>
      <c r="G4346">
        <v>2045</v>
      </c>
      <c r="H4346" s="12">
        <v>1468</v>
      </c>
      <c r="I4346" t="s">
        <v>3183</v>
      </c>
      <c r="J4346" t="s">
        <v>15</v>
      </c>
      <c r="K4346" t="s">
        <v>657</v>
      </c>
      <c r="L4346" t="s">
        <v>654</v>
      </c>
      <c r="M4346" t="s">
        <v>15</v>
      </c>
    </row>
    <row r="4347" spans="1:13">
      <c r="A4347" t="s">
        <v>851</v>
      </c>
      <c r="B4347" t="s">
        <v>687</v>
      </c>
      <c r="C4347" t="s">
        <v>687</v>
      </c>
      <c r="D4347" t="s">
        <v>3185</v>
      </c>
      <c r="E4347" t="s">
        <v>660</v>
      </c>
      <c r="F4347" t="s">
        <v>40</v>
      </c>
      <c r="G4347">
        <v>2050</v>
      </c>
      <c r="H4347" s="12">
        <v>1503</v>
      </c>
      <c r="I4347" t="s">
        <v>3183</v>
      </c>
      <c r="J4347" t="s">
        <v>15</v>
      </c>
      <c r="K4347" t="s">
        <v>657</v>
      </c>
      <c r="L4347" t="s">
        <v>654</v>
      </c>
      <c r="M4347" t="s">
        <v>15</v>
      </c>
    </row>
    <row r="4348" spans="1:13">
      <c r="A4348" t="s">
        <v>851</v>
      </c>
      <c r="B4348" t="s">
        <v>686</v>
      </c>
      <c r="C4348" t="s">
        <v>686</v>
      </c>
      <c r="D4348" t="s">
        <v>3185</v>
      </c>
      <c r="E4348" t="s">
        <v>660</v>
      </c>
      <c r="F4348" t="s">
        <v>40</v>
      </c>
      <c r="G4348">
        <v>2010</v>
      </c>
      <c r="H4348" s="12">
        <v>13551</v>
      </c>
      <c r="I4348" t="s">
        <v>3183</v>
      </c>
      <c r="J4348" t="s">
        <v>6</v>
      </c>
      <c r="K4348" t="s">
        <v>657</v>
      </c>
      <c r="L4348" t="s">
        <v>654</v>
      </c>
      <c r="M4348" t="s">
        <v>659</v>
      </c>
    </row>
    <row r="4349" spans="1:13">
      <c r="A4349" t="s">
        <v>851</v>
      </c>
      <c r="B4349" t="s">
        <v>686</v>
      </c>
      <c r="C4349" t="s">
        <v>686</v>
      </c>
      <c r="D4349" t="s">
        <v>3185</v>
      </c>
      <c r="E4349" t="s">
        <v>660</v>
      </c>
      <c r="F4349" t="s">
        <v>40</v>
      </c>
      <c r="G4349">
        <v>2015</v>
      </c>
      <c r="H4349" s="12">
        <v>17008</v>
      </c>
      <c r="I4349" t="s">
        <v>3183</v>
      </c>
      <c r="J4349" t="s">
        <v>6</v>
      </c>
      <c r="K4349" t="s">
        <v>657</v>
      </c>
      <c r="L4349" t="s">
        <v>654</v>
      </c>
      <c r="M4349" t="s">
        <v>659</v>
      </c>
    </row>
    <row r="4350" spans="1:13">
      <c r="A4350" t="s">
        <v>851</v>
      </c>
      <c r="B4350" t="s">
        <v>686</v>
      </c>
      <c r="C4350" t="s">
        <v>686</v>
      </c>
      <c r="D4350" t="s">
        <v>3185</v>
      </c>
      <c r="E4350" t="s">
        <v>660</v>
      </c>
      <c r="F4350" t="s">
        <v>40</v>
      </c>
      <c r="G4350">
        <v>2020</v>
      </c>
      <c r="H4350" s="12">
        <v>19273</v>
      </c>
      <c r="I4350" t="s">
        <v>3183</v>
      </c>
      <c r="J4350" t="s">
        <v>6</v>
      </c>
      <c r="K4350" t="s">
        <v>657</v>
      </c>
      <c r="L4350" t="s">
        <v>654</v>
      </c>
      <c r="M4350" t="s">
        <v>659</v>
      </c>
    </row>
    <row r="4351" spans="1:13">
      <c r="A4351" t="s">
        <v>851</v>
      </c>
      <c r="B4351" t="s">
        <v>686</v>
      </c>
      <c r="C4351" t="s">
        <v>686</v>
      </c>
      <c r="D4351" t="s">
        <v>3185</v>
      </c>
      <c r="E4351" t="s">
        <v>660</v>
      </c>
      <c r="F4351" t="s">
        <v>40</v>
      </c>
      <c r="G4351">
        <v>2030</v>
      </c>
      <c r="H4351" s="12">
        <v>23995</v>
      </c>
      <c r="I4351" t="s">
        <v>3183</v>
      </c>
      <c r="J4351" t="s">
        <v>6</v>
      </c>
      <c r="K4351" t="s">
        <v>657</v>
      </c>
      <c r="L4351" t="s">
        <v>654</v>
      </c>
      <c r="M4351" t="s">
        <v>659</v>
      </c>
    </row>
    <row r="4352" spans="1:13">
      <c r="A4352" t="s">
        <v>851</v>
      </c>
      <c r="B4352" t="s">
        <v>686</v>
      </c>
      <c r="C4352" t="s">
        <v>686</v>
      </c>
      <c r="D4352" t="s">
        <v>3185</v>
      </c>
      <c r="E4352" t="s">
        <v>660</v>
      </c>
      <c r="F4352" t="s">
        <v>40</v>
      </c>
      <c r="G4352">
        <v>2035</v>
      </c>
      <c r="H4352" s="12">
        <v>25665</v>
      </c>
      <c r="I4352" t="s">
        <v>3183</v>
      </c>
      <c r="J4352" t="s">
        <v>6</v>
      </c>
      <c r="K4352" t="s">
        <v>657</v>
      </c>
      <c r="L4352" t="s">
        <v>654</v>
      </c>
      <c r="M4352" t="s">
        <v>659</v>
      </c>
    </row>
    <row r="4353" spans="1:13">
      <c r="A4353" t="s">
        <v>851</v>
      </c>
      <c r="B4353" t="s">
        <v>686</v>
      </c>
      <c r="C4353" t="s">
        <v>686</v>
      </c>
      <c r="D4353" t="s">
        <v>3185</v>
      </c>
      <c r="E4353" t="s">
        <v>660</v>
      </c>
      <c r="F4353" t="s">
        <v>40</v>
      </c>
      <c r="G4353">
        <v>2040</v>
      </c>
      <c r="H4353" s="12">
        <v>26766</v>
      </c>
      <c r="I4353" t="s">
        <v>3183</v>
      </c>
      <c r="J4353" t="s">
        <v>6</v>
      </c>
      <c r="K4353" t="s">
        <v>657</v>
      </c>
      <c r="L4353" t="s">
        <v>654</v>
      </c>
      <c r="M4353" t="s">
        <v>659</v>
      </c>
    </row>
    <row r="4354" spans="1:13">
      <c r="A4354" t="s">
        <v>851</v>
      </c>
      <c r="B4354" t="s">
        <v>686</v>
      </c>
      <c r="C4354" t="s">
        <v>686</v>
      </c>
      <c r="D4354" t="s">
        <v>3185</v>
      </c>
      <c r="E4354" t="s">
        <v>660</v>
      </c>
      <c r="F4354" t="s">
        <v>40</v>
      </c>
      <c r="G4354">
        <v>2045</v>
      </c>
      <c r="H4354" s="12">
        <v>27910</v>
      </c>
      <c r="I4354" t="s">
        <v>3183</v>
      </c>
      <c r="J4354" t="s">
        <v>6</v>
      </c>
      <c r="K4354" t="s">
        <v>657</v>
      </c>
      <c r="L4354" t="s">
        <v>654</v>
      </c>
      <c r="M4354" t="s">
        <v>659</v>
      </c>
    </row>
    <row r="4355" spans="1:13">
      <c r="A4355" t="s">
        <v>851</v>
      </c>
      <c r="B4355" t="s">
        <v>686</v>
      </c>
      <c r="C4355" t="s">
        <v>686</v>
      </c>
      <c r="D4355" t="s">
        <v>3185</v>
      </c>
      <c r="E4355" t="s">
        <v>660</v>
      </c>
      <c r="F4355" t="s">
        <v>40</v>
      </c>
      <c r="G4355">
        <v>2050</v>
      </c>
      <c r="H4355" s="12">
        <v>28978</v>
      </c>
      <c r="I4355" t="s">
        <v>3183</v>
      </c>
      <c r="J4355" t="s">
        <v>6</v>
      </c>
      <c r="K4355" t="s">
        <v>657</v>
      </c>
      <c r="L4355" t="s">
        <v>654</v>
      </c>
      <c r="M4355" t="s">
        <v>659</v>
      </c>
    </row>
    <row r="4356" spans="1:13">
      <c r="A4356" t="s">
        <v>851</v>
      </c>
      <c r="B4356" t="s">
        <v>687</v>
      </c>
      <c r="C4356" t="s">
        <v>687</v>
      </c>
      <c r="D4356" t="s">
        <v>3185</v>
      </c>
      <c r="E4356" t="s">
        <v>660</v>
      </c>
      <c r="F4356" t="s">
        <v>40</v>
      </c>
      <c r="G4356">
        <v>2030</v>
      </c>
      <c r="H4356" s="12">
        <v>22213</v>
      </c>
      <c r="I4356" t="s">
        <v>3183</v>
      </c>
      <c r="J4356" t="s">
        <v>6</v>
      </c>
      <c r="K4356" t="s">
        <v>657</v>
      </c>
      <c r="L4356" t="s">
        <v>654</v>
      </c>
      <c r="M4356" t="s">
        <v>659</v>
      </c>
    </row>
    <row r="4357" spans="1:13">
      <c r="A4357" t="s">
        <v>851</v>
      </c>
      <c r="B4357" t="s">
        <v>687</v>
      </c>
      <c r="C4357" t="s">
        <v>687</v>
      </c>
      <c r="D4357" t="s">
        <v>3185</v>
      </c>
      <c r="E4357" t="s">
        <v>660</v>
      </c>
      <c r="F4357" t="s">
        <v>40</v>
      </c>
      <c r="G4357">
        <v>2035</v>
      </c>
      <c r="H4357" s="12">
        <v>22416</v>
      </c>
      <c r="I4357" t="s">
        <v>3183</v>
      </c>
      <c r="J4357" t="s">
        <v>6</v>
      </c>
      <c r="K4357" t="s">
        <v>657</v>
      </c>
      <c r="L4357" t="s">
        <v>654</v>
      </c>
      <c r="M4357" t="s">
        <v>659</v>
      </c>
    </row>
    <row r="4358" spans="1:13">
      <c r="A4358" t="s">
        <v>851</v>
      </c>
      <c r="B4358" t="s">
        <v>687</v>
      </c>
      <c r="C4358" t="s">
        <v>687</v>
      </c>
      <c r="D4358" t="s">
        <v>3185</v>
      </c>
      <c r="E4358" t="s">
        <v>660</v>
      </c>
      <c r="F4358" t="s">
        <v>40</v>
      </c>
      <c r="G4358">
        <v>2040</v>
      </c>
      <c r="H4358" s="12">
        <v>21874</v>
      </c>
      <c r="I4358" t="s">
        <v>3183</v>
      </c>
      <c r="J4358" t="s">
        <v>6</v>
      </c>
      <c r="K4358" t="s">
        <v>657</v>
      </c>
      <c r="L4358" t="s">
        <v>654</v>
      </c>
      <c r="M4358" t="s">
        <v>659</v>
      </c>
    </row>
    <row r="4359" spans="1:13">
      <c r="A4359" t="s">
        <v>851</v>
      </c>
      <c r="B4359" t="s">
        <v>687</v>
      </c>
      <c r="C4359" t="s">
        <v>687</v>
      </c>
      <c r="D4359" t="s">
        <v>3185</v>
      </c>
      <c r="E4359" t="s">
        <v>660</v>
      </c>
      <c r="F4359" t="s">
        <v>40</v>
      </c>
      <c r="G4359">
        <v>2045</v>
      </c>
      <c r="H4359" s="12">
        <v>20989</v>
      </c>
      <c r="I4359" t="s">
        <v>3183</v>
      </c>
      <c r="J4359" t="s">
        <v>6</v>
      </c>
      <c r="K4359" t="s">
        <v>657</v>
      </c>
      <c r="L4359" t="s">
        <v>654</v>
      </c>
      <c r="M4359" t="s">
        <v>659</v>
      </c>
    </row>
    <row r="4360" spans="1:13">
      <c r="A4360" t="s">
        <v>851</v>
      </c>
      <c r="B4360" t="s">
        <v>687</v>
      </c>
      <c r="C4360" t="s">
        <v>687</v>
      </c>
      <c r="D4360" t="s">
        <v>3185</v>
      </c>
      <c r="E4360" t="s">
        <v>660</v>
      </c>
      <c r="F4360" t="s">
        <v>40</v>
      </c>
      <c r="G4360">
        <v>2050</v>
      </c>
      <c r="H4360" s="12">
        <v>20265</v>
      </c>
      <c r="I4360" t="s">
        <v>3183</v>
      </c>
      <c r="J4360" t="s">
        <v>6</v>
      </c>
      <c r="K4360" t="s">
        <v>657</v>
      </c>
      <c r="L4360" t="s">
        <v>654</v>
      </c>
      <c r="M4360" t="s">
        <v>659</v>
      </c>
    </row>
    <row r="4361" spans="1:13">
      <c r="A4361" t="s">
        <v>851</v>
      </c>
      <c r="B4361" t="s">
        <v>686</v>
      </c>
      <c r="C4361" t="s">
        <v>686</v>
      </c>
      <c r="D4361" t="s">
        <v>3185</v>
      </c>
      <c r="E4361" t="s">
        <v>660</v>
      </c>
      <c r="F4361" t="s">
        <v>40</v>
      </c>
      <c r="G4361">
        <v>2010</v>
      </c>
      <c r="H4361" s="12">
        <v>13198</v>
      </c>
      <c r="I4361" t="s">
        <v>3183</v>
      </c>
      <c r="J4361" t="s">
        <v>394</v>
      </c>
      <c r="K4361" t="s">
        <v>657</v>
      </c>
      <c r="L4361" t="s">
        <v>654</v>
      </c>
      <c r="M4361" t="s">
        <v>16</v>
      </c>
    </row>
    <row r="4362" spans="1:13">
      <c r="A4362" t="s">
        <v>851</v>
      </c>
      <c r="B4362" t="s">
        <v>686</v>
      </c>
      <c r="C4362" t="s">
        <v>686</v>
      </c>
      <c r="D4362" t="s">
        <v>3185</v>
      </c>
      <c r="E4362" t="s">
        <v>242</v>
      </c>
      <c r="F4362" t="s">
        <v>663</v>
      </c>
      <c r="G4362">
        <v>2030</v>
      </c>
      <c r="H4362" s="12">
        <v>95.88</v>
      </c>
      <c r="I4362" t="s">
        <v>3183</v>
      </c>
      <c r="J4362" t="s">
        <v>5</v>
      </c>
      <c r="K4362" t="s">
        <v>664</v>
      </c>
      <c r="L4362" t="s">
        <v>653</v>
      </c>
      <c r="M4362" t="s">
        <v>5</v>
      </c>
    </row>
    <row r="4363" spans="1:13">
      <c r="A4363" t="s">
        <v>851</v>
      </c>
      <c r="B4363" t="s">
        <v>686</v>
      </c>
      <c r="C4363" t="s">
        <v>686</v>
      </c>
      <c r="D4363" t="s">
        <v>3185</v>
      </c>
      <c r="E4363" t="s">
        <v>242</v>
      </c>
      <c r="F4363" t="s">
        <v>663</v>
      </c>
      <c r="G4363">
        <v>2035</v>
      </c>
      <c r="H4363" s="12">
        <v>105.64</v>
      </c>
      <c r="I4363" t="s">
        <v>3183</v>
      </c>
      <c r="J4363" t="s">
        <v>5</v>
      </c>
      <c r="K4363" t="s">
        <v>664</v>
      </c>
      <c r="L4363" t="s">
        <v>653</v>
      </c>
      <c r="M4363" t="s">
        <v>5</v>
      </c>
    </row>
    <row r="4364" spans="1:13">
      <c r="A4364" t="s">
        <v>851</v>
      </c>
      <c r="B4364" t="s">
        <v>686</v>
      </c>
      <c r="C4364" t="s">
        <v>686</v>
      </c>
      <c r="D4364" t="s">
        <v>3185</v>
      </c>
      <c r="E4364" t="s">
        <v>242</v>
      </c>
      <c r="F4364" t="s">
        <v>663</v>
      </c>
      <c r="G4364">
        <v>2040</v>
      </c>
      <c r="H4364" s="12">
        <v>114.68</v>
      </c>
      <c r="I4364" t="s">
        <v>3183</v>
      </c>
      <c r="J4364" t="s">
        <v>5</v>
      </c>
      <c r="K4364" t="s">
        <v>664</v>
      </c>
      <c r="L4364" t="s">
        <v>653</v>
      </c>
      <c r="M4364" t="s">
        <v>5</v>
      </c>
    </row>
    <row r="4365" spans="1:13">
      <c r="A4365" t="s">
        <v>851</v>
      </c>
      <c r="B4365" t="s">
        <v>686</v>
      </c>
      <c r="C4365" t="s">
        <v>686</v>
      </c>
      <c r="D4365" t="s">
        <v>3185</v>
      </c>
      <c r="E4365" t="s">
        <v>242</v>
      </c>
      <c r="F4365" t="s">
        <v>663</v>
      </c>
      <c r="G4365">
        <v>2045</v>
      </c>
      <c r="H4365" s="12">
        <v>122.01</v>
      </c>
      <c r="I4365" t="s">
        <v>3183</v>
      </c>
      <c r="J4365" t="s">
        <v>5</v>
      </c>
      <c r="K4365" t="s">
        <v>664</v>
      </c>
      <c r="L4365" t="s">
        <v>653</v>
      </c>
      <c r="M4365" t="s">
        <v>5</v>
      </c>
    </row>
    <row r="4366" spans="1:13">
      <c r="A4366" t="s">
        <v>851</v>
      </c>
      <c r="B4366" t="s">
        <v>686</v>
      </c>
      <c r="C4366" t="s">
        <v>686</v>
      </c>
      <c r="D4366" t="s">
        <v>3185</v>
      </c>
      <c r="E4366" t="s">
        <v>242</v>
      </c>
      <c r="F4366" t="s">
        <v>663</v>
      </c>
      <c r="G4366">
        <v>2050</v>
      </c>
      <c r="H4366" s="12">
        <v>127.42</v>
      </c>
      <c r="I4366" t="s">
        <v>3183</v>
      </c>
      <c r="J4366" t="s">
        <v>5</v>
      </c>
      <c r="K4366" t="s">
        <v>664</v>
      </c>
      <c r="L4366" t="s">
        <v>653</v>
      </c>
      <c r="M4366" t="s">
        <v>5</v>
      </c>
    </row>
    <row r="4367" spans="1:13">
      <c r="A4367" t="s">
        <v>851</v>
      </c>
      <c r="B4367" t="s">
        <v>687</v>
      </c>
      <c r="C4367" t="s">
        <v>687</v>
      </c>
      <c r="D4367" t="s">
        <v>3185</v>
      </c>
      <c r="E4367" t="s">
        <v>242</v>
      </c>
      <c r="F4367" t="s">
        <v>663</v>
      </c>
      <c r="G4367">
        <v>2030</v>
      </c>
      <c r="H4367" s="12">
        <v>69.09</v>
      </c>
      <c r="I4367" t="s">
        <v>3183</v>
      </c>
      <c r="J4367" t="s">
        <v>5</v>
      </c>
      <c r="K4367" t="s">
        <v>664</v>
      </c>
      <c r="L4367" t="s">
        <v>653</v>
      </c>
      <c r="M4367" t="s">
        <v>5</v>
      </c>
    </row>
    <row r="4368" spans="1:13">
      <c r="A4368" t="s">
        <v>851</v>
      </c>
      <c r="B4368" t="s">
        <v>687</v>
      </c>
      <c r="C4368" t="s">
        <v>687</v>
      </c>
      <c r="D4368" t="s">
        <v>3185</v>
      </c>
      <c r="E4368" t="s">
        <v>242</v>
      </c>
      <c r="F4368" t="s">
        <v>663</v>
      </c>
      <c r="G4368">
        <v>2035</v>
      </c>
      <c r="H4368" s="12">
        <v>62.85</v>
      </c>
      <c r="I4368" t="s">
        <v>3183</v>
      </c>
      <c r="J4368" t="s">
        <v>5</v>
      </c>
      <c r="K4368" t="s">
        <v>664</v>
      </c>
      <c r="L4368" t="s">
        <v>653</v>
      </c>
      <c r="M4368" t="s">
        <v>5</v>
      </c>
    </row>
    <row r="4369" spans="1:13">
      <c r="A4369" t="s">
        <v>851</v>
      </c>
      <c r="B4369" t="s">
        <v>687</v>
      </c>
      <c r="C4369" t="s">
        <v>687</v>
      </c>
      <c r="D4369" t="s">
        <v>3185</v>
      </c>
      <c r="E4369" t="s">
        <v>242</v>
      </c>
      <c r="F4369" t="s">
        <v>663</v>
      </c>
      <c r="G4369">
        <v>2040</v>
      </c>
      <c r="H4369" s="12">
        <v>55.97</v>
      </c>
      <c r="I4369" t="s">
        <v>3183</v>
      </c>
      <c r="J4369" t="s">
        <v>5</v>
      </c>
      <c r="K4369" t="s">
        <v>664</v>
      </c>
      <c r="L4369" t="s">
        <v>653</v>
      </c>
      <c r="M4369" t="s">
        <v>5</v>
      </c>
    </row>
    <row r="4370" spans="1:13">
      <c r="A4370" t="s">
        <v>851</v>
      </c>
      <c r="B4370" t="s">
        <v>687</v>
      </c>
      <c r="C4370" t="s">
        <v>687</v>
      </c>
      <c r="D4370" t="s">
        <v>3185</v>
      </c>
      <c r="E4370" t="s">
        <v>242</v>
      </c>
      <c r="F4370" t="s">
        <v>663</v>
      </c>
      <c r="G4370">
        <v>2045</v>
      </c>
      <c r="H4370" s="12">
        <v>48.86</v>
      </c>
      <c r="I4370" t="s">
        <v>3183</v>
      </c>
      <c r="J4370" t="s">
        <v>5</v>
      </c>
      <c r="K4370" t="s">
        <v>664</v>
      </c>
      <c r="L4370" t="s">
        <v>653</v>
      </c>
      <c r="M4370" t="s">
        <v>5</v>
      </c>
    </row>
    <row r="4371" spans="1:13">
      <c r="A4371" t="s">
        <v>851</v>
      </c>
      <c r="B4371" t="s">
        <v>687</v>
      </c>
      <c r="C4371" t="s">
        <v>687</v>
      </c>
      <c r="D4371" t="s">
        <v>3185</v>
      </c>
      <c r="E4371" t="s">
        <v>242</v>
      </c>
      <c r="F4371" t="s">
        <v>663</v>
      </c>
      <c r="G4371">
        <v>2050</v>
      </c>
      <c r="H4371" s="12">
        <v>41.25</v>
      </c>
      <c r="I4371" t="s">
        <v>3183</v>
      </c>
      <c r="J4371" t="s">
        <v>5</v>
      </c>
      <c r="K4371" t="s">
        <v>664</v>
      </c>
      <c r="L4371" t="s">
        <v>653</v>
      </c>
      <c r="M4371" t="s">
        <v>5</v>
      </c>
    </row>
    <row r="4372" spans="1:13">
      <c r="A4372" t="s">
        <v>851</v>
      </c>
      <c r="B4372" t="s">
        <v>686</v>
      </c>
      <c r="C4372" t="s">
        <v>686</v>
      </c>
      <c r="D4372" t="s">
        <v>3185</v>
      </c>
      <c r="E4372" t="s">
        <v>242</v>
      </c>
      <c r="F4372" t="s">
        <v>663</v>
      </c>
      <c r="G4372">
        <v>2010</v>
      </c>
      <c r="H4372" s="12">
        <v>383.96</v>
      </c>
      <c r="I4372" t="s">
        <v>3183</v>
      </c>
      <c r="J4372" t="s">
        <v>394</v>
      </c>
      <c r="K4372" t="s">
        <v>664</v>
      </c>
      <c r="L4372" t="s">
        <v>653</v>
      </c>
      <c r="M4372" t="s">
        <v>16</v>
      </c>
    </row>
    <row r="4373" spans="1:13">
      <c r="A4373" t="s">
        <v>851</v>
      </c>
      <c r="B4373" t="s">
        <v>686</v>
      </c>
      <c r="C4373" t="s">
        <v>686</v>
      </c>
      <c r="D4373" t="s">
        <v>3185</v>
      </c>
      <c r="E4373" t="s">
        <v>242</v>
      </c>
      <c r="F4373" t="s">
        <v>663</v>
      </c>
      <c r="G4373">
        <v>2015</v>
      </c>
      <c r="H4373" s="12">
        <v>459.35</v>
      </c>
      <c r="I4373" t="s">
        <v>3183</v>
      </c>
      <c r="J4373" t="s">
        <v>394</v>
      </c>
      <c r="K4373" t="s">
        <v>664</v>
      </c>
      <c r="L4373" t="s">
        <v>653</v>
      </c>
      <c r="M4373" t="s">
        <v>16</v>
      </c>
    </row>
    <row r="4374" spans="1:13">
      <c r="A4374" t="s">
        <v>851</v>
      </c>
      <c r="B4374" t="s">
        <v>686</v>
      </c>
      <c r="C4374" t="s">
        <v>686</v>
      </c>
      <c r="D4374" t="s">
        <v>3185</v>
      </c>
      <c r="E4374" t="s">
        <v>242</v>
      </c>
      <c r="F4374" t="s">
        <v>663</v>
      </c>
      <c r="G4374">
        <v>2020</v>
      </c>
      <c r="H4374" s="12">
        <v>453.32</v>
      </c>
      <c r="I4374" t="s">
        <v>3183</v>
      </c>
      <c r="J4374" t="s">
        <v>394</v>
      </c>
      <c r="K4374" t="s">
        <v>664</v>
      </c>
      <c r="L4374" t="s">
        <v>653</v>
      </c>
      <c r="M4374" t="s">
        <v>16</v>
      </c>
    </row>
    <row r="4375" spans="1:13">
      <c r="A4375" t="s">
        <v>851</v>
      </c>
      <c r="B4375" t="s">
        <v>686</v>
      </c>
      <c r="C4375" t="s">
        <v>686</v>
      </c>
      <c r="D4375" t="s">
        <v>3185</v>
      </c>
      <c r="E4375" t="s">
        <v>242</v>
      </c>
      <c r="F4375" t="s">
        <v>663</v>
      </c>
      <c r="G4375">
        <v>2030</v>
      </c>
      <c r="H4375" s="12">
        <v>611.51</v>
      </c>
      <c r="I4375" t="s">
        <v>3183</v>
      </c>
      <c r="J4375" t="s">
        <v>394</v>
      </c>
      <c r="K4375" t="s">
        <v>664</v>
      </c>
      <c r="L4375" t="s">
        <v>653</v>
      </c>
      <c r="M4375" t="s">
        <v>16</v>
      </c>
    </row>
    <row r="4376" spans="1:13">
      <c r="A4376" t="s">
        <v>851</v>
      </c>
      <c r="B4376" t="s">
        <v>686</v>
      </c>
      <c r="C4376" t="s">
        <v>686</v>
      </c>
      <c r="D4376" t="s">
        <v>3185</v>
      </c>
      <c r="E4376" t="s">
        <v>242</v>
      </c>
      <c r="F4376" t="s">
        <v>663</v>
      </c>
      <c r="G4376">
        <v>2035</v>
      </c>
      <c r="H4376" s="12">
        <v>708.44</v>
      </c>
      <c r="I4376" t="s">
        <v>3183</v>
      </c>
      <c r="J4376" t="s">
        <v>394</v>
      </c>
      <c r="K4376" t="s">
        <v>664</v>
      </c>
      <c r="L4376" t="s">
        <v>653</v>
      </c>
      <c r="M4376" t="s">
        <v>16</v>
      </c>
    </row>
    <row r="4377" spans="1:13">
      <c r="A4377" t="s">
        <v>851</v>
      </c>
      <c r="B4377" t="s">
        <v>686</v>
      </c>
      <c r="C4377" t="s">
        <v>686</v>
      </c>
      <c r="D4377" t="s">
        <v>3185</v>
      </c>
      <c r="E4377" t="s">
        <v>242</v>
      </c>
      <c r="F4377" t="s">
        <v>663</v>
      </c>
      <c r="G4377">
        <v>2040</v>
      </c>
      <c r="H4377" s="12">
        <v>816.74</v>
      </c>
      <c r="I4377" t="s">
        <v>3183</v>
      </c>
      <c r="J4377" t="s">
        <v>394</v>
      </c>
      <c r="K4377" t="s">
        <v>664</v>
      </c>
      <c r="L4377" t="s">
        <v>653</v>
      </c>
      <c r="M4377" t="s">
        <v>16</v>
      </c>
    </row>
    <row r="4378" spans="1:13">
      <c r="A4378" t="s">
        <v>851</v>
      </c>
      <c r="B4378" t="s">
        <v>686</v>
      </c>
      <c r="C4378" t="s">
        <v>686</v>
      </c>
      <c r="D4378" t="s">
        <v>3185</v>
      </c>
      <c r="E4378" t="s">
        <v>242</v>
      </c>
      <c r="F4378" t="s">
        <v>663</v>
      </c>
      <c r="G4378">
        <v>2045</v>
      </c>
      <c r="H4378" s="12">
        <v>933.42</v>
      </c>
      <c r="I4378" t="s">
        <v>3183</v>
      </c>
      <c r="J4378" t="s">
        <v>394</v>
      </c>
      <c r="K4378" t="s">
        <v>664</v>
      </c>
      <c r="L4378" t="s">
        <v>653</v>
      </c>
      <c r="M4378" t="s">
        <v>16</v>
      </c>
    </row>
    <row r="4379" spans="1:13">
      <c r="A4379" t="s">
        <v>851</v>
      </c>
      <c r="B4379" t="s">
        <v>686</v>
      </c>
      <c r="C4379" t="s">
        <v>686</v>
      </c>
      <c r="D4379" t="s">
        <v>3185</v>
      </c>
      <c r="E4379" t="s">
        <v>242</v>
      </c>
      <c r="F4379" t="s">
        <v>663</v>
      </c>
      <c r="G4379">
        <v>2050</v>
      </c>
      <c r="H4379" s="12">
        <v>1056.43</v>
      </c>
      <c r="I4379" t="s">
        <v>3183</v>
      </c>
      <c r="J4379" t="s">
        <v>394</v>
      </c>
      <c r="K4379" t="s">
        <v>664</v>
      </c>
      <c r="L4379" t="s">
        <v>653</v>
      </c>
      <c r="M4379" t="s">
        <v>16</v>
      </c>
    </row>
    <row r="4380" spans="1:13">
      <c r="A4380" t="s">
        <v>851</v>
      </c>
      <c r="B4380" t="s">
        <v>687</v>
      </c>
      <c r="C4380" t="s">
        <v>687</v>
      </c>
      <c r="D4380" t="s">
        <v>3185</v>
      </c>
      <c r="E4380" t="s">
        <v>242</v>
      </c>
      <c r="F4380" t="s">
        <v>663</v>
      </c>
      <c r="G4380">
        <v>2030</v>
      </c>
      <c r="H4380" s="12">
        <v>591.29</v>
      </c>
      <c r="I4380" t="s">
        <v>3183</v>
      </c>
      <c r="J4380" t="s">
        <v>394</v>
      </c>
      <c r="K4380" t="s">
        <v>664</v>
      </c>
      <c r="L4380" t="s">
        <v>653</v>
      </c>
      <c r="M4380" t="s">
        <v>16</v>
      </c>
    </row>
    <row r="4381" spans="1:13">
      <c r="A4381" t="s">
        <v>851</v>
      </c>
      <c r="B4381" t="s">
        <v>687</v>
      </c>
      <c r="C4381" t="s">
        <v>687</v>
      </c>
      <c r="D4381" t="s">
        <v>3185</v>
      </c>
      <c r="E4381" t="s">
        <v>242</v>
      </c>
      <c r="F4381" t="s">
        <v>663</v>
      </c>
      <c r="G4381">
        <v>2035</v>
      </c>
      <c r="H4381" s="12">
        <v>641.41999999999996</v>
      </c>
      <c r="I4381" t="s">
        <v>3183</v>
      </c>
      <c r="J4381" t="s">
        <v>394</v>
      </c>
      <c r="K4381" t="s">
        <v>664</v>
      </c>
      <c r="L4381" t="s">
        <v>653</v>
      </c>
      <c r="M4381" t="s">
        <v>16</v>
      </c>
    </row>
    <row r="4382" spans="1:13">
      <c r="A4382" t="s">
        <v>851</v>
      </c>
      <c r="B4382" t="s">
        <v>687</v>
      </c>
      <c r="C4382" t="s">
        <v>687</v>
      </c>
      <c r="D4382" t="s">
        <v>3185</v>
      </c>
      <c r="E4382" t="s">
        <v>242</v>
      </c>
      <c r="F4382" t="s">
        <v>663</v>
      </c>
      <c r="G4382">
        <v>2040</v>
      </c>
      <c r="H4382" s="12">
        <v>692.82</v>
      </c>
      <c r="I4382" t="s">
        <v>3183</v>
      </c>
      <c r="J4382" t="s">
        <v>394</v>
      </c>
      <c r="K4382" t="s">
        <v>664</v>
      </c>
      <c r="L4382" t="s">
        <v>653</v>
      </c>
      <c r="M4382" t="s">
        <v>16</v>
      </c>
    </row>
    <row r="4383" spans="1:13">
      <c r="A4383" t="s">
        <v>851</v>
      </c>
      <c r="B4383" t="s">
        <v>687</v>
      </c>
      <c r="C4383" t="s">
        <v>687</v>
      </c>
      <c r="D4383" t="s">
        <v>3185</v>
      </c>
      <c r="E4383" t="s">
        <v>242</v>
      </c>
      <c r="F4383" t="s">
        <v>663</v>
      </c>
      <c r="G4383">
        <v>2045</v>
      </c>
      <c r="H4383" s="12">
        <v>737.18</v>
      </c>
      <c r="I4383" t="s">
        <v>3183</v>
      </c>
      <c r="J4383" t="s">
        <v>394</v>
      </c>
      <c r="K4383" t="s">
        <v>664</v>
      </c>
      <c r="L4383" t="s">
        <v>653</v>
      </c>
      <c r="M4383" t="s">
        <v>16</v>
      </c>
    </row>
    <row r="4384" spans="1:13">
      <c r="A4384" t="s">
        <v>851</v>
      </c>
      <c r="B4384" t="s">
        <v>687</v>
      </c>
      <c r="C4384" t="s">
        <v>687</v>
      </c>
      <c r="D4384" t="s">
        <v>3185</v>
      </c>
      <c r="E4384" t="s">
        <v>242</v>
      </c>
      <c r="F4384" t="s">
        <v>663</v>
      </c>
      <c r="G4384">
        <v>2050</v>
      </c>
      <c r="H4384" s="12">
        <v>734.08</v>
      </c>
      <c r="I4384" t="s">
        <v>3183</v>
      </c>
      <c r="J4384" t="s">
        <v>394</v>
      </c>
      <c r="K4384" t="s">
        <v>664</v>
      </c>
      <c r="L4384" t="s">
        <v>653</v>
      </c>
      <c r="M4384" t="s">
        <v>16</v>
      </c>
    </row>
    <row r="4385" spans="1:13">
      <c r="A4385" t="s">
        <v>851</v>
      </c>
      <c r="B4385" t="s">
        <v>686</v>
      </c>
      <c r="C4385" t="s">
        <v>686</v>
      </c>
      <c r="D4385" t="s">
        <v>3185</v>
      </c>
      <c r="E4385" t="s">
        <v>242</v>
      </c>
      <c r="F4385" t="s">
        <v>663</v>
      </c>
      <c r="G4385">
        <v>2010</v>
      </c>
      <c r="H4385" s="12">
        <v>43.96</v>
      </c>
      <c r="I4385" t="s">
        <v>3183</v>
      </c>
      <c r="J4385" t="s">
        <v>6</v>
      </c>
      <c r="K4385" t="s">
        <v>664</v>
      </c>
      <c r="L4385" t="s">
        <v>653</v>
      </c>
      <c r="M4385" t="s">
        <v>659</v>
      </c>
    </row>
    <row r="4386" spans="1:13">
      <c r="A4386" t="s">
        <v>851</v>
      </c>
      <c r="B4386" t="s">
        <v>686</v>
      </c>
      <c r="C4386" t="s">
        <v>686</v>
      </c>
      <c r="D4386" t="s">
        <v>3185</v>
      </c>
      <c r="E4386" t="s">
        <v>242</v>
      </c>
      <c r="F4386" t="s">
        <v>663</v>
      </c>
      <c r="G4386">
        <v>2015</v>
      </c>
      <c r="H4386" s="12">
        <v>59.47</v>
      </c>
      <c r="I4386" t="s">
        <v>3183</v>
      </c>
      <c r="J4386" t="s">
        <v>6</v>
      </c>
      <c r="K4386" t="s">
        <v>664</v>
      </c>
      <c r="L4386" t="s">
        <v>653</v>
      </c>
      <c r="M4386" t="s">
        <v>659</v>
      </c>
    </row>
    <row r="4387" spans="1:13">
      <c r="A4387" t="s">
        <v>851</v>
      </c>
      <c r="B4387" t="s">
        <v>686</v>
      </c>
      <c r="C4387" t="s">
        <v>686</v>
      </c>
      <c r="D4387" t="s">
        <v>3185</v>
      </c>
      <c r="E4387" t="s">
        <v>242</v>
      </c>
      <c r="F4387" t="s">
        <v>663</v>
      </c>
      <c r="G4387">
        <v>2020</v>
      </c>
      <c r="H4387" s="12">
        <v>72.97</v>
      </c>
      <c r="I4387" t="s">
        <v>3183</v>
      </c>
      <c r="J4387" t="s">
        <v>6</v>
      </c>
      <c r="K4387" t="s">
        <v>664</v>
      </c>
      <c r="L4387" t="s">
        <v>653</v>
      </c>
      <c r="M4387" t="s">
        <v>659</v>
      </c>
    </row>
    <row r="4388" spans="1:13">
      <c r="A4388" t="s">
        <v>851</v>
      </c>
      <c r="B4388" t="s">
        <v>686</v>
      </c>
      <c r="C4388" t="s">
        <v>686</v>
      </c>
      <c r="D4388" t="s">
        <v>3185</v>
      </c>
      <c r="E4388" t="s">
        <v>242</v>
      </c>
      <c r="F4388" t="s">
        <v>663</v>
      </c>
      <c r="G4388">
        <v>2030</v>
      </c>
      <c r="H4388" s="12">
        <v>123.18</v>
      </c>
      <c r="I4388" t="s">
        <v>3183</v>
      </c>
      <c r="J4388" t="s">
        <v>6</v>
      </c>
      <c r="K4388" t="s">
        <v>664</v>
      </c>
      <c r="L4388" t="s">
        <v>653</v>
      </c>
      <c r="M4388" t="s">
        <v>659</v>
      </c>
    </row>
    <row r="4389" spans="1:13">
      <c r="A4389" t="s">
        <v>851</v>
      </c>
      <c r="B4389" t="s">
        <v>686</v>
      </c>
      <c r="C4389" t="s">
        <v>686</v>
      </c>
      <c r="D4389" t="s">
        <v>3185</v>
      </c>
      <c r="E4389" t="s">
        <v>660</v>
      </c>
      <c r="F4389" t="s">
        <v>40</v>
      </c>
      <c r="G4389">
        <v>2030</v>
      </c>
      <c r="H4389" s="12">
        <v>114</v>
      </c>
      <c r="I4389" t="s">
        <v>3183</v>
      </c>
      <c r="J4389" t="s">
        <v>14</v>
      </c>
      <c r="K4389" t="s">
        <v>657</v>
      </c>
      <c r="L4389" t="s">
        <v>654</v>
      </c>
      <c r="M4389" t="s">
        <v>14</v>
      </c>
    </row>
    <row r="4390" spans="1:13">
      <c r="A4390" t="s">
        <v>851</v>
      </c>
      <c r="B4390" t="s">
        <v>686</v>
      </c>
      <c r="C4390" t="s">
        <v>686</v>
      </c>
      <c r="D4390" t="s">
        <v>3185</v>
      </c>
      <c r="E4390" t="s">
        <v>660</v>
      </c>
      <c r="F4390" t="s">
        <v>40</v>
      </c>
      <c r="G4390">
        <v>2035</v>
      </c>
      <c r="H4390" s="12">
        <v>130</v>
      </c>
      <c r="I4390" t="s">
        <v>3183</v>
      </c>
      <c r="J4390" t="s">
        <v>14</v>
      </c>
      <c r="K4390" t="s">
        <v>657</v>
      </c>
      <c r="L4390" t="s">
        <v>654</v>
      </c>
      <c r="M4390" t="s">
        <v>14</v>
      </c>
    </row>
    <row r="4391" spans="1:13">
      <c r="A4391" t="s">
        <v>851</v>
      </c>
      <c r="B4391" t="s">
        <v>686</v>
      </c>
      <c r="C4391" t="s">
        <v>686</v>
      </c>
      <c r="D4391" t="s">
        <v>3185</v>
      </c>
      <c r="E4391" t="s">
        <v>660</v>
      </c>
      <c r="F4391" t="s">
        <v>40</v>
      </c>
      <c r="G4391">
        <v>2040</v>
      </c>
      <c r="H4391" s="12">
        <v>145</v>
      </c>
      <c r="I4391" t="s">
        <v>3183</v>
      </c>
      <c r="J4391" t="s">
        <v>14</v>
      </c>
      <c r="K4391" t="s">
        <v>657</v>
      </c>
      <c r="L4391" t="s">
        <v>654</v>
      </c>
      <c r="M4391" t="s">
        <v>14</v>
      </c>
    </row>
    <row r="4392" spans="1:13">
      <c r="A4392" t="s">
        <v>851</v>
      </c>
      <c r="B4392" t="s">
        <v>686</v>
      </c>
      <c r="C4392" t="s">
        <v>686</v>
      </c>
      <c r="D4392" t="s">
        <v>3185</v>
      </c>
      <c r="E4392" t="s">
        <v>660</v>
      </c>
      <c r="F4392" t="s">
        <v>40</v>
      </c>
      <c r="G4392">
        <v>2045</v>
      </c>
      <c r="H4392" s="12">
        <v>160</v>
      </c>
      <c r="I4392" t="s">
        <v>3183</v>
      </c>
      <c r="J4392" t="s">
        <v>14</v>
      </c>
      <c r="K4392" t="s">
        <v>657</v>
      </c>
      <c r="L4392" t="s">
        <v>654</v>
      </c>
      <c r="M4392" t="s">
        <v>14</v>
      </c>
    </row>
    <row r="4393" spans="1:13">
      <c r="A4393" t="s">
        <v>851</v>
      </c>
      <c r="B4393" t="s">
        <v>686</v>
      </c>
      <c r="C4393" t="s">
        <v>686</v>
      </c>
      <c r="D4393" t="s">
        <v>3185</v>
      </c>
      <c r="E4393" t="s">
        <v>660</v>
      </c>
      <c r="F4393" t="s">
        <v>40</v>
      </c>
      <c r="G4393">
        <v>2050</v>
      </c>
      <c r="H4393" s="12">
        <v>172</v>
      </c>
      <c r="I4393" t="s">
        <v>3183</v>
      </c>
      <c r="J4393" t="s">
        <v>14</v>
      </c>
      <c r="K4393" t="s">
        <v>657</v>
      </c>
      <c r="L4393" t="s">
        <v>654</v>
      </c>
      <c r="M4393" t="s">
        <v>14</v>
      </c>
    </row>
    <row r="4394" spans="1:13">
      <c r="A4394" t="s">
        <v>851</v>
      </c>
      <c r="B4394" t="s">
        <v>687</v>
      </c>
      <c r="C4394" t="s">
        <v>687</v>
      </c>
      <c r="D4394" t="s">
        <v>3185</v>
      </c>
      <c r="E4394" t="s">
        <v>660</v>
      </c>
      <c r="F4394" t="s">
        <v>40</v>
      </c>
      <c r="G4394">
        <v>2030</v>
      </c>
      <c r="H4394" s="12">
        <v>114</v>
      </c>
      <c r="I4394" t="s">
        <v>3183</v>
      </c>
      <c r="J4394" t="s">
        <v>14</v>
      </c>
      <c r="K4394" t="s">
        <v>657</v>
      </c>
      <c r="L4394" t="s">
        <v>654</v>
      </c>
      <c r="M4394" t="s">
        <v>14</v>
      </c>
    </row>
    <row r="4395" spans="1:13">
      <c r="A4395" t="s">
        <v>851</v>
      </c>
      <c r="B4395" t="s">
        <v>687</v>
      </c>
      <c r="C4395" t="s">
        <v>687</v>
      </c>
      <c r="D4395" t="s">
        <v>3185</v>
      </c>
      <c r="E4395" t="s">
        <v>660</v>
      </c>
      <c r="F4395" t="s">
        <v>40</v>
      </c>
      <c r="G4395">
        <v>2035</v>
      </c>
      <c r="H4395" s="12">
        <v>132</v>
      </c>
      <c r="I4395" t="s">
        <v>3183</v>
      </c>
      <c r="J4395" t="s">
        <v>14</v>
      </c>
      <c r="K4395" t="s">
        <v>657</v>
      </c>
      <c r="L4395" t="s">
        <v>654</v>
      </c>
      <c r="M4395" t="s">
        <v>14</v>
      </c>
    </row>
    <row r="4396" spans="1:13">
      <c r="A4396" t="s">
        <v>851</v>
      </c>
      <c r="B4396" t="s">
        <v>687</v>
      </c>
      <c r="C4396" t="s">
        <v>687</v>
      </c>
      <c r="D4396" t="s">
        <v>3185</v>
      </c>
      <c r="E4396" t="s">
        <v>660</v>
      </c>
      <c r="F4396" t="s">
        <v>40</v>
      </c>
      <c r="G4396">
        <v>2040</v>
      </c>
      <c r="H4396" s="12">
        <v>148</v>
      </c>
      <c r="I4396" t="s">
        <v>3183</v>
      </c>
      <c r="J4396" t="s">
        <v>14</v>
      </c>
      <c r="K4396" t="s">
        <v>657</v>
      </c>
      <c r="L4396" t="s">
        <v>654</v>
      </c>
      <c r="M4396" t="s">
        <v>14</v>
      </c>
    </row>
    <row r="4397" spans="1:13">
      <c r="A4397" t="s">
        <v>851</v>
      </c>
      <c r="B4397" t="s">
        <v>687</v>
      </c>
      <c r="C4397" t="s">
        <v>687</v>
      </c>
      <c r="D4397" t="s">
        <v>3185</v>
      </c>
      <c r="E4397" t="s">
        <v>660</v>
      </c>
      <c r="F4397" t="s">
        <v>40</v>
      </c>
      <c r="G4397">
        <v>2045</v>
      </c>
      <c r="H4397" s="12">
        <v>163</v>
      </c>
      <c r="I4397" t="s">
        <v>3183</v>
      </c>
      <c r="J4397" t="s">
        <v>14</v>
      </c>
      <c r="K4397" t="s">
        <v>657</v>
      </c>
      <c r="L4397" t="s">
        <v>654</v>
      </c>
      <c r="M4397" t="s">
        <v>14</v>
      </c>
    </row>
    <row r="4398" spans="1:13">
      <c r="A4398" t="s">
        <v>851</v>
      </c>
      <c r="B4398" t="s">
        <v>686</v>
      </c>
      <c r="C4398" t="s">
        <v>686</v>
      </c>
      <c r="D4398" t="s">
        <v>3185</v>
      </c>
      <c r="E4398" t="s">
        <v>242</v>
      </c>
      <c r="F4398" t="s">
        <v>663</v>
      </c>
      <c r="G4398">
        <v>2035</v>
      </c>
      <c r="H4398" s="12">
        <v>200.4</v>
      </c>
      <c r="I4398" t="s">
        <v>3183</v>
      </c>
      <c r="J4398" t="s">
        <v>6</v>
      </c>
      <c r="K4398" t="s">
        <v>147</v>
      </c>
      <c r="L4398" t="s">
        <v>653</v>
      </c>
      <c r="M4398" t="s">
        <v>659</v>
      </c>
    </row>
    <row r="4399" spans="1:13">
      <c r="A4399" t="s">
        <v>851</v>
      </c>
      <c r="B4399" t="s">
        <v>686</v>
      </c>
      <c r="C4399" t="s">
        <v>686</v>
      </c>
      <c r="D4399" t="s">
        <v>3185</v>
      </c>
      <c r="E4399" t="s">
        <v>242</v>
      </c>
      <c r="F4399" t="s">
        <v>663</v>
      </c>
      <c r="G4399">
        <v>2040</v>
      </c>
      <c r="H4399" s="12">
        <v>207.35</v>
      </c>
      <c r="I4399" t="s">
        <v>3183</v>
      </c>
      <c r="J4399" t="s">
        <v>6</v>
      </c>
      <c r="K4399" t="s">
        <v>147</v>
      </c>
      <c r="L4399" t="s">
        <v>653</v>
      </c>
      <c r="M4399" t="s">
        <v>659</v>
      </c>
    </row>
    <row r="4400" spans="1:13">
      <c r="A4400" t="s">
        <v>851</v>
      </c>
      <c r="B4400" t="s">
        <v>686</v>
      </c>
      <c r="C4400" t="s">
        <v>686</v>
      </c>
      <c r="D4400" t="s">
        <v>3185</v>
      </c>
      <c r="E4400" t="s">
        <v>242</v>
      </c>
      <c r="F4400" t="s">
        <v>663</v>
      </c>
      <c r="G4400">
        <v>2045</v>
      </c>
      <c r="H4400" s="12">
        <v>223.28</v>
      </c>
      <c r="I4400" t="s">
        <v>3183</v>
      </c>
      <c r="J4400" t="s">
        <v>6</v>
      </c>
      <c r="K4400" t="s">
        <v>147</v>
      </c>
      <c r="L4400" t="s">
        <v>653</v>
      </c>
      <c r="M4400" t="s">
        <v>659</v>
      </c>
    </row>
    <row r="4401" spans="1:13">
      <c r="A4401" t="s">
        <v>851</v>
      </c>
      <c r="B4401" t="s">
        <v>686</v>
      </c>
      <c r="C4401" t="s">
        <v>686</v>
      </c>
      <c r="D4401" t="s">
        <v>3185</v>
      </c>
      <c r="E4401" t="s">
        <v>242</v>
      </c>
      <c r="F4401" t="s">
        <v>663</v>
      </c>
      <c r="G4401">
        <v>2050</v>
      </c>
      <c r="H4401" s="12">
        <v>249.84</v>
      </c>
      <c r="I4401" t="s">
        <v>3183</v>
      </c>
      <c r="J4401" t="s">
        <v>6</v>
      </c>
      <c r="K4401" t="s">
        <v>147</v>
      </c>
      <c r="L4401" t="s">
        <v>653</v>
      </c>
      <c r="M4401" t="s">
        <v>659</v>
      </c>
    </row>
    <row r="4402" spans="1:13">
      <c r="A4402" t="s">
        <v>851</v>
      </c>
      <c r="B4402" t="s">
        <v>687</v>
      </c>
      <c r="C4402" t="s">
        <v>687</v>
      </c>
      <c r="D4402" t="s">
        <v>3185</v>
      </c>
      <c r="E4402" t="s">
        <v>242</v>
      </c>
      <c r="F4402" t="s">
        <v>663</v>
      </c>
      <c r="G4402">
        <v>2030</v>
      </c>
      <c r="H4402" s="12">
        <v>152.81</v>
      </c>
      <c r="I4402" t="s">
        <v>3183</v>
      </c>
      <c r="J4402" t="s">
        <v>6</v>
      </c>
      <c r="K4402" t="s">
        <v>147</v>
      </c>
      <c r="L4402" t="s">
        <v>653</v>
      </c>
      <c r="M4402" t="s">
        <v>659</v>
      </c>
    </row>
    <row r="4403" spans="1:13">
      <c r="A4403" t="s">
        <v>851</v>
      </c>
      <c r="B4403" t="s">
        <v>687</v>
      </c>
      <c r="C4403" t="s">
        <v>687</v>
      </c>
      <c r="D4403" t="s">
        <v>3185</v>
      </c>
      <c r="E4403" t="s">
        <v>242</v>
      </c>
      <c r="F4403" t="s">
        <v>663</v>
      </c>
      <c r="G4403">
        <v>2035</v>
      </c>
      <c r="H4403" s="12">
        <v>131.63</v>
      </c>
      <c r="I4403" t="s">
        <v>3183</v>
      </c>
      <c r="J4403" t="s">
        <v>6</v>
      </c>
      <c r="K4403" t="s">
        <v>147</v>
      </c>
      <c r="L4403" t="s">
        <v>653</v>
      </c>
      <c r="M4403" t="s">
        <v>659</v>
      </c>
    </row>
    <row r="4404" spans="1:13">
      <c r="A4404" t="s">
        <v>851</v>
      </c>
      <c r="B4404" t="s">
        <v>687</v>
      </c>
      <c r="C4404" t="s">
        <v>687</v>
      </c>
      <c r="D4404" t="s">
        <v>3185</v>
      </c>
      <c r="E4404" t="s">
        <v>242</v>
      </c>
      <c r="F4404" t="s">
        <v>663</v>
      </c>
      <c r="G4404">
        <v>2040</v>
      </c>
      <c r="H4404" s="12">
        <v>114.24</v>
      </c>
      <c r="I4404" t="s">
        <v>3183</v>
      </c>
      <c r="J4404" t="s">
        <v>6</v>
      </c>
      <c r="K4404" t="s">
        <v>147</v>
      </c>
      <c r="L4404" t="s">
        <v>653</v>
      </c>
      <c r="M4404" t="s">
        <v>659</v>
      </c>
    </row>
    <row r="4405" spans="1:13">
      <c r="A4405" t="s">
        <v>851</v>
      </c>
      <c r="B4405" t="s">
        <v>687</v>
      </c>
      <c r="C4405" t="s">
        <v>687</v>
      </c>
      <c r="D4405" t="s">
        <v>3185</v>
      </c>
      <c r="E4405" t="s">
        <v>242</v>
      </c>
      <c r="F4405" t="s">
        <v>663</v>
      </c>
      <c r="G4405">
        <v>2045</v>
      </c>
      <c r="H4405" s="12">
        <v>106.84</v>
      </c>
      <c r="I4405" t="s">
        <v>3183</v>
      </c>
      <c r="J4405" t="s">
        <v>6</v>
      </c>
      <c r="K4405" t="s">
        <v>147</v>
      </c>
      <c r="L4405" t="s">
        <v>653</v>
      </c>
      <c r="M4405" t="s">
        <v>659</v>
      </c>
    </row>
    <row r="4406" spans="1:13">
      <c r="A4406" t="s">
        <v>851</v>
      </c>
      <c r="B4406" t="s">
        <v>687</v>
      </c>
      <c r="C4406" t="s">
        <v>687</v>
      </c>
      <c r="D4406" t="s">
        <v>3185</v>
      </c>
      <c r="E4406" t="s">
        <v>242</v>
      </c>
      <c r="F4406" t="s">
        <v>663</v>
      </c>
      <c r="G4406">
        <v>2050</v>
      </c>
      <c r="H4406" s="12">
        <v>113.37</v>
      </c>
      <c r="I4406" t="s">
        <v>3183</v>
      </c>
      <c r="J4406" t="s">
        <v>6</v>
      </c>
      <c r="K4406" t="s">
        <v>147</v>
      </c>
      <c r="L4406" t="s">
        <v>653</v>
      </c>
      <c r="M4406" t="s">
        <v>659</v>
      </c>
    </row>
    <row r="4407" spans="1:13">
      <c r="A4407" t="s">
        <v>851</v>
      </c>
      <c r="B4407" t="s">
        <v>686</v>
      </c>
      <c r="C4407" t="s">
        <v>686</v>
      </c>
      <c r="D4407" t="s">
        <v>3185</v>
      </c>
      <c r="E4407" t="s">
        <v>242</v>
      </c>
      <c r="F4407" t="s">
        <v>663</v>
      </c>
      <c r="G4407">
        <v>2010</v>
      </c>
      <c r="H4407" s="12">
        <v>70.77</v>
      </c>
      <c r="I4407" t="s">
        <v>3183</v>
      </c>
      <c r="J4407" t="s">
        <v>5</v>
      </c>
      <c r="K4407" t="s">
        <v>664</v>
      </c>
      <c r="L4407" t="s">
        <v>653</v>
      </c>
      <c r="M4407" t="s">
        <v>5</v>
      </c>
    </row>
    <row r="4408" spans="1:13">
      <c r="A4408" t="s">
        <v>851</v>
      </c>
      <c r="B4408" t="s">
        <v>686</v>
      </c>
      <c r="C4408" t="s">
        <v>686</v>
      </c>
      <c r="D4408" t="s">
        <v>3185</v>
      </c>
      <c r="E4408" t="s">
        <v>242</v>
      </c>
      <c r="F4408" t="s">
        <v>663</v>
      </c>
      <c r="G4408">
        <v>2015</v>
      </c>
      <c r="H4408" s="12">
        <v>81.25</v>
      </c>
      <c r="I4408" t="s">
        <v>3183</v>
      </c>
      <c r="J4408" t="s">
        <v>5</v>
      </c>
      <c r="K4408" t="s">
        <v>664</v>
      </c>
      <c r="L4408" t="s">
        <v>653</v>
      </c>
      <c r="M4408" t="s">
        <v>5</v>
      </c>
    </row>
    <row r="4409" spans="1:13">
      <c r="A4409" t="s">
        <v>851</v>
      </c>
      <c r="B4409" t="s">
        <v>686</v>
      </c>
      <c r="C4409" t="s">
        <v>686</v>
      </c>
      <c r="D4409" t="s">
        <v>3185</v>
      </c>
      <c r="E4409" t="s">
        <v>242</v>
      </c>
      <c r="F4409" t="s">
        <v>663</v>
      </c>
      <c r="G4409">
        <v>2020</v>
      </c>
      <c r="H4409" s="12">
        <v>76.53</v>
      </c>
      <c r="I4409" t="s">
        <v>3183</v>
      </c>
      <c r="J4409" t="s">
        <v>5</v>
      </c>
      <c r="K4409" t="s">
        <v>664</v>
      </c>
      <c r="L4409" t="s">
        <v>653</v>
      </c>
      <c r="M4409" t="s">
        <v>5</v>
      </c>
    </row>
    <row r="4410" spans="1:13">
      <c r="A4410" t="s">
        <v>851</v>
      </c>
      <c r="B4410" t="s">
        <v>686</v>
      </c>
      <c r="C4410" t="s">
        <v>686</v>
      </c>
      <c r="D4410" t="s">
        <v>3185</v>
      </c>
      <c r="E4410" t="s">
        <v>242</v>
      </c>
      <c r="F4410" t="s">
        <v>663</v>
      </c>
      <c r="G4410">
        <v>2035</v>
      </c>
      <c r="H4410" s="12">
        <v>143.81</v>
      </c>
      <c r="I4410" t="s">
        <v>3183</v>
      </c>
      <c r="J4410" t="s">
        <v>6</v>
      </c>
      <c r="K4410" t="s">
        <v>664</v>
      </c>
      <c r="L4410" t="s">
        <v>653</v>
      </c>
      <c r="M4410" t="s">
        <v>659</v>
      </c>
    </row>
    <row r="4411" spans="1:13">
      <c r="A4411" t="s">
        <v>851</v>
      </c>
      <c r="B4411" t="s">
        <v>686</v>
      </c>
      <c r="C4411" t="s">
        <v>686</v>
      </c>
      <c r="D4411" t="s">
        <v>3185</v>
      </c>
      <c r="E4411" t="s">
        <v>242</v>
      </c>
      <c r="F4411" t="s">
        <v>663</v>
      </c>
      <c r="G4411">
        <v>2040</v>
      </c>
      <c r="H4411" s="12">
        <v>165.74</v>
      </c>
      <c r="I4411" t="s">
        <v>3183</v>
      </c>
      <c r="J4411" t="s">
        <v>6</v>
      </c>
      <c r="K4411" t="s">
        <v>664</v>
      </c>
      <c r="L4411" t="s">
        <v>653</v>
      </c>
      <c r="M4411" t="s">
        <v>659</v>
      </c>
    </row>
    <row r="4412" spans="1:13">
      <c r="A4412" t="s">
        <v>851</v>
      </c>
      <c r="B4412" t="s">
        <v>686</v>
      </c>
      <c r="C4412" t="s">
        <v>686</v>
      </c>
      <c r="D4412" t="s">
        <v>3185</v>
      </c>
      <c r="E4412" t="s">
        <v>242</v>
      </c>
      <c r="F4412" t="s">
        <v>663</v>
      </c>
      <c r="G4412">
        <v>2045</v>
      </c>
      <c r="H4412" s="12">
        <v>186.61</v>
      </c>
      <c r="I4412" t="s">
        <v>3183</v>
      </c>
      <c r="J4412" t="s">
        <v>6</v>
      </c>
      <c r="K4412" t="s">
        <v>664</v>
      </c>
      <c r="L4412" t="s">
        <v>653</v>
      </c>
      <c r="M4412" t="s">
        <v>659</v>
      </c>
    </row>
    <row r="4413" spans="1:13">
      <c r="A4413" t="s">
        <v>851</v>
      </c>
      <c r="B4413" t="s">
        <v>686</v>
      </c>
      <c r="C4413" t="s">
        <v>686</v>
      </c>
      <c r="D4413" t="s">
        <v>3185</v>
      </c>
      <c r="E4413" t="s">
        <v>242</v>
      </c>
      <c r="F4413" t="s">
        <v>663</v>
      </c>
      <c r="G4413">
        <v>2050</v>
      </c>
      <c r="H4413" s="12">
        <v>205.46</v>
      </c>
      <c r="I4413" t="s">
        <v>3183</v>
      </c>
      <c r="J4413" t="s">
        <v>6</v>
      </c>
      <c r="K4413" t="s">
        <v>664</v>
      </c>
      <c r="L4413" t="s">
        <v>653</v>
      </c>
      <c r="M4413" t="s">
        <v>659</v>
      </c>
    </row>
    <row r="4414" spans="1:13">
      <c r="A4414" t="s">
        <v>851</v>
      </c>
      <c r="B4414" t="s">
        <v>687</v>
      </c>
      <c r="C4414" t="s">
        <v>687</v>
      </c>
      <c r="D4414" t="s">
        <v>3185</v>
      </c>
      <c r="E4414" t="s">
        <v>242</v>
      </c>
      <c r="F4414" t="s">
        <v>663</v>
      </c>
      <c r="G4414">
        <v>2030</v>
      </c>
      <c r="H4414" s="12">
        <v>113.73</v>
      </c>
      <c r="I4414" t="s">
        <v>3183</v>
      </c>
      <c r="J4414" t="s">
        <v>6</v>
      </c>
      <c r="K4414" t="s">
        <v>664</v>
      </c>
      <c r="L4414" t="s">
        <v>653</v>
      </c>
      <c r="M4414" t="s">
        <v>659</v>
      </c>
    </row>
    <row r="4415" spans="1:13">
      <c r="A4415" t="s">
        <v>851</v>
      </c>
      <c r="B4415" t="s">
        <v>687</v>
      </c>
      <c r="C4415" t="s">
        <v>687</v>
      </c>
      <c r="D4415" t="s">
        <v>3185</v>
      </c>
      <c r="E4415" t="s">
        <v>242</v>
      </c>
      <c r="F4415" t="s">
        <v>663</v>
      </c>
      <c r="G4415">
        <v>2035</v>
      </c>
      <c r="H4415" s="12">
        <v>125.83</v>
      </c>
      <c r="I4415" t="s">
        <v>3183</v>
      </c>
      <c r="J4415" t="s">
        <v>6</v>
      </c>
      <c r="K4415" t="s">
        <v>664</v>
      </c>
      <c r="L4415" t="s">
        <v>653</v>
      </c>
      <c r="M4415" t="s">
        <v>659</v>
      </c>
    </row>
    <row r="4416" spans="1:13">
      <c r="A4416" t="s">
        <v>851</v>
      </c>
      <c r="B4416" t="s">
        <v>687</v>
      </c>
      <c r="C4416" t="s">
        <v>687</v>
      </c>
      <c r="D4416" t="s">
        <v>3185</v>
      </c>
      <c r="E4416" t="s">
        <v>242</v>
      </c>
      <c r="F4416" t="s">
        <v>663</v>
      </c>
      <c r="G4416">
        <v>2040</v>
      </c>
      <c r="H4416" s="12">
        <v>138.59</v>
      </c>
      <c r="I4416" t="s">
        <v>3183</v>
      </c>
      <c r="J4416" t="s">
        <v>6</v>
      </c>
      <c r="K4416" t="s">
        <v>664</v>
      </c>
      <c r="L4416" t="s">
        <v>653</v>
      </c>
      <c r="M4416" t="s">
        <v>659</v>
      </c>
    </row>
    <row r="4417" spans="1:13">
      <c r="A4417" t="s">
        <v>851</v>
      </c>
      <c r="B4417" t="s">
        <v>687</v>
      </c>
      <c r="C4417" t="s">
        <v>687</v>
      </c>
      <c r="D4417" t="s">
        <v>3185</v>
      </c>
      <c r="E4417" t="s">
        <v>242</v>
      </c>
      <c r="F4417" t="s">
        <v>663</v>
      </c>
      <c r="G4417">
        <v>2045</v>
      </c>
      <c r="H4417" s="12">
        <v>149.9</v>
      </c>
      <c r="I4417" t="s">
        <v>3183</v>
      </c>
      <c r="J4417" t="s">
        <v>6</v>
      </c>
      <c r="K4417" t="s">
        <v>664</v>
      </c>
      <c r="L4417" t="s">
        <v>653</v>
      </c>
      <c r="M4417" t="s">
        <v>659</v>
      </c>
    </row>
    <row r="4418" spans="1:13">
      <c r="A4418" t="s">
        <v>851</v>
      </c>
      <c r="B4418" t="s">
        <v>687</v>
      </c>
      <c r="C4418" t="s">
        <v>687</v>
      </c>
      <c r="D4418" t="s">
        <v>3185</v>
      </c>
      <c r="E4418" t="s">
        <v>242</v>
      </c>
      <c r="F4418" t="s">
        <v>663</v>
      </c>
      <c r="G4418">
        <v>2050</v>
      </c>
      <c r="H4418" s="12">
        <v>158.91</v>
      </c>
      <c r="I4418" t="s">
        <v>3183</v>
      </c>
      <c r="J4418" t="s">
        <v>6</v>
      </c>
      <c r="K4418" t="s">
        <v>664</v>
      </c>
      <c r="L4418" t="s">
        <v>653</v>
      </c>
      <c r="M4418" t="s">
        <v>659</v>
      </c>
    </row>
    <row r="4419" spans="1:13">
      <c r="A4419" t="s">
        <v>851</v>
      </c>
      <c r="B4419" t="s">
        <v>686</v>
      </c>
      <c r="C4419" t="s">
        <v>686</v>
      </c>
      <c r="D4419" t="s">
        <v>3185</v>
      </c>
      <c r="E4419" t="s">
        <v>656</v>
      </c>
      <c r="F4419" t="s">
        <v>31</v>
      </c>
      <c r="G4419">
        <v>2020</v>
      </c>
      <c r="H4419" s="12">
        <v>112.53</v>
      </c>
      <c r="I4419" t="s">
        <v>3183</v>
      </c>
      <c r="J4419" t="s">
        <v>6</v>
      </c>
      <c r="K4419" t="s">
        <v>147</v>
      </c>
      <c r="L4419" t="s">
        <v>653</v>
      </c>
      <c r="M4419" t="s">
        <v>666</v>
      </c>
    </row>
    <row r="4420" spans="1:13">
      <c r="A4420" t="s">
        <v>851</v>
      </c>
      <c r="B4420" t="s">
        <v>686</v>
      </c>
      <c r="C4420" t="s">
        <v>686</v>
      </c>
      <c r="D4420" t="s">
        <v>3185</v>
      </c>
      <c r="E4420" t="s">
        <v>656</v>
      </c>
      <c r="F4420" t="s">
        <v>31</v>
      </c>
      <c r="G4420">
        <v>2030</v>
      </c>
      <c r="H4420" s="12">
        <v>126.05</v>
      </c>
      <c r="I4420" t="s">
        <v>3183</v>
      </c>
      <c r="J4420" t="s">
        <v>6</v>
      </c>
      <c r="K4420" t="s">
        <v>147</v>
      </c>
      <c r="L4420" t="s">
        <v>653</v>
      </c>
      <c r="M4420" t="s">
        <v>666</v>
      </c>
    </row>
    <row r="4421" spans="1:13">
      <c r="A4421" t="s">
        <v>851</v>
      </c>
      <c r="B4421" t="s">
        <v>686</v>
      </c>
      <c r="C4421" t="s">
        <v>686</v>
      </c>
      <c r="D4421" t="s">
        <v>3185</v>
      </c>
      <c r="E4421" t="s">
        <v>656</v>
      </c>
      <c r="F4421" t="s">
        <v>31</v>
      </c>
      <c r="G4421">
        <v>2035</v>
      </c>
      <c r="H4421" s="12">
        <v>141.12</v>
      </c>
      <c r="I4421" t="s">
        <v>3183</v>
      </c>
      <c r="J4421" t="s">
        <v>6</v>
      </c>
      <c r="K4421" t="s">
        <v>147</v>
      </c>
      <c r="L4421" t="s">
        <v>653</v>
      </c>
      <c r="M4421" t="s">
        <v>666</v>
      </c>
    </row>
    <row r="4422" spans="1:13">
      <c r="A4422" t="s">
        <v>851</v>
      </c>
      <c r="B4422" t="s">
        <v>686</v>
      </c>
      <c r="C4422" t="s">
        <v>686</v>
      </c>
      <c r="D4422" t="s">
        <v>3185</v>
      </c>
      <c r="E4422" t="s">
        <v>242</v>
      </c>
      <c r="F4422" t="s">
        <v>663</v>
      </c>
      <c r="G4422">
        <v>2010</v>
      </c>
      <c r="H4422" s="12">
        <v>262.57</v>
      </c>
      <c r="I4422" t="s">
        <v>3183</v>
      </c>
      <c r="J4422" t="s">
        <v>5</v>
      </c>
      <c r="K4422" t="s">
        <v>147</v>
      </c>
      <c r="L4422" t="s">
        <v>653</v>
      </c>
      <c r="M4422" t="s">
        <v>5</v>
      </c>
    </row>
    <row r="4423" spans="1:13">
      <c r="A4423" t="s">
        <v>851</v>
      </c>
      <c r="B4423" t="s">
        <v>686</v>
      </c>
      <c r="C4423" t="s">
        <v>686</v>
      </c>
      <c r="D4423" t="s">
        <v>3185</v>
      </c>
      <c r="E4423" t="s">
        <v>242</v>
      </c>
      <c r="F4423" t="s">
        <v>663</v>
      </c>
      <c r="G4423">
        <v>2015</v>
      </c>
      <c r="H4423" s="12">
        <v>260.95</v>
      </c>
      <c r="I4423" t="s">
        <v>3183</v>
      </c>
      <c r="J4423" t="s">
        <v>5</v>
      </c>
      <c r="K4423" t="s">
        <v>147</v>
      </c>
      <c r="L4423" t="s">
        <v>653</v>
      </c>
      <c r="M4423" t="s">
        <v>5</v>
      </c>
    </row>
    <row r="4424" spans="1:13">
      <c r="A4424" t="s">
        <v>851</v>
      </c>
      <c r="B4424" t="s">
        <v>686</v>
      </c>
      <c r="C4424" t="s">
        <v>686</v>
      </c>
      <c r="D4424" t="s">
        <v>3185</v>
      </c>
      <c r="E4424" t="s">
        <v>242</v>
      </c>
      <c r="F4424" t="s">
        <v>663</v>
      </c>
      <c r="G4424">
        <v>2020</v>
      </c>
      <c r="H4424" s="12">
        <v>254.69</v>
      </c>
      <c r="I4424" t="s">
        <v>3183</v>
      </c>
      <c r="J4424" t="s">
        <v>5</v>
      </c>
      <c r="K4424" t="s">
        <v>147</v>
      </c>
      <c r="L4424" t="s">
        <v>653</v>
      </c>
      <c r="M4424" t="s">
        <v>5</v>
      </c>
    </row>
    <row r="4425" spans="1:13">
      <c r="A4425" t="s">
        <v>851</v>
      </c>
      <c r="B4425" t="s">
        <v>686</v>
      </c>
      <c r="C4425" t="s">
        <v>686</v>
      </c>
      <c r="D4425" t="s">
        <v>3185</v>
      </c>
      <c r="E4425" t="s">
        <v>242</v>
      </c>
      <c r="F4425" t="s">
        <v>663</v>
      </c>
      <c r="G4425">
        <v>2030</v>
      </c>
      <c r="H4425" s="12">
        <v>208.61</v>
      </c>
      <c r="I4425" t="s">
        <v>3183</v>
      </c>
      <c r="J4425" t="s">
        <v>5</v>
      </c>
      <c r="K4425" t="s">
        <v>147</v>
      </c>
      <c r="L4425" t="s">
        <v>653</v>
      </c>
      <c r="M4425" t="s">
        <v>5</v>
      </c>
    </row>
    <row r="4426" spans="1:13">
      <c r="A4426" t="s">
        <v>851</v>
      </c>
      <c r="B4426" t="s">
        <v>686</v>
      </c>
      <c r="C4426" t="s">
        <v>686</v>
      </c>
      <c r="D4426" t="s">
        <v>3185</v>
      </c>
      <c r="E4426" t="s">
        <v>242</v>
      </c>
      <c r="F4426" t="s">
        <v>663</v>
      </c>
      <c r="G4426">
        <v>2035</v>
      </c>
      <c r="H4426" s="12">
        <v>177.78</v>
      </c>
      <c r="I4426" t="s">
        <v>3183</v>
      </c>
      <c r="J4426" t="s">
        <v>5</v>
      </c>
      <c r="K4426" t="s">
        <v>147</v>
      </c>
      <c r="L4426" t="s">
        <v>653</v>
      </c>
      <c r="M4426" t="s">
        <v>5</v>
      </c>
    </row>
    <row r="4427" spans="1:13">
      <c r="A4427" t="s">
        <v>851</v>
      </c>
      <c r="B4427" t="s">
        <v>686</v>
      </c>
      <c r="C4427" t="s">
        <v>686</v>
      </c>
      <c r="D4427" t="s">
        <v>3185</v>
      </c>
      <c r="E4427" t="s">
        <v>242</v>
      </c>
      <c r="F4427" t="s">
        <v>663</v>
      </c>
      <c r="G4427">
        <v>2040</v>
      </c>
      <c r="H4427" s="12">
        <v>135.58000000000001</v>
      </c>
      <c r="I4427" t="s">
        <v>3183</v>
      </c>
      <c r="J4427" t="s">
        <v>5</v>
      </c>
      <c r="K4427" t="s">
        <v>147</v>
      </c>
      <c r="L4427" t="s">
        <v>653</v>
      </c>
      <c r="M4427" t="s">
        <v>5</v>
      </c>
    </row>
    <row r="4428" spans="1:13">
      <c r="A4428" t="s">
        <v>851</v>
      </c>
      <c r="B4428" t="s">
        <v>686</v>
      </c>
      <c r="C4428" t="s">
        <v>686</v>
      </c>
      <c r="D4428" t="s">
        <v>3185</v>
      </c>
      <c r="E4428" t="s">
        <v>242</v>
      </c>
      <c r="F4428" t="s">
        <v>663</v>
      </c>
      <c r="G4428">
        <v>2045</v>
      </c>
      <c r="H4428" s="12">
        <v>115.03</v>
      </c>
      <c r="I4428" t="s">
        <v>3183</v>
      </c>
      <c r="J4428" t="s">
        <v>5</v>
      </c>
      <c r="K4428" t="s">
        <v>147</v>
      </c>
      <c r="L4428" t="s">
        <v>653</v>
      </c>
      <c r="M4428" t="s">
        <v>5</v>
      </c>
    </row>
    <row r="4429" spans="1:13">
      <c r="A4429" t="s">
        <v>851</v>
      </c>
      <c r="B4429" t="s">
        <v>686</v>
      </c>
      <c r="C4429" t="s">
        <v>686</v>
      </c>
      <c r="D4429" t="s">
        <v>3185</v>
      </c>
      <c r="E4429" t="s">
        <v>242</v>
      </c>
      <c r="F4429" t="s">
        <v>663</v>
      </c>
      <c r="G4429">
        <v>2050</v>
      </c>
      <c r="H4429" s="12">
        <v>100.54</v>
      </c>
      <c r="I4429" t="s">
        <v>3183</v>
      </c>
      <c r="J4429" t="s">
        <v>5</v>
      </c>
      <c r="K4429" t="s">
        <v>147</v>
      </c>
      <c r="L4429" t="s">
        <v>653</v>
      </c>
      <c r="M4429" t="s">
        <v>5</v>
      </c>
    </row>
    <row r="4430" spans="1:13">
      <c r="A4430" t="s">
        <v>851</v>
      </c>
      <c r="B4430" t="s">
        <v>687</v>
      </c>
      <c r="C4430" t="s">
        <v>687</v>
      </c>
      <c r="D4430" t="s">
        <v>3185</v>
      </c>
      <c r="E4430" t="s">
        <v>242</v>
      </c>
      <c r="F4430" t="s">
        <v>663</v>
      </c>
      <c r="G4430">
        <v>2030</v>
      </c>
      <c r="H4430" s="12">
        <v>174.78</v>
      </c>
      <c r="I4430" t="s">
        <v>3183</v>
      </c>
      <c r="J4430" t="s">
        <v>5</v>
      </c>
      <c r="K4430" t="s">
        <v>147</v>
      </c>
      <c r="L4430" t="s">
        <v>653</v>
      </c>
      <c r="M4430" t="s">
        <v>5</v>
      </c>
    </row>
    <row r="4431" spans="1:13">
      <c r="A4431" t="s">
        <v>851</v>
      </c>
      <c r="B4431" t="s">
        <v>687</v>
      </c>
      <c r="C4431" t="s">
        <v>687</v>
      </c>
      <c r="D4431" t="s">
        <v>3185</v>
      </c>
      <c r="E4431" t="s">
        <v>242</v>
      </c>
      <c r="F4431" t="s">
        <v>663</v>
      </c>
      <c r="G4431">
        <v>2035</v>
      </c>
      <c r="H4431" s="12">
        <v>107.58</v>
      </c>
      <c r="I4431" t="s">
        <v>3183</v>
      </c>
      <c r="J4431" t="s">
        <v>5</v>
      </c>
      <c r="K4431" t="s">
        <v>147</v>
      </c>
      <c r="L4431" t="s">
        <v>653</v>
      </c>
      <c r="M4431" t="s">
        <v>5</v>
      </c>
    </row>
    <row r="4432" spans="1:13">
      <c r="A4432" t="s">
        <v>851</v>
      </c>
      <c r="B4432" t="s">
        <v>687</v>
      </c>
      <c r="C4432" t="s">
        <v>687</v>
      </c>
      <c r="D4432" t="s">
        <v>3185</v>
      </c>
      <c r="E4432" t="s">
        <v>242</v>
      </c>
      <c r="F4432" t="s">
        <v>663</v>
      </c>
      <c r="G4432">
        <v>2040</v>
      </c>
      <c r="H4432" s="12">
        <v>48.5</v>
      </c>
      <c r="I4432" t="s">
        <v>3183</v>
      </c>
      <c r="J4432" t="s">
        <v>5</v>
      </c>
      <c r="K4432" t="s">
        <v>147</v>
      </c>
      <c r="L4432" t="s">
        <v>653</v>
      </c>
      <c r="M4432" t="s">
        <v>5</v>
      </c>
    </row>
    <row r="4433" spans="1:13">
      <c r="A4433" t="s">
        <v>851</v>
      </c>
      <c r="B4433" t="s">
        <v>687</v>
      </c>
      <c r="C4433" t="s">
        <v>687</v>
      </c>
      <c r="D4433" t="s">
        <v>3185</v>
      </c>
      <c r="E4433" t="s">
        <v>242</v>
      </c>
      <c r="F4433" t="s">
        <v>663</v>
      </c>
      <c r="G4433">
        <v>2045</v>
      </c>
      <c r="H4433" s="12">
        <v>21.84</v>
      </c>
      <c r="I4433" t="s">
        <v>3183</v>
      </c>
      <c r="J4433" t="s">
        <v>5</v>
      </c>
      <c r="K4433" t="s">
        <v>147</v>
      </c>
      <c r="L4433" t="s">
        <v>653</v>
      </c>
      <c r="M4433" t="s">
        <v>5</v>
      </c>
    </row>
    <row r="4434" spans="1:13">
      <c r="A4434" t="s">
        <v>851</v>
      </c>
      <c r="B4434" t="s">
        <v>687</v>
      </c>
      <c r="C4434" t="s">
        <v>687</v>
      </c>
      <c r="D4434" t="s">
        <v>3185</v>
      </c>
      <c r="E4434" t="s">
        <v>242</v>
      </c>
      <c r="F4434" t="s">
        <v>663</v>
      </c>
      <c r="G4434">
        <v>2050</v>
      </c>
      <c r="H4434" s="12">
        <v>17.170000000000002</v>
      </c>
      <c r="I4434" t="s">
        <v>3183</v>
      </c>
      <c r="J4434" t="s">
        <v>5</v>
      </c>
      <c r="K4434" t="s">
        <v>147</v>
      </c>
      <c r="L4434" t="s">
        <v>653</v>
      </c>
      <c r="M4434" t="s">
        <v>5</v>
      </c>
    </row>
    <row r="4435" spans="1:13">
      <c r="A4435" t="s">
        <v>851</v>
      </c>
      <c r="B4435" t="s">
        <v>686</v>
      </c>
      <c r="C4435" t="s">
        <v>686</v>
      </c>
      <c r="D4435" t="s">
        <v>3185</v>
      </c>
      <c r="E4435" t="s">
        <v>242</v>
      </c>
      <c r="F4435" t="s">
        <v>663</v>
      </c>
      <c r="G4435">
        <v>2010</v>
      </c>
      <c r="H4435" s="12">
        <v>54.6</v>
      </c>
      <c r="I4435" t="s">
        <v>3183</v>
      </c>
      <c r="J4435" t="s">
        <v>394</v>
      </c>
      <c r="K4435" t="s">
        <v>147</v>
      </c>
      <c r="L4435" t="s">
        <v>653</v>
      </c>
      <c r="M4435" t="s">
        <v>16</v>
      </c>
    </row>
    <row r="4436" spans="1:13">
      <c r="A4436" t="s">
        <v>851</v>
      </c>
      <c r="B4436" t="s">
        <v>686</v>
      </c>
      <c r="C4436" t="s">
        <v>686</v>
      </c>
      <c r="D4436" t="s">
        <v>3185</v>
      </c>
      <c r="E4436" t="s">
        <v>242</v>
      </c>
      <c r="F4436" t="s">
        <v>663</v>
      </c>
      <c r="G4436">
        <v>2015</v>
      </c>
      <c r="H4436" s="12">
        <v>75.47</v>
      </c>
      <c r="I4436" t="s">
        <v>3183</v>
      </c>
      <c r="J4436" t="s">
        <v>394</v>
      </c>
      <c r="K4436" t="s">
        <v>147</v>
      </c>
      <c r="L4436" t="s">
        <v>653</v>
      </c>
      <c r="M4436" t="s">
        <v>16</v>
      </c>
    </row>
    <row r="4437" spans="1:13">
      <c r="A4437" t="s">
        <v>851</v>
      </c>
      <c r="B4437" t="s">
        <v>686</v>
      </c>
      <c r="C4437" t="s">
        <v>686</v>
      </c>
      <c r="D4437" t="s">
        <v>3185</v>
      </c>
      <c r="E4437" t="s">
        <v>242</v>
      </c>
      <c r="F4437" t="s">
        <v>663</v>
      </c>
      <c r="G4437">
        <v>2020</v>
      </c>
      <c r="H4437" s="12">
        <v>37.700000000000003</v>
      </c>
      <c r="I4437" t="s">
        <v>3183</v>
      </c>
      <c r="J4437" t="s">
        <v>394</v>
      </c>
      <c r="K4437" t="s">
        <v>147</v>
      </c>
      <c r="L4437" t="s">
        <v>653</v>
      </c>
      <c r="M4437" t="s">
        <v>16</v>
      </c>
    </row>
    <row r="4438" spans="1:13">
      <c r="A4438" t="s">
        <v>851</v>
      </c>
      <c r="B4438" t="s">
        <v>686</v>
      </c>
      <c r="C4438" t="s">
        <v>686</v>
      </c>
      <c r="D4438" t="s">
        <v>3185</v>
      </c>
      <c r="E4438" t="s">
        <v>242</v>
      </c>
      <c r="F4438" t="s">
        <v>663</v>
      </c>
      <c r="G4438">
        <v>2030</v>
      </c>
      <c r="H4438" s="12">
        <v>52.03</v>
      </c>
      <c r="I4438" t="s">
        <v>3183</v>
      </c>
      <c r="J4438" t="s">
        <v>394</v>
      </c>
      <c r="K4438" t="s">
        <v>147</v>
      </c>
      <c r="L4438" t="s">
        <v>653</v>
      </c>
      <c r="M4438" t="s">
        <v>16</v>
      </c>
    </row>
    <row r="4439" spans="1:13">
      <c r="A4439" t="s">
        <v>851</v>
      </c>
      <c r="B4439" t="s">
        <v>686</v>
      </c>
      <c r="C4439" t="s">
        <v>686</v>
      </c>
      <c r="D4439" t="s">
        <v>3185</v>
      </c>
      <c r="E4439" t="s">
        <v>242</v>
      </c>
      <c r="F4439" t="s">
        <v>663</v>
      </c>
      <c r="G4439">
        <v>2035</v>
      </c>
      <c r="H4439" s="12">
        <v>54.72</v>
      </c>
      <c r="I4439" t="s">
        <v>3183</v>
      </c>
      <c r="J4439" t="s">
        <v>394</v>
      </c>
      <c r="K4439" t="s">
        <v>147</v>
      </c>
      <c r="L4439" t="s">
        <v>653</v>
      </c>
      <c r="M4439" t="s">
        <v>16</v>
      </c>
    </row>
    <row r="4440" spans="1:13">
      <c r="A4440" t="s">
        <v>851</v>
      </c>
      <c r="B4440" t="s">
        <v>686</v>
      </c>
      <c r="C4440" t="s">
        <v>686</v>
      </c>
      <c r="D4440" t="s">
        <v>3185</v>
      </c>
      <c r="E4440" t="s">
        <v>242</v>
      </c>
      <c r="F4440" t="s">
        <v>663</v>
      </c>
      <c r="G4440">
        <v>2040</v>
      </c>
      <c r="H4440" s="12">
        <v>53.4</v>
      </c>
      <c r="I4440" t="s">
        <v>3183</v>
      </c>
      <c r="J4440" t="s">
        <v>394</v>
      </c>
      <c r="K4440" t="s">
        <v>147</v>
      </c>
      <c r="L4440" t="s">
        <v>653</v>
      </c>
      <c r="M4440" t="s">
        <v>16</v>
      </c>
    </row>
    <row r="4441" spans="1:13">
      <c r="A4441" t="s">
        <v>851</v>
      </c>
      <c r="B4441" t="s">
        <v>686</v>
      </c>
      <c r="C4441" t="s">
        <v>686</v>
      </c>
      <c r="D4441" t="s">
        <v>3185</v>
      </c>
      <c r="E4441" t="s">
        <v>242</v>
      </c>
      <c r="F4441" t="s">
        <v>663</v>
      </c>
      <c r="G4441">
        <v>2045</v>
      </c>
      <c r="H4441" s="12">
        <v>50.84</v>
      </c>
      <c r="I4441" t="s">
        <v>3183</v>
      </c>
      <c r="J4441" t="s">
        <v>394</v>
      </c>
      <c r="K4441" t="s">
        <v>147</v>
      </c>
      <c r="L4441" t="s">
        <v>653</v>
      </c>
      <c r="M4441" t="s">
        <v>16</v>
      </c>
    </row>
    <row r="4442" spans="1:13">
      <c r="A4442" t="s">
        <v>851</v>
      </c>
      <c r="B4442" t="s">
        <v>686</v>
      </c>
      <c r="C4442" t="s">
        <v>686</v>
      </c>
      <c r="D4442" t="s">
        <v>3185</v>
      </c>
      <c r="E4442" t="s">
        <v>242</v>
      </c>
      <c r="F4442" t="s">
        <v>663</v>
      </c>
      <c r="G4442">
        <v>2050</v>
      </c>
      <c r="H4442" s="12">
        <v>49.98</v>
      </c>
      <c r="I4442" t="s">
        <v>3183</v>
      </c>
      <c r="J4442" t="s">
        <v>394</v>
      </c>
      <c r="K4442" t="s">
        <v>147</v>
      </c>
      <c r="L4442" t="s">
        <v>653</v>
      </c>
      <c r="M4442" t="s">
        <v>16</v>
      </c>
    </row>
    <row r="4443" spans="1:13">
      <c r="A4443" t="s">
        <v>851</v>
      </c>
      <c r="B4443" t="s">
        <v>687</v>
      </c>
      <c r="C4443" t="s">
        <v>687</v>
      </c>
      <c r="D4443" t="s">
        <v>3185</v>
      </c>
      <c r="E4443" t="s">
        <v>242</v>
      </c>
      <c r="F4443" t="s">
        <v>663</v>
      </c>
      <c r="G4443">
        <v>2030</v>
      </c>
      <c r="H4443" s="12">
        <v>60.92</v>
      </c>
      <c r="I4443" t="s">
        <v>3183</v>
      </c>
      <c r="J4443" t="s">
        <v>394</v>
      </c>
      <c r="K4443" t="s">
        <v>147</v>
      </c>
      <c r="L4443" t="s">
        <v>653</v>
      </c>
      <c r="M4443" t="s">
        <v>16</v>
      </c>
    </row>
    <row r="4444" spans="1:13">
      <c r="A4444" t="s">
        <v>851</v>
      </c>
      <c r="B4444" t="s">
        <v>687</v>
      </c>
      <c r="C4444" t="s">
        <v>687</v>
      </c>
      <c r="D4444" t="s">
        <v>3185</v>
      </c>
      <c r="E4444" t="s">
        <v>242</v>
      </c>
      <c r="F4444" t="s">
        <v>663</v>
      </c>
      <c r="G4444">
        <v>2035</v>
      </c>
      <c r="H4444" s="12">
        <v>67.010000000000005</v>
      </c>
      <c r="I4444" t="s">
        <v>3183</v>
      </c>
      <c r="J4444" t="s">
        <v>394</v>
      </c>
      <c r="K4444" t="s">
        <v>147</v>
      </c>
      <c r="L4444" t="s">
        <v>653</v>
      </c>
      <c r="M4444" t="s">
        <v>16</v>
      </c>
    </row>
    <row r="4445" spans="1:13">
      <c r="A4445" t="s">
        <v>851</v>
      </c>
      <c r="B4445" t="s">
        <v>687</v>
      </c>
      <c r="C4445" t="s">
        <v>687</v>
      </c>
      <c r="D4445" t="s">
        <v>3185</v>
      </c>
      <c r="E4445" t="s">
        <v>242</v>
      </c>
      <c r="F4445" t="s">
        <v>663</v>
      </c>
      <c r="G4445">
        <v>2040</v>
      </c>
      <c r="H4445" s="12">
        <v>62.17</v>
      </c>
      <c r="I4445" t="s">
        <v>3183</v>
      </c>
      <c r="J4445" t="s">
        <v>394</v>
      </c>
      <c r="K4445" t="s">
        <v>147</v>
      </c>
      <c r="L4445" t="s">
        <v>653</v>
      </c>
      <c r="M4445" t="s">
        <v>16</v>
      </c>
    </row>
    <row r="4446" spans="1:13">
      <c r="A4446" t="s">
        <v>851</v>
      </c>
      <c r="B4446" t="s">
        <v>687</v>
      </c>
      <c r="C4446" t="s">
        <v>687</v>
      </c>
      <c r="D4446" t="s">
        <v>3185</v>
      </c>
      <c r="E4446" t="s">
        <v>242</v>
      </c>
      <c r="F4446" t="s">
        <v>663</v>
      </c>
      <c r="G4446">
        <v>2045</v>
      </c>
      <c r="H4446" s="12">
        <v>50.37</v>
      </c>
      <c r="I4446" t="s">
        <v>3183</v>
      </c>
      <c r="J4446" t="s">
        <v>394</v>
      </c>
      <c r="K4446" t="s">
        <v>147</v>
      </c>
      <c r="L4446" t="s">
        <v>653</v>
      </c>
      <c r="M4446" t="s">
        <v>16</v>
      </c>
    </row>
    <row r="4447" spans="1:13">
      <c r="A4447" t="s">
        <v>851</v>
      </c>
      <c r="B4447" t="s">
        <v>687</v>
      </c>
      <c r="C4447" t="s">
        <v>687</v>
      </c>
      <c r="D4447" t="s">
        <v>3185</v>
      </c>
      <c r="E4447" t="s">
        <v>242</v>
      </c>
      <c r="F4447" t="s">
        <v>663</v>
      </c>
      <c r="G4447">
        <v>2050</v>
      </c>
      <c r="H4447" s="12">
        <v>38.65</v>
      </c>
      <c r="I4447" t="s">
        <v>3183</v>
      </c>
      <c r="J4447" t="s">
        <v>394</v>
      </c>
      <c r="K4447" t="s">
        <v>147</v>
      </c>
      <c r="L4447" t="s">
        <v>653</v>
      </c>
      <c r="M4447" t="s">
        <v>16</v>
      </c>
    </row>
    <row r="4448" spans="1:13">
      <c r="A4448" t="s">
        <v>851</v>
      </c>
      <c r="B4448" t="s">
        <v>686</v>
      </c>
      <c r="C4448" t="s">
        <v>686</v>
      </c>
      <c r="D4448" t="s">
        <v>3185</v>
      </c>
      <c r="E4448" t="s">
        <v>242</v>
      </c>
      <c r="F4448" t="s">
        <v>663</v>
      </c>
      <c r="G4448">
        <v>2010</v>
      </c>
      <c r="H4448" s="12">
        <v>103.39</v>
      </c>
      <c r="I4448" t="s">
        <v>3183</v>
      </c>
      <c r="J4448" t="s">
        <v>6</v>
      </c>
      <c r="K4448" t="s">
        <v>147</v>
      </c>
      <c r="L4448" t="s">
        <v>653</v>
      </c>
      <c r="M4448" t="s">
        <v>659</v>
      </c>
    </row>
    <row r="4449" spans="1:13">
      <c r="A4449" t="s">
        <v>851</v>
      </c>
      <c r="B4449" t="s">
        <v>686</v>
      </c>
      <c r="C4449" t="s">
        <v>686</v>
      </c>
      <c r="D4449" t="s">
        <v>3185</v>
      </c>
      <c r="E4449" t="s">
        <v>242</v>
      </c>
      <c r="F4449" t="s">
        <v>663</v>
      </c>
      <c r="G4449">
        <v>2015</v>
      </c>
      <c r="H4449" s="12">
        <v>136.35</v>
      </c>
      <c r="I4449" t="s">
        <v>3183</v>
      </c>
      <c r="J4449" t="s">
        <v>6</v>
      </c>
      <c r="K4449" t="s">
        <v>147</v>
      </c>
      <c r="L4449" t="s">
        <v>653</v>
      </c>
      <c r="M4449" t="s">
        <v>659</v>
      </c>
    </row>
    <row r="4450" spans="1:13">
      <c r="A4450" t="s">
        <v>851</v>
      </c>
      <c r="B4450" t="s">
        <v>686</v>
      </c>
      <c r="C4450" t="s">
        <v>686</v>
      </c>
      <c r="D4450" t="s">
        <v>3185</v>
      </c>
      <c r="E4450" t="s">
        <v>242</v>
      </c>
      <c r="F4450" t="s">
        <v>663</v>
      </c>
      <c r="G4450">
        <v>2020</v>
      </c>
      <c r="H4450" s="12">
        <v>161.6</v>
      </c>
      <c r="I4450" t="s">
        <v>3183</v>
      </c>
      <c r="J4450" t="s">
        <v>6</v>
      </c>
      <c r="K4450" t="s">
        <v>147</v>
      </c>
      <c r="L4450" t="s">
        <v>653</v>
      </c>
      <c r="M4450" t="s">
        <v>659</v>
      </c>
    </row>
    <row r="4451" spans="1:13">
      <c r="A4451" t="s">
        <v>851</v>
      </c>
      <c r="B4451" t="s">
        <v>686</v>
      </c>
      <c r="C4451" t="s">
        <v>686</v>
      </c>
      <c r="D4451" t="s">
        <v>3185</v>
      </c>
      <c r="E4451" t="s">
        <v>242</v>
      </c>
      <c r="F4451" t="s">
        <v>663</v>
      </c>
      <c r="G4451">
        <v>2030</v>
      </c>
      <c r="H4451" s="12">
        <v>193.91</v>
      </c>
      <c r="I4451" t="s">
        <v>3183</v>
      </c>
      <c r="J4451" t="s">
        <v>6</v>
      </c>
      <c r="K4451" t="s">
        <v>147</v>
      </c>
      <c r="L4451" t="s">
        <v>653</v>
      </c>
      <c r="M4451" t="s">
        <v>659</v>
      </c>
    </row>
    <row r="4452" spans="1:13">
      <c r="A4452" t="s">
        <v>851</v>
      </c>
      <c r="B4452" t="s">
        <v>686</v>
      </c>
      <c r="C4452" t="s">
        <v>686</v>
      </c>
      <c r="D4452" t="s">
        <v>3185</v>
      </c>
      <c r="E4452" t="s">
        <v>656</v>
      </c>
      <c r="F4452" t="s">
        <v>31</v>
      </c>
      <c r="G4452">
        <v>2035</v>
      </c>
      <c r="H4452" s="12">
        <v>5.08</v>
      </c>
      <c r="I4452" t="s">
        <v>3183</v>
      </c>
      <c r="J4452" t="s">
        <v>15</v>
      </c>
      <c r="K4452" t="s">
        <v>147</v>
      </c>
      <c r="L4452" t="s">
        <v>653</v>
      </c>
      <c r="M4452" t="s">
        <v>15</v>
      </c>
    </row>
    <row r="4453" spans="1:13">
      <c r="A4453" t="s">
        <v>851</v>
      </c>
      <c r="B4453" t="s">
        <v>686</v>
      </c>
      <c r="C4453" t="s">
        <v>686</v>
      </c>
      <c r="D4453" t="s">
        <v>3185</v>
      </c>
      <c r="E4453" t="s">
        <v>656</v>
      </c>
      <c r="F4453" t="s">
        <v>31</v>
      </c>
      <c r="G4453">
        <v>2040</v>
      </c>
      <c r="H4453" s="12">
        <v>5.9</v>
      </c>
      <c r="I4453" t="s">
        <v>3183</v>
      </c>
      <c r="J4453" t="s">
        <v>15</v>
      </c>
      <c r="K4453" t="s">
        <v>147</v>
      </c>
      <c r="L4453" t="s">
        <v>653</v>
      </c>
      <c r="M4453" t="s">
        <v>15</v>
      </c>
    </row>
    <row r="4454" spans="1:13">
      <c r="A4454" t="s">
        <v>851</v>
      </c>
      <c r="B4454" t="s">
        <v>686</v>
      </c>
      <c r="C4454" t="s">
        <v>686</v>
      </c>
      <c r="D4454" t="s">
        <v>3185</v>
      </c>
      <c r="E4454" t="s">
        <v>656</v>
      </c>
      <c r="F4454" t="s">
        <v>31</v>
      </c>
      <c r="G4454">
        <v>2045</v>
      </c>
      <c r="H4454" s="12">
        <v>5.9</v>
      </c>
      <c r="I4454" t="s">
        <v>3183</v>
      </c>
      <c r="J4454" t="s">
        <v>15</v>
      </c>
      <c r="K4454" t="s">
        <v>147</v>
      </c>
      <c r="L4454" t="s">
        <v>653</v>
      </c>
      <c r="M4454" t="s">
        <v>15</v>
      </c>
    </row>
    <row r="4455" spans="1:13">
      <c r="A4455" t="s">
        <v>851</v>
      </c>
      <c r="B4455" t="s">
        <v>686</v>
      </c>
      <c r="C4455" t="s">
        <v>686</v>
      </c>
      <c r="D4455" t="s">
        <v>3185</v>
      </c>
      <c r="E4455" t="s">
        <v>656</v>
      </c>
      <c r="F4455" t="s">
        <v>31</v>
      </c>
      <c r="G4455">
        <v>2050</v>
      </c>
      <c r="H4455" s="12">
        <v>5.9</v>
      </c>
      <c r="I4455" t="s">
        <v>3183</v>
      </c>
      <c r="J4455" t="s">
        <v>15</v>
      </c>
      <c r="K4455" t="s">
        <v>147</v>
      </c>
      <c r="L4455" t="s">
        <v>653</v>
      </c>
      <c r="M4455" t="s">
        <v>15</v>
      </c>
    </row>
    <row r="4456" spans="1:13">
      <c r="A4456" t="s">
        <v>851</v>
      </c>
      <c r="B4456" t="s">
        <v>687</v>
      </c>
      <c r="C4456" t="s">
        <v>687</v>
      </c>
      <c r="D4456" t="s">
        <v>3185</v>
      </c>
      <c r="E4456" t="s">
        <v>656</v>
      </c>
      <c r="F4456" t="s">
        <v>31</v>
      </c>
      <c r="G4456">
        <v>2030</v>
      </c>
      <c r="H4456" s="12">
        <v>4.54</v>
      </c>
      <c r="I4456" t="s">
        <v>3183</v>
      </c>
      <c r="J4456" t="s">
        <v>15</v>
      </c>
      <c r="K4456" t="s">
        <v>147</v>
      </c>
      <c r="L4456" t="s">
        <v>653</v>
      </c>
      <c r="M4456" t="s">
        <v>15</v>
      </c>
    </row>
    <row r="4457" spans="1:13">
      <c r="A4457" t="s">
        <v>851</v>
      </c>
      <c r="B4457" t="s">
        <v>687</v>
      </c>
      <c r="C4457" t="s">
        <v>687</v>
      </c>
      <c r="D4457" t="s">
        <v>3185</v>
      </c>
      <c r="E4457" t="s">
        <v>656</v>
      </c>
      <c r="F4457" t="s">
        <v>31</v>
      </c>
      <c r="G4457">
        <v>2035</v>
      </c>
      <c r="H4457" s="12">
        <v>8.5</v>
      </c>
      <c r="I4457" t="s">
        <v>3183</v>
      </c>
      <c r="J4457" t="s">
        <v>15</v>
      </c>
      <c r="K4457" t="s">
        <v>147</v>
      </c>
      <c r="L4457" t="s">
        <v>653</v>
      </c>
      <c r="M4457" t="s">
        <v>15</v>
      </c>
    </row>
    <row r="4458" spans="1:13">
      <c r="A4458" t="s">
        <v>851</v>
      </c>
      <c r="B4458" t="s">
        <v>687</v>
      </c>
      <c r="C4458" t="s">
        <v>687</v>
      </c>
      <c r="D4458" t="s">
        <v>3185</v>
      </c>
      <c r="E4458" t="s">
        <v>656</v>
      </c>
      <c r="F4458" t="s">
        <v>31</v>
      </c>
      <c r="G4458">
        <v>2040</v>
      </c>
      <c r="H4458" s="12">
        <v>10.15</v>
      </c>
      <c r="I4458" t="s">
        <v>3183</v>
      </c>
      <c r="J4458" t="s">
        <v>15</v>
      </c>
      <c r="K4458" t="s">
        <v>147</v>
      </c>
      <c r="L4458" t="s">
        <v>653</v>
      </c>
      <c r="M4458" t="s">
        <v>15</v>
      </c>
    </row>
    <row r="4459" spans="1:13">
      <c r="A4459" t="s">
        <v>851</v>
      </c>
      <c r="B4459" t="s">
        <v>687</v>
      </c>
      <c r="C4459" t="s">
        <v>687</v>
      </c>
      <c r="D4459" t="s">
        <v>3185</v>
      </c>
      <c r="E4459" t="s">
        <v>656</v>
      </c>
      <c r="F4459" t="s">
        <v>31</v>
      </c>
      <c r="G4459">
        <v>2045</v>
      </c>
      <c r="H4459" s="12">
        <v>10.15</v>
      </c>
      <c r="I4459" t="s">
        <v>3183</v>
      </c>
      <c r="J4459" t="s">
        <v>15</v>
      </c>
      <c r="K4459" t="s">
        <v>147</v>
      </c>
      <c r="L4459" t="s">
        <v>653</v>
      </c>
      <c r="M4459" t="s">
        <v>15</v>
      </c>
    </row>
    <row r="4460" spans="1:13">
      <c r="A4460" t="s">
        <v>851</v>
      </c>
      <c r="B4460" t="s">
        <v>687</v>
      </c>
      <c r="C4460" t="s">
        <v>687</v>
      </c>
      <c r="D4460" t="s">
        <v>3185</v>
      </c>
      <c r="E4460" t="s">
        <v>656</v>
      </c>
      <c r="F4460" t="s">
        <v>31</v>
      </c>
      <c r="G4460">
        <v>2050</v>
      </c>
      <c r="H4460" s="12">
        <v>10.15</v>
      </c>
      <c r="I4460" t="s">
        <v>3183</v>
      </c>
      <c r="J4460" t="s">
        <v>15</v>
      </c>
      <c r="K4460" t="s">
        <v>147</v>
      </c>
      <c r="L4460" t="s">
        <v>653</v>
      </c>
      <c r="M4460" t="s">
        <v>15</v>
      </c>
    </row>
    <row r="4461" spans="1:13">
      <c r="A4461" t="s">
        <v>851</v>
      </c>
      <c r="B4461" t="s">
        <v>686</v>
      </c>
      <c r="C4461" t="s">
        <v>686</v>
      </c>
      <c r="D4461" t="s">
        <v>3185</v>
      </c>
      <c r="E4461" t="s">
        <v>656</v>
      </c>
      <c r="F4461" t="s">
        <v>31</v>
      </c>
      <c r="G4461">
        <v>2010</v>
      </c>
      <c r="H4461" s="12">
        <v>0</v>
      </c>
      <c r="I4461" t="s">
        <v>3183</v>
      </c>
      <c r="J4461" t="s">
        <v>8</v>
      </c>
      <c r="K4461" t="s">
        <v>147</v>
      </c>
      <c r="L4461" t="s">
        <v>653</v>
      </c>
      <c r="M4461" t="s">
        <v>670</v>
      </c>
    </row>
    <row r="4462" spans="1:13">
      <c r="A4462" t="s">
        <v>851</v>
      </c>
      <c r="B4462" t="s">
        <v>686</v>
      </c>
      <c r="C4462" t="s">
        <v>686</v>
      </c>
      <c r="D4462" t="s">
        <v>3185</v>
      </c>
      <c r="E4462" t="s">
        <v>656</v>
      </c>
      <c r="F4462" t="s">
        <v>31</v>
      </c>
      <c r="G4462">
        <v>2015</v>
      </c>
      <c r="H4462" s="12">
        <v>0</v>
      </c>
      <c r="I4462" t="s">
        <v>3183</v>
      </c>
      <c r="J4462" t="s">
        <v>8</v>
      </c>
      <c r="K4462" t="s">
        <v>147</v>
      </c>
      <c r="L4462" t="s">
        <v>653</v>
      </c>
      <c r="M4462" t="s">
        <v>670</v>
      </c>
    </row>
    <row r="4463" spans="1:13">
      <c r="A4463" t="s">
        <v>851</v>
      </c>
      <c r="B4463" t="s">
        <v>686</v>
      </c>
      <c r="C4463" t="s">
        <v>686</v>
      </c>
      <c r="D4463" t="s">
        <v>3185</v>
      </c>
      <c r="E4463" t="s">
        <v>656</v>
      </c>
      <c r="F4463" t="s">
        <v>31</v>
      </c>
      <c r="G4463">
        <v>2020</v>
      </c>
      <c r="H4463" s="12">
        <v>0</v>
      </c>
      <c r="I4463" t="s">
        <v>3183</v>
      </c>
      <c r="J4463" t="s">
        <v>8</v>
      </c>
      <c r="K4463" t="s">
        <v>147</v>
      </c>
      <c r="L4463" t="s">
        <v>653</v>
      </c>
      <c r="M4463" t="s">
        <v>670</v>
      </c>
    </row>
    <row r="4464" spans="1:13">
      <c r="A4464" t="s">
        <v>851</v>
      </c>
      <c r="B4464" t="s">
        <v>686</v>
      </c>
      <c r="C4464" t="s">
        <v>686</v>
      </c>
      <c r="D4464" t="s">
        <v>3185</v>
      </c>
      <c r="E4464" t="s">
        <v>656</v>
      </c>
      <c r="F4464" t="s">
        <v>31</v>
      </c>
      <c r="G4464">
        <v>2030</v>
      </c>
      <c r="H4464" s="12">
        <v>0</v>
      </c>
      <c r="I4464" t="s">
        <v>3183</v>
      </c>
      <c r="J4464" t="s">
        <v>8</v>
      </c>
      <c r="K4464" t="s">
        <v>147</v>
      </c>
      <c r="L4464" t="s">
        <v>653</v>
      </c>
      <c r="M4464" t="s">
        <v>670</v>
      </c>
    </row>
    <row r="4465" spans="1:13">
      <c r="A4465" t="s">
        <v>851</v>
      </c>
      <c r="B4465" t="s">
        <v>686</v>
      </c>
      <c r="C4465" t="s">
        <v>686</v>
      </c>
      <c r="D4465" t="s">
        <v>3185</v>
      </c>
      <c r="E4465" t="s">
        <v>656</v>
      </c>
      <c r="F4465" t="s">
        <v>31</v>
      </c>
      <c r="G4465">
        <v>2035</v>
      </c>
      <c r="H4465" s="12">
        <v>0</v>
      </c>
      <c r="I4465" t="s">
        <v>3183</v>
      </c>
      <c r="J4465" t="s">
        <v>8</v>
      </c>
      <c r="K4465" t="s">
        <v>147</v>
      </c>
      <c r="L4465" t="s">
        <v>653</v>
      </c>
      <c r="M4465" t="s">
        <v>670</v>
      </c>
    </row>
    <row r="4466" spans="1:13">
      <c r="A4466" t="s">
        <v>851</v>
      </c>
      <c r="B4466" t="s">
        <v>686</v>
      </c>
      <c r="C4466" t="s">
        <v>686</v>
      </c>
      <c r="D4466" t="s">
        <v>3185</v>
      </c>
      <c r="E4466" t="s">
        <v>656</v>
      </c>
      <c r="F4466" t="s">
        <v>31</v>
      </c>
      <c r="G4466">
        <v>2040</v>
      </c>
      <c r="H4466" s="12">
        <v>0</v>
      </c>
      <c r="I4466" t="s">
        <v>3183</v>
      </c>
      <c r="J4466" t="s">
        <v>8</v>
      </c>
      <c r="K4466" t="s">
        <v>147</v>
      </c>
      <c r="L4466" t="s">
        <v>653</v>
      </c>
      <c r="M4466" t="s">
        <v>670</v>
      </c>
    </row>
    <row r="4467" spans="1:13">
      <c r="A4467" t="s">
        <v>851</v>
      </c>
      <c r="B4467" t="s">
        <v>686</v>
      </c>
      <c r="C4467" t="s">
        <v>686</v>
      </c>
      <c r="D4467" t="s">
        <v>3185</v>
      </c>
      <c r="E4467" t="s">
        <v>656</v>
      </c>
      <c r="F4467" t="s">
        <v>31</v>
      </c>
      <c r="G4467">
        <v>2045</v>
      </c>
      <c r="H4467" s="12">
        <v>0</v>
      </c>
      <c r="I4467" t="s">
        <v>3183</v>
      </c>
      <c r="J4467" t="s">
        <v>8</v>
      </c>
      <c r="K4467" t="s">
        <v>147</v>
      </c>
      <c r="L4467" t="s">
        <v>653</v>
      </c>
      <c r="M4467" t="s">
        <v>670</v>
      </c>
    </row>
    <row r="4468" spans="1:13">
      <c r="A4468" t="s">
        <v>851</v>
      </c>
      <c r="B4468" t="s">
        <v>686</v>
      </c>
      <c r="C4468" t="s">
        <v>686</v>
      </c>
      <c r="D4468" t="s">
        <v>3185</v>
      </c>
      <c r="E4468" t="s">
        <v>656</v>
      </c>
      <c r="F4468" t="s">
        <v>31</v>
      </c>
      <c r="G4468">
        <v>2050</v>
      </c>
      <c r="H4468" s="12">
        <v>0</v>
      </c>
      <c r="I4468" t="s">
        <v>3183</v>
      </c>
      <c r="J4468" t="s">
        <v>8</v>
      </c>
      <c r="K4468" t="s">
        <v>147</v>
      </c>
      <c r="L4468" t="s">
        <v>653</v>
      </c>
      <c r="M4468" t="s">
        <v>670</v>
      </c>
    </row>
    <row r="4469" spans="1:13">
      <c r="A4469" t="s">
        <v>851</v>
      </c>
      <c r="B4469" t="s">
        <v>687</v>
      </c>
      <c r="C4469" t="s">
        <v>687</v>
      </c>
      <c r="D4469" t="s">
        <v>3185</v>
      </c>
      <c r="E4469" t="s">
        <v>656</v>
      </c>
      <c r="F4469" t="s">
        <v>31</v>
      </c>
      <c r="G4469">
        <v>2030</v>
      </c>
      <c r="H4469" s="12">
        <v>0</v>
      </c>
      <c r="I4469" t="s">
        <v>3183</v>
      </c>
      <c r="J4469" t="s">
        <v>8</v>
      </c>
      <c r="K4469" t="s">
        <v>147</v>
      </c>
      <c r="L4469" t="s">
        <v>653</v>
      </c>
      <c r="M4469" t="s">
        <v>670</v>
      </c>
    </row>
    <row r="4470" spans="1:13">
      <c r="A4470" t="s">
        <v>851</v>
      </c>
      <c r="B4470" t="s">
        <v>687</v>
      </c>
      <c r="C4470" t="s">
        <v>687</v>
      </c>
      <c r="D4470" t="s">
        <v>3185</v>
      </c>
      <c r="E4470" t="s">
        <v>656</v>
      </c>
      <c r="F4470" t="s">
        <v>31</v>
      </c>
      <c r="G4470">
        <v>2035</v>
      </c>
      <c r="H4470" s="12">
        <v>0</v>
      </c>
      <c r="I4470" t="s">
        <v>3183</v>
      </c>
      <c r="J4470" t="s">
        <v>8</v>
      </c>
      <c r="K4470" t="s">
        <v>147</v>
      </c>
      <c r="L4470" t="s">
        <v>653</v>
      </c>
      <c r="M4470" t="s">
        <v>670</v>
      </c>
    </row>
    <row r="4471" spans="1:13">
      <c r="A4471" t="s">
        <v>851</v>
      </c>
      <c r="B4471" t="s">
        <v>687</v>
      </c>
      <c r="C4471" t="s">
        <v>687</v>
      </c>
      <c r="D4471" t="s">
        <v>3185</v>
      </c>
      <c r="E4471" t="s">
        <v>656</v>
      </c>
      <c r="F4471" t="s">
        <v>31</v>
      </c>
      <c r="G4471">
        <v>2040</v>
      </c>
      <c r="H4471" s="12">
        <v>0.77</v>
      </c>
      <c r="I4471" t="s">
        <v>3183</v>
      </c>
      <c r="J4471" t="s">
        <v>8</v>
      </c>
      <c r="K4471" t="s">
        <v>147</v>
      </c>
      <c r="L4471" t="s">
        <v>653</v>
      </c>
      <c r="M4471" t="s">
        <v>670</v>
      </c>
    </row>
    <row r="4472" spans="1:13">
      <c r="A4472" t="s">
        <v>851</v>
      </c>
      <c r="B4472" t="s">
        <v>687</v>
      </c>
      <c r="C4472" t="s">
        <v>687</v>
      </c>
      <c r="D4472" t="s">
        <v>3185</v>
      </c>
      <c r="E4472" t="s">
        <v>656</v>
      </c>
      <c r="F4472" t="s">
        <v>31</v>
      </c>
      <c r="G4472">
        <v>2045</v>
      </c>
      <c r="H4472" s="12">
        <v>2.11</v>
      </c>
      <c r="I4472" t="s">
        <v>3183</v>
      </c>
      <c r="J4472" t="s">
        <v>8</v>
      </c>
      <c r="K4472" t="s">
        <v>147</v>
      </c>
      <c r="L4472" t="s">
        <v>653</v>
      </c>
      <c r="M4472" t="s">
        <v>670</v>
      </c>
    </row>
    <row r="4473" spans="1:13">
      <c r="A4473" t="s">
        <v>851</v>
      </c>
      <c r="B4473" t="s">
        <v>687</v>
      </c>
      <c r="C4473" t="s">
        <v>687</v>
      </c>
      <c r="D4473" t="s">
        <v>3185</v>
      </c>
      <c r="E4473" t="s">
        <v>656</v>
      </c>
      <c r="F4473" t="s">
        <v>31</v>
      </c>
      <c r="G4473">
        <v>2050</v>
      </c>
      <c r="H4473" s="12">
        <v>2.14</v>
      </c>
      <c r="I4473" t="s">
        <v>3183</v>
      </c>
      <c r="J4473" t="s">
        <v>8</v>
      </c>
      <c r="K4473" t="s">
        <v>147</v>
      </c>
      <c r="L4473" t="s">
        <v>653</v>
      </c>
      <c r="M4473" t="s">
        <v>670</v>
      </c>
    </row>
    <row r="4474" spans="1:13">
      <c r="A4474" t="s">
        <v>851</v>
      </c>
      <c r="B4474" t="s">
        <v>686</v>
      </c>
      <c r="C4474" t="s">
        <v>686</v>
      </c>
      <c r="D4474" t="s">
        <v>3185</v>
      </c>
      <c r="E4474" t="s">
        <v>656</v>
      </c>
      <c r="F4474" t="s">
        <v>31</v>
      </c>
      <c r="G4474">
        <v>2010</v>
      </c>
      <c r="H4474" s="12">
        <v>42.31</v>
      </c>
      <c r="I4474" t="s">
        <v>3183</v>
      </c>
      <c r="J4474" t="s">
        <v>5</v>
      </c>
      <c r="K4474" t="s">
        <v>147</v>
      </c>
      <c r="L4474" t="s">
        <v>653</v>
      </c>
      <c r="M4474" t="s">
        <v>665</v>
      </c>
    </row>
    <row r="4475" spans="1:13">
      <c r="A4475" t="s">
        <v>851</v>
      </c>
      <c r="B4475" t="s">
        <v>686</v>
      </c>
      <c r="C4475" t="s">
        <v>686</v>
      </c>
      <c r="D4475" t="s">
        <v>3185</v>
      </c>
      <c r="E4475" t="s">
        <v>656</v>
      </c>
      <c r="F4475" t="s">
        <v>31</v>
      </c>
      <c r="G4475">
        <v>2015</v>
      </c>
      <c r="H4475" s="12">
        <v>43.35</v>
      </c>
      <c r="I4475" t="s">
        <v>3183</v>
      </c>
      <c r="J4475" t="s">
        <v>5</v>
      </c>
      <c r="K4475" t="s">
        <v>147</v>
      </c>
      <c r="L4475" t="s">
        <v>653</v>
      </c>
      <c r="M4475" t="s">
        <v>665</v>
      </c>
    </row>
    <row r="4476" spans="1:13">
      <c r="A4476" t="s">
        <v>851</v>
      </c>
      <c r="B4476" t="s">
        <v>686</v>
      </c>
      <c r="C4476" t="s">
        <v>686</v>
      </c>
      <c r="D4476" t="s">
        <v>3185</v>
      </c>
      <c r="E4476" t="s">
        <v>656</v>
      </c>
      <c r="F4476" t="s">
        <v>31</v>
      </c>
      <c r="G4476">
        <v>2020</v>
      </c>
      <c r="H4476" s="12">
        <v>49.63</v>
      </c>
      <c r="I4476" t="s">
        <v>3183</v>
      </c>
      <c r="J4476" t="s">
        <v>5</v>
      </c>
      <c r="K4476" t="s">
        <v>147</v>
      </c>
      <c r="L4476" t="s">
        <v>653</v>
      </c>
      <c r="M4476" t="s">
        <v>665</v>
      </c>
    </row>
    <row r="4477" spans="1:13">
      <c r="A4477" t="s">
        <v>851</v>
      </c>
      <c r="B4477" t="s">
        <v>686</v>
      </c>
      <c r="C4477" t="s">
        <v>686</v>
      </c>
      <c r="D4477" t="s">
        <v>3185</v>
      </c>
      <c r="E4477" t="s">
        <v>656</v>
      </c>
      <c r="F4477" t="s">
        <v>31</v>
      </c>
      <c r="G4477">
        <v>2030</v>
      </c>
      <c r="H4477" s="12">
        <v>44.89</v>
      </c>
      <c r="I4477" t="s">
        <v>3183</v>
      </c>
      <c r="J4477" t="s">
        <v>5</v>
      </c>
      <c r="K4477" t="s">
        <v>147</v>
      </c>
      <c r="L4477" t="s">
        <v>653</v>
      </c>
      <c r="M4477" t="s">
        <v>665</v>
      </c>
    </row>
    <row r="4478" spans="1:13">
      <c r="A4478" t="s">
        <v>851</v>
      </c>
      <c r="B4478" t="s">
        <v>686</v>
      </c>
      <c r="C4478" t="s">
        <v>686</v>
      </c>
      <c r="D4478" t="s">
        <v>3185</v>
      </c>
      <c r="E4478" t="s">
        <v>656</v>
      </c>
      <c r="F4478" t="s">
        <v>31</v>
      </c>
      <c r="G4478">
        <v>2035</v>
      </c>
      <c r="H4478" s="12">
        <v>39.08</v>
      </c>
      <c r="I4478" t="s">
        <v>3183</v>
      </c>
      <c r="J4478" t="s">
        <v>5</v>
      </c>
      <c r="K4478" t="s">
        <v>147</v>
      </c>
      <c r="L4478" t="s">
        <v>653</v>
      </c>
      <c r="M4478" t="s">
        <v>665</v>
      </c>
    </row>
    <row r="4479" spans="1:13">
      <c r="A4479" t="s">
        <v>851</v>
      </c>
      <c r="B4479" t="s">
        <v>686</v>
      </c>
      <c r="C4479" t="s">
        <v>686</v>
      </c>
      <c r="D4479" t="s">
        <v>3185</v>
      </c>
      <c r="E4479" t="s">
        <v>656</v>
      </c>
      <c r="F4479" t="s">
        <v>31</v>
      </c>
      <c r="G4479">
        <v>2040</v>
      </c>
      <c r="H4479" s="12">
        <v>33.03</v>
      </c>
      <c r="I4479" t="s">
        <v>3183</v>
      </c>
      <c r="J4479" t="s">
        <v>5</v>
      </c>
      <c r="K4479" t="s">
        <v>147</v>
      </c>
      <c r="L4479" t="s">
        <v>653</v>
      </c>
      <c r="M4479" t="s">
        <v>665</v>
      </c>
    </row>
    <row r="4480" spans="1:13">
      <c r="A4480" t="s">
        <v>851</v>
      </c>
      <c r="B4480" t="s">
        <v>686</v>
      </c>
      <c r="C4480" t="s">
        <v>686</v>
      </c>
      <c r="D4480" t="s">
        <v>3185</v>
      </c>
      <c r="E4480" t="s">
        <v>656</v>
      </c>
      <c r="F4480" t="s">
        <v>31</v>
      </c>
      <c r="G4480">
        <v>2045</v>
      </c>
      <c r="H4480" s="12">
        <v>31.68</v>
      </c>
      <c r="I4480" t="s">
        <v>3183</v>
      </c>
      <c r="J4480" t="s">
        <v>5</v>
      </c>
      <c r="K4480" t="s">
        <v>147</v>
      </c>
      <c r="L4480" t="s">
        <v>653</v>
      </c>
      <c r="M4480" t="s">
        <v>665</v>
      </c>
    </row>
    <row r="4481" spans="1:13">
      <c r="A4481" t="s">
        <v>851</v>
      </c>
      <c r="B4481" t="s">
        <v>686</v>
      </c>
      <c r="C4481" t="s">
        <v>686</v>
      </c>
      <c r="D4481" t="s">
        <v>3185</v>
      </c>
      <c r="E4481" t="s">
        <v>656</v>
      </c>
      <c r="F4481" t="s">
        <v>31</v>
      </c>
      <c r="G4481">
        <v>2050</v>
      </c>
      <c r="H4481" s="12">
        <v>30.08</v>
      </c>
      <c r="I4481" t="s">
        <v>3183</v>
      </c>
      <c r="J4481" t="s">
        <v>5</v>
      </c>
      <c r="K4481" t="s">
        <v>147</v>
      </c>
      <c r="L4481" t="s">
        <v>653</v>
      </c>
      <c r="M4481" t="s">
        <v>665</v>
      </c>
    </row>
    <row r="4482" spans="1:13">
      <c r="A4482" t="s">
        <v>851</v>
      </c>
      <c r="B4482" t="s">
        <v>687</v>
      </c>
      <c r="C4482" t="s">
        <v>687</v>
      </c>
      <c r="D4482" t="s">
        <v>3185</v>
      </c>
      <c r="E4482" t="s">
        <v>656</v>
      </c>
      <c r="F4482" t="s">
        <v>31</v>
      </c>
      <c r="G4482">
        <v>2030</v>
      </c>
      <c r="H4482" s="12">
        <v>38.22</v>
      </c>
      <c r="I4482" t="s">
        <v>3183</v>
      </c>
      <c r="J4482" t="s">
        <v>5</v>
      </c>
      <c r="K4482" t="s">
        <v>147</v>
      </c>
      <c r="L4482" t="s">
        <v>653</v>
      </c>
      <c r="M4482" t="s">
        <v>665</v>
      </c>
    </row>
    <row r="4483" spans="1:13">
      <c r="A4483" t="s">
        <v>851</v>
      </c>
      <c r="B4483" t="s">
        <v>687</v>
      </c>
      <c r="C4483" t="s">
        <v>687</v>
      </c>
      <c r="D4483" t="s">
        <v>3185</v>
      </c>
      <c r="E4483" t="s">
        <v>656</v>
      </c>
      <c r="F4483" t="s">
        <v>31</v>
      </c>
      <c r="G4483">
        <v>2035</v>
      </c>
      <c r="H4483" s="12">
        <v>26.49</v>
      </c>
      <c r="I4483" t="s">
        <v>3183</v>
      </c>
      <c r="J4483" t="s">
        <v>5</v>
      </c>
      <c r="K4483" t="s">
        <v>147</v>
      </c>
      <c r="L4483" t="s">
        <v>653</v>
      </c>
      <c r="M4483" t="s">
        <v>665</v>
      </c>
    </row>
    <row r="4484" spans="1:13">
      <c r="A4484" t="s">
        <v>851</v>
      </c>
      <c r="B4484" t="s">
        <v>686</v>
      </c>
      <c r="C4484" t="s">
        <v>686</v>
      </c>
      <c r="D4484" t="s">
        <v>3185</v>
      </c>
      <c r="E4484" t="s">
        <v>656</v>
      </c>
      <c r="F4484" t="s">
        <v>31</v>
      </c>
      <c r="G4484">
        <v>2040</v>
      </c>
      <c r="H4484" s="12">
        <v>166.54</v>
      </c>
      <c r="I4484" t="s">
        <v>3183</v>
      </c>
      <c r="J4484" t="s">
        <v>6</v>
      </c>
      <c r="K4484" t="s">
        <v>147</v>
      </c>
      <c r="L4484" t="s">
        <v>653</v>
      </c>
      <c r="M4484" t="s">
        <v>666</v>
      </c>
    </row>
    <row r="4485" spans="1:13">
      <c r="A4485" t="s">
        <v>851</v>
      </c>
      <c r="B4485" t="s">
        <v>686</v>
      </c>
      <c r="C4485" t="s">
        <v>686</v>
      </c>
      <c r="D4485" t="s">
        <v>3185</v>
      </c>
      <c r="E4485" t="s">
        <v>656</v>
      </c>
      <c r="F4485" t="s">
        <v>31</v>
      </c>
      <c r="G4485">
        <v>2045</v>
      </c>
      <c r="H4485" s="12">
        <v>195.52</v>
      </c>
      <c r="I4485" t="s">
        <v>3183</v>
      </c>
      <c r="J4485" t="s">
        <v>6</v>
      </c>
      <c r="K4485" t="s">
        <v>147</v>
      </c>
      <c r="L4485" t="s">
        <v>653</v>
      </c>
      <c r="M4485" t="s">
        <v>666</v>
      </c>
    </row>
    <row r="4486" spans="1:13">
      <c r="A4486" t="s">
        <v>851</v>
      </c>
      <c r="B4486" t="s">
        <v>686</v>
      </c>
      <c r="C4486" t="s">
        <v>686</v>
      </c>
      <c r="D4486" t="s">
        <v>3185</v>
      </c>
      <c r="E4486" t="s">
        <v>656</v>
      </c>
      <c r="F4486" t="s">
        <v>31</v>
      </c>
      <c r="G4486">
        <v>2050</v>
      </c>
      <c r="H4486" s="12">
        <v>226.63</v>
      </c>
      <c r="I4486" t="s">
        <v>3183</v>
      </c>
      <c r="J4486" t="s">
        <v>6</v>
      </c>
      <c r="K4486" t="s">
        <v>147</v>
      </c>
      <c r="L4486" t="s">
        <v>653</v>
      </c>
      <c r="M4486" t="s">
        <v>666</v>
      </c>
    </row>
    <row r="4487" spans="1:13">
      <c r="A4487" t="s">
        <v>851</v>
      </c>
      <c r="B4487" t="s">
        <v>687</v>
      </c>
      <c r="C4487" t="s">
        <v>687</v>
      </c>
      <c r="D4487" t="s">
        <v>3185</v>
      </c>
      <c r="E4487" t="s">
        <v>656</v>
      </c>
      <c r="F4487" t="s">
        <v>31</v>
      </c>
      <c r="G4487">
        <v>2030</v>
      </c>
      <c r="H4487" s="12">
        <v>129.99</v>
      </c>
      <c r="I4487" t="s">
        <v>3183</v>
      </c>
      <c r="J4487" t="s">
        <v>6</v>
      </c>
      <c r="K4487" t="s">
        <v>147</v>
      </c>
      <c r="L4487" t="s">
        <v>653</v>
      </c>
      <c r="M4487" t="s">
        <v>666</v>
      </c>
    </row>
    <row r="4488" spans="1:13">
      <c r="A4488" t="s">
        <v>851</v>
      </c>
      <c r="B4488" t="s">
        <v>687</v>
      </c>
      <c r="C4488" t="s">
        <v>687</v>
      </c>
      <c r="D4488" t="s">
        <v>3185</v>
      </c>
      <c r="E4488" t="s">
        <v>656</v>
      </c>
      <c r="F4488" t="s">
        <v>31</v>
      </c>
      <c r="G4488">
        <v>2035</v>
      </c>
      <c r="H4488" s="12">
        <v>148.71</v>
      </c>
      <c r="I4488" t="s">
        <v>3183</v>
      </c>
      <c r="J4488" t="s">
        <v>6</v>
      </c>
      <c r="K4488" t="s">
        <v>147</v>
      </c>
      <c r="L4488" t="s">
        <v>653</v>
      </c>
      <c r="M4488" t="s">
        <v>666</v>
      </c>
    </row>
    <row r="4489" spans="1:13">
      <c r="A4489" t="s">
        <v>851</v>
      </c>
      <c r="B4489" t="s">
        <v>687</v>
      </c>
      <c r="C4489" t="s">
        <v>687</v>
      </c>
      <c r="D4489" t="s">
        <v>3185</v>
      </c>
      <c r="E4489" t="s">
        <v>656</v>
      </c>
      <c r="F4489" t="s">
        <v>31</v>
      </c>
      <c r="G4489">
        <v>2040</v>
      </c>
      <c r="H4489" s="12">
        <v>165.97</v>
      </c>
      <c r="I4489" t="s">
        <v>3183</v>
      </c>
      <c r="J4489" t="s">
        <v>6</v>
      </c>
      <c r="K4489" t="s">
        <v>147</v>
      </c>
      <c r="L4489" t="s">
        <v>653</v>
      </c>
      <c r="M4489" t="s">
        <v>666</v>
      </c>
    </row>
    <row r="4490" spans="1:13">
      <c r="A4490" t="s">
        <v>851</v>
      </c>
      <c r="B4490" t="s">
        <v>687</v>
      </c>
      <c r="C4490" t="s">
        <v>687</v>
      </c>
      <c r="D4490" t="s">
        <v>3185</v>
      </c>
      <c r="E4490" t="s">
        <v>656</v>
      </c>
      <c r="F4490" t="s">
        <v>31</v>
      </c>
      <c r="G4490">
        <v>2045</v>
      </c>
      <c r="H4490" s="12">
        <v>178.25</v>
      </c>
      <c r="I4490" t="s">
        <v>3183</v>
      </c>
      <c r="J4490" t="s">
        <v>6</v>
      </c>
      <c r="K4490" t="s">
        <v>147</v>
      </c>
      <c r="L4490" t="s">
        <v>653</v>
      </c>
      <c r="M4490" t="s">
        <v>666</v>
      </c>
    </row>
    <row r="4491" spans="1:13">
      <c r="A4491" t="s">
        <v>851</v>
      </c>
      <c r="B4491" t="s">
        <v>687</v>
      </c>
      <c r="C4491" t="s">
        <v>687</v>
      </c>
      <c r="D4491" t="s">
        <v>3185</v>
      </c>
      <c r="E4491" t="s">
        <v>656</v>
      </c>
      <c r="F4491" t="s">
        <v>31</v>
      </c>
      <c r="G4491">
        <v>2050</v>
      </c>
      <c r="H4491" s="12">
        <v>203.13</v>
      </c>
      <c r="I4491" t="s">
        <v>3183</v>
      </c>
      <c r="J4491" t="s">
        <v>6</v>
      </c>
      <c r="K4491" t="s">
        <v>147</v>
      </c>
      <c r="L4491" t="s">
        <v>653</v>
      </c>
      <c r="M4491" t="s">
        <v>666</v>
      </c>
    </row>
    <row r="4492" spans="1:13">
      <c r="A4492" t="s">
        <v>851</v>
      </c>
      <c r="B4492" t="s">
        <v>686</v>
      </c>
      <c r="C4492" t="s">
        <v>686</v>
      </c>
      <c r="D4492" t="s">
        <v>3185</v>
      </c>
      <c r="E4492" t="s">
        <v>656</v>
      </c>
      <c r="F4492" t="s">
        <v>31</v>
      </c>
      <c r="G4492">
        <v>2010</v>
      </c>
      <c r="H4492" s="12">
        <v>30.38</v>
      </c>
      <c r="I4492" t="s">
        <v>3183</v>
      </c>
      <c r="J4492" t="s">
        <v>394</v>
      </c>
      <c r="K4492" t="s">
        <v>147</v>
      </c>
      <c r="L4492" t="s">
        <v>653</v>
      </c>
      <c r="M4492" t="s">
        <v>16</v>
      </c>
    </row>
    <row r="4493" spans="1:13">
      <c r="A4493" t="s">
        <v>851</v>
      </c>
      <c r="B4493" t="s">
        <v>686</v>
      </c>
      <c r="C4493" t="s">
        <v>686</v>
      </c>
      <c r="D4493" t="s">
        <v>3185</v>
      </c>
      <c r="E4493" t="s">
        <v>656</v>
      </c>
      <c r="F4493" t="s">
        <v>31</v>
      </c>
      <c r="G4493">
        <v>2015</v>
      </c>
      <c r="H4493" s="12">
        <v>37.9</v>
      </c>
      <c r="I4493" t="s">
        <v>3183</v>
      </c>
      <c r="J4493" t="s">
        <v>394</v>
      </c>
      <c r="K4493" t="s">
        <v>147</v>
      </c>
      <c r="L4493" t="s">
        <v>653</v>
      </c>
      <c r="M4493" t="s">
        <v>16</v>
      </c>
    </row>
    <row r="4494" spans="1:13">
      <c r="A4494" t="s">
        <v>851</v>
      </c>
      <c r="B4494" t="s">
        <v>686</v>
      </c>
      <c r="C4494" t="s">
        <v>686</v>
      </c>
      <c r="D4494" t="s">
        <v>3185</v>
      </c>
      <c r="E4494" t="s">
        <v>656</v>
      </c>
      <c r="F4494" t="s">
        <v>31</v>
      </c>
      <c r="G4494">
        <v>2020</v>
      </c>
      <c r="H4494" s="12">
        <v>42.02</v>
      </c>
      <c r="I4494" t="s">
        <v>3183</v>
      </c>
      <c r="J4494" t="s">
        <v>394</v>
      </c>
      <c r="K4494" t="s">
        <v>147</v>
      </c>
      <c r="L4494" t="s">
        <v>653</v>
      </c>
      <c r="M4494" t="s">
        <v>16</v>
      </c>
    </row>
    <row r="4495" spans="1:13">
      <c r="A4495" t="s">
        <v>851</v>
      </c>
      <c r="B4495" t="s">
        <v>686</v>
      </c>
      <c r="C4495" t="s">
        <v>686</v>
      </c>
      <c r="D4495" t="s">
        <v>3185</v>
      </c>
      <c r="E4495" t="s">
        <v>656</v>
      </c>
      <c r="F4495" t="s">
        <v>31</v>
      </c>
      <c r="G4495">
        <v>2030</v>
      </c>
      <c r="H4495" s="12">
        <v>40.25</v>
      </c>
      <c r="I4495" t="s">
        <v>3183</v>
      </c>
      <c r="J4495" t="s">
        <v>394</v>
      </c>
      <c r="K4495" t="s">
        <v>147</v>
      </c>
      <c r="L4495" t="s">
        <v>653</v>
      </c>
      <c r="M4495" t="s">
        <v>16</v>
      </c>
    </row>
    <row r="4496" spans="1:13">
      <c r="A4496" t="s">
        <v>851</v>
      </c>
      <c r="B4496" t="s">
        <v>686</v>
      </c>
      <c r="C4496" t="s">
        <v>686</v>
      </c>
      <c r="D4496" t="s">
        <v>3185</v>
      </c>
      <c r="E4496" t="s">
        <v>656</v>
      </c>
      <c r="F4496" t="s">
        <v>31</v>
      </c>
      <c r="G4496">
        <v>2035</v>
      </c>
      <c r="H4496" s="12">
        <v>40.89</v>
      </c>
      <c r="I4496" t="s">
        <v>3183</v>
      </c>
      <c r="J4496" t="s">
        <v>394</v>
      </c>
      <c r="K4496" t="s">
        <v>147</v>
      </c>
      <c r="L4496" t="s">
        <v>653</v>
      </c>
      <c r="M4496" t="s">
        <v>16</v>
      </c>
    </row>
    <row r="4497" spans="1:13">
      <c r="A4497" t="s">
        <v>851</v>
      </c>
      <c r="B4497" t="s">
        <v>686</v>
      </c>
      <c r="C4497" t="s">
        <v>686</v>
      </c>
      <c r="D4497" t="s">
        <v>3185</v>
      </c>
      <c r="E4497" t="s">
        <v>656</v>
      </c>
      <c r="F4497" t="s">
        <v>31</v>
      </c>
      <c r="G4497">
        <v>2040</v>
      </c>
      <c r="H4497" s="12">
        <v>40.520000000000003</v>
      </c>
      <c r="I4497" t="s">
        <v>3183</v>
      </c>
      <c r="J4497" t="s">
        <v>394</v>
      </c>
      <c r="K4497" t="s">
        <v>147</v>
      </c>
      <c r="L4497" t="s">
        <v>653</v>
      </c>
      <c r="M4497" t="s">
        <v>16</v>
      </c>
    </row>
    <row r="4498" spans="1:13">
      <c r="A4498" t="s">
        <v>851</v>
      </c>
      <c r="B4498" t="s">
        <v>686</v>
      </c>
      <c r="C4498" t="s">
        <v>686</v>
      </c>
      <c r="D4498" t="s">
        <v>3185</v>
      </c>
      <c r="E4498" t="s">
        <v>656</v>
      </c>
      <c r="F4498" t="s">
        <v>31</v>
      </c>
      <c r="G4498">
        <v>2045</v>
      </c>
      <c r="H4498" s="12">
        <v>37.35</v>
      </c>
      <c r="I4498" t="s">
        <v>3183</v>
      </c>
      <c r="J4498" t="s">
        <v>394</v>
      </c>
      <c r="K4498" t="s">
        <v>147</v>
      </c>
      <c r="L4498" t="s">
        <v>653</v>
      </c>
      <c r="M4498" t="s">
        <v>16</v>
      </c>
    </row>
    <row r="4499" spans="1:13">
      <c r="A4499" t="s">
        <v>851</v>
      </c>
      <c r="B4499" t="s">
        <v>686</v>
      </c>
      <c r="C4499" t="s">
        <v>686</v>
      </c>
      <c r="D4499" t="s">
        <v>3185</v>
      </c>
      <c r="E4499" t="s">
        <v>656</v>
      </c>
      <c r="F4499" t="s">
        <v>31</v>
      </c>
      <c r="G4499">
        <v>2050</v>
      </c>
      <c r="H4499" s="12">
        <v>35.36</v>
      </c>
      <c r="I4499" t="s">
        <v>3183</v>
      </c>
      <c r="J4499" t="s">
        <v>394</v>
      </c>
      <c r="K4499" t="s">
        <v>147</v>
      </c>
      <c r="L4499" t="s">
        <v>653</v>
      </c>
      <c r="M4499" t="s">
        <v>16</v>
      </c>
    </row>
    <row r="4500" spans="1:13">
      <c r="A4500" t="s">
        <v>851</v>
      </c>
      <c r="B4500" t="s">
        <v>687</v>
      </c>
      <c r="C4500" t="s">
        <v>687</v>
      </c>
      <c r="D4500" t="s">
        <v>3185</v>
      </c>
      <c r="E4500" t="s">
        <v>656</v>
      </c>
      <c r="F4500" t="s">
        <v>31</v>
      </c>
      <c r="G4500">
        <v>2030</v>
      </c>
      <c r="H4500" s="12">
        <v>42.88</v>
      </c>
      <c r="I4500" t="s">
        <v>3183</v>
      </c>
      <c r="J4500" t="s">
        <v>394</v>
      </c>
      <c r="K4500" t="s">
        <v>147</v>
      </c>
      <c r="L4500" t="s">
        <v>653</v>
      </c>
      <c r="M4500" t="s">
        <v>16</v>
      </c>
    </row>
    <row r="4501" spans="1:13">
      <c r="A4501" t="s">
        <v>851</v>
      </c>
      <c r="B4501" t="s">
        <v>687</v>
      </c>
      <c r="C4501" t="s">
        <v>687</v>
      </c>
      <c r="D4501" t="s">
        <v>3185</v>
      </c>
      <c r="E4501" t="s">
        <v>656</v>
      </c>
      <c r="F4501" t="s">
        <v>31</v>
      </c>
      <c r="G4501">
        <v>2035</v>
      </c>
      <c r="H4501" s="12">
        <v>44.23</v>
      </c>
      <c r="I4501" t="s">
        <v>3183</v>
      </c>
      <c r="J4501" t="s">
        <v>394</v>
      </c>
      <c r="K4501" t="s">
        <v>147</v>
      </c>
      <c r="L4501" t="s">
        <v>653</v>
      </c>
      <c r="M4501" t="s">
        <v>16</v>
      </c>
    </row>
    <row r="4502" spans="1:13">
      <c r="A4502" t="s">
        <v>851</v>
      </c>
      <c r="B4502" t="s">
        <v>687</v>
      </c>
      <c r="C4502" t="s">
        <v>687</v>
      </c>
      <c r="D4502" t="s">
        <v>3185</v>
      </c>
      <c r="E4502" t="s">
        <v>656</v>
      </c>
      <c r="F4502" t="s">
        <v>31</v>
      </c>
      <c r="G4502">
        <v>2040</v>
      </c>
      <c r="H4502" s="12">
        <v>42.15</v>
      </c>
      <c r="I4502" t="s">
        <v>3183</v>
      </c>
      <c r="J4502" t="s">
        <v>394</v>
      </c>
      <c r="K4502" t="s">
        <v>147</v>
      </c>
      <c r="L4502" t="s">
        <v>653</v>
      </c>
      <c r="M4502" t="s">
        <v>16</v>
      </c>
    </row>
    <row r="4503" spans="1:13">
      <c r="A4503" t="s">
        <v>851</v>
      </c>
      <c r="B4503" t="s">
        <v>687</v>
      </c>
      <c r="C4503" t="s">
        <v>687</v>
      </c>
      <c r="D4503" t="s">
        <v>3185</v>
      </c>
      <c r="E4503" t="s">
        <v>656</v>
      </c>
      <c r="F4503" t="s">
        <v>31</v>
      </c>
      <c r="G4503">
        <v>2045</v>
      </c>
      <c r="H4503" s="12">
        <v>36.4</v>
      </c>
      <c r="I4503" t="s">
        <v>3183</v>
      </c>
      <c r="J4503" t="s">
        <v>394</v>
      </c>
      <c r="K4503" t="s">
        <v>147</v>
      </c>
      <c r="L4503" t="s">
        <v>653</v>
      </c>
      <c r="M4503" t="s">
        <v>16</v>
      </c>
    </row>
    <row r="4504" spans="1:13">
      <c r="A4504" t="s">
        <v>851</v>
      </c>
      <c r="B4504" t="s">
        <v>687</v>
      </c>
      <c r="C4504" t="s">
        <v>687</v>
      </c>
      <c r="D4504" t="s">
        <v>3185</v>
      </c>
      <c r="E4504" t="s">
        <v>656</v>
      </c>
      <c r="F4504" t="s">
        <v>31</v>
      </c>
      <c r="G4504">
        <v>2050</v>
      </c>
      <c r="H4504" s="12">
        <v>29.85</v>
      </c>
      <c r="I4504" t="s">
        <v>3183</v>
      </c>
      <c r="J4504" t="s">
        <v>394</v>
      </c>
      <c r="K4504" t="s">
        <v>147</v>
      </c>
      <c r="L4504" t="s">
        <v>653</v>
      </c>
      <c r="M4504" t="s">
        <v>16</v>
      </c>
    </row>
    <row r="4505" spans="1:13">
      <c r="A4505" t="s">
        <v>851</v>
      </c>
      <c r="B4505" t="s">
        <v>686</v>
      </c>
      <c r="C4505" t="s">
        <v>686</v>
      </c>
      <c r="D4505" t="s">
        <v>3185</v>
      </c>
      <c r="E4505" t="s">
        <v>656</v>
      </c>
      <c r="F4505" t="s">
        <v>31</v>
      </c>
      <c r="G4505">
        <v>2010</v>
      </c>
      <c r="H4505" s="12">
        <v>0</v>
      </c>
      <c r="I4505" t="s">
        <v>3183</v>
      </c>
      <c r="J4505" t="s">
        <v>484</v>
      </c>
      <c r="K4505" t="s">
        <v>147</v>
      </c>
      <c r="L4505" t="s">
        <v>653</v>
      </c>
      <c r="M4505" t="s">
        <v>667</v>
      </c>
    </row>
    <row r="4506" spans="1:13">
      <c r="A4506" t="s">
        <v>851</v>
      </c>
      <c r="B4506" t="s">
        <v>686</v>
      </c>
      <c r="C4506" t="s">
        <v>686</v>
      </c>
      <c r="D4506" t="s">
        <v>3185</v>
      </c>
      <c r="E4506" t="s">
        <v>656</v>
      </c>
      <c r="F4506" t="s">
        <v>31</v>
      </c>
      <c r="G4506">
        <v>2015</v>
      </c>
      <c r="H4506" s="12">
        <v>0.01</v>
      </c>
      <c r="I4506" t="s">
        <v>3183</v>
      </c>
      <c r="J4506" t="s">
        <v>484</v>
      </c>
      <c r="K4506" t="s">
        <v>147</v>
      </c>
      <c r="L4506" t="s">
        <v>653</v>
      </c>
      <c r="M4506" t="s">
        <v>667</v>
      </c>
    </row>
    <row r="4507" spans="1:13">
      <c r="A4507" t="s">
        <v>851</v>
      </c>
      <c r="B4507" t="s">
        <v>686</v>
      </c>
      <c r="C4507" t="s">
        <v>686</v>
      </c>
      <c r="D4507" t="s">
        <v>3185</v>
      </c>
      <c r="E4507" t="s">
        <v>656</v>
      </c>
      <c r="F4507" t="s">
        <v>31</v>
      </c>
      <c r="G4507">
        <v>2020</v>
      </c>
      <c r="H4507" s="12">
        <v>0.06</v>
      </c>
      <c r="I4507" t="s">
        <v>3183</v>
      </c>
      <c r="J4507" t="s">
        <v>484</v>
      </c>
      <c r="K4507" t="s">
        <v>147</v>
      </c>
      <c r="L4507" t="s">
        <v>653</v>
      </c>
      <c r="M4507" t="s">
        <v>667</v>
      </c>
    </row>
    <row r="4508" spans="1:13">
      <c r="A4508" t="s">
        <v>851</v>
      </c>
      <c r="B4508" t="s">
        <v>686</v>
      </c>
      <c r="C4508" t="s">
        <v>686</v>
      </c>
      <c r="D4508" t="s">
        <v>3185</v>
      </c>
      <c r="E4508" t="s">
        <v>656</v>
      </c>
      <c r="F4508" t="s">
        <v>31</v>
      </c>
      <c r="G4508">
        <v>2030</v>
      </c>
      <c r="H4508" s="12">
        <v>4.28</v>
      </c>
      <c r="I4508" t="s">
        <v>3183</v>
      </c>
      <c r="J4508" t="s">
        <v>484</v>
      </c>
      <c r="K4508" t="s">
        <v>147</v>
      </c>
      <c r="L4508" t="s">
        <v>653</v>
      </c>
      <c r="M4508" t="s">
        <v>667</v>
      </c>
    </row>
    <row r="4509" spans="1:13">
      <c r="A4509" t="s">
        <v>851</v>
      </c>
      <c r="B4509" t="s">
        <v>686</v>
      </c>
      <c r="C4509" t="s">
        <v>686</v>
      </c>
      <c r="D4509" t="s">
        <v>3185</v>
      </c>
      <c r="E4509" t="s">
        <v>656</v>
      </c>
      <c r="F4509" t="s">
        <v>31</v>
      </c>
      <c r="G4509">
        <v>2035</v>
      </c>
      <c r="H4509" s="12">
        <v>8.8800000000000008</v>
      </c>
      <c r="I4509" t="s">
        <v>3183</v>
      </c>
      <c r="J4509" t="s">
        <v>484</v>
      </c>
      <c r="K4509" t="s">
        <v>147</v>
      </c>
      <c r="L4509" t="s">
        <v>653</v>
      </c>
      <c r="M4509" t="s">
        <v>667</v>
      </c>
    </row>
    <row r="4510" spans="1:13">
      <c r="A4510" t="s">
        <v>851</v>
      </c>
      <c r="B4510" t="s">
        <v>686</v>
      </c>
      <c r="C4510" t="s">
        <v>686</v>
      </c>
      <c r="D4510" t="s">
        <v>3185</v>
      </c>
      <c r="E4510" t="s">
        <v>656</v>
      </c>
      <c r="F4510" t="s">
        <v>31</v>
      </c>
      <c r="G4510">
        <v>2040</v>
      </c>
      <c r="H4510" s="12">
        <v>14.7</v>
      </c>
      <c r="I4510" t="s">
        <v>3183</v>
      </c>
      <c r="J4510" t="s">
        <v>484</v>
      </c>
      <c r="K4510" t="s">
        <v>147</v>
      </c>
      <c r="L4510" t="s">
        <v>653</v>
      </c>
      <c r="M4510" t="s">
        <v>667</v>
      </c>
    </row>
    <row r="4511" spans="1:13">
      <c r="A4511" t="s">
        <v>851</v>
      </c>
      <c r="B4511" t="s">
        <v>686</v>
      </c>
      <c r="C4511" t="s">
        <v>686</v>
      </c>
      <c r="D4511" t="s">
        <v>3185</v>
      </c>
      <c r="E4511" t="s">
        <v>656</v>
      </c>
      <c r="F4511" t="s">
        <v>31</v>
      </c>
      <c r="G4511">
        <v>2045</v>
      </c>
      <c r="H4511" s="12">
        <v>21.38</v>
      </c>
      <c r="I4511" t="s">
        <v>3183</v>
      </c>
      <c r="J4511" t="s">
        <v>484</v>
      </c>
      <c r="K4511" t="s">
        <v>147</v>
      </c>
      <c r="L4511" t="s">
        <v>653</v>
      </c>
      <c r="M4511" t="s">
        <v>667</v>
      </c>
    </row>
    <row r="4512" spans="1:13">
      <c r="A4512" t="s">
        <v>851</v>
      </c>
      <c r="B4512" t="s">
        <v>686</v>
      </c>
      <c r="C4512" t="s">
        <v>686</v>
      </c>
      <c r="D4512" t="s">
        <v>3185</v>
      </c>
      <c r="E4512" t="s">
        <v>656</v>
      </c>
      <c r="F4512" t="s">
        <v>31</v>
      </c>
      <c r="G4512">
        <v>2050</v>
      </c>
      <c r="H4512" s="12">
        <v>28.86</v>
      </c>
      <c r="I4512" t="s">
        <v>3183</v>
      </c>
      <c r="J4512" t="s">
        <v>484</v>
      </c>
      <c r="K4512" t="s">
        <v>147</v>
      </c>
      <c r="L4512" t="s">
        <v>653</v>
      </c>
      <c r="M4512" t="s">
        <v>667</v>
      </c>
    </row>
    <row r="4513" spans="1:13">
      <c r="A4513" t="s">
        <v>851</v>
      </c>
      <c r="B4513" t="s">
        <v>687</v>
      </c>
      <c r="C4513" t="s">
        <v>687</v>
      </c>
      <c r="D4513" t="s">
        <v>3185</v>
      </c>
      <c r="E4513" t="s">
        <v>656</v>
      </c>
      <c r="F4513" t="s">
        <v>31</v>
      </c>
      <c r="G4513">
        <v>2030</v>
      </c>
      <c r="H4513" s="12">
        <v>7.34</v>
      </c>
      <c r="I4513" t="s">
        <v>3183</v>
      </c>
      <c r="J4513" t="s">
        <v>484</v>
      </c>
      <c r="K4513" t="s">
        <v>147</v>
      </c>
      <c r="L4513" t="s">
        <v>653</v>
      </c>
      <c r="M4513" t="s">
        <v>667</v>
      </c>
    </row>
    <row r="4514" spans="1:13">
      <c r="A4514" t="s">
        <v>851</v>
      </c>
      <c r="B4514" t="s">
        <v>687</v>
      </c>
      <c r="C4514" t="s">
        <v>687</v>
      </c>
      <c r="D4514" t="s">
        <v>3185</v>
      </c>
      <c r="E4514" t="s">
        <v>656</v>
      </c>
      <c r="F4514" t="s">
        <v>31</v>
      </c>
      <c r="G4514">
        <v>2035</v>
      </c>
      <c r="H4514" s="12">
        <v>25.7</v>
      </c>
      <c r="I4514" t="s">
        <v>3183</v>
      </c>
      <c r="J4514" t="s">
        <v>484</v>
      </c>
      <c r="K4514" t="s">
        <v>147</v>
      </c>
      <c r="L4514" t="s">
        <v>653</v>
      </c>
      <c r="M4514" t="s">
        <v>667</v>
      </c>
    </row>
    <row r="4515" spans="1:13">
      <c r="A4515" t="s">
        <v>851</v>
      </c>
      <c r="B4515" t="s">
        <v>687</v>
      </c>
      <c r="C4515" t="s">
        <v>687</v>
      </c>
      <c r="D4515" t="s">
        <v>3185</v>
      </c>
      <c r="E4515" t="s">
        <v>656</v>
      </c>
      <c r="F4515" t="s">
        <v>31</v>
      </c>
      <c r="G4515">
        <v>2040</v>
      </c>
      <c r="H4515" s="12">
        <v>51.1</v>
      </c>
      <c r="I4515" t="s">
        <v>3183</v>
      </c>
      <c r="J4515" t="s">
        <v>484</v>
      </c>
      <c r="K4515" t="s">
        <v>147</v>
      </c>
      <c r="L4515" t="s">
        <v>653</v>
      </c>
      <c r="M4515" t="s">
        <v>667</v>
      </c>
    </row>
    <row r="4516" spans="1:13">
      <c r="A4516" t="s">
        <v>851</v>
      </c>
      <c r="B4516" t="s">
        <v>687</v>
      </c>
      <c r="C4516" t="s">
        <v>687</v>
      </c>
      <c r="D4516" t="s">
        <v>3185</v>
      </c>
      <c r="E4516" t="s">
        <v>656</v>
      </c>
      <c r="F4516" t="s">
        <v>31</v>
      </c>
      <c r="G4516">
        <v>2045</v>
      </c>
      <c r="H4516" s="12">
        <v>82.3</v>
      </c>
      <c r="I4516" t="s">
        <v>3183</v>
      </c>
      <c r="J4516" t="s">
        <v>484</v>
      </c>
      <c r="K4516" t="s">
        <v>147</v>
      </c>
      <c r="L4516" t="s">
        <v>653</v>
      </c>
      <c r="M4516" t="s">
        <v>667</v>
      </c>
    </row>
    <row r="4517" spans="1:13">
      <c r="A4517" t="s">
        <v>851</v>
      </c>
      <c r="B4517" t="s">
        <v>687</v>
      </c>
      <c r="C4517" t="s">
        <v>687</v>
      </c>
      <c r="D4517" t="s">
        <v>3185</v>
      </c>
      <c r="E4517" t="s">
        <v>656</v>
      </c>
      <c r="F4517" t="s">
        <v>31</v>
      </c>
      <c r="G4517">
        <v>2050</v>
      </c>
      <c r="H4517" s="12">
        <v>119.74</v>
      </c>
      <c r="I4517" t="s">
        <v>3183</v>
      </c>
      <c r="J4517" t="s">
        <v>484</v>
      </c>
      <c r="K4517" t="s">
        <v>147</v>
      </c>
      <c r="L4517" t="s">
        <v>653</v>
      </c>
      <c r="M4517" t="s">
        <v>667</v>
      </c>
    </row>
    <row r="4518" spans="1:13">
      <c r="A4518" t="s">
        <v>851</v>
      </c>
      <c r="B4518" t="s">
        <v>686</v>
      </c>
      <c r="C4518" t="s">
        <v>686</v>
      </c>
      <c r="D4518" t="s">
        <v>3185</v>
      </c>
      <c r="E4518" t="s">
        <v>461</v>
      </c>
      <c r="F4518" t="s">
        <v>668</v>
      </c>
      <c r="G4518">
        <v>2020</v>
      </c>
      <c r="H4518" s="12">
        <v>46.25</v>
      </c>
      <c r="I4518" t="s">
        <v>3183</v>
      </c>
      <c r="J4518" t="s">
        <v>394</v>
      </c>
      <c r="K4518" t="s">
        <v>147</v>
      </c>
      <c r="L4518" t="s">
        <v>653</v>
      </c>
      <c r="M4518" t="s">
        <v>16</v>
      </c>
    </row>
    <row r="4519" spans="1:13">
      <c r="A4519" t="s">
        <v>851</v>
      </c>
      <c r="B4519" t="s">
        <v>686</v>
      </c>
      <c r="C4519" t="s">
        <v>686</v>
      </c>
      <c r="D4519" t="s">
        <v>3185</v>
      </c>
      <c r="E4519" t="s">
        <v>461</v>
      </c>
      <c r="F4519" t="s">
        <v>668</v>
      </c>
      <c r="G4519">
        <v>2030</v>
      </c>
      <c r="H4519" s="12">
        <v>62.05</v>
      </c>
      <c r="I4519" t="s">
        <v>3183</v>
      </c>
      <c r="J4519" t="s">
        <v>394</v>
      </c>
      <c r="K4519" t="s">
        <v>147</v>
      </c>
      <c r="L4519" t="s">
        <v>653</v>
      </c>
      <c r="M4519" t="s">
        <v>16</v>
      </c>
    </row>
    <row r="4520" spans="1:13">
      <c r="A4520" t="s">
        <v>851</v>
      </c>
      <c r="B4520" t="s">
        <v>686</v>
      </c>
      <c r="C4520" t="s">
        <v>686</v>
      </c>
      <c r="D4520" t="s">
        <v>3185</v>
      </c>
      <c r="E4520" t="s">
        <v>461</v>
      </c>
      <c r="F4520" t="s">
        <v>668</v>
      </c>
      <c r="G4520">
        <v>2035</v>
      </c>
      <c r="H4520" s="12">
        <v>65.400000000000006</v>
      </c>
      <c r="I4520" t="s">
        <v>3183</v>
      </c>
      <c r="J4520" t="s">
        <v>394</v>
      </c>
      <c r="K4520" t="s">
        <v>147</v>
      </c>
      <c r="L4520" t="s">
        <v>653</v>
      </c>
      <c r="M4520" t="s">
        <v>16</v>
      </c>
    </row>
    <row r="4521" spans="1:13">
      <c r="A4521" t="s">
        <v>851</v>
      </c>
      <c r="B4521" t="s">
        <v>686</v>
      </c>
      <c r="C4521" t="s">
        <v>686</v>
      </c>
      <c r="D4521" t="s">
        <v>3185</v>
      </c>
      <c r="E4521" t="s">
        <v>461</v>
      </c>
      <c r="F4521" t="s">
        <v>668</v>
      </c>
      <c r="G4521">
        <v>2040</v>
      </c>
      <c r="H4521" s="12">
        <v>64.5</v>
      </c>
      <c r="I4521" t="s">
        <v>3183</v>
      </c>
      <c r="J4521" t="s">
        <v>394</v>
      </c>
      <c r="K4521" t="s">
        <v>147</v>
      </c>
      <c r="L4521" t="s">
        <v>653</v>
      </c>
      <c r="M4521" t="s">
        <v>16</v>
      </c>
    </row>
    <row r="4522" spans="1:13">
      <c r="A4522" t="s">
        <v>851</v>
      </c>
      <c r="B4522" t="s">
        <v>686</v>
      </c>
      <c r="C4522" t="s">
        <v>686</v>
      </c>
      <c r="D4522" t="s">
        <v>3185</v>
      </c>
      <c r="E4522" t="s">
        <v>461</v>
      </c>
      <c r="F4522" t="s">
        <v>668</v>
      </c>
      <c r="G4522">
        <v>2045</v>
      </c>
      <c r="H4522" s="12">
        <v>62.58</v>
      </c>
      <c r="I4522" t="s">
        <v>3183</v>
      </c>
      <c r="J4522" t="s">
        <v>394</v>
      </c>
      <c r="K4522" t="s">
        <v>147</v>
      </c>
      <c r="L4522" t="s">
        <v>653</v>
      </c>
      <c r="M4522" t="s">
        <v>16</v>
      </c>
    </row>
    <row r="4523" spans="1:13">
      <c r="A4523" t="s">
        <v>851</v>
      </c>
      <c r="B4523" t="s">
        <v>686</v>
      </c>
      <c r="C4523" t="s">
        <v>686</v>
      </c>
      <c r="D4523" t="s">
        <v>3185</v>
      </c>
      <c r="E4523" t="s">
        <v>461</v>
      </c>
      <c r="F4523" t="s">
        <v>668</v>
      </c>
      <c r="G4523">
        <v>2050</v>
      </c>
      <c r="H4523" s="12">
        <v>62.92</v>
      </c>
      <c r="I4523" t="s">
        <v>3183</v>
      </c>
      <c r="J4523" t="s">
        <v>394</v>
      </c>
      <c r="K4523" t="s">
        <v>147</v>
      </c>
      <c r="L4523" t="s">
        <v>653</v>
      </c>
      <c r="M4523" t="s">
        <v>16</v>
      </c>
    </row>
    <row r="4524" spans="1:13">
      <c r="A4524" t="s">
        <v>851</v>
      </c>
      <c r="B4524" t="s">
        <v>687</v>
      </c>
      <c r="C4524" t="s">
        <v>687</v>
      </c>
      <c r="D4524" t="s">
        <v>3185</v>
      </c>
      <c r="E4524" t="s">
        <v>461</v>
      </c>
      <c r="F4524" t="s">
        <v>668</v>
      </c>
      <c r="G4524">
        <v>2030</v>
      </c>
      <c r="H4524" s="12">
        <v>70.78</v>
      </c>
      <c r="I4524" t="s">
        <v>3183</v>
      </c>
      <c r="J4524" t="s">
        <v>394</v>
      </c>
      <c r="K4524" t="s">
        <v>147</v>
      </c>
      <c r="L4524" t="s">
        <v>653</v>
      </c>
      <c r="M4524" t="s">
        <v>16</v>
      </c>
    </row>
    <row r="4525" spans="1:13">
      <c r="A4525" t="s">
        <v>851</v>
      </c>
      <c r="B4525" t="s">
        <v>687</v>
      </c>
      <c r="C4525" t="s">
        <v>687</v>
      </c>
      <c r="D4525" t="s">
        <v>3185</v>
      </c>
      <c r="E4525" t="s">
        <v>461</v>
      </c>
      <c r="F4525" t="s">
        <v>668</v>
      </c>
      <c r="G4525">
        <v>2035</v>
      </c>
      <c r="H4525" s="12">
        <v>77.08</v>
      </c>
      <c r="I4525" t="s">
        <v>3183</v>
      </c>
      <c r="J4525" t="s">
        <v>394</v>
      </c>
      <c r="K4525" t="s">
        <v>147</v>
      </c>
      <c r="L4525" t="s">
        <v>653</v>
      </c>
      <c r="M4525" t="s">
        <v>16</v>
      </c>
    </row>
    <row r="4526" spans="1:13">
      <c r="A4526" t="s">
        <v>851</v>
      </c>
      <c r="B4526" t="s">
        <v>687</v>
      </c>
      <c r="C4526" t="s">
        <v>687</v>
      </c>
      <c r="D4526" t="s">
        <v>3185</v>
      </c>
      <c r="E4526" t="s">
        <v>461</v>
      </c>
      <c r="F4526" t="s">
        <v>668</v>
      </c>
      <c r="G4526">
        <v>2040</v>
      </c>
      <c r="H4526" s="12">
        <v>71.7</v>
      </c>
      <c r="I4526" t="s">
        <v>3183</v>
      </c>
      <c r="J4526" t="s">
        <v>394</v>
      </c>
      <c r="K4526" t="s">
        <v>147</v>
      </c>
      <c r="L4526" t="s">
        <v>653</v>
      </c>
      <c r="M4526" t="s">
        <v>16</v>
      </c>
    </row>
    <row r="4527" spans="1:13">
      <c r="A4527" t="s">
        <v>851</v>
      </c>
      <c r="B4527" t="s">
        <v>687</v>
      </c>
      <c r="C4527" t="s">
        <v>687</v>
      </c>
      <c r="D4527" t="s">
        <v>3185</v>
      </c>
      <c r="E4527" t="s">
        <v>461</v>
      </c>
      <c r="F4527" t="s">
        <v>668</v>
      </c>
      <c r="G4527">
        <v>2045</v>
      </c>
      <c r="H4527" s="12">
        <v>59.31</v>
      </c>
      <c r="I4527" t="s">
        <v>3183</v>
      </c>
      <c r="J4527" t="s">
        <v>394</v>
      </c>
      <c r="K4527" t="s">
        <v>147</v>
      </c>
      <c r="L4527" t="s">
        <v>653</v>
      </c>
      <c r="M4527" t="s">
        <v>16</v>
      </c>
    </row>
    <row r="4528" spans="1:13">
      <c r="A4528" t="s">
        <v>851</v>
      </c>
      <c r="B4528" t="s">
        <v>687</v>
      </c>
      <c r="C4528" t="s">
        <v>687</v>
      </c>
      <c r="D4528" t="s">
        <v>3185</v>
      </c>
      <c r="E4528" t="s">
        <v>461</v>
      </c>
      <c r="F4528" t="s">
        <v>668</v>
      </c>
      <c r="G4528">
        <v>2050</v>
      </c>
      <c r="H4528" s="12">
        <v>47.46</v>
      </c>
      <c r="I4528" t="s">
        <v>3183</v>
      </c>
      <c r="J4528" t="s">
        <v>394</v>
      </c>
      <c r="K4528" t="s">
        <v>147</v>
      </c>
      <c r="L4528" t="s">
        <v>653</v>
      </c>
      <c r="M4528" t="s">
        <v>16</v>
      </c>
    </row>
    <row r="4529" spans="1:13">
      <c r="A4529" t="s">
        <v>851</v>
      </c>
      <c r="B4529" t="s">
        <v>686</v>
      </c>
      <c r="C4529" t="s">
        <v>686</v>
      </c>
      <c r="D4529" t="s">
        <v>3185</v>
      </c>
      <c r="E4529" t="s">
        <v>656</v>
      </c>
      <c r="F4529" t="s">
        <v>31</v>
      </c>
      <c r="G4529">
        <v>2040</v>
      </c>
      <c r="H4529" s="12">
        <v>136.01</v>
      </c>
      <c r="I4529" t="s">
        <v>3183</v>
      </c>
      <c r="J4529" t="s">
        <v>17</v>
      </c>
      <c r="K4529" t="s">
        <v>147</v>
      </c>
      <c r="L4529" t="s">
        <v>653</v>
      </c>
      <c r="M4529" t="s">
        <v>671</v>
      </c>
    </row>
    <row r="4530" spans="1:13">
      <c r="A4530" t="s">
        <v>851</v>
      </c>
      <c r="B4530" t="s">
        <v>686</v>
      </c>
      <c r="C4530" t="s">
        <v>686</v>
      </c>
      <c r="D4530" t="s">
        <v>3185</v>
      </c>
      <c r="E4530" t="s">
        <v>656</v>
      </c>
      <c r="F4530" t="s">
        <v>31</v>
      </c>
      <c r="G4530">
        <v>2045</v>
      </c>
      <c r="H4530" s="12">
        <v>173.71</v>
      </c>
      <c r="I4530" t="s">
        <v>3183</v>
      </c>
      <c r="J4530" t="s">
        <v>17</v>
      </c>
      <c r="K4530" t="s">
        <v>147</v>
      </c>
      <c r="L4530" t="s">
        <v>653</v>
      </c>
      <c r="M4530" t="s">
        <v>671</v>
      </c>
    </row>
    <row r="4531" spans="1:13">
      <c r="A4531" t="s">
        <v>851</v>
      </c>
      <c r="B4531" t="s">
        <v>686</v>
      </c>
      <c r="C4531" t="s">
        <v>686</v>
      </c>
      <c r="D4531" t="s">
        <v>3185</v>
      </c>
      <c r="E4531" t="s">
        <v>656</v>
      </c>
      <c r="F4531" t="s">
        <v>31</v>
      </c>
      <c r="G4531">
        <v>2050</v>
      </c>
      <c r="H4531" s="12">
        <v>207.34</v>
      </c>
      <c r="I4531" t="s">
        <v>3183</v>
      </c>
      <c r="J4531" t="s">
        <v>17</v>
      </c>
      <c r="K4531" t="s">
        <v>147</v>
      </c>
      <c r="L4531" t="s">
        <v>653</v>
      </c>
      <c r="M4531" t="s">
        <v>671</v>
      </c>
    </row>
    <row r="4532" spans="1:13">
      <c r="A4532" t="s">
        <v>851</v>
      </c>
      <c r="B4532" t="s">
        <v>687</v>
      </c>
      <c r="C4532" t="s">
        <v>687</v>
      </c>
      <c r="D4532" t="s">
        <v>3185</v>
      </c>
      <c r="E4532" t="s">
        <v>656</v>
      </c>
      <c r="F4532" t="s">
        <v>31</v>
      </c>
      <c r="G4532">
        <v>2030</v>
      </c>
      <c r="H4532" s="12">
        <v>108.18</v>
      </c>
      <c r="I4532" t="s">
        <v>3183</v>
      </c>
      <c r="J4532" t="s">
        <v>17</v>
      </c>
      <c r="K4532" t="s">
        <v>147</v>
      </c>
      <c r="L4532" t="s">
        <v>653</v>
      </c>
      <c r="M4532" t="s">
        <v>671</v>
      </c>
    </row>
    <row r="4533" spans="1:13">
      <c r="A4533" t="s">
        <v>851</v>
      </c>
      <c r="B4533" t="s">
        <v>687</v>
      </c>
      <c r="C4533" t="s">
        <v>687</v>
      </c>
      <c r="D4533" t="s">
        <v>3185</v>
      </c>
      <c r="E4533" t="s">
        <v>656</v>
      </c>
      <c r="F4533" t="s">
        <v>31</v>
      </c>
      <c r="G4533">
        <v>2035</v>
      </c>
      <c r="H4533" s="12">
        <v>220.64</v>
      </c>
      <c r="I4533" t="s">
        <v>3183</v>
      </c>
      <c r="J4533" t="s">
        <v>17</v>
      </c>
      <c r="K4533" t="s">
        <v>147</v>
      </c>
      <c r="L4533" t="s">
        <v>653</v>
      </c>
      <c r="M4533" t="s">
        <v>671</v>
      </c>
    </row>
    <row r="4534" spans="1:13">
      <c r="A4534" t="s">
        <v>851</v>
      </c>
      <c r="B4534" t="s">
        <v>687</v>
      </c>
      <c r="C4534" t="s">
        <v>687</v>
      </c>
      <c r="D4534" t="s">
        <v>3185</v>
      </c>
      <c r="E4534" t="s">
        <v>656</v>
      </c>
      <c r="F4534" t="s">
        <v>31</v>
      </c>
      <c r="G4534">
        <v>2040</v>
      </c>
      <c r="H4534" s="12">
        <v>366.34</v>
      </c>
      <c r="I4534" t="s">
        <v>3183</v>
      </c>
      <c r="J4534" t="s">
        <v>17</v>
      </c>
      <c r="K4534" t="s">
        <v>147</v>
      </c>
      <c r="L4534" t="s">
        <v>653</v>
      </c>
      <c r="M4534" t="s">
        <v>671</v>
      </c>
    </row>
    <row r="4535" spans="1:13">
      <c r="A4535" t="s">
        <v>851</v>
      </c>
      <c r="B4535" t="s">
        <v>687</v>
      </c>
      <c r="C4535" t="s">
        <v>687</v>
      </c>
      <c r="D4535" t="s">
        <v>3185</v>
      </c>
      <c r="E4535" t="s">
        <v>656</v>
      </c>
      <c r="F4535" t="s">
        <v>31</v>
      </c>
      <c r="G4535">
        <v>2045</v>
      </c>
      <c r="H4535" s="12">
        <v>547.52</v>
      </c>
      <c r="I4535" t="s">
        <v>3183</v>
      </c>
      <c r="J4535" t="s">
        <v>17</v>
      </c>
      <c r="K4535" t="s">
        <v>147</v>
      </c>
      <c r="L4535" t="s">
        <v>653</v>
      </c>
      <c r="M4535" t="s">
        <v>671</v>
      </c>
    </row>
    <row r="4536" spans="1:13">
      <c r="A4536" t="s">
        <v>851</v>
      </c>
      <c r="B4536" t="s">
        <v>687</v>
      </c>
      <c r="C4536" t="s">
        <v>687</v>
      </c>
      <c r="D4536" t="s">
        <v>3185</v>
      </c>
      <c r="E4536" t="s">
        <v>656</v>
      </c>
      <c r="F4536" t="s">
        <v>31</v>
      </c>
      <c r="G4536">
        <v>2050</v>
      </c>
      <c r="H4536" s="12">
        <v>739.22</v>
      </c>
      <c r="I4536" t="s">
        <v>3183</v>
      </c>
      <c r="J4536" t="s">
        <v>17</v>
      </c>
      <c r="K4536" t="s">
        <v>147</v>
      </c>
      <c r="L4536" t="s">
        <v>653</v>
      </c>
      <c r="M4536" t="s">
        <v>671</v>
      </c>
    </row>
    <row r="4537" spans="1:13">
      <c r="A4537" t="s">
        <v>851</v>
      </c>
      <c r="B4537" t="s">
        <v>686</v>
      </c>
      <c r="C4537" t="s">
        <v>686</v>
      </c>
      <c r="D4537" t="s">
        <v>3185</v>
      </c>
      <c r="E4537" t="s">
        <v>656</v>
      </c>
      <c r="F4537" t="s">
        <v>31</v>
      </c>
      <c r="G4537">
        <v>2010</v>
      </c>
      <c r="H4537" s="12">
        <v>0.86</v>
      </c>
      <c r="I4537" t="s">
        <v>3183</v>
      </c>
      <c r="J4537" t="s">
        <v>18</v>
      </c>
      <c r="K4537" t="s">
        <v>147</v>
      </c>
      <c r="L4537" t="s">
        <v>653</v>
      </c>
      <c r="M4537" t="s">
        <v>18</v>
      </c>
    </row>
    <row r="4538" spans="1:13">
      <c r="A4538" t="s">
        <v>851</v>
      </c>
      <c r="B4538" t="s">
        <v>686</v>
      </c>
      <c r="C4538" t="s">
        <v>686</v>
      </c>
      <c r="D4538" t="s">
        <v>3185</v>
      </c>
      <c r="E4538" t="s">
        <v>656</v>
      </c>
      <c r="F4538" t="s">
        <v>31</v>
      </c>
      <c r="G4538">
        <v>2015</v>
      </c>
      <c r="H4538" s="12">
        <v>3.29</v>
      </c>
      <c r="I4538" t="s">
        <v>3183</v>
      </c>
      <c r="J4538" t="s">
        <v>18</v>
      </c>
      <c r="K4538" t="s">
        <v>147</v>
      </c>
      <c r="L4538" t="s">
        <v>653</v>
      </c>
      <c r="M4538" t="s">
        <v>18</v>
      </c>
    </row>
    <row r="4539" spans="1:13">
      <c r="A4539" t="s">
        <v>851</v>
      </c>
      <c r="B4539" t="s">
        <v>686</v>
      </c>
      <c r="C4539" t="s">
        <v>686</v>
      </c>
      <c r="D4539" t="s">
        <v>3185</v>
      </c>
      <c r="E4539" t="s">
        <v>656</v>
      </c>
      <c r="F4539" t="s">
        <v>31</v>
      </c>
      <c r="G4539">
        <v>2020</v>
      </c>
      <c r="H4539" s="12">
        <v>6.43</v>
      </c>
      <c r="I4539" t="s">
        <v>3183</v>
      </c>
      <c r="J4539" t="s">
        <v>18</v>
      </c>
      <c r="K4539" t="s">
        <v>147</v>
      </c>
      <c r="L4539" t="s">
        <v>653</v>
      </c>
      <c r="M4539" t="s">
        <v>18</v>
      </c>
    </row>
    <row r="4540" spans="1:13">
      <c r="A4540" t="s">
        <v>851</v>
      </c>
      <c r="B4540" t="s">
        <v>686</v>
      </c>
      <c r="C4540" t="s">
        <v>686</v>
      </c>
      <c r="D4540" t="s">
        <v>3185</v>
      </c>
      <c r="E4540" t="s">
        <v>656</v>
      </c>
      <c r="F4540" t="s">
        <v>31</v>
      </c>
      <c r="G4540">
        <v>2030</v>
      </c>
      <c r="H4540" s="12">
        <v>29.33</v>
      </c>
      <c r="I4540" t="s">
        <v>3183</v>
      </c>
      <c r="J4540" t="s">
        <v>18</v>
      </c>
      <c r="K4540" t="s">
        <v>147</v>
      </c>
      <c r="L4540" t="s">
        <v>653</v>
      </c>
      <c r="M4540" t="s">
        <v>18</v>
      </c>
    </row>
    <row r="4541" spans="1:13">
      <c r="A4541" t="s">
        <v>851</v>
      </c>
      <c r="B4541" t="s">
        <v>686</v>
      </c>
      <c r="C4541" t="s">
        <v>686</v>
      </c>
      <c r="D4541" t="s">
        <v>3185</v>
      </c>
      <c r="E4541" t="s">
        <v>656</v>
      </c>
      <c r="F4541" t="s">
        <v>31</v>
      </c>
      <c r="G4541">
        <v>2035</v>
      </c>
      <c r="H4541" s="12">
        <v>49.75</v>
      </c>
      <c r="I4541" t="s">
        <v>3183</v>
      </c>
      <c r="J4541" t="s">
        <v>18</v>
      </c>
      <c r="K4541" t="s">
        <v>147</v>
      </c>
      <c r="L4541" t="s">
        <v>653</v>
      </c>
      <c r="M4541" t="s">
        <v>18</v>
      </c>
    </row>
    <row r="4542" spans="1:13">
      <c r="A4542" t="s">
        <v>851</v>
      </c>
      <c r="B4542" t="s">
        <v>686</v>
      </c>
      <c r="C4542" t="s">
        <v>686</v>
      </c>
      <c r="D4542" t="s">
        <v>3185</v>
      </c>
      <c r="E4542" t="s">
        <v>656</v>
      </c>
      <c r="F4542" t="s">
        <v>31</v>
      </c>
      <c r="G4542">
        <v>2040</v>
      </c>
      <c r="H4542" s="12">
        <v>68.66</v>
      </c>
      <c r="I4542" t="s">
        <v>3183</v>
      </c>
      <c r="J4542" t="s">
        <v>18</v>
      </c>
      <c r="K4542" t="s">
        <v>147</v>
      </c>
      <c r="L4542" t="s">
        <v>653</v>
      </c>
      <c r="M4542" t="s">
        <v>18</v>
      </c>
    </row>
    <row r="4543" spans="1:13">
      <c r="A4543" t="s">
        <v>851</v>
      </c>
      <c r="B4543" t="s">
        <v>686</v>
      </c>
      <c r="C4543" t="s">
        <v>686</v>
      </c>
      <c r="D4543" t="s">
        <v>3185</v>
      </c>
      <c r="E4543" t="s">
        <v>656</v>
      </c>
      <c r="F4543" t="s">
        <v>31</v>
      </c>
      <c r="G4543">
        <v>2045</v>
      </c>
      <c r="H4543" s="12">
        <v>84.9</v>
      </c>
      <c r="I4543" t="s">
        <v>3183</v>
      </c>
      <c r="J4543" t="s">
        <v>18</v>
      </c>
      <c r="K4543" t="s">
        <v>147</v>
      </c>
      <c r="L4543" t="s">
        <v>653</v>
      </c>
      <c r="M4543" t="s">
        <v>18</v>
      </c>
    </row>
    <row r="4544" spans="1:13">
      <c r="A4544" t="s">
        <v>851</v>
      </c>
      <c r="B4544" t="s">
        <v>686</v>
      </c>
      <c r="C4544" t="s">
        <v>686</v>
      </c>
      <c r="D4544" t="s">
        <v>3185</v>
      </c>
      <c r="E4544" t="s">
        <v>656</v>
      </c>
      <c r="F4544" t="s">
        <v>31</v>
      </c>
      <c r="G4544">
        <v>2050</v>
      </c>
      <c r="H4544" s="12">
        <v>98.27</v>
      </c>
      <c r="I4544" t="s">
        <v>3183</v>
      </c>
      <c r="J4544" t="s">
        <v>18</v>
      </c>
      <c r="K4544" t="s">
        <v>147</v>
      </c>
      <c r="L4544" t="s">
        <v>653</v>
      </c>
      <c r="M4544" t="s">
        <v>18</v>
      </c>
    </row>
    <row r="4545" spans="1:13">
      <c r="A4545" t="s">
        <v>851</v>
      </c>
      <c r="B4545" t="s">
        <v>687</v>
      </c>
      <c r="C4545" t="s">
        <v>687</v>
      </c>
      <c r="D4545" t="s">
        <v>3185</v>
      </c>
      <c r="E4545" t="s">
        <v>656</v>
      </c>
      <c r="F4545" t="s">
        <v>31</v>
      </c>
      <c r="G4545">
        <v>2030</v>
      </c>
      <c r="H4545" s="12">
        <v>50.8</v>
      </c>
      <c r="I4545" t="s">
        <v>3183</v>
      </c>
      <c r="J4545" t="s">
        <v>18</v>
      </c>
      <c r="K4545" t="s">
        <v>147</v>
      </c>
      <c r="L4545" t="s">
        <v>653</v>
      </c>
      <c r="M4545" t="s">
        <v>18</v>
      </c>
    </row>
    <row r="4546" spans="1:13">
      <c r="A4546" t="s">
        <v>851</v>
      </c>
      <c r="B4546" t="s">
        <v>687</v>
      </c>
      <c r="C4546" t="s">
        <v>687</v>
      </c>
      <c r="D4546" t="s">
        <v>3185</v>
      </c>
      <c r="E4546" t="s">
        <v>656</v>
      </c>
      <c r="F4546" t="s">
        <v>31</v>
      </c>
      <c r="G4546">
        <v>2035</v>
      </c>
      <c r="H4546" s="12">
        <v>92.66</v>
      </c>
      <c r="I4546" t="s">
        <v>3183</v>
      </c>
      <c r="J4546" t="s">
        <v>18</v>
      </c>
      <c r="K4546" t="s">
        <v>147</v>
      </c>
      <c r="L4546" t="s">
        <v>653</v>
      </c>
      <c r="M4546" t="s">
        <v>18</v>
      </c>
    </row>
    <row r="4547" spans="1:13">
      <c r="A4547" t="s">
        <v>851</v>
      </c>
      <c r="B4547" t="s">
        <v>687</v>
      </c>
      <c r="C4547" t="s">
        <v>687</v>
      </c>
      <c r="D4547" t="s">
        <v>3185</v>
      </c>
      <c r="E4547" t="s">
        <v>656</v>
      </c>
      <c r="F4547" t="s">
        <v>31</v>
      </c>
      <c r="G4547">
        <v>2040</v>
      </c>
      <c r="H4547" s="12">
        <v>138.18</v>
      </c>
      <c r="I4547" t="s">
        <v>3183</v>
      </c>
      <c r="J4547" t="s">
        <v>18</v>
      </c>
      <c r="K4547" t="s">
        <v>147</v>
      </c>
      <c r="L4547" t="s">
        <v>653</v>
      </c>
      <c r="M4547" t="s">
        <v>18</v>
      </c>
    </row>
    <row r="4548" spans="1:13">
      <c r="A4548" t="s">
        <v>851</v>
      </c>
      <c r="B4548" t="s">
        <v>687</v>
      </c>
      <c r="C4548" t="s">
        <v>687</v>
      </c>
      <c r="D4548" t="s">
        <v>3185</v>
      </c>
      <c r="E4548" t="s">
        <v>656</v>
      </c>
      <c r="F4548" t="s">
        <v>31</v>
      </c>
      <c r="G4548">
        <v>2045</v>
      </c>
      <c r="H4548" s="12">
        <v>180.01</v>
      </c>
      <c r="I4548" t="s">
        <v>3183</v>
      </c>
      <c r="J4548" t="s">
        <v>18</v>
      </c>
      <c r="K4548" t="s">
        <v>147</v>
      </c>
      <c r="L4548" t="s">
        <v>653</v>
      </c>
      <c r="M4548" t="s">
        <v>18</v>
      </c>
    </row>
    <row r="4549" spans="1:13">
      <c r="A4549" t="s">
        <v>851</v>
      </c>
      <c r="B4549" t="s">
        <v>687</v>
      </c>
      <c r="C4549" t="s">
        <v>687</v>
      </c>
      <c r="D4549" t="s">
        <v>3185</v>
      </c>
      <c r="E4549" t="s">
        <v>656</v>
      </c>
      <c r="F4549" t="s">
        <v>31</v>
      </c>
      <c r="G4549">
        <v>2050</v>
      </c>
      <c r="H4549" s="12">
        <v>228.81</v>
      </c>
      <c r="I4549" t="s">
        <v>3183</v>
      </c>
      <c r="J4549" t="s">
        <v>18</v>
      </c>
      <c r="K4549" t="s">
        <v>147</v>
      </c>
      <c r="L4549" t="s">
        <v>653</v>
      </c>
      <c r="M4549" t="s">
        <v>18</v>
      </c>
    </row>
    <row r="4550" spans="1:13">
      <c r="A4550" t="s">
        <v>851</v>
      </c>
      <c r="B4550" t="s">
        <v>686</v>
      </c>
      <c r="C4550" t="s">
        <v>686</v>
      </c>
      <c r="D4550" t="s">
        <v>3185</v>
      </c>
      <c r="E4550" t="s">
        <v>656</v>
      </c>
      <c r="F4550" t="s">
        <v>31</v>
      </c>
      <c r="G4550">
        <v>2010</v>
      </c>
      <c r="H4550" s="12">
        <v>26.63</v>
      </c>
      <c r="I4550" t="s">
        <v>3183</v>
      </c>
      <c r="J4550" t="s">
        <v>14</v>
      </c>
      <c r="K4550" t="s">
        <v>147</v>
      </c>
      <c r="L4550" t="s">
        <v>653</v>
      </c>
      <c r="M4550" t="s">
        <v>14</v>
      </c>
    </row>
    <row r="4551" spans="1:13">
      <c r="A4551" t="s">
        <v>851</v>
      </c>
      <c r="B4551" t="s">
        <v>686</v>
      </c>
      <c r="C4551" t="s">
        <v>686</v>
      </c>
      <c r="D4551" t="s">
        <v>3185</v>
      </c>
      <c r="E4551" t="s">
        <v>656</v>
      </c>
      <c r="F4551" t="s">
        <v>31</v>
      </c>
      <c r="G4551">
        <v>2015</v>
      </c>
      <c r="H4551" s="12">
        <v>29.36</v>
      </c>
      <c r="I4551" t="s">
        <v>3183</v>
      </c>
      <c r="J4551" t="s">
        <v>14</v>
      </c>
      <c r="K4551" t="s">
        <v>147</v>
      </c>
      <c r="L4551" t="s">
        <v>653</v>
      </c>
      <c r="M4551" t="s">
        <v>14</v>
      </c>
    </row>
    <row r="4552" spans="1:13">
      <c r="A4552" t="s">
        <v>851</v>
      </c>
      <c r="B4552" t="s">
        <v>686</v>
      </c>
      <c r="C4552" t="s">
        <v>686</v>
      </c>
      <c r="D4552" t="s">
        <v>3185</v>
      </c>
      <c r="E4552" t="s">
        <v>656</v>
      </c>
      <c r="F4552" t="s">
        <v>31</v>
      </c>
      <c r="G4552">
        <v>2020</v>
      </c>
      <c r="H4552" s="12">
        <v>37.619999999999997</v>
      </c>
      <c r="I4552" t="s">
        <v>3183</v>
      </c>
      <c r="J4552" t="s">
        <v>14</v>
      </c>
      <c r="K4552" t="s">
        <v>147</v>
      </c>
      <c r="L4552" t="s">
        <v>653</v>
      </c>
      <c r="M4552" t="s">
        <v>14</v>
      </c>
    </row>
    <row r="4553" spans="1:13">
      <c r="A4553" t="s">
        <v>851</v>
      </c>
      <c r="B4553" t="s">
        <v>686</v>
      </c>
      <c r="C4553" t="s">
        <v>686</v>
      </c>
      <c r="D4553" t="s">
        <v>3185</v>
      </c>
      <c r="E4553" t="s">
        <v>656</v>
      </c>
      <c r="F4553" t="s">
        <v>31</v>
      </c>
      <c r="G4553">
        <v>2030</v>
      </c>
      <c r="H4553" s="12">
        <v>56.93</v>
      </c>
      <c r="I4553" t="s">
        <v>3183</v>
      </c>
      <c r="J4553" t="s">
        <v>14</v>
      </c>
      <c r="K4553" t="s">
        <v>147</v>
      </c>
      <c r="L4553" t="s">
        <v>653</v>
      </c>
      <c r="M4553" t="s">
        <v>14</v>
      </c>
    </row>
    <row r="4554" spans="1:13">
      <c r="A4554" t="s">
        <v>851</v>
      </c>
      <c r="B4554" t="s">
        <v>686</v>
      </c>
      <c r="C4554" t="s">
        <v>686</v>
      </c>
      <c r="D4554" t="s">
        <v>3185</v>
      </c>
      <c r="E4554" t="s">
        <v>656</v>
      </c>
      <c r="F4554" t="s">
        <v>31</v>
      </c>
      <c r="G4554">
        <v>2035</v>
      </c>
      <c r="H4554" s="12">
        <v>65.11</v>
      </c>
      <c r="I4554" t="s">
        <v>3183</v>
      </c>
      <c r="J4554" t="s">
        <v>14</v>
      </c>
      <c r="K4554" t="s">
        <v>147</v>
      </c>
      <c r="L4554" t="s">
        <v>653</v>
      </c>
      <c r="M4554" t="s">
        <v>14</v>
      </c>
    </row>
    <row r="4555" spans="1:13">
      <c r="A4555" t="s">
        <v>851</v>
      </c>
      <c r="B4555" t="s">
        <v>686</v>
      </c>
      <c r="C4555" t="s">
        <v>686</v>
      </c>
      <c r="D4555" t="s">
        <v>3185</v>
      </c>
      <c r="E4555" t="s">
        <v>656</v>
      </c>
      <c r="F4555" t="s">
        <v>31</v>
      </c>
      <c r="G4555">
        <v>2040</v>
      </c>
      <c r="H4555" s="12">
        <v>79.540000000000006</v>
      </c>
      <c r="I4555" t="s">
        <v>3183</v>
      </c>
      <c r="J4555" t="s">
        <v>14</v>
      </c>
      <c r="K4555" t="s">
        <v>147</v>
      </c>
      <c r="L4555" t="s">
        <v>653</v>
      </c>
      <c r="M4555" t="s">
        <v>14</v>
      </c>
    </row>
    <row r="4556" spans="1:13">
      <c r="A4556" t="s">
        <v>851</v>
      </c>
      <c r="B4556" t="s">
        <v>686</v>
      </c>
      <c r="C4556" t="s">
        <v>686</v>
      </c>
      <c r="D4556" t="s">
        <v>3185</v>
      </c>
      <c r="E4556" t="s">
        <v>656</v>
      </c>
      <c r="F4556" t="s">
        <v>31</v>
      </c>
      <c r="G4556">
        <v>2045</v>
      </c>
      <c r="H4556" s="12">
        <v>100.56</v>
      </c>
      <c r="I4556" t="s">
        <v>3183</v>
      </c>
      <c r="J4556" t="s">
        <v>14</v>
      </c>
      <c r="K4556" t="s">
        <v>147</v>
      </c>
      <c r="L4556" t="s">
        <v>653</v>
      </c>
      <c r="M4556" t="s">
        <v>14</v>
      </c>
    </row>
    <row r="4557" spans="1:13">
      <c r="A4557" t="s">
        <v>851</v>
      </c>
      <c r="B4557" t="s">
        <v>686</v>
      </c>
      <c r="C4557" t="s">
        <v>686</v>
      </c>
      <c r="D4557" t="s">
        <v>3185</v>
      </c>
      <c r="E4557" t="s">
        <v>656</v>
      </c>
      <c r="F4557" t="s">
        <v>31</v>
      </c>
      <c r="G4557">
        <v>2050</v>
      </c>
      <c r="H4557" s="12">
        <v>126.76</v>
      </c>
      <c r="I4557" t="s">
        <v>3183</v>
      </c>
      <c r="J4557" t="s">
        <v>14</v>
      </c>
      <c r="K4557" t="s">
        <v>147</v>
      </c>
      <c r="L4557" t="s">
        <v>653</v>
      </c>
      <c r="M4557" t="s">
        <v>14</v>
      </c>
    </row>
    <row r="4558" spans="1:13">
      <c r="A4558" t="s">
        <v>851</v>
      </c>
      <c r="B4558" t="s">
        <v>687</v>
      </c>
      <c r="C4558" t="s">
        <v>687</v>
      </c>
      <c r="D4558" t="s">
        <v>3185</v>
      </c>
      <c r="E4558" t="s">
        <v>656</v>
      </c>
      <c r="F4558" t="s">
        <v>31</v>
      </c>
      <c r="G4558">
        <v>2030</v>
      </c>
      <c r="H4558" s="12">
        <v>67.8</v>
      </c>
      <c r="I4558" t="s">
        <v>3183</v>
      </c>
      <c r="J4558" t="s">
        <v>14</v>
      </c>
      <c r="K4558" t="s">
        <v>147</v>
      </c>
      <c r="L4558" t="s">
        <v>653</v>
      </c>
      <c r="M4558" t="s">
        <v>14</v>
      </c>
    </row>
    <row r="4559" spans="1:13">
      <c r="A4559" t="s">
        <v>851</v>
      </c>
      <c r="B4559" t="s">
        <v>687</v>
      </c>
      <c r="C4559" t="s">
        <v>687</v>
      </c>
      <c r="D4559" t="s">
        <v>3185</v>
      </c>
      <c r="E4559" t="s">
        <v>656</v>
      </c>
      <c r="F4559" t="s">
        <v>31</v>
      </c>
      <c r="G4559">
        <v>2035</v>
      </c>
      <c r="H4559" s="12">
        <v>80.819999999999993</v>
      </c>
      <c r="I4559" t="s">
        <v>3183</v>
      </c>
      <c r="J4559" t="s">
        <v>14</v>
      </c>
      <c r="K4559" t="s">
        <v>147</v>
      </c>
      <c r="L4559" t="s">
        <v>653</v>
      </c>
      <c r="M4559" t="s">
        <v>14</v>
      </c>
    </row>
    <row r="4560" spans="1:13">
      <c r="A4560" t="s">
        <v>851</v>
      </c>
      <c r="B4560" t="s">
        <v>687</v>
      </c>
      <c r="C4560" t="s">
        <v>687</v>
      </c>
      <c r="D4560" t="s">
        <v>3185</v>
      </c>
      <c r="E4560" t="s">
        <v>656</v>
      </c>
      <c r="F4560" t="s">
        <v>31</v>
      </c>
      <c r="G4560">
        <v>2040</v>
      </c>
      <c r="H4560" s="12">
        <v>100.41</v>
      </c>
      <c r="I4560" t="s">
        <v>3183</v>
      </c>
      <c r="J4560" t="s">
        <v>14</v>
      </c>
      <c r="K4560" t="s">
        <v>147</v>
      </c>
      <c r="L4560" t="s">
        <v>653</v>
      </c>
      <c r="M4560" t="s">
        <v>14</v>
      </c>
    </row>
    <row r="4561" spans="1:13">
      <c r="A4561" t="s">
        <v>851</v>
      </c>
      <c r="B4561" t="s">
        <v>687</v>
      </c>
      <c r="C4561" t="s">
        <v>687</v>
      </c>
      <c r="D4561" t="s">
        <v>3185</v>
      </c>
      <c r="E4561" t="s">
        <v>656</v>
      </c>
      <c r="F4561" t="s">
        <v>31</v>
      </c>
      <c r="G4561">
        <v>2045</v>
      </c>
      <c r="H4561" s="12">
        <v>124.29</v>
      </c>
      <c r="I4561" t="s">
        <v>3183</v>
      </c>
      <c r="J4561" t="s">
        <v>14</v>
      </c>
      <c r="K4561" t="s">
        <v>147</v>
      </c>
      <c r="L4561" t="s">
        <v>653</v>
      </c>
      <c r="M4561" t="s">
        <v>14</v>
      </c>
    </row>
    <row r="4562" spans="1:13">
      <c r="A4562" t="s">
        <v>851</v>
      </c>
      <c r="B4562" t="s">
        <v>687</v>
      </c>
      <c r="C4562" t="s">
        <v>687</v>
      </c>
      <c r="D4562" t="s">
        <v>3185</v>
      </c>
      <c r="E4562" t="s">
        <v>656</v>
      </c>
      <c r="F4562" t="s">
        <v>31</v>
      </c>
      <c r="G4562">
        <v>2050</v>
      </c>
      <c r="H4562" s="12">
        <v>150.69999999999999</v>
      </c>
      <c r="I4562" t="s">
        <v>3183</v>
      </c>
      <c r="J4562" t="s">
        <v>14</v>
      </c>
      <c r="K4562" t="s">
        <v>147</v>
      </c>
      <c r="L4562" t="s">
        <v>653</v>
      </c>
      <c r="M4562" t="s">
        <v>14</v>
      </c>
    </row>
    <row r="4563" spans="1:13">
      <c r="A4563" t="s">
        <v>851</v>
      </c>
      <c r="B4563" t="s">
        <v>686</v>
      </c>
      <c r="C4563" t="s">
        <v>686</v>
      </c>
      <c r="D4563" t="s">
        <v>3185</v>
      </c>
      <c r="E4563" t="s">
        <v>656</v>
      </c>
      <c r="F4563" t="s">
        <v>31</v>
      </c>
      <c r="G4563">
        <v>2010</v>
      </c>
      <c r="H4563" s="12">
        <v>0.3</v>
      </c>
      <c r="I4563" t="s">
        <v>3183</v>
      </c>
      <c r="J4563" t="s">
        <v>41</v>
      </c>
      <c r="K4563" t="s">
        <v>147</v>
      </c>
      <c r="L4563" t="s">
        <v>653</v>
      </c>
      <c r="M4563" t="s">
        <v>669</v>
      </c>
    </row>
    <row r="4564" spans="1:13">
      <c r="A4564" t="s">
        <v>851</v>
      </c>
      <c r="B4564" t="s">
        <v>686</v>
      </c>
      <c r="C4564" t="s">
        <v>686</v>
      </c>
      <c r="D4564" t="s">
        <v>3185</v>
      </c>
      <c r="E4564" t="s">
        <v>656</v>
      </c>
      <c r="F4564" t="s">
        <v>31</v>
      </c>
      <c r="G4564">
        <v>2015</v>
      </c>
      <c r="H4564" s="12">
        <v>0.53</v>
      </c>
      <c r="I4564" t="s">
        <v>3183</v>
      </c>
      <c r="J4564" t="s">
        <v>41</v>
      </c>
      <c r="K4564" t="s">
        <v>147</v>
      </c>
      <c r="L4564" t="s">
        <v>653</v>
      </c>
      <c r="M4564" t="s">
        <v>669</v>
      </c>
    </row>
    <row r="4565" spans="1:13">
      <c r="A4565" t="s">
        <v>851</v>
      </c>
      <c r="B4565" t="s">
        <v>686</v>
      </c>
      <c r="C4565" t="s">
        <v>686</v>
      </c>
      <c r="D4565" t="s">
        <v>3185</v>
      </c>
      <c r="E4565" t="s">
        <v>656</v>
      </c>
      <c r="F4565" t="s">
        <v>31</v>
      </c>
      <c r="G4565">
        <v>2020</v>
      </c>
      <c r="H4565" s="12">
        <v>1.18</v>
      </c>
      <c r="I4565" t="s">
        <v>3183</v>
      </c>
      <c r="J4565" t="s">
        <v>41</v>
      </c>
      <c r="K4565" t="s">
        <v>147</v>
      </c>
      <c r="L4565" t="s">
        <v>653</v>
      </c>
      <c r="M4565" t="s">
        <v>669</v>
      </c>
    </row>
    <row r="4566" spans="1:13">
      <c r="A4566" t="s">
        <v>851</v>
      </c>
      <c r="B4566" t="s">
        <v>686</v>
      </c>
      <c r="C4566" t="s">
        <v>686</v>
      </c>
      <c r="D4566" t="s">
        <v>3185</v>
      </c>
      <c r="E4566" t="s">
        <v>656</v>
      </c>
      <c r="F4566" t="s">
        <v>31</v>
      </c>
      <c r="G4566">
        <v>2030</v>
      </c>
      <c r="H4566" s="12">
        <v>5.48</v>
      </c>
      <c r="I4566" t="s">
        <v>3183</v>
      </c>
      <c r="J4566" t="s">
        <v>41</v>
      </c>
      <c r="K4566" t="s">
        <v>147</v>
      </c>
      <c r="L4566" t="s">
        <v>653</v>
      </c>
      <c r="M4566" t="s">
        <v>669</v>
      </c>
    </row>
    <row r="4567" spans="1:13">
      <c r="A4567" t="s">
        <v>851</v>
      </c>
      <c r="B4567" t="s">
        <v>686</v>
      </c>
      <c r="C4567" t="s">
        <v>686</v>
      </c>
      <c r="D4567" t="s">
        <v>3185</v>
      </c>
      <c r="E4567" t="s">
        <v>656</v>
      </c>
      <c r="F4567" t="s">
        <v>31</v>
      </c>
      <c r="G4567">
        <v>2035</v>
      </c>
      <c r="H4567" s="12">
        <v>8.34</v>
      </c>
      <c r="I4567" t="s">
        <v>3183</v>
      </c>
      <c r="J4567" t="s">
        <v>41</v>
      </c>
      <c r="K4567" t="s">
        <v>147</v>
      </c>
      <c r="L4567" t="s">
        <v>653</v>
      </c>
      <c r="M4567" t="s">
        <v>669</v>
      </c>
    </row>
    <row r="4568" spans="1:13">
      <c r="A4568" t="s">
        <v>851</v>
      </c>
      <c r="B4568" t="s">
        <v>686</v>
      </c>
      <c r="C4568" t="s">
        <v>686</v>
      </c>
      <c r="D4568" t="s">
        <v>3185</v>
      </c>
      <c r="E4568" t="s">
        <v>656</v>
      </c>
      <c r="F4568" t="s">
        <v>31</v>
      </c>
      <c r="G4568">
        <v>2040</v>
      </c>
      <c r="H4568" s="12">
        <v>10.53</v>
      </c>
      <c r="I4568" t="s">
        <v>3183</v>
      </c>
      <c r="J4568" t="s">
        <v>41</v>
      </c>
      <c r="K4568" t="s">
        <v>147</v>
      </c>
      <c r="L4568" t="s">
        <v>653</v>
      </c>
      <c r="M4568" t="s">
        <v>669</v>
      </c>
    </row>
    <row r="4569" spans="1:13">
      <c r="A4569" t="s">
        <v>851</v>
      </c>
      <c r="B4569" t="s">
        <v>686</v>
      </c>
      <c r="C4569" t="s">
        <v>686</v>
      </c>
      <c r="D4569" t="s">
        <v>3185</v>
      </c>
      <c r="E4569" t="s">
        <v>656</v>
      </c>
      <c r="F4569" t="s">
        <v>31</v>
      </c>
      <c r="G4569">
        <v>2045</v>
      </c>
      <c r="H4569" s="12">
        <v>12.51</v>
      </c>
      <c r="I4569" t="s">
        <v>3183</v>
      </c>
      <c r="J4569" t="s">
        <v>41</v>
      </c>
      <c r="K4569" t="s">
        <v>147</v>
      </c>
      <c r="L4569" t="s">
        <v>653</v>
      </c>
      <c r="M4569" t="s">
        <v>669</v>
      </c>
    </row>
    <row r="4570" spans="1:13">
      <c r="A4570" t="s">
        <v>851</v>
      </c>
      <c r="B4570" t="s">
        <v>686</v>
      </c>
      <c r="C4570" t="s">
        <v>686</v>
      </c>
      <c r="D4570" t="s">
        <v>3185</v>
      </c>
      <c r="E4570" t="s">
        <v>656</v>
      </c>
      <c r="F4570" t="s">
        <v>31</v>
      </c>
      <c r="G4570">
        <v>2050</v>
      </c>
      <c r="H4570" s="12">
        <v>14.75</v>
      </c>
      <c r="I4570" t="s">
        <v>3183</v>
      </c>
      <c r="J4570" t="s">
        <v>41</v>
      </c>
      <c r="K4570" t="s">
        <v>147</v>
      </c>
      <c r="L4570" t="s">
        <v>653</v>
      </c>
      <c r="M4570" t="s">
        <v>669</v>
      </c>
    </row>
    <row r="4571" spans="1:13">
      <c r="A4571" t="s">
        <v>851</v>
      </c>
      <c r="B4571" t="s">
        <v>687</v>
      </c>
      <c r="C4571" t="s">
        <v>687</v>
      </c>
      <c r="D4571" t="s">
        <v>3185</v>
      </c>
      <c r="E4571" t="s">
        <v>656</v>
      </c>
      <c r="F4571" t="s">
        <v>31</v>
      </c>
      <c r="G4571">
        <v>2030</v>
      </c>
      <c r="H4571" s="12">
        <v>6.4</v>
      </c>
      <c r="I4571" t="s">
        <v>3183</v>
      </c>
      <c r="J4571" t="s">
        <v>41</v>
      </c>
      <c r="K4571" t="s">
        <v>147</v>
      </c>
      <c r="L4571" t="s">
        <v>653</v>
      </c>
      <c r="M4571" t="s">
        <v>669</v>
      </c>
    </row>
    <row r="4572" spans="1:13">
      <c r="A4572" t="s">
        <v>851</v>
      </c>
      <c r="B4572" t="s">
        <v>687</v>
      </c>
      <c r="C4572" t="s">
        <v>687</v>
      </c>
      <c r="D4572" t="s">
        <v>3185</v>
      </c>
      <c r="E4572" t="s">
        <v>656</v>
      </c>
      <c r="F4572" t="s">
        <v>31</v>
      </c>
      <c r="G4572">
        <v>2035</v>
      </c>
      <c r="H4572" s="12">
        <v>10.58</v>
      </c>
      <c r="I4572" t="s">
        <v>3183</v>
      </c>
      <c r="J4572" t="s">
        <v>41</v>
      </c>
      <c r="K4572" t="s">
        <v>147</v>
      </c>
      <c r="L4572" t="s">
        <v>653</v>
      </c>
      <c r="M4572" t="s">
        <v>669</v>
      </c>
    </row>
    <row r="4573" spans="1:13">
      <c r="A4573" t="s">
        <v>851</v>
      </c>
      <c r="B4573" t="s">
        <v>687</v>
      </c>
      <c r="C4573" t="s">
        <v>687</v>
      </c>
      <c r="D4573" t="s">
        <v>3185</v>
      </c>
      <c r="E4573" t="s">
        <v>656</v>
      </c>
      <c r="F4573" t="s">
        <v>31</v>
      </c>
      <c r="G4573">
        <v>2040</v>
      </c>
      <c r="H4573" s="12">
        <v>14.64</v>
      </c>
      <c r="I4573" t="s">
        <v>3183</v>
      </c>
      <c r="J4573" t="s">
        <v>41</v>
      </c>
      <c r="K4573" t="s">
        <v>147</v>
      </c>
      <c r="L4573" t="s">
        <v>653</v>
      </c>
      <c r="M4573" t="s">
        <v>669</v>
      </c>
    </row>
    <row r="4574" spans="1:13">
      <c r="A4574" t="s">
        <v>851</v>
      </c>
      <c r="B4574" t="s">
        <v>687</v>
      </c>
      <c r="C4574" t="s">
        <v>687</v>
      </c>
      <c r="D4574" t="s">
        <v>3185</v>
      </c>
      <c r="E4574" t="s">
        <v>656</v>
      </c>
      <c r="F4574" t="s">
        <v>31</v>
      </c>
      <c r="G4574">
        <v>2045</v>
      </c>
      <c r="H4574" s="12">
        <v>19.13</v>
      </c>
      <c r="I4574" t="s">
        <v>3183</v>
      </c>
      <c r="J4574" t="s">
        <v>41</v>
      </c>
      <c r="K4574" t="s">
        <v>147</v>
      </c>
      <c r="L4574" t="s">
        <v>653</v>
      </c>
      <c r="M4574" t="s">
        <v>669</v>
      </c>
    </row>
    <row r="4575" spans="1:13">
      <c r="A4575" t="s">
        <v>851</v>
      </c>
      <c r="B4575" t="s">
        <v>687</v>
      </c>
      <c r="C4575" t="s">
        <v>687</v>
      </c>
      <c r="D4575" t="s">
        <v>3185</v>
      </c>
      <c r="E4575" t="s">
        <v>656</v>
      </c>
      <c r="F4575" t="s">
        <v>31</v>
      </c>
      <c r="G4575">
        <v>2050</v>
      </c>
      <c r="H4575" s="12">
        <v>24.36</v>
      </c>
      <c r="I4575" t="s">
        <v>3183</v>
      </c>
      <c r="J4575" t="s">
        <v>41</v>
      </c>
      <c r="K4575" t="s">
        <v>147</v>
      </c>
      <c r="L4575" t="s">
        <v>653</v>
      </c>
      <c r="M4575" t="s">
        <v>669</v>
      </c>
    </row>
    <row r="4576" spans="1:13">
      <c r="A4576" t="s">
        <v>851</v>
      </c>
      <c r="B4576" t="s">
        <v>686</v>
      </c>
      <c r="C4576" t="s">
        <v>686</v>
      </c>
      <c r="D4576" t="s">
        <v>3185</v>
      </c>
      <c r="E4576" t="s">
        <v>656</v>
      </c>
      <c r="F4576" t="s">
        <v>31</v>
      </c>
      <c r="G4576">
        <v>2010</v>
      </c>
      <c r="H4576" s="12">
        <v>1.94</v>
      </c>
      <c r="I4576" t="s">
        <v>3183</v>
      </c>
      <c r="J4576" t="s">
        <v>15</v>
      </c>
      <c r="K4576" t="s">
        <v>147</v>
      </c>
      <c r="L4576" t="s">
        <v>653</v>
      </c>
      <c r="M4576" t="s">
        <v>15</v>
      </c>
    </row>
    <row r="4577" spans="1:13">
      <c r="A4577" t="s">
        <v>851</v>
      </c>
      <c r="B4577" t="s">
        <v>686</v>
      </c>
      <c r="C4577" t="s">
        <v>686</v>
      </c>
      <c r="D4577" t="s">
        <v>3185</v>
      </c>
      <c r="E4577" t="s">
        <v>656</v>
      </c>
      <c r="F4577" t="s">
        <v>31</v>
      </c>
      <c r="G4577">
        <v>2015</v>
      </c>
      <c r="H4577" s="12">
        <v>1.94</v>
      </c>
      <c r="I4577" t="s">
        <v>3183</v>
      </c>
      <c r="J4577" t="s">
        <v>15</v>
      </c>
      <c r="K4577" t="s">
        <v>147</v>
      </c>
      <c r="L4577" t="s">
        <v>653</v>
      </c>
      <c r="M4577" t="s">
        <v>15</v>
      </c>
    </row>
    <row r="4578" spans="1:13">
      <c r="A4578" t="s">
        <v>851</v>
      </c>
      <c r="B4578" t="s">
        <v>686</v>
      </c>
      <c r="C4578" t="s">
        <v>686</v>
      </c>
      <c r="D4578" t="s">
        <v>3185</v>
      </c>
      <c r="E4578" t="s">
        <v>656</v>
      </c>
      <c r="F4578" t="s">
        <v>31</v>
      </c>
      <c r="G4578">
        <v>2020</v>
      </c>
      <c r="H4578" s="12">
        <v>1.94</v>
      </c>
      <c r="I4578" t="s">
        <v>3183</v>
      </c>
      <c r="J4578" t="s">
        <v>15</v>
      </c>
      <c r="K4578" t="s">
        <v>147</v>
      </c>
      <c r="L4578" t="s">
        <v>653</v>
      </c>
      <c r="M4578" t="s">
        <v>15</v>
      </c>
    </row>
    <row r="4579" spans="1:13">
      <c r="A4579" t="s">
        <v>851</v>
      </c>
      <c r="B4579" t="s">
        <v>686</v>
      </c>
      <c r="C4579" t="s">
        <v>686</v>
      </c>
      <c r="D4579" t="s">
        <v>3185</v>
      </c>
      <c r="E4579" t="s">
        <v>656</v>
      </c>
      <c r="F4579" t="s">
        <v>31</v>
      </c>
      <c r="G4579">
        <v>2030</v>
      </c>
      <c r="H4579" s="12">
        <v>3.24</v>
      </c>
      <c r="I4579" t="s">
        <v>3183</v>
      </c>
      <c r="J4579" t="s">
        <v>15</v>
      </c>
      <c r="K4579" t="s">
        <v>147</v>
      </c>
      <c r="L4579" t="s">
        <v>653</v>
      </c>
      <c r="M4579" t="s">
        <v>15</v>
      </c>
    </row>
    <row r="4580" spans="1:13">
      <c r="A4580" t="s">
        <v>851</v>
      </c>
      <c r="B4580" t="s">
        <v>687</v>
      </c>
      <c r="C4580" t="s">
        <v>687</v>
      </c>
      <c r="D4580" t="s">
        <v>3185</v>
      </c>
      <c r="E4580" t="s">
        <v>656</v>
      </c>
      <c r="F4580" t="s">
        <v>31</v>
      </c>
      <c r="G4580">
        <v>2040</v>
      </c>
      <c r="H4580" s="12">
        <v>15.14</v>
      </c>
      <c r="I4580" t="s">
        <v>3183</v>
      </c>
      <c r="J4580" t="s">
        <v>5</v>
      </c>
      <c r="K4580" t="s">
        <v>147</v>
      </c>
      <c r="L4580" t="s">
        <v>653</v>
      </c>
      <c r="M4580" t="s">
        <v>665</v>
      </c>
    </row>
    <row r="4581" spans="1:13">
      <c r="A4581" t="s">
        <v>851</v>
      </c>
      <c r="B4581" t="s">
        <v>687</v>
      </c>
      <c r="C4581" t="s">
        <v>687</v>
      </c>
      <c r="D4581" t="s">
        <v>3185</v>
      </c>
      <c r="E4581" t="s">
        <v>656</v>
      </c>
      <c r="F4581" t="s">
        <v>31</v>
      </c>
      <c r="G4581">
        <v>2045</v>
      </c>
      <c r="H4581" s="12">
        <v>7.52</v>
      </c>
      <c r="I4581" t="s">
        <v>3183</v>
      </c>
      <c r="J4581" t="s">
        <v>5</v>
      </c>
      <c r="K4581" t="s">
        <v>147</v>
      </c>
      <c r="L4581" t="s">
        <v>653</v>
      </c>
      <c r="M4581" t="s">
        <v>665</v>
      </c>
    </row>
    <row r="4582" spans="1:13">
      <c r="A4582" t="s">
        <v>851</v>
      </c>
      <c r="B4582" t="s">
        <v>687</v>
      </c>
      <c r="C4582" t="s">
        <v>687</v>
      </c>
      <c r="D4582" t="s">
        <v>3185</v>
      </c>
      <c r="E4582" t="s">
        <v>656</v>
      </c>
      <c r="F4582" t="s">
        <v>31</v>
      </c>
      <c r="G4582">
        <v>2050</v>
      </c>
      <c r="H4582" s="12">
        <v>5.15</v>
      </c>
      <c r="I4582" t="s">
        <v>3183</v>
      </c>
      <c r="J4582" t="s">
        <v>5</v>
      </c>
      <c r="K4582" t="s">
        <v>147</v>
      </c>
      <c r="L4582" t="s">
        <v>653</v>
      </c>
      <c r="M4582" t="s">
        <v>665</v>
      </c>
    </row>
    <row r="4583" spans="1:13">
      <c r="A4583" t="s">
        <v>851</v>
      </c>
      <c r="B4583" t="s">
        <v>686</v>
      </c>
      <c r="C4583" t="s">
        <v>686</v>
      </c>
      <c r="D4583" t="s">
        <v>3185</v>
      </c>
      <c r="E4583" t="s">
        <v>656</v>
      </c>
      <c r="F4583" t="s">
        <v>31</v>
      </c>
      <c r="G4583">
        <v>2010</v>
      </c>
      <c r="H4583" s="12">
        <v>52.04</v>
      </c>
      <c r="I4583" t="s">
        <v>3183</v>
      </c>
      <c r="J4583" t="s">
        <v>6</v>
      </c>
      <c r="K4583" t="s">
        <v>147</v>
      </c>
      <c r="L4583" t="s">
        <v>653</v>
      </c>
      <c r="M4583" t="s">
        <v>666</v>
      </c>
    </row>
    <row r="4584" spans="1:13">
      <c r="A4584" t="s">
        <v>851</v>
      </c>
      <c r="B4584" t="s">
        <v>686</v>
      </c>
      <c r="C4584" t="s">
        <v>686</v>
      </c>
      <c r="D4584" t="s">
        <v>3185</v>
      </c>
      <c r="E4584" t="s">
        <v>656</v>
      </c>
      <c r="F4584" t="s">
        <v>31</v>
      </c>
      <c r="G4584">
        <v>2015</v>
      </c>
      <c r="H4584" s="12">
        <v>77.989999999999995</v>
      </c>
      <c r="I4584" t="s">
        <v>3183</v>
      </c>
      <c r="J4584" t="s">
        <v>6</v>
      </c>
      <c r="K4584" t="s">
        <v>147</v>
      </c>
      <c r="L4584" t="s">
        <v>653</v>
      </c>
      <c r="M4584" t="s">
        <v>666</v>
      </c>
    </row>
    <row r="4585" spans="1:13">
      <c r="A4585" t="s">
        <v>851</v>
      </c>
      <c r="B4585" t="s">
        <v>686</v>
      </c>
      <c r="C4585" t="s">
        <v>686</v>
      </c>
      <c r="D4585" t="s">
        <v>3185</v>
      </c>
      <c r="E4585" t="s">
        <v>461</v>
      </c>
      <c r="F4585" t="s">
        <v>668</v>
      </c>
      <c r="G4585">
        <v>2020</v>
      </c>
      <c r="H4585" s="12">
        <v>0</v>
      </c>
      <c r="I4585" t="s">
        <v>3183</v>
      </c>
      <c r="J4585" t="s">
        <v>8</v>
      </c>
      <c r="K4585" t="s">
        <v>147</v>
      </c>
      <c r="L4585" t="s">
        <v>653</v>
      </c>
      <c r="M4585" t="s">
        <v>670</v>
      </c>
    </row>
    <row r="4586" spans="1:13">
      <c r="A4586" t="s">
        <v>851</v>
      </c>
      <c r="B4586" t="s">
        <v>686</v>
      </c>
      <c r="C4586" t="s">
        <v>686</v>
      </c>
      <c r="D4586" t="s">
        <v>3185</v>
      </c>
      <c r="E4586" t="s">
        <v>461</v>
      </c>
      <c r="F4586" t="s">
        <v>668</v>
      </c>
      <c r="G4586">
        <v>2030</v>
      </c>
      <c r="H4586" s="12">
        <v>0</v>
      </c>
      <c r="I4586" t="s">
        <v>3183</v>
      </c>
      <c r="J4586" t="s">
        <v>8</v>
      </c>
      <c r="K4586" t="s">
        <v>147</v>
      </c>
      <c r="L4586" t="s">
        <v>653</v>
      </c>
      <c r="M4586" t="s">
        <v>670</v>
      </c>
    </row>
    <row r="4587" spans="1:13">
      <c r="A4587" t="s">
        <v>851</v>
      </c>
      <c r="B4587" t="s">
        <v>686</v>
      </c>
      <c r="C4587" t="s">
        <v>686</v>
      </c>
      <c r="D4587" t="s">
        <v>3185</v>
      </c>
      <c r="E4587" t="s">
        <v>461</v>
      </c>
      <c r="F4587" t="s">
        <v>668</v>
      </c>
      <c r="G4587">
        <v>2035</v>
      </c>
      <c r="H4587" s="12">
        <v>0</v>
      </c>
      <c r="I4587" t="s">
        <v>3183</v>
      </c>
      <c r="J4587" t="s">
        <v>8</v>
      </c>
      <c r="K4587" t="s">
        <v>147</v>
      </c>
      <c r="L4587" t="s">
        <v>653</v>
      </c>
      <c r="M4587" t="s">
        <v>670</v>
      </c>
    </row>
    <row r="4588" spans="1:13">
      <c r="A4588" t="s">
        <v>851</v>
      </c>
      <c r="B4588" t="s">
        <v>686</v>
      </c>
      <c r="C4588" t="s">
        <v>686</v>
      </c>
      <c r="D4588" t="s">
        <v>3185</v>
      </c>
      <c r="E4588" t="s">
        <v>461</v>
      </c>
      <c r="F4588" t="s">
        <v>668</v>
      </c>
      <c r="G4588">
        <v>2040</v>
      </c>
      <c r="H4588" s="12">
        <v>0</v>
      </c>
      <c r="I4588" t="s">
        <v>3183</v>
      </c>
      <c r="J4588" t="s">
        <v>8</v>
      </c>
      <c r="K4588" t="s">
        <v>147</v>
      </c>
      <c r="L4588" t="s">
        <v>653</v>
      </c>
      <c r="M4588" t="s">
        <v>670</v>
      </c>
    </row>
    <row r="4589" spans="1:13">
      <c r="A4589" t="s">
        <v>851</v>
      </c>
      <c r="B4589" t="s">
        <v>686</v>
      </c>
      <c r="C4589" t="s">
        <v>686</v>
      </c>
      <c r="D4589" t="s">
        <v>3185</v>
      </c>
      <c r="E4589" t="s">
        <v>461</v>
      </c>
      <c r="F4589" t="s">
        <v>668</v>
      </c>
      <c r="G4589">
        <v>2045</v>
      </c>
      <c r="H4589" s="12">
        <v>0</v>
      </c>
      <c r="I4589" t="s">
        <v>3183</v>
      </c>
      <c r="J4589" t="s">
        <v>8</v>
      </c>
      <c r="K4589" t="s">
        <v>147</v>
      </c>
      <c r="L4589" t="s">
        <v>653</v>
      </c>
      <c r="M4589" t="s">
        <v>670</v>
      </c>
    </row>
    <row r="4590" spans="1:13">
      <c r="A4590" t="s">
        <v>851</v>
      </c>
      <c r="B4590" t="s">
        <v>686</v>
      </c>
      <c r="C4590" t="s">
        <v>686</v>
      </c>
      <c r="D4590" t="s">
        <v>3185</v>
      </c>
      <c r="E4590" t="s">
        <v>461</v>
      </c>
      <c r="F4590" t="s">
        <v>668</v>
      </c>
      <c r="G4590">
        <v>2050</v>
      </c>
      <c r="H4590" s="12">
        <v>0</v>
      </c>
      <c r="I4590" t="s">
        <v>3183</v>
      </c>
      <c r="J4590" t="s">
        <v>8</v>
      </c>
      <c r="K4590" t="s">
        <v>147</v>
      </c>
      <c r="L4590" t="s">
        <v>653</v>
      </c>
      <c r="M4590" t="s">
        <v>670</v>
      </c>
    </row>
    <row r="4591" spans="1:13">
      <c r="A4591" t="s">
        <v>851</v>
      </c>
      <c r="B4591" t="s">
        <v>687</v>
      </c>
      <c r="C4591" t="s">
        <v>687</v>
      </c>
      <c r="D4591" t="s">
        <v>3185</v>
      </c>
      <c r="E4591" t="s">
        <v>461</v>
      </c>
      <c r="F4591" t="s">
        <v>668</v>
      </c>
      <c r="G4591">
        <v>2030</v>
      </c>
      <c r="H4591" s="12">
        <v>0</v>
      </c>
      <c r="I4591" t="s">
        <v>3183</v>
      </c>
      <c r="J4591" t="s">
        <v>8</v>
      </c>
      <c r="K4591" t="s">
        <v>147</v>
      </c>
      <c r="L4591" t="s">
        <v>653</v>
      </c>
      <c r="M4591" t="s">
        <v>670</v>
      </c>
    </row>
    <row r="4592" spans="1:13">
      <c r="A4592" t="s">
        <v>851</v>
      </c>
      <c r="B4592" t="s">
        <v>687</v>
      </c>
      <c r="C4592" t="s">
        <v>687</v>
      </c>
      <c r="D4592" t="s">
        <v>3185</v>
      </c>
      <c r="E4592" t="s">
        <v>461</v>
      </c>
      <c r="F4592" t="s">
        <v>668</v>
      </c>
      <c r="G4592">
        <v>2035</v>
      </c>
      <c r="H4592" s="12">
        <v>0</v>
      </c>
      <c r="I4592" t="s">
        <v>3183</v>
      </c>
      <c r="J4592" t="s">
        <v>8</v>
      </c>
      <c r="K4592" t="s">
        <v>147</v>
      </c>
      <c r="L4592" t="s">
        <v>653</v>
      </c>
      <c r="M4592" t="s">
        <v>670</v>
      </c>
    </row>
    <row r="4593" spans="1:13">
      <c r="A4593" t="s">
        <v>851</v>
      </c>
      <c r="B4593" t="s">
        <v>687</v>
      </c>
      <c r="C4593" t="s">
        <v>687</v>
      </c>
      <c r="D4593" t="s">
        <v>3185</v>
      </c>
      <c r="E4593" t="s">
        <v>461</v>
      </c>
      <c r="F4593" t="s">
        <v>668</v>
      </c>
      <c r="G4593">
        <v>2040</v>
      </c>
      <c r="H4593" s="12">
        <v>3.25</v>
      </c>
      <c r="I4593" t="s">
        <v>3183</v>
      </c>
      <c r="J4593" t="s">
        <v>8</v>
      </c>
      <c r="K4593" t="s">
        <v>147</v>
      </c>
      <c r="L4593" t="s">
        <v>653</v>
      </c>
      <c r="M4593" t="s">
        <v>670</v>
      </c>
    </row>
    <row r="4594" spans="1:13">
      <c r="A4594" t="s">
        <v>851</v>
      </c>
      <c r="B4594" t="s">
        <v>687</v>
      </c>
      <c r="C4594" t="s">
        <v>687</v>
      </c>
      <c r="D4594" t="s">
        <v>3185</v>
      </c>
      <c r="E4594" t="s">
        <v>461</v>
      </c>
      <c r="F4594" t="s">
        <v>668</v>
      </c>
      <c r="G4594">
        <v>2045</v>
      </c>
      <c r="H4594" s="12">
        <v>8.2200000000000006</v>
      </c>
      <c r="I4594" t="s">
        <v>3183</v>
      </c>
      <c r="J4594" t="s">
        <v>8</v>
      </c>
      <c r="K4594" t="s">
        <v>147</v>
      </c>
      <c r="L4594" t="s">
        <v>653</v>
      </c>
      <c r="M4594" t="s">
        <v>670</v>
      </c>
    </row>
    <row r="4595" spans="1:13">
      <c r="A4595" t="s">
        <v>851</v>
      </c>
      <c r="B4595" t="s">
        <v>687</v>
      </c>
      <c r="C4595" t="s">
        <v>687</v>
      </c>
      <c r="D4595" t="s">
        <v>3185</v>
      </c>
      <c r="E4595" t="s">
        <v>461</v>
      </c>
      <c r="F4595" t="s">
        <v>668</v>
      </c>
      <c r="G4595">
        <v>2050</v>
      </c>
      <c r="H4595" s="12">
        <v>8.9600000000000009</v>
      </c>
      <c r="I4595" t="s">
        <v>3183</v>
      </c>
      <c r="J4595" t="s">
        <v>8</v>
      </c>
      <c r="K4595" t="s">
        <v>147</v>
      </c>
      <c r="L4595" t="s">
        <v>653</v>
      </c>
      <c r="M4595" t="s">
        <v>670</v>
      </c>
    </row>
    <row r="4596" spans="1:13">
      <c r="A4596" t="s">
        <v>851</v>
      </c>
      <c r="B4596" t="s">
        <v>686</v>
      </c>
      <c r="C4596" t="s">
        <v>686</v>
      </c>
      <c r="D4596" t="s">
        <v>3185</v>
      </c>
      <c r="E4596" t="s">
        <v>461</v>
      </c>
      <c r="F4596" t="s">
        <v>668</v>
      </c>
      <c r="G4596">
        <v>2010</v>
      </c>
      <c r="H4596" s="12">
        <v>259.3</v>
      </c>
      <c r="I4596" t="s">
        <v>3183</v>
      </c>
      <c r="J4596" t="s">
        <v>5</v>
      </c>
      <c r="K4596" t="s">
        <v>147</v>
      </c>
      <c r="L4596" t="s">
        <v>653</v>
      </c>
      <c r="M4596" t="s">
        <v>665</v>
      </c>
    </row>
    <row r="4597" spans="1:13">
      <c r="A4597" t="s">
        <v>851</v>
      </c>
      <c r="B4597" t="s">
        <v>686</v>
      </c>
      <c r="C4597" t="s">
        <v>686</v>
      </c>
      <c r="D4597" t="s">
        <v>3185</v>
      </c>
      <c r="E4597" t="s">
        <v>461</v>
      </c>
      <c r="F4597" t="s">
        <v>668</v>
      </c>
      <c r="G4597">
        <v>2015</v>
      </c>
      <c r="H4597" s="12">
        <v>255.27</v>
      </c>
      <c r="I4597" t="s">
        <v>3183</v>
      </c>
      <c r="J4597" t="s">
        <v>5</v>
      </c>
      <c r="K4597" t="s">
        <v>147</v>
      </c>
      <c r="L4597" t="s">
        <v>653</v>
      </c>
      <c r="M4597" t="s">
        <v>665</v>
      </c>
    </row>
    <row r="4598" spans="1:13">
      <c r="A4598" t="s">
        <v>851</v>
      </c>
      <c r="B4598" t="s">
        <v>686</v>
      </c>
      <c r="C4598" t="s">
        <v>686</v>
      </c>
      <c r="D4598" t="s">
        <v>3185</v>
      </c>
      <c r="E4598" t="s">
        <v>461</v>
      </c>
      <c r="F4598" t="s">
        <v>668</v>
      </c>
      <c r="G4598">
        <v>2020</v>
      </c>
      <c r="H4598" s="12">
        <v>247.53</v>
      </c>
      <c r="I4598" t="s">
        <v>3183</v>
      </c>
      <c r="J4598" t="s">
        <v>5</v>
      </c>
      <c r="K4598" t="s">
        <v>147</v>
      </c>
      <c r="L4598" t="s">
        <v>653</v>
      </c>
      <c r="M4598" t="s">
        <v>665</v>
      </c>
    </row>
    <row r="4599" spans="1:13">
      <c r="A4599" t="s">
        <v>851</v>
      </c>
      <c r="B4599" t="s">
        <v>686</v>
      </c>
      <c r="C4599" t="s">
        <v>686</v>
      </c>
      <c r="D4599" t="s">
        <v>3185</v>
      </c>
      <c r="E4599" t="s">
        <v>461</v>
      </c>
      <c r="F4599" t="s">
        <v>668</v>
      </c>
      <c r="G4599">
        <v>2030</v>
      </c>
      <c r="H4599" s="12">
        <v>204.54</v>
      </c>
      <c r="I4599" t="s">
        <v>3183</v>
      </c>
      <c r="J4599" t="s">
        <v>5</v>
      </c>
      <c r="K4599" t="s">
        <v>147</v>
      </c>
      <c r="L4599" t="s">
        <v>653</v>
      </c>
      <c r="M4599" t="s">
        <v>665</v>
      </c>
    </row>
    <row r="4600" spans="1:13">
      <c r="A4600" t="s">
        <v>851</v>
      </c>
      <c r="B4600" t="s">
        <v>686</v>
      </c>
      <c r="C4600" t="s">
        <v>686</v>
      </c>
      <c r="D4600" t="s">
        <v>3185</v>
      </c>
      <c r="E4600" t="s">
        <v>461</v>
      </c>
      <c r="F4600" t="s">
        <v>668</v>
      </c>
      <c r="G4600">
        <v>2035</v>
      </c>
      <c r="H4600" s="12">
        <v>177.67</v>
      </c>
      <c r="I4600" t="s">
        <v>3183</v>
      </c>
      <c r="J4600" t="s">
        <v>5</v>
      </c>
      <c r="K4600" t="s">
        <v>147</v>
      </c>
      <c r="L4600" t="s">
        <v>653</v>
      </c>
      <c r="M4600" t="s">
        <v>665</v>
      </c>
    </row>
    <row r="4601" spans="1:13">
      <c r="A4601" t="s">
        <v>851</v>
      </c>
      <c r="B4601" t="s">
        <v>686</v>
      </c>
      <c r="C4601" t="s">
        <v>686</v>
      </c>
      <c r="D4601" t="s">
        <v>3185</v>
      </c>
      <c r="E4601" t="s">
        <v>461</v>
      </c>
      <c r="F4601" t="s">
        <v>668</v>
      </c>
      <c r="G4601">
        <v>2040</v>
      </c>
      <c r="H4601" s="12">
        <v>146.06</v>
      </c>
      <c r="I4601" t="s">
        <v>3183</v>
      </c>
      <c r="J4601" t="s">
        <v>5</v>
      </c>
      <c r="K4601" t="s">
        <v>147</v>
      </c>
      <c r="L4601" t="s">
        <v>653</v>
      </c>
      <c r="M4601" t="s">
        <v>665</v>
      </c>
    </row>
    <row r="4602" spans="1:13">
      <c r="A4602" t="s">
        <v>851</v>
      </c>
      <c r="B4602" t="s">
        <v>686</v>
      </c>
      <c r="C4602" t="s">
        <v>686</v>
      </c>
      <c r="D4602" t="s">
        <v>3185</v>
      </c>
      <c r="E4602" t="s">
        <v>461</v>
      </c>
      <c r="F4602" t="s">
        <v>668</v>
      </c>
      <c r="G4602">
        <v>2045</v>
      </c>
      <c r="H4602" s="12">
        <v>126.8</v>
      </c>
      <c r="I4602" t="s">
        <v>3183</v>
      </c>
      <c r="J4602" t="s">
        <v>5</v>
      </c>
      <c r="K4602" t="s">
        <v>147</v>
      </c>
      <c r="L4602" t="s">
        <v>653</v>
      </c>
      <c r="M4602" t="s">
        <v>665</v>
      </c>
    </row>
    <row r="4603" spans="1:13">
      <c r="A4603" t="s">
        <v>851</v>
      </c>
      <c r="B4603" t="s">
        <v>686</v>
      </c>
      <c r="C4603" t="s">
        <v>686</v>
      </c>
      <c r="D4603" t="s">
        <v>3185</v>
      </c>
      <c r="E4603" t="s">
        <v>461</v>
      </c>
      <c r="F4603" t="s">
        <v>668</v>
      </c>
      <c r="G4603">
        <v>2050</v>
      </c>
      <c r="H4603" s="12">
        <v>114.8</v>
      </c>
      <c r="I4603" t="s">
        <v>3183</v>
      </c>
      <c r="J4603" t="s">
        <v>5</v>
      </c>
      <c r="K4603" t="s">
        <v>147</v>
      </c>
      <c r="L4603" t="s">
        <v>653</v>
      </c>
      <c r="M4603" t="s">
        <v>665</v>
      </c>
    </row>
    <row r="4604" spans="1:13">
      <c r="A4604" t="s">
        <v>851</v>
      </c>
      <c r="B4604" t="s">
        <v>687</v>
      </c>
      <c r="C4604" t="s">
        <v>687</v>
      </c>
      <c r="D4604" t="s">
        <v>3185</v>
      </c>
      <c r="E4604" t="s">
        <v>461</v>
      </c>
      <c r="F4604" t="s">
        <v>668</v>
      </c>
      <c r="G4604">
        <v>2030</v>
      </c>
      <c r="H4604" s="12">
        <v>171.2</v>
      </c>
      <c r="I4604" t="s">
        <v>3183</v>
      </c>
      <c r="J4604" t="s">
        <v>5</v>
      </c>
      <c r="K4604" t="s">
        <v>147</v>
      </c>
      <c r="L4604" t="s">
        <v>653</v>
      </c>
      <c r="M4604" t="s">
        <v>665</v>
      </c>
    </row>
    <row r="4605" spans="1:13">
      <c r="A4605" t="s">
        <v>851</v>
      </c>
      <c r="B4605" t="s">
        <v>687</v>
      </c>
      <c r="C4605" t="s">
        <v>687</v>
      </c>
      <c r="D4605" t="s">
        <v>3185</v>
      </c>
      <c r="E4605" t="s">
        <v>461</v>
      </c>
      <c r="F4605" t="s">
        <v>668</v>
      </c>
      <c r="G4605">
        <v>2035</v>
      </c>
      <c r="H4605" s="12">
        <v>109.7</v>
      </c>
      <c r="I4605" t="s">
        <v>3183</v>
      </c>
      <c r="J4605" t="s">
        <v>5</v>
      </c>
      <c r="K4605" t="s">
        <v>147</v>
      </c>
      <c r="L4605" t="s">
        <v>653</v>
      </c>
      <c r="M4605" t="s">
        <v>665</v>
      </c>
    </row>
    <row r="4606" spans="1:13">
      <c r="A4606" t="s">
        <v>851</v>
      </c>
      <c r="B4606" t="s">
        <v>687</v>
      </c>
      <c r="C4606" t="s">
        <v>687</v>
      </c>
      <c r="D4606" t="s">
        <v>3185</v>
      </c>
      <c r="E4606" t="s">
        <v>461</v>
      </c>
      <c r="F4606" t="s">
        <v>668</v>
      </c>
      <c r="G4606">
        <v>2040</v>
      </c>
      <c r="H4606" s="12">
        <v>49.13</v>
      </c>
      <c r="I4606" t="s">
        <v>3183</v>
      </c>
      <c r="J4606" t="s">
        <v>5</v>
      </c>
      <c r="K4606" t="s">
        <v>147</v>
      </c>
      <c r="L4606" t="s">
        <v>653</v>
      </c>
      <c r="M4606" t="s">
        <v>665</v>
      </c>
    </row>
    <row r="4607" spans="1:13">
      <c r="A4607" t="s">
        <v>851</v>
      </c>
      <c r="B4607" t="s">
        <v>687</v>
      </c>
      <c r="C4607" t="s">
        <v>687</v>
      </c>
      <c r="D4607" t="s">
        <v>3185</v>
      </c>
      <c r="E4607" t="s">
        <v>461</v>
      </c>
      <c r="F4607" t="s">
        <v>668</v>
      </c>
      <c r="G4607">
        <v>2045</v>
      </c>
      <c r="H4607" s="12">
        <v>19.690000000000001</v>
      </c>
      <c r="I4607" t="s">
        <v>3183</v>
      </c>
      <c r="J4607" t="s">
        <v>5</v>
      </c>
      <c r="K4607" t="s">
        <v>147</v>
      </c>
      <c r="L4607" t="s">
        <v>653</v>
      </c>
      <c r="M4607" t="s">
        <v>665</v>
      </c>
    </row>
    <row r="4608" spans="1:13">
      <c r="A4608" t="s">
        <v>851</v>
      </c>
      <c r="B4608" t="s">
        <v>687</v>
      </c>
      <c r="C4608" t="s">
        <v>687</v>
      </c>
      <c r="D4608" t="s">
        <v>3185</v>
      </c>
      <c r="E4608" t="s">
        <v>461</v>
      </c>
      <c r="F4608" t="s">
        <v>668</v>
      </c>
      <c r="G4608">
        <v>2050</v>
      </c>
      <c r="H4608" s="12">
        <v>15.94</v>
      </c>
      <c r="I4608" t="s">
        <v>3183</v>
      </c>
      <c r="J4608" t="s">
        <v>5</v>
      </c>
      <c r="K4608" t="s">
        <v>147</v>
      </c>
      <c r="L4608" t="s">
        <v>653</v>
      </c>
      <c r="M4608" t="s">
        <v>665</v>
      </c>
    </row>
    <row r="4609" spans="1:13">
      <c r="A4609" t="s">
        <v>851</v>
      </c>
      <c r="B4609" t="s">
        <v>686</v>
      </c>
      <c r="C4609" t="s">
        <v>686</v>
      </c>
      <c r="D4609" t="s">
        <v>3185</v>
      </c>
      <c r="E4609" t="s">
        <v>461</v>
      </c>
      <c r="F4609" t="s">
        <v>668</v>
      </c>
      <c r="G4609">
        <v>2010</v>
      </c>
      <c r="H4609" s="12">
        <v>233.58</v>
      </c>
      <c r="I4609" t="s">
        <v>3183</v>
      </c>
      <c r="J4609" t="s">
        <v>6</v>
      </c>
      <c r="K4609" t="s">
        <v>147</v>
      </c>
      <c r="L4609" t="s">
        <v>653</v>
      </c>
      <c r="M4609" t="s">
        <v>666</v>
      </c>
    </row>
    <row r="4610" spans="1:13">
      <c r="A4610" t="s">
        <v>851</v>
      </c>
      <c r="B4610" t="s">
        <v>686</v>
      </c>
      <c r="C4610" t="s">
        <v>686</v>
      </c>
      <c r="D4610" t="s">
        <v>3185</v>
      </c>
      <c r="E4610" t="s">
        <v>461</v>
      </c>
      <c r="F4610" t="s">
        <v>668</v>
      </c>
      <c r="G4610">
        <v>2015</v>
      </c>
      <c r="H4610" s="12">
        <v>291.27999999999997</v>
      </c>
      <c r="I4610" t="s">
        <v>3183</v>
      </c>
      <c r="J4610" t="s">
        <v>6</v>
      </c>
      <c r="K4610" t="s">
        <v>147</v>
      </c>
      <c r="L4610" t="s">
        <v>653</v>
      </c>
      <c r="M4610" t="s">
        <v>666</v>
      </c>
    </row>
    <row r="4611" spans="1:13">
      <c r="A4611" t="s">
        <v>851</v>
      </c>
      <c r="B4611" t="s">
        <v>686</v>
      </c>
      <c r="C4611" t="s">
        <v>686</v>
      </c>
      <c r="D4611" t="s">
        <v>3185</v>
      </c>
      <c r="E4611" t="s">
        <v>461</v>
      </c>
      <c r="F4611" t="s">
        <v>668</v>
      </c>
      <c r="G4611">
        <v>2020</v>
      </c>
      <c r="H4611" s="12">
        <v>345.85</v>
      </c>
      <c r="I4611" t="s">
        <v>3183</v>
      </c>
      <c r="J4611" t="s">
        <v>6</v>
      </c>
      <c r="K4611" t="s">
        <v>147</v>
      </c>
      <c r="L4611" t="s">
        <v>653</v>
      </c>
      <c r="M4611" t="s">
        <v>666</v>
      </c>
    </row>
    <row r="4612" spans="1:13">
      <c r="A4612" t="s">
        <v>851</v>
      </c>
      <c r="B4612" t="s">
        <v>686</v>
      </c>
      <c r="C4612" t="s">
        <v>686</v>
      </c>
      <c r="D4612" t="s">
        <v>3185</v>
      </c>
      <c r="E4612" t="s">
        <v>461</v>
      </c>
      <c r="F4612" t="s">
        <v>668</v>
      </c>
      <c r="G4612">
        <v>2030</v>
      </c>
      <c r="H4612" s="12">
        <v>469.77</v>
      </c>
      <c r="I4612" t="s">
        <v>3183</v>
      </c>
      <c r="J4612" t="s">
        <v>6</v>
      </c>
      <c r="K4612" t="s">
        <v>147</v>
      </c>
      <c r="L4612" t="s">
        <v>653</v>
      </c>
      <c r="M4612" t="s">
        <v>666</v>
      </c>
    </row>
    <row r="4613" spans="1:13">
      <c r="A4613" t="s">
        <v>851</v>
      </c>
      <c r="B4613" t="s">
        <v>686</v>
      </c>
      <c r="C4613" t="s">
        <v>686</v>
      </c>
      <c r="D4613" t="s">
        <v>3185</v>
      </c>
      <c r="E4613" t="s">
        <v>461</v>
      </c>
      <c r="F4613" t="s">
        <v>668</v>
      </c>
      <c r="G4613">
        <v>2035</v>
      </c>
      <c r="H4613" s="12">
        <v>504.93</v>
      </c>
      <c r="I4613" t="s">
        <v>3183</v>
      </c>
      <c r="J4613" t="s">
        <v>6</v>
      </c>
      <c r="K4613" t="s">
        <v>147</v>
      </c>
      <c r="L4613" t="s">
        <v>653</v>
      </c>
      <c r="M4613" t="s">
        <v>666</v>
      </c>
    </row>
    <row r="4614" spans="1:13">
      <c r="A4614" t="s">
        <v>851</v>
      </c>
      <c r="B4614" t="s">
        <v>686</v>
      </c>
      <c r="C4614" t="s">
        <v>686</v>
      </c>
      <c r="D4614" t="s">
        <v>3185</v>
      </c>
      <c r="E4614" t="s">
        <v>461</v>
      </c>
      <c r="F4614" t="s">
        <v>668</v>
      </c>
      <c r="G4614">
        <v>2040</v>
      </c>
      <c r="H4614" s="12">
        <v>541.34</v>
      </c>
      <c r="I4614" t="s">
        <v>3183</v>
      </c>
      <c r="J4614" t="s">
        <v>6</v>
      </c>
      <c r="K4614" t="s">
        <v>147</v>
      </c>
      <c r="L4614" t="s">
        <v>653</v>
      </c>
      <c r="M4614" t="s">
        <v>666</v>
      </c>
    </row>
    <row r="4615" spans="1:13">
      <c r="A4615" t="s">
        <v>851</v>
      </c>
      <c r="B4615" t="s">
        <v>686</v>
      </c>
      <c r="C4615" t="s">
        <v>686</v>
      </c>
      <c r="D4615" t="s">
        <v>3185</v>
      </c>
      <c r="E4615" t="s">
        <v>461</v>
      </c>
      <c r="F4615" t="s">
        <v>668</v>
      </c>
      <c r="G4615">
        <v>2045</v>
      </c>
      <c r="H4615" s="12">
        <v>594.84</v>
      </c>
      <c r="I4615" t="s">
        <v>3183</v>
      </c>
      <c r="J4615" t="s">
        <v>6</v>
      </c>
      <c r="K4615" t="s">
        <v>147</v>
      </c>
      <c r="L4615" t="s">
        <v>653</v>
      </c>
      <c r="M4615" t="s">
        <v>666</v>
      </c>
    </row>
    <row r="4616" spans="1:13">
      <c r="A4616" t="s">
        <v>851</v>
      </c>
      <c r="B4616" t="s">
        <v>686</v>
      </c>
      <c r="C4616" t="s">
        <v>686</v>
      </c>
      <c r="D4616" t="s">
        <v>3185</v>
      </c>
      <c r="E4616" t="s">
        <v>461</v>
      </c>
      <c r="F4616" t="s">
        <v>668</v>
      </c>
      <c r="G4616">
        <v>2050</v>
      </c>
      <c r="H4616" s="12">
        <v>679.84</v>
      </c>
      <c r="I4616" t="s">
        <v>3183</v>
      </c>
      <c r="J4616" t="s">
        <v>6</v>
      </c>
      <c r="K4616" t="s">
        <v>147</v>
      </c>
      <c r="L4616" t="s">
        <v>653</v>
      </c>
      <c r="M4616" t="s">
        <v>666</v>
      </c>
    </row>
    <row r="4617" spans="1:13">
      <c r="A4617" t="s">
        <v>851</v>
      </c>
      <c r="B4617" t="s">
        <v>687</v>
      </c>
      <c r="C4617" t="s">
        <v>687</v>
      </c>
      <c r="D4617" t="s">
        <v>3185</v>
      </c>
      <c r="E4617" t="s">
        <v>461</v>
      </c>
      <c r="F4617" t="s">
        <v>668</v>
      </c>
      <c r="G4617">
        <v>2030</v>
      </c>
      <c r="H4617" s="12">
        <v>390.19</v>
      </c>
      <c r="I4617" t="s">
        <v>3183</v>
      </c>
      <c r="J4617" t="s">
        <v>6</v>
      </c>
      <c r="K4617" t="s">
        <v>147</v>
      </c>
      <c r="L4617" t="s">
        <v>653</v>
      </c>
      <c r="M4617" t="s">
        <v>666</v>
      </c>
    </row>
    <row r="4618" spans="1:13">
      <c r="A4618" t="s">
        <v>851</v>
      </c>
      <c r="B4618" t="s">
        <v>687</v>
      </c>
      <c r="C4618" t="s">
        <v>687</v>
      </c>
      <c r="D4618" t="s">
        <v>3185</v>
      </c>
      <c r="E4618" t="s">
        <v>461</v>
      </c>
      <c r="F4618" t="s">
        <v>668</v>
      </c>
      <c r="G4618">
        <v>2035</v>
      </c>
      <c r="H4618" s="12">
        <v>339.63</v>
      </c>
      <c r="I4618" t="s">
        <v>3183</v>
      </c>
      <c r="J4618" t="s">
        <v>6</v>
      </c>
      <c r="K4618" t="s">
        <v>147</v>
      </c>
      <c r="L4618" t="s">
        <v>653</v>
      </c>
      <c r="M4618" t="s">
        <v>666</v>
      </c>
    </row>
    <row r="4619" spans="1:13">
      <c r="A4619" t="s">
        <v>851</v>
      </c>
      <c r="B4619" t="s">
        <v>687</v>
      </c>
      <c r="C4619" t="s">
        <v>687</v>
      </c>
      <c r="D4619" t="s">
        <v>3185</v>
      </c>
      <c r="E4619" t="s">
        <v>461</v>
      </c>
      <c r="F4619" t="s">
        <v>668</v>
      </c>
      <c r="G4619">
        <v>2040</v>
      </c>
      <c r="H4619" s="12">
        <v>299.95999999999998</v>
      </c>
      <c r="I4619" t="s">
        <v>3183</v>
      </c>
      <c r="J4619" t="s">
        <v>6</v>
      </c>
      <c r="K4619" t="s">
        <v>147</v>
      </c>
      <c r="L4619" t="s">
        <v>653</v>
      </c>
      <c r="M4619" t="s">
        <v>666</v>
      </c>
    </row>
    <row r="4620" spans="1:13">
      <c r="A4620" t="s">
        <v>851</v>
      </c>
      <c r="B4620" t="s">
        <v>687</v>
      </c>
      <c r="C4620" t="s">
        <v>687</v>
      </c>
      <c r="D4620" t="s">
        <v>3185</v>
      </c>
      <c r="E4620" t="s">
        <v>461</v>
      </c>
      <c r="F4620" t="s">
        <v>668</v>
      </c>
      <c r="G4620">
        <v>2045</v>
      </c>
      <c r="H4620" s="12">
        <v>286.08</v>
      </c>
      <c r="I4620" t="s">
        <v>3183</v>
      </c>
      <c r="J4620" t="s">
        <v>6</v>
      </c>
      <c r="K4620" t="s">
        <v>147</v>
      </c>
      <c r="L4620" t="s">
        <v>653</v>
      </c>
      <c r="M4620" t="s">
        <v>666</v>
      </c>
    </row>
    <row r="4621" spans="1:13">
      <c r="A4621" t="s">
        <v>851</v>
      </c>
      <c r="B4621" t="s">
        <v>687</v>
      </c>
      <c r="C4621" t="s">
        <v>687</v>
      </c>
      <c r="D4621" t="s">
        <v>3185</v>
      </c>
      <c r="E4621" t="s">
        <v>461</v>
      </c>
      <c r="F4621" t="s">
        <v>668</v>
      </c>
      <c r="G4621">
        <v>2050</v>
      </c>
      <c r="H4621" s="12">
        <v>307.70999999999998</v>
      </c>
      <c r="I4621" t="s">
        <v>3183</v>
      </c>
      <c r="J4621" t="s">
        <v>6</v>
      </c>
      <c r="K4621" t="s">
        <v>147</v>
      </c>
      <c r="L4621" t="s">
        <v>653</v>
      </c>
      <c r="M4621" t="s">
        <v>666</v>
      </c>
    </row>
    <row r="4622" spans="1:13">
      <c r="A4622" t="s">
        <v>851</v>
      </c>
      <c r="B4622" t="s">
        <v>686</v>
      </c>
      <c r="C4622" t="s">
        <v>686</v>
      </c>
      <c r="D4622" t="s">
        <v>3185</v>
      </c>
      <c r="E4622" t="s">
        <v>461</v>
      </c>
      <c r="F4622" t="s">
        <v>668</v>
      </c>
      <c r="G4622">
        <v>2010</v>
      </c>
      <c r="H4622" s="12">
        <v>66.099999999999994</v>
      </c>
      <c r="I4622" t="s">
        <v>3183</v>
      </c>
      <c r="J4622" t="s">
        <v>394</v>
      </c>
      <c r="K4622" t="s">
        <v>147</v>
      </c>
      <c r="L4622" t="s">
        <v>653</v>
      </c>
      <c r="M4622" t="s">
        <v>16</v>
      </c>
    </row>
    <row r="4623" spans="1:13">
      <c r="A4623" t="s">
        <v>851</v>
      </c>
      <c r="B4623" t="s">
        <v>686</v>
      </c>
      <c r="C4623" t="s">
        <v>686</v>
      </c>
      <c r="D4623" t="s">
        <v>3185</v>
      </c>
      <c r="E4623" t="s">
        <v>461</v>
      </c>
      <c r="F4623" t="s">
        <v>668</v>
      </c>
      <c r="G4623">
        <v>2015</v>
      </c>
      <c r="H4623" s="12">
        <v>89.89</v>
      </c>
      <c r="I4623" t="s">
        <v>3183</v>
      </c>
      <c r="J4623" t="s">
        <v>394</v>
      </c>
      <c r="K4623" t="s">
        <v>147</v>
      </c>
      <c r="L4623" t="s">
        <v>653</v>
      </c>
      <c r="M4623" t="s">
        <v>16</v>
      </c>
    </row>
    <row r="4624" spans="1:13">
      <c r="A4624" t="s">
        <v>851</v>
      </c>
      <c r="B4624" t="s">
        <v>686</v>
      </c>
      <c r="C4624" t="s">
        <v>686</v>
      </c>
      <c r="D4624" t="s">
        <v>3185</v>
      </c>
      <c r="E4624" t="s">
        <v>656</v>
      </c>
      <c r="F4624" t="s">
        <v>31</v>
      </c>
      <c r="G4624">
        <v>2010</v>
      </c>
      <c r="H4624" s="12">
        <v>0.2</v>
      </c>
      <c r="I4624" t="s">
        <v>3183</v>
      </c>
      <c r="J4624" t="s">
        <v>17</v>
      </c>
      <c r="K4624" t="s">
        <v>147</v>
      </c>
      <c r="L4624" t="s">
        <v>653</v>
      </c>
      <c r="M4624" t="s">
        <v>671</v>
      </c>
    </row>
    <row r="4625" spans="1:13">
      <c r="A4625" t="s">
        <v>851</v>
      </c>
      <c r="B4625" t="s">
        <v>686</v>
      </c>
      <c r="C4625" t="s">
        <v>686</v>
      </c>
      <c r="D4625" t="s">
        <v>3185</v>
      </c>
      <c r="E4625" t="s">
        <v>656</v>
      </c>
      <c r="F4625" t="s">
        <v>31</v>
      </c>
      <c r="G4625">
        <v>2015</v>
      </c>
      <c r="H4625" s="12">
        <v>1.79</v>
      </c>
      <c r="I4625" t="s">
        <v>3183</v>
      </c>
      <c r="J4625" t="s">
        <v>17</v>
      </c>
      <c r="K4625" t="s">
        <v>147</v>
      </c>
      <c r="L4625" t="s">
        <v>653</v>
      </c>
      <c r="M4625" t="s">
        <v>671</v>
      </c>
    </row>
    <row r="4626" spans="1:13">
      <c r="A4626" t="s">
        <v>851</v>
      </c>
      <c r="B4626" t="s">
        <v>686</v>
      </c>
      <c r="C4626" t="s">
        <v>686</v>
      </c>
      <c r="D4626" t="s">
        <v>3185</v>
      </c>
      <c r="E4626" t="s">
        <v>656</v>
      </c>
      <c r="F4626" t="s">
        <v>31</v>
      </c>
      <c r="G4626">
        <v>2020</v>
      </c>
      <c r="H4626" s="12">
        <v>6.82</v>
      </c>
      <c r="I4626" t="s">
        <v>3183</v>
      </c>
      <c r="J4626" t="s">
        <v>17</v>
      </c>
      <c r="K4626" t="s">
        <v>147</v>
      </c>
      <c r="L4626" t="s">
        <v>653</v>
      </c>
      <c r="M4626" t="s">
        <v>671</v>
      </c>
    </row>
    <row r="4627" spans="1:13">
      <c r="A4627" t="s">
        <v>851</v>
      </c>
      <c r="B4627" t="s">
        <v>686</v>
      </c>
      <c r="C4627" t="s">
        <v>686</v>
      </c>
      <c r="D4627" t="s">
        <v>3185</v>
      </c>
      <c r="E4627" t="s">
        <v>656</v>
      </c>
      <c r="F4627" t="s">
        <v>31</v>
      </c>
      <c r="G4627">
        <v>2030</v>
      </c>
      <c r="H4627" s="12">
        <v>51.27</v>
      </c>
      <c r="I4627" t="s">
        <v>3183</v>
      </c>
      <c r="J4627" t="s">
        <v>17</v>
      </c>
      <c r="K4627" t="s">
        <v>147</v>
      </c>
      <c r="L4627" t="s">
        <v>653</v>
      </c>
      <c r="M4627" t="s">
        <v>671</v>
      </c>
    </row>
    <row r="4628" spans="1:13">
      <c r="A4628" t="s">
        <v>851</v>
      </c>
      <c r="B4628" t="s">
        <v>686</v>
      </c>
      <c r="C4628" t="s">
        <v>686</v>
      </c>
      <c r="D4628" t="s">
        <v>3185</v>
      </c>
      <c r="E4628" t="s">
        <v>656</v>
      </c>
      <c r="F4628" t="s">
        <v>31</v>
      </c>
      <c r="G4628">
        <v>2035</v>
      </c>
      <c r="H4628" s="12">
        <v>93.09</v>
      </c>
      <c r="I4628" t="s">
        <v>3183</v>
      </c>
      <c r="J4628" t="s">
        <v>17</v>
      </c>
      <c r="K4628" t="s">
        <v>147</v>
      </c>
      <c r="L4628" t="s">
        <v>653</v>
      </c>
      <c r="M4628" t="s">
        <v>671</v>
      </c>
    </row>
    <row r="4629" spans="1:13">
      <c r="A4629" t="s">
        <v>851</v>
      </c>
      <c r="B4629" t="s">
        <v>686</v>
      </c>
      <c r="C4629" t="s">
        <v>686</v>
      </c>
      <c r="D4629" t="s">
        <v>3185</v>
      </c>
      <c r="E4629" t="s">
        <v>461</v>
      </c>
      <c r="F4629" t="s">
        <v>668</v>
      </c>
      <c r="G4629">
        <v>2010</v>
      </c>
      <c r="H4629" s="12">
        <v>2.37</v>
      </c>
      <c r="I4629" t="s">
        <v>3183</v>
      </c>
      <c r="J4629" t="s">
        <v>18</v>
      </c>
      <c r="K4629" t="s">
        <v>147</v>
      </c>
      <c r="L4629" t="s">
        <v>653</v>
      </c>
      <c r="M4629" t="s">
        <v>18</v>
      </c>
    </row>
    <row r="4630" spans="1:13">
      <c r="A4630" t="s">
        <v>851</v>
      </c>
      <c r="B4630" t="s">
        <v>686</v>
      </c>
      <c r="C4630" t="s">
        <v>686</v>
      </c>
      <c r="D4630" t="s">
        <v>3185</v>
      </c>
      <c r="E4630" t="s">
        <v>461</v>
      </c>
      <c r="F4630" t="s">
        <v>668</v>
      </c>
      <c r="G4630">
        <v>2015</v>
      </c>
      <c r="H4630" s="12">
        <v>8.56</v>
      </c>
      <c r="I4630" t="s">
        <v>3183</v>
      </c>
      <c r="J4630" t="s">
        <v>18</v>
      </c>
      <c r="K4630" t="s">
        <v>147</v>
      </c>
      <c r="L4630" t="s">
        <v>653</v>
      </c>
      <c r="M4630" t="s">
        <v>18</v>
      </c>
    </row>
    <row r="4631" spans="1:13">
      <c r="A4631" t="s">
        <v>851</v>
      </c>
      <c r="B4631" t="s">
        <v>686</v>
      </c>
      <c r="C4631" t="s">
        <v>686</v>
      </c>
      <c r="D4631" t="s">
        <v>3185</v>
      </c>
      <c r="E4631" t="s">
        <v>461</v>
      </c>
      <c r="F4631" t="s">
        <v>668</v>
      </c>
      <c r="G4631">
        <v>2020</v>
      </c>
      <c r="H4631" s="12">
        <v>17.63</v>
      </c>
      <c r="I4631" t="s">
        <v>3183</v>
      </c>
      <c r="J4631" t="s">
        <v>18</v>
      </c>
      <c r="K4631" t="s">
        <v>147</v>
      </c>
      <c r="L4631" t="s">
        <v>653</v>
      </c>
      <c r="M4631" t="s">
        <v>18</v>
      </c>
    </row>
    <row r="4632" spans="1:13">
      <c r="A4632" t="s">
        <v>851</v>
      </c>
      <c r="B4632" t="s">
        <v>686</v>
      </c>
      <c r="C4632" t="s">
        <v>686</v>
      </c>
      <c r="D4632" t="s">
        <v>3185</v>
      </c>
      <c r="E4632" t="s">
        <v>461</v>
      </c>
      <c r="F4632" t="s">
        <v>668</v>
      </c>
      <c r="G4632">
        <v>2030</v>
      </c>
      <c r="H4632" s="12">
        <v>81.209999999999994</v>
      </c>
      <c r="I4632" t="s">
        <v>3183</v>
      </c>
      <c r="J4632" t="s">
        <v>18</v>
      </c>
      <c r="K4632" t="s">
        <v>147</v>
      </c>
      <c r="L4632" t="s">
        <v>653</v>
      </c>
      <c r="M4632" t="s">
        <v>18</v>
      </c>
    </row>
    <row r="4633" spans="1:13">
      <c r="A4633" t="s">
        <v>851</v>
      </c>
      <c r="B4633" t="s">
        <v>686</v>
      </c>
      <c r="C4633" t="s">
        <v>686</v>
      </c>
      <c r="D4633" t="s">
        <v>3185</v>
      </c>
      <c r="E4633" t="s">
        <v>461</v>
      </c>
      <c r="F4633" t="s">
        <v>668</v>
      </c>
      <c r="G4633">
        <v>2035</v>
      </c>
      <c r="H4633" s="12">
        <v>141.44</v>
      </c>
      <c r="I4633" t="s">
        <v>3183</v>
      </c>
      <c r="J4633" t="s">
        <v>18</v>
      </c>
      <c r="K4633" t="s">
        <v>147</v>
      </c>
      <c r="L4633" t="s">
        <v>653</v>
      </c>
      <c r="M4633" t="s">
        <v>18</v>
      </c>
    </row>
    <row r="4634" spans="1:13">
      <c r="A4634" t="s">
        <v>851</v>
      </c>
      <c r="B4634" t="s">
        <v>686</v>
      </c>
      <c r="C4634" t="s">
        <v>686</v>
      </c>
      <c r="D4634" t="s">
        <v>3185</v>
      </c>
      <c r="E4634" t="s">
        <v>461</v>
      </c>
      <c r="F4634" t="s">
        <v>668</v>
      </c>
      <c r="G4634">
        <v>2040</v>
      </c>
      <c r="H4634" s="12">
        <v>199.41</v>
      </c>
      <c r="I4634" t="s">
        <v>3183</v>
      </c>
      <c r="J4634" t="s">
        <v>18</v>
      </c>
      <c r="K4634" t="s">
        <v>147</v>
      </c>
      <c r="L4634" t="s">
        <v>653</v>
      </c>
      <c r="M4634" t="s">
        <v>18</v>
      </c>
    </row>
    <row r="4635" spans="1:13">
      <c r="A4635" t="s">
        <v>851</v>
      </c>
      <c r="B4635" t="s">
        <v>686</v>
      </c>
      <c r="C4635" t="s">
        <v>686</v>
      </c>
      <c r="D4635" t="s">
        <v>3185</v>
      </c>
      <c r="E4635" t="s">
        <v>461</v>
      </c>
      <c r="F4635" t="s">
        <v>668</v>
      </c>
      <c r="G4635">
        <v>2045</v>
      </c>
      <c r="H4635" s="12">
        <v>251.76</v>
      </c>
      <c r="I4635" t="s">
        <v>3183</v>
      </c>
      <c r="J4635" t="s">
        <v>18</v>
      </c>
      <c r="K4635" t="s">
        <v>147</v>
      </c>
      <c r="L4635" t="s">
        <v>653</v>
      </c>
      <c r="M4635" t="s">
        <v>18</v>
      </c>
    </row>
    <row r="4636" spans="1:13">
      <c r="A4636" t="s">
        <v>851</v>
      </c>
      <c r="B4636" t="s">
        <v>686</v>
      </c>
      <c r="C4636" t="s">
        <v>686</v>
      </c>
      <c r="D4636" t="s">
        <v>3185</v>
      </c>
      <c r="E4636" t="s">
        <v>461</v>
      </c>
      <c r="F4636" t="s">
        <v>668</v>
      </c>
      <c r="G4636">
        <v>2050</v>
      </c>
      <c r="H4636" s="12">
        <v>294.89</v>
      </c>
      <c r="I4636" t="s">
        <v>3183</v>
      </c>
      <c r="J4636" t="s">
        <v>18</v>
      </c>
      <c r="K4636" t="s">
        <v>147</v>
      </c>
      <c r="L4636" t="s">
        <v>653</v>
      </c>
      <c r="M4636" t="s">
        <v>18</v>
      </c>
    </row>
    <row r="4637" spans="1:13">
      <c r="A4637" t="s">
        <v>851</v>
      </c>
      <c r="B4637" t="s">
        <v>687</v>
      </c>
      <c r="C4637" t="s">
        <v>687</v>
      </c>
      <c r="D4637" t="s">
        <v>3185</v>
      </c>
      <c r="E4637" t="s">
        <v>461</v>
      </c>
      <c r="F4637" t="s">
        <v>668</v>
      </c>
      <c r="G4637">
        <v>2030</v>
      </c>
      <c r="H4637" s="12">
        <v>143.22999999999999</v>
      </c>
      <c r="I4637" t="s">
        <v>3183</v>
      </c>
      <c r="J4637" t="s">
        <v>18</v>
      </c>
      <c r="K4637" t="s">
        <v>147</v>
      </c>
      <c r="L4637" t="s">
        <v>653</v>
      </c>
      <c r="M4637" t="s">
        <v>18</v>
      </c>
    </row>
    <row r="4638" spans="1:13">
      <c r="A4638" t="s">
        <v>851</v>
      </c>
      <c r="B4638" t="s">
        <v>687</v>
      </c>
      <c r="C4638" t="s">
        <v>687</v>
      </c>
      <c r="D4638" t="s">
        <v>3185</v>
      </c>
      <c r="E4638" t="s">
        <v>461</v>
      </c>
      <c r="F4638" t="s">
        <v>668</v>
      </c>
      <c r="G4638">
        <v>2035</v>
      </c>
      <c r="H4638" s="12">
        <v>272.69</v>
      </c>
      <c r="I4638" t="s">
        <v>3183</v>
      </c>
      <c r="J4638" t="s">
        <v>18</v>
      </c>
      <c r="K4638" t="s">
        <v>147</v>
      </c>
      <c r="L4638" t="s">
        <v>653</v>
      </c>
      <c r="M4638" t="s">
        <v>18</v>
      </c>
    </row>
    <row r="4639" spans="1:13">
      <c r="A4639" t="s">
        <v>851</v>
      </c>
      <c r="B4639" t="s">
        <v>687</v>
      </c>
      <c r="C4639" t="s">
        <v>687</v>
      </c>
      <c r="D4639" t="s">
        <v>3185</v>
      </c>
      <c r="E4639" t="s">
        <v>461</v>
      </c>
      <c r="F4639" t="s">
        <v>668</v>
      </c>
      <c r="G4639">
        <v>2040</v>
      </c>
      <c r="H4639" s="12">
        <v>419.36</v>
      </c>
      <c r="I4639" t="s">
        <v>3183</v>
      </c>
      <c r="J4639" t="s">
        <v>18</v>
      </c>
      <c r="K4639" t="s">
        <v>147</v>
      </c>
      <c r="L4639" t="s">
        <v>653</v>
      </c>
      <c r="M4639" t="s">
        <v>18</v>
      </c>
    </row>
    <row r="4640" spans="1:13">
      <c r="A4640" t="s">
        <v>851</v>
      </c>
      <c r="B4640" t="s">
        <v>687</v>
      </c>
      <c r="C4640" t="s">
        <v>687</v>
      </c>
      <c r="D4640" t="s">
        <v>3185</v>
      </c>
      <c r="E4640" t="s">
        <v>461</v>
      </c>
      <c r="F4640" t="s">
        <v>668</v>
      </c>
      <c r="G4640">
        <v>2045</v>
      </c>
      <c r="H4640" s="12">
        <v>557.4</v>
      </c>
      <c r="I4640" t="s">
        <v>3183</v>
      </c>
      <c r="J4640" t="s">
        <v>18</v>
      </c>
      <c r="K4640" t="s">
        <v>147</v>
      </c>
      <c r="L4640" t="s">
        <v>653</v>
      </c>
      <c r="M4640" t="s">
        <v>18</v>
      </c>
    </row>
    <row r="4641" spans="1:13">
      <c r="A4641" t="s">
        <v>851</v>
      </c>
      <c r="B4641" t="s">
        <v>687</v>
      </c>
      <c r="C4641" t="s">
        <v>687</v>
      </c>
      <c r="D4641" t="s">
        <v>3185</v>
      </c>
      <c r="E4641" t="s">
        <v>461</v>
      </c>
      <c r="F4641" t="s">
        <v>668</v>
      </c>
      <c r="G4641">
        <v>2050</v>
      </c>
      <c r="H4641" s="12">
        <v>724.37</v>
      </c>
      <c r="I4641" t="s">
        <v>3183</v>
      </c>
      <c r="J4641" t="s">
        <v>18</v>
      </c>
      <c r="K4641" t="s">
        <v>147</v>
      </c>
      <c r="L4641" t="s">
        <v>653</v>
      </c>
      <c r="M4641" t="s">
        <v>18</v>
      </c>
    </row>
    <row r="4642" spans="1:13">
      <c r="A4642" t="s">
        <v>851</v>
      </c>
      <c r="B4642" t="s">
        <v>686</v>
      </c>
      <c r="C4642" t="s">
        <v>686</v>
      </c>
      <c r="D4642" t="s">
        <v>3185</v>
      </c>
      <c r="E4642" t="s">
        <v>461</v>
      </c>
      <c r="F4642" t="s">
        <v>668</v>
      </c>
      <c r="G4642">
        <v>2010</v>
      </c>
      <c r="H4642" s="12">
        <v>109.62</v>
      </c>
      <c r="I4642" t="s">
        <v>3183</v>
      </c>
      <c r="J4642" t="s">
        <v>14</v>
      </c>
      <c r="K4642" t="s">
        <v>147</v>
      </c>
      <c r="L4642" t="s">
        <v>653</v>
      </c>
      <c r="M4642" t="s">
        <v>14</v>
      </c>
    </row>
    <row r="4643" spans="1:13">
      <c r="A4643" t="s">
        <v>851</v>
      </c>
      <c r="B4643" t="s">
        <v>686</v>
      </c>
      <c r="C4643" t="s">
        <v>686</v>
      </c>
      <c r="D4643" t="s">
        <v>3185</v>
      </c>
      <c r="E4643" t="s">
        <v>461</v>
      </c>
      <c r="F4643" t="s">
        <v>668</v>
      </c>
      <c r="G4643">
        <v>2015</v>
      </c>
      <c r="H4643" s="12">
        <v>120.88</v>
      </c>
      <c r="I4643" t="s">
        <v>3183</v>
      </c>
      <c r="J4643" t="s">
        <v>14</v>
      </c>
      <c r="K4643" t="s">
        <v>147</v>
      </c>
      <c r="L4643" t="s">
        <v>653</v>
      </c>
      <c r="M4643" t="s">
        <v>14</v>
      </c>
    </row>
    <row r="4644" spans="1:13">
      <c r="A4644" t="s">
        <v>851</v>
      </c>
      <c r="B4644" t="s">
        <v>686</v>
      </c>
      <c r="C4644" t="s">
        <v>686</v>
      </c>
      <c r="D4644" t="s">
        <v>3185</v>
      </c>
      <c r="E4644" t="s">
        <v>461</v>
      </c>
      <c r="F4644" t="s">
        <v>668</v>
      </c>
      <c r="G4644">
        <v>2020</v>
      </c>
      <c r="H4644" s="12">
        <v>145.21</v>
      </c>
      <c r="I4644" t="s">
        <v>3183</v>
      </c>
      <c r="J4644" t="s">
        <v>14</v>
      </c>
      <c r="K4644" t="s">
        <v>147</v>
      </c>
      <c r="L4644" t="s">
        <v>653</v>
      </c>
      <c r="M4644" t="s">
        <v>14</v>
      </c>
    </row>
    <row r="4645" spans="1:13">
      <c r="A4645" t="s">
        <v>851</v>
      </c>
      <c r="B4645" t="s">
        <v>686</v>
      </c>
      <c r="C4645" t="s">
        <v>686</v>
      </c>
      <c r="D4645" t="s">
        <v>3185</v>
      </c>
      <c r="E4645" t="s">
        <v>461</v>
      </c>
      <c r="F4645" t="s">
        <v>668</v>
      </c>
      <c r="G4645">
        <v>2030</v>
      </c>
      <c r="H4645" s="12">
        <v>226.62</v>
      </c>
      <c r="I4645" t="s">
        <v>3183</v>
      </c>
      <c r="J4645" t="s">
        <v>14</v>
      </c>
      <c r="K4645" t="s">
        <v>147</v>
      </c>
      <c r="L4645" t="s">
        <v>653</v>
      </c>
      <c r="M4645" t="s">
        <v>14</v>
      </c>
    </row>
    <row r="4646" spans="1:13">
      <c r="A4646" t="s">
        <v>851</v>
      </c>
      <c r="B4646" t="s">
        <v>686</v>
      </c>
      <c r="C4646" t="s">
        <v>686</v>
      </c>
      <c r="D4646" t="s">
        <v>3185</v>
      </c>
      <c r="E4646" t="s">
        <v>461</v>
      </c>
      <c r="F4646" t="s">
        <v>668</v>
      </c>
      <c r="G4646">
        <v>2035</v>
      </c>
      <c r="H4646" s="12">
        <v>262.45999999999998</v>
      </c>
      <c r="I4646" t="s">
        <v>3183</v>
      </c>
      <c r="J4646" t="s">
        <v>14</v>
      </c>
      <c r="K4646" t="s">
        <v>147</v>
      </c>
      <c r="L4646" t="s">
        <v>653</v>
      </c>
      <c r="M4646" t="s">
        <v>14</v>
      </c>
    </row>
    <row r="4647" spans="1:13">
      <c r="A4647" t="s">
        <v>851</v>
      </c>
      <c r="B4647" t="s">
        <v>686</v>
      </c>
      <c r="C4647" t="s">
        <v>686</v>
      </c>
      <c r="D4647" t="s">
        <v>3185</v>
      </c>
      <c r="E4647" t="s">
        <v>461</v>
      </c>
      <c r="F4647" t="s">
        <v>668</v>
      </c>
      <c r="G4647">
        <v>2040</v>
      </c>
      <c r="H4647" s="12">
        <v>323.31</v>
      </c>
      <c r="I4647" t="s">
        <v>3183</v>
      </c>
      <c r="J4647" t="s">
        <v>14</v>
      </c>
      <c r="K4647" t="s">
        <v>147</v>
      </c>
      <c r="L4647" t="s">
        <v>653</v>
      </c>
      <c r="M4647" t="s">
        <v>14</v>
      </c>
    </row>
    <row r="4648" spans="1:13">
      <c r="A4648" t="s">
        <v>851</v>
      </c>
      <c r="B4648" t="s">
        <v>686</v>
      </c>
      <c r="C4648" t="s">
        <v>686</v>
      </c>
      <c r="D4648" t="s">
        <v>3185</v>
      </c>
      <c r="E4648" t="s">
        <v>461</v>
      </c>
      <c r="F4648" t="s">
        <v>668</v>
      </c>
      <c r="G4648">
        <v>2045</v>
      </c>
      <c r="H4648" s="12">
        <v>418.31</v>
      </c>
      <c r="I4648" t="s">
        <v>3183</v>
      </c>
      <c r="J4648" t="s">
        <v>14</v>
      </c>
      <c r="K4648" t="s">
        <v>147</v>
      </c>
      <c r="L4648" t="s">
        <v>653</v>
      </c>
      <c r="M4648" t="s">
        <v>14</v>
      </c>
    </row>
    <row r="4649" spans="1:13">
      <c r="A4649" t="s">
        <v>851</v>
      </c>
      <c r="B4649" t="s">
        <v>686</v>
      </c>
      <c r="C4649" t="s">
        <v>686</v>
      </c>
      <c r="D4649" t="s">
        <v>3185</v>
      </c>
      <c r="E4649" t="s">
        <v>461</v>
      </c>
      <c r="F4649" t="s">
        <v>668</v>
      </c>
      <c r="G4649">
        <v>2050</v>
      </c>
      <c r="H4649" s="12">
        <v>537.4</v>
      </c>
      <c r="I4649" t="s">
        <v>3183</v>
      </c>
      <c r="J4649" t="s">
        <v>14</v>
      </c>
      <c r="K4649" t="s">
        <v>147</v>
      </c>
      <c r="L4649" t="s">
        <v>653</v>
      </c>
      <c r="M4649" t="s">
        <v>14</v>
      </c>
    </row>
    <row r="4650" spans="1:13">
      <c r="A4650" t="s">
        <v>851</v>
      </c>
      <c r="B4650" t="s">
        <v>687</v>
      </c>
      <c r="C4650" t="s">
        <v>687</v>
      </c>
      <c r="D4650" t="s">
        <v>3185</v>
      </c>
      <c r="E4650" t="s">
        <v>461</v>
      </c>
      <c r="F4650" t="s">
        <v>668</v>
      </c>
      <c r="G4650">
        <v>2030</v>
      </c>
      <c r="H4650" s="12">
        <v>270.33999999999997</v>
      </c>
      <c r="I4650" t="s">
        <v>3183</v>
      </c>
      <c r="J4650" t="s">
        <v>14</v>
      </c>
      <c r="K4650" t="s">
        <v>147</v>
      </c>
      <c r="L4650" t="s">
        <v>653</v>
      </c>
      <c r="M4650" t="s">
        <v>14</v>
      </c>
    </row>
    <row r="4651" spans="1:13">
      <c r="A4651" t="s">
        <v>851</v>
      </c>
      <c r="B4651" t="s">
        <v>687</v>
      </c>
      <c r="C4651" t="s">
        <v>687</v>
      </c>
      <c r="D4651" t="s">
        <v>3185</v>
      </c>
      <c r="E4651" t="s">
        <v>461</v>
      </c>
      <c r="F4651" t="s">
        <v>668</v>
      </c>
      <c r="G4651">
        <v>2035</v>
      </c>
      <c r="H4651" s="12">
        <v>328.37</v>
      </c>
      <c r="I4651" t="s">
        <v>3183</v>
      </c>
      <c r="J4651" t="s">
        <v>14</v>
      </c>
      <c r="K4651" t="s">
        <v>147</v>
      </c>
      <c r="L4651" t="s">
        <v>653</v>
      </c>
      <c r="M4651" t="s">
        <v>14</v>
      </c>
    </row>
    <row r="4652" spans="1:13">
      <c r="A4652" t="s">
        <v>851</v>
      </c>
      <c r="B4652" t="s">
        <v>687</v>
      </c>
      <c r="C4652" t="s">
        <v>687</v>
      </c>
      <c r="D4652" t="s">
        <v>3185</v>
      </c>
      <c r="E4652" t="s">
        <v>461</v>
      </c>
      <c r="F4652" t="s">
        <v>668</v>
      </c>
      <c r="G4652">
        <v>2040</v>
      </c>
      <c r="H4652" s="12">
        <v>411.99</v>
      </c>
      <c r="I4652" t="s">
        <v>3183</v>
      </c>
      <c r="J4652" t="s">
        <v>14</v>
      </c>
      <c r="K4652" t="s">
        <v>147</v>
      </c>
      <c r="L4652" t="s">
        <v>653</v>
      </c>
      <c r="M4652" t="s">
        <v>14</v>
      </c>
    </row>
    <row r="4653" spans="1:13">
      <c r="A4653" t="s">
        <v>851</v>
      </c>
      <c r="B4653" t="s">
        <v>687</v>
      </c>
      <c r="C4653" t="s">
        <v>687</v>
      </c>
      <c r="D4653" t="s">
        <v>3185</v>
      </c>
      <c r="E4653" t="s">
        <v>461</v>
      </c>
      <c r="F4653" t="s">
        <v>668</v>
      </c>
      <c r="G4653">
        <v>2045</v>
      </c>
      <c r="H4653" s="12">
        <v>510.01</v>
      </c>
      <c r="I4653" t="s">
        <v>3183</v>
      </c>
      <c r="J4653" t="s">
        <v>14</v>
      </c>
      <c r="K4653" t="s">
        <v>147</v>
      </c>
      <c r="L4653" t="s">
        <v>653</v>
      </c>
      <c r="M4653" t="s">
        <v>14</v>
      </c>
    </row>
    <row r="4654" spans="1:13">
      <c r="A4654" t="s">
        <v>851</v>
      </c>
      <c r="B4654" t="s">
        <v>687</v>
      </c>
      <c r="C4654" t="s">
        <v>687</v>
      </c>
      <c r="D4654" t="s">
        <v>3185</v>
      </c>
      <c r="E4654" t="s">
        <v>646</v>
      </c>
      <c r="F4654" t="s">
        <v>40</v>
      </c>
      <c r="G4654">
        <v>2045</v>
      </c>
      <c r="H4654" s="12">
        <v>4722</v>
      </c>
      <c r="I4654" t="s">
        <v>3183</v>
      </c>
      <c r="J4654" t="s">
        <v>344</v>
      </c>
      <c r="K4654" t="s">
        <v>658</v>
      </c>
      <c r="L4654" t="s">
        <v>653</v>
      </c>
      <c r="M4654" t="s">
        <v>10</v>
      </c>
    </row>
    <row r="4655" spans="1:13">
      <c r="A4655" t="s">
        <v>851</v>
      </c>
      <c r="B4655" t="s">
        <v>687</v>
      </c>
      <c r="C4655" t="s">
        <v>687</v>
      </c>
      <c r="D4655" t="s">
        <v>3185</v>
      </c>
      <c r="E4655" t="s">
        <v>646</v>
      </c>
      <c r="F4655" t="s">
        <v>40</v>
      </c>
      <c r="G4655">
        <v>2050</v>
      </c>
      <c r="H4655" s="12">
        <v>5768</v>
      </c>
      <c r="I4655" t="s">
        <v>3183</v>
      </c>
      <c r="J4655" t="s">
        <v>344</v>
      </c>
      <c r="K4655" t="s">
        <v>658</v>
      </c>
      <c r="L4655" t="s">
        <v>653</v>
      </c>
      <c r="M4655" t="s">
        <v>10</v>
      </c>
    </row>
    <row r="4656" spans="1:13">
      <c r="A4656" t="s">
        <v>851</v>
      </c>
      <c r="B4656" t="s">
        <v>686</v>
      </c>
      <c r="C4656" t="s">
        <v>686</v>
      </c>
      <c r="D4656" t="s">
        <v>3185</v>
      </c>
      <c r="E4656" t="s">
        <v>646</v>
      </c>
      <c r="F4656" t="s">
        <v>40</v>
      </c>
      <c r="G4656">
        <v>2050</v>
      </c>
      <c r="H4656" s="12">
        <v>42</v>
      </c>
      <c r="I4656" t="s">
        <v>3183</v>
      </c>
      <c r="J4656" t="s">
        <v>5</v>
      </c>
      <c r="K4656" t="s">
        <v>658</v>
      </c>
      <c r="L4656" t="s">
        <v>653</v>
      </c>
      <c r="M4656" t="s">
        <v>5</v>
      </c>
    </row>
    <row r="4657" spans="1:13">
      <c r="A4657" t="s">
        <v>851</v>
      </c>
      <c r="B4657" t="s">
        <v>687</v>
      </c>
      <c r="C4657" t="s">
        <v>687</v>
      </c>
      <c r="D4657" t="s">
        <v>3185</v>
      </c>
      <c r="E4657" t="s">
        <v>646</v>
      </c>
      <c r="F4657" t="s">
        <v>40</v>
      </c>
      <c r="G4657">
        <v>2030</v>
      </c>
      <c r="H4657" s="12">
        <v>55</v>
      </c>
      <c r="I4657" t="s">
        <v>3183</v>
      </c>
      <c r="J4657" t="s">
        <v>5</v>
      </c>
      <c r="K4657" t="s">
        <v>658</v>
      </c>
      <c r="L4657" t="s">
        <v>653</v>
      </c>
      <c r="M4657" t="s">
        <v>5</v>
      </c>
    </row>
    <row r="4658" spans="1:13">
      <c r="A4658" t="s">
        <v>851</v>
      </c>
      <c r="B4658" t="s">
        <v>687</v>
      </c>
      <c r="C4658" t="s">
        <v>687</v>
      </c>
      <c r="D4658" t="s">
        <v>3185</v>
      </c>
      <c r="E4658" t="s">
        <v>646</v>
      </c>
      <c r="F4658" t="s">
        <v>40</v>
      </c>
      <c r="G4658">
        <v>2035</v>
      </c>
      <c r="H4658" s="12">
        <v>24</v>
      </c>
      <c r="I4658" t="s">
        <v>3183</v>
      </c>
      <c r="J4658" t="s">
        <v>5</v>
      </c>
      <c r="K4658" t="s">
        <v>658</v>
      </c>
      <c r="L4658" t="s">
        <v>653</v>
      </c>
      <c r="M4658" t="s">
        <v>5</v>
      </c>
    </row>
    <row r="4659" spans="1:13">
      <c r="A4659" t="s">
        <v>851</v>
      </c>
      <c r="B4659" t="s">
        <v>687</v>
      </c>
      <c r="C4659" t="s">
        <v>687</v>
      </c>
      <c r="D4659" t="s">
        <v>3185</v>
      </c>
      <c r="E4659" t="s">
        <v>646</v>
      </c>
      <c r="F4659" t="s">
        <v>40</v>
      </c>
      <c r="G4659">
        <v>2040</v>
      </c>
      <c r="H4659" s="12">
        <v>8</v>
      </c>
      <c r="I4659" t="s">
        <v>3183</v>
      </c>
      <c r="J4659" t="s">
        <v>5</v>
      </c>
      <c r="K4659" t="s">
        <v>658</v>
      </c>
      <c r="L4659" t="s">
        <v>653</v>
      </c>
      <c r="M4659" t="s">
        <v>5</v>
      </c>
    </row>
    <row r="4660" spans="1:13">
      <c r="A4660" t="s">
        <v>851</v>
      </c>
      <c r="B4660" t="s">
        <v>687</v>
      </c>
      <c r="C4660" t="s">
        <v>687</v>
      </c>
      <c r="D4660" t="s">
        <v>3185</v>
      </c>
      <c r="E4660" t="s">
        <v>646</v>
      </c>
      <c r="F4660" t="s">
        <v>40</v>
      </c>
      <c r="G4660">
        <v>2045</v>
      </c>
      <c r="H4660" s="12">
        <v>3</v>
      </c>
      <c r="I4660" t="s">
        <v>3183</v>
      </c>
      <c r="J4660" t="s">
        <v>5</v>
      </c>
      <c r="K4660" t="s">
        <v>658</v>
      </c>
      <c r="L4660" t="s">
        <v>653</v>
      </c>
      <c r="M4660" t="s">
        <v>5</v>
      </c>
    </row>
    <row r="4661" spans="1:13">
      <c r="A4661" t="s">
        <v>851</v>
      </c>
      <c r="B4661" t="s">
        <v>687</v>
      </c>
      <c r="C4661" t="s">
        <v>687</v>
      </c>
      <c r="D4661" t="s">
        <v>3185</v>
      </c>
      <c r="E4661" t="s">
        <v>646</v>
      </c>
      <c r="F4661" t="s">
        <v>40</v>
      </c>
      <c r="G4661">
        <v>2050</v>
      </c>
      <c r="H4661" s="12">
        <v>2</v>
      </c>
      <c r="I4661" t="s">
        <v>3183</v>
      </c>
      <c r="J4661" t="s">
        <v>5</v>
      </c>
      <c r="K4661" t="s">
        <v>658</v>
      </c>
      <c r="L4661" t="s">
        <v>653</v>
      </c>
      <c r="M4661" t="s">
        <v>5</v>
      </c>
    </row>
    <row r="4662" spans="1:13">
      <c r="A4662" t="s">
        <v>851</v>
      </c>
      <c r="B4662" t="s">
        <v>686</v>
      </c>
      <c r="C4662" t="s">
        <v>686</v>
      </c>
      <c r="D4662" t="s">
        <v>3185</v>
      </c>
      <c r="E4662" t="s">
        <v>461</v>
      </c>
      <c r="F4662" t="s">
        <v>668</v>
      </c>
      <c r="G4662">
        <v>2010</v>
      </c>
      <c r="H4662" s="12">
        <v>0.35</v>
      </c>
      <c r="I4662" t="s">
        <v>3183</v>
      </c>
      <c r="J4662" t="s">
        <v>17</v>
      </c>
      <c r="K4662" t="s">
        <v>147</v>
      </c>
      <c r="L4662" t="s">
        <v>653</v>
      </c>
      <c r="M4662" t="s">
        <v>671</v>
      </c>
    </row>
    <row r="4663" spans="1:13">
      <c r="A4663" t="s">
        <v>851</v>
      </c>
      <c r="B4663" t="s">
        <v>686</v>
      </c>
      <c r="C4663" t="s">
        <v>686</v>
      </c>
      <c r="D4663" t="s">
        <v>3185</v>
      </c>
      <c r="E4663" t="s">
        <v>461</v>
      </c>
      <c r="F4663" t="s">
        <v>668</v>
      </c>
      <c r="G4663">
        <v>2015</v>
      </c>
      <c r="H4663" s="12">
        <v>2.59</v>
      </c>
      <c r="I4663" t="s">
        <v>3183</v>
      </c>
      <c r="J4663" t="s">
        <v>17</v>
      </c>
      <c r="K4663" t="s">
        <v>147</v>
      </c>
      <c r="L4663" t="s">
        <v>653</v>
      </c>
      <c r="M4663" t="s">
        <v>671</v>
      </c>
    </row>
    <row r="4664" spans="1:13">
      <c r="A4664" t="s">
        <v>851</v>
      </c>
      <c r="B4664" t="s">
        <v>686</v>
      </c>
      <c r="C4664" t="s">
        <v>686</v>
      </c>
      <c r="D4664" t="s">
        <v>3185</v>
      </c>
      <c r="E4664" t="s">
        <v>461</v>
      </c>
      <c r="F4664" t="s">
        <v>668</v>
      </c>
      <c r="G4664">
        <v>2020</v>
      </c>
      <c r="H4664" s="12">
        <v>11.58</v>
      </c>
      <c r="I4664" t="s">
        <v>3183</v>
      </c>
      <c r="J4664" t="s">
        <v>17</v>
      </c>
      <c r="K4664" t="s">
        <v>147</v>
      </c>
      <c r="L4664" t="s">
        <v>653</v>
      </c>
      <c r="M4664" t="s">
        <v>671</v>
      </c>
    </row>
    <row r="4665" spans="1:13">
      <c r="A4665" t="s">
        <v>851</v>
      </c>
      <c r="B4665" t="s">
        <v>686</v>
      </c>
      <c r="C4665" t="s">
        <v>686</v>
      </c>
      <c r="D4665" t="s">
        <v>3185</v>
      </c>
      <c r="E4665" t="s">
        <v>461</v>
      </c>
      <c r="F4665" t="s">
        <v>668</v>
      </c>
      <c r="G4665">
        <v>2030</v>
      </c>
      <c r="H4665" s="12">
        <v>87.77</v>
      </c>
      <c r="I4665" t="s">
        <v>3183</v>
      </c>
      <c r="J4665" t="s">
        <v>17</v>
      </c>
      <c r="K4665" t="s">
        <v>147</v>
      </c>
      <c r="L4665" t="s">
        <v>653</v>
      </c>
      <c r="M4665" t="s">
        <v>671</v>
      </c>
    </row>
    <row r="4666" spans="1:13">
      <c r="A4666" t="s">
        <v>851</v>
      </c>
      <c r="B4666" t="s">
        <v>686</v>
      </c>
      <c r="C4666" t="s">
        <v>686</v>
      </c>
      <c r="D4666" t="s">
        <v>3185</v>
      </c>
      <c r="E4666" t="s">
        <v>461</v>
      </c>
      <c r="F4666" t="s">
        <v>668</v>
      </c>
      <c r="G4666">
        <v>2035</v>
      </c>
      <c r="H4666" s="12">
        <v>164.02</v>
      </c>
      <c r="I4666" t="s">
        <v>3183</v>
      </c>
      <c r="J4666" t="s">
        <v>17</v>
      </c>
      <c r="K4666" t="s">
        <v>147</v>
      </c>
      <c r="L4666" t="s">
        <v>653</v>
      </c>
      <c r="M4666" t="s">
        <v>671</v>
      </c>
    </row>
    <row r="4667" spans="1:13">
      <c r="A4667" t="s">
        <v>851</v>
      </c>
      <c r="B4667" t="s">
        <v>686</v>
      </c>
      <c r="C4667" t="s">
        <v>686</v>
      </c>
      <c r="D4667" t="s">
        <v>3185</v>
      </c>
      <c r="E4667" t="s">
        <v>461</v>
      </c>
      <c r="F4667" t="s">
        <v>668</v>
      </c>
      <c r="G4667">
        <v>2040</v>
      </c>
      <c r="H4667" s="12">
        <v>245.43</v>
      </c>
      <c r="I4667" t="s">
        <v>3183</v>
      </c>
      <c r="J4667" t="s">
        <v>17</v>
      </c>
      <c r="K4667" t="s">
        <v>147</v>
      </c>
      <c r="L4667" t="s">
        <v>653</v>
      </c>
      <c r="M4667" t="s">
        <v>671</v>
      </c>
    </row>
    <row r="4668" spans="1:13">
      <c r="A4668" t="s">
        <v>851</v>
      </c>
      <c r="B4668" t="s">
        <v>686</v>
      </c>
      <c r="C4668" t="s">
        <v>686</v>
      </c>
      <c r="D4668" t="s">
        <v>3185</v>
      </c>
      <c r="E4668" t="s">
        <v>461</v>
      </c>
      <c r="F4668" t="s">
        <v>668</v>
      </c>
      <c r="G4668">
        <v>2045</v>
      </c>
      <c r="H4668" s="12">
        <v>318.75</v>
      </c>
      <c r="I4668" t="s">
        <v>3183</v>
      </c>
      <c r="J4668" t="s">
        <v>17</v>
      </c>
      <c r="K4668" t="s">
        <v>147</v>
      </c>
      <c r="L4668" t="s">
        <v>653</v>
      </c>
      <c r="M4668" t="s">
        <v>671</v>
      </c>
    </row>
    <row r="4669" spans="1:13">
      <c r="A4669" t="s">
        <v>851</v>
      </c>
      <c r="B4669" t="s">
        <v>686</v>
      </c>
      <c r="C4669" t="s">
        <v>686</v>
      </c>
      <c r="D4669" t="s">
        <v>3185</v>
      </c>
      <c r="E4669" t="s">
        <v>461</v>
      </c>
      <c r="F4669" t="s">
        <v>668</v>
      </c>
      <c r="G4669">
        <v>2050</v>
      </c>
      <c r="H4669" s="12">
        <v>383.83</v>
      </c>
      <c r="I4669" t="s">
        <v>3183</v>
      </c>
      <c r="J4669" t="s">
        <v>17</v>
      </c>
      <c r="K4669" t="s">
        <v>147</v>
      </c>
      <c r="L4669" t="s">
        <v>653</v>
      </c>
      <c r="M4669" t="s">
        <v>671</v>
      </c>
    </row>
    <row r="4670" spans="1:13">
      <c r="A4670" t="s">
        <v>851</v>
      </c>
      <c r="B4670" t="s">
        <v>687</v>
      </c>
      <c r="C4670" t="s">
        <v>687</v>
      </c>
      <c r="D4670" t="s">
        <v>3185</v>
      </c>
      <c r="E4670" t="s">
        <v>461</v>
      </c>
      <c r="F4670" t="s">
        <v>668</v>
      </c>
      <c r="G4670">
        <v>2030</v>
      </c>
      <c r="H4670" s="12">
        <v>176.67</v>
      </c>
      <c r="I4670" t="s">
        <v>3183</v>
      </c>
      <c r="J4670" t="s">
        <v>17</v>
      </c>
      <c r="K4670" t="s">
        <v>147</v>
      </c>
      <c r="L4670" t="s">
        <v>653</v>
      </c>
      <c r="M4670" t="s">
        <v>671</v>
      </c>
    </row>
    <row r="4671" spans="1:13">
      <c r="A4671" t="s">
        <v>851</v>
      </c>
      <c r="B4671" t="s">
        <v>687</v>
      </c>
      <c r="C4671" t="s">
        <v>687</v>
      </c>
      <c r="D4671" t="s">
        <v>3185</v>
      </c>
      <c r="E4671" t="s">
        <v>461</v>
      </c>
      <c r="F4671" t="s">
        <v>668</v>
      </c>
      <c r="G4671">
        <v>2035</v>
      </c>
      <c r="H4671" s="12">
        <v>382.95</v>
      </c>
      <c r="I4671" t="s">
        <v>3183</v>
      </c>
      <c r="J4671" t="s">
        <v>17</v>
      </c>
      <c r="K4671" t="s">
        <v>147</v>
      </c>
      <c r="L4671" t="s">
        <v>653</v>
      </c>
      <c r="M4671" t="s">
        <v>671</v>
      </c>
    </row>
    <row r="4672" spans="1:13">
      <c r="A4672" t="s">
        <v>851</v>
      </c>
      <c r="B4672" t="s">
        <v>687</v>
      </c>
      <c r="C4672" t="s">
        <v>687</v>
      </c>
      <c r="D4672" t="s">
        <v>3185</v>
      </c>
      <c r="E4672" t="s">
        <v>461</v>
      </c>
      <c r="F4672" t="s">
        <v>668</v>
      </c>
      <c r="G4672">
        <v>2040</v>
      </c>
      <c r="H4672" s="12">
        <v>662.82</v>
      </c>
      <c r="I4672" t="s">
        <v>3183</v>
      </c>
      <c r="J4672" t="s">
        <v>17</v>
      </c>
      <c r="K4672" t="s">
        <v>147</v>
      </c>
      <c r="L4672" t="s">
        <v>653</v>
      </c>
      <c r="M4672" t="s">
        <v>671</v>
      </c>
    </row>
    <row r="4673" spans="1:13">
      <c r="A4673" t="s">
        <v>851</v>
      </c>
      <c r="B4673" t="s">
        <v>687</v>
      </c>
      <c r="C4673" t="s">
        <v>687</v>
      </c>
      <c r="D4673" t="s">
        <v>3185</v>
      </c>
      <c r="E4673" t="s">
        <v>461</v>
      </c>
      <c r="F4673" t="s">
        <v>668</v>
      </c>
      <c r="G4673">
        <v>2045</v>
      </c>
      <c r="H4673" s="12">
        <v>1009.11</v>
      </c>
      <c r="I4673" t="s">
        <v>3183</v>
      </c>
      <c r="J4673" t="s">
        <v>17</v>
      </c>
      <c r="K4673" t="s">
        <v>147</v>
      </c>
      <c r="L4673" t="s">
        <v>653</v>
      </c>
      <c r="M4673" t="s">
        <v>671</v>
      </c>
    </row>
    <row r="4674" spans="1:13">
      <c r="A4674" t="s">
        <v>851</v>
      </c>
      <c r="B4674" t="s">
        <v>687</v>
      </c>
      <c r="C4674" t="s">
        <v>687</v>
      </c>
      <c r="D4674" t="s">
        <v>3185</v>
      </c>
      <c r="E4674" t="s">
        <v>461</v>
      </c>
      <c r="F4674" t="s">
        <v>668</v>
      </c>
      <c r="G4674">
        <v>2050</v>
      </c>
      <c r="H4674" s="12">
        <v>1379.57</v>
      </c>
      <c r="I4674" t="s">
        <v>3183</v>
      </c>
      <c r="J4674" t="s">
        <v>17</v>
      </c>
      <c r="K4674" t="s">
        <v>147</v>
      </c>
      <c r="L4674" t="s">
        <v>653</v>
      </c>
      <c r="M4674" t="s">
        <v>671</v>
      </c>
    </row>
    <row r="4675" spans="1:13">
      <c r="A4675" t="s">
        <v>851</v>
      </c>
      <c r="B4675" t="s">
        <v>687</v>
      </c>
      <c r="C4675" t="s">
        <v>687</v>
      </c>
      <c r="D4675" t="s">
        <v>3185</v>
      </c>
      <c r="E4675" t="s">
        <v>461</v>
      </c>
      <c r="F4675" t="s">
        <v>668</v>
      </c>
      <c r="G4675">
        <v>2050</v>
      </c>
      <c r="H4675" s="12">
        <v>643.64</v>
      </c>
      <c r="I4675" t="s">
        <v>3183</v>
      </c>
      <c r="J4675" t="s">
        <v>14</v>
      </c>
      <c r="K4675" t="s">
        <v>147</v>
      </c>
      <c r="L4675" t="s">
        <v>653</v>
      </c>
      <c r="M4675" t="s">
        <v>14</v>
      </c>
    </row>
    <row r="4676" spans="1:13">
      <c r="A4676" t="s">
        <v>851</v>
      </c>
      <c r="B4676" t="s">
        <v>686</v>
      </c>
      <c r="C4676" t="s">
        <v>686</v>
      </c>
      <c r="D4676" t="s">
        <v>3185</v>
      </c>
      <c r="E4676" t="s">
        <v>461</v>
      </c>
      <c r="F4676" t="s">
        <v>668</v>
      </c>
      <c r="G4676">
        <v>2010</v>
      </c>
      <c r="H4676" s="12">
        <v>2.06</v>
      </c>
      <c r="I4676" t="s">
        <v>3183</v>
      </c>
      <c r="J4676" t="s">
        <v>41</v>
      </c>
      <c r="K4676" t="s">
        <v>147</v>
      </c>
      <c r="L4676" t="s">
        <v>653</v>
      </c>
      <c r="M4676" t="s">
        <v>669</v>
      </c>
    </row>
    <row r="4677" spans="1:13">
      <c r="A4677" t="s">
        <v>851</v>
      </c>
      <c r="B4677" t="s">
        <v>686</v>
      </c>
      <c r="C4677" t="s">
        <v>686</v>
      </c>
      <c r="D4677" t="s">
        <v>3185</v>
      </c>
      <c r="E4677" t="s">
        <v>461</v>
      </c>
      <c r="F4677" t="s">
        <v>668</v>
      </c>
      <c r="G4677">
        <v>2015</v>
      </c>
      <c r="H4677" s="12">
        <v>2.23</v>
      </c>
      <c r="I4677" t="s">
        <v>3183</v>
      </c>
      <c r="J4677" t="s">
        <v>41</v>
      </c>
      <c r="K4677" t="s">
        <v>147</v>
      </c>
      <c r="L4677" t="s">
        <v>653</v>
      </c>
      <c r="M4677" t="s">
        <v>669</v>
      </c>
    </row>
    <row r="4678" spans="1:13">
      <c r="A4678" t="s">
        <v>851</v>
      </c>
      <c r="B4678" t="s">
        <v>686</v>
      </c>
      <c r="C4678" t="s">
        <v>686</v>
      </c>
      <c r="D4678" t="s">
        <v>3185</v>
      </c>
      <c r="E4678" t="s">
        <v>461</v>
      </c>
      <c r="F4678" t="s">
        <v>668</v>
      </c>
      <c r="G4678">
        <v>2020</v>
      </c>
      <c r="H4678" s="12">
        <v>1.87</v>
      </c>
      <c r="I4678" t="s">
        <v>3183</v>
      </c>
      <c r="J4678" t="s">
        <v>41</v>
      </c>
      <c r="K4678" t="s">
        <v>147</v>
      </c>
      <c r="L4678" t="s">
        <v>653</v>
      </c>
      <c r="M4678" t="s">
        <v>669</v>
      </c>
    </row>
    <row r="4679" spans="1:13">
      <c r="A4679" t="s">
        <v>851</v>
      </c>
      <c r="B4679" t="s">
        <v>686</v>
      </c>
      <c r="C4679" t="s">
        <v>686</v>
      </c>
      <c r="D4679" t="s">
        <v>3185</v>
      </c>
      <c r="E4679" t="s">
        <v>461</v>
      </c>
      <c r="F4679" t="s">
        <v>668</v>
      </c>
      <c r="G4679">
        <v>2030</v>
      </c>
      <c r="H4679" s="12">
        <v>15.73</v>
      </c>
      <c r="I4679" t="s">
        <v>3183</v>
      </c>
      <c r="J4679" t="s">
        <v>41</v>
      </c>
      <c r="K4679" t="s">
        <v>147</v>
      </c>
      <c r="L4679" t="s">
        <v>653</v>
      </c>
      <c r="M4679" t="s">
        <v>669</v>
      </c>
    </row>
    <row r="4680" spans="1:13">
      <c r="A4680" t="s">
        <v>851</v>
      </c>
      <c r="B4680" t="s">
        <v>686</v>
      </c>
      <c r="C4680" t="s">
        <v>686</v>
      </c>
      <c r="D4680" t="s">
        <v>3185</v>
      </c>
      <c r="E4680" t="s">
        <v>461</v>
      </c>
      <c r="F4680" t="s">
        <v>668</v>
      </c>
      <c r="G4680">
        <v>2035</v>
      </c>
      <c r="H4680" s="12">
        <v>28.93</v>
      </c>
      <c r="I4680" t="s">
        <v>3183</v>
      </c>
      <c r="J4680" t="s">
        <v>41</v>
      </c>
      <c r="K4680" t="s">
        <v>147</v>
      </c>
      <c r="L4680" t="s">
        <v>653</v>
      </c>
      <c r="M4680" t="s">
        <v>669</v>
      </c>
    </row>
    <row r="4681" spans="1:13">
      <c r="A4681" t="s">
        <v>851</v>
      </c>
      <c r="B4681" t="s">
        <v>686</v>
      </c>
      <c r="C4681" t="s">
        <v>686</v>
      </c>
      <c r="D4681" t="s">
        <v>3185</v>
      </c>
      <c r="E4681" t="s">
        <v>461</v>
      </c>
      <c r="F4681" t="s">
        <v>668</v>
      </c>
      <c r="G4681">
        <v>2040</v>
      </c>
      <c r="H4681" s="12">
        <v>38.590000000000003</v>
      </c>
      <c r="I4681" t="s">
        <v>3183</v>
      </c>
      <c r="J4681" t="s">
        <v>41</v>
      </c>
      <c r="K4681" t="s">
        <v>147</v>
      </c>
      <c r="L4681" t="s">
        <v>653</v>
      </c>
      <c r="M4681" t="s">
        <v>669</v>
      </c>
    </row>
    <row r="4682" spans="1:13">
      <c r="A4682" t="s">
        <v>851</v>
      </c>
      <c r="B4682" t="s">
        <v>686</v>
      </c>
      <c r="C4682" t="s">
        <v>686</v>
      </c>
      <c r="D4682" t="s">
        <v>3185</v>
      </c>
      <c r="E4682" t="s">
        <v>461</v>
      </c>
      <c r="F4682" t="s">
        <v>668</v>
      </c>
      <c r="G4682">
        <v>2045</v>
      </c>
      <c r="H4682" s="12">
        <v>47.31</v>
      </c>
      <c r="I4682" t="s">
        <v>3183</v>
      </c>
      <c r="J4682" t="s">
        <v>41</v>
      </c>
      <c r="K4682" t="s">
        <v>147</v>
      </c>
      <c r="L4682" t="s">
        <v>653</v>
      </c>
      <c r="M4682" t="s">
        <v>669</v>
      </c>
    </row>
    <row r="4683" spans="1:13">
      <c r="A4683" t="s">
        <v>851</v>
      </c>
      <c r="B4683" t="s">
        <v>686</v>
      </c>
      <c r="C4683" t="s">
        <v>686</v>
      </c>
      <c r="D4683" t="s">
        <v>3185</v>
      </c>
      <c r="E4683" t="s">
        <v>461</v>
      </c>
      <c r="F4683" t="s">
        <v>668</v>
      </c>
      <c r="G4683">
        <v>2050</v>
      </c>
      <c r="H4683" s="12">
        <v>57.56</v>
      </c>
      <c r="I4683" t="s">
        <v>3183</v>
      </c>
      <c r="J4683" t="s">
        <v>41</v>
      </c>
      <c r="K4683" t="s">
        <v>147</v>
      </c>
      <c r="L4683" t="s">
        <v>653</v>
      </c>
      <c r="M4683" t="s">
        <v>669</v>
      </c>
    </row>
    <row r="4684" spans="1:13">
      <c r="A4684" t="s">
        <v>851</v>
      </c>
      <c r="B4684" t="s">
        <v>687</v>
      </c>
      <c r="C4684" t="s">
        <v>687</v>
      </c>
      <c r="D4684" t="s">
        <v>3185</v>
      </c>
      <c r="E4684" t="s">
        <v>461</v>
      </c>
      <c r="F4684" t="s">
        <v>668</v>
      </c>
      <c r="G4684">
        <v>2030</v>
      </c>
      <c r="H4684" s="12">
        <v>20.16</v>
      </c>
      <c r="I4684" t="s">
        <v>3183</v>
      </c>
      <c r="J4684" t="s">
        <v>41</v>
      </c>
      <c r="K4684" t="s">
        <v>147</v>
      </c>
      <c r="L4684" t="s">
        <v>653</v>
      </c>
      <c r="M4684" t="s">
        <v>669</v>
      </c>
    </row>
    <row r="4685" spans="1:13">
      <c r="A4685" t="s">
        <v>851</v>
      </c>
      <c r="B4685" t="s">
        <v>687</v>
      </c>
      <c r="C4685" t="s">
        <v>687</v>
      </c>
      <c r="D4685" t="s">
        <v>3185</v>
      </c>
      <c r="E4685" t="s">
        <v>461</v>
      </c>
      <c r="F4685" t="s">
        <v>668</v>
      </c>
      <c r="G4685">
        <v>2035</v>
      </c>
      <c r="H4685" s="12">
        <v>39.03</v>
      </c>
      <c r="I4685" t="s">
        <v>3183</v>
      </c>
      <c r="J4685" t="s">
        <v>41</v>
      </c>
      <c r="K4685" t="s">
        <v>147</v>
      </c>
      <c r="L4685" t="s">
        <v>653</v>
      </c>
      <c r="M4685" t="s">
        <v>669</v>
      </c>
    </row>
    <row r="4686" spans="1:13">
      <c r="A4686" t="s">
        <v>851</v>
      </c>
      <c r="B4686" t="s">
        <v>687</v>
      </c>
      <c r="C4686" t="s">
        <v>687</v>
      </c>
      <c r="D4686" t="s">
        <v>3185</v>
      </c>
      <c r="E4686" t="s">
        <v>461</v>
      </c>
      <c r="F4686" t="s">
        <v>668</v>
      </c>
      <c r="G4686">
        <v>2040</v>
      </c>
      <c r="H4686" s="12">
        <v>59.55</v>
      </c>
      <c r="I4686" t="s">
        <v>3183</v>
      </c>
      <c r="J4686" t="s">
        <v>41</v>
      </c>
      <c r="K4686" t="s">
        <v>147</v>
      </c>
      <c r="L4686" t="s">
        <v>653</v>
      </c>
      <c r="M4686" t="s">
        <v>669</v>
      </c>
    </row>
    <row r="4687" spans="1:13">
      <c r="A4687" t="s">
        <v>851</v>
      </c>
      <c r="B4687" t="s">
        <v>687</v>
      </c>
      <c r="C4687" t="s">
        <v>687</v>
      </c>
      <c r="D4687" t="s">
        <v>3185</v>
      </c>
      <c r="E4687" t="s">
        <v>461</v>
      </c>
      <c r="F4687" t="s">
        <v>668</v>
      </c>
      <c r="G4687">
        <v>2045</v>
      </c>
      <c r="H4687" s="12">
        <v>82.32</v>
      </c>
      <c r="I4687" t="s">
        <v>3183</v>
      </c>
      <c r="J4687" t="s">
        <v>41</v>
      </c>
      <c r="K4687" t="s">
        <v>147</v>
      </c>
      <c r="L4687" t="s">
        <v>653</v>
      </c>
      <c r="M4687" t="s">
        <v>669</v>
      </c>
    </row>
    <row r="4688" spans="1:13">
      <c r="A4688" t="s">
        <v>851</v>
      </c>
      <c r="B4688" t="s">
        <v>687</v>
      </c>
      <c r="C4688" t="s">
        <v>687</v>
      </c>
      <c r="D4688" t="s">
        <v>3185</v>
      </c>
      <c r="E4688" t="s">
        <v>461</v>
      </c>
      <c r="F4688" t="s">
        <v>668</v>
      </c>
      <c r="G4688">
        <v>2050</v>
      </c>
      <c r="H4688" s="12">
        <v>109.24</v>
      </c>
      <c r="I4688" t="s">
        <v>3183</v>
      </c>
      <c r="J4688" t="s">
        <v>41</v>
      </c>
      <c r="K4688" t="s">
        <v>147</v>
      </c>
      <c r="L4688" t="s">
        <v>653</v>
      </c>
      <c r="M4688" t="s">
        <v>669</v>
      </c>
    </row>
    <row r="4689" spans="1:13">
      <c r="A4689" t="s">
        <v>851</v>
      </c>
      <c r="B4689" t="s">
        <v>686</v>
      </c>
      <c r="C4689" t="s">
        <v>686</v>
      </c>
      <c r="D4689" t="s">
        <v>3185</v>
      </c>
      <c r="E4689" t="s">
        <v>461</v>
      </c>
      <c r="F4689" t="s">
        <v>668</v>
      </c>
      <c r="G4689">
        <v>2010</v>
      </c>
      <c r="H4689" s="12">
        <v>12.1</v>
      </c>
      <c r="I4689" t="s">
        <v>3183</v>
      </c>
      <c r="J4689" t="s">
        <v>15</v>
      </c>
      <c r="K4689" t="s">
        <v>147</v>
      </c>
      <c r="L4689" t="s">
        <v>653</v>
      </c>
      <c r="M4689" t="s">
        <v>15</v>
      </c>
    </row>
    <row r="4690" spans="1:13">
      <c r="A4690" t="s">
        <v>851</v>
      </c>
      <c r="B4690" t="s">
        <v>686</v>
      </c>
      <c r="C4690" t="s">
        <v>686</v>
      </c>
      <c r="D4690" t="s">
        <v>3185</v>
      </c>
      <c r="E4690" t="s">
        <v>461</v>
      </c>
      <c r="F4690" t="s">
        <v>668</v>
      </c>
      <c r="G4690">
        <v>2015</v>
      </c>
      <c r="H4690" s="12">
        <v>12.24</v>
      </c>
      <c r="I4690" t="s">
        <v>3183</v>
      </c>
      <c r="J4690" t="s">
        <v>15</v>
      </c>
      <c r="K4690" t="s">
        <v>147</v>
      </c>
      <c r="L4690" t="s">
        <v>653</v>
      </c>
      <c r="M4690" t="s">
        <v>15</v>
      </c>
    </row>
    <row r="4691" spans="1:13">
      <c r="A4691" t="s">
        <v>851</v>
      </c>
      <c r="B4691" t="s">
        <v>686</v>
      </c>
      <c r="C4691" t="s">
        <v>686</v>
      </c>
      <c r="D4691" t="s">
        <v>3185</v>
      </c>
      <c r="E4691" t="s">
        <v>461</v>
      </c>
      <c r="F4691" t="s">
        <v>668</v>
      </c>
      <c r="G4691">
        <v>2020</v>
      </c>
      <c r="H4691" s="12">
        <v>9.9</v>
      </c>
      <c r="I4691" t="s">
        <v>3183</v>
      </c>
      <c r="J4691" t="s">
        <v>15</v>
      </c>
      <c r="K4691" t="s">
        <v>147</v>
      </c>
      <c r="L4691" t="s">
        <v>653</v>
      </c>
      <c r="M4691" t="s">
        <v>15</v>
      </c>
    </row>
    <row r="4692" spans="1:13">
      <c r="A4692" t="s">
        <v>851</v>
      </c>
      <c r="B4692" t="s">
        <v>686</v>
      </c>
      <c r="C4692" t="s">
        <v>686</v>
      </c>
      <c r="D4692" t="s">
        <v>3185</v>
      </c>
      <c r="E4692" t="s">
        <v>461</v>
      </c>
      <c r="F4692" t="s">
        <v>668</v>
      </c>
      <c r="G4692">
        <v>2030</v>
      </c>
      <c r="H4692" s="12">
        <v>24.69</v>
      </c>
      <c r="I4692" t="s">
        <v>3183</v>
      </c>
      <c r="J4692" t="s">
        <v>15</v>
      </c>
      <c r="K4692" t="s">
        <v>147</v>
      </c>
      <c r="L4692" t="s">
        <v>653</v>
      </c>
      <c r="M4692" t="s">
        <v>15</v>
      </c>
    </row>
    <row r="4693" spans="1:13">
      <c r="A4693" t="s">
        <v>851</v>
      </c>
      <c r="B4693" t="s">
        <v>686</v>
      </c>
      <c r="C4693" t="s">
        <v>686</v>
      </c>
      <c r="D4693" t="s">
        <v>3185</v>
      </c>
      <c r="E4693" t="s">
        <v>461</v>
      </c>
      <c r="F4693" t="s">
        <v>668</v>
      </c>
      <c r="G4693">
        <v>2035</v>
      </c>
      <c r="H4693" s="12">
        <v>35.86</v>
      </c>
      <c r="I4693" t="s">
        <v>3183</v>
      </c>
      <c r="J4693" t="s">
        <v>15</v>
      </c>
      <c r="K4693" t="s">
        <v>147</v>
      </c>
      <c r="L4693" t="s">
        <v>653</v>
      </c>
      <c r="M4693" t="s">
        <v>15</v>
      </c>
    </row>
    <row r="4694" spans="1:13">
      <c r="A4694" t="s">
        <v>851</v>
      </c>
      <c r="B4694" t="s">
        <v>686</v>
      </c>
      <c r="C4694" t="s">
        <v>686</v>
      </c>
      <c r="D4694" t="s">
        <v>3185</v>
      </c>
      <c r="E4694" t="s">
        <v>461</v>
      </c>
      <c r="F4694" t="s">
        <v>668</v>
      </c>
      <c r="G4694">
        <v>2040</v>
      </c>
      <c r="H4694" s="12">
        <v>45.07</v>
      </c>
      <c r="I4694" t="s">
        <v>3183</v>
      </c>
      <c r="J4694" t="s">
        <v>15</v>
      </c>
      <c r="K4694" t="s">
        <v>147</v>
      </c>
      <c r="L4694" t="s">
        <v>653</v>
      </c>
      <c r="M4694" t="s">
        <v>15</v>
      </c>
    </row>
    <row r="4695" spans="1:13">
      <c r="A4695" t="s">
        <v>851</v>
      </c>
      <c r="B4695" t="s">
        <v>686</v>
      </c>
      <c r="C4695" t="s">
        <v>686</v>
      </c>
      <c r="D4695" t="s">
        <v>3185</v>
      </c>
      <c r="E4695" t="s">
        <v>461</v>
      </c>
      <c r="F4695" t="s">
        <v>668</v>
      </c>
      <c r="G4695">
        <v>2045</v>
      </c>
      <c r="H4695" s="12">
        <v>45.07</v>
      </c>
      <c r="I4695" t="s">
        <v>3183</v>
      </c>
      <c r="J4695" t="s">
        <v>15</v>
      </c>
      <c r="K4695" t="s">
        <v>147</v>
      </c>
      <c r="L4695" t="s">
        <v>653</v>
      </c>
      <c r="M4695" t="s">
        <v>15</v>
      </c>
    </row>
    <row r="4696" spans="1:13">
      <c r="A4696" t="s">
        <v>851</v>
      </c>
      <c r="B4696" t="s">
        <v>686</v>
      </c>
      <c r="C4696" t="s">
        <v>686</v>
      </c>
      <c r="D4696" t="s">
        <v>3185</v>
      </c>
      <c r="E4696" t="s">
        <v>461</v>
      </c>
      <c r="F4696" t="s">
        <v>668</v>
      </c>
      <c r="G4696">
        <v>2050</v>
      </c>
      <c r="H4696" s="12">
        <v>45.07</v>
      </c>
      <c r="I4696" t="s">
        <v>3183</v>
      </c>
      <c r="J4696" t="s">
        <v>15</v>
      </c>
      <c r="K4696" t="s">
        <v>147</v>
      </c>
      <c r="L4696" t="s">
        <v>653</v>
      </c>
      <c r="M4696" t="s">
        <v>15</v>
      </c>
    </row>
    <row r="4697" spans="1:13">
      <c r="A4697" t="s">
        <v>851</v>
      </c>
      <c r="B4697" t="s">
        <v>687</v>
      </c>
      <c r="C4697" t="s">
        <v>687</v>
      </c>
      <c r="D4697" t="s">
        <v>3185</v>
      </c>
      <c r="E4697" t="s">
        <v>461</v>
      </c>
      <c r="F4697" t="s">
        <v>668</v>
      </c>
      <c r="G4697">
        <v>2030</v>
      </c>
      <c r="H4697" s="12">
        <v>29.82</v>
      </c>
      <c r="I4697" t="s">
        <v>3183</v>
      </c>
      <c r="J4697" t="s">
        <v>15</v>
      </c>
      <c r="K4697" t="s">
        <v>147</v>
      </c>
      <c r="L4697" t="s">
        <v>653</v>
      </c>
      <c r="M4697" t="s">
        <v>15</v>
      </c>
    </row>
    <row r="4698" spans="1:13">
      <c r="A4698" t="s">
        <v>851</v>
      </c>
      <c r="B4698" t="s">
        <v>687</v>
      </c>
      <c r="C4698" t="s">
        <v>687</v>
      </c>
      <c r="D4698" t="s">
        <v>3185</v>
      </c>
      <c r="E4698" t="s">
        <v>461</v>
      </c>
      <c r="F4698" t="s">
        <v>668</v>
      </c>
      <c r="G4698">
        <v>2035</v>
      </c>
      <c r="H4698" s="12">
        <v>54.3</v>
      </c>
      <c r="I4698" t="s">
        <v>3183</v>
      </c>
      <c r="J4698" t="s">
        <v>15</v>
      </c>
      <c r="K4698" t="s">
        <v>147</v>
      </c>
      <c r="L4698" t="s">
        <v>653</v>
      </c>
      <c r="M4698" t="s">
        <v>15</v>
      </c>
    </row>
    <row r="4699" spans="1:13">
      <c r="A4699" t="s">
        <v>851</v>
      </c>
      <c r="B4699" t="s">
        <v>687</v>
      </c>
      <c r="C4699" t="s">
        <v>687</v>
      </c>
      <c r="D4699" t="s">
        <v>3185</v>
      </c>
      <c r="E4699" t="s">
        <v>461</v>
      </c>
      <c r="F4699" t="s">
        <v>668</v>
      </c>
      <c r="G4699">
        <v>2040</v>
      </c>
      <c r="H4699" s="12">
        <v>75.12</v>
      </c>
      <c r="I4699" t="s">
        <v>3183</v>
      </c>
      <c r="J4699" t="s">
        <v>15</v>
      </c>
      <c r="K4699" t="s">
        <v>147</v>
      </c>
      <c r="L4699" t="s">
        <v>653</v>
      </c>
      <c r="M4699" t="s">
        <v>15</v>
      </c>
    </row>
    <row r="4700" spans="1:13">
      <c r="A4700" t="s">
        <v>851</v>
      </c>
      <c r="B4700" t="s">
        <v>687</v>
      </c>
      <c r="C4700" t="s">
        <v>687</v>
      </c>
      <c r="D4700" t="s">
        <v>3185</v>
      </c>
      <c r="E4700" t="s">
        <v>461</v>
      </c>
      <c r="F4700" t="s">
        <v>668</v>
      </c>
      <c r="G4700">
        <v>2045</v>
      </c>
      <c r="H4700" s="12">
        <v>75.12</v>
      </c>
      <c r="I4700" t="s">
        <v>3183</v>
      </c>
      <c r="J4700" t="s">
        <v>15</v>
      </c>
      <c r="K4700" t="s">
        <v>147</v>
      </c>
      <c r="L4700" t="s">
        <v>653</v>
      </c>
      <c r="M4700" t="s">
        <v>15</v>
      </c>
    </row>
    <row r="4701" spans="1:13">
      <c r="A4701" t="s">
        <v>851</v>
      </c>
      <c r="B4701" t="s">
        <v>687</v>
      </c>
      <c r="C4701" t="s">
        <v>687</v>
      </c>
      <c r="D4701" t="s">
        <v>3185</v>
      </c>
      <c r="E4701" t="s">
        <v>461</v>
      </c>
      <c r="F4701" t="s">
        <v>668</v>
      </c>
      <c r="G4701">
        <v>2050</v>
      </c>
      <c r="H4701" s="12">
        <v>75.12</v>
      </c>
      <c r="I4701" t="s">
        <v>3183</v>
      </c>
      <c r="J4701" t="s">
        <v>15</v>
      </c>
      <c r="K4701" t="s">
        <v>147</v>
      </c>
      <c r="L4701" t="s">
        <v>653</v>
      </c>
      <c r="M4701" t="s">
        <v>15</v>
      </c>
    </row>
    <row r="4702" spans="1:13">
      <c r="A4702" t="s">
        <v>851</v>
      </c>
      <c r="B4702" t="s">
        <v>686</v>
      </c>
      <c r="C4702" t="s">
        <v>686</v>
      </c>
      <c r="D4702" t="s">
        <v>3185</v>
      </c>
      <c r="E4702" t="s">
        <v>461</v>
      </c>
      <c r="F4702" t="s">
        <v>668</v>
      </c>
      <c r="G4702">
        <v>2010</v>
      </c>
      <c r="H4702" s="12">
        <v>0</v>
      </c>
      <c r="I4702" t="s">
        <v>3183</v>
      </c>
      <c r="J4702" t="s">
        <v>8</v>
      </c>
      <c r="K4702" t="s">
        <v>147</v>
      </c>
      <c r="L4702" t="s">
        <v>653</v>
      </c>
      <c r="M4702" t="s">
        <v>670</v>
      </c>
    </row>
    <row r="4703" spans="1:13">
      <c r="A4703" t="s">
        <v>851</v>
      </c>
      <c r="B4703" t="s">
        <v>686</v>
      </c>
      <c r="C4703" t="s">
        <v>686</v>
      </c>
      <c r="D4703" t="s">
        <v>3185</v>
      </c>
      <c r="E4703" t="s">
        <v>461</v>
      </c>
      <c r="F4703" t="s">
        <v>668</v>
      </c>
      <c r="G4703">
        <v>2015</v>
      </c>
      <c r="H4703" s="12">
        <v>0</v>
      </c>
      <c r="I4703" t="s">
        <v>3183</v>
      </c>
      <c r="J4703" t="s">
        <v>8</v>
      </c>
      <c r="K4703" t="s">
        <v>147</v>
      </c>
      <c r="L4703" t="s">
        <v>653</v>
      </c>
      <c r="M4703" t="s">
        <v>670</v>
      </c>
    </row>
    <row r="4704" spans="1:13">
      <c r="A4704" t="s">
        <v>851</v>
      </c>
      <c r="B4704" t="s">
        <v>686</v>
      </c>
      <c r="C4704" t="s">
        <v>686</v>
      </c>
      <c r="D4704" t="s">
        <v>3185</v>
      </c>
      <c r="E4704" t="s">
        <v>646</v>
      </c>
      <c r="F4704" t="s">
        <v>40</v>
      </c>
      <c r="G4704">
        <v>2010</v>
      </c>
      <c r="H4704" s="12">
        <v>3594</v>
      </c>
      <c r="I4704" t="s">
        <v>3183</v>
      </c>
      <c r="J4704" t="s">
        <v>394</v>
      </c>
      <c r="K4704" t="s">
        <v>11</v>
      </c>
      <c r="L4704" t="s">
        <v>653</v>
      </c>
      <c r="M4704" t="s">
        <v>16</v>
      </c>
    </row>
    <row r="4705" spans="1:13">
      <c r="A4705" t="s">
        <v>851</v>
      </c>
      <c r="B4705" t="s">
        <v>686</v>
      </c>
      <c r="C4705" t="s">
        <v>686</v>
      </c>
      <c r="D4705" t="s">
        <v>3185</v>
      </c>
      <c r="E4705" t="s">
        <v>646</v>
      </c>
      <c r="F4705" t="s">
        <v>40</v>
      </c>
      <c r="G4705">
        <v>2015</v>
      </c>
      <c r="H4705" s="12">
        <v>4599</v>
      </c>
      <c r="I4705" t="s">
        <v>3183</v>
      </c>
      <c r="J4705" t="s">
        <v>394</v>
      </c>
      <c r="K4705" t="s">
        <v>11</v>
      </c>
      <c r="L4705" t="s">
        <v>653</v>
      </c>
      <c r="M4705" t="s">
        <v>16</v>
      </c>
    </row>
    <row r="4706" spans="1:13">
      <c r="A4706" t="s">
        <v>851</v>
      </c>
      <c r="B4706" t="s">
        <v>686</v>
      </c>
      <c r="C4706" t="s">
        <v>686</v>
      </c>
      <c r="D4706" t="s">
        <v>3185</v>
      </c>
      <c r="E4706" t="s">
        <v>646</v>
      </c>
      <c r="F4706" t="s">
        <v>40</v>
      </c>
      <c r="G4706">
        <v>2020</v>
      </c>
      <c r="H4706" s="12">
        <v>4604</v>
      </c>
      <c r="I4706" t="s">
        <v>3183</v>
      </c>
      <c r="J4706" t="s">
        <v>394</v>
      </c>
      <c r="K4706" t="s">
        <v>11</v>
      </c>
      <c r="L4706" t="s">
        <v>653</v>
      </c>
      <c r="M4706" t="s">
        <v>16</v>
      </c>
    </row>
    <row r="4707" spans="1:13">
      <c r="A4707" t="s">
        <v>851</v>
      </c>
      <c r="B4707" t="s">
        <v>686</v>
      </c>
      <c r="C4707" t="s">
        <v>686</v>
      </c>
      <c r="D4707" t="s">
        <v>3185</v>
      </c>
      <c r="E4707" t="s">
        <v>646</v>
      </c>
      <c r="F4707" t="s">
        <v>40</v>
      </c>
      <c r="G4707">
        <v>2030</v>
      </c>
      <c r="H4707" s="12">
        <v>6209</v>
      </c>
      <c r="I4707" t="s">
        <v>3183</v>
      </c>
      <c r="J4707" t="s">
        <v>394</v>
      </c>
      <c r="K4707" t="s">
        <v>11</v>
      </c>
      <c r="L4707" t="s">
        <v>653</v>
      </c>
      <c r="M4707" t="s">
        <v>16</v>
      </c>
    </row>
    <row r="4708" spans="1:13">
      <c r="A4708" t="s">
        <v>851</v>
      </c>
      <c r="B4708" t="s">
        <v>686</v>
      </c>
      <c r="C4708" t="s">
        <v>686</v>
      </c>
      <c r="D4708" t="s">
        <v>3185</v>
      </c>
      <c r="E4708" t="s">
        <v>646</v>
      </c>
      <c r="F4708" t="s">
        <v>40</v>
      </c>
      <c r="G4708">
        <v>2035</v>
      </c>
      <c r="H4708" s="12">
        <v>7166</v>
      </c>
      <c r="I4708" t="s">
        <v>3183</v>
      </c>
      <c r="J4708" t="s">
        <v>394</v>
      </c>
      <c r="K4708" t="s">
        <v>11</v>
      </c>
      <c r="L4708" t="s">
        <v>653</v>
      </c>
      <c r="M4708" t="s">
        <v>16</v>
      </c>
    </row>
    <row r="4709" spans="1:13">
      <c r="A4709" t="s">
        <v>851</v>
      </c>
      <c r="B4709" t="s">
        <v>686</v>
      </c>
      <c r="C4709" t="s">
        <v>686</v>
      </c>
      <c r="D4709" t="s">
        <v>3185</v>
      </c>
      <c r="E4709" t="s">
        <v>646</v>
      </c>
      <c r="F4709" t="s">
        <v>40</v>
      </c>
      <c r="G4709">
        <v>2040</v>
      </c>
      <c r="H4709" s="12">
        <v>8265</v>
      </c>
      <c r="I4709" t="s">
        <v>3183</v>
      </c>
      <c r="J4709" t="s">
        <v>394</v>
      </c>
      <c r="K4709" t="s">
        <v>11</v>
      </c>
      <c r="L4709" t="s">
        <v>653</v>
      </c>
      <c r="M4709" t="s">
        <v>16</v>
      </c>
    </row>
    <row r="4710" spans="1:13">
      <c r="A4710" t="s">
        <v>851</v>
      </c>
      <c r="B4710" t="s">
        <v>686</v>
      </c>
      <c r="C4710" t="s">
        <v>686</v>
      </c>
      <c r="D4710" t="s">
        <v>3185</v>
      </c>
      <c r="E4710" t="s">
        <v>646</v>
      </c>
      <c r="F4710" t="s">
        <v>40</v>
      </c>
      <c r="G4710">
        <v>2045</v>
      </c>
      <c r="H4710" s="12">
        <v>9493</v>
      </c>
      <c r="I4710" t="s">
        <v>3183</v>
      </c>
      <c r="J4710" t="s">
        <v>394</v>
      </c>
      <c r="K4710" t="s">
        <v>11</v>
      </c>
      <c r="L4710" t="s">
        <v>653</v>
      </c>
      <c r="M4710" t="s">
        <v>16</v>
      </c>
    </row>
    <row r="4711" spans="1:13">
      <c r="A4711" t="s">
        <v>851</v>
      </c>
      <c r="B4711" t="s">
        <v>686</v>
      </c>
      <c r="C4711" t="s">
        <v>686</v>
      </c>
      <c r="D4711" t="s">
        <v>3185</v>
      </c>
      <c r="E4711" t="s">
        <v>646</v>
      </c>
      <c r="F4711" t="s">
        <v>40</v>
      </c>
      <c r="G4711">
        <v>2050</v>
      </c>
      <c r="H4711" s="12">
        <v>10797</v>
      </c>
      <c r="I4711" t="s">
        <v>3183</v>
      </c>
      <c r="J4711" t="s">
        <v>394</v>
      </c>
      <c r="K4711" t="s">
        <v>11</v>
      </c>
      <c r="L4711" t="s">
        <v>653</v>
      </c>
      <c r="M4711" t="s">
        <v>16</v>
      </c>
    </row>
    <row r="4712" spans="1:13">
      <c r="A4712" t="s">
        <v>851</v>
      </c>
      <c r="B4712" t="s">
        <v>687</v>
      </c>
      <c r="C4712" t="s">
        <v>687</v>
      </c>
      <c r="D4712" t="s">
        <v>3185</v>
      </c>
      <c r="E4712" t="s">
        <v>646</v>
      </c>
      <c r="F4712" t="s">
        <v>40</v>
      </c>
      <c r="G4712">
        <v>2030</v>
      </c>
      <c r="H4712" s="12">
        <v>6106</v>
      </c>
      <c r="I4712" t="s">
        <v>3183</v>
      </c>
      <c r="J4712" t="s">
        <v>394</v>
      </c>
      <c r="K4712" t="s">
        <v>11</v>
      </c>
      <c r="L4712" t="s">
        <v>653</v>
      </c>
      <c r="M4712" t="s">
        <v>16</v>
      </c>
    </row>
    <row r="4713" spans="1:13">
      <c r="A4713" t="s">
        <v>851</v>
      </c>
      <c r="B4713" t="s">
        <v>687</v>
      </c>
      <c r="C4713" t="s">
        <v>687</v>
      </c>
      <c r="D4713" t="s">
        <v>3185</v>
      </c>
      <c r="E4713" t="s">
        <v>646</v>
      </c>
      <c r="F4713" t="s">
        <v>40</v>
      </c>
      <c r="G4713">
        <v>2035</v>
      </c>
      <c r="H4713" s="12">
        <v>6770</v>
      </c>
      <c r="I4713" t="s">
        <v>3183</v>
      </c>
      <c r="J4713" t="s">
        <v>394</v>
      </c>
      <c r="K4713" t="s">
        <v>11</v>
      </c>
      <c r="L4713" t="s">
        <v>653</v>
      </c>
      <c r="M4713" t="s">
        <v>16</v>
      </c>
    </row>
    <row r="4714" spans="1:13">
      <c r="A4714" t="s">
        <v>851</v>
      </c>
      <c r="B4714" t="s">
        <v>687</v>
      </c>
      <c r="C4714" t="s">
        <v>687</v>
      </c>
      <c r="D4714" t="s">
        <v>3185</v>
      </c>
      <c r="E4714" t="s">
        <v>646</v>
      </c>
      <c r="F4714" t="s">
        <v>40</v>
      </c>
      <c r="G4714">
        <v>2040</v>
      </c>
      <c r="H4714" s="12">
        <v>7472</v>
      </c>
      <c r="I4714" t="s">
        <v>3183</v>
      </c>
      <c r="J4714" t="s">
        <v>394</v>
      </c>
      <c r="K4714" t="s">
        <v>11</v>
      </c>
      <c r="L4714" t="s">
        <v>653</v>
      </c>
      <c r="M4714" t="s">
        <v>16</v>
      </c>
    </row>
    <row r="4715" spans="1:13">
      <c r="A4715" t="s">
        <v>851</v>
      </c>
      <c r="B4715" t="s">
        <v>687</v>
      </c>
      <c r="C4715" t="s">
        <v>687</v>
      </c>
      <c r="D4715" t="s">
        <v>3185</v>
      </c>
      <c r="E4715" t="s">
        <v>646</v>
      </c>
      <c r="F4715" t="s">
        <v>40</v>
      </c>
      <c r="G4715">
        <v>2045</v>
      </c>
      <c r="H4715" s="12">
        <v>8075</v>
      </c>
      <c r="I4715" t="s">
        <v>3183</v>
      </c>
      <c r="J4715" t="s">
        <v>394</v>
      </c>
      <c r="K4715" t="s">
        <v>11</v>
      </c>
      <c r="L4715" t="s">
        <v>653</v>
      </c>
      <c r="M4715" t="s">
        <v>16</v>
      </c>
    </row>
    <row r="4716" spans="1:13">
      <c r="A4716" t="s">
        <v>851</v>
      </c>
      <c r="B4716" t="s">
        <v>687</v>
      </c>
      <c r="C4716" t="s">
        <v>687</v>
      </c>
      <c r="D4716" t="s">
        <v>3185</v>
      </c>
      <c r="E4716" t="s">
        <v>646</v>
      </c>
      <c r="F4716" t="s">
        <v>40</v>
      </c>
      <c r="G4716">
        <v>2050</v>
      </c>
      <c r="H4716" s="12">
        <v>7979</v>
      </c>
      <c r="I4716" t="s">
        <v>3183</v>
      </c>
      <c r="J4716" t="s">
        <v>394</v>
      </c>
      <c r="K4716" t="s">
        <v>11</v>
      </c>
      <c r="L4716" t="s">
        <v>653</v>
      </c>
      <c r="M4716" t="s">
        <v>16</v>
      </c>
    </row>
    <row r="4717" spans="1:13">
      <c r="A4717" t="s">
        <v>851</v>
      </c>
      <c r="B4717" t="s">
        <v>686</v>
      </c>
      <c r="C4717" t="s">
        <v>686</v>
      </c>
      <c r="D4717" t="s">
        <v>3185</v>
      </c>
      <c r="E4717" t="s">
        <v>646</v>
      </c>
      <c r="F4717" t="s">
        <v>40</v>
      </c>
      <c r="G4717">
        <v>2010</v>
      </c>
      <c r="H4717" s="12">
        <v>56</v>
      </c>
      <c r="I4717" t="s">
        <v>3183</v>
      </c>
      <c r="J4717" t="s">
        <v>6</v>
      </c>
      <c r="K4717" t="s">
        <v>11</v>
      </c>
      <c r="L4717" t="s">
        <v>653</v>
      </c>
      <c r="M4717" t="s">
        <v>659</v>
      </c>
    </row>
    <row r="4718" spans="1:13">
      <c r="A4718" t="s">
        <v>851</v>
      </c>
      <c r="B4718" t="s">
        <v>686</v>
      </c>
      <c r="C4718" t="s">
        <v>686</v>
      </c>
      <c r="D4718" t="s">
        <v>3185</v>
      </c>
      <c r="E4718" t="s">
        <v>646</v>
      </c>
      <c r="F4718" t="s">
        <v>40</v>
      </c>
      <c r="G4718">
        <v>2015</v>
      </c>
      <c r="H4718" s="12">
        <v>42</v>
      </c>
      <c r="I4718" t="s">
        <v>3183</v>
      </c>
      <c r="J4718" t="s">
        <v>6</v>
      </c>
      <c r="K4718" t="s">
        <v>11</v>
      </c>
      <c r="L4718" t="s">
        <v>653</v>
      </c>
      <c r="M4718" t="s">
        <v>659</v>
      </c>
    </row>
    <row r="4719" spans="1:13">
      <c r="A4719" t="s">
        <v>851</v>
      </c>
      <c r="B4719" t="s">
        <v>686</v>
      </c>
      <c r="C4719" t="s">
        <v>686</v>
      </c>
      <c r="D4719" t="s">
        <v>3185</v>
      </c>
      <c r="E4719" t="s">
        <v>646</v>
      </c>
      <c r="F4719" t="s">
        <v>40</v>
      </c>
      <c r="G4719">
        <v>2020</v>
      </c>
      <c r="H4719" s="12">
        <v>46</v>
      </c>
      <c r="I4719" t="s">
        <v>3183</v>
      </c>
      <c r="J4719" t="s">
        <v>6</v>
      </c>
      <c r="K4719" t="s">
        <v>11</v>
      </c>
      <c r="L4719" t="s">
        <v>653</v>
      </c>
      <c r="M4719" t="s">
        <v>659</v>
      </c>
    </row>
    <row r="4720" spans="1:13">
      <c r="A4720" t="s">
        <v>851</v>
      </c>
      <c r="B4720" t="s">
        <v>686</v>
      </c>
      <c r="C4720" t="s">
        <v>686</v>
      </c>
      <c r="D4720" t="s">
        <v>3185</v>
      </c>
      <c r="E4720" t="s">
        <v>646</v>
      </c>
      <c r="F4720" t="s">
        <v>40</v>
      </c>
      <c r="G4720">
        <v>2030</v>
      </c>
      <c r="H4720" s="12">
        <v>52</v>
      </c>
      <c r="I4720" t="s">
        <v>3183</v>
      </c>
      <c r="J4720" t="s">
        <v>6</v>
      </c>
      <c r="K4720" t="s">
        <v>11</v>
      </c>
      <c r="L4720" t="s">
        <v>653</v>
      </c>
      <c r="M4720" t="s">
        <v>659</v>
      </c>
    </row>
    <row r="4721" spans="1:13">
      <c r="A4721" t="s">
        <v>851</v>
      </c>
      <c r="B4721" t="s">
        <v>686</v>
      </c>
      <c r="C4721" t="s">
        <v>686</v>
      </c>
      <c r="D4721" t="s">
        <v>3185</v>
      </c>
      <c r="E4721" t="s">
        <v>646</v>
      </c>
      <c r="F4721" t="s">
        <v>40</v>
      </c>
      <c r="G4721">
        <v>2035</v>
      </c>
      <c r="H4721" s="12">
        <v>62</v>
      </c>
      <c r="I4721" t="s">
        <v>3183</v>
      </c>
      <c r="J4721" t="s">
        <v>6</v>
      </c>
      <c r="K4721" t="s">
        <v>11</v>
      </c>
      <c r="L4721" t="s">
        <v>653</v>
      </c>
      <c r="M4721" t="s">
        <v>659</v>
      </c>
    </row>
    <row r="4722" spans="1:13">
      <c r="A4722" t="s">
        <v>851</v>
      </c>
      <c r="B4722" t="s">
        <v>686</v>
      </c>
      <c r="C4722" t="s">
        <v>686</v>
      </c>
      <c r="D4722" t="s">
        <v>3185</v>
      </c>
      <c r="E4722" t="s">
        <v>646</v>
      </c>
      <c r="F4722" t="s">
        <v>40</v>
      </c>
      <c r="G4722">
        <v>2040</v>
      </c>
      <c r="H4722" s="12">
        <v>70</v>
      </c>
      <c r="I4722" t="s">
        <v>3183</v>
      </c>
      <c r="J4722" t="s">
        <v>6</v>
      </c>
      <c r="K4722" t="s">
        <v>11</v>
      </c>
      <c r="L4722" t="s">
        <v>653</v>
      </c>
      <c r="M4722" t="s">
        <v>659</v>
      </c>
    </row>
    <row r="4723" spans="1:13">
      <c r="A4723" t="s">
        <v>851</v>
      </c>
      <c r="B4723" t="s">
        <v>686</v>
      </c>
      <c r="C4723" t="s">
        <v>686</v>
      </c>
      <c r="D4723" t="s">
        <v>3185</v>
      </c>
      <c r="E4723" t="s">
        <v>646</v>
      </c>
      <c r="F4723" t="s">
        <v>40</v>
      </c>
      <c r="G4723">
        <v>2045</v>
      </c>
      <c r="H4723" s="12">
        <v>75</v>
      </c>
      <c r="I4723" t="s">
        <v>3183</v>
      </c>
      <c r="J4723" t="s">
        <v>6</v>
      </c>
      <c r="K4723" t="s">
        <v>11</v>
      </c>
      <c r="L4723" t="s">
        <v>653</v>
      </c>
      <c r="M4723" t="s">
        <v>659</v>
      </c>
    </row>
    <row r="4724" spans="1:13">
      <c r="A4724" t="s">
        <v>851</v>
      </c>
      <c r="B4724" t="s">
        <v>686</v>
      </c>
      <c r="C4724" t="s">
        <v>686</v>
      </c>
      <c r="D4724" t="s">
        <v>3185</v>
      </c>
      <c r="E4724" t="s">
        <v>646</v>
      </c>
      <c r="F4724" t="s">
        <v>40</v>
      </c>
      <c r="G4724">
        <v>2050</v>
      </c>
      <c r="H4724" s="12">
        <v>77</v>
      </c>
      <c r="I4724" t="s">
        <v>3183</v>
      </c>
      <c r="J4724" t="s">
        <v>6</v>
      </c>
      <c r="K4724" t="s">
        <v>11</v>
      </c>
      <c r="L4724" t="s">
        <v>653</v>
      </c>
      <c r="M4724" t="s">
        <v>659</v>
      </c>
    </row>
    <row r="4725" spans="1:13">
      <c r="A4725" t="s">
        <v>851</v>
      </c>
      <c r="B4725" t="s">
        <v>687</v>
      </c>
      <c r="C4725" t="s">
        <v>687</v>
      </c>
      <c r="D4725" t="s">
        <v>3185</v>
      </c>
      <c r="E4725" t="s">
        <v>646</v>
      </c>
      <c r="F4725" t="s">
        <v>40</v>
      </c>
      <c r="G4725">
        <v>2030</v>
      </c>
      <c r="H4725" s="12">
        <v>44</v>
      </c>
      <c r="I4725" t="s">
        <v>3183</v>
      </c>
      <c r="J4725" t="s">
        <v>6</v>
      </c>
      <c r="K4725" t="s">
        <v>11</v>
      </c>
      <c r="L4725" t="s">
        <v>653</v>
      </c>
      <c r="M4725" t="s">
        <v>659</v>
      </c>
    </row>
    <row r="4726" spans="1:13">
      <c r="A4726" t="s">
        <v>851</v>
      </c>
      <c r="B4726" t="s">
        <v>687</v>
      </c>
      <c r="C4726" t="s">
        <v>687</v>
      </c>
      <c r="D4726" t="s">
        <v>3185</v>
      </c>
      <c r="E4726" t="s">
        <v>646</v>
      </c>
      <c r="F4726" t="s">
        <v>40</v>
      </c>
      <c r="G4726">
        <v>2035</v>
      </c>
      <c r="H4726" s="12">
        <v>44</v>
      </c>
      <c r="I4726" t="s">
        <v>3183</v>
      </c>
      <c r="J4726" t="s">
        <v>6</v>
      </c>
      <c r="K4726" t="s">
        <v>11</v>
      </c>
      <c r="L4726" t="s">
        <v>653</v>
      </c>
      <c r="M4726" t="s">
        <v>659</v>
      </c>
    </row>
    <row r="4727" spans="1:13">
      <c r="A4727" t="s">
        <v>851</v>
      </c>
      <c r="B4727" t="s">
        <v>687</v>
      </c>
      <c r="C4727" t="s">
        <v>687</v>
      </c>
      <c r="D4727" t="s">
        <v>3185</v>
      </c>
      <c r="E4727" t="s">
        <v>646</v>
      </c>
      <c r="F4727" t="s">
        <v>40</v>
      </c>
      <c r="G4727">
        <v>2040</v>
      </c>
      <c r="H4727" s="12">
        <v>42</v>
      </c>
      <c r="I4727" t="s">
        <v>3183</v>
      </c>
      <c r="J4727" t="s">
        <v>6</v>
      </c>
      <c r="K4727" t="s">
        <v>11</v>
      </c>
      <c r="L4727" t="s">
        <v>653</v>
      </c>
      <c r="M4727" t="s">
        <v>659</v>
      </c>
    </row>
    <row r="4728" spans="1:13">
      <c r="A4728" t="s">
        <v>851</v>
      </c>
      <c r="B4728" t="s">
        <v>687</v>
      </c>
      <c r="C4728" t="s">
        <v>687</v>
      </c>
      <c r="D4728" t="s">
        <v>3185</v>
      </c>
      <c r="E4728" t="s">
        <v>646</v>
      </c>
      <c r="F4728" t="s">
        <v>40</v>
      </c>
      <c r="G4728">
        <v>2045</v>
      </c>
      <c r="H4728" s="12">
        <v>38</v>
      </c>
      <c r="I4728" t="s">
        <v>3183</v>
      </c>
      <c r="J4728" t="s">
        <v>6</v>
      </c>
      <c r="K4728" t="s">
        <v>11</v>
      </c>
      <c r="L4728" t="s">
        <v>653</v>
      </c>
      <c r="M4728" t="s">
        <v>659</v>
      </c>
    </row>
    <row r="4729" spans="1:13">
      <c r="A4729" t="s">
        <v>851</v>
      </c>
      <c r="B4729" t="s">
        <v>686</v>
      </c>
      <c r="C4729" t="s">
        <v>686</v>
      </c>
      <c r="D4729" t="s">
        <v>3185</v>
      </c>
      <c r="E4729" t="s">
        <v>646</v>
      </c>
      <c r="F4729" t="s">
        <v>40</v>
      </c>
      <c r="G4729">
        <v>2010</v>
      </c>
      <c r="H4729" s="12">
        <v>224</v>
      </c>
      <c r="I4729" t="s">
        <v>3183</v>
      </c>
      <c r="J4729" t="s">
        <v>6</v>
      </c>
      <c r="K4729" t="s">
        <v>658</v>
      </c>
      <c r="L4729" t="s">
        <v>653</v>
      </c>
      <c r="M4729" t="s">
        <v>659</v>
      </c>
    </row>
    <row r="4730" spans="1:13">
      <c r="A4730" t="s">
        <v>851</v>
      </c>
      <c r="B4730" t="s">
        <v>686</v>
      </c>
      <c r="C4730" t="s">
        <v>686</v>
      </c>
      <c r="D4730" t="s">
        <v>3185</v>
      </c>
      <c r="E4730" t="s">
        <v>646</v>
      </c>
      <c r="F4730" t="s">
        <v>40</v>
      </c>
      <c r="G4730">
        <v>2015</v>
      </c>
      <c r="H4730" s="12">
        <v>439</v>
      </c>
      <c r="I4730" t="s">
        <v>3183</v>
      </c>
      <c r="J4730" t="s">
        <v>6</v>
      </c>
      <c r="K4730" t="s">
        <v>658</v>
      </c>
      <c r="L4730" t="s">
        <v>653</v>
      </c>
      <c r="M4730" t="s">
        <v>659</v>
      </c>
    </row>
    <row r="4731" spans="1:13">
      <c r="A4731" t="s">
        <v>851</v>
      </c>
      <c r="B4731" t="s">
        <v>686</v>
      </c>
      <c r="C4731" t="s">
        <v>686</v>
      </c>
      <c r="D4731" t="s">
        <v>3185</v>
      </c>
      <c r="E4731" t="s">
        <v>646</v>
      </c>
      <c r="F4731" t="s">
        <v>40</v>
      </c>
      <c r="G4731">
        <v>2020</v>
      </c>
      <c r="H4731" s="12">
        <v>643</v>
      </c>
      <c r="I4731" t="s">
        <v>3183</v>
      </c>
      <c r="J4731" t="s">
        <v>6</v>
      </c>
      <c r="K4731" t="s">
        <v>658</v>
      </c>
      <c r="L4731" t="s">
        <v>653</v>
      </c>
      <c r="M4731" t="s">
        <v>659</v>
      </c>
    </row>
    <row r="4732" spans="1:13">
      <c r="A4732" t="s">
        <v>851</v>
      </c>
      <c r="B4732" t="s">
        <v>686</v>
      </c>
      <c r="C4732" t="s">
        <v>686</v>
      </c>
      <c r="D4732" t="s">
        <v>3185</v>
      </c>
      <c r="E4732" t="s">
        <v>646</v>
      </c>
      <c r="F4732" t="s">
        <v>40</v>
      </c>
      <c r="G4732">
        <v>2030</v>
      </c>
      <c r="H4732" s="12">
        <v>934</v>
      </c>
      <c r="I4732" t="s">
        <v>3183</v>
      </c>
      <c r="J4732" t="s">
        <v>6</v>
      </c>
      <c r="K4732" t="s">
        <v>658</v>
      </c>
      <c r="L4732" t="s">
        <v>653</v>
      </c>
      <c r="M4732" t="s">
        <v>659</v>
      </c>
    </row>
    <row r="4733" spans="1:13">
      <c r="A4733" t="s">
        <v>851</v>
      </c>
      <c r="B4733" t="s">
        <v>686</v>
      </c>
      <c r="C4733" t="s">
        <v>686</v>
      </c>
      <c r="D4733" t="s">
        <v>3185</v>
      </c>
      <c r="E4733" t="s">
        <v>646</v>
      </c>
      <c r="F4733" t="s">
        <v>40</v>
      </c>
      <c r="G4733">
        <v>2035</v>
      </c>
      <c r="H4733" s="12">
        <v>1080</v>
      </c>
      <c r="I4733" t="s">
        <v>3183</v>
      </c>
      <c r="J4733" t="s">
        <v>6</v>
      </c>
      <c r="K4733" t="s">
        <v>658</v>
      </c>
      <c r="L4733" t="s">
        <v>653</v>
      </c>
      <c r="M4733" t="s">
        <v>659</v>
      </c>
    </row>
    <row r="4734" spans="1:13">
      <c r="A4734" t="s">
        <v>851</v>
      </c>
      <c r="B4734" t="s">
        <v>686</v>
      </c>
      <c r="C4734" t="s">
        <v>686</v>
      </c>
      <c r="D4734" t="s">
        <v>3185</v>
      </c>
      <c r="E4734" t="s">
        <v>646</v>
      </c>
      <c r="F4734" t="s">
        <v>40</v>
      </c>
      <c r="G4734">
        <v>2040</v>
      </c>
      <c r="H4734" s="12">
        <v>1255</v>
      </c>
      <c r="I4734" t="s">
        <v>3183</v>
      </c>
      <c r="J4734" t="s">
        <v>6</v>
      </c>
      <c r="K4734" t="s">
        <v>658</v>
      </c>
      <c r="L4734" t="s">
        <v>653</v>
      </c>
      <c r="M4734" t="s">
        <v>659</v>
      </c>
    </row>
    <row r="4735" spans="1:13">
      <c r="A4735" t="s">
        <v>851</v>
      </c>
      <c r="B4735" t="s">
        <v>686</v>
      </c>
      <c r="C4735" t="s">
        <v>686</v>
      </c>
      <c r="D4735" t="s">
        <v>3185</v>
      </c>
      <c r="E4735" t="s">
        <v>646</v>
      </c>
      <c r="F4735" t="s">
        <v>40</v>
      </c>
      <c r="G4735">
        <v>2045</v>
      </c>
      <c r="H4735" s="12">
        <v>1435</v>
      </c>
      <c r="I4735" t="s">
        <v>3183</v>
      </c>
      <c r="J4735" t="s">
        <v>6</v>
      </c>
      <c r="K4735" t="s">
        <v>658</v>
      </c>
      <c r="L4735" t="s">
        <v>653</v>
      </c>
      <c r="M4735" t="s">
        <v>659</v>
      </c>
    </row>
    <row r="4736" spans="1:13">
      <c r="A4736" t="s">
        <v>851</v>
      </c>
      <c r="B4736" t="s">
        <v>686</v>
      </c>
      <c r="C4736" t="s">
        <v>686</v>
      </c>
      <c r="D4736" t="s">
        <v>3185</v>
      </c>
      <c r="E4736" t="s">
        <v>646</v>
      </c>
      <c r="F4736" t="s">
        <v>40</v>
      </c>
      <c r="G4736">
        <v>2050</v>
      </c>
      <c r="H4736" s="12">
        <v>1616</v>
      </c>
      <c r="I4736" t="s">
        <v>3183</v>
      </c>
      <c r="J4736" t="s">
        <v>6</v>
      </c>
      <c r="K4736" t="s">
        <v>658</v>
      </c>
      <c r="L4736" t="s">
        <v>653</v>
      </c>
      <c r="M4736" t="s">
        <v>659</v>
      </c>
    </row>
    <row r="4737" spans="1:13">
      <c r="A4737" t="s">
        <v>851</v>
      </c>
      <c r="B4737" t="s">
        <v>687</v>
      </c>
      <c r="C4737" t="s">
        <v>687</v>
      </c>
      <c r="D4737" t="s">
        <v>3185</v>
      </c>
      <c r="E4737" t="s">
        <v>646</v>
      </c>
      <c r="F4737" t="s">
        <v>40</v>
      </c>
      <c r="G4737">
        <v>2030</v>
      </c>
      <c r="H4737" s="12">
        <v>818</v>
      </c>
      <c r="I4737" t="s">
        <v>3183</v>
      </c>
      <c r="J4737" t="s">
        <v>6</v>
      </c>
      <c r="K4737" t="s">
        <v>658</v>
      </c>
      <c r="L4737" t="s">
        <v>653</v>
      </c>
      <c r="M4737" t="s">
        <v>659</v>
      </c>
    </row>
    <row r="4738" spans="1:13">
      <c r="A4738" t="s">
        <v>851</v>
      </c>
      <c r="B4738" t="s">
        <v>687</v>
      </c>
      <c r="C4738" t="s">
        <v>687</v>
      </c>
      <c r="D4738" t="s">
        <v>3185</v>
      </c>
      <c r="E4738" t="s">
        <v>646</v>
      </c>
      <c r="F4738" t="s">
        <v>40</v>
      </c>
      <c r="G4738">
        <v>2035</v>
      </c>
      <c r="H4738" s="12">
        <v>895</v>
      </c>
      <c r="I4738" t="s">
        <v>3183</v>
      </c>
      <c r="J4738" t="s">
        <v>6</v>
      </c>
      <c r="K4738" t="s">
        <v>658</v>
      </c>
      <c r="L4738" t="s">
        <v>653</v>
      </c>
      <c r="M4738" t="s">
        <v>659</v>
      </c>
    </row>
    <row r="4739" spans="1:13">
      <c r="A4739" t="s">
        <v>851</v>
      </c>
      <c r="B4739" t="s">
        <v>687</v>
      </c>
      <c r="C4739" t="s">
        <v>687</v>
      </c>
      <c r="D4739" t="s">
        <v>3185</v>
      </c>
      <c r="E4739" t="s">
        <v>646</v>
      </c>
      <c r="F4739" t="s">
        <v>40</v>
      </c>
      <c r="G4739">
        <v>2040</v>
      </c>
      <c r="H4739" s="12">
        <v>1017</v>
      </c>
      <c r="I4739" t="s">
        <v>3183</v>
      </c>
      <c r="J4739" t="s">
        <v>6</v>
      </c>
      <c r="K4739" t="s">
        <v>658</v>
      </c>
      <c r="L4739" t="s">
        <v>653</v>
      </c>
      <c r="M4739" t="s">
        <v>659</v>
      </c>
    </row>
    <row r="4740" spans="1:13">
      <c r="A4740" t="s">
        <v>851</v>
      </c>
      <c r="B4740" t="s">
        <v>687</v>
      </c>
      <c r="C4740" t="s">
        <v>687</v>
      </c>
      <c r="D4740" t="s">
        <v>3185</v>
      </c>
      <c r="E4740" t="s">
        <v>646</v>
      </c>
      <c r="F4740" t="s">
        <v>40</v>
      </c>
      <c r="G4740">
        <v>2045</v>
      </c>
      <c r="H4740" s="12">
        <v>1124</v>
      </c>
      <c r="I4740" t="s">
        <v>3183</v>
      </c>
      <c r="J4740" t="s">
        <v>6</v>
      </c>
      <c r="K4740" t="s">
        <v>658</v>
      </c>
      <c r="L4740" t="s">
        <v>653</v>
      </c>
      <c r="M4740" t="s">
        <v>659</v>
      </c>
    </row>
    <row r="4741" spans="1:13">
      <c r="A4741" t="s">
        <v>851</v>
      </c>
      <c r="B4741" t="s">
        <v>687</v>
      </c>
      <c r="C4741" t="s">
        <v>687</v>
      </c>
      <c r="D4741" t="s">
        <v>3185</v>
      </c>
      <c r="E4741" t="s">
        <v>646</v>
      </c>
      <c r="F4741" t="s">
        <v>40</v>
      </c>
      <c r="G4741">
        <v>2050</v>
      </c>
      <c r="H4741" s="12">
        <v>1206</v>
      </c>
      <c r="I4741" t="s">
        <v>3183</v>
      </c>
      <c r="J4741" t="s">
        <v>6</v>
      </c>
      <c r="K4741" t="s">
        <v>658</v>
      </c>
      <c r="L4741" t="s">
        <v>653</v>
      </c>
      <c r="M4741" t="s">
        <v>659</v>
      </c>
    </row>
    <row r="4742" spans="1:13">
      <c r="A4742" t="s">
        <v>851</v>
      </c>
      <c r="B4742" t="s">
        <v>686</v>
      </c>
      <c r="C4742" t="s">
        <v>686</v>
      </c>
      <c r="D4742" t="s">
        <v>3185</v>
      </c>
      <c r="E4742" t="s">
        <v>646</v>
      </c>
      <c r="F4742" t="s">
        <v>40</v>
      </c>
      <c r="G4742">
        <v>2010</v>
      </c>
      <c r="H4742" s="12">
        <v>144</v>
      </c>
      <c r="I4742" t="s">
        <v>3183</v>
      </c>
      <c r="J4742" t="s">
        <v>5</v>
      </c>
      <c r="K4742" t="s">
        <v>658</v>
      </c>
      <c r="L4742" t="s">
        <v>653</v>
      </c>
      <c r="M4742" t="s">
        <v>5</v>
      </c>
    </row>
    <row r="4743" spans="1:13">
      <c r="A4743" t="s">
        <v>851</v>
      </c>
      <c r="B4743" t="s">
        <v>686</v>
      </c>
      <c r="C4743" t="s">
        <v>686</v>
      </c>
      <c r="D4743" t="s">
        <v>3185</v>
      </c>
      <c r="E4743" t="s">
        <v>646</v>
      </c>
      <c r="F4743" t="s">
        <v>40</v>
      </c>
      <c r="G4743">
        <v>2015</v>
      </c>
      <c r="H4743" s="12">
        <v>231</v>
      </c>
      <c r="I4743" t="s">
        <v>3183</v>
      </c>
      <c r="J4743" t="s">
        <v>5</v>
      </c>
      <c r="K4743" t="s">
        <v>658</v>
      </c>
      <c r="L4743" t="s">
        <v>653</v>
      </c>
      <c r="M4743" t="s">
        <v>5</v>
      </c>
    </row>
    <row r="4744" spans="1:13">
      <c r="A4744" t="s">
        <v>851</v>
      </c>
      <c r="B4744" t="s">
        <v>686</v>
      </c>
      <c r="C4744" t="s">
        <v>686</v>
      </c>
      <c r="D4744" t="s">
        <v>3185</v>
      </c>
      <c r="E4744" t="s">
        <v>646</v>
      </c>
      <c r="F4744" t="s">
        <v>40</v>
      </c>
      <c r="G4744">
        <v>2020</v>
      </c>
      <c r="H4744" s="12">
        <v>162</v>
      </c>
      <c r="I4744" t="s">
        <v>3183</v>
      </c>
      <c r="J4744" t="s">
        <v>5</v>
      </c>
      <c r="K4744" t="s">
        <v>658</v>
      </c>
      <c r="L4744" t="s">
        <v>653</v>
      </c>
      <c r="M4744" t="s">
        <v>5</v>
      </c>
    </row>
    <row r="4745" spans="1:13">
      <c r="A4745" t="s">
        <v>851</v>
      </c>
      <c r="B4745" t="s">
        <v>686</v>
      </c>
      <c r="C4745" t="s">
        <v>686</v>
      </c>
      <c r="D4745" t="s">
        <v>3185</v>
      </c>
      <c r="E4745" t="s">
        <v>646</v>
      </c>
      <c r="F4745" t="s">
        <v>40</v>
      </c>
      <c r="G4745">
        <v>2030</v>
      </c>
      <c r="H4745" s="12">
        <v>98</v>
      </c>
      <c r="I4745" t="s">
        <v>3183</v>
      </c>
      <c r="J4745" t="s">
        <v>5</v>
      </c>
      <c r="K4745" t="s">
        <v>658</v>
      </c>
      <c r="L4745" t="s">
        <v>653</v>
      </c>
      <c r="M4745" t="s">
        <v>5</v>
      </c>
    </row>
    <row r="4746" spans="1:13">
      <c r="A4746" t="s">
        <v>851</v>
      </c>
      <c r="B4746" t="s">
        <v>686</v>
      </c>
      <c r="C4746" t="s">
        <v>686</v>
      </c>
      <c r="D4746" t="s">
        <v>3185</v>
      </c>
      <c r="E4746" t="s">
        <v>646</v>
      </c>
      <c r="F4746" t="s">
        <v>40</v>
      </c>
      <c r="G4746">
        <v>2035</v>
      </c>
      <c r="H4746" s="12">
        <v>73</v>
      </c>
      <c r="I4746" t="s">
        <v>3183</v>
      </c>
      <c r="J4746" t="s">
        <v>5</v>
      </c>
      <c r="K4746" t="s">
        <v>658</v>
      </c>
      <c r="L4746" t="s">
        <v>653</v>
      </c>
      <c r="M4746" t="s">
        <v>5</v>
      </c>
    </row>
    <row r="4747" spans="1:13">
      <c r="A4747" t="s">
        <v>851</v>
      </c>
      <c r="B4747" t="s">
        <v>686</v>
      </c>
      <c r="C4747" t="s">
        <v>686</v>
      </c>
      <c r="D4747" t="s">
        <v>3185</v>
      </c>
      <c r="E4747" t="s">
        <v>646</v>
      </c>
      <c r="F4747" t="s">
        <v>40</v>
      </c>
      <c r="G4747">
        <v>2040</v>
      </c>
      <c r="H4747" s="12">
        <v>59</v>
      </c>
      <c r="I4747" t="s">
        <v>3183</v>
      </c>
      <c r="J4747" t="s">
        <v>5</v>
      </c>
      <c r="K4747" t="s">
        <v>658</v>
      </c>
      <c r="L4747" t="s">
        <v>653</v>
      </c>
      <c r="M4747" t="s">
        <v>5</v>
      </c>
    </row>
    <row r="4748" spans="1:13">
      <c r="A4748" t="s">
        <v>851</v>
      </c>
      <c r="B4748" t="s">
        <v>686</v>
      </c>
      <c r="C4748" t="s">
        <v>686</v>
      </c>
      <c r="D4748" t="s">
        <v>3185</v>
      </c>
      <c r="E4748" t="s">
        <v>646</v>
      </c>
      <c r="F4748" t="s">
        <v>40</v>
      </c>
      <c r="G4748">
        <v>2045</v>
      </c>
      <c r="H4748" s="12">
        <v>51</v>
      </c>
      <c r="I4748" t="s">
        <v>3183</v>
      </c>
      <c r="J4748" t="s">
        <v>5</v>
      </c>
      <c r="K4748" t="s">
        <v>658</v>
      </c>
      <c r="L4748" t="s">
        <v>653</v>
      </c>
      <c r="M4748" t="s">
        <v>5</v>
      </c>
    </row>
    <row r="4749" spans="1:13">
      <c r="A4749" t="s">
        <v>851</v>
      </c>
      <c r="B4749" t="s">
        <v>686</v>
      </c>
      <c r="C4749" t="s">
        <v>686</v>
      </c>
      <c r="D4749" t="s">
        <v>3185</v>
      </c>
      <c r="E4749" t="s">
        <v>646</v>
      </c>
      <c r="F4749" t="s">
        <v>40</v>
      </c>
      <c r="G4749">
        <v>2010</v>
      </c>
      <c r="H4749" s="12">
        <v>858</v>
      </c>
      <c r="I4749" t="s">
        <v>3183</v>
      </c>
      <c r="J4749" t="s">
        <v>344</v>
      </c>
      <c r="K4749" t="s">
        <v>9</v>
      </c>
      <c r="L4749" t="s">
        <v>653</v>
      </c>
      <c r="M4749" t="s">
        <v>10</v>
      </c>
    </row>
    <row r="4750" spans="1:13">
      <c r="A4750" t="s">
        <v>851</v>
      </c>
      <c r="B4750" t="s">
        <v>686</v>
      </c>
      <c r="C4750" t="s">
        <v>686</v>
      </c>
      <c r="D4750" t="s">
        <v>3185</v>
      </c>
      <c r="E4750" t="s">
        <v>646</v>
      </c>
      <c r="F4750" t="s">
        <v>40</v>
      </c>
      <c r="G4750">
        <v>2015</v>
      </c>
      <c r="H4750" s="12">
        <v>885</v>
      </c>
      <c r="I4750" t="s">
        <v>3183</v>
      </c>
      <c r="J4750" t="s">
        <v>344</v>
      </c>
      <c r="K4750" t="s">
        <v>9</v>
      </c>
      <c r="L4750" t="s">
        <v>653</v>
      </c>
      <c r="M4750" t="s">
        <v>10</v>
      </c>
    </row>
    <row r="4751" spans="1:13">
      <c r="A4751" t="s">
        <v>851</v>
      </c>
      <c r="B4751" t="s">
        <v>686</v>
      </c>
      <c r="C4751" t="s">
        <v>686</v>
      </c>
      <c r="D4751" t="s">
        <v>3185</v>
      </c>
      <c r="E4751" t="s">
        <v>646</v>
      </c>
      <c r="F4751" t="s">
        <v>40</v>
      </c>
      <c r="G4751">
        <v>2010</v>
      </c>
      <c r="H4751" s="12">
        <v>659</v>
      </c>
      <c r="I4751" t="s">
        <v>3183</v>
      </c>
      <c r="J4751" t="s">
        <v>5</v>
      </c>
      <c r="K4751" t="s">
        <v>9</v>
      </c>
      <c r="L4751" t="s">
        <v>653</v>
      </c>
      <c r="M4751" t="s">
        <v>665</v>
      </c>
    </row>
    <row r="4752" spans="1:13">
      <c r="A4752" t="s">
        <v>851</v>
      </c>
      <c r="B4752" t="s">
        <v>686</v>
      </c>
      <c r="C4752" t="s">
        <v>686</v>
      </c>
      <c r="D4752" t="s">
        <v>3185</v>
      </c>
      <c r="E4752" t="s">
        <v>646</v>
      </c>
      <c r="F4752" t="s">
        <v>40</v>
      </c>
      <c r="G4752">
        <v>2015</v>
      </c>
      <c r="H4752" s="12">
        <v>673</v>
      </c>
      <c r="I4752" t="s">
        <v>3183</v>
      </c>
      <c r="J4752" t="s">
        <v>5</v>
      </c>
      <c r="K4752" t="s">
        <v>9</v>
      </c>
      <c r="L4752" t="s">
        <v>653</v>
      </c>
      <c r="M4752" t="s">
        <v>665</v>
      </c>
    </row>
    <row r="4753" spans="1:13">
      <c r="A4753" t="s">
        <v>851</v>
      </c>
      <c r="B4753" t="s">
        <v>686</v>
      </c>
      <c r="C4753" t="s">
        <v>686</v>
      </c>
      <c r="D4753" t="s">
        <v>3185</v>
      </c>
      <c r="E4753" t="s">
        <v>646</v>
      </c>
      <c r="F4753" t="s">
        <v>40</v>
      </c>
      <c r="G4753">
        <v>2020</v>
      </c>
      <c r="H4753" s="12">
        <v>693</v>
      </c>
      <c r="I4753" t="s">
        <v>3183</v>
      </c>
      <c r="J4753" t="s">
        <v>5</v>
      </c>
      <c r="K4753" t="s">
        <v>9</v>
      </c>
      <c r="L4753" t="s">
        <v>653</v>
      </c>
      <c r="M4753" t="s">
        <v>665</v>
      </c>
    </row>
    <row r="4754" spans="1:13">
      <c r="A4754" t="s">
        <v>851</v>
      </c>
      <c r="B4754" t="s">
        <v>686</v>
      </c>
      <c r="C4754" t="s">
        <v>686</v>
      </c>
      <c r="D4754" t="s">
        <v>3185</v>
      </c>
      <c r="E4754" t="s">
        <v>646</v>
      </c>
      <c r="F4754" t="s">
        <v>40</v>
      </c>
      <c r="G4754">
        <v>2030</v>
      </c>
      <c r="H4754" s="12">
        <v>1011</v>
      </c>
      <c r="I4754" t="s">
        <v>3183</v>
      </c>
      <c r="J4754" t="s">
        <v>5</v>
      </c>
      <c r="K4754" t="s">
        <v>9</v>
      </c>
      <c r="L4754" t="s">
        <v>653</v>
      </c>
      <c r="M4754" t="s">
        <v>665</v>
      </c>
    </row>
    <row r="4755" spans="1:13">
      <c r="A4755" t="s">
        <v>851</v>
      </c>
      <c r="B4755" t="s">
        <v>686</v>
      </c>
      <c r="C4755" t="s">
        <v>686</v>
      </c>
      <c r="D4755" t="s">
        <v>3185</v>
      </c>
      <c r="E4755" t="s">
        <v>646</v>
      </c>
      <c r="F4755" t="s">
        <v>40</v>
      </c>
      <c r="G4755">
        <v>2035</v>
      </c>
      <c r="H4755" s="12">
        <v>1163</v>
      </c>
      <c r="I4755" t="s">
        <v>3183</v>
      </c>
      <c r="J4755" t="s">
        <v>5</v>
      </c>
      <c r="K4755" t="s">
        <v>9</v>
      </c>
      <c r="L4755" t="s">
        <v>653</v>
      </c>
      <c r="M4755" t="s">
        <v>665</v>
      </c>
    </row>
    <row r="4756" spans="1:13">
      <c r="A4756" t="s">
        <v>851</v>
      </c>
      <c r="B4756" t="s">
        <v>686</v>
      </c>
      <c r="C4756" t="s">
        <v>686</v>
      </c>
      <c r="D4756" t="s">
        <v>3185</v>
      </c>
      <c r="E4756" t="s">
        <v>646</v>
      </c>
      <c r="F4756" t="s">
        <v>40</v>
      </c>
      <c r="G4756">
        <v>2040</v>
      </c>
      <c r="H4756" s="12">
        <v>1300</v>
      </c>
      <c r="I4756" t="s">
        <v>3183</v>
      </c>
      <c r="J4756" t="s">
        <v>5</v>
      </c>
      <c r="K4756" t="s">
        <v>9</v>
      </c>
      <c r="L4756" t="s">
        <v>653</v>
      </c>
      <c r="M4756" t="s">
        <v>665</v>
      </c>
    </row>
    <row r="4757" spans="1:13">
      <c r="A4757" t="s">
        <v>851</v>
      </c>
      <c r="B4757" t="s">
        <v>686</v>
      </c>
      <c r="C4757" t="s">
        <v>686</v>
      </c>
      <c r="D4757" t="s">
        <v>3185</v>
      </c>
      <c r="E4757" t="s">
        <v>646</v>
      </c>
      <c r="F4757" t="s">
        <v>40</v>
      </c>
      <c r="G4757">
        <v>2045</v>
      </c>
      <c r="H4757" s="12">
        <v>1419</v>
      </c>
      <c r="I4757" t="s">
        <v>3183</v>
      </c>
      <c r="J4757" t="s">
        <v>5</v>
      </c>
      <c r="K4757" t="s">
        <v>9</v>
      </c>
      <c r="L4757" t="s">
        <v>653</v>
      </c>
      <c r="M4757" t="s">
        <v>665</v>
      </c>
    </row>
    <row r="4758" spans="1:13">
      <c r="A4758" t="s">
        <v>851</v>
      </c>
      <c r="B4758" t="s">
        <v>686</v>
      </c>
      <c r="C4758" t="s">
        <v>686</v>
      </c>
      <c r="D4758" t="s">
        <v>3185</v>
      </c>
      <c r="E4758" t="s">
        <v>646</v>
      </c>
      <c r="F4758" t="s">
        <v>40</v>
      </c>
      <c r="G4758">
        <v>2050</v>
      </c>
      <c r="H4758" s="12">
        <v>1528</v>
      </c>
      <c r="I4758" t="s">
        <v>3183</v>
      </c>
      <c r="J4758" t="s">
        <v>5</v>
      </c>
      <c r="K4758" t="s">
        <v>9</v>
      </c>
      <c r="L4758" t="s">
        <v>653</v>
      </c>
      <c r="M4758" t="s">
        <v>665</v>
      </c>
    </row>
    <row r="4759" spans="1:13">
      <c r="A4759" t="s">
        <v>851</v>
      </c>
      <c r="B4759" t="s">
        <v>687</v>
      </c>
      <c r="C4759" t="s">
        <v>687</v>
      </c>
      <c r="D4759" t="s">
        <v>3185</v>
      </c>
      <c r="E4759" t="s">
        <v>646</v>
      </c>
      <c r="F4759" t="s">
        <v>40</v>
      </c>
      <c r="G4759">
        <v>2030</v>
      </c>
      <c r="H4759" s="12">
        <v>745</v>
      </c>
      <c r="I4759" t="s">
        <v>3183</v>
      </c>
      <c r="J4759" t="s">
        <v>5</v>
      </c>
      <c r="K4759" t="s">
        <v>9</v>
      </c>
      <c r="L4759" t="s">
        <v>653</v>
      </c>
      <c r="M4759" t="s">
        <v>665</v>
      </c>
    </row>
    <row r="4760" spans="1:13">
      <c r="A4760" t="s">
        <v>851</v>
      </c>
      <c r="B4760" t="s">
        <v>687</v>
      </c>
      <c r="C4760" t="s">
        <v>687</v>
      </c>
      <c r="D4760" t="s">
        <v>3185</v>
      </c>
      <c r="E4760" t="s">
        <v>646</v>
      </c>
      <c r="F4760" t="s">
        <v>40</v>
      </c>
      <c r="G4760">
        <v>2035</v>
      </c>
      <c r="H4760" s="12">
        <v>713</v>
      </c>
      <c r="I4760" t="s">
        <v>3183</v>
      </c>
      <c r="J4760" t="s">
        <v>5</v>
      </c>
      <c r="K4760" t="s">
        <v>9</v>
      </c>
      <c r="L4760" t="s">
        <v>653</v>
      </c>
      <c r="M4760" t="s">
        <v>665</v>
      </c>
    </row>
    <row r="4761" spans="1:13">
      <c r="A4761" t="s">
        <v>851</v>
      </c>
      <c r="B4761" t="s">
        <v>687</v>
      </c>
      <c r="C4761" t="s">
        <v>687</v>
      </c>
      <c r="D4761" t="s">
        <v>3185</v>
      </c>
      <c r="E4761" t="s">
        <v>646</v>
      </c>
      <c r="F4761" t="s">
        <v>40</v>
      </c>
      <c r="G4761">
        <v>2040</v>
      </c>
      <c r="H4761" s="12">
        <v>654</v>
      </c>
      <c r="I4761" t="s">
        <v>3183</v>
      </c>
      <c r="J4761" t="s">
        <v>5</v>
      </c>
      <c r="K4761" t="s">
        <v>9</v>
      </c>
      <c r="L4761" t="s">
        <v>653</v>
      </c>
      <c r="M4761" t="s">
        <v>665</v>
      </c>
    </row>
    <row r="4762" spans="1:13">
      <c r="A4762" t="s">
        <v>851</v>
      </c>
      <c r="B4762" t="s">
        <v>687</v>
      </c>
      <c r="C4762" t="s">
        <v>687</v>
      </c>
      <c r="D4762" t="s">
        <v>3185</v>
      </c>
      <c r="E4762" t="s">
        <v>646</v>
      </c>
      <c r="F4762" t="s">
        <v>40</v>
      </c>
      <c r="G4762">
        <v>2045</v>
      </c>
      <c r="H4762" s="12">
        <v>571</v>
      </c>
      <c r="I4762" t="s">
        <v>3183</v>
      </c>
      <c r="J4762" t="s">
        <v>5</v>
      </c>
      <c r="K4762" t="s">
        <v>9</v>
      </c>
      <c r="L4762" t="s">
        <v>653</v>
      </c>
      <c r="M4762" t="s">
        <v>665</v>
      </c>
    </row>
    <row r="4763" spans="1:13">
      <c r="A4763" t="s">
        <v>851</v>
      </c>
      <c r="B4763" t="s">
        <v>687</v>
      </c>
      <c r="C4763" t="s">
        <v>687</v>
      </c>
      <c r="D4763" t="s">
        <v>3185</v>
      </c>
      <c r="E4763" t="s">
        <v>646</v>
      </c>
      <c r="F4763" t="s">
        <v>40</v>
      </c>
      <c r="G4763">
        <v>2050</v>
      </c>
      <c r="H4763" s="12">
        <v>469</v>
      </c>
      <c r="I4763" t="s">
        <v>3183</v>
      </c>
      <c r="J4763" t="s">
        <v>5</v>
      </c>
      <c r="K4763" t="s">
        <v>9</v>
      </c>
      <c r="L4763" t="s">
        <v>653</v>
      </c>
      <c r="M4763" t="s">
        <v>665</v>
      </c>
    </row>
    <row r="4764" spans="1:13">
      <c r="A4764" t="s">
        <v>851</v>
      </c>
      <c r="B4764" t="s">
        <v>686</v>
      </c>
      <c r="C4764" t="s">
        <v>686</v>
      </c>
      <c r="D4764" t="s">
        <v>3185</v>
      </c>
      <c r="E4764" t="s">
        <v>646</v>
      </c>
      <c r="F4764" t="s">
        <v>40</v>
      </c>
      <c r="G4764">
        <v>2010</v>
      </c>
      <c r="H4764" s="12">
        <v>17</v>
      </c>
      <c r="I4764" t="s">
        <v>3183</v>
      </c>
      <c r="J4764" t="s">
        <v>344</v>
      </c>
      <c r="K4764" t="s">
        <v>11</v>
      </c>
      <c r="L4764" t="s">
        <v>653</v>
      </c>
      <c r="M4764" t="s">
        <v>10</v>
      </c>
    </row>
    <row r="4765" spans="1:13">
      <c r="A4765" t="s">
        <v>851</v>
      </c>
      <c r="B4765" t="s">
        <v>686</v>
      </c>
      <c r="C4765" t="s">
        <v>686</v>
      </c>
      <c r="D4765" t="s">
        <v>3185</v>
      </c>
      <c r="E4765" t="s">
        <v>646</v>
      </c>
      <c r="F4765" t="s">
        <v>40</v>
      </c>
      <c r="G4765">
        <v>2015</v>
      </c>
      <c r="H4765" s="12">
        <v>20</v>
      </c>
      <c r="I4765" t="s">
        <v>3183</v>
      </c>
      <c r="J4765" t="s">
        <v>344</v>
      </c>
      <c r="K4765" t="s">
        <v>11</v>
      </c>
      <c r="L4765" t="s">
        <v>653</v>
      </c>
      <c r="M4765" t="s">
        <v>10</v>
      </c>
    </row>
    <row r="4766" spans="1:13">
      <c r="A4766" t="s">
        <v>851</v>
      </c>
      <c r="B4766" t="s">
        <v>686</v>
      </c>
      <c r="C4766" t="s">
        <v>686</v>
      </c>
      <c r="D4766" t="s">
        <v>3185</v>
      </c>
      <c r="E4766" t="s">
        <v>646</v>
      </c>
      <c r="F4766" t="s">
        <v>40</v>
      </c>
      <c r="G4766">
        <v>2020</v>
      </c>
      <c r="H4766" s="12">
        <v>18</v>
      </c>
      <c r="I4766" t="s">
        <v>3183</v>
      </c>
      <c r="J4766" t="s">
        <v>344</v>
      </c>
      <c r="K4766" t="s">
        <v>11</v>
      </c>
      <c r="L4766" t="s">
        <v>653</v>
      </c>
      <c r="M4766" t="s">
        <v>10</v>
      </c>
    </row>
    <row r="4767" spans="1:13">
      <c r="A4767" t="s">
        <v>851</v>
      </c>
      <c r="B4767" t="s">
        <v>686</v>
      </c>
      <c r="C4767" t="s">
        <v>686</v>
      </c>
      <c r="D4767" t="s">
        <v>3185</v>
      </c>
      <c r="E4767" t="s">
        <v>646</v>
      </c>
      <c r="F4767" t="s">
        <v>40</v>
      </c>
      <c r="G4767">
        <v>2030</v>
      </c>
      <c r="H4767" s="12">
        <v>41</v>
      </c>
      <c r="I4767" t="s">
        <v>3183</v>
      </c>
      <c r="J4767" t="s">
        <v>344</v>
      </c>
      <c r="K4767" t="s">
        <v>11</v>
      </c>
      <c r="L4767" t="s">
        <v>653</v>
      </c>
      <c r="M4767" t="s">
        <v>10</v>
      </c>
    </row>
    <row r="4768" spans="1:13">
      <c r="A4768" t="s">
        <v>851</v>
      </c>
      <c r="B4768" t="s">
        <v>686</v>
      </c>
      <c r="C4768" t="s">
        <v>686</v>
      </c>
      <c r="D4768" t="s">
        <v>3185</v>
      </c>
      <c r="E4768" t="s">
        <v>646</v>
      </c>
      <c r="F4768" t="s">
        <v>40</v>
      </c>
      <c r="G4768">
        <v>2035</v>
      </c>
      <c r="H4768" s="12">
        <v>77</v>
      </c>
      <c r="I4768" t="s">
        <v>3183</v>
      </c>
      <c r="J4768" t="s">
        <v>344</v>
      </c>
      <c r="K4768" t="s">
        <v>11</v>
      </c>
      <c r="L4768" t="s">
        <v>653</v>
      </c>
      <c r="M4768" t="s">
        <v>10</v>
      </c>
    </row>
    <row r="4769" spans="1:13">
      <c r="A4769" t="s">
        <v>851</v>
      </c>
      <c r="B4769" t="s">
        <v>686</v>
      </c>
      <c r="C4769" t="s">
        <v>686</v>
      </c>
      <c r="D4769" t="s">
        <v>3185</v>
      </c>
      <c r="E4769" t="s">
        <v>646</v>
      </c>
      <c r="F4769" t="s">
        <v>40</v>
      </c>
      <c r="G4769">
        <v>2040</v>
      </c>
      <c r="H4769" s="12">
        <v>127</v>
      </c>
      <c r="I4769" t="s">
        <v>3183</v>
      </c>
      <c r="J4769" t="s">
        <v>344</v>
      </c>
      <c r="K4769" t="s">
        <v>11</v>
      </c>
      <c r="L4769" t="s">
        <v>653</v>
      </c>
      <c r="M4769" t="s">
        <v>10</v>
      </c>
    </row>
    <row r="4770" spans="1:13">
      <c r="A4770" t="s">
        <v>851</v>
      </c>
      <c r="B4770" t="s">
        <v>686</v>
      </c>
      <c r="C4770" t="s">
        <v>686</v>
      </c>
      <c r="D4770" t="s">
        <v>3185</v>
      </c>
      <c r="E4770" t="s">
        <v>646</v>
      </c>
      <c r="F4770" t="s">
        <v>40</v>
      </c>
      <c r="G4770">
        <v>2045</v>
      </c>
      <c r="H4770" s="12">
        <v>199</v>
      </c>
      <c r="I4770" t="s">
        <v>3183</v>
      </c>
      <c r="J4770" t="s">
        <v>344</v>
      </c>
      <c r="K4770" t="s">
        <v>11</v>
      </c>
      <c r="L4770" t="s">
        <v>653</v>
      </c>
      <c r="M4770" t="s">
        <v>10</v>
      </c>
    </row>
    <row r="4771" spans="1:13">
      <c r="A4771" t="s">
        <v>851</v>
      </c>
      <c r="B4771" t="s">
        <v>686</v>
      </c>
      <c r="C4771" t="s">
        <v>686</v>
      </c>
      <c r="D4771" t="s">
        <v>3185</v>
      </c>
      <c r="E4771" t="s">
        <v>646</v>
      </c>
      <c r="F4771" t="s">
        <v>40</v>
      </c>
      <c r="G4771">
        <v>2050</v>
      </c>
      <c r="H4771" s="12">
        <v>307</v>
      </c>
      <c r="I4771" t="s">
        <v>3183</v>
      </c>
      <c r="J4771" t="s">
        <v>344</v>
      </c>
      <c r="K4771" t="s">
        <v>11</v>
      </c>
      <c r="L4771" t="s">
        <v>653</v>
      </c>
      <c r="M4771" t="s">
        <v>10</v>
      </c>
    </row>
    <row r="4772" spans="1:13">
      <c r="A4772" t="s">
        <v>851</v>
      </c>
      <c r="B4772" t="s">
        <v>687</v>
      </c>
      <c r="C4772" t="s">
        <v>687</v>
      </c>
      <c r="D4772" t="s">
        <v>3185</v>
      </c>
      <c r="E4772" t="s">
        <v>646</v>
      </c>
      <c r="F4772" t="s">
        <v>40</v>
      </c>
      <c r="G4772">
        <v>2030</v>
      </c>
      <c r="H4772" s="12">
        <v>80</v>
      </c>
      <c r="I4772" t="s">
        <v>3183</v>
      </c>
      <c r="J4772" t="s">
        <v>344</v>
      </c>
      <c r="K4772" t="s">
        <v>11</v>
      </c>
      <c r="L4772" t="s">
        <v>653</v>
      </c>
      <c r="M4772" t="s">
        <v>10</v>
      </c>
    </row>
    <row r="4773" spans="1:13">
      <c r="A4773" t="s">
        <v>851</v>
      </c>
      <c r="B4773" t="s">
        <v>687</v>
      </c>
      <c r="C4773" t="s">
        <v>687</v>
      </c>
      <c r="D4773" t="s">
        <v>3185</v>
      </c>
      <c r="E4773" t="s">
        <v>646</v>
      </c>
      <c r="F4773" t="s">
        <v>40</v>
      </c>
      <c r="G4773">
        <v>2035</v>
      </c>
      <c r="H4773" s="12">
        <v>227</v>
      </c>
      <c r="I4773" t="s">
        <v>3183</v>
      </c>
      <c r="J4773" t="s">
        <v>344</v>
      </c>
      <c r="K4773" t="s">
        <v>11</v>
      </c>
      <c r="L4773" t="s">
        <v>653</v>
      </c>
      <c r="M4773" t="s">
        <v>10</v>
      </c>
    </row>
    <row r="4774" spans="1:13">
      <c r="A4774" t="s">
        <v>851</v>
      </c>
      <c r="B4774" t="s">
        <v>687</v>
      </c>
      <c r="C4774" t="s">
        <v>687</v>
      </c>
      <c r="D4774" t="s">
        <v>3185</v>
      </c>
      <c r="E4774" t="s">
        <v>646</v>
      </c>
      <c r="F4774" t="s">
        <v>40</v>
      </c>
      <c r="G4774">
        <v>2040</v>
      </c>
      <c r="H4774" s="12">
        <v>467</v>
      </c>
      <c r="I4774" t="s">
        <v>3183</v>
      </c>
      <c r="J4774" t="s">
        <v>344</v>
      </c>
      <c r="K4774" t="s">
        <v>11</v>
      </c>
      <c r="L4774" t="s">
        <v>653</v>
      </c>
      <c r="M4774" t="s">
        <v>10</v>
      </c>
    </row>
    <row r="4775" spans="1:13">
      <c r="A4775" t="s">
        <v>851</v>
      </c>
      <c r="B4775" t="s">
        <v>687</v>
      </c>
      <c r="C4775" t="s">
        <v>687</v>
      </c>
      <c r="D4775" t="s">
        <v>3185</v>
      </c>
      <c r="E4775" t="s">
        <v>646</v>
      </c>
      <c r="F4775" t="s">
        <v>40</v>
      </c>
      <c r="G4775">
        <v>2045</v>
      </c>
      <c r="H4775" s="12">
        <v>868</v>
      </c>
      <c r="I4775" t="s">
        <v>3183</v>
      </c>
      <c r="J4775" t="s">
        <v>344</v>
      </c>
      <c r="K4775" t="s">
        <v>11</v>
      </c>
      <c r="L4775" t="s">
        <v>653</v>
      </c>
      <c r="M4775" t="s">
        <v>10</v>
      </c>
    </row>
    <row r="4776" spans="1:13">
      <c r="A4776" t="s">
        <v>851</v>
      </c>
      <c r="B4776" t="s">
        <v>687</v>
      </c>
      <c r="C4776" t="s">
        <v>687</v>
      </c>
      <c r="D4776" t="s">
        <v>3185</v>
      </c>
      <c r="E4776" t="s">
        <v>646</v>
      </c>
      <c r="F4776" t="s">
        <v>40</v>
      </c>
      <c r="G4776">
        <v>2050</v>
      </c>
      <c r="H4776" s="12">
        <v>1785</v>
      </c>
      <c r="I4776" t="s">
        <v>3183</v>
      </c>
      <c r="J4776" t="s">
        <v>344</v>
      </c>
      <c r="K4776" t="s">
        <v>11</v>
      </c>
      <c r="L4776" t="s">
        <v>653</v>
      </c>
      <c r="M4776" t="s">
        <v>10</v>
      </c>
    </row>
    <row r="4777" spans="1:13">
      <c r="A4777" t="s">
        <v>851</v>
      </c>
      <c r="B4777" t="s">
        <v>687</v>
      </c>
      <c r="C4777" t="s">
        <v>687</v>
      </c>
      <c r="D4777" t="s">
        <v>3185</v>
      </c>
      <c r="E4777" t="s">
        <v>646</v>
      </c>
      <c r="F4777" t="s">
        <v>40</v>
      </c>
      <c r="G4777">
        <v>2050</v>
      </c>
      <c r="H4777" s="12">
        <v>34</v>
      </c>
      <c r="I4777" t="s">
        <v>3183</v>
      </c>
      <c r="J4777" t="s">
        <v>6</v>
      </c>
      <c r="K4777" t="s">
        <v>11</v>
      </c>
      <c r="L4777" t="s">
        <v>653</v>
      </c>
      <c r="M4777" t="s">
        <v>659</v>
      </c>
    </row>
    <row r="4778" spans="1:13">
      <c r="A4778" t="s">
        <v>851</v>
      </c>
      <c r="B4778" t="s">
        <v>686</v>
      </c>
      <c r="C4778" t="s">
        <v>686</v>
      </c>
      <c r="D4778" t="s">
        <v>3185</v>
      </c>
      <c r="E4778" t="s">
        <v>646</v>
      </c>
      <c r="F4778" t="s">
        <v>40</v>
      </c>
      <c r="G4778">
        <v>2010</v>
      </c>
      <c r="H4778" s="12">
        <v>1004</v>
      </c>
      <c r="I4778" t="s">
        <v>3183</v>
      </c>
      <c r="J4778" t="s">
        <v>344</v>
      </c>
      <c r="K4778" t="s">
        <v>658</v>
      </c>
      <c r="L4778" t="s">
        <v>653</v>
      </c>
      <c r="M4778" t="s">
        <v>10</v>
      </c>
    </row>
    <row r="4779" spans="1:13">
      <c r="A4779" t="s">
        <v>851</v>
      </c>
      <c r="B4779" t="s">
        <v>686</v>
      </c>
      <c r="C4779" t="s">
        <v>686</v>
      </c>
      <c r="D4779" t="s">
        <v>3185</v>
      </c>
      <c r="E4779" t="s">
        <v>646</v>
      </c>
      <c r="F4779" t="s">
        <v>40</v>
      </c>
      <c r="G4779">
        <v>2015</v>
      </c>
      <c r="H4779" s="12">
        <v>1261</v>
      </c>
      <c r="I4779" t="s">
        <v>3183</v>
      </c>
      <c r="J4779" t="s">
        <v>344</v>
      </c>
      <c r="K4779" t="s">
        <v>658</v>
      </c>
      <c r="L4779" t="s">
        <v>653</v>
      </c>
      <c r="M4779" t="s">
        <v>10</v>
      </c>
    </row>
    <row r="4780" spans="1:13">
      <c r="A4780" t="s">
        <v>851</v>
      </c>
      <c r="B4780" t="s">
        <v>686</v>
      </c>
      <c r="C4780" t="s">
        <v>686</v>
      </c>
      <c r="D4780" t="s">
        <v>3185</v>
      </c>
      <c r="E4780" t="s">
        <v>646</v>
      </c>
      <c r="F4780" t="s">
        <v>40</v>
      </c>
      <c r="G4780">
        <v>2020</v>
      </c>
      <c r="H4780" s="12">
        <v>1408</v>
      </c>
      <c r="I4780" t="s">
        <v>3183</v>
      </c>
      <c r="J4780" t="s">
        <v>344</v>
      </c>
      <c r="K4780" t="s">
        <v>658</v>
      </c>
      <c r="L4780" t="s">
        <v>653</v>
      </c>
      <c r="M4780" t="s">
        <v>10</v>
      </c>
    </row>
    <row r="4781" spans="1:13">
      <c r="A4781" t="s">
        <v>851</v>
      </c>
      <c r="B4781" t="s">
        <v>686</v>
      </c>
      <c r="C4781" t="s">
        <v>686</v>
      </c>
      <c r="D4781" t="s">
        <v>3185</v>
      </c>
      <c r="E4781" t="s">
        <v>646</v>
      </c>
      <c r="F4781" t="s">
        <v>40</v>
      </c>
      <c r="G4781">
        <v>2030</v>
      </c>
      <c r="H4781" s="12">
        <v>2045</v>
      </c>
      <c r="I4781" t="s">
        <v>3183</v>
      </c>
      <c r="J4781" t="s">
        <v>344</v>
      </c>
      <c r="K4781" t="s">
        <v>658</v>
      </c>
      <c r="L4781" t="s">
        <v>653</v>
      </c>
      <c r="M4781" t="s">
        <v>10</v>
      </c>
    </row>
    <row r="4782" spans="1:13">
      <c r="A4782" t="s">
        <v>851</v>
      </c>
      <c r="B4782" t="s">
        <v>686</v>
      </c>
      <c r="C4782" t="s">
        <v>686</v>
      </c>
      <c r="D4782" t="s">
        <v>3185</v>
      </c>
      <c r="E4782" t="s">
        <v>646</v>
      </c>
      <c r="F4782" t="s">
        <v>40</v>
      </c>
      <c r="G4782">
        <v>2035</v>
      </c>
      <c r="H4782" s="12">
        <v>2536</v>
      </c>
      <c r="I4782" t="s">
        <v>3183</v>
      </c>
      <c r="J4782" t="s">
        <v>344</v>
      </c>
      <c r="K4782" t="s">
        <v>658</v>
      </c>
      <c r="L4782" t="s">
        <v>653</v>
      </c>
      <c r="M4782" t="s">
        <v>10</v>
      </c>
    </row>
    <row r="4783" spans="1:13">
      <c r="A4783" t="s">
        <v>851</v>
      </c>
      <c r="B4783" t="s">
        <v>686</v>
      </c>
      <c r="C4783" t="s">
        <v>686</v>
      </c>
      <c r="D4783" t="s">
        <v>3185</v>
      </c>
      <c r="E4783" t="s">
        <v>646</v>
      </c>
      <c r="F4783" t="s">
        <v>40</v>
      </c>
      <c r="G4783">
        <v>2040</v>
      </c>
      <c r="H4783" s="12">
        <v>3100</v>
      </c>
      <c r="I4783" t="s">
        <v>3183</v>
      </c>
      <c r="J4783" t="s">
        <v>344</v>
      </c>
      <c r="K4783" t="s">
        <v>658</v>
      </c>
      <c r="L4783" t="s">
        <v>653</v>
      </c>
      <c r="M4783" t="s">
        <v>10</v>
      </c>
    </row>
    <row r="4784" spans="1:13">
      <c r="A4784" t="s">
        <v>851</v>
      </c>
      <c r="B4784" t="s">
        <v>686</v>
      </c>
      <c r="C4784" t="s">
        <v>686</v>
      </c>
      <c r="D4784" t="s">
        <v>3185</v>
      </c>
      <c r="E4784" t="s">
        <v>646</v>
      </c>
      <c r="F4784" t="s">
        <v>40</v>
      </c>
      <c r="G4784">
        <v>2045</v>
      </c>
      <c r="H4784" s="12">
        <v>3776</v>
      </c>
      <c r="I4784" t="s">
        <v>3183</v>
      </c>
      <c r="J4784" t="s">
        <v>344</v>
      </c>
      <c r="K4784" t="s">
        <v>658</v>
      </c>
      <c r="L4784" t="s">
        <v>653</v>
      </c>
      <c r="M4784" t="s">
        <v>10</v>
      </c>
    </row>
    <row r="4785" spans="1:13">
      <c r="A4785" t="s">
        <v>851</v>
      </c>
      <c r="B4785" t="s">
        <v>686</v>
      </c>
      <c r="C4785" t="s">
        <v>686</v>
      </c>
      <c r="D4785" t="s">
        <v>3185</v>
      </c>
      <c r="E4785" t="s">
        <v>646</v>
      </c>
      <c r="F4785" t="s">
        <v>40</v>
      </c>
      <c r="G4785">
        <v>2050</v>
      </c>
      <c r="H4785" s="12">
        <v>4581</v>
      </c>
      <c r="I4785" t="s">
        <v>3183</v>
      </c>
      <c r="J4785" t="s">
        <v>344</v>
      </c>
      <c r="K4785" t="s">
        <v>658</v>
      </c>
      <c r="L4785" t="s">
        <v>653</v>
      </c>
      <c r="M4785" t="s">
        <v>10</v>
      </c>
    </row>
    <row r="4786" spans="1:13">
      <c r="A4786" t="s">
        <v>851</v>
      </c>
      <c r="B4786" t="s">
        <v>687</v>
      </c>
      <c r="C4786" t="s">
        <v>687</v>
      </c>
      <c r="D4786" t="s">
        <v>3185</v>
      </c>
      <c r="E4786" t="s">
        <v>646</v>
      </c>
      <c r="F4786" t="s">
        <v>40</v>
      </c>
      <c r="G4786">
        <v>2030</v>
      </c>
      <c r="H4786" s="12">
        <v>2315</v>
      </c>
      <c r="I4786" t="s">
        <v>3183</v>
      </c>
      <c r="J4786" t="s">
        <v>344</v>
      </c>
      <c r="K4786" t="s">
        <v>658</v>
      </c>
      <c r="L4786" t="s">
        <v>653</v>
      </c>
      <c r="M4786" t="s">
        <v>10</v>
      </c>
    </row>
    <row r="4787" spans="1:13">
      <c r="A4787" t="s">
        <v>851</v>
      </c>
      <c r="B4787" t="s">
        <v>687</v>
      </c>
      <c r="C4787" t="s">
        <v>687</v>
      </c>
      <c r="D4787" t="s">
        <v>3185</v>
      </c>
      <c r="E4787" t="s">
        <v>646</v>
      </c>
      <c r="F4787" t="s">
        <v>40</v>
      </c>
      <c r="G4787">
        <v>2035</v>
      </c>
      <c r="H4787" s="12">
        <v>2990</v>
      </c>
      <c r="I4787" t="s">
        <v>3183</v>
      </c>
      <c r="J4787" t="s">
        <v>344</v>
      </c>
      <c r="K4787" t="s">
        <v>658</v>
      </c>
      <c r="L4787" t="s">
        <v>653</v>
      </c>
      <c r="M4787" t="s">
        <v>10</v>
      </c>
    </row>
    <row r="4788" spans="1:13">
      <c r="A4788" t="s">
        <v>851</v>
      </c>
      <c r="B4788" t="s">
        <v>687</v>
      </c>
      <c r="C4788" t="s">
        <v>687</v>
      </c>
      <c r="D4788" t="s">
        <v>3185</v>
      </c>
      <c r="E4788" t="s">
        <v>646</v>
      </c>
      <c r="F4788" t="s">
        <v>40</v>
      </c>
      <c r="G4788">
        <v>2040</v>
      </c>
      <c r="H4788" s="12">
        <v>3820</v>
      </c>
      <c r="I4788" t="s">
        <v>3183</v>
      </c>
      <c r="J4788" t="s">
        <v>344</v>
      </c>
      <c r="K4788" t="s">
        <v>658</v>
      </c>
      <c r="L4788" t="s">
        <v>653</v>
      </c>
      <c r="M4788" t="s">
        <v>10</v>
      </c>
    </row>
    <row r="4789" spans="1:13">
      <c r="A4789" t="s">
        <v>851</v>
      </c>
      <c r="B4789" t="s">
        <v>686</v>
      </c>
      <c r="C4789" t="s">
        <v>686</v>
      </c>
      <c r="D4789" t="s">
        <v>3185</v>
      </c>
      <c r="E4789" t="s">
        <v>646</v>
      </c>
      <c r="F4789" t="s">
        <v>40</v>
      </c>
      <c r="G4789">
        <v>2020</v>
      </c>
      <c r="H4789" s="12">
        <v>912</v>
      </c>
      <c r="I4789" t="s">
        <v>3183</v>
      </c>
      <c r="J4789" t="s">
        <v>344</v>
      </c>
      <c r="K4789" t="s">
        <v>9</v>
      </c>
      <c r="L4789" t="s">
        <v>653</v>
      </c>
      <c r="M4789" t="s">
        <v>10</v>
      </c>
    </row>
    <row r="4790" spans="1:13">
      <c r="A4790" t="s">
        <v>851</v>
      </c>
      <c r="B4790" t="s">
        <v>686</v>
      </c>
      <c r="C4790" t="s">
        <v>686</v>
      </c>
      <c r="D4790" t="s">
        <v>3185</v>
      </c>
      <c r="E4790" t="s">
        <v>646</v>
      </c>
      <c r="F4790" t="s">
        <v>40</v>
      </c>
      <c r="G4790">
        <v>2030</v>
      </c>
      <c r="H4790" s="12">
        <v>1331</v>
      </c>
      <c r="I4790" t="s">
        <v>3183</v>
      </c>
      <c r="J4790" t="s">
        <v>344</v>
      </c>
      <c r="K4790" t="s">
        <v>9</v>
      </c>
      <c r="L4790" t="s">
        <v>653</v>
      </c>
      <c r="M4790" t="s">
        <v>10</v>
      </c>
    </row>
    <row r="4791" spans="1:13">
      <c r="A4791" t="s">
        <v>851</v>
      </c>
      <c r="B4791" t="s">
        <v>686</v>
      </c>
      <c r="C4791" t="s">
        <v>686</v>
      </c>
      <c r="D4791" t="s">
        <v>3185</v>
      </c>
      <c r="E4791" t="s">
        <v>646</v>
      </c>
      <c r="F4791" t="s">
        <v>40</v>
      </c>
      <c r="G4791">
        <v>2035</v>
      </c>
      <c r="H4791" s="12">
        <v>1542</v>
      </c>
      <c r="I4791" t="s">
        <v>3183</v>
      </c>
      <c r="J4791" t="s">
        <v>344</v>
      </c>
      <c r="K4791" t="s">
        <v>9</v>
      </c>
      <c r="L4791" t="s">
        <v>653</v>
      </c>
      <c r="M4791" t="s">
        <v>10</v>
      </c>
    </row>
    <row r="4792" spans="1:13">
      <c r="A4792" t="s">
        <v>851</v>
      </c>
      <c r="B4792" t="s">
        <v>686</v>
      </c>
      <c r="C4792" t="s">
        <v>686</v>
      </c>
      <c r="D4792" t="s">
        <v>3185</v>
      </c>
      <c r="E4792" t="s">
        <v>646</v>
      </c>
      <c r="F4792" t="s">
        <v>40</v>
      </c>
      <c r="G4792">
        <v>2040</v>
      </c>
      <c r="H4792" s="12">
        <v>1740</v>
      </c>
      <c r="I4792" t="s">
        <v>3183</v>
      </c>
      <c r="J4792" t="s">
        <v>344</v>
      </c>
      <c r="K4792" t="s">
        <v>9</v>
      </c>
      <c r="L4792" t="s">
        <v>653</v>
      </c>
      <c r="M4792" t="s">
        <v>10</v>
      </c>
    </row>
    <row r="4793" spans="1:13">
      <c r="A4793" t="s">
        <v>851</v>
      </c>
      <c r="B4793" t="s">
        <v>686</v>
      </c>
      <c r="C4793" t="s">
        <v>686</v>
      </c>
      <c r="D4793" t="s">
        <v>3185</v>
      </c>
      <c r="E4793" t="s">
        <v>646</v>
      </c>
      <c r="F4793" t="s">
        <v>40</v>
      </c>
      <c r="G4793">
        <v>2045</v>
      </c>
      <c r="H4793" s="12">
        <v>1916</v>
      </c>
      <c r="I4793" t="s">
        <v>3183</v>
      </c>
      <c r="J4793" t="s">
        <v>344</v>
      </c>
      <c r="K4793" t="s">
        <v>9</v>
      </c>
      <c r="L4793" t="s">
        <v>653</v>
      </c>
      <c r="M4793" t="s">
        <v>10</v>
      </c>
    </row>
    <row r="4794" spans="1:13">
      <c r="A4794" t="s">
        <v>851</v>
      </c>
      <c r="B4794" t="s">
        <v>686</v>
      </c>
      <c r="C4794" t="s">
        <v>686</v>
      </c>
      <c r="D4794" t="s">
        <v>3185</v>
      </c>
      <c r="E4794" t="s">
        <v>646</v>
      </c>
      <c r="F4794" t="s">
        <v>40</v>
      </c>
      <c r="G4794">
        <v>2050</v>
      </c>
      <c r="H4794" s="12">
        <v>2067</v>
      </c>
      <c r="I4794" t="s">
        <v>3183</v>
      </c>
      <c r="J4794" t="s">
        <v>344</v>
      </c>
      <c r="K4794" t="s">
        <v>9</v>
      </c>
      <c r="L4794" t="s">
        <v>653</v>
      </c>
      <c r="M4794" t="s">
        <v>10</v>
      </c>
    </row>
    <row r="4795" spans="1:13">
      <c r="A4795" t="s">
        <v>851</v>
      </c>
      <c r="B4795" t="s">
        <v>687</v>
      </c>
      <c r="C4795" t="s">
        <v>687</v>
      </c>
      <c r="D4795" t="s">
        <v>3185</v>
      </c>
      <c r="E4795" t="s">
        <v>646</v>
      </c>
      <c r="F4795" t="s">
        <v>40</v>
      </c>
      <c r="G4795">
        <v>2030</v>
      </c>
      <c r="H4795" s="12">
        <v>1475</v>
      </c>
      <c r="I4795" t="s">
        <v>3183</v>
      </c>
      <c r="J4795" t="s">
        <v>344</v>
      </c>
      <c r="K4795" t="s">
        <v>9</v>
      </c>
      <c r="L4795" t="s">
        <v>653</v>
      </c>
      <c r="M4795" t="s">
        <v>10</v>
      </c>
    </row>
    <row r="4796" spans="1:13">
      <c r="A4796" t="s">
        <v>851</v>
      </c>
      <c r="B4796" t="s">
        <v>687</v>
      </c>
      <c r="C4796" t="s">
        <v>687</v>
      </c>
      <c r="D4796" t="s">
        <v>3185</v>
      </c>
      <c r="E4796" t="s">
        <v>646</v>
      </c>
      <c r="F4796" t="s">
        <v>40</v>
      </c>
      <c r="G4796">
        <v>2035</v>
      </c>
      <c r="H4796" s="12">
        <v>1855</v>
      </c>
      <c r="I4796" t="s">
        <v>3183</v>
      </c>
      <c r="J4796" t="s">
        <v>344</v>
      </c>
      <c r="K4796" t="s">
        <v>9</v>
      </c>
      <c r="L4796" t="s">
        <v>653</v>
      </c>
      <c r="M4796" t="s">
        <v>10</v>
      </c>
    </row>
    <row r="4797" spans="1:13">
      <c r="A4797" t="s">
        <v>851</v>
      </c>
      <c r="B4797" t="s">
        <v>687</v>
      </c>
      <c r="C4797" t="s">
        <v>687</v>
      </c>
      <c r="D4797" t="s">
        <v>3185</v>
      </c>
      <c r="E4797" t="s">
        <v>646</v>
      </c>
      <c r="F4797" t="s">
        <v>40</v>
      </c>
      <c r="G4797">
        <v>2040</v>
      </c>
      <c r="H4797" s="12">
        <v>2174</v>
      </c>
      <c r="I4797" t="s">
        <v>3183</v>
      </c>
      <c r="J4797" t="s">
        <v>344</v>
      </c>
      <c r="K4797" t="s">
        <v>9</v>
      </c>
      <c r="L4797" t="s">
        <v>653</v>
      </c>
      <c r="M4797" t="s">
        <v>10</v>
      </c>
    </row>
    <row r="4798" spans="1:13">
      <c r="A4798" t="s">
        <v>851</v>
      </c>
      <c r="B4798" t="s">
        <v>687</v>
      </c>
      <c r="C4798" t="s">
        <v>687</v>
      </c>
      <c r="D4798" t="s">
        <v>3185</v>
      </c>
      <c r="E4798" t="s">
        <v>646</v>
      </c>
      <c r="F4798" t="s">
        <v>40</v>
      </c>
      <c r="G4798">
        <v>2045</v>
      </c>
      <c r="H4798" s="12">
        <v>2460</v>
      </c>
      <c r="I4798" t="s">
        <v>3183</v>
      </c>
      <c r="J4798" t="s">
        <v>344</v>
      </c>
      <c r="K4798" t="s">
        <v>9</v>
      </c>
      <c r="L4798" t="s">
        <v>653</v>
      </c>
      <c r="M4798" t="s">
        <v>10</v>
      </c>
    </row>
    <row r="4799" spans="1:13">
      <c r="A4799" t="s">
        <v>851</v>
      </c>
      <c r="B4799" t="s">
        <v>687</v>
      </c>
      <c r="C4799" t="s">
        <v>687</v>
      </c>
      <c r="D4799" t="s">
        <v>3185</v>
      </c>
      <c r="E4799" t="s">
        <v>646</v>
      </c>
      <c r="F4799" t="s">
        <v>40</v>
      </c>
      <c r="G4799">
        <v>2050</v>
      </c>
      <c r="H4799" s="12">
        <v>2713</v>
      </c>
      <c r="I4799" t="s">
        <v>3183</v>
      </c>
      <c r="J4799" t="s">
        <v>344</v>
      </c>
      <c r="K4799" t="s">
        <v>9</v>
      </c>
      <c r="L4799" t="s">
        <v>653</v>
      </c>
      <c r="M4799" t="s">
        <v>10</v>
      </c>
    </row>
    <row r="4800" spans="1:13">
      <c r="A4800" t="s">
        <v>851</v>
      </c>
      <c r="B4800" t="s">
        <v>686</v>
      </c>
      <c r="C4800" t="s">
        <v>686</v>
      </c>
      <c r="D4800" t="s">
        <v>3185</v>
      </c>
      <c r="E4800" t="s">
        <v>646</v>
      </c>
      <c r="F4800" t="s">
        <v>40</v>
      </c>
      <c r="G4800">
        <v>2010</v>
      </c>
      <c r="H4800" s="12">
        <v>723</v>
      </c>
      <c r="I4800" t="s">
        <v>3183</v>
      </c>
      <c r="J4800" t="s">
        <v>6</v>
      </c>
      <c r="K4800" t="s">
        <v>9</v>
      </c>
      <c r="L4800" t="s">
        <v>653</v>
      </c>
      <c r="M4800" t="s">
        <v>666</v>
      </c>
    </row>
    <row r="4801" spans="1:13">
      <c r="A4801" t="s">
        <v>851</v>
      </c>
      <c r="B4801" t="s">
        <v>686</v>
      </c>
      <c r="C4801" t="s">
        <v>686</v>
      </c>
      <c r="D4801" t="s">
        <v>3185</v>
      </c>
      <c r="E4801" t="s">
        <v>646</v>
      </c>
      <c r="F4801" t="s">
        <v>40</v>
      </c>
      <c r="G4801">
        <v>2015</v>
      </c>
      <c r="H4801" s="12">
        <v>793</v>
      </c>
      <c r="I4801" t="s">
        <v>3183</v>
      </c>
      <c r="J4801" t="s">
        <v>6</v>
      </c>
      <c r="K4801" t="s">
        <v>9</v>
      </c>
      <c r="L4801" t="s">
        <v>653</v>
      </c>
      <c r="M4801" t="s">
        <v>666</v>
      </c>
    </row>
    <row r="4802" spans="1:13">
      <c r="A4802" t="s">
        <v>851</v>
      </c>
      <c r="B4802" t="s">
        <v>686</v>
      </c>
      <c r="C4802" t="s">
        <v>686</v>
      </c>
      <c r="D4802" t="s">
        <v>3185</v>
      </c>
      <c r="E4802" t="s">
        <v>646</v>
      </c>
      <c r="F4802" t="s">
        <v>40</v>
      </c>
      <c r="G4802">
        <v>2020</v>
      </c>
      <c r="H4802" s="12">
        <v>957</v>
      </c>
      <c r="I4802" t="s">
        <v>3183</v>
      </c>
      <c r="J4802" t="s">
        <v>6</v>
      </c>
      <c r="K4802" t="s">
        <v>9</v>
      </c>
      <c r="L4802" t="s">
        <v>653</v>
      </c>
      <c r="M4802" t="s">
        <v>666</v>
      </c>
    </row>
    <row r="4803" spans="1:13">
      <c r="A4803" t="s">
        <v>851</v>
      </c>
      <c r="B4803" t="s">
        <v>686</v>
      </c>
      <c r="C4803" t="s">
        <v>686</v>
      </c>
      <c r="D4803" t="s">
        <v>3185</v>
      </c>
      <c r="E4803" t="s">
        <v>646</v>
      </c>
      <c r="F4803" t="s">
        <v>40</v>
      </c>
      <c r="G4803">
        <v>2030</v>
      </c>
      <c r="H4803" s="12">
        <v>1509</v>
      </c>
      <c r="I4803" t="s">
        <v>3183</v>
      </c>
      <c r="J4803" t="s">
        <v>6</v>
      </c>
      <c r="K4803" t="s">
        <v>9</v>
      </c>
      <c r="L4803" t="s">
        <v>653</v>
      </c>
      <c r="M4803" t="s">
        <v>666</v>
      </c>
    </row>
    <row r="4804" spans="1:13">
      <c r="A4804" t="s">
        <v>851</v>
      </c>
      <c r="B4804" t="s">
        <v>686</v>
      </c>
      <c r="C4804" t="s">
        <v>686</v>
      </c>
      <c r="D4804" t="s">
        <v>3185</v>
      </c>
      <c r="E4804" t="s">
        <v>646</v>
      </c>
      <c r="F4804" t="s">
        <v>40</v>
      </c>
      <c r="G4804">
        <v>2035</v>
      </c>
      <c r="H4804" s="12">
        <v>1770</v>
      </c>
      <c r="I4804" t="s">
        <v>3183</v>
      </c>
      <c r="J4804" t="s">
        <v>6</v>
      </c>
      <c r="K4804" t="s">
        <v>9</v>
      </c>
      <c r="L4804" t="s">
        <v>653</v>
      </c>
      <c r="M4804" t="s">
        <v>666</v>
      </c>
    </row>
    <row r="4805" spans="1:13">
      <c r="A4805" t="s">
        <v>851</v>
      </c>
      <c r="B4805" t="s">
        <v>686</v>
      </c>
      <c r="C4805" t="s">
        <v>686</v>
      </c>
      <c r="D4805" t="s">
        <v>3185</v>
      </c>
      <c r="E4805" t="s">
        <v>646</v>
      </c>
      <c r="F4805" t="s">
        <v>40</v>
      </c>
      <c r="G4805">
        <v>2040</v>
      </c>
      <c r="H4805" s="12">
        <v>2024</v>
      </c>
      <c r="I4805" t="s">
        <v>3183</v>
      </c>
      <c r="J4805" t="s">
        <v>6</v>
      </c>
      <c r="K4805" t="s">
        <v>9</v>
      </c>
      <c r="L4805" t="s">
        <v>653</v>
      </c>
      <c r="M4805" t="s">
        <v>666</v>
      </c>
    </row>
    <row r="4806" spans="1:13">
      <c r="A4806" t="s">
        <v>851</v>
      </c>
      <c r="B4806" t="s">
        <v>686</v>
      </c>
      <c r="C4806" t="s">
        <v>686</v>
      </c>
      <c r="D4806" t="s">
        <v>3185</v>
      </c>
      <c r="E4806" t="s">
        <v>646</v>
      </c>
      <c r="F4806" t="s">
        <v>40</v>
      </c>
      <c r="G4806">
        <v>2045</v>
      </c>
      <c r="H4806" s="12">
        <v>2254</v>
      </c>
      <c r="I4806" t="s">
        <v>3183</v>
      </c>
      <c r="J4806" t="s">
        <v>6</v>
      </c>
      <c r="K4806" t="s">
        <v>9</v>
      </c>
      <c r="L4806" t="s">
        <v>653</v>
      </c>
      <c r="M4806" t="s">
        <v>666</v>
      </c>
    </row>
    <row r="4807" spans="1:13">
      <c r="A4807" t="s">
        <v>851</v>
      </c>
      <c r="B4807" t="s">
        <v>686</v>
      </c>
      <c r="C4807" t="s">
        <v>686</v>
      </c>
      <c r="D4807" t="s">
        <v>3185</v>
      </c>
      <c r="E4807" t="s">
        <v>646</v>
      </c>
      <c r="F4807" t="s">
        <v>40</v>
      </c>
      <c r="G4807">
        <v>2050</v>
      </c>
      <c r="H4807" s="12">
        <v>2446</v>
      </c>
      <c r="I4807" t="s">
        <v>3183</v>
      </c>
      <c r="J4807" t="s">
        <v>6</v>
      </c>
      <c r="K4807" t="s">
        <v>9</v>
      </c>
      <c r="L4807" t="s">
        <v>653</v>
      </c>
      <c r="M4807" t="s">
        <v>666</v>
      </c>
    </row>
    <row r="4808" spans="1:13">
      <c r="A4808" t="s">
        <v>851</v>
      </c>
      <c r="B4808" t="s">
        <v>687</v>
      </c>
      <c r="C4808" t="s">
        <v>687</v>
      </c>
      <c r="D4808" t="s">
        <v>3185</v>
      </c>
      <c r="E4808" t="s">
        <v>646</v>
      </c>
      <c r="F4808" t="s">
        <v>40</v>
      </c>
      <c r="G4808">
        <v>2030</v>
      </c>
      <c r="H4808" s="12">
        <v>1457</v>
      </c>
      <c r="I4808" t="s">
        <v>3183</v>
      </c>
      <c r="J4808" t="s">
        <v>6</v>
      </c>
      <c r="K4808" t="s">
        <v>9</v>
      </c>
      <c r="L4808" t="s">
        <v>653</v>
      </c>
      <c r="M4808" t="s">
        <v>666</v>
      </c>
    </row>
    <row r="4809" spans="1:13">
      <c r="A4809" t="s">
        <v>851</v>
      </c>
      <c r="B4809" t="s">
        <v>687</v>
      </c>
      <c r="C4809" t="s">
        <v>687</v>
      </c>
      <c r="D4809" t="s">
        <v>3185</v>
      </c>
      <c r="E4809" t="s">
        <v>646</v>
      </c>
      <c r="F4809" t="s">
        <v>40</v>
      </c>
      <c r="G4809">
        <v>2035</v>
      </c>
      <c r="H4809" s="12">
        <v>1645</v>
      </c>
      <c r="I4809" t="s">
        <v>3183</v>
      </c>
      <c r="J4809" t="s">
        <v>6</v>
      </c>
      <c r="K4809" t="s">
        <v>9</v>
      </c>
      <c r="L4809" t="s">
        <v>653</v>
      </c>
      <c r="M4809" t="s">
        <v>666</v>
      </c>
    </row>
    <row r="4810" spans="1:13">
      <c r="A4810" t="s">
        <v>851</v>
      </c>
      <c r="B4810" t="s">
        <v>687</v>
      </c>
      <c r="C4810" t="s">
        <v>687</v>
      </c>
      <c r="D4810" t="s">
        <v>3185</v>
      </c>
      <c r="E4810" t="s">
        <v>646</v>
      </c>
      <c r="F4810" t="s">
        <v>40</v>
      </c>
      <c r="G4810">
        <v>2040</v>
      </c>
      <c r="H4810" s="12">
        <v>1796</v>
      </c>
      <c r="I4810" t="s">
        <v>3183</v>
      </c>
      <c r="J4810" t="s">
        <v>6</v>
      </c>
      <c r="K4810" t="s">
        <v>9</v>
      </c>
      <c r="L4810" t="s">
        <v>653</v>
      </c>
      <c r="M4810" t="s">
        <v>666</v>
      </c>
    </row>
    <row r="4811" spans="1:13">
      <c r="A4811" t="s">
        <v>851</v>
      </c>
      <c r="B4811" t="s">
        <v>687</v>
      </c>
      <c r="C4811" t="s">
        <v>687</v>
      </c>
      <c r="D4811" t="s">
        <v>3185</v>
      </c>
      <c r="E4811" t="s">
        <v>646</v>
      </c>
      <c r="F4811" t="s">
        <v>40</v>
      </c>
      <c r="G4811">
        <v>2045</v>
      </c>
      <c r="H4811" s="12">
        <v>1934</v>
      </c>
      <c r="I4811" t="s">
        <v>3183</v>
      </c>
      <c r="J4811" t="s">
        <v>6</v>
      </c>
      <c r="K4811" t="s">
        <v>9</v>
      </c>
      <c r="L4811" t="s">
        <v>653</v>
      </c>
      <c r="M4811" t="s">
        <v>666</v>
      </c>
    </row>
    <row r="4812" spans="1:13">
      <c r="A4812" t="s">
        <v>851</v>
      </c>
      <c r="B4812" t="s">
        <v>687</v>
      </c>
      <c r="C4812" t="s">
        <v>687</v>
      </c>
      <c r="D4812" t="s">
        <v>3185</v>
      </c>
      <c r="E4812" t="s">
        <v>646</v>
      </c>
      <c r="F4812" t="s">
        <v>40</v>
      </c>
      <c r="G4812">
        <v>2050</v>
      </c>
      <c r="H4812" s="12">
        <v>2051</v>
      </c>
      <c r="I4812" t="s">
        <v>3183</v>
      </c>
      <c r="J4812" t="s">
        <v>6</v>
      </c>
      <c r="K4812" t="s">
        <v>9</v>
      </c>
      <c r="L4812" t="s">
        <v>653</v>
      </c>
      <c r="M4812" t="s">
        <v>666</v>
      </c>
    </row>
    <row r="4813" spans="1:13">
      <c r="A4813" t="s">
        <v>851</v>
      </c>
      <c r="B4813" t="s">
        <v>687</v>
      </c>
      <c r="C4813" t="s">
        <v>687</v>
      </c>
      <c r="D4813" t="s">
        <v>3185</v>
      </c>
      <c r="E4813" t="s">
        <v>573</v>
      </c>
      <c r="F4813" t="s">
        <v>40</v>
      </c>
      <c r="G4813">
        <v>2045</v>
      </c>
      <c r="H4813" s="12">
        <v>298</v>
      </c>
      <c r="I4813" t="s">
        <v>3183</v>
      </c>
      <c r="J4813" t="s">
        <v>5</v>
      </c>
      <c r="K4813" t="s">
        <v>147</v>
      </c>
      <c r="L4813" t="s">
        <v>653</v>
      </c>
      <c r="M4813" t="s">
        <v>5</v>
      </c>
    </row>
    <row r="4814" spans="1:13">
      <c r="A4814" t="s">
        <v>851</v>
      </c>
      <c r="B4814" t="s">
        <v>687</v>
      </c>
      <c r="C4814" t="s">
        <v>687</v>
      </c>
      <c r="D4814" t="s">
        <v>3185</v>
      </c>
      <c r="E4814" t="s">
        <v>573</v>
      </c>
      <c r="F4814" t="s">
        <v>40</v>
      </c>
      <c r="G4814">
        <v>2050</v>
      </c>
      <c r="H4814" s="12">
        <v>251</v>
      </c>
      <c r="I4814" t="s">
        <v>3183</v>
      </c>
      <c r="J4814" t="s">
        <v>5</v>
      </c>
      <c r="K4814" t="s">
        <v>147</v>
      </c>
      <c r="L4814" t="s">
        <v>653</v>
      </c>
      <c r="M4814" t="s">
        <v>5</v>
      </c>
    </row>
    <row r="4815" spans="1:13">
      <c r="A4815" t="s">
        <v>851</v>
      </c>
      <c r="B4815" t="s">
        <v>686</v>
      </c>
      <c r="C4815" t="s">
        <v>686</v>
      </c>
      <c r="D4815" t="s">
        <v>3185</v>
      </c>
      <c r="E4815" t="s">
        <v>573</v>
      </c>
      <c r="F4815" t="s">
        <v>40</v>
      </c>
      <c r="G4815">
        <v>2010</v>
      </c>
      <c r="H4815" s="12">
        <v>132</v>
      </c>
      <c r="I4815" t="s">
        <v>3183</v>
      </c>
      <c r="J4815" t="s">
        <v>15</v>
      </c>
      <c r="K4815" t="s">
        <v>147</v>
      </c>
      <c r="L4815" t="s">
        <v>653</v>
      </c>
      <c r="M4815" t="s">
        <v>15</v>
      </c>
    </row>
    <row r="4816" spans="1:13">
      <c r="A4816" t="s">
        <v>851</v>
      </c>
      <c r="B4816" t="s">
        <v>686</v>
      </c>
      <c r="C4816" t="s">
        <v>686</v>
      </c>
      <c r="D4816" t="s">
        <v>3185</v>
      </c>
      <c r="E4816" t="s">
        <v>573</v>
      </c>
      <c r="F4816" t="s">
        <v>40</v>
      </c>
      <c r="G4816">
        <v>2015</v>
      </c>
      <c r="H4816" s="12">
        <v>133</v>
      </c>
      <c r="I4816" t="s">
        <v>3183</v>
      </c>
      <c r="J4816" t="s">
        <v>15</v>
      </c>
      <c r="K4816" t="s">
        <v>147</v>
      </c>
      <c r="L4816" t="s">
        <v>653</v>
      </c>
      <c r="M4816" t="s">
        <v>15</v>
      </c>
    </row>
    <row r="4817" spans="1:13">
      <c r="A4817" t="s">
        <v>851</v>
      </c>
      <c r="B4817" t="s">
        <v>686</v>
      </c>
      <c r="C4817" t="s">
        <v>686</v>
      </c>
      <c r="D4817" t="s">
        <v>3185</v>
      </c>
      <c r="E4817" t="s">
        <v>573</v>
      </c>
      <c r="F4817" t="s">
        <v>40</v>
      </c>
      <c r="G4817">
        <v>2020</v>
      </c>
      <c r="H4817" s="12">
        <v>108</v>
      </c>
      <c r="I4817" t="s">
        <v>3183</v>
      </c>
      <c r="J4817" t="s">
        <v>15</v>
      </c>
      <c r="K4817" t="s">
        <v>147</v>
      </c>
      <c r="L4817" t="s">
        <v>653</v>
      </c>
      <c r="M4817" t="s">
        <v>15</v>
      </c>
    </row>
    <row r="4818" spans="1:13">
      <c r="A4818" t="s">
        <v>851</v>
      </c>
      <c r="B4818" t="s">
        <v>686</v>
      </c>
      <c r="C4818" t="s">
        <v>686</v>
      </c>
      <c r="D4818" t="s">
        <v>3185</v>
      </c>
      <c r="E4818" t="s">
        <v>573</v>
      </c>
      <c r="F4818" t="s">
        <v>40</v>
      </c>
      <c r="G4818">
        <v>2030</v>
      </c>
      <c r="H4818" s="12">
        <v>269</v>
      </c>
      <c r="I4818" t="s">
        <v>3183</v>
      </c>
      <c r="J4818" t="s">
        <v>15</v>
      </c>
      <c r="K4818" t="s">
        <v>147</v>
      </c>
      <c r="L4818" t="s">
        <v>653</v>
      </c>
      <c r="M4818" t="s">
        <v>15</v>
      </c>
    </row>
    <row r="4819" spans="1:13">
      <c r="A4819" t="s">
        <v>851</v>
      </c>
      <c r="B4819" t="s">
        <v>686</v>
      </c>
      <c r="C4819" t="s">
        <v>686</v>
      </c>
      <c r="D4819" t="s">
        <v>3185</v>
      </c>
      <c r="E4819" t="s">
        <v>573</v>
      </c>
      <c r="F4819" t="s">
        <v>40</v>
      </c>
      <c r="G4819">
        <v>2035</v>
      </c>
      <c r="H4819" s="12">
        <v>391</v>
      </c>
      <c r="I4819" t="s">
        <v>3183</v>
      </c>
      <c r="J4819" t="s">
        <v>15</v>
      </c>
      <c r="K4819" t="s">
        <v>147</v>
      </c>
      <c r="L4819" t="s">
        <v>653</v>
      </c>
      <c r="M4819" t="s">
        <v>15</v>
      </c>
    </row>
    <row r="4820" spans="1:13">
      <c r="A4820" t="s">
        <v>851</v>
      </c>
      <c r="B4820" t="s">
        <v>686</v>
      </c>
      <c r="C4820" t="s">
        <v>686</v>
      </c>
      <c r="D4820" t="s">
        <v>3185</v>
      </c>
      <c r="E4820" t="s">
        <v>573</v>
      </c>
      <c r="F4820" t="s">
        <v>40</v>
      </c>
      <c r="G4820">
        <v>2040</v>
      </c>
      <c r="H4820" s="12">
        <v>492</v>
      </c>
      <c r="I4820" t="s">
        <v>3183</v>
      </c>
      <c r="J4820" t="s">
        <v>15</v>
      </c>
      <c r="K4820" t="s">
        <v>147</v>
      </c>
      <c r="L4820" t="s">
        <v>653</v>
      </c>
      <c r="M4820" t="s">
        <v>15</v>
      </c>
    </row>
    <row r="4821" spans="1:13">
      <c r="A4821" t="s">
        <v>851</v>
      </c>
      <c r="B4821" t="s">
        <v>686</v>
      </c>
      <c r="C4821" t="s">
        <v>686</v>
      </c>
      <c r="D4821" t="s">
        <v>3185</v>
      </c>
      <c r="E4821" t="s">
        <v>573</v>
      </c>
      <c r="F4821" t="s">
        <v>40</v>
      </c>
      <c r="G4821">
        <v>2045</v>
      </c>
      <c r="H4821" s="12">
        <v>492</v>
      </c>
      <c r="I4821" t="s">
        <v>3183</v>
      </c>
      <c r="J4821" t="s">
        <v>15</v>
      </c>
      <c r="K4821" t="s">
        <v>147</v>
      </c>
      <c r="L4821" t="s">
        <v>653</v>
      </c>
      <c r="M4821" t="s">
        <v>15</v>
      </c>
    </row>
    <row r="4822" spans="1:13">
      <c r="A4822" t="s">
        <v>851</v>
      </c>
      <c r="B4822" t="s">
        <v>686</v>
      </c>
      <c r="C4822" t="s">
        <v>686</v>
      </c>
      <c r="D4822" t="s">
        <v>3185</v>
      </c>
      <c r="E4822" t="s">
        <v>573</v>
      </c>
      <c r="F4822" t="s">
        <v>40</v>
      </c>
      <c r="G4822">
        <v>2050</v>
      </c>
      <c r="H4822" s="12">
        <v>492</v>
      </c>
      <c r="I4822" t="s">
        <v>3183</v>
      </c>
      <c r="J4822" t="s">
        <v>15</v>
      </c>
      <c r="K4822" t="s">
        <v>147</v>
      </c>
      <c r="L4822" t="s">
        <v>653</v>
      </c>
      <c r="M4822" t="s">
        <v>15</v>
      </c>
    </row>
    <row r="4823" spans="1:13">
      <c r="A4823" t="s">
        <v>851</v>
      </c>
      <c r="B4823" t="s">
        <v>687</v>
      </c>
      <c r="C4823" t="s">
        <v>687</v>
      </c>
      <c r="D4823" t="s">
        <v>3185</v>
      </c>
      <c r="E4823" t="s">
        <v>573</v>
      </c>
      <c r="F4823" t="s">
        <v>40</v>
      </c>
      <c r="G4823">
        <v>2030</v>
      </c>
      <c r="H4823" s="12">
        <v>325</v>
      </c>
      <c r="I4823" t="s">
        <v>3183</v>
      </c>
      <c r="J4823" t="s">
        <v>15</v>
      </c>
      <c r="K4823" t="s">
        <v>147</v>
      </c>
      <c r="L4823" t="s">
        <v>653</v>
      </c>
      <c r="M4823" t="s">
        <v>15</v>
      </c>
    </row>
    <row r="4824" spans="1:13">
      <c r="A4824" t="s">
        <v>851</v>
      </c>
      <c r="B4824" t="s">
        <v>687</v>
      </c>
      <c r="C4824" t="s">
        <v>687</v>
      </c>
      <c r="D4824" t="s">
        <v>3185</v>
      </c>
      <c r="E4824" t="s">
        <v>573</v>
      </c>
      <c r="F4824" t="s">
        <v>40</v>
      </c>
      <c r="G4824">
        <v>2035</v>
      </c>
      <c r="H4824" s="12">
        <v>592</v>
      </c>
      <c r="I4824" t="s">
        <v>3183</v>
      </c>
      <c r="J4824" t="s">
        <v>15</v>
      </c>
      <c r="K4824" t="s">
        <v>147</v>
      </c>
      <c r="L4824" t="s">
        <v>653</v>
      </c>
      <c r="M4824" t="s">
        <v>15</v>
      </c>
    </row>
    <row r="4825" spans="1:13">
      <c r="A4825" t="s">
        <v>851</v>
      </c>
      <c r="B4825" t="s">
        <v>687</v>
      </c>
      <c r="C4825" t="s">
        <v>687</v>
      </c>
      <c r="D4825" t="s">
        <v>3185</v>
      </c>
      <c r="E4825" t="s">
        <v>573</v>
      </c>
      <c r="F4825" t="s">
        <v>40</v>
      </c>
      <c r="G4825">
        <v>2040</v>
      </c>
      <c r="H4825" s="12">
        <v>819</v>
      </c>
      <c r="I4825" t="s">
        <v>3183</v>
      </c>
      <c r="J4825" t="s">
        <v>15</v>
      </c>
      <c r="K4825" t="s">
        <v>147</v>
      </c>
      <c r="L4825" t="s">
        <v>653</v>
      </c>
      <c r="M4825" t="s">
        <v>15</v>
      </c>
    </row>
    <row r="4826" spans="1:13">
      <c r="A4826" t="s">
        <v>851</v>
      </c>
      <c r="B4826" t="s">
        <v>687</v>
      </c>
      <c r="C4826" t="s">
        <v>687</v>
      </c>
      <c r="D4826" t="s">
        <v>3185</v>
      </c>
      <c r="E4826" t="s">
        <v>573</v>
      </c>
      <c r="F4826" t="s">
        <v>40</v>
      </c>
      <c r="G4826">
        <v>2045</v>
      </c>
      <c r="H4826" s="12">
        <v>819</v>
      </c>
      <c r="I4826" t="s">
        <v>3183</v>
      </c>
      <c r="J4826" t="s">
        <v>15</v>
      </c>
      <c r="K4826" t="s">
        <v>147</v>
      </c>
      <c r="L4826" t="s">
        <v>653</v>
      </c>
      <c r="M4826" t="s">
        <v>15</v>
      </c>
    </row>
    <row r="4827" spans="1:13">
      <c r="A4827" t="s">
        <v>851</v>
      </c>
      <c r="B4827" t="s">
        <v>687</v>
      </c>
      <c r="C4827" t="s">
        <v>687</v>
      </c>
      <c r="D4827" t="s">
        <v>3185</v>
      </c>
      <c r="E4827" t="s">
        <v>573</v>
      </c>
      <c r="F4827" t="s">
        <v>40</v>
      </c>
      <c r="G4827">
        <v>2050</v>
      </c>
      <c r="H4827" s="12">
        <v>819</v>
      </c>
      <c r="I4827" t="s">
        <v>3183</v>
      </c>
      <c r="J4827" t="s">
        <v>15</v>
      </c>
      <c r="K4827" t="s">
        <v>147</v>
      </c>
      <c r="L4827" t="s">
        <v>653</v>
      </c>
      <c r="M4827" t="s">
        <v>15</v>
      </c>
    </row>
    <row r="4828" spans="1:13">
      <c r="A4828" t="s">
        <v>851</v>
      </c>
      <c r="B4828" t="s">
        <v>686</v>
      </c>
      <c r="C4828" t="s">
        <v>686</v>
      </c>
      <c r="D4828" t="s">
        <v>3185</v>
      </c>
      <c r="E4828" t="s">
        <v>573</v>
      </c>
      <c r="F4828" t="s">
        <v>40</v>
      </c>
      <c r="G4828">
        <v>2010</v>
      </c>
      <c r="H4828" s="12">
        <v>1843</v>
      </c>
      <c r="I4828" t="s">
        <v>3183</v>
      </c>
      <c r="J4828" t="s">
        <v>6</v>
      </c>
      <c r="K4828" t="s">
        <v>147</v>
      </c>
      <c r="L4828" t="s">
        <v>653</v>
      </c>
      <c r="M4828" t="s">
        <v>659</v>
      </c>
    </row>
    <row r="4829" spans="1:13">
      <c r="A4829" t="s">
        <v>851</v>
      </c>
      <c r="B4829" t="s">
        <v>686</v>
      </c>
      <c r="C4829" t="s">
        <v>686</v>
      </c>
      <c r="D4829" t="s">
        <v>3185</v>
      </c>
      <c r="E4829" t="s">
        <v>573</v>
      </c>
      <c r="F4829" t="s">
        <v>40</v>
      </c>
      <c r="G4829">
        <v>2015</v>
      </c>
      <c r="H4829" s="12">
        <v>2431</v>
      </c>
      <c r="I4829" t="s">
        <v>3183</v>
      </c>
      <c r="J4829" t="s">
        <v>6</v>
      </c>
      <c r="K4829" t="s">
        <v>147</v>
      </c>
      <c r="L4829" t="s">
        <v>653</v>
      </c>
      <c r="M4829" t="s">
        <v>659</v>
      </c>
    </row>
    <row r="4830" spans="1:13">
      <c r="A4830" t="s">
        <v>851</v>
      </c>
      <c r="B4830" t="s">
        <v>686</v>
      </c>
      <c r="C4830" t="s">
        <v>686</v>
      </c>
      <c r="D4830" t="s">
        <v>3185</v>
      </c>
      <c r="E4830" t="s">
        <v>573</v>
      </c>
      <c r="F4830" t="s">
        <v>40</v>
      </c>
      <c r="G4830">
        <v>2020</v>
      </c>
      <c r="H4830" s="12">
        <v>2868</v>
      </c>
      <c r="I4830" t="s">
        <v>3183</v>
      </c>
      <c r="J4830" t="s">
        <v>6</v>
      </c>
      <c r="K4830" t="s">
        <v>147</v>
      </c>
      <c r="L4830" t="s">
        <v>653</v>
      </c>
      <c r="M4830" t="s">
        <v>659</v>
      </c>
    </row>
    <row r="4831" spans="1:13">
      <c r="A4831" t="s">
        <v>851</v>
      </c>
      <c r="B4831" t="s">
        <v>686</v>
      </c>
      <c r="C4831" t="s">
        <v>686</v>
      </c>
      <c r="D4831" t="s">
        <v>3185</v>
      </c>
      <c r="E4831" t="s">
        <v>573</v>
      </c>
      <c r="F4831" t="s">
        <v>40</v>
      </c>
      <c r="G4831">
        <v>2030</v>
      </c>
      <c r="H4831" s="12">
        <v>3452</v>
      </c>
      <c r="I4831" t="s">
        <v>3183</v>
      </c>
      <c r="J4831" t="s">
        <v>6</v>
      </c>
      <c r="K4831" t="s">
        <v>147</v>
      </c>
      <c r="L4831" t="s">
        <v>653</v>
      </c>
      <c r="M4831" t="s">
        <v>659</v>
      </c>
    </row>
    <row r="4832" spans="1:13">
      <c r="A4832" t="s">
        <v>851</v>
      </c>
      <c r="B4832" t="s">
        <v>686</v>
      </c>
      <c r="C4832" t="s">
        <v>686</v>
      </c>
      <c r="D4832" t="s">
        <v>3185</v>
      </c>
      <c r="E4832" t="s">
        <v>573</v>
      </c>
      <c r="F4832" t="s">
        <v>40</v>
      </c>
      <c r="G4832">
        <v>2035</v>
      </c>
      <c r="H4832" s="12">
        <v>3568</v>
      </c>
      <c r="I4832" t="s">
        <v>3183</v>
      </c>
      <c r="J4832" t="s">
        <v>6</v>
      </c>
      <c r="K4832" t="s">
        <v>147</v>
      </c>
      <c r="L4832" t="s">
        <v>653</v>
      </c>
      <c r="M4832" t="s">
        <v>659</v>
      </c>
    </row>
    <row r="4833" spans="1:13">
      <c r="A4833" t="s">
        <v>851</v>
      </c>
      <c r="B4833" t="s">
        <v>686</v>
      </c>
      <c r="C4833" t="s">
        <v>686</v>
      </c>
      <c r="D4833" t="s">
        <v>3185</v>
      </c>
      <c r="E4833" t="s">
        <v>573</v>
      </c>
      <c r="F4833" t="s">
        <v>40</v>
      </c>
      <c r="G4833">
        <v>2040</v>
      </c>
      <c r="H4833" s="12">
        <v>3692</v>
      </c>
      <c r="I4833" t="s">
        <v>3183</v>
      </c>
      <c r="J4833" t="s">
        <v>6</v>
      </c>
      <c r="K4833" t="s">
        <v>147</v>
      </c>
      <c r="L4833" t="s">
        <v>653</v>
      </c>
      <c r="M4833" t="s">
        <v>659</v>
      </c>
    </row>
    <row r="4834" spans="1:13">
      <c r="A4834" t="s">
        <v>851</v>
      </c>
      <c r="B4834" t="s">
        <v>686</v>
      </c>
      <c r="C4834" t="s">
        <v>686</v>
      </c>
      <c r="D4834" t="s">
        <v>3185</v>
      </c>
      <c r="E4834" t="s">
        <v>573</v>
      </c>
      <c r="F4834" t="s">
        <v>40</v>
      </c>
      <c r="G4834">
        <v>2045</v>
      </c>
      <c r="H4834" s="12">
        <v>3976</v>
      </c>
      <c r="I4834" t="s">
        <v>3183</v>
      </c>
      <c r="J4834" t="s">
        <v>6</v>
      </c>
      <c r="K4834" t="s">
        <v>147</v>
      </c>
      <c r="L4834" t="s">
        <v>653</v>
      </c>
      <c r="M4834" t="s">
        <v>659</v>
      </c>
    </row>
    <row r="4835" spans="1:13">
      <c r="A4835" t="s">
        <v>851</v>
      </c>
      <c r="B4835" t="s">
        <v>686</v>
      </c>
      <c r="C4835" t="s">
        <v>686</v>
      </c>
      <c r="D4835" t="s">
        <v>3185</v>
      </c>
      <c r="E4835" t="s">
        <v>573</v>
      </c>
      <c r="F4835" t="s">
        <v>40</v>
      </c>
      <c r="G4835">
        <v>2050</v>
      </c>
      <c r="H4835" s="12">
        <v>4449</v>
      </c>
      <c r="I4835" t="s">
        <v>3183</v>
      </c>
      <c r="J4835" t="s">
        <v>6</v>
      </c>
      <c r="K4835" t="s">
        <v>147</v>
      </c>
      <c r="L4835" t="s">
        <v>653</v>
      </c>
      <c r="M4835" t="s">
        <v>659</v>
      </c>
    </row>
    <row r="4836" spans="1:13">
      <c r="A4836" t="s">
        <v>851</v>
      </c>
      <c r="B4836" t="s">
        <v>687</v>
      </c>
      <c r="C4836" t="s">
        <v>687</v>
      </c>
      <c r="D4836" t="s">
        <v>3185</v>
      </c>
      <c r="E4836" t="s">
        <v>573</v>
      </c>
      <c r="F4836" t="s">
        <v>40</v>
      </c>
      <c r="G4836">
        <v>2030</v>
      </c>
      <c r="H4836" s="12">
        <v>2720</v>
      </c>
      <c r="I4836" t="s">
        <v>3183</v>
      </c>
      <c r="J4836" t="s">
        <v>6</v>
      </c>
      <c r="K4836" t="s">
        <v>147</v>
      </c>
      <c r="L4836" t="s">
        <v>653</v>
      </c>
      <c r="M4836" t="s">
        <v>659</v>
      </c>
    </row>
    <row r="4837" spans="1:13">
      <c r="A4837" t="s">
        <v>851</v>
      </c>
      <c r="B4837" t="s">
        <v>687</v>
      </c>
      <c r="C4837" t="s">
        <v>687</v>
      </c>
      <c r="D4837" t="s">
        <v>3185</v>
      </c>
      <c r="E4837" t="s">
        <v>573</v>
      </c>
      <c r="F4837" t="s">
        <v>40</v>
      </c>
      <c r="G4837">
        <v>2035</v>
      </c>
      <c r="H4837" s="12">
        <v>2343</v>
      </c>
      <c r="I4837" t="s">
        <v>3183</v>
      </c>
      <c r="J4837" t="s">
        <v>6</v>
      </c>
      <c r="K4837" t="s">
        <v>147</v>
      </c>
      <c r="L4837" t="s">
        <v>653</v>
      </c>
      <c r="M4837" t="s">
        <v>659</v>
      </c>
    </row>
    <row r="4838" spans="1:13">
      <c r="A4838" t="s">
        <v>851</v>
      </c>
      <c r="B4838" t="s">
        <v>687</v>
      </c>
      <c r="C4838" t="s">
        <v>687</v>
      </c>
      <c r="D4838" t="s">
        <v>3185</v>
      </c>
      <c r="E4838" t="s">
        <v>573</v>
      </c>
      <c r="F4838" t="s">
        <v>40</v>
      </c>
      <c r="G4838">
        <v>2040</v>
      </c>
      <c r="H4838" s="12">
        <v>2034</v>
      </c>
      <c r="I4838" t="s">
        <v>3183</v>
      </c>
      <c r="J4838" t="s">
        <v>6</v>
      </c>
      <c r="K4838" t="s">
        <v>147</v>
      </c>
      <c r="L4838" t="s">
        <v>653</v>
      </c>
      <c r="M4838" t="s">
        <v>659</v>
      </c>
    </row>
    <row r="4839" spans="1:13">
      <c r="A4839" t="s">
        <v>851</v>
      </c>
      <c r="B4839" t="s">
        <v>687</v>
      </c>
      <c r="C4839" t="s">
        <v>687</v>
      </c>
      <c r="D4839" t="s">
        <v>3185</v>
      </c>
      <c r="E4839" t="s">
        <v>573</v>
      </c>
      <c r="F4839" t="s">
        <v>40</v>
      </c>
      <c r="G4839">
        <v>2045</v>
      </c>
      <c r="H4839" s="12">
        <v>1902</v>
      </c>
      <c r="I4839" t="s">
        <v>3183</v>
      </c>
      <c r="J4839" t="s">
        <v>6</v>
      </c>
      <c r="K4839" t="s">
        <v>147</v>
      </c>
      <c r="L4839" t="s">
        <v>653</v>
      </c>
      <c r="M4839" t="s">
        <v>659</v>
      </c>
    </row>
    <row r="4840" spans="1:13">
      <c r="A4840" t="s">
        <v>851</v>
      </c>
      <c r="B4840" t="s">
        <v>687</v>
      </c>
      <c r="C4840" t="s">
        <v>687</v>
      </c>
      <c r="D4840" t="s">
        <v>3185</v>
      </c>
      <c r="E4840" t="s">
        <v>573</v>
      </c>
      <c r="F4840" t="s">
        <v>40</v>
      </c>
      <c r="G4840">
        <v>2050</v>
      </c>
      <c r="H4840" s="12">
        <v>2019</v>
      </c>
      <c r="I4840" t="s">
        <v>3183</v>
      </c>
      <c r="J4840" t="s">
        <v>6</v>
      </c>
      <c r="K4840" t="s">
        <v>147</v>
      </c>
      <c r="L4840" t="s">
        <v>653</v>
      </c>
      <c r="M4840" t="s">
        <v>659</v>
      </c>
    </row>
    <row r="4841" spans="1:13">
      <c r="A4841" t="s">
        <v>851</v>
      </c>
      <c r="B4841" t="s">
        <v>686</v>
      </c>
      <c r="C4841" t="s">
        <v>686</v>
      </c>
      <c r="D4841" t="s">
        <v>3185</v>
      </c>
      <c r="E4841" t="s">
        <v>573</v>
      </c>
      <c r="F4841" t="s">
        <v>40</v>
      </c>
      <c r="G4841">
        <v>2010</v>
      </c>
      <c r="H4841" s="12">
        <v>717</v>
      </c>
      <c r="I4841" t="s">
        <v>3183</v>
      </c>
      <c r="J4841" t="s">
        <v>394</v>
      </c>
      <c r="K4841" t="s">
        <v>147</v>
      </c>
      <c r="L4841" t="s">
        <v>653</v>
      </c>
      <c r="M4841" t="s">
        <v>16</v>
      </c>
    </row>
    <row r="4842" spans="1:13">
      <c r="A4842" t="s">
        <v>851</v>
      </c>
      <c r="B4842" t="s">
        <v>686</v>
      </c>
      <c r="C4842" t="s">
        <v>686</v>
      </c>
      <c r="D4842" t="s">
        <v>3185</v>
      </c>
      <c r="E4842" t="s">
        <v>573</v>
      </c>
      <c r="F4842" t="s">
        <v>40</v>
      </c>
      <c r="G4842">
        <v>2015</v>
      </c>
      <c r="H4842" s="12">
        <v>993</v>
      </c>
      <c r="I4842" t="s">
        <v>3183</v>
      </c>
      <c r="J4842" t="s">
        <v>394</v>
      </c>
      <c r="K4842" t="s">
        <v>147</v>
      </c>
      <c r="L4842" t="s">
        <v>653</v>
      </c>
      <c r="M4842" t="s">
        <v>16</v>
      </c>
    </row>
    <row r="4843" spans="1:13">
      <c r="A4843" t="s">
        <v>851</v>
      </c>
      <c r="B4843" t="s">
        <v>686</v>
      </c>
      <c r="C4843" t="s">
        <v>686</v>
      </c>
      <c r="D4843" t="s">
        <v>3185</v>
      </c>
      <c r="E4843" t="s">
        <v>573</v>
      </c>
      <c r="F4843" t="s">
        <v>40</v>
      </c>
      <c r="G4843">
        <v>2020</v>
      </c>
      <c r="H4843" s="12">
        <v>492</v>
      </c>
      <c r="I4843" t="s">
        <v>3183</v>
      </c>
      <c r="J4843" t="s">
        <v>394</v>
      </c>
      <c r="K4843" t="s">
        <v>147</v>
      </c>
      <c r="L4843" t="s">
        <v>653</v>
      </c>
      <c r="M4843" t="s">
        <v>16</v>
      </c>
    </row>
    <row r="4844" spans="1:13">
      <c r="A4844" t="s">
        <v>851</v>
      </c>
      <c r="B4844" t="s">
        <v>686</v>
      </c>
      <c r="C4844" t="s">
        <v>686</v>
      </c>
      <c r="D4844" t="s">
        <v>3185</v>
      </c>
      <c r="E4844" t="s">
        <v>573</v>
      </c>
      <c r="F4844" t="s">
        <v>40</v>
      </c>
      <c r="G4844">
        <v>2030</v>
      </c>
      <c r="H4844" s="12">
        <v>679</v>
      </c>
      <c r="I4844" t="s">
        <v>3183</v>
      </c>
      <c r="J4844" t="s">
        <v>394</v>
      </c>
      <c r="K4844" t="s">
        <v>147</v>
      </c>
      <c r="L4844" t="s">
        <v>653</v>
      </c>
      <c r="M4844" t="s">
        <v>16</v>
      </c>
    </row>
    <row r="4845" spans="1:13">
      <c r="A4845" t="s">
        <v>851</v>
      </c>
      <c r="B4845" t="s">
        <v>686</v>
      </c>
      <c r="C4845" t="s">
        <v>686</v>
      </c>
      <c r="D4845" t="s">
        <v>3185</v>
      </c>
      <c r="E4845" t="s">
        <v>573</v>
      </c>
      <c r="F4845" t="s">
        <v>40</v>
      </c>
      <c r="G4845">
        <v>2035</v>
      </c>
      <c r="H4845" s="12">
        <v>714</v>
      </c>
      <c r="I4845" t="s">
        <v>3183</v>
      </c>
      <c r="J4845" t="s">
        <v>394</v>
      </c>
      <c r="K4845" t="s">
        <v>147</v>
      </c>
      <c r="L4845" t="s">
        <v>653</v>
      </c>
      <c r="M4845" t="s">
        <v>16</v>
      </c>
    </row>
    <row r="4846" spans="1:13">
      <c r="A4846" t="s">
        <v>851</v>
      </c>
      <c r="B4846" t="s">
        <v>686</v>
      </c>
      <c r="C4846" t="s">
        <v>686</v>
      </c>
      <c r="D4846" t="s">
        <v>3185</v>
      </c>
      <c r="E4846" t="s">
        <v>573</v>
      </c>
      <c r="F4846" t="s">
        <v>40</v>
      </c>
      <c r="G4846">
        <v>2040</v>
      </c>
      <c r="H4846" s="12">
        <v>696</v>
      </c>
      <c r="I4846" t="s">
        <v>3183</v>
      </c>
      <c r="J4846" t="s">
        <v>394</v>
      </c>
      <c r="K4846" t="s">
        <v>147</v>
      </c>
      <c r="L4846" t="s">
        <v>653</v>
      </c>
      <c r="M4846" t="s">
        <v>16</v>
      </c>
    </row>
    <row r="4847" spans="1:13">
      <c r="A4847" t="s">
        <v>851</v>
      </c>
      <c r="B4847" t="s">
        <v>686</v>
      </c>
      <c r="C4847" t="s">
        <v>686</v>
      </c>
      <c r="D4847" t="s">
        <v>3185</v>
      </c>
      <c r="E4847" t="s">
        <v>573</v>
      </c>
      <c r="F4847" t="s">
        <v>40</v>
      </c>
      <c r="G4847">
        <v>2045</v>
      </c>
      <c r="H4847" s="12">
        <v>663</v>
      </c>
      <c r="I4847" t="s">
        <v>3183</v>
      </c>
      <c r="J4847" t="s">
        <v>394</v>
      </c>
      <c r="K4847" t="s">
        <v>147</v>
      </c>
      <c r="L4847" t="s">
        <v>653</v>
      </c>
      <c r="M4847" t="s">
        <v>16</v>
      </c>
    </row>
    <row r="4848" spans="1:13">
      <c r="A4848" t="s">
        <v>851</v>
      </c>
      <c r="B4848" t="s">
        <v>686</v>
      </c>
      <c r="C4848" t="s">
        <v>686</v>
      </c>
      <c r="D4848" t="s">
        <v>3185</v>
      </c>
      <c r="E4848" t="s">
        <v>573</v>
      </c>
      <c r="F4848" t="s">
        <v>40</v>
      </c>
      <c r="G4848">
        <v>2050</v>
      </c>
      <c r="H4848" s="12">
        <v>652</v>
      </c>
      <c r="I4848" t="s">
        <v>3183</v>
      </c>
      <c r="J4848" t="s">
        <v>394</v>
      </c>
      <c r="K4848" t="s">
        <v>147</v>
      </c>
      <c r="L4848" t="s">
        <v>653</v>
      </c>
      <c r="M4848" t="s">
        <v>16</v>
      </c>
    </row>
    <row r="4849" spans="1:13">
      <c r="A4849" t="s">
        <v>851</v>
      </c>
      <c r="B4849" t="s">
        <v>687</v>
      </c>
      <c r="C4849" t="s">
        <v>687</v>
      </c>
      <c r="D4849" t="s">
        <v>3185</v>
      </c>
      <c r="E4849" t="s">
        <v>573</v>
      </c>
      <c r="F4849" t="s">
        <v>40</v>
      </c>
      <c r="G4849">
        <v>2030</v>
      </c>
      <c r="H4849" s="12">
        <v>794</v>
      </c>
      <c r="I4849" t="s">
        <v>3183</v>
      </c>
      <c r="J4849" t="s">
        <v>394</v>
      </c>
      <c r="K4849" t="s">
        <v>147</v>
      </c>
      <c r="L4849" t="s">
        <v>653</v>
      </c>
      <c r="M4849" t="s">
        <v>16</v>
      </c>
    </row>
    <row r="4850" spans="1:13">
      <c r="A4850" t="s">
        <v>851</v>
      </c>
      <c r="B4850" t="s">
        <v>687</v>
      </c>
      <c r="C4850" t="s">
        <v>687</v>
      </c>
      <c r="D4850" t="s">
        <v>3185</v>
      </c>
      <c r="E4850" t="s">
        <v>573</v>
      </c>
      <c r="F4850" t="s">
        <v>40</v>
      </c>
      <c r="G4850">
        <v>2035</v>
      </c>
      <c r="H4850" s="12">
        <v>874</v>
      </c>
      <c r="I4850" t="s">
        <v>3183</v>
      </c>
      <c r="J4850" t="s">
        <v>394</v>
      </c>
      <c r="K4850" t="s">
        <v>147</v>
      </c>
      <c r="L4850" t="s">
        <v>653</v>
      </c>
      <c r="M4850" t="s">
        <v>16</v>
      </c>
    </row>
    <row r="4851" spans="1:13">
      <c r="A4851" t="s">
        <v>851</v>
      </c>
      <c r="B4851" t="s">
        <v>687</v>
      </c>
      <c r="C4851" t="s">
        <v>687</v>
      </c>
      <c r="D4851" t="s">
        <v>3185</v>
      </c>
      <c r="E4851" t="s">
        <v>573</v>
      </c>
      <c r="F4851" t="s">
        <v>40</v>
      </c>
      <c r="G4851">
        <v>2040</v>
      </c>
      <c r="H4851" s="12">
        <v>810</v>
      </c>
      <c r="I4851" t="s">
        <v>3183</v>
      </c>
      <c r="J4851" t="s">
        <v>394</v>
      </c>
      <c r="K4851" t="s">
        <v>147</v>
      </c>
      <c r="L4851" t="s">
        <v>653</v>
      </c>
      <c r="M4851" t="s">
        <v>16</v>
      </c>
    </row>
    <row r="4852" spans="1:13">
      <c r="A4852" t="s">
        <v>851</v>
      </c>
      <c r="B4852" t="s">
        <v>687</v>
      </c>
      <c r="C4852" t="s">
        <v>687</v>
      </c>
      <c r="D4852" t="s">
        <v>3185</v>
      </c>
      <c r="E4852" t="s">
        <v>573</v>
      </c>
      <c r="F4852" t="s">
        <v>40</v>
      </c>
      <c r="G4852">
        <v>2045</v>
      </c>
      <c r="H4852" s="12">
        <v>657</v>
      </c>
      <c r="I4852" t="s">
        <v>3183</v>
      </c>
      <c r="J4852" t="s">
        <v>394</v>
      </c>
      <c r="K4852" t="s">
        <v>147</v>
      </c>
      <c r="L4852" t="s">
        <v>653</v>
      </c>
      <c r="M4852" t="s">
        <v>16</v>
      </c>
    </row>
    <row r="4853" spans="1:13">
      <c r="A4853" t="s">
        <v>851</v>
      </c>
      <c r="B4853" t="s">
        <v>687</v>
      </c>
      <c r="C4853" t="s">
        <v>687</v>
      </c>
      <c r="D4853" t="s">
        <v>3185</v>
      </c>
      <c r="E4853" t="s">
        <v>573</v>
      </c>
      <c r="F4853" t="s">
        <v>40</v>
      </c>
      <c r="G4853">
        <v>2050</v>
      </c>
      <c r="H4853" s="12">
        <v>504</v>
      </c>
      <c r="I4853" t="s">
        <v>3183</v>
      </c>
      <c r="J4853" t="s">
        <v>394</v>
      </c>
      <c r="K4853" t="s">
        <v>147</v>
      </c>
      <c r="L4853" t="s">
        <v>653</v>
      </c>
      <c r="M4853" t="s">
        <v>16</v>
      </c>
    </row>
    <row r="4854" spans="1:13">
      <c r="A4854" t="s">
        <v>851</v>
      </c>
      <c r="B4854" t="s">
        <v>686</v>
      </c>
      <c r="C4854" t="s">
        <v>686</v>
      </c>
      <c r="D4854" t="s">
        <v>3185</v>
      </c>
      <c r="E4854" t="s">
        <v>573</v>
      </c>
      <c r="F4854" t="s">
        <v>40</v>
      </c>
      <c r="G4854">
        <v>2010</v>
      </c>
      <c r="H4854" s="12">
        <v>2775</v>
      </c>
      <c r="I4854" t="s">
        <v>3183</v>
      </c>
      <c r="J4854" t="s">
        <v>5</v>
      </c>
      <c r="K4854" t="s">
        <v>147</v>
      </c>
      <c r="L4854" t="s">
        <v>653</v>
      </c>
      <c r="M4854" t="s">
        <v>5</v>
      </c>
    </row>
    <row r="4855" spans="1:13">
      <c r="A4855" t="s">
        <v>851</v>
      </c>
      <c r="B4855" t="s">
        <v>686</v>
      </c>
      <c r="C4855" t="s">
        <v>686</v>
      </c>
      <c r="D4855" t="s">
        <v>3185</v>
      </c>
      <c r="E4855" t="s">
        <v>573</v>
      </c>
      <c r="F4855" t="s">
        <v>40</v>
      </c>
      <c r="G4855">
        <v>2015</v>
      </c>
      <c r="H4855" s="12">
        <v>2758</v>
      </c>
      <c r="I4855" t="s">
        <v>3183</v>
      </c>
      <c r="J4855" t="s">
        <v>5</v>
      </c>
      <c r="K4855" t="s">
        <v>147</v>
      </c>
      <c r="L4855" t="s">
        <v>653</v>
      </c>
      <c r="M4855" t="s">
        <v>5</v>
      </c>
    </row>
    <row r="4856" spans="1:13">
      <c r="A4856" t="s">
        <v>851</v>
      </c>
      <c r="B4856" t="s">
        <v>686</v>
      </c>
      <c r="C4856" t="s">
        <v>686</v>
      </c>
      <c r="D4856" t="s">
        <v>3185</v>
      </c>
      <c r="E4856" t="s">
        <v>573</v>
      </c>
      <c r="F4856" t="s">
        <v>40</v>
      </c>
      <c r="G4856">
        <v>2020</v>
      </c>
      <c r="H4856" s="12">
        <v>2692</v>
      </c>
      <c r="I4856" t="s">
        <v>3183</v>
      </c>
      <c r="J4856" t="s">
        <v>5</v>
      </c>
      <c r="K4856" t="s">
        <v>147</v>
      </c>
      <c r="L4856" t="s">
        <v>653</v>
      </c>
      <c r="M4856" t="s">
        <v>5</v>
      </c>
    </row>
    <row r="4857" spans="1:13">
      <c r="A4857" t="s">
        <v>851</v>
      </c>
      <c r="B4857" t="s">
        <v>686</v>
      </c>
      <c r="C4857" t="s">
        <v>686</v>
      </c>
      <c r="D4857" t="s">
        <v>3185</v>
      </c>
      <c r="E4857" t="s">
        <v>573</v>
      </c>
      <c r="F4857" t="s">
        <v>40</v>
      </c>
      <c r="G4857">
        <v>2030</v>
      </c>
      <c r="H4857" s="12">
        <v>2205</v>
      </c>
      <c r="I4857" t="s">
        <v>3183</v>
      </c>
      <c r="J4857" t="s">
        <v>5</v>
      </c>
      <c r="K4857" t="s">
        <v>147</v>
      </c>
      <c r="L4857" t="s">
        <v>653</v>
      </c>
      <c r="M4857" t="s">
        <v>5</v>
      </c>
    </row>
    <row r="4858" spans="1:13">
      <c r="A4858" t="s">
        <v>851</v>
      </c>
      <c r="B4858" t="s">
        <v>686</v>
      </c>
      <c r="C4858" t="s">
        <v>686</v>
      </c>
      <c r="D4858" t="s">
        <v>3185</v>
      </c>
      <c r="E4858" t="s">
        <v>573</v>
      </c>
      <c r="F4858" t="s">
        <v>40</v>
      </c>
      <c r="G4858">
        <v>2035</v>
      </c>
      <c r="H4858" s="12">
        <v>1879</v>
      </c>
      <c r="I4858" t="s">
        <v>3183</v>
      </c>
      <c r="J4858" t="s">
        <v>5</v>
      </c>
      <c r="K4858" t="s">
        <v>147</v>
      </c>
      <c r="L4858" t="s">
        <v>653</v>
      </c>
      <c r="M4858" t="s">
        <v>5</v>
      </c>
    </row>
    <row r="4859" spans="1:13">
      <c r="A4859" t="s">
        <v>851</v>
      </c>
      <c r="B4859" t="s">
        <v>686</v>
      </c>
      <c r="C4859" t="s">
        <v>686</v>
      </c>
      <c r="D4859" t="s">
        <v>3185</v>
      </c>
      <c r="E4859" t="s">
        <v>573</v>
      </c>
      <c r="F4859" t="s">
        <v>40</v>
      </c>
      <c r="G4859">
        <v>2040</v>
      </c>
      <c r="H4859" s="12">
        <v>1433</v>
      </c>
      <c r="I4859" t="s">
        <v>3183</v>
      </c>
      <c r="J4859" t="s">
        <v>5</v>
      </c>
      <c r="K4859" t="s">
        <v>147</v>
      </c>
      <c r="L4859" t="s">
        <v>653</v>
      </c>
      <c r="M4859" t="s">
        <v>5</v>
      </c>
    </row>
    <row r="4860" spans="1:13">
      <c r="A4860" t="s">
        <v>851</v>
      </c>
      <c r="B4860" t="s">
        <v>686</v>
      </c>
      <c r="C4860" t="s">
        <v>686</v>
      </c>
      <c r="D4860" t="s">
        <v>3185</v>
      </c>
      <c r="E4860" t="s">
        <v>573</v>
      </c>
      <c r="F4860" t="s">
        <v>40</v>
      </c>
      <c r="G4860">
        <v>2045</v>
      </c>
      <c r="H4860" s="12">
        <v>1216</v>
      </c>
      <c r="I4860" t="s">
        <v>3183</v>
      </c>
      <c r="J4860" t="s">
        <v>5</v>
      </c>
      <c r="K4860" t="s">
        <v>147</v>
      </c>
      <c r="L4860" t="s">
        <v>653</v>
      </c>
      <c r="M4860" t="s">
        <v>5</v>
      </c>
    </row>
    <row r="4861" spans="1:13">
      <c r="A4861" t="s">
        <v>851</v>
      </c>
      <c r="B4861" t="s">
        <v>686</v>
      </c>
      <c r="C4861" t="s">
        <v>686</v>
      </c>
      <c r="D4861" t="s">
        <v>3185</v>
      </c>
      <c r="E4861" t="s">
        <v>573</v>
      </c>
      <c r="F4861" t="s">
        <v>40</v>
      </c>
      <c r="G4861">
        <v>2050</v>
      </c>
      <c r="H4861" s="12">
        <v>1063</v>
      </c>
      <c r="I4861" t="s">
        <v>3183</v>
      </c>
      <c r="J4861" t="s">
        <v>5</v>
      </c>
      <c r="K4861" t="s">
        <v>147</v>
      </c>
      <c r="L4861" t="s">
        <v>653</v>
      </c>
      <c r="M4861" t="s">
        <v>5</v>
      </c>
    </row>
    <row r="4862" spans="1:13">
      <c r="A4862" t="s">
        <v>851</v>
      </c>
      <c r="B4862" t="s">
        <v>687</v>
      </c>
      <c r="C4862" t="s">
        <v>687</v>
      </c>
      <c r="D4862" t="s">
        <v>3185</v>
      </c>
      <c r="E4862" t="s">
        <v>573</v>
      </c>
      <c r="F4862" t="s">
        <v>40</v>
      </c>
      <c r="G4862">
        <v>2030</v>
      </c>
      <c r="H4862" s="12">
        <v>1847</v>
      </c>
      <c r="I4862" t="s">
        <v>3183</v>
      </c>
      <c r="J4862" t="s">
        <v>5</v>
      </c>
      <c r="K4862" t="s">
        <v>147</v>
      </c>
      <c r="L4862" t="s">
        <v>653</v>
      </c>
      <c r="M4862" t="s">
        <v>5</v>
      </c>
    </row>
    <row r="4863" spans="1:13">
      <c r="A4863" t="s">
        <v>851</v>
      </c>
      <c r="B4863" t="s">
        <v>687</v>
      </c>
      <c r="C4863" t="s">
        <v>687</v>
      </c>
      <c r="D4863" t="s">
        <v>3185</v>
      </c>
      <c r="E4863" t="s">
        <v>573</v>
      </c>
      <c r="F4863" t="s">
        <v>40</v>
      </c>
      <c r="G4863">
        <v>2035</v>
      </c>
      <c r="H4863" s="12">
        <v>1153</v>
      </c>
      <c r="I4863" t="s">
        <v>3183</v>
      </c>
      <c r="J4863" t="s">
        <v>5</v>
      </c>
      <c r="K4863" t="s">
        <v>147</v>
      </c>
      <c r="L4863" t="s">
        <v>653</v>
      </c>
      <c r="M4863" t="s">
        <v>5</v>
      </c>
    </row>
    <row r="4864" spans="1:13">
      <c r="A4864" t="s">
        <v>851</v>
      </c>
      <c r="B4864" t="s">
        <v>687</v>
      </c>
      <c r="C4864" t="s">
        <v>687</v>
      </c>
      <c r="D4864" t="s">
        <v>3185</v>
      </c>
      <c r="E4864" t="s">
        <v>573</v>
      </c>
      <c r="F4864" t="s">
        <v>40</v>
      </c>
      <c r="G4864">
        <v>2040</v>
      </c>
      <c r="H4864" s="12">
        <v>562</v>
      </c>
      <c r="I4864" t="s">
        <v>3183</v>
      </c>
      <c r="J4864" t="s">
        <v>5</v>
      </c>
      <c r="K4864" t="s">
        <v>147</v>
      </c>
      <c r="L4864" t="s">
        <v>653</v>
      </c>
      <c r="M4864" t="s">
        <v>5</v>
      </c>
    </row>
    <row r="4865" spans="1:13">
      <c r="A4865" t="s">
        <v>851</v>
      </c>
      <c r="B4865" t="s">
        <v>686</v>
      </c>
      <c r="C4865" t="s">
        <v>686</v>
      </c>
      <c r="D4865" t="s">
        <v>3185</v>
      </c>
      <c r="E4865" t="s">
        <v>660</v>
      </c>
      <c r="F4865" t="s">
        <v>40</v>
      </c>
      <c r="G4865">
        <v>2040</v>
      </c>
      <c r="H4865" s="12">
        <v>1164</v>
      </c>
      <c r="I4865" t="s">
        <v>3183</v>
      </c>
      <c r="J4865" t="s">
        <v>14</v>
      </c>
      <c r="K4865" t="s">
        <v>657</v>
      </c>
      <c r="L4865" t="s">
        <v>653</v>
      </c>
      <c r="M4865" t="s">
        <v>14</v>
      </c>
    </row>
    <row r="4866" spans="1:13">
      <c r="A4866" t="s">
        <v>851</v>
      </c>
      <c r="B4866" t="s">
        <v>686</v>
      </c>
      <c r="C4866" t="s">
        <v>686</v>
      </c>
      <c r="D4866" t="s">
        <v>3185</v>
      </c>
      <c r="E4866" t="s">
        <v>660</v>
      </c>
      <c r="F4866" t="s">
        <v>40</v>
      </c>
      <c r="G4866">
        <v>2045</v>
      </c>
      <c r="H4866" s="12">
        <v>1506</v>
      </c>
      <c r="I4866" t="s">
        <v>3183</v>
      </c>
      <c r="J4866" t="s">
        <v>14</v>
      </c>
      <c r="K4866" t="s">
        <v>657</v>
      </c>
      <c r="L4866" t="s">
        <v>653</v>
      </c>
      <c r="M4866" t="s">
        <v>14</v>
      </c>
    </row>
    <row r="4867" spans="1:13">
      <c r="A4867" t="s">
        <v>851</v>
      </c>
      <c r="B4867" t="s">
        <v>686</v>
      </c>
      <c r="C4867" t="s">
        <v>686</v>
      </c>
      <c r="D4867" t="s">
        <v>3185</v>
      </c>
      <c r="E4867" t="s">
        <v>660</v>
      </c>
      <c r="F4867" t="s">
        <v>40</v>
      </c>
      <c r="G4867">
        <v>2050</v>
      </c>
      <c r="H4867" s="12">
        <v>1935</v>
      </c>
      <c r="I4867" t="s">
        <v>3183</v>
      </c>
      <c r="J4867" t="s">
        <v>14</v>
      </c>
      <c r="K4867" t="s">
        <v>657</v>
      </c>
      <c r="L4867" t="s">
        <v>653</v>
      </c>
      <c r="M4867" t="s">
        <v>14</v>
      </c>
    </row>
    <row r="4868" spans="1:13">
      <c r="A4868" t="s">
        <v>851</v>
      </c>
      <c r="B4868" t="s">
        <v>687</v>
      </c>
      <c r="C4868" t="s">
        <v>687</v>
      </c>
      <c r="D4868" t="s">
        <v>3185</v>
      </c>
      <c r="E4868" t="s">
        <v>660</v>
      </c>
      <c r="F4868" t="s">
        <v>40</v>
      </c>
      <c r="G4868">
        <v>2030</v>
      </c>
      <c r="H4868" s="12">
        <v>973</v>
      </c>
      <c r="I4868" t="s">
        <v>3183</v>
      </c>
      <c r="J4868" t="s">
        <v>14</v>
      </c>
      <c r="K4868" t="s">
        <v>657</v>
      </c>
      <c r="L4868" t="s">
        <v>653</v>
      </c>
      <c r="M4868" t="s">
        <v>14</v>
      </c>
    </row>
    <row r="4869" spans="1:13">
      <c r="A4869" t="s">
        <v>851</v>
      </c>
      <c r="B4869" t="s">
        <v>687</v>
      </c>
      <c r="C4869" t="s">
        <v>687</v>
      </c>
      <c r="D4869" t="s">
        <v>3185</v>
      </c>
      <c r="E4869" t="s">
        <v>660</v>
      </c>
      <c r="F4869" t="s">
        <v>40</v>
      </c>
      <c r="G4869">
        <v>2035</v>
      </c>
      <c r="H4869" s="12">
        <v>1182</v>
      </c>
      <c r="I4869" t="s">
        <v>3183</v>
      </c>
      <c r="J4869" t="s">
        <v>14</v>
      </c>
      <c r="K4869" t="s">
        <v>657</v>
      </c>
      <c r="L4869" t="s">
        <v>653</v>
      </c>
      <c r="M4869" t="s">
        <v>14</v>
      </c>
    </row>
    <row r="4870" spans="1:13">
      <c r="A4870" t="s">
        <v>851</v>
      </c>
      <c r="B4870" t="s">
        <v>687</v>
      </c>
      <c r="C4870" t="s">
        <v>687</v>
      </c>
      <c r="D4870" t="s">
        <v>3185</v>
      </c>
      <c r="E4870" t="s">
        <v>660</v>
      </c>
      <c r="F4870" t="s">
        <v>40</v>
      </c>
      <c r="G4870">
        <v>2040</v>
      </c>
      <c r="H4870" s="12">
        <v>1483</v>
      </c>
      <c r="I4870" t="s">
        <v>3183</v>
      </c>
      <c r="J4870" t="s">
        <v>14</v>
      </c>
      <c r="K4870" t="s">
        <v>657</v>
      </c>
      <c r="L4870" t="s">
        <v>653</v>
      </c>
      <c r="M4870" t="s">
        <v>14</v>
      </c>
    </row>
    <row r="4871" spans="1:13">
      <c r="A4871" t="s">
        <v>851</v>
      </c>
      <c r="B4871" t="s">
        <v>687</v>
      </c>
      <c r="C4871" t="s">
        <v>687</v>
      </c>
      <c r="D4871" t="s">
        <v>3185</v>
      </c>
      <c r="E4871" t="s">
        <v>660</v>
      </c>
      <c r="F4871" t="s">
        <v>40</v>
      </c>
      <c r="G4871">
        <v>2045</v>
      </c>
      <c r="H4871" s="12">
        <v>1836</v>
      </c>
      <c r="I4871" t="s">
        <v>3183</v>
      </c>
      <c r="J4871" t="s">
        <v>14</v>
      </c>
      <c r="K4871" t="s">
        <v>657</v>
      </c>
      <c r="L4871" t="s">
        <v>653</v>
      </c>
      <c r="M4871" t="s">
        <v>14</v>
      </c>
    </row>
    <row r="4872" spans="1:13">
      <c r="A4872" t="s">
        <v>851</v>
      </c>
      <c r="B4872" t="s">
        <v>687</v>
      </c>
      <c r="C4872" t="s">
        <v>687</v>
      </c>
      <c r="D4872" t="s">
        <v>3185</v>
      </c>
      <c r="E4872" t="s">
        <v>660</v>
      </c>
      <c r="F4872" t="s">
        <v>40</v>
      </c>
      <c r="G4872">
        <v>2050</v>
      </c>
      <c r="H4872" s="12">
        <v>2317</v>
      </c>
      <c r="I4872" t="s">
        <v>3183</v>
      </c>
      <c r="J4872" t="s">
        <v>14</v>
      </c>
      <c r="K4872" t="s">
        <v>657</v>
      </c>
      <c r="L4872" t="s">
        <v>653</v>
      </c>
      <c r="M4872" t="s">
        <v>14</v>
      </c>
    </row>
    <row r="4873" spans="1:13">
      <c r="A4873" t="s">
        <v>851</v>
      </c>
      <c r="B4873" t="s">
        <v>686</v>
      </c>
      <c r="C4873" t="s">
        <v>686</v>
      </c>
      <c r="D4873" t="s">
        <v>3185</v>
      </c>
      <c r="E4873" t="s">
        <v>660</v>
      </c>
      <c r="F4873" t="s">
        <v>40</v>
      </c>
      <c r="G4873">
        <v>2010</v>
      </c>
      <c r="H4873" s="12">
        <v>3250</v>
      </c>
      <c r="I4873" t="s">
        <v>3183</v>
      </c>
      <c r="J4873" t="s">
        <v>41</v>
      </c>
      <c r="K4873" t="s">
        <v>657</v>
      </c>
      <c r="L4873" t="s">
        <v>653</v>
      </c>
      <c r="M4873" t="s">
        <v>662</v>
      </c>
    </row>
    <row r="4874" spans="1:13">
      <c r="A4874" t="s">
        <v>851</v>
      </c>
      <c r="B4874" t="s">
        <v>686</v>
      </c>
      <c r="C4874" t="s">
        <v>686</v>
      </c>
      <c r="D4874" t="s">
        <v>3185</v>
      </c>
      <c r="E4874" t="s">
        <v>660</v>
      </c>
      <c r="F4874" t="s">
        <v>40</v>
      </c>
      <c r="G4874">
        <v>2015</v>
      </c>
      <c r="H4874" s="12">
        <v>3938</v>
      </c>
      <c r="I4874" t="s">
        <v>3183</v>
      </c>
      <c r="J4874" t="s">
        <v>41</v>
      </c>
      <c r="K4874" t="s">
        <v>657</v>
      </c>
      <c r="L4874" t="s">
        <v>653</v>
      </c>
      <c r="M4874" t="s">
        <v>662</v>
      </c>
    </row>
    <row r="4875" spans="1:13">
      <c r="A4875" t="s">
        <v>851</v>
      </c>
      <c r="B4875" t="s">
        <v>686</v>
      </c>
      <c r="C4875" t="s">
        <v>686</v>
      </c>
      <c r="D4875" t="s">
        <v>3185</v>
      </c>
      <c r="E4875" t="s">
        <v>660</v>
      </c>
      <c r="F4875" t="s">
        <v>40</v>
      </c>
      <c r="G4875">
        <v>2020</v>
      </c>
      <c r="H4875" s="12">
        <v>4264</v>
      </c>
      <c r="I4875" t="s">
        <v>3183</v>
      </c>
      <c r="J4875" t="s">
        <v>41</v>
      </c>
      <c r="K4875" t="s">
        <v>657</v>
      </c>
      <c r="L4875" t="s">
        <v>653</v>
      </c>
      <c r="M4875" t="s">
        <v>662</v>
      </c>
    </row>
    <row r="4876" spans="1:13">
      <c r="A4876" t="s">
        <v>851</v>
      </c>
      <c r="B4876" t="s">
        <v>686</v>
      </c>
      <c r="C4876" t="s">
        <v>686</v>
      </c>
      <c r="D4876" t="s">
        <v>3185</v>
      </c>
      <c r="E4876" t="s">
        <v>660</v>
      </c>
      <c r="F4876" t="s">
        <v>40</v>
      </c>
      <c r="G4876">
        <v>2030</v>
      </c>
      <c r="H4876" s="12">
        <v>6948</v>
      </c>
      <c r="I4876" t="s">
        <v>3183</v>
      </c>
      <c r="J4876" t="s">
        <v>41</v>
      </c>
      <c r="K4876" t="s">
        <v>657</v>
      </c>
      <c r="L4876" t="s">
        <v>653</v>
      </c>
      <c r="M4876" t="s">
        <v>662</v>
      </c>
    </row>
    <row r="4877" spans="1:13">
      <c r="A4877" t="s">
        <v>851</v>
      </c>
      <c r="B4877" t="s">
        <v>686</v>
      </c>
      <c r="C4877" t="s">
        <v>686</v>
      </c>
      <c r="D4877" t="s">
        <v>3185</v>
      </c>
      <c r="E4877" t="s">
        <v>660</v>
      </c>
      <c r="F4877" t="s">
        <v>40</v>
      </c>
      <c r="G4877">
        <v>2035</v>
      </c>
      <c r="H4877" s="12">
        <v>8062</v>
      </c>
      <c r="I4877" t="s">
        <v>3183</v>
      </c>
      <c r="J4877" t="s">
        <v>41</v>
      </c>
      <c r="K4877" t="s">
        <v>657</v>
      </c>
      <c r="L4877" t="s">
        <v>653</v>
      </c>
      <c r="M4877" t="s">
        <v>662</v>
      </c>
    </row>
    <row r="4878" spans="1:13">
      <c r="A4878" t="s">
        <v>851</v>
      </c>
      <c r="B4878" t="s">
        <v>686</v>
      </c>
      <c r="C4878" t="s">
        <v>686</v>
      </c>
      <c r="D4878" t="s">
        <v>3185</v>
      </c>
      <c r="E4878" t="s">
        <v>660</v>
      </c>
      <c r="F4878" t="s">
        <v>40</v>
      </c>
      <c r="G4878">
        <v>2040</v>
      </c>
      <c r="H4878" s="12">
        <v>9217</v>
      </c>
      <c r="I4878" t="s">
        <v>3183</v>
      </c>
      <c r="J4878" t="s">
        <v>41</v>
      </c>
      <c r="K4878" t="s">
        <v>657</v>
      </c>
      <c r="L4878" t="s">
        <v>653</v>
      </c>
      <c r="M4878" t="s">
        <v>662</v>
      </c>
    </row>
    <row r="4879" spans="1:13">
      <c r="A4879" t="s">
        <v>851</v>
      </c>
      <c r="B4879" t="s">
        <v>686</v>
      </c>
      <c r="C4879" t="s">
        <v>686</v>
      </c>
      <c r="D4879" t="s">
        <v>3185</v>
      </c>
      <c r="E4879" t="s">
        <v>660</v>
      </c>
      <c r="F4879" t="s">
        <v>40</v>
      </c>
      <c r="G4879">
        <v>2045</v>
      </c>
      <c r="H4879" s="12">
        <v>10481</v>
      </c>
      <c r="I4879" t="s">
        <v>3183</v>
      </c>
      <c r="J4879" t="s">
        <v>41</v>
      </c>
      <c r="K4879" t="s">
        <v>657</v>
      </c>
      <c r="L4879" t="s">
        <v>653</v>
      </c>
      <c r="M4879" t="s">
        <v>662</v>
      </c>
    </row>
    <row r="4880" spans="1:13">
      <c r="A4880" t="s">
        <v>851</v>
      </c>
      <c r="B4880" t="s">
        <v>686</v>
      </c>
      <c r="C4880" t="s">
        <v>686</v>
      </c>
      <c r="D4880" t="s">
        <v>3185</v>
      </c>
      <c r="E4880" t="s">
        <v>660</v>
      </c>
      <c r="F4880" t="s">
        <v>40</v>
      </c>
      <c r="G4880">
        <v>2050</v>
      </c>
      <c r="H4880" s="12">
        <v>12019</v>
      </c>
      <c r="I4880" t="s">
        <v>3183</v>
      </c>
      <c r="J4880" t="s">
        <v>41</v>
      </c>
      <c r="K4880" t="s">
        <v>657</v>
      </c>
      <c r="L4880" t="s">
        <v>653</v>
      </c>
      <c r="M4880" t="s">
        <v>662</v>
      </c>
    </row>
    <row r="4881" spans="1:13">
      <c r="A4881" t="s">
        <v>851</v>
      </c>
      <c r="B4881" t="s">
        <v>687</v>
      </c>
      <c r="C4881" t="s">
        <v>687</v>
      </c>
      <c r="D4881" t="s">
        <v>3185</v>
      </c>
      <c r="E4881" t="s">
        <v>660</v>
      </c>
      <c r="F4881" t="s">
        <v>40</v>
      </c>
      <c r="G4881">
        <v>2030</v>
      </c>
      <c r="H4881" s="12">
        <v>6093</v>
      </c>
      <c r="I4881" t="s">
        <v>3183</v>
      </c>
      <c r="J4881" t="s">
        <v>41</v>
      </c>
      <c r="K4881" t="s">
        <v>657</v>
      </c>
      <c r="L4881" t="s">
        <v>653</v>
      </c>
      <c r="M4881" t="s">
        <v>662</v>
      </c>
    </row>
    <row r="4882" spans="1:13">
      <c r="A4882" t="s">
        <v>851</v>
      </c>
      <c r="B4882" t="s">
        <v>687</v>
      </c>
      <c r="C4882" t="s">
        <v>687</v>
      </c>
      <c r="D4882" t="s">
        <v>3185</v>
      </c>
      <c r="E4882" t="s">
        <v>660</v>
      </c>
      <c r="F4882" t="s">
        <v>40</v>
      </c>
      <c r="G4882">
        <v>2035</v>
      </c>
      <c r="H4882" s="12">
        <v>6926</v>
      </c>
      <c r="I4882" t="s">
        <v>3183</v>
      </c>
      <c r="J4882" t="s">
        <v>41</v>
      </c>
      <c r="K4882" t="s">
        <v>657</v>
      </c>
      <c r="L4882" t="s">
        <v>653</v>
      </c>
      <c r="M4882" t="s">
        <v>662</v>
      </c>
    </row>
    <row r="4883" spans="1:13">
      <c r="A4883" t="s">
        <v>851</v>
      </c>
      <c r="B4883" t="s">
        <v>687</v>
      </c>
      <c r="C4883" t="s">
        <v>687</v>
      </c>
      <c r="D4883" t="s">
        <v>3185</v>
      </c>
      <c r="E4883" t="s">
        <v>660</v>
      </c>
      <c r="F4883" t="s">
        <v>40</v>
      </c>
      <c r="G4883">
        <v>2040</v>
      </c>
      <c r="H4883" s="12">
        <v>7359</v>
      </c>
      <c r="I4883" t="s">
        <v>3183</v>
      </c>
      <c r="J4883" t="s">
        <v>41</v>
      </c>
      <c r="K4883" t="s">
        <v>657</v>
      </c>
      <c r="L4883" t="s">
        <v>653</v>
      </c>
      <c r="M4883" t="s">
        <v>662</v>
      </c>
    </row>
    <row r="4884" spans="1:13">
      <c r="A4884" t="s">
        <v>851</v>
      </c>
      <c r="B4884" t="s">
        <v>687</v>
      </c>
      <c r="C4884" t="s">
        <v>687</v>
      </c>
      <c r="D4884" t="s">
        <v>3185</v>
      </c>
      <c r="E4884" t="s">
        <v>660</v>
      </c>
      <c r="F4884" t="s">
        <v>40</v>
      </c>
      <c r="G4884">
        <v>2045</v>
      </c>
      <c r="H4884" s="12">
        <v>8297</v>
      </c>
      <c r="I4884" t="s">
        <v>3183</v>
      </c>
      <c r="J4884" t="s">
        <v>41</v>
      </c>
      <c r="K4884" t="s">
        <v>657</v>
      </c>
      <c r="L4884" t="s">
        <v>653</v>
      </c>
      <c r="M4884" t="s">
        <v>662</v>
      </c>
    </row>
    <row r="4885" spans="1:13">
      <c r="A4885" t="s">
        <v>851</v>
      </c>
      <c r="B4885" t="s">
        <v>687</v>
      </c>
      <c r="C4885" t="s">
        <v>687</v>
      </c>
      <c r="D4885" t="s">
        <v>3185</v>
      </c>
      <c r="E4885" t="s">
        <v>660</v>
      </c>
      <c r="F4885" t="s">
        <v>40</v>
      </c>
      <c r="G4885">
        <v>2050</v>
      </c>
      <c r="H4885" s="12">
        <v>9096</v>
      </c>
      <c r="I4885" t="s">
        <v>3183</v>
      </c>
      <c r="J4885" t="s">
        <v>41</v>
      </c>
      <c r="K4885" t="s">
        <v>657</v>
      </c>
      <c r="L4885" t="s">
        <v>653</v>
      </c>
      <c r="M4885" t="s">
        <v>662</v>
      </c>
    </row>
    <row r="4886" spans="1:13">
      <c r="A4886" t="s">
        <v>851</v>
      </c>
      <c r="B4886" t="s">
        <v>686</v>
      </c>
      <c r="C4886" t="s">
        <v>686</v>
      </c>
      <c r="D4886" t="s">
        <v>3185</v>
      </c>
      <c r="E4886" t="s">
        <v>660</v>
      </c>
      <c r="F4886" t="s">
        <v>40</v>
      </c>
      <c r="G4886">
        <v>2010</v>
      </c>
      <c r="H4886" s="12">
        <v>9981</v>
      </c>
      <c r="I4886" t="s">
        <v>3183</v>
      </c>
      <c r="J4886" t="s">
        <v>41</v>
      </c>
      <c r="K4886" t="s">
        <v>657</v>
      </c>
      <c r="L4886" t="s">
        <v>653</v>
      </c>
      <c r="M4886" t="s">
        <v>661</v>
      </c>
    </row>
    <row r="4887" spans="1:13">
      <c r="A4887" t="s">
        <v>851</v>
      </c>
      <c r="B4887" t="s">
        <v>686</v>
      </c>
      <c r="C4887" t="s">
        <v>686</v>
      </c>
      <c r="D4887" t="s">
        <v>3185</v>
      </c>
      <c r="E4887" t="s">
        <v>660</v>
      </c>
      <c r="F4887" t="s">
        <v>40</v>
      </c>
      <c r="G4887">
        <v>2015</v>
      </c>
      <c r="H4887" s="12">
        <v>11181</v>
      </c>
      <c r="I4887" t="s">
        <v>3183</v>
      </c>
      <c r="J4887" t="s">
        <v>41</v>
      </c>
      <c r="K4887" t="s">
        <v>657</v>
      </c>
      <c r="L4887" t="s">
        <v>653</v>
      </c>
      <c r="M4887" t="s">
        <v>661</v>
      </c>
    </row>
    <row r="4888" spans="1:13">
      <c r="A4888" t="s">
        <v>851</v>
      </c>
      <c r="B4888" t="s">
        <v>686</v>
      </c>
      <c r="C4888" t="s">
        <v>686</v>
      </c>
      <c r="D4888" t="s">
        <v>3185</v>
      </c>
      <c r="E4888" t="s">
        <v>660</v>
      </c>
      <c r="F4888" t="s">
        <v>40</v>
      </c>
      <c r="G4888">
        <v>2020</v>
      </c>
      <c r="H4888" s="12">
        <v>12317</v>
      </c>
      <c r="I4888" t="s">
        <v>3183</v>
      </c>
      <c r="J4888" t="s">
        <v>41</v>
      </c>
      <c r="K4888" t="s">
        <v>657</v>
      </c>
      <c r="L4888" t="s">
        <v>653</v>
      </c>
      <c r="M4888" t="s">
        <v>661</v>
      </c>
    </row>
    <row r="4889" spans="1:13">
      <c r="A4889" t="s">
        <v>851</v>
      </c>
      <c r="B4889" t="s">
        <v>686</v>
      </c>
      <c r="C4889" t="s">
        <v>686</v>
      </c>
      <c r="D4889" t="s">
        <v>3185</v>
      </c>
      <c r="E4889" t="s">
        <v>660</v>
      </c>
      <c r="F4889" t="s">
        <v>40</v>
      </c>
      <c r="G4889">
        <v>2030</v>
      </c>
      <c r="H4889" s="12">
        <v>12776</v>
      </c>
      <c r="I4889" t="s">
        <v>3183</v>
      </c>
      <c r="J4889" t="s">
        <v>41</v>
      </c>
      <c r="K4889" t="s">
        <v>657</v>
      </c>
      <c r="L4889" t="s">
        <v>653</v>
      </c>
      <c r="M4889" t="s">
        <v>661</v>
      </c>
    </row>
    <row r="4890" spans="1:13">
      <c r="A4890" t="s">
        <v>851</v>
      </c>
      <c r="B4890" t="s">
        <v>686</v>
      </c>
      <c r="C4890" t="s">
        <v>686</v>
      </c>
      <c r="D4890" t="s">
        <v>3185</v>
      </c>
      <c r="E4890" t="s">
        <v>660</v>
      </c>
      <c r="F4890" t="s">
        <v>40</v>
      </c>
      <c r="G4890">
        <v>2035</v>
      </c>
      <c r="H4890" s="12">
        <v>12735</v>
      </c>
      <c r="I4890" t="s">
        <v>3183</v>
      </c>
      <c r="J4890" t="s">
        <v>41</v>
      </c>
      <c r="K4890" t="s">
        <v>657</v>
      </c>
      <c r="L4890" t="s">
        <v>653</v>
      </c>
      <c r="M4890" t="s">
        <v>661</v>
      </c>
    </row>
    <row r="4891" spans="1:13">
      <c r="A4891" t="s">
        <v>851</v>
      </c>
      <c r="B4891" t="s">
        <v>686</v>
      </c>
      <c r="C4891" t="s">
        <v>686</v>
      </c>
      <c r="D4891" t="s">
        <v>3185</v>
      </c>
      <c r="E4891" t="s">
        <v>660</v>
      </c>
      <c r="F4891" t="s">
        <v>40</v>
      </c>
      <c r="G4891">
        <v>2040</v>
      </c>
      <c r="H4891" s="12">
        <v>12798</v>
      </c>
      <c r="I4891" t="s">
        <v>3183</v>
      </c>
      <c r="J4891" t="s">
        <v>41</v>
      </c>
      <c r="K4891" t="s">
        <v>657</v>
      </c>
      <c r="L4891" t="s">
        <v>653</v>
      </c>
      <c r="M4891" t="s">
        <v>661</v>
      </c>
    </row>
    <row r="4892" spans="1:13">
      <c r="A4892" t="s">
        <v>851</v>
      </c>
      <c r="B4892" t="s">
        <v>686</v>
      </c>
      <c r="C4892" t="s">
        <v>686</v>
      </c>
      <c r="D4892" t="s">
        <v>3185</v>
      </c>
      <c r="E4892" t="s">
        <v>660</v>
      </c>
      <c r="F4892" t="s">
        <v>40</v>
      </c>
      <c r="G4892">
        <v>2045</v>
      </c>
      <c r="H4892" s="12">
        <v>13050</v>
      </c>
      <c r="I4892" t="s">
        <v>3183</v>
      </c>
      <c r="J4892" t="s">
        <v>41</v>
      </c>
      <c r="K4892" t="s">
        <v>657</v>
      </c>
      <c r="L4892" t="s">
        <v>653</v>
      </c>
      <c r="M4892" t="s">
        <v>661</v>
      </c>
    </row>
    <row r="4893" spans="1:13">
      <c r="A4893" t="s">
        <v>851</v>
      </c>
      <c r="B4893" t="s">
        <v>686</v>
      </c>
      <c r="C4893" t="s">
        <v>686</v>
      </c>
      <c r="D4893" t="s">
        <v>3185</v>
      </c>
      <c r="E4893" t="s">
        <v>660</v>
      </c>
      <c r="F4893" t="s">
        <v>40</v>
      </c>
      <c r="G4893">
        <v>2050</v>
      </c>
      <c r="H4893" s="12">
        <v>13335</v>
      </c>
      <c r="I4893" t="s">
        <v>3183</v>
      </c>
      <c r="J4893" t="s">
        <v>41</v>
      </c>
      <c r="K4893" t="s">
        <v>657</v>
      </c>
      <c r="L4893" t="s">
        <v>653</v>
      </c>
      <c r="M4893" t="s">
        <v>661</v>
      </c>
    </row>
    <row r="4894" spans="1:13">
      <c r="A4894" t="s">
        <v>851</v>
      </c>
      <c r="B4894" t="s">
        <v>687</v>
      </c>
      <c r="C4894" t="s">
        <v>687</v>
      </c>
      <c r="D4894" t="s">
        <v>3185</v>
      </c>
      <c r="E4894" t="s">
        <v>660</v>
      </c>
      <c r="F4894" t="s">
        <v>40</v>
      </c>
      <c r="G4894">
        <v>2030</v>
      </c>
      <c r="H4894" s="12">
        <v>7172</v>
      </c>
      <c r="I4894" t="s">
        <v>3183</v>
      </c>
      <c r="J4894" t="s">
        <v>41</v>
      </c>
      <c r="K4894" t="s">
        <v>657</v>
      </c>
      <c r="L4894" t="s">
        <v>653</v>
      </c>
      <c r="M4894" t="s">
        <v>661</v>
      </c>
    </row>
    <row r="4895" spans="1:13">
      <c r="A4895" t="s">
        <v>851</v>
      </c>
      <c r="B4895" t="s">
        <v>687</v>
      </c>
      <c r="C4895" t="s">
        <v>687</v>
      </c>
      <c r="D4895" t="s">
        <v>3185</v>
      </c>
      <c r="E4895" t="s">
        <v>660</v>
      </c>
      <c r="F4895" t="s">
        <v>40</v>
      </c>
      <c r="G4895">
        <v>2035</v>
      </c>
      <c r="H4895" s="12">
        <v>6255</v>
      </c>
      <c r="I4895" t="s">
        <v>3183</v>
      </c>
      <c r="J4895" t="s">
        <v>41</v>
      </c>
      <c r="K4895" t="s">
        <v>657</v>
      </c>
      <c r="L4895" t="s">
        <v>653</v>
      </c>
      <c r="M4895" t="s">
        <v>661</v>
      </c>
    </row>
    <row r="4896" spans="1:13">
      <c r="A4896" t="s">
        <v>851</v>
      </c>
      <c r="B4896" t="s">
        <v>687</v>
      </c>
      <c r="C4896" t="s">
        <v>687</v>
      </c>
      <c r="D4896" t="s">
        <v>3185</v>
      </c>
      <c r="E4896" t="s">
        <v>660</v>
      </c>
      <c r="F4896" t="s">
        <v>40</v>
      </c>
      <c r="G4896">
        <v>2040</v>
      </c>
      <c r="H4896" s="12">
        <v>5598</v>
      </c>
      <c r="I4896" t="s">
        <v>3183</v>
      </c>
      <c r="J4896" t="s">
        <v>41</v>
      </c>
      <c r="K4896" t="s">
        <v>657</v>
      </c>
      <c r="L4896" t="s">
        <v>653</v>
      </c>
      <c r="M4896" t="s">
        <v>661</v>
      </c>
    </row>
    <row r="4897" spans="1:13">
      <c r="A4897" t="s">
        <v>851</v>
      </c>
      <c r="B4897" t="s">
        <v>687</v>
      </c>
      <c r="C4897" t="s">
        <v>687</v>
      </c>
      <c r="D4897" t="s">
        <v>3185</v>
      </c>
      <c r="E4897" t="s">
        <v>660</v>
      </c>
      <c r="F4897" t="s">
        <v>40</v>
      </c>
      <c r="G4897">
        <v>2045</v>
      </c>
      <c r="H4897" s="12">
        <v>5146</v>
      </c>
      <c r="I4897" t="s">
        <v>3183</v>
      </c>
      <c r="J4897" t="s">
        <v>41</v>
      </c>
      <c r="K4897" t="s">
        <v>657</v>
      </c>
      <c r="L4897" t="s">
        <v>653</v>
      </c>
      <c r="M4897" t="s">
        <v>661</v>
      </c>
    </row>
    <row r="4898" spans="1:13">
      <c r="A4898" t="s">
        <v>851</v>
      </c>
      <c r="B4898" t="s">
        <v>687</v>
      </c>
      <c r="C4898" t="s">
        <v>687</v>
      </c>
      <c r="D4898" t="s">
        <v>3185</v>
      </c>
      <c r="E4898" t="s">
        <v>660</v>
      </c>
      <c r="F4898" t="s">
        <v>40</v>
      </c>
      <c r="G4898">
        <v>2035</v>
      </c>
      <c r="H4898" s="12">
        <v>6371</v>
      </c>
      <c r="I4898" t="s">
        <v>3183</v>
      </c>
      <c r="J4898" t="s">
        <v>6</v>
      </c>
      <c r="K4898" t="s">
        <v>657</v>
      </c>
      <c r="L4898" t="s">
        <v>653</v>
      </c>
      <c r="M4898" t="s">
        <v>659</v>
      </c>
    </row>
    <row r="4899" spans="1:13">
      <c r="A4899" t="s">
        <v>851</v>
      </c>
      <c r="B4899" t="s">
        <v>687</v>
      </c>
      <c r="C4899" t="s">
        <v>687</v>
      </c>
      <c r="D4899" t="s">
        <v>3185</v>
      </c>
      <c r="E4899" t="s">
        <v>660</v>
      </c>
      <c r="F4899" t="s">
        <v>40</v>
      </c>
      <c r="G4899">
        <v>2040</v>
      </c>
      <c r="H4899" s="12">
        <v>6244</v>
      </c>
      <c r="I4899" t="s">
        <v>3183</v>
      </c>
      <c r="J4899" t="s">
        <v>6</v>
      </c>
      <c r="K4899" t="s">
        <v>657</v>
      </c>
      <c r="L4899" t="s">
        <v>653</v>
      </c>
      <c r="M4899" t="s">
        <v>659</v>
      </c>
    </row>
    <row r="4900" spans="1:13">
      <c r="A4900" t="s">
        <v>851</v>
      </c>
      <c r="B4900" t="s">
        <v>687</v>
      </c>
      <c r="C4900" t="s">
        <v>687</v>
      </c>
      <c r="D4900" t="s">
        <v>3185</v>
      </c>
      <c r="E4900" t="s">
        <v>660</v>
      </c>
      <c r="F4900" t="s">
        <v>40</v>
      </c>
      <c r="G4900">
        <v>2045</v>
      </c>
      <c r="H4900" s="12">
        <v>6314</v>
      </c>
      <c r="I4900" t="s">
        <v>3183</v>
      </c>
      <c r="J4900" t="s">
        <v>6</v>
      </c>
      <c r="K4900" t="s">
        <v>657</v>
      </c>
      <c r="L4900" t="s">
        <v>653</v>
      </c>
      <c r="M4900" t="s">
        <v>659</v>
      </c>
    </row>
    <row r="4901" spans="1:13">
      <c r="A4901" t="s">
        <v>851</v>
      </c>
      <c r="B4901" t="s">
        <v>687</v>
      </c>
      <c r="C4901" t="s">
        <v>687</v>
      </c>
      <c r="D4901" t="s">
        <v>3185</v>
      </c>
      <c r="E4901" t="s">
        <v>660</v>
      </c>
      <c r="F4901" t="s">
        <v>40</v>
      </c>
      <c r="G4901">
        <v>2050</v>
      </c>
      <c r="H4901" s="12">
        <v>6692</v>
      </c>
      <c r="I4901" t="s">
        <v>3183</v>
      </c>
      <c r="J4901" t="s">
        <v>6</v>
      </c>
      <c r="K4901" t="s">
        <v>657</v>
      </c>
      <c r="L4901" t="s">
        <v>653</v>
      </c>
      <c r="M4901" t="s">
        <v>659</v>
      </c>
    </row>
    <row r="4902" spans="1:13">
      <c r="A4902" t="s">
        <v>851</v>
      </c>
      <c r="B4902" t="s">
        <v>686</v>
      </c>
      <c r="C4902" t="s">
        <v>686</v>
      </c>
      <c r="D4902" t="s">
        <v>3185</v>
      </c>
      <c r="E4902" t="s">
        <v>660</v>
      </c>
      <c r="F4902" t="s">
        <v>40</v>
      </c>
      <c r="G4902">
        <v>2010</v>
      </c>
      <c r="H4902" s="12">
        <v>6780</v>
      </c>
      <c r="I4902" t="s">
        <v>3183</v>
      </c>
      <c r="J4902" t="s">
        <v>394</v>
      </c>
      <c r="K4902" t="s">
        <v>657</v>
      </c>
      <c r="L4902" t="s">
        <v>653</v>
      </c>
      <c r="M4902" t="s">
        <v>16</v>
      </c>
    </row>
    <row r="4903" spans="1:13">
      <c r="A4903" t="s">
        <v>851</v>
      </c>
      <c r="B4903" t="s">
        <v>686</v>
      </c>
      <c r="C4903" t="s">
        <v>686</v>
      </c>
      <c r="D4903" t="s">
        <v>3185</v>
      </c>
      <c r="E4903" t="s">
        <v>660</v>
      </c>
      <c r="F4903" t="s">
        <v>40</v>
      </c>
      <c r="G4903">
        <v>2015</v>
      </c>
      <c r="H4903" s="12">
        <v>7690</v>
      </c>
      <c r="I4903" t="s">
        <v>3183</v>
      </c>
      <c r="J4903" t="s">
        <v>394</v>
      </c>
      <c r="K4903" t="s">
        <v>657</v>
      </c>
      <c r="L4903" t="s">
        <v>653</v>
      </c>
      <c r="M4903" t="s">
        <v>16</v>
      </c>
    </row>
    <row r="4904" spans="1:13">
      <c r="A4904" t="s">
        <v>851</v>
      </c>
      <c r="B4904" t="s">
        <v>686</v>
      </c>
      <c r="C4904" t="s">
        <v>686</v>
      </c>
      <c r="D4904" t="s">
        <v>3185</v>
      </c>
      <c r="E4904" t="s">
        <v>660</v>
      </c>
      <c r="F4904" t="s">
        <v>40</v>
      </c>
      <c r="G4904">
        <v>2020</v>
      </c>
      <c r="H4904" s="12">
        <v>7359</v>
      </c>
      <c r="I4904" t="s">
        <v>3183</v>
      </c>
      <c r="J4904" t="s">
        <v>394</v>
      </c>
      <c r="K4904" t="s">
        <v>657</v>
      </c>
      <c r="L4904" t="s">
        <v>653</v>
      </c>
      <c r="M4904" t="s">
        <v>16</v>
      </c>
    </row>
    <row r="4905" spans="1:13">
      <c r="A4905" t="s">
        <v>851</v>
      </c>
      <c r="B4905" t="s">
        <v>686</v>
      </c>
      <c r="C4905" t="s">
        <v>686</v>
      </c>
      <c r="D4905" t="s">
        <v>3185</v>
      </c>
      <c r="E4905" t="s">
        <v>660</v>
      </c>
      <c r="F4905" t="s">
        <v>40</v>
      </c>
      <c r="G4905">
        <v>2030</v>
      </c>
      <c r="H4905" s="12">
        <v>9871</v>
      </c>
      <c r="I4905" t="s">
        <v>3183</v>
      </c>
      <c r="J4905" t="s">
        <v>394</v>
      </c>
      <c r="K4905" t="s">
        <v>657</v>
      </c>
      <c r="L4905" t="s">
        <v>653</v>
      </c>
      <c r="M4905" t="s">
        <v>16</v>
      </c>
    </row>
    <row r="4906" spans="1:13">
      <c r="A4906" t="s">
        <v>851</v>
      </c>
      <c r="B4906" t="s">
        <v>686</v>
      </c>
      <c r="C4906" t="s">
        <v>686</v>
      </c>
      <c r="D4906" t="s">
        <v>3185</v>
      </c>
      <c r="E4906" t="s">
        <v>660</v>
      </c>
      <c r="F4906" t="s">
        <v>40</v>
      </c>
      <c r="G4906">
        <v>2035</v>
      </c>
      <c r="H4906" s="12">
        <v>11359</v>
      </c>
      <c r="I4906" t="s">
        <v>3183</v>
      </c>
      <c r="J4906" t="s">
        <v>394</v>
      </c>
      <c r="K4906" t="s">
        <v>657</v>
      </c>
      <c r="L4906" t="s">
        <v>653</v>
      </c>
      <c r="M4906" t="s">
        <v>16</v>
      </c>
    </row>
    <row r="4907" spans="1:13">
      <c r="A4907" t="s">
        <v>851</v>
      </c>
      <c r="B4907" t="s">
        <v>686</v>
      </c>
      <c r="C4907" t="s">
        <v>686</v>
      </c>
      <c r="D4907" t="s">
        <v>3185</v>
      </c>
      <c r="E4907" t="s">
        <v>660</v>
      </c>
      <c r="F4907" t="s">
        <v>40</v>
      </c>
      <c r="G4907">
        <v>2040</v>
      </c>
      <c r="H4907" s="12">
        <v>12865</v>
      </c>
      <c r="I4907" t="s">
        <v>3183</v>
      </c>
      <c r="J4907" t="s">
        <v>394</v>
      </c>
      <c r="K4907" t="s">
        <v>657</v>
      </c>
      <c r="L4907" t="s">
        <v>653</v>
      </c>
      <c r="M4907" t="s">
        <v>16</v>
      </c>
    </row>
    <row r="4908" spans="1:13">
      <c r="A4908" t="s">
        <v>851</v>
      </c>
      <c r="B4908" t="s">
        <v>686</v>
      </c>
      <c r="C4908" t="s">
        <v>686</v>
      </c>
      <c r="D4908" t="s">
        <v>3185</v>
      </c>
      <c r="E4908" t="s">
        <v>660</v>
      </c>
      <c r="F4908" t="s">
        <v>40</v>
      </c>
      <c r="G4908">
        <v>2045</v>
      </c>
      <c r="H4908" s="12">
        <v>14519</v>
      </c>
      <c r="I4908" t="s">
        <v>3183</v>
      </c>
      <c r="J4908" t="s">
        <v>394</v>
      </c>
      <c r="K4908" t="s">
        <v>657</v>
      </c>
      <c r="L4908" t="s">
        <v>653</v>
      </c>
      <c r="M4908" t="s">
        <v>16</v>
      </c>
    </row>
    <row r="4909" spans="1:13">
      <c r="A4909" t="s">
        <v>851</v>
      </c>
      <c r="B4909" t="s">
        <v>686</v>
      </c>
      <c r="C4909" t="s">
        <v>686</v>
      </c>
      <c r="D4909" t="s">
        <v>3185</v>
      </c>
      <c r="E4909" t="s">
        <v>660</v>
      </c>
      <c r="F4909" t="s">
        <v>40</v>
      </c>
      <c r="G4909">
        <v>2050</v>
      </c>
      <c r="H4909" s="12">
        <v>16322</v>
      </c>
      <c r="I4909" t="s">
        <v>3183</v>
      </c>
      <c r="J4909" t="s">
        <v>394</v>
      </c>
      <c r="K4909" t="s">
        <v>657</v>
      </c>
      <c r="L4909" t="s">
        <v>653</v>
      </c>
      <c r="M4909" t="s">
        <v>16</v>
      </c>
    </row>
    <row r="4910" spans="1:13">
      <c r="A4910" t="s">
        <v>851</v>
      </c>
      <c r="B4910" t="s">
        <v>687</v>
      </c>
      <c r="C4910" t="s">
        <v>687</v>
      </c>
      <c r="D4910" t="s">
        <v>3185</v>
      </c>
      <c r="E4910" t="s">
        <v>660</v>
      </c>
      <c r="F4910" t="s">
        <v>40</v>
      </c>
      <c r="G4910">
        <v>2030</v>
      </c>
      <c r="H4910" s="12">
        <v>9682</v>
      </c>
      <c r="I4910" t="s">
        <v>3183</v>
      </c>
      <c r="J4910" t="s">
        <v>394</v>
      </c>
      <c r="K4910" t="s">
        <v>657</v>
      </c>
      <c r="L4910" t="s">
        <v>653</v>
      </c>
      <c r="M4910" t="s">
        <v>16</v>
      </c>
    </row>
    <row r="4911" spans="1:13">
      <c r="A4911" t="s">
        <v>851</v>
      </c>
      <c r="B4911" t="s">
        <v>687</v>
      </c>
      <c r="C4911" t="s">
        <v>687</v>
      </c>
      <c r="D4911" t="s">
        <v>3185</v>
      </c>
      <c r="E4911" t="s">
        <v>660</v>
      </c>
      <c r="F4911" t="s">
        <v>40</v>
      </c>
      <c r="G4911">
        <v>2035</v>
      </c>
      <c r="H4911" s="12">
        <v>10559</v>
      </c>
      <c r="I4911" t="s">
        <v>3183</v>
      </c>
      <c r="J4911" t="s">
        <v>394</v>
      </c>
      <c r="K4911" t="s">
        <v>657</v>
      </c>
      <c r="L4911" t="s">
        <v>653</v>
      </c>
      <c r="M4911" t="s">
        <v>16</v>
      </c>
    </row>
    <row r="4912" spans="1:13">
      <c r="A4912" t="s">
        <v>851</v>
      </c>
      <c r="B4912" t="s">
        <v>687</v>
      </c>
      <c r="C4912" t="s">
        <v>687</v>
      </c>
      <c r="D4912" t="s">
        <v>3185</v>
      </c>
      <c r="E4912" t="s">
        <v>660</v>
      </c>
      <c r="F4912" t="s">
        <v>40</v>
      </c>
      <c r="G4912">
        <v>2040</v>
      </c>
      <c r="H4912" s="12">
        <v>11330</v>
      </c>
      <c r="I4912" t="s">
        <v>3183</v>
      </c>
      <c r="J4912" t="s">
        <v>394</v>
      </c>
      <c r="K4912" t="s">
        <v>657</v>
      </c>
      <c r="L4912" t="s">
        <v>653</v>
      </c>
      <c r="M4912" t="s">
        <v>16</v>
      </c>
    </row>
    <row r="4913" spans="1:13">
      <c r="A4913" t="s">
        <v>851</v>
      </c>
      <c r="B4913" t="s">
        <v>687</v>
      </c>
      <c r="C4913" t="s">
        <v>687</v>
      </c>
      <c r="D4913" t="s">
        <v>3185</v>
      </c>
      <c r="E4913" t="s">
        <v>660</v>
      </c>
      <c r="F4913" t="s">
        <v>40</v>
      </c>
      <c r="G4913">
        <v>2045</v>
      </c>
      <c r="H4913" s="12">
        <v>11954</v>
      </c>
      <c r="I4913" t="s">
        <v>3183</v>
      </c>
      <c r="J4913" t="s">
        <v>394</v>
      </c>
      <c r="K4913" t="s">
        <v>657</v>
      </c>
      <c r="L4913" t="s">
        <v>653</v>
      </c>
      <c r="M4913" t="s">
        <v>16</v>
      </c>
    </row>
    <row r="4914" spans="1:13">
      <c r="A4914" t="s">
        <v>851</v>
      </c>
      <c r="B4914" t="s">
        <v>687</v>
      </c>
      <c r="C4914" t="s">
        <v>687</v>
      </c>
      <c r="D4914" t="s">
        <v>3185</v>
      </c>
      <c r="E4914" t="s">
        <v>660</v>
      </c>
      <c r="F4914" t="s">
        <v>40</v>
      </c>
      <c r="G4914">
        <v>2050</v>
      </c>
      <c r="H4914" s="12">
        <v>11881</v>
      </c>
      <c r="I4914" t="s">
        <v>3183</v>
      </c>
      <c r="J4914" t="s">
        <v>394</v>
      </c>
      <c r="K4914" t="s">
        <v>657</v>
      </c>
      <c r="L4914" t="s">
        <v>653</v>
      </c>
      <c r="M4914" t="s">
        <v>16</v>
      </c>
    </row>
    <row r="4915" spans="1:13">
      <c r="A4915" t="s">
        <v>851</v>
      </c>
      <c r="B4915" t="s">
        <v>686</v>
      </c>
      <c r="C4915" t="s">
        <v>686</v>
      </c>
      <c r="D4915" t="s">
        <v>3185</v>
      </c>
      <c r="E4915" t="s">
        <v>646</v>
      </c>
      <c r="F4915" t="s">
        <v>40</v>
      </c>
      <c r="G4915">
        <v>2010</v>
      </c>
      <c r="H4915" s="12">
        <v>417</v>
      </c>
      <c r="I4915" t="s">
        <v>3183</v>
      </c>
      <c r="J4915" t="s">
        <v>394</v>
      </c>
      <c r="K4915" t="s">
        <v>272</v>
      </c>
      <c r="L4915" t="s">
        <v>653</v>
      </c>
      <c r="M4915" t="s">
        <v>16</v>
      </c>
    </row>
    <row r="4916" spans="1:13">
      <c r="A4916" t="s">
        <v>851</v>
      </c>
      <c r="B4916" t="s">
        <v>686</v>
      </c>
      <c r="C4916" t="s">
        <v>686</v>
      </c>
      <c r="D4916" t="s">
        <v>3185</v>
      </c>
      <c r="E4916" t="s">
        <v>646</v>
      </c>
      <c r="F4916" t="s">
        <v>40</v>
      </c>
      <c r="G4916">
        <v>2015</v>
      </c>
      <c r="H4916" s="12">
        <v>293</v>
      </c>
      <c r="I4916" t="s">
        <v>3183</v>
      </c>
      <c r="J4916" t="s">
        <v>394</v>
      </c>
      <c r="K4916" t="s">
        <v>272</v>
      </c>
      <c r="L4916" t="s">
        <v>653</v>
      </c>
      <c r="M4916" t="s">
        <v>16</v>
      </c>
    </row>
    <row r="4917" spans="1:13">
      <c r="A4917" t="s">
        <v>851</v>
      </c>
      <c r="B4917" t="s">
        <v>686</v>
      </c>
      <c r="C4917" t="s">
        <v>686</v>
      </c>
      <c r="D4917" t="s">
        <v>3185</v>
      </c>
      <c r="E4917" t="s">
        <v>646</v>
      </c>
      <c r="F4917" t="s">
        <v>40</v>
      </c>
      <c r="G4917">
        <v>2020</v>
      </c>
      <c r="H4917" s="12">
        <v>333</v>
      </c>
      <c r="I4917" t="s">
        <v>3183</v>
      </c>
      <c r="J4917" t="s">
        <v>394</v>
      </c>
      <c r="K4917" t="s">
        <v>272</v>
      </c>
      <c r="L4917" t="s">
        <v>653</v>
      </c>
      <c r="M4917" t="s">
        <v>16</v>
      </c>
    </row>
    <row r="4918" spans="1:13">
      <c r="A4918" t="s">
        <v>851</v>
      </c>
      <c r="B4918" t="s">
        <v>686</v>
      </c>
      <c r="C4918" t="s">
        <v>686</v>
      </c>
      <c r="D4918" t="s">
        <v>3185</v>
      </c>
      <c r="E4918" t="s">
        <v>646</v>
      </c>
      <c r="F4918" t="s">
        <v>40</v>
      </c>
      <c r="G4918">
        <v>2030</v>
      </c>
      <c r="H4918" s="12">
        <v>490</v>
      </c>
      <c r="I4918" t="s">
        <v>3183</v>
      </c>
      <c r="J4918" t="s">
        <v>394</v>
      </c>
      <c r="K4918" t="s">
        <v>272</v>
      </c>
      <c r="L4918" t="s">
        <v>653</v>
      </c>
      <c r="M4918" t="s">
        <v>16</v>
      </c>
    </row>
    <row r="4919" spans="1:13">
      <c r="A4919" t="s">
        <v>851</v>
      </c>
      <c r="B4919" t="s">
        <v>686</v>
      </c>
      <c r="C4919" t="s">
        <v>686</v>
      </c>
      <c r="D4919" t="s">
        <v>3185</v>
      </c>
      <c r="E4919" t="s">
        <v>646</v>
      </c>
      <c r="F4919" t="s">
        <v>40</v>
      </c>
      <c r="G4919">
        <v>2035</v>
      </c>
      <c r="H4919" s="12">
        <v>590</v>
      </c>
      <c r="I4919" t="s">
        <v>3183</v>
      </c>
      <c r="J4919" t="s">
        <v>394</v>
      </c>
      <c r="K4919" t="s">
        <v>272</v>
      </c>
      <c r="L4919" t="s">
        <v>653</v>
      </c>
      <c r="M4919" t="s">
        <v>16</v>
      </c>
    </row>
    <row r="4920" spans="1:13">
      <c r="A4920" t="s">
        <v>851</v>
      </c>
      <c r="B4920" t="s">
        <v>686</v>
      </c>
      <c r="C4920" t="s">
        <v>686</v>
      </c>
      <c r="D4920" t="s">
        <v>3185</v>
      </c>
      <c r="E4920" t="s">
        <v>646</v>
      </c>
      <c r="F4920" t="s">
        <v>40</v>
      </c>
      <c r="G4920">
        <v>2040</v>
      </c>
      <c r="H4920" s="12">
        <v>678</v>
      </c>
      <c r="I4920" t="s">
        <v>3183</v>
      </c>
      <c r="J4920" t="s">
        <v>394</v>
      </c>
      <c r="K4920" t="s">
        <v>272</v>
      </c>
      <c r="L4920" t="s">
        <v>653</v>
      </c>
      <c r="M4920" t="s">
        <v>16</v>
      </c>
    </row>
    <row r="4921" spans="1:13">
      <c r="A4921" t="s">
        <v>851</v>
      </c>
      <c r="B4921" t="s">
        <v>686</v>
      </c>
      <c r="C4921" t="s">
        <v>686</v>
      </c>
      <c r="D4921" t="s">
        <v>3185</v>
      </c>
      <c r="E4921" t="s">
        <v>646</v>
      </c>
      <c r="F4921" t="s">
        <v>40</v>
      </c>
      <c r="G4921">
        <v>2045</v>
      </c>
      <c r="H4921" s="12">
        <v>760</v>
      </c>
      <c r="I4921" t="s">
        <v>3183</v>
      </c>
      <c r="J4921" t="s">
        <v>394</v>
      </c>
      <c r="K4921" t="s">
        <v>272</v>
      </c>
      <c r="L4921" t="s">
        <v>653</v>
      </c>
      <c r="M4921" t="s">
        <v>16</v>
      </c>
    </row>
    <row r="4922" spans="1:13">
      <c r="A4922" t="s">
        <v>851</v>
      </c>
      <c r="B4922" t="s">
        <v>686</v>
      </c>
      <c r="C4922" t="s">
        <v>686</v>
      </c>
      <c r="D4922" t="s">
        <v>3185</v>
      </c>
      <c r="E4922" t="s">
        <v>646</v>
      </c>
      <c r="F4922" t="s">
        <v>40</v>
      </c>
      <c r="G4922">
        <v>2050</v>
      </c>
      <c r="H4922" s="12">
        <v>833</v>
      </c>
      <c r="I4922" t="s">
        <v>3183</v>
      </c>
      <c r="J4922" t="s">
        <v>394</v>
      </c>
      <c r="K4922" t="s">
        <v>272</v>
      </c>
      <c r="L4922" t="s">
        <v>653</v>
      </c>
      <c r="M4922" t="s">
        <v>16</v>
      </c>
    </row>
    <row r="4923" spans="1:13">
      <c r="A4923" t="s">
        <v>851</v>
      </c>
      <c r="B4923" t="s">
        <v>687</v>
      </c>
      <c r="C4923" t="s">
        <v>687</v>
      </c>
      <c r="D4923" t="s">
        <v>3185</v>
      </c>
      <c r="E4923" t="s">
        <v>646</v>
      </c>
      <c r="F4923" t="s">
        <v>40</v>
      </c>
      <c r="G4923">
        <v>2030</v>
      </c>
      <c r="H4923" s="12">
        <v>480</v>
      </c>
      <c r="I4923" t="s">
        <v>3183</v>
      </c>
      <c r="J4923" t="s">
        <v>394</v>
      </c>
      <c r="K4923" t="s">
        <v>272</v>
      </c>
      <c r="L4923" t="s">
        <v>653</v>
      </c>
      <c r="M4923" t="s">
        <v>16</v>
      </c>
    </row>
    <row r="4924" spans="1:13">
      <c r="A4924" t="s">
        <v>851</v>
      </c>
      <c r="B4924" t="s">
        <v>687</v>
      </c>
      <c r="C4924" t="s">
        <v>687</v>
      </c>
      <c r="D4924" t="s">
        <v>3185</v>
      </c>
      <c r="E4924" t="s">
        <v>646</v>
      </c>
      <c r="F4924" t="s">
        <v>40</v>
      </c>
      <c r="G4924">
        <v>2035</v>
      </c>
      <c r="H4924" s="12">
        <v>567</v>
      </c>
      <c r="I4924" t="s">
        <v>3183</v>
      </c>
      <c r="J4924" t="s">
        <v>394</v>
      </c>
      <c r="K4924" t="s">
        <v>272</v>
      </c>
      <c r="L4924" t="s">
        <v>653</v>
      </c>
      <c r="M4924" t="s">
        <v>16</v>
      </c>
    </row>
    <row r="4925" spans="1:13">
      <c r="A4925" t="s">
        <v>851</v>
      </c>
      <c r="B4925" t="s">
        <v>687</v>
      </c>
      <c r="C4925" t="s">
        <v>687</v>
      </c>
      <c r="D4925" t="s">
        <v>3185</v>
      </c>
      <c r="E4925" t="s">
        <v>646</v>
      </c>
      <c r="F4925" t="s">
        <v>40</v>
      </c>
      <c r="G4925">
        <v>2040</v>
      </c>
      <c r="H4925" s="12">
        <v>640</v>
      </c>
      <c r="I4925" t="s">
        <v>3183</v>
      </c>
      <c r="J4925" t="s">
        <v>394</v>
      </c>
      <c r="K4925" t="s">
        <v>272</v>
      </c>
      <c r="L4925" t="s">
        <v>653</v>
      </c>
      <c r="M4925" t="s">
        <v>16</v>
      </c>
    </row>
    <row r="4926" spans="1:13">
      <c r="A4926" t="s">
        <v>851</v>
      </c>
      <c r="B4926" t="s">
        <v>687</v>
      </c>
      <c r="C4926" t="s">
        <v>687</v>
      </c>
      <c r="D4926" t="s">
        <v>3185</v>
      </c>
      <c r="E4926" t="s">
        <v>646</v>
      </c>
      <c r="F4926" t="s">
        <v>40</v>
      </c>
      <c r="G4926">
        <v>2045</v>
      </c>
      <c r="H4926" s="12">
        <v>705</v>
      </c>
      <c r="I4926" t="s">
        <v>3183</v>
      </c>
      <c r="J4926" t="s">
        <v>394</v>
      </c>
      <c r="K4926" t="s">
        <v>272</v>
      </c>
      <c r="L4926" t="s">
        <v>653</v>
      </c>
      <c r="M4926" t="s">
        <v>16</v>
      </c>
    </row>
    <row r="4927" spans="1:13">
      <c r="A4927" t="s">
        <v>851</v>
      </c>
      <c r="B4927" t="s">
        <v>687</v>
      </c>
      <c r="C4927" t="s">
        <v>687</v>
      </c>
      <c r="D4927" t="s">
        <v>3185</v>
      </c>
      <c r="E4927" t="s">
        <v>646</v>
      </c>
      <c r="F4927" t="s">
        <v>40</v>
      </c>
      <c r="G4927">
        <v>2050</v>
      </c>
      <c r="H4927" s="12">
        <v>756</v>
      </c>
      <c r="I4927" t="s">
        <v>3183</v>
      </c>
      <c r="J4927" t="s">
        <v>394</v>
      </c>
      <c r="K4927" t="s">
        <v>272</v>
      </c>
      <c r="L4927" t="s">
        <v>653</v>
      </c>
      <c r="M4927" t="s">
        <v>16</v>
      </c>
    </row>
    <row r="4928" spans="1:13">
      <c r="A4928" t="s">
        <v>851</v>
      </c>
      <c r="B4928" t="s">
        <v>686</v>
      </c>
      <c r="C4928" t="s">
        <v>686</v>
      </c>
      <c r="D4928" t="s">
        <v>3185</v>
      </c>
      <c r="E4928" t="s">
        <v>660</v>
      </c>
      <c r="F4928" t="s">
        <v>40</v>
      </c>
      <c r="G4928">
        <v>2010</v>
      </c>
      <c r="H4928" s="12">
        <v>4573</v>
      </c>
      <c r="I4928" t="s">
        <v>3183</v>
      </c>
      <c r="J4928" t="s">
        <v>5</v>
      </c>
      <c r="K4928" t="s">
        <v>657</v>
      </c>
      <c r="L4928" t="s">
        <v>653</v>
      </c>
      <c r="M4928" t="s">
        <v>5</v>
      </c>
    </row>
    <row r="4929" spans="1:13">
      <c r="A4929" t="s">
        <v>851</v>
      </c>
      <c r="B4929" t="s">
        <v>686</v>
      </c>
      <c r="C4929" t="s">
        <v>686</v>
      </c>
      <c r="D4929" t="s">
        <v>3185</v>
      </c>
      <c r="E4929" t="s">
        <v>660</v>
      </c>
      <c r="F4929" t="s">
        <v>40</v>
      </c>
      <c r="G4929">
        <v>2015</v>
      </c>
      <c r="H4929" s="12">
        <v>4512</v>
      </c>
      <c r="I4929" t="s">
        <v>3183</v>
      </c>
      <c r="J4929" t="s">
        <v>5</v>
      </c>
      <c r="K4929" t="s">
        <v>657</v>
      </c>
      <c r="L4929" t="s">
        <v>653</v>
      </c>
      <c r="M4929" t="s">
        <v>5</v>
      </c>
    </row>
    <row r="4930" spans="1:13">
      <c r="A4930" t="s">
        <v>851</v>
      </c>
      <c r="B4930" t="s">
        <v>686</v>
      </c>
      <c r="C4930" t="s">
        <v>686</v>
      </c>
      <c r="D4930" t="s">
        <v>3185</v>
      </c>
      <c r="E4930" t="s">
        <v>660</v>
      </c>
      <c r="F4930" t="s">
        <v>40</v>
      </c>
      <c r="G4930">
        <v>2020</v>
      </c>
      <c r="H4930" s="12">
        <v>4474</v>
      </c>
      <c r="I4930" t="s">
        <v>3183</v>
      </c>
      <c r="J4930" t="s">
        <v>5</v>
      </c>
      <c r="K4930" t="s">
        <v>657</v>
      </c>
      <c r="L4930" t="s">
        <v>653</v>
      </c>
      <c r="M4930" t="s">
        <v>5</v>
      </c>
    </row>
    <row r="4931" spans="1:13">
      <c r="A4931" t="s">
        <v>851</v>
      </c>
      <c r="B4931" t="s">
        <v>686</v>
      </c>
      <c r="C4931" t="s">
        <v>686</v>
      </c>
      <c r="D4931" t="s">
        <v>3185</v>
      </c>
      <c r="E4931" t="s">
        <v>660</v>
      </c>
      <c r="F4931" t="s">
        <v>40</v>
      </c>
      <c r="G4931">
        <v>2030</v>
      </c>
      <c r="H4931" s="12">
        <v>4330</v>
      </c>
      <c r="I4931" t="s">
        <v>3183</v>
      </c>
      <c r="J4931" t="s">
        <v>5</v>
      </c>
      <c r="K4931" t="s">
        <v>657</v>
      </c>
      <c r="L4931" t="s">
        <v>653</v>
      </c>
      <c r="M4931" t="s">
        <v>5</v>
      </c>
    </row>
    <row r="4932" spans="1:13">
      <c r="A4932" t="s">
        <v>851</v>
      </c>
      <c r="B4932" t="s">
        <v>686</v>
      </c>
      <c r="C4932" t="s">
        <v>686</v>
      </c>
      <c r="D4932" t="s">
        <v>3185</v>
      </c>
      <c r="E4932" t="s">
        <v>660</v>
      </c>
      <c r="F4932" t="s">
        <v>40</v>
      </c>
      <c r="G4932">
        <v>2035</v>
      </c>
      <c r="H4932" s="12">
        <v>4110</v>
      </c>
      <c r="I4932" t="s">
        <v>3183</v>
      </c>
      <c r="J4932" t="s">
        <v>5</v>
      </c>
      <c r="K4932" t="s">
        <v>657</v>
      </c>
      <c r="L4932" t="s">
        <v>653</v>
      </c>
      <c r="M4932" t="s">
        <v>5</v>
      </c>
    </row>
    <row r="4933" spans="1:13">
      <c r="A4933" t="s">
        <v>851</v>
      </c>
      <c r="B4933" t="s">
        <v>686</v>
      </c>
      <c r="C4933" t="s">
        <v>686</v>
      </c>
      <c r="D4933" t="s">
        <v>3185</v>
      </c>
      <c r="E4933" t="s">
        <v>660</v>
      </c>
      <c r="F4933" t="s">
        <v>40</v>
      </c>
      <c r="G4933">
        <v>2040</v>
      </c>
      <c r="H4933" s="12">
        <v>3877</v>
      </c>
      <c r="I4933" t="s">
        <v>3183</v>
      </c>
      <c r="J4933" t="s">
        <v>5</v>
      </c>
      <c r="K4933" t="s">
        <v>657</v>
      </c>
      <c r="L4933" t="s">
        <v>653</v>
      </c>
      <c r="M4933" t="s">
        <v>5</v>
      </c>
    </row>
    <row r="4934" spans="1:13">
      <c r="A4934" t="s">
        <v>851</v>
      </c>
      <c r="B4934" t="s">
        <v>686</v>
      </c>
      <c r="C4934" t="s">
        <v>686</v>
      </c>
      <c r="D4934" t="s">
        <v>3185</v>
      </c>
      <c r="E4934" t="s">
        <v>660</v>
      </c>
      <c r="F4934" t="s">
        <v>40</v>
      </c>
      <c r="G4934">
        <v>2045</v>
      </c>
      <c r="H4934" s="12">
        <v>3863</v>
      </c>
      <c r="I4934" t="s">
        <v>3183</v>
      </c>
      <c r="J4934" t="s">
        <v>5</v>
      </c>
      <c r="K4934" t="s">
        <v>657</v>
      </c>
      <c r="L4934" t="s">
        <v>653</v>
      </c>
      <c r="M4934" t="s">
        <v>5</v>
      </c>
    </row>
    <row r="4935" spans="1:13">
      <c r="A4935" t="s">
        <v>851</v>
      </c>
      <c r="B4935" t="s">
        <v>686</v>
      </c>
      <c r="C4935" t="s">
        <v>686</v>
      </c>
      <c r="D4935" t="s">
        <v>3185</v>
      </c>
      <c r="E4935" t="s">
        <v>660</v>
      </c>
      <c r="F4935" t="s">
        <v>40</v>
      </c>
      <c r="G4935">
        <v>2050</v>
      </c>
      <c r="H4935" s="12">
        <v>3827</v>
      </c>
      <c r="I4935" t="s">
        <v>3183</v>
      </c>
      <c r="J4935" t="s">
        <v>5</v>
      </c>
      <c r="K4935" t="s">
        <v>657</v>
      </c>
      <c r="L4935" t="s">
        <v>653</v>
      </c>
      <c r="M4935" t="s">
        <v>5</v>
      </c>
    </row>
    <row r="4936" spans="1:13">
      <c r="A4936" t="s">
        <v>851</v>
      </c>
      <c r="B4936" t="s">
        <v>687</v>
      </c>
      <c r="C4936" t="s">
        <v>687</v>
      </c>
      <c r="D4936" t="s">
        <v>3185</v>
      </c>
      <c r="E4936" t="s">
        <v>660</v>
      </c>
      <c r="F4936" t="s">
        <v>40</v>
      </c>
      <c r="G4936">
        <v>2030</v>
      </c>
      <c r="H4936" s="12">
        <v>3491</v>
      </c>
      <c r="I4936" t="s">
        <v>3183</v>
      </c>
      <c r="J4936" t="s">
        <v>5</v>
      </c>
      <c r="K4936" t="s">
        <v>657</v>
      </c>
      <c r="L4936" t="s">
        <v>653</v>
      </c>
      <c r="M4936" t="s">
        <v>5</v>
      </c>
    </row>
    <row r="4937" spans="1:13">
      <c r="A4937" t="s">
        <v>851</v>
      </c>
      <c r="B4937" t="s">
        <v>687</v>
      </c>
      <c r="C4937" t="s">
        <v>687</v>
      </c>
      <c r="D4937" t="s">
        <v>3185</v>
      </c>
      <c r="E4937" t="s">
        <v>660</v>
      </c>
      <c r="F4937" t="s">
        <v>40</v>
      </c>
      <c r="G4937">
        <v>2035</v>
      </c>
      <c r="H4937" s="12">
        <v>2628</v>
      </c>
      <c r="I4937" t="s">
        <v>3183</v>
      </c>
      <c r="J4937" t="s">
        <v>5</v>
      </c>
      <c r="K4937" t="s">
        <v>657</v>
      </c>
      <c r="L4937" t="s">
        <v>653</v>
      </c>
      <c r="M4937" t="s">
        <v>5</v>
      </c>
    </row>
    <row r="4938" spans="1:13">
      <c r="A4938" t="s">
        <v>851</v>
      </c>
      <c r="B4938" t="s">
        <v>687</v>
      </c>
      <c r="C4938" t="s">
        <v>687</v>
      </c>
      <c r="D4938" t="s">
        <v>3185</v>
      </c>
      <c r="E4938" t="s">
        <v>660</v>
      </c>
      <c r="F4938" t="s">
        <v>40</v>
      </c>
      <c r="G4938">
        <v>2040</v>
      </c>
      <c r="H4938" s="12">
        <v>1730</v>
      </c>
      <c r="I4938" t="s">
        <v>3183</v>
      </c>
      <c r="J4938" t="s">
        <v>5</v>
      </c>
      <c r="K4938" t="s">
        <v>657</v>
      </c>
      <c r="L4938" t="s">
        <v>653</v>
      </c>
      <c r="M4938" t="s">
        <v>5</v>
      </c>
    </row>
    <row r="4939" spans="1:13">
      <c r="A4939" t="s">
        <v>851</v>
      </c>
      <c r="B4939" t="s">
        <v>687</v>
      </c>
      <c r="C4939" t="s">
        <v>687</v>
      </c>
      <c r="D4939" t="s">
        <v>3185</v>
      </c>
      <c r="E4939" t="s">
        <v>660</v>
      </c>
      <c r="F4939" t="s">
        <v>40</v>
      </c>
      <c r="G4939">
        <v>2045</v>
      </c>
      <c r="H4939" s="12">
        <v>1186</v>
      </c>
      <c r="I4939" t="s">
        <v>3183</v>
      </c>
      <c r="J4939" t="s">
        <v>5</v>
      </c>
      <c r="K4939" t="s">
        <v>657</v>
      </c>
      <c r="L4939" t="s">
        <v>653</v>
      </c>
      <c r="M4939" t="s">
        <v>5</v>
      </c>
    </row>
    <row r="4940" spans="1:13">
      <c r="A4940" t="s">
        <v>851</v>
      </c>
      <c r="B4940" t="s">
        <v>687</v>
      </c>
      <c r="C4940" t="s">
        <v>687</v>
      </c>
      <c r="D4940" t="s">
        <v>3185</v>
      </c>
      <c r="E4940" t="s">
        <v>660</v>
      </c>
      <c r="F4940" t="s">
        <v>40</v>
      </c>
      <c r="G4940">
        <v>2050</v>
      </c>
      <c r="H4940" s="12">
        <v>865</v>
      </c>
      <c r="I4940" t="s">
        <v>3183</v>
      </c>
      <c r="J4940" t="s">
        <v>5</v>
      </c>
      <c r="K4940" t="s">
        <v>657</v>
      </c>
      <c r="L4940" t="s">
        <v>653</v>
      </c>
      <c r="M4940" t="s">
        <v>5</v>
      </c>
    </row>
    <row r="4941" spans="1:13">
      <c r="A4941" t="s">
        <v>851</v>
      </c>
      <c r="B4941" t="s">
        <v>686</v>
      </c>
      <c r="C4941" t="s">
        <v>686</v>
      </c>
      <c r="D4941" t="s">
        <v>3185</v>
      </c>
      <c r="E4941" t="s">
        <v>660</v>
      </c>
      <c r="F4941" t="s">
        <v>40</v>
      </c>
      <c r="G4941">
        <v>2010</v>
      </c>
      <c r="H4941" s="12">
        <v>5</v>
      </c>
      <c r="I4941" t="s">
        <v>3183</v>
      </c>
      <c r="J4941" t="s">
        <v>17</v>
      </c>
      <c r="K4941" t="s">
        <v>657</v>
      </c>
      <c r="L4941" t="s">
        <v>653</v>
      </c>
      <c r="M4941" t="s">
        <v>17</v>
      </c>
    </row>
    <row r="4942" spans="1:13">
      <c r="A4942" t="s">
        <v>851</v>
      </c>
      <c r="B4942" t="s">
        <v>686</v>
      </c>
      <c r="C4942" t="s">
        <v>686</v>
      </c>
      <c r="D4942" t="s">
        <v>3185</v>
      </c>
      <c r="E4942" t="s">
        <v>660</v>
      </c>
      <c r="F4942" t="s">
        <v>40</v>
      </c>
      <c r="G4942">
        <v>2015</v>
      </c>
      <c r="H4942" s="12">
        <v>18</v>
      </c>
      <c r="I4942" t="s">
        <v>3183</v>
      </c>
      <c r="J4942" t="s">
        <v>17</v>
      </c>
      <c r="K4942" t="s">
        <v>657</v>
      </c>
      <c r="L4942" t="s">
        <v>653</v>
      </c>
      <c r="M4942" t="s">
        <v>17</v>
      </c>
    </row>
    <row r="4943" spans="1:13">
      <c r="A4943" t="s">
        <v>851</v>
      </c>
      <c r="B4943" t="s">
        <v>686</v>
      </c>
      <c r="C4943" t="s">
        <v>686</v>
      </c>
      <c r="D4943" t="s">
        <v>3185</v>
      </c>
      <c r="E4943" t="s">
        <v>660</v>
      </c>
      <c r="F4943" t="s">
        <v>40</v>
      </c>
      <c r="G4943">
        <v>2020</v>
      </c>
      <c r="H4943" s="12">
        <v>80</v>
      </c>
      <c r="I4943" t="s">
        <v>3183</v>
      </c>
      <c r="J4943" t="s">
        <v>17</v>
      </c>
      <c r="K4943" t="s">
        <v>657</v>
      </c>
      <c r="L4943" t="s">
        <v>653</v>
      </c>
      <c r="M4943" t="s">
        <v>17</v>
      </c>
    </row>
    <row r="4944" spans="1:13">
      <c r="A4944" t="s">
        <v>851</v>
      </c>
      <c r="B4944" t="s">
        <v>686</v>
      </c>
      <c r="C4944" t="s">
        <v>686</v>
      </c>
      <c r="D4944" t="s">
        <v>3185</v>
      </c>
      <c r="E4944" t="s">
        <v>660</v>
      </c>
      <c r="F4944" t="s">
        <v>40</v>
      </c>
      <c r="G4944">
        <v>2030</v>
      </c>
      <c r="H4944" s="12">
        <v>468</v>
      </c>
      <c r="I4944" t="s">
        <v>3183</v>
      </c>
      <c r="J4944" t="s">
        <v>17</v>
      </c>
      <c r="K4944" t="s">
        <v>657</v>
      </c>
      <c r="L4944" t="s">
        <v>653</v>
      </c>
      <c r="M4944" t="s">
        <v>17</v>
      </c>
    </row>
    <row r="4945" spans="1:13">
      <c r="A4945" t="s">
        <v>851</v>
      </c>
      <c r="B4945" t="s">
        <v>686</v>
      </c>
      <c r="C4945" t="s">
        <v>686</v>
      </c>
      <c r="D4945" t="s">
        <v>3185</v>
      </c>
      <c r="E4945" t="s">
        <v>660</v>
      </c>
      <c r="F4945" t="s">
        <v>40</v>
      </c>
      <c r="G4945">
        <v>2035</v>
      </c>
      <c r="H4945" s="12">
        <v>875</v>
      </c>
      <c r="I4945" t="s">
        <v>3183</v>
      </c>
      <c r="J4945" t="s">
        <v>17</v>
      </c>
      <c r="K4945" t="s">
        <v>657</v>
      </c>
      <c r="L4945" t="s">
        <v>653</v>
      </c>
      <c r="M4945" t="s">
        <v>17</v>
      </c>
    </row>
    <row r="4946" spans="1:13">
      <c r="A4946" t="s">
        <v>851</v>
      </c>
      <c r="B4946" t="s">
        <v>686</v>
      </c>
      <c r="C4946" t="s">
        <v>686</v>
      </c>
      <c r="D4946" t="s">
        <v>3185</v>
      </c>
      <c r="E4946" t="s">
        <v>660</v>
      </c>
      <c r="F4946" t="s">
        <v>40</v>
      </c>
      <c r="G4946">
        <v>2040</v>
      </c>
      <c r="H4946" s="12">
        <v>1342</v>
      </c>
      <c r="I4946" t="s">
        <v>3183</v>
      </c>
      <c r="J4946" t="s">
        <v>17</v>
      </c>
      <c r="K4946" t="s">
        <v>657</v>
      </c>
      <c r="L4946" t="s">
        <v>653</v>
      </c>
      <c r="M4946" t="s">
        <v>17</v>
      </c>
    </row>
    <row r="4947" spans="1:13">
      <c r="A4947" t="s">
        <v>851</v>
      </c>
      <c r="B4947" t="s">
        <v>686</v>
      </c>
      <c r="C4947" t="s">
        <v>686</v>
      </c>
      <c r="D4947" t="s">
        <v>3185</v>
      </c>
      <c r="E4947" t="s">
        <v>660</v>
      </c>
      <c r="F4947" t="s">
        <v>40</v>
      </c>
      <c r="G4947">
        <v>2045</v>
      </c>
      <c r="H4947" s="12">
        <v>1809</v>
      </c>
      <c r="I4947" t="s">
        <v>3183</v>
      </c>
      <c r="J4947" t="s">
        <v>17</v>
      </c>
      <c r="K4947" t="s">
        <v>657</v>
      </c>
      <c r="L4947" t="s">
        <v>653</v>
      </c>
      <c r="M4947" t="s">
        <v>17</v>
      </c>
    </row>
    <row r="4948" spans="1:13">
      <c r="A4948" t="s">
        <v>851</v>
      </c>
      <c r="B4948" t="s">
        <v>686</v>
      </c>
      <c r="C4948" t="s">
        <v>686</v>
      </c>
      <c r="D4948" t="s">
        <v>3185</v>
      </c>
      <c r="E4948" t="s">
        <v>660</v>
      </c>
      <c r="F4948" t="s">
        <v>40</v>
      </c>
      <c r="G4948">
        <v>2050</v>
      </c>
      <c r="H4948" s="12">
        <v>2242</v>
      </c>
      <c r="I4948" t="s">
        <v>3183</v>
      </c>
      <c r="J4948" t="s">
        <v>17</v>
      </c>
      <c r="K4948" t="s">
        <v>657</v>
      </c>
      <c r="L4948" t="s">
        <v>653</v>
      </c>
      <c r="M4948" t="s">
        <v>17</v>
      </c>
    </row>
    <row r="4949" spans="1:13">
      <c r="A4949" t="s">
        <v>851</v>
      </c>
      <c r="B4949" t="s">
        <v>687</v>
      </c>
      <c r="C4949" t="s">
        <v>687</v>
      </c>
      <c r="D4949" t="s">
        <v>3185</v>
      </c>
      <c r="E4949" t="s">
        <v>660</v>
      </c>
      <c r="F4949" t="s">
        <v>40</v>
      </c>
      <c r="G4949">
        <v>2030</v>
      </c>
      <c r="H4949" s="12">
        <v>978</v>
      </c>
      <c r="I4949" t="s">
        <v>3183</v>
      </c>
      <c r="J4949" t="s">
        <v>17</v>
      </c>
      <c r="K4949" t="s">
        <v>657</v>
      </c>
      <c r="L4949" t="s">
        <v>653</v>
      </c>
      <c r="M4949" t="s">
        <v>17</v>
      </c>
    </row>
    <row r="4950" spans="1:13">
      <c r="A4950" t="s">
        <v>851</v>
      </c>
      <c r="B4950" t="s">
        <v>687</v>
      </c>
      <c r="C4950" t="s">
        <v>687</v>
      </c>
      <c r="D4950" t="s">
        <v>3185</v>
      </c>
      <c r="E4950" t="s">
        <v>660</v>
      </c>
      <c r="F4950" t="s">
        <v>40</v>
      </c>
      <c r="G4950">
        <v>2035</v>
      </c>
      <c r="H4950" s="12">
        <v>2072</v>
      </c>
      <c r="I4950" t="s">
        <v>3183</v>
      </c>
      <c r="J4950" t="s">
        <v>17</v>
      </c>
      <c r="K4950" t="s">
        <v>657</v>
      </c>
      <c r="L4950" t="s">
        <v>653</v>
      </c>
      <c r="M4950" t="s">
        <v>17</v>
      </c>
    </row>
    <row r="4951" spans="1:13">
      <c r="A4951" t="s">
        <v>851</v>
      </c>
      <c r="B4951" t="s">
        <v>687</v>
      </c>
      <c r="C4951" t="s">
        <v>687</v>
      </c>
      <c r="D4951" t="s">
        <v>3185</v>
      </c>
      <c r="E4951" t="s">
        <v>660</v>
      </c>
      <c r="F4951" t="s">
        <v>40</v>
      </c>
      <c r="G4951">
        <v>2040</v>
      </c>
      <c r="H4951" s="12">
        <v>3536</v>
      </c>
      <c r="I4951" t="s">
        <v>3183</v>
      </c>
      <c r="J4951" t="s">
        <v>17</v>
      </c>
      <c r="K4951" t="s">
        <v>657</v>
      </c>
      <c r="L4951" t="s">
        <v>653</v>
      </c>
      <c r="M4951" t="s">
        <v>17</v>
      </c>
    </row>
    <row r="4952" spans="1:13">
      <c r="A4952" t="s">
        <v>851</v>
      </c>
      <c r="B4952" t="s">
        <v>687</v>
      </c>
      <c r="C4952" t="s">
        <v>687</v>
      </c>
      <c r="D4952" t="s">
        <v>3185</v>
      </c>
      <c r="E4952" t="s">
        <v>660</v>
      </c>
      <c r="F4952" t="s">
        <v>40</v>
      </c>
      <c r="G4952">
        <v>2045</v>
      </c>
      <c r="H4952" s="12">
        <v>5307</v>
      </c>
      <c r="I4952" t="s">
        <v>3183</v>
      </c>
      <c r="J4952" t="s">
        <v>17</v>
      </c>
      <c r="K4952" t="s">
        <v>657</v>
      </c>
      <c r="L4952" t="s">
        <v>653</v>
      </c>
      <c r="M4952" t="s">
        <v>17</v>
      </c>
    </row>
    <row r="4953" spans="1:13">
      <c r="A4953" t="s">
        <v>851</v>
      </c>
      <c r="B4953" t="s">
        <v>687</v>
      </c>
      <c r="C4953" t="s">
        <v>687</v>
      </c>
      <c r="D4953" t="s">
        <v>3185</v>
      </c>
      <c r="E4953" t="s">
        <v>660</v>
      </c>
      <c r="F4953" t="s">
        <v>40</v>
      </c>
      <c r="G4953">
        <v>2050</v>
      </c>
      <c r="H4953" s="12">
        <v>7297</v>
      </c>
      <c r="I4953" t="s">
        <v>3183</v>
      </c>
      <c r="J4953" t="s">
        <v>17</v>
      </c>
      <c r="K4953" t="s">
        <v>657</v>
      </c>
      <c r="L4953" t="s">
        <v>653</v>
      </c>
      <c r="M4953" t="s">
        <v>17</v>
      </c>
    </row>
    <row r="4954" spans="1:13">
      <c r="A4954" t="s">
        <v>851</v>
      </c>
      <c r="B4954" t="s">
        <v>686</v>
      </c>
      <c r="C4954" t="s">
        <v>686</v>
      </c>
      <c r="D4954" t="s">
        <v>3185</v>
      </c>
      <c r="E4954" t="s">
        <v>660</v>
      </c>
      <c r="F4954" t="s">
        <v>40</v>
      </c>
      <c r="G4954">
        <v>2010</v>
      </c>
      <c r="H4954" s="12">
        <v>9</v>
      </c>
      <c r="I4954" t="s">
        <v>3183</v>
      </c>
      <c r="J4954" t="s">
        <v>18</v>
      </c>
      <c r="K4954" t="s">
        <v>657</v>
      </c>
      <c r="L4954" t="s">
        <v>653</v>
      </c>
      <c r="M4954" t="s">
        <v>18</v>
      </c>
    </row>
    <row r="4955" spans="1:13">
      <c r="A4955" t="s">
        <v>851</v>
      </c>
      <c r="B4955" t="s">
        <v>686</v>
      </c>
      <c r="C4955" t="s">
        <v>686</v>
      </c>
      <c r="D4955" t="s">
        <v>3185</v>
      </c>
      <c r="E4955" t="s">
        <v>660</v>
      </c>
      <c r="F4955" t="s">
        <v>40</v>
      </c>
      <c r="G4955">
        <v>2015</v>
      </c>
      <c r="H4955" s="12">
        <v>31</v>
      </c>
      <c r="I4955" t="s">
        <v>3183</v>
      </c>
      <c r="J4955" t="s">
        <v>18</v>
      </c>
      <c r="K4955" t="s">
        <v>657</v>
      </c>
      <c r="L4955" t="s">
        <v>653</v>
      </c>
      <c r="M4955" t="s">
        <v>18</v>
      </c>
    </row>
    <row r="4956" spans="1:13">
      <c r="A4956" t="s">
        <v>851</v>
      </c>
      <c r="B4956" t="s">
        <v>686</v>
      </c>
      <c r="C4956" t="s">
        <v>686</v>
      </c>
      <c r="D4956" t="s">
        <v>3185</v>
      </c>
      <c r="E4956" t="s">
        <v>660</v>
      </c>
      <c r="F4956" t="s">
        <v>40</v>
      </c>
      <c r="G4956">
        <v>2020</v>
      </c>
      <c r="H4956" s="12">
        <v>63</v>
      </c>
      <c r="I4956" t="s">
        <v>3183</v>
      </c>
      <c r="J4956" t="s">
        <v>18</v>
      </c>
      <c r="K4956" t="s">
        <v>657</v>
      </c>
      <c r="L4956" t="s">
        <v>653</v>
      </c>
      <c r="M4956" t="s">
        <v>18</v>
      </c>
    </row>
    <row r="4957" spans="1:13">
      <c r="A4957" t="s">
        <v>851</v>
      </c>
      <c r="B4957" t="s">
        <v>686</v>
      </c>
      <c r="C4957" t="s">
        <v>686</v>
      </c>
      <c r="D4957" t="s">
        <v>3185</v>
      </c>
      <c r="E4957" t="s">
        <v>660</v>
      </c>
      <c r="F4957" t="s">
        <v>40</v>
      </c>
      <c r="G4957">
        <v>2030</v>
      </c>
      <c r="H4957" s="12">
        <v>292</v>
      </c>
      <c r="I4957" t="s">
        <v>3183</v>
      </c>
      <c r="J4957" t="s">
        <v>18</v>
      </c>
      <c r="K4957" t="s">
        <v>657</v>
      </c>
      <c r="L4957" t="s">
        <v>653</v>
      </c>
      <c r="M4957" t="s">
        <v>18</v>
      </c>
    </row>
    <row r="4958" spans="1:13">
      <c r="A4958" t="s">
        <v>851</v>
      </c>
      <c r="B4958" t="s">
        <v>686</v>
      </c>
      <c r="C4958" t="s">
        <v>686</v>
      </c>
      <c r="D4958" t="s">
        <v>3185</v>
      </c>
      <c r="E4958" t="s">
        <v>660</v>
      </c>
      <c r="F4958" t="s">
        <v>40</v>
      </c>
      <c r="G4958">
        <v>2035</v>
      </c>
      <c r="H4958" s="12">
        <v>509</v>
      </c>
      <c r="I4958" t="s">
        <v>3183</v>
      </c>
      <c r="J4958" t="s">
        <v>18</v>
      </c>
      <c r="K4958" t="s">
        <v>657</v>
      </c>
      <c r="L4958" t="s">
        <v>653</v>
      </c>
      <c r="M4958" t="s">
        <v>18</v>
      </c>
    </row>
    <row r="4959" spans="1:13">
      <c r="A4959" t="s">
        <v>851</v>
      </c>
      <c r="B4959" t="s">
        <v>686</v>
      </c>
      <c r="C4959" t="s">
        <v>686</v>
      </c>
      <c r="D4959" t="s">
        <v>3185</v>
      </c>
      <c r="E4959" t="s">
        <v>660</v>
      </c>
      <c r="F4959" t="s">
        <v>40</v>
      </c>
      <c r="G4959">
        <v>2040</v>
      </c>
      <c r="H4959" s="12">
        <v>718</v>
      </c>
      <c r="I4959" t="s">
        <v>3183</v>
      </c>
      <c r="J4959" t="s">
        <v>18</v>
      </c>
      <c r="K4959" t="s">
        <v>657</v>
      </c>
      <c r="L4959" t="s">
        <v>653</v>
      </c>
      <c r="M4959" t="s">
        <v>18</v>
      </c>
    </row>
    <row r="4960" spans="1:13">
      <c r="A4960" t="s">
        <v>851</v>
      </c>
      <c r="B4960" t="s">
        <v>686</v>
      </c>
      <c r="C4960" t="s">
        <v>686</v>
      </c>
      <c r="D4960" t="s">
        <v>3185</v>
      </c>
      <c r="E4960" t="s">
        <v>660</v>
      </c>
      <c r="F4960" t="s">
        <v>40</v>
      </c>
      <c r="G4960">
        <v>2045</v>
      </c>
      <c r="H4960" s="12">
        <v>906</v>
      </c>
      <c r="I4960" t="s">
        <v>3183</v>
      </c>
      <c r="J4960" t="s">
        <v>18</v>
      </c>
      <c r="K4960" t="s">
        <v>657</v>
      </c>
      <c r="L4960" t="s">
        <v>653</v>
      </c>
      <c r="M4960" t="s">
        <v>18</v>
      </c>
    </row>
    <row r="4961" spans="1:13">
      <c r="A4961" t="s">
        <v>851</v>
      </c>
      <c r="B4961" t="s">
        <v>686</v>
      </c>
      <c r="C4961" t="s">
        <v>686</v>
      </c>
      <c r="D4961" t="s">
        <v>3185</v>
      </c>
      <c r="E4961" t="s">
        <v>660</v>
      </c>
      <c r="F4961" t="s">
        <v>40</v>
      </c>
      <c r="G4961">
        <v>2050</v>
      </c>
      <c r="H4961" s="12">
        <v>1062</v>
      </c>
      <c r="I4961" t="s">
        <v>3183</v>
      </c>
      <c r="J4961" t="s">
        <v>18</v>
      </c>
      <c r="K4961" t="s">
        <v>657</v>
      </c>
      <c r="L4961" t="s">
        <v>653</v>
      </c>
      <c r="M4961" t="s">
        <v>18</v>
      </c>
    </row>
    <row r="4962" spans="1:13">
      <c r="A4962" t="s">
        <v>851</v>
      </c>
      <c r="B4962" t="s">
        <v>687</v>
      </c>
      <c r="C4962" t="s">
        <v>687</v>
      </c>
      <c r="D4962" t="s">
        <v>3185</v>
      </c>
      <c r="E4962" t="s">
        <v>660</v>
      </c>
      <c r="F4962" t="s">
        <v>40</v>
      </c>
      <c r="G4962">
        <v>2030</v>
      </c>
      <c r="H4962" s="12">
        <v>516</v>
      </c>
      <c r="I4962" t="s">
        <v>3183</v>
      </c>
      <c r="J4962" t="s">
        <v>18</v>
      </c>
      <c r="K4962" t="s">
        <v>657</v>
      </c>
      <c r="L4962" t="s">
        <v>653</v>
      </c>
      <c r="M4962" t="s">
        <v>18</v>
      </c>
    </row>
    <row r="4963" spans="1:13">
      <c r="A4963" t="s">
        <v>851</v>
      </c>
      <c r="B4963" t="s">
        <v>687</v>
      </c>
      <c r="C4963" t="s">
        <v>687</v>
      </c>
      <c r="D4963" t="s">
        <v>3185</v>
      </c>
      <c r="E4963" t="s">
        <v>660</v>
      </c>
      <c r="F4963" t="s">
        <v>40</v>
      </c>
      <c r="G4963">
        <v>2035</v>
      </c>
      <c r="H4963" s="12">
        <v>982</v>
      </c>
      <c r="I4963" t="s">
        <v>3183</v>
      </c>
      <c r="J4963" t="s">
        <v>18</v>
      </c>
      <c r="K4963" t="s">
        <v>657</v>
      </c>
      <c r="L4963" t="s">
        <v>653</v>
      </c>
      <c r="M4963" t="s">
        <v>18</v>
      </c>
    </row>
    <row r="4964" spans="1:13">
      <c r="A4964" t="s">
        <v>851</v>
      </c>
      <c r="B4964" t="s">
        <v>687</v>
      </c>
      <c r="C4964" t="s">
        <v>687</v>
      </c>
      <c r="D4964" t="s">
        <v>3185</v>
      </c>
      <c r="E4964" t="s">
        <v>660</v>
      </c>
      <c r="F4964" t="s">
        <v>40</v>
      </c>
      <c r="G4964">
        <v>2040</v>
      </c>
      <c r="H4964" s="12">
        <v>1510</v>
      </c>
      <c r="I4964" t="s">
        <v>3183</v>
      </c>
      <c r="J4964" t="s">
        <v>18</v>
      </c>
      <c r="K4964" t="s">
        <v>657</v>
      </c>
      <c r="L4964" t="s">
        <v>653</v>
      </c>
      <c r="M4964" t="s">
        <v>18</v>
      </c>
    </row>
    <row r="4965" spans="1:13">
      <c r="A4965" t="s">
        <v>851</v>
      </c>
      <c r="B4965" t="s">
        <v>687</v>
      </c>
      <c r="C4965" t="s">
        <v>687</v>
      </c>
      <c r="D4965" t="s">
        <v>3185</v>
      </c>
      <c r="E4965" t="s">
        <v>660</v>
      </c>
      <c r="F4965" t="s">
        <v>40</v>
      </c>
      <c r="G4965">
        <v>2045</v>
      </c>
      <c r="H4965" s="12">
        <v>2007</v>
      </c>
      <c r="I4965" t="s">
        <v>3183</v>
      </c>
      <c r="J4965" t="s">
        <v>18</v>
      </c>
      <c r="K4965" t="s">
        <v>657</v>
      </c>
      <c r="L4965" t="s">
        <v>653</v>
      </c>
      <c r="M4965" t="s">
        <v>18</v>
      </c>
    </row>
    <row r="4966" spans="1:13">
      <c r="A4966" t="s">
        <v>851</v>
      </c>
      <c r="B4966" t="s">
        <v>687</v>
      </c>
      <c r="C4966" t="s">
        <v>687</v>
      </c>
      <c r="D4966" t="s">
        <v>3185</v>
      </c>
      <c r="E4966" t="s">
        <v>660</v>
      </c>
      <c r="F4966" t="s">
        <v>40</v>
      </c>
      <c r="G4966">
        <v>2050</v>
      </c>
      <c r="H4966" s="12">
        <v>2608</v>
      </c>
      <c r="I4966" t="s">
        <v>3183</v>
      </c>
      <c r="J4966" t="s">
        <v>18</v>
      </c>
      <c r="K4966" t="s">
        <v>657</v>
      </c>
      <c r="L4966" t="s">
        <v>653</v>
      </c>
      <c r="M4966" t="s">
        <v>18</v>
      </c>
    </row>
    <row r="4967" spans="1:13">
      <c r="A4967" t="s">
        <v>851</v>
      </c>
      <c r="B4967" t="s">
        <v>686</v>
      </c>
      <c r="C4967" t="s">
        <v>686</v>
      </c>
      <c r="D4967" t="s">
        <v>3185</v>
      </c>
      <c r="E4967" t="s">
        <v>660</v>
      </c>
      <c r="F4967" t="s">
        <v>40</v>
      </c>
      <c r="G4967">
        <v>2010</v>
      </c>
      <c r="H4967" s="12">
        <v>395</v>
      </c>
      <c r="I4967" t="s">
        <v>3183</v>
      </c>
      <c r="J4967" t="s">
        <v>14</v>
      </c>
      <c r="K4967" t="s">
        <v>657</v>
      </c>
      <c r="L4967" t="s">
        <v>653</v>
      </c>
      <c r="M4967" t="s">
        <v>14</v>
      </c>
    </row>
    <row r="4968" spans="1:13">
      <c r="A4968" t="s">
        <v>851</v>
      </c>
      <c r="B4968" t="s">
        <v>686</v>
      </c>
      <c r="C4968" t="s">
        <v>686</v>
      </c>
      <c r="D4968" t="s">
        <v>3185</v>
      </c>
      <c r="E4968" t="s">
        <v>660</v>
      </c>
      <c r="F4968" t="s">
        <v>40</v>
      </c>
      <c r="G4968">
        <v>2015</v>
      </c>
      <c r="H4968" s="12">
        <v>435</v>
      </c>
      <c r="I4968" t="s">
        <v>3183</v>
      </c>
      <c r="J4968" t="s">
        <v>14</v>
      </c>
      <c r="K4968" t="s">
        <v>657</v>
      </c>
      <c r="L4968" t="s">
        <v>653</v>
      </c>
      <c r="M4968" t="s">
        <v>14</v>
      </c>
    </row>
    <row r="4969" spans="1:13">
      <c r="A4969" t="s">
        <v>851</v>
      </c>
      <c r="B4969" t="s">
        <v>686</v>
      </c>
      <c r="C4969" t="s">
        <v>686</v>
      </c>
      <c r="D4969" t="s">
        <v>3185</v>
      </c>
      <c r="E4969" t="s">
        <v>660</v>
      </c>
      <c r="F4969" t="s">
        <v>40</v>
      </c>
      <c r="G4969">
        <v>2020</v>
      </c>
      <c r="H4969" s="12">
        <v>523</v>
      </c>
      <c r="I4969" t="s">
        <v>3183</v>
      </c>
      <c r="J4969" t="s">
        <v>14</v>
      </c>
      <c r="K4969" t="s">
        <v>657</v>
      </c>
      <c r="L4969" t="s">
        <v>653</v>
      </c>
      <c r="M4969" t="s">
        <v>14</v>
      </c>
    </row>
    <row r="4970" spans="1:13">
      <c r="A4970" t="s">
        <v>851</v>
      </c>
      <c r="B4970" t="s">
        <v>686</v>
      </c>
      <c r="C4970" t="s">
        <v>686</v>
      </c>
      <c r="D4970" t="s">
        <v>3185</v>
      </c>
      <c r="E4970" t="s">
        <v>660</v>
      </c>
      <c r="F4970" t="s">
        <v>40</v>
      </c>
      <c r="G4970">
        <v>2030</v>
      </c>
      <c r="H4970" s="12">
        <v>816</v>
      </c>
      <c r="I4970" t="s">
        <v>3183</v>
      </c>
      <c r="J4970" t="s">
        <v>14</v>
      </c>
      <c r="K4970" t="s">
        <v>657</v>
      </c>
      <c r="L4970" t="s">
        <v>653</v>
      </c>
      <c r="M4970" t="s">
        <v>14</v>
      </c>
    </row>
    <row r="4971" spans="1:13">
      <c r="A4971" t="s">
        <v>851</v>
      </c>
      <c r="B4971" t="s">
        <v>686</v>
      </c>
      <c r="C4971" t="s">
        <v>686</v>
      </c>
      <c r="D4971" t="s">
        <v>3185</v>
      </c>
      <c r="E4971" t="s">
        <v>660</v>
      </c>
      <c r="F4971" t="s">
        <v>40</v>
      </c>
      <c r="G4971">
        <v>2035</v>
      </c>
      <c r="H4971" s="12">
        <v>945</v>
      </c>
      <c r="I4971" t="s">
        <v>3183</v>
      </c>
      <c r="J4971" t="s">
        <v>14</v>
      </c>
      <c r="K4971" t="s">
        <v>657</v>
      </c>
      <c r="L4971" t="s">
        <v>653</v>
      </c>
      <c r="M4971" t="s">
        <v>14</v>
      </c>
    </row>
    <row r="4972" spans="1:13">
      <c r="A4972" t="s">
        <v>851</v>
      </c>
      <c r="B4972" t="s">
        <v>687</v>
      </c>
      <c r="C4972" t="s">
        <v>687</v>
      </c>
      <c r="D4972" t="s">
        <v>3185</v>
      </c>
      <c r="E4972" t="s">
        <v>660</v>
      </c>
      <c r="F4972" t="s">
        <v>40</v>
      </c>
      <c r="G4972">
        <v>2050</v>
      </c>
      <c r="H4972" s="12">
        <v>4740</v>
      </c>
      <c r="I4972" t="s">
        <v>3183</v>
      </c>
      <c r="J4972" t="s">
        <v>41</v>
      </c>
      <c r="K4972" t="s">
        <v>657</v>
      </c>
      <c r="L4972" t="s">
        <v>653</v>
      </c>
      <c r="M4972" t="s">
        <v>661</v>
      </c>
    </row>
    <row r="4973" spans="1:13">
      <c r="A4973" t="s">
        <v>851</v>
      </c>
      <c r="B4973" t="s">
        <v>686</v>
      </c>
      <c r="C4973" t="s">
        <v>686</v>
      </c>
      <c r="D4973" t="s">
        <v>3185</v>
      </c>
      <c r="E4973" t="s">
        <v>660</v>
      </c>
      <c r="F4973" t="s">
        <v>40</v>
      </c>
      <c r="G4973">
        <v>2010</v>
      </c>
      <c r="H4973" s="12">
        <v>132</v>
      </c>
      <c r="I4973" t="s">
        <v>3183</v>
      </c>
      <c r="J4973" t="s">
        <v>15</v>
      </c>
      <c r="K4973" t="s">
        <v>657</v>
      </c>
      <c r="L4973" t="s">
        <v>653</v>
      </c>
      <c r="M4973" t="s">
        <v>15</v>
      </c>
    </row>
    <row r="4974" spans="1:13">
      <c r="A4974" t="s">
        <v>851</v>
      </c>
      <c r="B4974" t="s">
        <v>686</v>
      </c>
      <c r="C4974" t="s">
        <v>686</v>
      </c>
      <c r="D4974" t="s">
        <v>3185</v>
      </c>
      <c r="E4974" t="s">
        <v>660</v>
      </c>
      <c r="F4974" t="s">
        <v>40</v>
      </c>
      <c r="G4974">
        <v>2015</v>
      </c>
      <c r="H4974" s="12">
        <v>133</v>
      </c>
      <c r="I4974" t="s">
        <v>3183</v>
      </c>
      <c r="J4974" t="s">
        <v>15</v>
      </c>
      <c r="K4974" t="s">
        <v>657</v>
      </c>
      <c r="L4974" t="s">
        <v>653</v>
      </c>
      <c r="M4974" t="s">
        <v>15</v>
      </c>
    </row>
    <row r="4975" spans="1:13">
      <c r="A4975" t="s">
        <v>851</v>
      </c>
      <c r="B4975" t="s">
        <v>686</v>
      </c>
      <c r="C4975" t="s">
        <v>686</v>
      </c>
      <c r="D4975" t="s">
        <v>3185</v>
      </c>
      <c r="E4975" t="s">
        <v>660</v>
      </c>
      <c r="F4975" t="s">
        <v>40</v>
      </c>
      <c r="G4975">
        <v>2020</v>
      </c>
      <c r="H4975" s="12">
        <v>108</v>
      </c>
      <c r="I4975" t="s">
        <v>3183</v>
      </c>
      <c r="J4975" t="s">
        <v>15</v>
      </c>
      <c r="K4975" t="s">
        <v>657</v>
      </c>
      <c r="L4975" t="s">
        <v>653</v>
      </c>
      <c r="M4975" t="s">
        <v>15</v>
      </c>
    </row>
    <row r="4976" spans="1:13">
      <c r="A4976" t="s">
        <v>851</v>
      </c>
      <c r="B4976" t="s">
        <v>686</v>
      </c>
      <c r="C4976" t="s">
        <v>686</v>
      </c>
      <c r="D4976" t="s">
        <v>3185</v>
      </c>
      <c r="E4976" t="s">
        <v>660</v>
      </c>
      <c r="F4976" t="s">
        <v>40</v>
      </c>
      <c r="G4976">
        <v>2030</v>
      </c>
      <c r="H4976" s="12">
        <v>269</v>
      </c>
      <c r="I4976" t="s">
        <v>3183</v>
      </c>
      <c r="J4976" t="s">
        <v>15</v>
      </c>
      <c r="K4976" t="s">
        <v>657</v>
      </c>
      <c r="L4976" t="s">
        <v>653</v>
      </c>
      <c r="M4976" t="s">
        <v>15</v>
      </c>
    </row>
    <row r="4977" spans="1:13">
      <c r="A4977" t="s">
        <v>851</v>
      </c>
      <c r="B4977" t="s">
        <v>686</v>
      </c>
      <c r="C4977" t="s">
        <v>686</v>
      </c>
      <c r="D4977" t="s">
        <v>3185</v>
      </c>
      <c r="E4977" t="s">
        <v>660</v>
      </c>
      <c r="F4977" t="s">
        <v>40</v>
      </c>
      <c r="G4977">
        <v>2035</v>
      </c>
      <c r="H4977" s="12">
        <v>391</v>
      </c>
      <c r="I4977" t="s">
        <v>3183</v>
      </c>
      <c r="J4977" t="s">
        <v>15</v>
      </c>
      <c r="K4977" t="s">
        <v>657</v>
      </c>
      <c r="L4977" t="s">
        <v>653</v>
      </c>
      <c r="M4977" t="s">
        <v>15</v>
      </c>
    </row>
    <row r="4978" spans="1:13">
      <c r="A4978" t="s">
        <v>851</v>
      </c>
      <c r="B4978" t="s">
        <v>686</v>
      </c>
      <c r="C4978" t="s">
        <v>686</v>
      </c>
      <c r="D4978" t="s">
        <v>3185</v>
      </c>
      <c r="E4978" t="s">
        <v>660</v>
      </c>
      <c r="F4978" t="s">
        <v>40</v>
      </c>
      <c r="G4978">
        <v>2040</v>
      </c>
      <c r="H4978" s="12">
        <v>492</v>
      </c>
      <c r="I4978" t="s">
        <v>3183</v>
      </c>
      <c r="J4978" t="s">
        <v>15</v>
      </c>
      <c r="K4978" t="s">
        <v>657</v>
      </c>
      <c r="L4978" t="s">
        <v>653</v>
      </c>
      <c r="M4978" t="s">
        <v>15</v>
      </c>
    </row>
    <row r="4979" spans="1:13">
      <c r="A4979" t="s">
        <v>851</v>
      </c>
      <c r="B4979" t="s">
        <v>686</v>
      </c>
      <c r="C4979" t="s">
        <v>686</v>
      </c>
      <c r="D4979" t="s">
        <v>3185</v>
      </c>
      <c r="E4979" t="s">
        <v>660</v>
      </c>
      <c r="F4979" t="s">
        <v>40</v>
      </c>
      <c r="G4979">
        <v>2045</v>
      </c>
      <c r="H4979" s="12">
        <v>492</v>
      </c>
      <c r="I4979" t="s">
        <v>3183</v>
      </c>
      <c r="J4979" t="s">
        <v>15</v>
      </c>
      <c r="K4979" t="s">
        <v>657</v>
      </c>
      <c r="L4979" t="s">
        <v>653</v>
      </c>
      <c r="M4979" t="s">
        <v>15</v>
      </c>
    </row>
    <row r="4980" spans="1:13">
      <c r="A4980" t="s">
        <v>851</v>
      </c>
      <c r="B4980" t="s">
        <v>686</v>
      </c>
      <c r="C4980" t="s">
        <v>686</v>
      </c>
      <c r="D4980" t="s">
        <v>3185</v>
      </c>
      <c r="E4980" t="s">
        <v>660</v>
      </c>
      <c r="F4980" t="s">
        <v>40</v>
      </c>
      <c r="G4980">
        <v>2050</v>
      </c>
      <c r="H4980" s="12">
        <v>492</v>
      </c>
      <c r="I4980" t="s">
        <v>3183</v>
      </c>
      <c r="J4980" t="s">
        <v>15</v>
      </c>
      <c r="K4980" t="s">
        <v>657</v>
      </c>
      <c r="L4980" t="s">
        <v>653</v>
      </c>
      <c r="M4980" t="s">
        <v>15</v>
      </c>
    </row>
    <row r="4981" spans="1:13">
      <c r="A4981" t="s">
        <v>851</v>
      </c>
      <c r="B4981" t="s">
        <v>687</v>
      </c>
      <c r="C4981" t="s">
        <v>687</v>
      </c>
      <c r="D4981" t="s">
        <v>3185</v>
      </c>
      <c r="E4981" t="s">
        <v>660</v>
      </c>
      <c r="F4981" t="s">
        <v>40</v>
      </c>
      <c r="G4981">
        <v>2030</v>
      </c>
      <c r="H4981" s="12">
        <v>325</v>
      </c>
      <c r="I4981" t="s">
        <v>3183</v>
      </c>
      <c r="J4981" t="s">
        <v>15</v>
      </c>
      <c r="K4981" t="s">
        <v>657</v>
      </c>
      <c r="L4981" t="s">
        <v>653</v>
      </c>
      <c r="M4981" t="s">
        <v>15</v>
      </c>
    </row>
    <row r="4982" spans="1:13">
      <c r="A4982" t="s">
        <v>851</v>
      </c>
      <c r="B4982" t="s">
        <v>687</v>
      </c>
      <c r="C4982" t="s">
        <v>687</v>
      </c>
      <c r="D4982" t="s">
        <v>3185</v>
      </c>
      <c r="E4982" t="s">
        <v>660</v>
      </c>
      <c r="F4982" t="s">
        <v>40</v>
      </c>
      <c r="G4982">
        <v>2035</v>
      </c>
      <c r="H4982" s="12">
        <v>592</v>
      </c>
      <c r="I4982" t="s">
        <v>3183</v>
      </c>
      <c r="J4982" t="s">
        <v>15</v>
      </c>
      <c r="K4982" t="s">
        <v>657</v>
      </c>
      <c r="L4982" t="s">
        <v>653</v>
      </c>
      <c r="M4982" t="s">
        <v>15</v>
      </c>
    </row>
    <row r="4983" spans="1:13">
      <c r="A4983" t="s">
        <v>851</v>
      </c>
      <c r="B4983" t="s">
        <v>687</v>
      </c>
      <c r="C4983" t="s">
        <v>687</v>
      </c>
      <c r="D4983" t="s">
        <v>3185</v>
      </c>
      <c r="E4983" t="s">
        <v>660</v>
      </c>
      <c r="F4983" t="s">
        <v>40</v>
      </c>
      <c r="G4983">
        <v>2040</v>
      </c>
      <c r="H4983" s="12">
        <v>819</v>
      </c>
      <c r="I4983" t="s">
        <v>3183</v>
      </c>
      <c r="J4983" t="s">
        <v>15</v>
      </c>
      <c r="K4983" t="s">
        <v>657</v>
      </c>
      <c r="L4983" t="s">
        <v>653</v>
      </c>
      <c r="M4983" t="s">
        <v>15</v>
      </c>
    </row>
    <row r="4984" spans="1:13">
      <c r="A4984" t="s">
        <v>851</v>
      </c>
      <c r="B4984" t="s">
        <v>687</v>
      </c>
      <c r="C4984" t="s">
        <v>687</v>
      </c>
      <c r="D4984" t="s">
        <v>3185</v>
      </c>
      <c r="E4984" t="s">
        <v>660</v>
      </c>
      <c r="F4984" t="s">
        <v>40</v>
      </c>
      <c r="G4984">
        <v>2045</v>
      </c>
      <c r="H4984" s="12">
        <v>819</v>
      </c>
      <c r="I4984" t="s">
        <v>3183</v>
      </c>
      <c r="J4984" t="s">
        <v>15</v>
      </c>
      <c r="K4984" t="s">
        <v>657</v>
      </c>
      <c r="L4984" t="s">
        <v>653</v>
      </c>
      <c r="M4984" t="s">
        <v>15</v>
      </c>
    </row>
    <row r="4985" spans="1:13">
      <c r="A4985" t="s">
        <v>851</v>
      </c>
      <c r="B4985" t="s">
        <v>687</v>
      </c>
      <c r="C4985" t="s">
        <v>687</v>
      </c>
      <c r="D4985" t="s">
        <v>3185</v>
      </c>
      <c r="E4985" t="s">
        <v>660</v>
      </c>
      <c r="F4985" t="s">
        <v>40</v>
      </c>
      <c r="G4985">
        <v>2050</v>
      </c>
      <c r="H4985" s="12">
        <v>819</v>
      </c>
      <c r="I4985" t="s">
        <v>3183</v>
      </c>
      <c r="J4985" t="s">
        <v>15</v>
      </c>
      <c r="K4985" t="s">
        <v>657</v>
      </c>
      <c r="L4985" t="s">
        <v>653</v>
      </c>
      <c r="M4985" t="s">
        <v>15</v>
      </c>
    </row>
    <row r="4986" spans="1:13">
      <c r="A4986" t="s">
        <v>851</v>
      </c>
      <c r="B4986" t="s">
        <v>686</v>
      </c>
      <c r="C4986" t="s">
        <v>686</v>
      </c>
      <c r="D4986" t="s">
        <v>3185</v>
      </c>
      <c r="E4986" t="s">
        <v>660</v>
      </c>
      <c r="F4986" t="s">
        <v>40</v>
      </c>
      <c r="G4986">
        <v>2010</v>
      </c>
      <c r="H4986" s="12">
        <v>3724</v>
      </c>
      <c r="I4986" t="s">
        <v>3183</v>
      </c>
      <c r="J4986" t="s">
        <v>6</v>
      </c>
      <c r="K4986" t="s">
        <v>657</v>
      </c>
      <c r="L4986" t="s">
        <v>653</v>
      </c>
      <c r="M4986" t="s">
        <v>659</v>
      </c>
    </row>
    <row r="4987" spans="1:13">
      <c r="A4987" t="s">
        <v>851</v>
      </c>
      <c r="B4987" t="s">
        <v>686</v>
      </c>
      <c r="C4987" t="s">
        <v>686</v>
      </c>
      <c r="D4987" t="s">
        <v>3185</v>
      </c>
      <c r="E4987" t="s">
        <v>660</v>
      </c>
      <c r="F4987" t="s">
        <v>40</v>
      </c>
      <c r="G4987">
        <v>2015</v>
      </c>
      <c r="H4987" s="12">
        <v>4664</v>
      </c>
      <c r="I4987" t="s">
        <v>3183</v>
      </c>
      <c r="J4987" t="s">
        <v>6</v>
      </c>
      <c r="K4987" t="s">
        <v>657</v>
      </c>
      <c r="L4987" t="s">
        <v>653</v>
      </c>
      <c r="M4987" t="s">
        <v>659</v>
      </c>
    </row>
    <row r="4988" spans="1:13">
      <c r="A4988" t="s">
        <v>851</v>
      </c>
      <c r="B4988" t="s">
        <v>686</v>
      </c>
      <c r="C4988" t="s">
        <v>686</v>
      </c>
      <c r="D4988" t="s">
        <v>3185</v>
      </c>
      <c r="E4988" t="s">
        <v>660</v>
      </c>
      <c r="F4988" t="s">
        <v>40</v>
      </c>
      <c r="G4988">
        <v>2020</v>
      </c>
      <c r="H4988" s="12">
        <v>5705</v>
      </c>
      <c r="I4988" t="s">
        <v>3183</v>
      </c>
      <c r="J4988" t="s">
        <v>6</v>
      </c>
      <c r="K4988" t="s">
        <v>657</v>
      </c>
      <c r="L4988" t="s">
        <v>653</v>
      </c>
      <c r="M4988" t="s">
        <v>659</v>
      </c>
    </row>
    <row r="4989" spans="1:13">
      <c r="A4989" t="s">
        <v>851</v>
      </c>
      <c r="B4989" t="s">
        <v>686</v>
      </c>
      <c r="C4989" t="s">
        <v>686</v>
      </c>
      <c r="D4989" t="s">
        <v>3185</v>
      </c>
      <c r="E4989" t="s">
        <v>660</v>
      </c>
      <c r="F4989" t="s">
        <v>40</v>
      </c>
      <c r="G4989">
        <v>2030</v>
      </c>
      <c r="H4989" s="12">
        <v>7483</v>
      </c>
      <c r="I4989" t="s">
        <v>3183</v>
      </c>
      <c r="J4989" t="s">
        <v>6</v>
      </c>
      <c r="K4989" t="s">
        <v>657</v>
      </c>
      <c r="L4989" t="s">
        <v>653</v>
      </c>
      <c r="M4989" t="s">
        <v>659</v>
      </c>
    </row>
    <row r="4990" spans="1:13">
      <c r="A4990" t="s">
        <v>851</v>
      </c>
      <c r="B4990" t="s">
        <v>686</v>
      </c>
      <c r="C4990" t="s">
        <v>686</v>
      </c>
      <c r="D4990" t="s">
        <v>3185</v>
      </c>
      <c r="E4990" t="s">
        <v>660</v>
      </c>
      <c r="F4990" t="s">
        <v>40</v>
      </c>
      <c r="G4990">
        <v>2035</v>
      </c>
      <c r="H4990" s="12">
        <v>8000</v>
      </c>
      <c r="I4990" t="s">
        <v>3183</v>
      </c>
      <c r="J4990" t="s">
        <v>6</v>
      </c>
      <c r="K4990" t="s">
        <v>657</v>
      </c>
      <c r="L4990" t="s">
        <v>653</v>
      </c>
      <c r="M4990" t="s">
        <v>659</v>
      </c>
    </row>
    <row r="4991" spans="1:13">
      <c r="A4991" t="s">
        <v>851</v>
      </c>
      <c r="B4991" t="s">
        <v>686</v>
      </c>
      <c r="C4991" t="s">
        <v>686</v>
      </c>
      <c r="D4991" t="s">
        <v>3185</v>
      </c>
      <c r="E4991" t="s">
        <v>660</v>
      </c>
      <c r="F4991" t="s">
        <v>40</v>
      </c>
      <c r="G4991">
        <v>2040</v>
      </c>
      <c r="H4991" s="12">
        <v>8581</v>
      </c>
      <c r="I4991" t="s">
        <v>3183</v>
      </c>
      <c r="J4991" t="s">
        <v>6</v>
      </c>
      <c r="K4991" t="s">
        <v>657</v>
      </c>
      <c r="L4991" t="s">
        <v>653</v>
      </c>
      <c r="M4991" t="s">
        <v>659</v>
      </c>
    </row>
    <row r="4992" spans="1:13">
      <c r="A4992" t="s">
        <v>851</v>
      </c>
      <c r="B4992" t="s">
        <v>686</v>
      </c>
      <c r="C4992" t="s">
        <v>686</v>
      </c>
      <c r="D4992" t="s">
        <v>3185</v>
      </c>
      <c r="E4992" t="s">
        <v>660</v>
      </c>
      <c r="F4992" t="s">
        <v>40</v>
      </c>
      <c r="G4992">
        <v>2045</v>
      </c>
      <c r="H4992" s="12">
        <v>9304</v>
      </c>
      <c r="I4992" t="s">
        <v>3183</v>
      </c>
      <c r="J4992" t="s">
        <v>6</v>
      </c>
      <c r="K4992" t="s">
        <v>657</v>
      </c>
      <c r="L4992" t="s">
        <v>653</v>
      </c>
      <c r="M4992" t="s">
        <v>659</v>
      </c>
    </row>
    <row r="4993" spans="1:13">
      <c r="A4993" t="s">
        <v>851</v>
      </c>
      <c r="B4993" t="s">
        <v>686</v>
      </c>
      <c r="C4993" t="s">
        <v>686</v>
      </c>
      <c r="D4993" t="s">
        <v>3185</v>
      </c>
      <c r="E4993" t="s">
        <v>660</v>
      </c>
      <c r="F4993" t="s">
        <v>40</v>
      </c>
      <c r="G4993">
        <v>2050</v>
      </c>
      <c r="H4993" s="12">
        <v>10122</v>
      </c>
      <c r="I4993" t="s">
        <v>3183</v>
      </c>
      <c r="J4993" t="s">
        <v>6</v>
      </c>
      <c r="K4993" t="s">
        <v>657</v>
      </c>
      <c r="L4993" t="s">
        <v>653</v>
      </c>
      <c r="M4993" t="s">
        <v>659</v>
      </c>
    </row>
    <row r="4994" spans="1:13">
      <c r="A4994" t="s">
        <v>851</v>
      </c>
      <c r="B4994" t="s">
        <v>687</v>
      </c>
      <c r="C4994" t="s">
        <v>687</v>
      </c>
      <c r="D4994" t="s">
        <v>3185</v>
      </c>
      <c r="E4994" t="s">
        <v>660</v>
      </c>
      <c r="F4994" t="s">
        <v>40</v>
      </c>
      <c r="G4994">
        <v>2030</v>
      </c>
      <c r="H4994" s="12">
        <v>6578</v>
      </c>
      <c r="I4994" t="s">
        <v>3183</v>
      </c>
      <c r="J4994" t="s">
        <v>6</v>
      </c>
      <c r="K4994" t="s">
        <v>657</v>
      </c>
      <c r="L4994" t="s">
        <v>653</v>
      </c>
      <c r="M4994" t="s">
        <v>659</v>
      </c>
    </row>
    <row r="4995" spans="1:13">
      <c r="A4995" t="s">
        <v>851</v>
      </c>
      <c r="B4995" t="s">
        <v>686</v>
      </c>
      <c r="C4995" t="s">
        <v>686</v>
      </c>
      <c r="D4995" t="s">
        <v>3175</v>
      </c>
      <c r="E4995" t="s">
        <v>242</v>
      </c>
      <c r="F4995" t="s">
        <v>663</v>
      </c>
      <c r="G4995">
        <v>2035</v>
      </c>
      <c r="H4995" s="12">
        <v>172</v>
      </c>
      <c r="I4995" t="s">
        <v>3183</v>
      </c>
      <c r="J4995" t="s">
        <v>6</v>
      </c>
      <c r="K4995" t="s">
        <v>147</v>
      </c>
      <c r="L4995" t="s">
        <v>3184</v>
      </c>
      <c r="M4995" t="s">
        <v>659</v>
      </c>
    </row>
    <row r="4996" spans="1:13">
      <c r="A4996" t="s">
        <v>851</v>
      </c>
      <c r="B4996" t="s">
        <v>686</v>
      </c>
      <c r="C4996" t="s">
        <v>686</v>
      </c>
      <c r="D4996" t="s">
        <v>3175</v>
      </c>
      <c r="E4996" t="s">
        <v>242</v>
      </c>
      <c r="F4996" t="s">
        <v>663</v>
      </c>
      <c r="G4996">
        <v>2010</v>
      </c>
      <c r="H4996" s="12">
        <v>195.83</v>
      </c>
      <c r="I4996" t="s">
        <v>3183</v>
      </c>
      <c r="J4996" t="s">
        <v>5</v>
      </c>
      <c r="K4996" t="s">
        <v>664</v>
      </c>
      <c r="L4996" t="s">
        <v>3184</v>
      </c>
      <c r="M4996" t="s">
        <v>5</v>
      </c>
    </row>
    <row r="4997" spans="1:13">
      <c r="A4997" t="s">
        <v>851</v>
      </c>
      <c r="B4997" t="s">
        <v>686</v>
      </c>
      <c r="C4997" t="s">
        <v>686</v>
      </c>
      <c r="D4997" t="s">
        <v>3175</v>
      </c>
      <c r="E4997" t="s">
        <v>242</v>
      </c>
      <c r="F4997" t="s">
        <v>663</v>
      </c>
      <c r="G4997">
        <v>2015</v>
      </c>
      <c r="H4997" s="12">
        <v>169.71</v>
      </c>
      <c r="I4997" t="s">
        <v>3183</v>
      </c>
      <c r="J4997" t="s">
        <v>5</v>
      </c>
      <c r="K4997" t="s">
        <v>664</v>
      </c>
      <c r="L4997" t="s">
        <v>3184</v>
      </c>
      <c r="M4997" t="s">
        <v>5</v>
      </c>
    </row>
    <row r="4998" spans="1:13">
      <c r="A4998" t="s">
        <v>851</v>
      </c>
      <c r="B4998" t="s">
        <v>686</v>
      </c>
      <c r="C4998" t="s">
        <v>686</v>
      </c>
      <c r="D4998" t="s">
        <v>3175</v>
      </c>
      <c r="E4998" t="s">
        <v>242</v>
      </c>
      <c r="F4998" t="s">
        <v>663</v>
      </c>
      <c r="G4998">
        <v>2020</v>
      </c>
      <c r="H4998" s="12">
        <v>137.97999999999999</v>
      </c>
      <c r="I4998" t="s">
        <v>3183</v>
      </c>
      <c r="J4998" t="s">
        <v>5</v>
      </c>
      <c r="K4998" t="s">
        <v>664</v>
      </c>
      <c r="L4998" t="s">
        <v>3184</v>
      </c>
      <c r="M4998" t="s">
        <v>5</v>
      </c>
    </row>
    <row r="4999" spans="1:13">
      <c r="A4999" t="s">
        <v>851</v>
      </c>
      <c r="B4999" t="s">
        <v>686</v>
      </c>
      <c r="C4999" t="s">
        <v>686</v>
      </c>
      <c r="D4999" t="s">
        <v>3175</v>
      </c>
      <c r="E4999" t="s">
        <v>242</v>
      </c>
      <c r="F4999" t="s">
        <v>663</v>
      </c>
      <c r="G4999">
        <v>2030</v>
      </c>
      <c r="H4999" s="12">
        <v>117.66</v>
      </c>
      <c r="I4999" t="s">
        <v>3183</v>
      </c>
      <c r="J4999" t="s">
        <v>5</v>
      </c>
      <c r="K4999" t="s">
        <v>664</v>
      </c>
      <c r="L4999" t="s">
        <v>3184</v>
      </c>
      <c r="M4999" t="s">
        <v>5</v>
      </c>
    </row>
    <row r="5000" spans="1:13">
      <c r="A5000" t="s">
        <v>851</v>
      </c>
      <c r="B5000" t="s">
        <v>686</v>
      </c>
      <c r="C5000" t="s">
        <v>686</v>
      </c>
      <c r="D5000" t="s">
        <v>3175</v>
      </c>
      <c r="E5000" t="s">
        <v>242</v>
      </c>
      <c r="F5000" t="s">
        <v>663</v>
      </c>
      <c r="G5000">
        <v>2035</v>
      </c>
      <c r="H5000" s="12">
        <v>105.48</v>
      </c>
      <c r="I5000" t="s">
        <v>3183</v>
      </c>
      <c r="J5000" t="s">
        <v>5</v>
      </c>
      <c r="K5000" t="s">
        <v>664</v>
      </c>
      <c r="L5000" t="s">
        <v>3184</v>
      </c>
      <c r="M5000" t="s">
        <v>5</v>
      </c>
    </row>
    <row r="5001" spans="1:13">
      <c r="A5001" t="s">
        <v>851</v>
      </c>
      <c r="B5001" t="s">
        <v>686</v>
      </c>
      <c r="C5001" t="s">
        <v>686</v>
      </c>
      <c r="D5001" t="s">
        <v>3175</v>
      </c>
      <c r="E5001" t="s">
        <v>242</v>
      </c>
      <c r="F5001" t="s">
        <v>663</v>
      </c>
      <c r="G5001">
        <v>2040</v>
      </c>
      <c r="H5001" s="12">
        <v>95.32</v>
      </c>
      <c r="I5001" t="s">
        <v>3183</v>
      </c>
      <c r="J5001" t="s">
        <v>5</v>
      </c>
      <c r="K5001" t="s">
        <v>664</v>
      </c>
      <c r="L5001" t="s">
        <v>3184</v>
      </c>
      <c r="M5001" t="s">
        <v>5</v>
      </c>
    </row>
    <row r="5002" spans="1:13">
      <c r="A5002" t="s">
        <v>851</v>
      </c>
      <c r="B5002" t="s">
        <v>686</v>
      </c>
      <c r="C5002" t="s">
        <v>686</v>
      </c>
      <c r="D5002" t="s">
        <v>3175</v>
      </c>
      <c r="E5002" t="s">
        <v>242</v>
      </c>
      <c r="F5002" t="s">
        <v>663</v>
      </c>
      <c r="G5002">
        <v>2045</v>
      </c>
      <c r="H5002" s="12">
        <v>87.2</v>
      </c>
      <c r="I5002" t="s">
        <v>3183</v>
      </c>
      <c r="J5002" t="s">
        <v>5</v>
      </c>
      <c r="K5002" t="s">
        <v>664</v>
      </c>
      <c r="L5002" t="s">
        <v>3184</v>
      </c>
      <c r="M5002" t="s">
        <v>5</v>
      </c>
    </row>
    <row r="5003" spans="1:13">
      <c r="A5003" t="s">
        <v>851</v>
      </c>
      <c r="B5003" t="s">
        <v>686</v>
      </c>
      <c r="C5003" t="s">
        <v>686</v>
      </c>
      <c r="D5003" t="s">
        <v>3175</v>
      </c>
      <c r="E5003" t="s">
        <v>242</v>
      </c>
      <c r="F5003" t="s">
        <v>663</v>
      </c>
      <c r="G5003">
        <v>2050</v>
      </c>
      <c r="H5003" s="12">
        <v>79.5</v>
      </c>
      <c r="I5003" t="s">
        <v>3183</v>
      </c>
      <c r="J5003" t="s">
        <v>5</v>
      </c>
      <c r="K5003" t="s">
        <v>664</v>
      </c>
      <c r="L5003" t="s">
        <v>3184</v>
      </c>
      <c r="M5003" t="s">
        <v>5</v>
      </c>
    </row>
    <row r="5004" spans="1:13">
      <c r="A5004" t="s">
        <v>851</v>
      </c>
      <c r="B5004" t="s">
        <v>687</v>
      </c>
      <c r="C5004" t="s">
        <v>687</v>
      </c>
      <c r="D5004" t="s">
        <v>3175</v>
      </c>
      <c r="E5004" t="s">
        <v>242</v>
      </c>
      <c r="F5004" t="s">
        <v>663</v>
      </c>
      <c r="G5004">
        <v>2030</v>
      </c>
      <c r="H5004" s="12">
        <v>86.79</v>
      </c>
      <c r="I5004" t="s">
        <v>3183</v>
      </c>
      <c r="J5004" t="s">
        <v>5</v>
      </c>
      <c r="K5004" t="s">
        <v>664</v>
      </c>
      <c r="L5004" t="s">
        <v>3184</v>
      </c>
      <c r="M5004" t="s">
        <v>5</v>
      </c>
    </row>
    <row r="5005" spans="1:13">
      <c r="A5005" t="s">
        <v>851</v>
      </c>
      <c r="B5005" t="s">
        <v>687</v>
      </c>
      <c r="C5005" t="s">
        <v>687</v>
      </c>
      <c r="D5005" t="s">
        <v>3175</v>
      </c>
      <c r="E5005" t="s">
        <v>242</v>
      </c>
      <c r="F5005" t="s">
        <v>663</v>
      </c>
      <c r="G5005">
        <v>2035</v>
      </c>
      <c r="H5005" s="12">
        <v>58.94</v>
      </c>
      <c r="I5005" t="s">
        <v>3183</v>
      </c>
      <c r="J5005" t="s">
        <v>5</v>
      </c>
      <c r="K5005" t="s">
        <v>664</v>
      </c>
      <c r="L5005" t="s">
        <v>3184</v>
      </c>
      <c r="M5005" t="s">
        <v>5</v>
      </c>
    </row>
    <row r="5006" spans="1:13">
      <c r="A5006" t="s">
        <v>851</v>
      </c>
      <c r="B5006" t="s">
        <v>687</v>
      </c>
      <c r="C5006" t="s">
        <v>687</v>
      </c>
      <c r="D5006" t="s">
        <v>3175</v>
      </c>
      <c r="E5006" t="s">
        <v>242</v>
      </c>
      <c r="F5006" t="s">
        <v>663</v>
      </c>
      <c r="G5006">
        <v>2040</v>
      </c>
      <c r="H5006" s="12">
        <v>38.36</v>
      </c>
      <c r="I5006" t="s">
        <v>3183</v>
      </c>
      <c r="J5006" t="s">
        <v>5</v>
      </c>
      <c r="K5006" t="s">
        <v>664</v>
      </c>
      <c r="L5006" t="s">
        <v>3184</v>
      </c>
      <c r="M5006" t="s">
        <v>5</v>
      </c>
    </row>
    <row r="5007" spans="1:13">
      <c r="A5007" t="s">
        <v>851</v>
      </c>
      <c r="B5007" t="s">
        <v>687</v>
      </c>
      <c r="C5007" t="s">
        <v>687</v>
      </c>
      <c r="D5007" t="s">
        <v>3175</v>
      </c>
      <c r="E5007" t="s">
        <v>242</v>
      </c>
      <c r="F5007" t="s">
        <v>663</v>
      </c>
      <c r="G5007">
        <v>2045</v>
      </c>
      <c r="H5007" s="12">
        <v>23.21</v>
      </c>
      <c r="I5007" t="s">
        <v>3183</v>
      </c>
      <c r="J5007" t="s">
        <v>5</v>
      </c>
      <c r="K5007" t="s">
        <v>664</v>
      </c>
      <c r="L5007" t="s">
        <v>3184</v>
      </c>
      <c r="M5007" t="s">
        <v>5</v>
      </c>
    </row>
    <row r="5008" spans="1:13">
      <c r="A5008" t="s">
        <v>851</v>
      </c>
      <c r="B5008" t="s">
        <v>687</v>
      </c>
      <c r="C5008" t="s">
        <v>687</v>
      </c>
      <c r="D5008" t="s">
        <v>3175</v>
      </c>
      <c r="E5008" t="s">
        <v>242</v>
      </c>
      <c r="F5008" t="s">
        <v>663</v>
      </c>
      <c r="G5008">
        <v>2050</v>
      </c>
      <c r="H5008" s="12">
        <v>9.44</v>
      </c>
      <c r="I5008" t="s">
        <v>3183</v>
      </c>
      <c r="J5008" t="s">
        <v>5</v>
      </c>
      <c r="K5008" t="s">
        <v>664</v>
      </c>
      <c r="L5008" t="s">
        <v>3184</v>
      </c>
      <c r="M5008" t="s">
        <v>5</v>
      </c>
    </row>
    <row r="5009" spans="1:13">
      <c r="A5009" t="s">
        <v>851</v>
      </c>
      <c r="B5009" t="s">
        <v>686</v>
      </c>
      <c r="C5009" t="s">
        <v>686</v>
      </c>
      <c r="D5009" t="s">
        <v>3175</v>
      </c>
      <c r="E5009" t="s">
        <v>242</v>
      </c>
      <c r="F5009" t="s">
        <v>663</v>
      </c>
      <c r="G5009">
        <v>2010</v>
      </c>
      <c r="H5009" s="12">
        <v>1117.72</v>
      </c>
      <c r="I5009" t="s">
        <v>3183</v>
      </c>
      <c r="J5009" t="s">
        <v>394</v>
      </c>
      <c r="K5009" t="s">
        <v>664</v>
      </c>
      <c r="L5009" t="s">
        <v>3184</v>
      </c>
      <c r="M5009" t="s">
        <v>16</v>
      </c>
    </row>
    <row r="5010" spans="1:13">
      <c r="A5010" t="s">
        <v>851</v>
      </c>
      <c r="B5010" t="s">
        <v>686</v>
      </c>
      <c r="C5010" t="s">
        <v>686</v>
      </c>
      <c r="D5010" t="s">
        <v>3175</v>
      </c>
      <c r="E5010" t="s">
        <v>242</v>
      </c>
      <c r="F5010" t="s">
        <v>663</v>
      </c>
      <c r="G5010">
        <v>2015</v>
      </c>
      <c r="H5010" s="12">
        <v>1035.0999999999999</v>
      </c>
      <c r="I5010" t="s">
        <v>3183</v>
      </c>
      <c r="J5010" t="s">
        <v>394</v>
      </c>
      <c r="K5010" t="s">
        <v>664</v>
      </c>
      <c r="L5010" t="s">
        <v>3184</v>
      </c>
      <c r="M5010" t="s">
        <v>16</v>
      </c>
    </row>
    <row r="5011" spans="1:13">
      <c r="A5011" t="s">
        <v>851</v>
      </c>
      <c r="B5011" t="s">
        <v>686</v>
      </c>
      <c r="C5011" t="s">
        <v>686</v>
      </c>
      <c r="D5011" t="s">
        <v>3175</v>
      </c>
      <c r="E5011" t="s">
        <v>242</v>
      </c>
      <c r="F5011" t="s">
        <v>663</v>
      </c>
      <c r="G5011">
        <v>2020</v>
      </c>
      <c r="H5011" s="12">
        <v>945.59</v>
      </c>
      <c r="I5011" t="s">
        <v>3183</v>
      </c>
      <c r="J5011" t="s">
        <v>394</v>
      </c>
      <c r="K5011" t="s">
        <v>664</v>
      </c>
      <c r="L5011" t="s">
        <v>3184</v>
      </c>
      <c r="M5011" t="s">
        <v>16</v>
      </c>
    </row>
    <row r="5012" spans="1:13">
      <c r="A5012" t="s">
        <v>851</v>
      </c>
      <c r="B5012" t="s">
        <v>686</v>
      </c>
      <c r="C5012" t="s">
        <v>686</v>
      </c>
      <c r="D5012" t="s">
        <v>3175</v>
      </c>
      <c r="E5012" t="s">
        <v>242</v>
      </c>
      <c r="F5012" t="s">
        <v>663</v>
      </c>
      <c r="G5012">
        <v>2030</v>
      </c>
      <c r="H5012" s="12">
        <v>804.73</v>
      </c>
      <c r="I5012" t="s">
        <v>3183</v>
      </c>
      <c r="J5012" t="s">
        <v>394</v>
      </c>
      <c r="K5012" t="s">
        <v>664</v>
      </c>
      <c r="L5012" t="s">
        <v>3184</v>
      </c>
      <c r="M5012" t="s">
        <v>16</v>
      </c>
    </row>
    <row r="5013" spans="1:13">
      <c r="A5013" t="s">
        <v>851</v>
      </c>
      <c r="B5013" t="s">
        <v>686</v>
      </c>
      <c r="C5013" t="s">
        <v>686</v>
      </c>
      <c r="D5013" t="s">
        <v>3175</v>
      </c>
      <c r="E5013" t="s">
        <v>242</v>
      </c>
      <c r="F5013" t="s">
        <v>663</v>
      </c>
      <c r="G5013">
        <v>2035</v>
      </c>
      <c r="H5013" s="12">
        <v>680.69</v>
      </c>
      <c r="I5013" t="s">
        <v>3183</v>
      </c>
      <c r="J5013" t="s">
        <v>394</v>
      </c>
      <c r="K5013" t="s">
        <v>664</v>
      </c>
      <c r="L5013" t="s">
        <v>3184</v>
      </c>
      <c r="M5013" t="s">
        <v>16</v>
      </c>
    </row>
    <row r="5014" spans="1:13">
      <c r="A5014" t="s">
        <v>851</v>
      </c>
      <c r="B5014" t="s">
        <v>686</v>
      </c>
      <c r="C5014" t="s">
        <v>686</v>
      </c>
      <c r="D5014" t="s">
        <v>3175</v>
      </c>
      <c r="E5014" t="s">
        <v>242</v>
      </c>
      <c r="F5014" t="s">
        <v>663</v>
      </c>
      <c r="G5014">
        <v>2040</v>
      </c>
      <c r="H5014" s="12">
        <v>576.69000000000005</v>
      </c>
      <c r="I5014" t="s">
        <v>3183</v>
      </c>
      <c r="J5014" t="s">
        <v>394</v>
      </c>
      <c r="K5014" t="s">
        <v>664</v>
      </c>
      <c r="L5014" t="s">
        <v>3184</v>
      </c>
      <c r="M5014" t="s">
        <v>16</v>
      </c>
    </row>
    <row r="5015" spans="1:13">
      <c r="A5015" t="s">
        <v>851</v>
      </c>
      <c r="B5015" t="s">
        <v>686</v>
      </c>
      <c r="C5015" t="s">
        <v>686</v>
      </c>
      <c r="D5015" t="s">
        <v>3175</v>
      </c>
      <c r="E5015" t="s">
        <v>242</v>
      </c>
      <c r="F5015" t="s">
        <v>663</v>
      </c>
      <c r="G5015">
        <v>2045</v>
      </c>
      <c r="H5015" s="12">
        <v>502.02</v>
      </c>
      <c r="I5015" t="s">
        <v>3183</v>
      </c>
      <c r="J5015" t="s">
        <v>394</v>
      </c>
      <c r="K5015" t="s">
        <v>664</v>
      </c>
      <c r="L5015" t="s">
        <v>3184</v>
      </c>
      <c r="M5015" t="s">
        <v>16</v>
      </c>
    </row>
    <row r="5016" spans="1:13">
      <c r="A5016" t="s">
        <v>851</v>
      </c>
      <c r="B5016" t="s">
        <v>686</v>
      </c>
      <c r="C5016" t="s">
        <v>686</v>
      </c>
      <c r="D5016" t="s">
        <v>3175</v>
      </c>
      <c r="E5016" t="s">
        <v>242</v>
      </c>
      <c r="F5016" t="s">
        <v>663</v>
      </c>
      <c r="G5016">
        <v>2050</v>
      </c>
      <c r="H5016" s="12">
        <v>442.64</v>
      </c>
      <c r="I5016" t="s">
        <v>3183</v>
      </c>
      <c r="J5016" t="s">
        <v>394</v>
      </c>
      <c r="K5016" t="s">
        <v>664</v>
      </c>
      <c r="L5016" t="s">
        <v>3184</v>
      </c>
      <c r="M5016" t="s">
        <v>16</v>
      </c>
    </row>
    <row r="5017" spans="1:13">
      <c r="A5017" t="s">
        <v>851</v>
      </c>
      <c r="B5017" t="s">
        <v>687</v>
      </c>
      <c r="C5017" t="s">
        <v>687</v>
      </c>
      <c r="D5017" t="s">
        <v>3175</v>
      </c>
      <c r="E5017" t="s">
        <v>242</v>
      </c>
      <c r="F5017" t="s">
        <v>663</v>
      </c>
      <c r="G5017">
        <v>2030</v>
      </c>
      <c r="H5017" s="12">
        <v>653.5</v>
      </c>
      <c r="I5017" t="s">
        <v>3183</v>
      </c>
      <c r="J5017" t="s">
        <v>394</v>
      </c>
      <c r="K5017" t="s">
        <v>664</v>
      </c>
      <c r="L5017" t="s">
        <v>3184</v>
      </c>
      <c r="M5017" t="s">
        <v>16</v>
      </c>
    </row>
    <row r="5018" spans="1:13">
      <c r="A5018" t="s">
        <v>851</v>
      </c>
      <c r="B5018" t="s">
        <v>687</v>
      </c>
      <c r="C5018" t="s">
        <v>687</v>
      </c>
      <c r="D5018" t="s">
        <v>3175</v>
      </c>
      <c r="E5018" t="s">
        <v>242</v>
      </c>
      <c r="F5018" t="s">
        <v>663</v>
      </c>
      <c r="G5018">
        <v>2035</v>
      </c>
      <c r="H5018" s="12">
        <v>415.18</v>
      </c>
      <c r="I5018" t="s">
        <v>3183</v>
      </c>
      <c r="J5018" t="s">
        <v>394</v>
      </c>
      <c r="K5018" t="s">
        <v>664</v>
      </c>
      <c r="L5018" t="s">
        <v>3184</v>
      </c>
      <c r="M5018" t="s">
        <v>16</v>
      </c>
    </row>
    <row r="5019" spans="1:13">
      <c r="A5019" t="s">
        <v>851</v>
      </c>
      <c r="B5019" t="s">
        <v>687</v>
      </c>
      <c r="C5019" t="s">
        <v>687</v>
      </c>
      <c r="D5019" t="s">
        <v>3175</v>
      </c>
      <c r="E5019" t="s">
        <v>242</v>
      </c>
      <c r="F5019" t="s">
        <v>663</v>
      </c>
      <c r="G5019">
        <v>2040</v>
      </c>
      <c r="H5019" s="12">
        <v>233.35</v>
      </c>
      <c r="I5019" t="s">
        <v>3183</v>
      </c>
      <c r="J5019" t="s">
        <v>394</v>
      </c>
      <c r="K5019" t="s">
        <v>664</v>
      </c>
      <c r="L5019" t="s">
        <v>3184</v>
      </c>
      <c r="M5019" t="s">
        <v>16</v>
      </c>
    </row>
    <row r="5020" spans="1:13">
      <c r="A5020" t="s">
        <v>851</v>
      </c>
      <c r="B5020" t="s">
        <v>687</v>
      </c>
      <c r="C5020" t="s">
        <v>687</v>
      </c>
      <c r="D5020" t="s">
        <v>3175</v>
      </c>
      <c r="E5020" t="s">
        <v>242</v>
      </c>
      <c r="F5020" t="s">
        <v>663</v>
      </c>
      <c r="G5020">
        <v>2045</v>
      </c>
      <c r="H5020" s="12">
        <v>131.30000000000001</v>
      </c>
      <c r="I5020" t="s">
        <v>3183</v>
      </c>
      <c r="J5020" t="s">
        <v>394</v>
      </c>
      <c r="K5020" t="s">
        <v>664</v>
      </c>
      <c r="L5020" t="s">
        <v>3184</v>
      </c>
      <c r="M5020" t="s">
        <v>16</v>
      </c>
    </row>
    <row r="5021" spans="1:13">
      <c r="A5021" t="s">
        <v>851</v>
      </c>
      <c r="B5021" t="s">
        <v>687</v>
      </c>
      <c r="C5021" t="s">
        <v>687</v>
      </c>
      <c r="D5021" t="s">
        <v>3175</v>
      </c>
      <c r="E5021" t="s">
        <v>242</v>
      </c>
      <c r="F5021" t="s">
        <v>663</v>
      </c>
      <c r="G5021">
        <v>2050</v>
      </c>
      <c r="H5021" s="12">
        <v>71.86</v>
      </c>
      <c r="I5021" t="s">
        <v>3183</v>
      </c>
      <c r="J5021" t="s">
        <v>394</v>
      </c>
      <c r="K5021" t="s">
        <v>664</v>
      </c>
      <c r="L5021" t="s">
        <v>3184</v>
      </c>
      <c r="M5021" t="s">
        <v>16</v>
      </c>
    </row>
    <row r="5022" spans="1:13">
      <c r="A5022" t="s">
        <v>851</v>
      </c>
      <c r="B5022" t="s">
        <v>686</v>
      </c>
      <c r="C5022" t="s">
        <v>686</v>
      </c>
      <c r="D5022" t="s">
        <v>3175</v>
      </c>
      <c r="E5022" t="s">
        <v>242</v>
      </c>
      <c r="F5022" t="s">
        <v>663</v>
      </c>
      <c r="G5022">
        <v>2010</v>
      </c>
      <c r="H5022" s="12">
        <v>511.7</v>
      </c>
      <c r="I5022" t="s">
        <v>3183</v>
      </c>
      <c r="J5022" t="s">
        <v>6</v>
      </c>
      <c r="K5022" t="s">
        <v>664</v>
      </c>
      <c r="L5022" t="s">
        <v>3184</v>
      </c>
      <c r="M5022" t="s">
        <v>659</v>
      </c>
    </row>
    <row r="5023" spans="1:13">
      <c r="A5023" t="s">
        <v>851</v>
      </c>
      <c r="B5023" t="s">
        <v>686</v>
      </c>
      <c r="C5023" t="s">
        <v>686</v>
      </c>
      <c r="D5023" t="s">
        <v>3175</v>
      </c>
      <c r="E5023" t="s">
        <v>242</v>
      </c>
      <c r="F5023" t="s">
        <v>663</v>
      </c>
      <c r="G5023">
        <v>2015</v>
      </c>
      <c r="H5023" s="12">
        <v>451.83</v>
      </c>
      <c r="I5023" t="s">
        <v>3183</v>
      </c>
      <c r="J5023" t="s">
        <v>6</v>
      </c>
      <c r="K5023" t="s">
        <v>664</v>
      </c>
      <c r="L5023" t="s">
        <v>3184</v>
      </c>
      <c r="M5023" t="s">
        <v>659</v>
      </c>
    </row>
    <row r="5024" spans="1:13">
      <c r="A5024" t="s">
        <v>851</v>
      </c>
      <c r="B5024" t="s">
        <v>686</v>
      </c>
      <c r="C5024" t="s">
        <v>686</v>
      </c>
      <c r="D5024" t="s">
        <v>3175</v>
      </c>
      <c r="E5024" t="s">
        <v>242</v>
      </c>
      <c r="F5024" t="s">
        <v>663</v>
      </c>
      <c r="G5024">
        <v>2020</v>
      </c>
      <c r="H5024" s="12">
        <v>455.57</v>
      </c>
      <c r="I5024" t="s">
        <v>3183</v>
      </c>
      <c r="J5024" t="s">
        <v>6</v>
      </c>
      <c r="K5024" t="s">
        <v>664</v>
      </c>
      <c r="L5024" t="s">
        <v>3184</v>
      </c>
      <c r="M5024" t="s">
        <v>659</v>
      </c>
    </row>
    <row r="5025" spans="1:13">
      <c r="A5025" t="s">
        <v>851</v>
      </c>
      <c r="B5025" t="s">
        <v>686</v>
      </c>
      <c r="C5025" t="s">
        <v>686</v>
      </c>
      <c r="D5025" t="s">
        <v>3175</v>
      </c>
      <c r="E5025" t="s">
        <v>242</v>
      </c>
      <c r="F5025" t="s">
        <v>663</v>
      </c>
      <c r="G5025">
        <v>2030</v>
      </c>
      <c r="H5025" s="12">
        <v>391.58</v>
      </c>
      <c r="I5025" t="s">
        <v>3183</v>
      </c>
      <c r="J5025" t="s">
        <v>6</v>
      </c>
      <c r="K5025" t="s">
        <v>664</v>
      </c>
      <c r="L5025" t="s">
        <v>3184</v>
      </c>
      <c r="M5025" t="s">
        <v>659</v>
      </c>
    </row>
    <row r="5026" spans="1:13">
      <c r="A5026" t="s">
        <v>851</v>
      </c>
      <c r="B5026" t="s">
        <v>686</v>
      </c>
      <c r="C5026" t="s">
        <v>686</v>
      </c>
      <c r="D5026" t="s">
        <v>3175</v>
      </c>
      <c r="E5026" t="s">
        <v>242</v>
      </c>
      <c r="F5026" t="s">
        <v>663</v>
      </c>
      <c r="G5026">
        <v>2035</v>
      </c>
      <c r="H5026" s="12">
        <v>354.81</v>
      </c>
      <c r="I5026" t="s">
        <v>3183</v>
      </c>
      <c r="J5026" t="s">
        <v>6</v>
      </c>
      <c r="K5026" t="s">
        <v>664</v>
      </c>
      <c r="L5026" t="s">
        <v>3184</v>
      </c>
      <c r="M5026" t="s">
        <v>659</v>
      </c>
    </row>
    <row r="5027" spans="1:13">
      <c r="A5027" t="s">
        <v>851</v>
      </c>
      <c r="B5027" t="s">
        <v>686</v>
      </c>
      <c r="C5027" t="s">
        <v>686</v>
      </c>
      <c r="D5027" t="s">
        <v>3175</v>
      </c>
      <c r="E5027" t="s">
        <v>242</v>
      </c>
      <c r="F5027" t="s">
        <v>663</v>
      </c>
      <c r="G5027">
        <v>2040</v>
      </c>
      <c r="H5027" s="12">
        <v>324.27</v>
      </c>
      <c r="I5027" t="s">
        <v>3183</v>
      </c>
      <c r="J5027" t="s">
        <v>6</v>
      </c>
      <c r="K5027" t="s">
        <v>664</v>
      </c>
      <c r="L5027" t="s">
        <v>3184</v>
      </c>
      <c r="M5027" t="s">
        <v>659</v>
      </c>
    </row>
    <row r="5028" spans="1:13">
      <c r="A5028" t="s">
        <v>851</v>
      </c>
      <c r="B5028" t="s">
        <v>686</v>
      </c>
      <c r="C5028" t="s">
        <v>686</v>
      </c>
      <c r="D5028" t="s">
        <v>3175</v>
      </c>
      <c r="E5028" t="s">
        <v>242</v>
      </c>
      <c r="F5028" t="s">
        <v>663</v>
      </c>
      <c r="G5028">
        <v>2045</v>
      </c>
      <c r="H5028" s="12">
        <v>296.10000000000002</v>
      </c>
      <c r="I5028" t="s">
        <v>3183</v>
      </c>
      <c r="J5028" t="s">
        <v>6</v>
      </c>
      <c r="K5028" t="s">
        <v>664</v>
      </c>
      <c r="L5028" t="s">
        <v>3184</v>
      </c>
      <c r="M5028" t="s">
        <v>659</v>
      </c>
    </row>
    <row r="5029" spans="1:13">
      <c r="A5029" t="s">
        <v>851</v>
      </c>
      <c r="B5029" t="s">
        <v>686</v>
      </c>
      <c r="C5029" t="s">
        <v>686</v>
      </c>
      <c r="D5029" t="s">
        <v>3175</v>
      </c>
      <c r="E5029" t="s">
        <v>242</v>
      </c>
      <c r="F5029" t="s">
        <v>663</v>
      </c>
      <c r="G5029">
        <v>2050</v>
      </c>
      <c r="H5029" s="12">
        <v>267.41000000000003</v>
      </c>
      <c r="I5029" t="s">
        <v>3183</v>
      </c>
      <c r="J5029" t="s">
        <v>6</v>
      </c>
      <c r="K5029" t="s">
        <v>664</v>
      </c>
      <c r="L5029" t="s">
        <v>3184</v>
      </c>
      <c r="M5029" t="s">
        <v>659</v>
      </c>
    </row>
    <row r="5030" spans="1:13">
      <c r="A5030" t="s">
        <v>851</v>
      </c>
      <c r="B5030" t="s">
        <v>687</v>
      </c>
      <c r="C5030" t="s">
        <v>687</v>
      </c>
      <c r="D5030" t="s">
        <v>3175</v>
      </c>
      <c r="E5030" t="s">
        <v>242</v>
      </c>
      <c r="F5030" t="s">
        <v>663</v>
      </c>
      <c r="G5030">
        <v>2030</v>
      </c>
      <c r="H5030" s="12">
        <v>274.97000000000003</v>
      </c>
      <c r="I5030" t="s">
        <v>3183</v>
      </c>
      <c r="J5030" t="s">
        <v>6</v>
      </c>
      <c r="K5030" t="s">
        <v>664</v>
      </c>
      <c r="L5030" t="s">
        <v>3184</v>
      </c>
      <c r="M5030" t="s">
        <v>659</v>
      </c>
    </row>
    <row r="5031" spans="1:13">
      <c r="A5031" t="s">
        <v>851</v>
      </c>
      <c r="B5031" t="s">
        <v>687</v>
      </c>
      <c r="C5031" t="s">
        <v>687</v>
      </c>
      <c r="D5031" t="s">
        <v>3175</v>
      </c>
      <c r="E5031" t="s">
        <v>242</v>
      </c>
      <c r="F5031" t="s">
        <v>663</v>
      </c>
      <c r="G5031">
        <v>2035</v>
      </c>
      <c r="H5031" s="12">
        <v>176.09</v>
      </c>
      <c r="I5031" t="s">
        <v>3183</v>
      </c>
      <c r="J5031" t="s">
        <v>6</v>
      </c>
      <c r="K5031" t="s">
        <v>664</v>
      </c>
      <c r="L5031" t="s">
        <v>3184</v>
      </c>
      <c r="M5031" t="s">
        <v>659</v>
      </c>
    </row>
    <row r="5032" spans="1:13">
      <c r="A5032" t="s">
        <v>851</v>
      </c>
      <c r="B5032" t="s">
        <v>687</v>
      </c>
      <c r="C5032" t="s">
        <v>687</v>
      </c>
      <c r="D5032" t="s">
        <v>3175</v>
      </c>
      <c r="E5032" t="s">
        <v>242</v>
      </c>
      <c r="F5032" t="s">
        <v>663</v>
      </c>
      <c r="G5032">
        <v>2040</v>
      </c>
      <c r="H5032" s="12">
        <v>102.31</v>
      </c>
      <c r="I5032" t="s">
        <v>3183</v>
      </c>
      <c r="J5032" t="s">
        <v>6</v>
      </c>
      <c r="K5032" t="s">
        <v>664</v>
      </c>
      <c r="L5032" t="s">
        <v>3184</v>
      </c>
      <c r="M5032" t="s">
        <v>659</v>
      </c>
    </row>
    <row r="5033" spans="1:13">
      <c r="A5033" t="s">
        <v>851</v>
      </c>
      <c r="B5033" t="s">
        <v>687</v>
      </c>
      <c r="C5033" t="s">
        <v>687</v>
      </c>
      <c r="D5033" t="s">
        <v>3175</v>
      </c>
      <c r="E5033" t="s">
        <v>242</v>
      </c>
      <c r="F5033" t="s">
        <v>663</v>
      </c>
      <c r="G5033">
        <v>2045</v>
      </c>
      <c r="H5033" s="12">
        <v>53.71</v>
      </c>
      <c r="I5033" t="s">
        <v>3183</v>
      </c>
      <c r="J5033" t="s">
        <v>6</v>
      </c>
      <c r="K5033" t="s">
        <v>664</v>
      </c>
      <c r="L5033" t="s">
        <v>3184</v>
      </c>
      <c r="M5033" t="s">
        <v>659</v>
      </c>
    </row>
    <row r="5034" spans="1:13">
      <c r="A5034" t="s">
        <v>851</v>
      </c>
      <c r="B5034" t="s">
        <v>687</v>
      </c>
      <c r="C5034" t="s">
        <v>687</v>
      </c>
      <c r="D5034" t="s">
        <v>3175</v>
      </c>
      <c r="E5034" t="s">
        <v>242</v>
      </c>
      <c r="F5034" t="s">
        <v>663</v>
      </c>
      <c r="G5034">
        <v>2050</v>
      </c>
      <c r="H5034" s="12">
        <v>22.12</v>
      </c>
      <c r="I5034" t="s">
        <v>3183</v>
      </c>
      <c r="J5034" t="s">
        <v>6</v>
      </c>
      <c r="K5034" t="s">
        <v>664</v>
      </c>
      <c r="L5034" t="s">
        <v>3184</v>
      </c>
      <c r="M5034" t="s">
        <v>659</v>
      </c>
    </row>
    <row r="5035" spans="1:13">
      <c r="A5035" t="s">
        <v>851</v>
      </c>
      <c r="B5035" t="s">
        <v>686</v>
      </c>
      <c r="C5035" t="s">
        <v>686</v>
      </c>
      <c r="D5035" t="s">
        <v>3175</v>
      </c>
      <c r="E5035" t="s">
        <v>242</v>
      </c>
      <c r="F5035" t="s">
        <v>663</v>
      </c>
      <c r="G5035">
        <v>2010</v>
      </c>
      <c r="H5035" s="12">
        <v>801.27</v>
      </c>
      <c r="I5035" t="s">
        <v>3183</v>
      </c>
      <c r="J5035" t="s">
        <v>5</v>
      </c>
      <c r="K5035" t="s">
        <v>147</v>
      </c>
      <c r="L5035" t="s">
        <v>3184</v>
      </c>
      <c r="M5035" t="s">
        <v>5</v>
      </c>
    </row>
    <row r="5036" spans="1:13">
      <c r="A5036" t="s">
        <v>851</v>
      </c>
      <c r="B5036" t="s">
        <v>686</v>
      </c>
      <c r="C5036" t="s">
        <v>686</v>
      </c>
      <c r="D5036" t="s">
        <v>3175</v>
      </c>
      <c r="E5036" t="s">
        <v>242</v>
      </c>
      <c r="F5036" t="s">
        <v>663</v>
      </c>
      <c r="G5036">
        <v>2015</v>
      </c>
      <c r="H5036" s="12">
        <v>770.53</v>
      </c>
      <c r="I5036" t="s">
        <v>3183</v>
      </c>
      <c r="J5036" t="s">
        <v>5</v>
      </c>
      <c r="K5036" t="s">
        <v>147</v>
      </c>
      <c r="L5036" t="s">
        <v>3184</v>
      </c>
      <c r="M5036" t="s">
        <v>5</v>
      </c>
    </row>
    <row r="5037" spans="1:13">
      <c r="A5037" t="s">
        <v>851</v>
      </c>
      <c r="B5037" t="s">
        <v>686</v>
      </c>
      <c r="C5037" t="s">
        <v>686</v>
      </c>
      <c r="D5037" t="s">
        <v>3175</v>
      </c>
      <c r="E5037" t="s">
        <v>242</v>
      </c>
      <c r="F5037" t="s">
        <v>663</v>
      </c>
      <c r="G5037">
        <v>2020</v>
      </c>
      <c r="H5037" s="12">
        <v>415.6</v>
      </c>
      <c r="I5037" t="s">
        <v>3183</v>
      </c>
      <c r="J5037" t="s">
        <v>5</v>
      </c>
      <c r="K5037" t="s">
        <v>147</v>
      </c>
      <c r="L5037" t="s">
        <v>3184</v>
      </c>
      <c r="M5037" t="s">
        <v>5</v>
      </c>
    </row>
    <row r="5038" spans="1:13">
      <c r="A5038" t="s">
        <v>851</v>
      </c>
      <c r="B5038" t="s">
        <v>686</v>
      </c>
      <c r="C5038" t="s">
        <v>686</v>
      </c>
      <c r="D5038" t="s">
        <v>3175</v>
      </c>
      <c r="E5038" t="s">
        <v>242</v>
      </c>
      <c r="F5038" t="s">
        <v>663</v>
      </c>
      <c r="G5038">
        <v>2030</v>
      </c>
      <c r="H5038" s="12">
        <v>179.15</v>
      </c>
      <c r="I5038" t="s">
        <v>3183</v>
      </c>
      <c r="J5038" t="s">
        <v>5</v>
      </c>
      <c r="K5038" t="s">
        <v>147</v>
      </c>
      <c r="L5038" t="s">
        <v>3184</v>
      </c>
      <c r="M5038" t="s">
        <v>5</v>
      </c>
    </row>
    <row r="5039" spans="1:13">
      <c r="A5039" t="s">
        <v>851</v>
      </c>
      <c r="B5039" t="s">
        <v>686</v>
      </c>
      <c r="C5039" t="s">
        <v>686</v>
      </c>
      <c r="D5039" t="s">
        <v>3175</v>
      </c>
      <c r="E5039" t="s">
        <v>242</v>
      </c>
      <c r="F5039" t="s">
        <v>663</v>
      </c>
      <c r="G5039">
        <v>2035</v>
      </c>
      <c r="H5039" s="12">
        <v>72.540000000000006</v>
      </c>
      <c r="I5039" t="s">
        <v>3183</v>
      </c>
      <c r="J5039" t="s">
        <v>5</v>
      </c>
      <c r="K5039" t="s">
        <v>147</v>
      </c>
      <c r="L5039" t="s">
        <v>3184</v>
      </c>
      <c r="M5039" t="s">
        <v>5</v>
      </c>
    </row>
    <row r="5040" spans="1:13">
      <c r="A5040" t="s">
        <v>851</v>
      </c>
      <c r="B5040" t="s">
        <v>686</v>
      </c>
      <c r="C5040" t="s">
        <v>686</v>
      </c>
      <c r="D5040" t="s">
        <v>3175</v>
      </c>
      <c r="E5040" t="s">
        <v>242</v>
      </c>
      <c r="F5040" t="s">
        <v>663</v>
      </c>
      <c r="G5040">
        <v>2040</v>
      </c>
      <c r="H5040" s="12">
        <v>40.35</v>
      </c>
      <c r="I5040" t="s">
        <v>3183</v>
      </c>
      <c r="J5040" t="s">
        <v>5</v>
      </c>
      <c r="K5040" t="s">
        <v>147</v>
      </c>
      <c r="L5040" t="s">
        <v>3184</v>
      </c>
      <c r="M5040" t="s">
        <v>5</v>
      </c>
    </row>
    <row r="5041" spans="1:13">
      <c r="A5041" t="s">
        <v>851</v>
      </c>
      <c r="B5041" t="s">
        <v>686</v>
      </c>
      <c r="C5041" t="s">
        <v>686</v>
      </c>
      <c r="D5041" t="s">
        <v>3175</v>
      </c>
      <c r="E5041" t="s">
        <v>242</v>
      </c>
      <c r="F5041" t="s">
        <v>663</v>
      </c>
      <c r="G5041">
        <v>2045</v>
      </c>
      <c r="H5041" s="12">
        <v>28.02</v>
      </c>
      <c r="I5041" t="s">
        <v>3183</v>
      </c>
      <c r="J5041" t="s">
        <v>5</v>
      </c>
      <c r="K5041" t="s">
        <v>147</v>
      </c>
      <c r="L5041" t="s">
        <v>3184</v>
      </c>
      <c r="M5041" t="s">
        <v>5</v>
      </c>
    </row>
    <row r="5042" spans="1:13">
      <c r="A5042" t="s">
        <v>851</v>
      </c>
      <c r="B5042" t="s">
        <v>686</v>
      </c>
      <c r="C5042" t="s">
        <v>686</v>
      </c>
      <c r="D5042" t="s">
        <v>3175</v>
      </c>
      <c r="E5042" t="s">
        <v>242</v>
      </c>
      <c r="F5042" t="s">
        <v>663</v>
      </c>
      <c r="G5042">
        <v>2050</v>
      </c>
      <c r="H5042" s="12">
        <v>20.85</v>
      </c>
      <c r="I5042" t="s">
        <v>3183</v>
      </c>
      <c r="J5042" t="s">
        <v>5</v>
      </c>
      <c r="K5042" t="s">
        <v>147</v>
      </c>
      <c r="L5042" t="s">
        <v>3184</v>
      </c>
      <c r="M5042" t="s">
        <v>5</v>
      </c>
    </row>
    <row r="5043" spans="1:13">
      <c r="A5043" t="s">
        <v>851</v>
      </c>
      <c r="B5043" t="s">
        <v>687</v>
      </c>
      <c r="C5043" t="s">
        <v>687</v>
      </c>
      <c r="D5043" t="s">
        <v>3175</v>
      </c>
      <c r="E5043" t="s">
        <v>242</v>
      </c>
      <c r="F5043" t="s">
        <v>663</v>
      </c>
      <c r="G5043">
        <v>2030</v>
      </c>
      <c r="H5043" s="12">
        <v>77.459999999999994</v>
      </c>
      <c r="I5043" t="s">
        <v>3183</v>
      </c>
      <c r="J5043" t="s">
        <v>5</v>
      </c>
      <c r="K5043" t="s">
        <v>147</v>
      </c>
      <c r="L5043" t="s">
        <v>3184</v>
      </c>
      <c r="M5043" t="s">
        <v>5</v>
      </c>
    </row>
    <row r="5044" spans="1:13">
      <c r="A5044" t="s">
        <v>851</v>
      </c>
      <c r="B5044" t="s">
        <v>687</v>
      </c>
      <c r="C5044" t="s">
        <v>687</v>
      </c>
      <c r="D5044" t="s">
        <v>3175</v>
      </c>
      <c r="E5044" t="s">
        <v>242</v>
      </c>
      <c r="F5044" t="s">
        <v>663</v>
      </c>
      <c r="G5044">
        <v>2035</v>
      </c>
      <c r="H5044" s="12">
        <v>2.86</v>
      </c>
      <c r="I5044" t="s">
        <v>3183</v>
      </c>
      <c r="J5044" t="s">
        <v>5</v>
      </c>
      <c r="K5044" t="s">
        <v>147</v>
      </c>
      <c r="L5044" t="s">
        <v>3184</v>
      </c>
      <c r="M5044" t="s">
        <v>5</v>
      </c>
    </row>
    <row r="5045" spans="1:13">
      <c r="A5045" t="s">
        <v>851</v>
      </c>
      <c r="B5045" t="s">
        <v>687</v>
      </c>
      <c r="C5045" t="s">
        <v>687</v>
      </c>
      <c r="D5045" t="s">
        <v>3175</v>
      </c>
      <c r="E5045" t="s">
        <v>242</v>
      </c>
      <c r="F5045" t="s">
        <v>663</v>
      </c>
      <c r="G5045">
        <v>2040</v>
      </c>
      <c r="H5045" s="12">
        <v>1.59</v>
      </c>
      <c r="I5045" t="s">
        <v>3183</v>
      </c>
      <c r="J5045" t="s">
        <v>5</v>
      </c>
      <c r="K5045" t="s">
        <v>147</v>
      </c>
      <c r="L5045" t="s">
        <v>3184</v>
      </c>
      <c r="M5045" t="s">
        <v>5</v>
      </c>
    </row>
    <row r="5046" spans="1:13">
      <c r="A5046" t="s">
        <v>851</v>
      </c>
      <c r="B5046" t="s">
        <v>687</v>
      </c>
      <c r="C5046" t="s">
        <v>687</v>
      </c>
      <c r="D5046" t="s">
        <v>3175</v>
      </c>
      <c r="E5046" t="s">
        <v>242</v>
      </c>
      <c r="F5046" t="s">
        <v>663</v>
      </c>
      <c r="G5046">
        <v>2045</v>
      </c>
      <c r="H5046" s="12">
        <v>0.89</v>
      </c>
      <c r="I5046" t="s">
        <v>3183</v>
      </c>
      <c r="J5046" t="s">
        <v>5</v>
      </c>
      <c r="K5046" t="s">
        <v>147</v>
      </c>
      <c r="L5046" t="s">
        <v>3184</v>
      </c>
      <c r="M5046" t="s">
        <v>5</v>
      </c>
    </row>
    <row r="5047" spans="1:13">
      <c r="A5047" t="s">
        <v>851</v>
      </c>
      <c r="B5047" t="s">
        <v>687</v>
      </c>
      <c r="C5047" t="s">
        <v>687</v>
      </c>
      <c r="D5047" t="s">
        <v>3175</v>
      </c>
      <c r="E5047" t="s">
        <v>242</v>
      </c>
      <c r="F5047" t="s">
        <v>663</v>
      </c>
      <c r="G5047">
        <v>2050</v>
      </c>
      <c r="H5047" s="12">
        <v>0.66</v>
      </c>
      <c r="I5047" t="s">
        <v>3183</v>
      </c>
      <c r="J5047" t="s">
        <v>5</v>
      </c>
      <c r="K5047" t="s">
        <v>147</v>
      </c>
      <c r="L5047" t="s">
        <v>3184</v>
      </c>
      <c r="M5047" t="s">
        <v>5</v>
      </c>
    </row>
    <row r="5048" spans="1:13">
      <c r="A5048" t="s">
        <v>851</v>
      </c>
      <c r="B5048" t="s">
        <v>686</v>
      </c>
      <c r="C5048" t="s">
        <v>686</v>
      </c>
      <c r="D5048" t="s">
        <v>3175</v>
      </c>
      <c r="E5048" t="s">
        <v>242</v>
      </c>
      <c r="F5048" t="s">
        <v>663</v>
      </c>
      <c r="G5048">
        <v>2010</v>
      </c>
      <c r="H5048" s="12">
        <v>73</v>
      </c>
      <c r="I5048" t="s">
        <v>3183</v>
      </c>
      <c r="J5048" t="s">
        <v>394</v>
      </c>
      <c r="K5048" t="s">
        <v>147</v>
      </c>
      <c r="L5048" t="s">
        <v>3184</v>
      </c>
      <c r="M5048" t="s">
        <v>16</v>
      </c>
    </row>
    <row r="5049" spans="1:13">
      <c r="A5049" t="s">
        <v>851</v>
      </c>
      <c r="B5049" t="s">
        <v>686</v>
      </c>
      <c r="C5049" t="s">
        <v>686</v>
      </c>
      <c r="D5049" t="s">
        <v>3175</v>
      </c>
      <c r="E5049" t="s">
        <v>242</v>
      </c>
      <c r="F5049" t="s">
        <v>663</v>
      </c>
      <c r="G5049">
        <v>2015</v>
      </c>
      <c r="H5049" s="12">
        <v>52.7</v>
      </c>
      <c r="I5049" t="s">
        <v>3183</v>
      </c>
      <c r="J5049" t="s">
        <v>394</v>
      </c>
      <c r="K5049" t="s">
        <v>147</v>
      </c>
      <c r="L5049" t="s">
        <v>3184</v>
      </c>
      <c r="M5049" t="s">
        <v>16</v>
      </c>
    </row>
    <row r="5050" spans="1:13">
      <c r="A5050" t="s">
        <v>851</v>
      </c>
      <c r="B5050" t="s">
        <v>686</v>
      </c>
      <c r="C5050" t="s">
        <v>686</v>
      </c>
      <c r="D5050" t="s">
        <v>3175</v>
      </c>
      <c r="E5050" t="s">
        <v>242</v>
      </c>
      <c r="F5050" t="s">
        <v>663</v>
      </c>
      <c r="G5050">
        <v>2020</v>
      </c>
      <c r="H5050" s="12">
        <v>37.729999999999997</v>
      </c>
      <c r="I5050" t="s">
        <v>3183</v>
      </c>
      <c r="J5050" t="s">
        <v>394</v>
      </c>
      <c r="K5050" t="s">
        <v>147</v>
      </c>
      <c r="L5050" t="s">
        <v>3184</v>
      </c>
      <c r="M5050" t="s">
        <v>16</v>
      </c>
    </row>
    <row r="5051" spans="1:13">
      <c r="A5051" t="s">
        <v>851</v>
      </c>
      <c r="B5051" t="s">
        <v>686</v>
      </c>
      <c r="C5051" t="s">
        <v>686</v>
      </c>
      <c r="D5051" t="s">
        <v>3175</v>
      </c>
      <c r="E5051" t="s">
        <v>242</v>
      </c>
      <c r="F5051" t="s">
        <v>663</v>
      </c>
      <c r="G5051">
        <v>2030</v>
      </c>
      <c r="H5051" s="12">
        <v>17.920000000000002</v>
      </c>
      <c r="I5051" t="s">
        <v>3183</v>
      </c>
      <c r="J5051" t="s">
        <v>394</v>
      </c>
      <c r="K5051" t="s">
        <v>147</v>
      </c>
      <c r="L5051" t="s">
        <v>3184</v>
      </c>
      <c r="M5051" t="s">
        <v>16</v>
      </c>
    </row>
    <row r="5052" spans="1:13">
      <c r="A5052" t="s">
        <v>851</v>
      </c>
      <c r="B5052" t="s">
        <v>686</v>
      </c>
      <c r="C5052" t="s">
        <v>686</v>
      </c>
      <c r="D5052" t="s">
        <v>3175</v>
      </c>
      <c r="E5052" t="s">
        <v>242</v>
      </c>
      <c r="F5052" t="s">
        <v>663</v>
      </c>
      <c r="G5052">
        <v>2035</v>
      </c>
      <c r="H5052" s="12">
        <v>14.06</v>
      </c>
      <c r="I5052" t="s">
        <v>3183</v>
      </c>
      <c r="J5052" t="s">
        <v>394</v>
      </c>
      <c r="K5052" t="s">
        <v>147</v>
      </c>
      <c r="L5052" t="s">
        <v>3184</v>
      </c>
      <c r="M5052" t="s">
        <v>16</v>
      </c>
    </row>
    <row r="5053" spans="1:13">
      <c r="A5053" t="s">
        <v>851</v>
      </c>
      <c r="B5053" t="s">
        <v>686</v>
      </c>
      <c r="C5053" t="s">
        <v>686</v>
      </c>
      <c r="D5053" t="s">
        <v>3175</v>
      </c>
      <c r="E5053" t="s">
        <v>242</v>
      </c>
      <c r="F5053" t="s">
        <v>663</v>
      </c>
      <c r="G5053">
        <v>2040</v>
      </c>
      <c r="H5053" s="12">
        <v>8.7799999999999994</v>
      </c>
      <c r="I5053" t="s">
        <v>3183</v>
      </c>
      <c r="J5053" t="s">
        <v>394</v>
      </c>
      <c r="K5053" t="s">
        <v>147</v>
      </c>
      <c r="L5053" t="s">
        <v>3184</v>
      </c>
      <c r="M5053" t="s">
        <v>16</v>
      </c>
    </row>
    <row r="5054" spans="1:13">
      <c r="A5054" t="s">
        <v>851</v>
      </c>
      <c r="B5054" t="s">
        <v>686</v>
      </c>
      <c r="C5054" t="s">
        <v>686</v>
      </c>
      <c r="D5054" t="s">
        <v>3175</v>
      </c>
      <c r="E5054" t="s">
        <v>242</v>
      </c>
      <c r="F5054" t="s">
        <v>663</v>
      </c>
      <c r="G5054">
        <v>2045</v>
      </c>
      <c r="H5054" s="12">
        <v>5.74</v>
      </c>
      <c r="I5054" t="s">
        <v>3183</v>
      </c>
      <c r="J5054" t="s">
        <v>394</v>
      </c>
      <c r="K5054" t="s">
        <v>147</v>
      </c>
      <c r="L5054" t="s">
        <v>3184</v>
      </c>
      <c r="M5054" t="s">
        <v>16</v>
      </c>
    </row>
    <row r="5055" spans="1:13">
      <c r="A5055" t="s">
        <v>851</v>
      </c>
      <c r="B5055" t="s">
        <v>686</v>
      </c>
      <c r="C5055" t="s">
        <v>686</v>
      </c>
      <c r="D5055" t="s">
        <v>3175</v>
      </c>
      <c r="E5055" t="s">
        <v>242</v>
      </c>
      <c r="F5055" t="s">
        <v>663</v>
      </c>
      <c r="G5055">
        <v>2050</v>
      </c>
      <c r="H5055" s="12">
        <v>4.1100000000000003</v>
      </c>
      <c r="I5055" t="s">
        <v>3183</v>
      </c>
      <c r="J5055" t="s">
        <v>394</v>
      </c>
      <c r="K5055" t="s">
        <v>147</v>
      </c>
      <c r="L5055" t="s">
        <v>3184</v>
      </c>
      <c r="M5055" t="s">
        <v>16</v>
      </c>
    </row>
    <row r="5056" spans="1:13">
      <c r="A5056" t="s">
        <v>851</v>
      </c>
      <c r="B5056" t="s">
        <v>687</v>
      </c>
      <c r="C5056" t="s">
        <v>687</v>
      </c>
      <c r="D5056" t="s">
        <v>3175</v>
      </c>
      <c r="E5056" t="s">
        <v>242</v>
      </c>
      <c r="F5056" t="s">
        <v>663</v>
      </c>
      <c r="G5056">
        <v>2030</v>
      </c>
      <c r="H5056" s="12">
        <v>12.52</v>
      </c>
      <c r="I5056" t="s">
        <v>3183</v>
      </c>
      <c r="J5056" t="s">
        <v>394</v>
      </c>
      <c r="K5056" t="s">
        <v>147</v>
      </c>
      <c r="L5056" t="s">
        <v>3184</v>
      </c>
      <c r="M5056" t="s">
        <v>16</v>
      </c>
    </row>
    <row r="5057" spans="1:13">
      <c r="A5057" t="s">
        <v>851</v>
      </c>
      <c r="B5057" t="s">
        <v>687</v>
      </c>
      <c r="C5057" t="s">
        <v>687</v>
      </c>
      <c r="D5057" t="s">
        <v>3175</v>
      </c>
      <c r="E5057" t="s">
        <v>242</v>
      </c>
      <c r="F5057" t="s">
        <v>663</v>
      </c>
      <c r="G5057">
        <v>2035</v>
      </c>
      <c r="H5057" s="12">
        <v>1.37</v>
      </c>
      <c r="I5057" t="s">
        <v>3183</v>
      </c>
      <c r="J5057" t="s">
        <v>394</v>
      </c>
      <c r="K5057" t="s">
        <v>147</v>
      </c>
      <c r="L5057" t="s">
        <v>3184</v>
      </c>
      <c r="M5057" t="s">
        <v>16</v>
      </c>
    </row>
    <row r="5058" spans="1:13">
      <c r="A5058" t="s">
        <v>851</v>
      </c>
      <c r="B5058" t="s">
        <v>687</v>
      </c>
      <c r="C5058" t="s">
        <v>687</v>
      </c>
      <c r="D5058" t="s">
        <v>3175</v>
      </c>
      <c r="E5058" t="s">
        <v>242</v>
      </c>
      <c r="F5058" t="s">
        <v>663</v>
      </c>
      <c r="G5058">
        <v>2040</v>
      </c>
      <c r="H5058" s="12">
        <v>0.23</v>
      </c>
      <c r="I5058" t="s">
        <v>3183</v>
      </c>
      <c r="J5058" t="s">
        <v>394</v>
      </c>
      <c r="K5058" t="s">
        <v>147</v>
      </c>
      <c r="L5058" t="s">
        <v>3184</v>
      </c>
      <c r="M5058" t="s">
        <v>16</v>
      </c>
    </row>
    <row r="5059" spans="1:13">
      <c r="A5059" t="s">
        <v>851</v>
      </c>
      <c r="B5059" t="s">
        <v>687</v>
      </c>
      <c r="C5059" t="s">
        <v>687</v>
      </c>
      <c r="D5059" t="s">
        <v>3175</v>
      </c>
      <c r="E5059" t="s">
        <v>242</v>
      </c>
      <c r="F5059" t="s">
        <v>663</v>
      </c>
      <c r="G5059">
        <v>2045</v>
      </c>
      <c r="H5059" s="12">
        <v>0.03</v>
      </c>
      <c r="I5059" t="s">
        <v>3183</v>
      </c>
      <c r="J5059" t="s">
        <v>394</v>
      </c>
      <c r="K5059" t="s">
        <v>147</v>
      </c>
      <c r="L5059" t="s">
        <v>3184</v>
      </c>
      <c r="M5059" t="s">
        <v>16</v>
      </c>
    </row>
    <row r="5060" spans="1:13">
      <c r="A5060" t="s">
        <v>851</v>
      </c>
      <c r="B5060" t="s">
        <v>687</v>
      </c>
      <c r="C5060" t="s">
        <v>687</v>
      </c>
      <c r="D5060" t="s">
        <v>3175</v>
      </c>
      <c r="E5060" t="s">
        <v>242</v>
      </c>
      <c r="F5060" t="s">
        <v>663</v>
      </c>
      <c r="G5060">
        <v>2050</v>
      </c>
      <c r="H5060" s="12">
        <v>0</v>
      </c>
      <c r="I5060" t="s">
        <v>3183</v>
      </c>
      <c r="J5060" t="s">
        <v>394</v>
      </c>
      <c r="K5060" t="s">
        <v>147</v>
      </c>
      <c r="L5060" t="s">
        <v>3184</v>
      </c>
      <c r="M5060" t="s">
        <v>16</v>
      </c>
    </row>
    <row r="5061" spans="1:13">
      <c r="A5061" t="s">
        <v>851</v>
      </c>
      <c r="B5061" t="s">
        <v>686</v>
      </c>
      <c r="C5061" t="s">
        <v>686</v>
      </c>
      <c r="D5061" t="s">
        <v>3175</v>
      </c>
      <c r="E5061" t="s">
        <v>242</v>
      </c>
      <c r="F5061" t="s">
        <v>663</v>
      </c>
      <c r="G5061">
        <v>2040</v>
      </c>
      <c r="H5061" s="12">
        <v>156.02000000000001</v>
      </c>
      <c r="I5061" t="s">
        <v>3183</v>
      </c>
      <c r="J5061" t="s">
        <v>6</v>
      </c>
      <c r="K5061" t="s">
        <v>147</v>
      </c>
      <c r="L5061" t="s">
        <v>3184</v>
      </c>
      <c r="M5061" t="s">
        <v>659</v>
      </c>
    </row>
    <row r="5062" spans="1:13">
      <c r="A5062" t="s">
        <v>851</v>
      </c>
      <c r="B5062" t="s">
        <v>686</v>
      </c>
      <c r="C5062" t="s">
        <v>686</v>
      </c>
      <c r="D5062" t="s">
        <v>3175</v>
      </c>
      <c r="E5062" t="s">
        <v>242</v>
      </c>
      <c r="F5062" t="s">
        <v>663</v>
      </c>
      <c r="G5062">
        <v>2045</v>
      </c>
      <c r="H5062" s="12">
        <v>136.93</v>
      </c>
      <c r="I5062" t="s">
        <v>3183</v>
      </c>
      <c r="J5062" t="s">
        <v>6</v>
      </c>
      <c r="K5062" t="s">
        <v>147</v>
      </c>
      <c r="L5062" t="s">
        <v>3184</v>
      </c>
      <c r="M5062" t="s">
        <v>659</v>
      </c>
    </row>
    <row r="5063" spans="1:13">
      <c r="A5063" t="s">
        <v>851</v>
      </c>
      <c r="B5063" t="s">
        <v>686</v>
      </c>
      <c r="C5063" t="s">
        <v>686</v>
      </c>
      <c r="D5063" t="s">
        <v>3175</v>
      </c>
      <c r="E5063" t="s">
        <v>242</v>
      </c>
      <c r="F5063" t="s">
        <v>663</v>
      </c>
      <c r="G5063">
        <v>2050</v>
      </c>
      <c r="H5063" s="12">
        <v>116.24</v>
      </c>
      <c r="I5063" t="s">
        <v>3183</v>
      </c>
      <c r="J5063" t="s">
        <v>6</v>
      </c>
      <c r="K5063" t="s">
        <v>147</v>
      </c>
      <c r="L5063" t="s">
        <v>3184</v>
      </c>
      <c r="M5063" t="s">
        <v>659</v>
      </c>
    </row>
    <row r="5064" spans="1:13">
      <c r="A5064" t="s">
        <v>851</v>
      </c>
      <c r="B5064" t="s">
        <v>687</v>
      </c>
      <c r="C5064" t="s">
        <v>687</v>
      </c>
      <c r="D5064" t="s">
        <v>3175</v>
      </c>
      <c r="E5064" t="s">
        <v>242</v>
      </c>
      <c r="F5064" t="s">
        <v>663</v>
      </c>
      <c r="G5064">
        <v>2030</v>
      </c>
      <c r="H5064" s="12">
        <v>133.03</v>
      </c>
      <c r="I5064" t="s">
        <v>3183</v>
      </c>
      <c r="J5064" t="s">
        <v>6</v>
      </c>
      <c r="K5064" t="s">
        <v>147</v>
      </c>
      <c r="L5064" t="s">
        <v>3184</v>
      </c>
      <c r="M5064" t="s">
        <v>659</v>
      </c>
    </row>
    <row r="5065" spans="1:13">
      <c r="A5065" t="s">
        <v>851</v>
      </c>
      <c r="B5065" t="s">
        <v>687</v>
      </c>
      <c r="C5065" t="s">
        <v>687</v>
      </c>
      <c r="D5065" t="s">
        <v>3175</v>
      </c>
      <c r="E5065" t="s">
        <v>242</v>
      </c>
      <c r="F5065" t="s">
        <v>663</v>
      </c>
      <c r="G5065">
        <v>2035</v>
      </c>
      <c r="H5065" s="12">
        <v>54.53</v>
      </c>
      <c r="I5065" t="s">
        <v>3183</v>
      </c>
      <c r="J5065" t="s">
        <v>6</v>
      </c>
      <c r="K5065" t="s">
        <v>147</v>
      </c>
      <c r="L5065" t="s">
        <v>3184</v>
      </c>
      <c r="M5065" t="s">
        <v>659</v>
      </c>
    </row>
    <row r="5066" spans="1:13">
      <c r="A5066" t="s">
        <v>851</v>
      </c>
      <c r="B5066" t="s">
        <v>687</v>
      </c>
      <c r="C5066" t="s">
        <v>687</v>
      </c>
      <c r="D5066" t="s">
        <v>3175</v>
      </c>
      <c r="E5066" t="s">
        <v>242</v>
      </c>
      <c r="F5066" t="s">
        <v>663</v>
      </c>
      <c r="G5066">
        <v>2040</v>
      </c>
      <c r="H5066" s="12">
        <v>10.09</v>
      </c>
      <c r="I5066" t="s">
        <v>3183</v>
      </c>
      <c r="J5066" t="s">
        <v>6</v>
      </c>
      <c r="K5066" t="s">
        <v>147</v>
      </c>
      <c r="L5066" t="s">
        <v>3184</v>
      </c>
      <c r="M5066" t="s">
        <v>659</v>
      </c>
    </row>
    <row r="5067" spans="1:13">
      <c r="A5067" t="s">
        <v>851</v>
      </c>
      <c r="B5067" t="s">
        <v>687</v>
      </c>
      <c r="C5067" t="s">
        <v>687</v>
      </c>
      <c r="D5067" t="s">
        <v>3175</v>
      </c>
      <c r="E5067" t="s">
        <v>242</v>
      </c>
      <c r="F5067" t="s">
        <v>663</v>
      </c>
      <c r="G5067">
        <v>2045</v>
      </c>
      <c r="H5067" s="12">
        <v>7.85</v>
      </c>
      <c r="I5067" t="s">
        <v>3183</v>
      </c>
      <c r="J5067" t="s">
        <v>6</v>
      </c>
      <c r="K5067" t="s">
        <v>147</v>
      </c>
      <c r="L5067" t="s">
        <v>3184</v>
      </c>
      <c r="M5067" t="s">
        <v>659</v>
      </c>
    </row>
    <row r="5068" spans="1:13">
      <c r="A5068" t="s">
        <v>851</v>
      </c>
      <c r="B5068" t="s">
        <v>687</v>
      </c>
      <c r="C5068" t="s">
        <v>687</v>
      </c>
      <c r="D5068" t="s">
        <v>3175</v>
      </c>
      <c r="E5068" t="s">
        <v>242</v>
      </c>
      <c r="F5068" t="s">
        <v>663</v>
      </c>
      <c r="G5068">
        <v>2050</v>
      </c>
      <c r="H5068" s="12">
        <v>3.33</v>
      </c>
      <c r="I5068" t="s">
        <v>3183</v>
      </c>
      <c r="J5068" t="s">
        <v>6</v>
      </c>
      <c r="K5068" t="s">
        <v>147</v>
      </c>
      <c r="L5068" t="s">
        <v>3184</v>
      </c>
      <c r="M5068" t="s">
        <v>659</v>
      </c>
    </row>
    <row r="5069" spans="1:13">
      <c r="A5069" t="s">
        <v>851</v>
      </c>
      <c r="B5069" t="s">
        <v>687</v>
      </c>
      <c r="C5069" t="s">
        <v>687</v>
      </c>
      <c r="D5069" t="s">
        <v>3175</v>
      </c>
      <c r="E5069" t="s">
        <v>656</v>
      </c>
      <c r="F5069" t="s">
        <v>31</v>
      </c>
      <c r="G5069">
        <v>2035</v>
      </c>
      <c r="H5069" s="12">
        <v>90.17</v>
      </c>
      <c r="I5069" t="s">
        <v>3183</v>
      </c>
      <c r="J5069" t="s">
        <v>6</v>
      </c>
      <c r="K5069" t="s">
        <v>147</v>
      </c>
      <c r="L5069" t="s">
        <v>3184</v>
      </c>
      <c r="M5069" t="s">
        <v>666</v>
      </c>
    </row>
    <row r="5070" spans="1:13">
      <c r="A5070" t="s">
        <v>851</v>
      </c>
      <c r="B5070" t="s">
        <v>687</v>
      </c>
      <c r="C5070" t="s">
        <v>687</v>
      </c>
      <c r="D5070" t="s">
        <v>3175</v>
      </c>
      <c r="E5070" t="s">
        <v>656</v>
      </c>
      <c r="F5070" t="s">
        <v>31</v>
      </c>
      <c r="G5070">
        <v>2040</v>
      </c>
      <c r="H5070" s="12">
        <v>28.63</v>
      </c>
      <c r="I5070" t="s">
        <v>3183</v>
      </c>
      <c r="J5070" t="s">
        <v>6</v>
      </c>
      <c r="K5070" t="s">
        <v>147</v>
      </c>
      <c r="L5070" t="s">
        <v>3184</v>
      </c>
      <c r="M5070" t="s">
        <v>666</v>
      </c>
    </row>
    <row r="5071" spans="1:13">
      <c r="A5071" t="s">
        <v>851</v>
      </c>
      <c r="B5071" t="s">
        <v>687</v>
      </c>
      <c r="C5071" t="s">
        <v>687</v>
      </c>
      <c r="D5071" t="s">
        <v>3175</v>
      </c>
      <c r="E5071" t="s">
        <v>656</v>
      </c>
      <c r="F5071" t="s">
        <v>31</v>
      </c>
      <c r="G5071">
        <v>2045</v>
      </c>
      <c r="H5071" s="12">
        <v>21.54</v>
      </c>
      <c r="I5071" t="s">
        <v>3183</v>
      </c>
      <c r="J5071" t="s">
        <v>6</v>
      </c>
      <c r="K5071" t="s">
        <v>147</v>
      </c>
      <c r="L5071" t="s">
        <v>3184</v>
      </c>
      <c r="M5071" t="s">
        <v>666</v>
      </c>
    </row>
    <row r="5072" spans="1:13">
      <c r="A5072" t="s">
        <v>851</v>
      </c>
      <c r="B5072" t="s">
        <v>687</v>
      </c>
      <c r="C5072" t="s">
        <v>687</v>
      </c>
      <c r="D5072" t="s">
        <v>3175</v>
      </c>
      <c r="E5072" t="s">
        <v>656</v>
      </c>
      <c r="F5072" t="s">
        <v>31</v>
      </c>
      <c r="G5072">
        <v>2050</v>
      </c>
      <c r="H5072" s="12">
        <v>13.07</v>
      </c>
      <c r="I5072" t="s">
        <v>3183</v>
      </c>
      <c r="J5072" t="s">
        <v>6</v>
      </c>
      <c r="K5072" t="s">
        <v>147</v>
      </c>
      <c r="L5072" t="s">
        <v>3184</v>
      </c>
      <c r="M5072" t="s">
        <v>666</v>
      </c>
    </row>
    <row r="5073" spans="1:13">
      <c r="A5073" t="s">
        <v>851</v>
      </c>
      <c r="B5073" t="s">
        <v>686</v>
      </c>
      <c r="C5073" t="s">
        <v>686</v>
      </c>
      <c r="D5073" t="s">
        <v>3175</v>
      </c>
      <c r="E5073" t="s">
        <v>656</v>
      </c>
      <c r="F5073" t="s">
        <v>31</v>
      </c>
      <c r="G5073">
        <v>2010</v>
      </c>
      <c r="H5073" s="12">
        <v>56.17</v>
      </c>
      <c r="I5073" t="s">
        <v>3183</v>
      </c>
      <c r="J5073" t="s">
        <v>394</v>
      </c>
      <c r="K5073" t="s">
        <v>147</v>
      </c>
      <c r="L5073" t="s">
        <v>3184</v>
      </c>
      <c r="M5073" t="s">
        <v>16</v>
      </c>
    </row>
    <row r="5074" spans="1:13">
      <c r="A5074" t="s">
        <v>851</v>
      </c>
      <c r="B5074" t="s">
        <v>686</v>
      </c>
      <c r="C5074" t="s">
        <v>686</v>
      </c>
      <c r="D5074" t="s">
        <v>3175</v>
      </c>
      <c r="E5074" t="s">
        <v>656</v>
      </c>
      <c r="F5074" t="s">
        <v>31</v>
      </c>
      <c r="G5074">
        <v>2015</v>
      </c>
      <c r="H5074" s="12">
        <v>41.13</v>
      </c>
      <c r="I5074" t="s">
        <v>3183</v>
      </c>
      <c r="J5074" t="s">
        <v>394</v>
      </c>
      <c r="K5074" t="s">
        <v>147</v>
      </c>
      <c r="L5074" t="s">
        <v>3184</v>
      </c>
      <c r="M5074" t="s">
        <v>16</v>
      </c>
    </row>
    <row r="5075" spans="1:13">
      <c r="A5075" t="s">
        <v>851</v>
      </c>
      <c r="B5075" t="s">
        <v>686</v>
      </c>
      <c r="C5075" t="s">
        <v>686</v>
      </c>
      <c r="D5075" t="s">
        <v>3175</v>
      </c>
      <c r="E5075" t="s">
        <v>656</v>
      </c>
      <c r="F5075" t="s">
        <v>31</v>
      </c>
      <c r="G5075">
        <v>2020</v>
      </c>
      <c r="H5075" s="12">
        <v>32.89</v>
      </c>
      <c r="I5075" t="s">
        <v>3183</v>
      </c>
      <c r="J5075" t="s">
        <v>394</v>
      </c>
      <c r="K5075" t="s">
        <v>147</v>
      </c>
      <c r="L5075" t="s">
        <v>3184</v>
      </c>
      <c r="M5075" t="s">
        <v>16</v>
      </c>
    </row>
    <row r="5076" spans="1:13">
      <c r="A5076" t="s">
        <v>851</v>
      </c>
      <c r="B5076" t="s">
        <v>686</v>
      </c>
      <c r="C5076" t="s">
        <v>686</v>
      </c>
      <c r="D5076" t="s">
        <v>3175</v>
      </c>
      <c r="E5076" t="s">
        <v>656</v>
      </c>
      <c r="F5076" t="s">
        <v>31</v>
      </c>
      <c r="G5076">
        <v>2030</v>
      </c>
      <c r="H5076" s="12">
        <v>19.16</v>
      </c>
      <c r="I5076" t="s">
        <v>3183</v>
      </c>
      <c r="J5076" t="s">
        <v>394</v>
      </c>
      <c r="K5076" t="s">
        <v>147</v>
      </c>
      <c r="L5076" t="s">
        <v>3184</v>
      </c>
      <c r="M5076" t="s">
        <v>16</v>
      </c>
    </row>
    <row r="5077" spans="1:13">
      <c r="A5077" t="s">
        <v>851</v>
      </c>
      <c r="B5077" t="s">
        <v>686</v>
      </c>
      <c r="C5077" t="s">
        <v>686</v>
      </c>
      <c r="D5077" t="s">
        <v>3175</v>
      </c>
      <c r="E5077" t="s">
        <v>656</v>
      </c>
      <c r="F5077" t="s">
        <v>31</v>
      </c>
      <c r="G5077">
        <v>2035</v>
      </c>
      <c r="H5077" s="12">
        <v>16.649999999999999</v>
      </c>
      <c r="I5077" t="s">
        <v>3183</v>
      </c>
      <c r="J5077" t="s">
        <v>394</v>
      </c>
      <c r="K5077" t="s">
        <v>147</v>
      </c>
      <c r="L5077" t="s">
        <v>3184</v>
      </c>
      <c r="M5077" t="s">
        <v>16</v>
      </c>
    </row>
    <row r="5078" spans="1:13">
      <c r="A5078" t="s">
        <v>851</v>
      </c>
      <c r="B5078" t="s">
        <v>686</v>
      </c>
      <c r="C5078" t="s">
        <v>686</v>
      </c>
      <c r="D5078" t="s">
        <v>3175</v>
      </c>
      <c r="E5078" t="s">
        <v>656</v>
      </c>
      <c r="F5078" t="s">
        <v>31</v>
      </c>
      <c r="G5078">
        <v>2040</v>
      </c>
      <c r="H5078" s="12">
        <v>12.99</v>
      </c>
      <c r="I5078" t="s">
        <v>3183</v>
      </c>
      <c r="J5078" t="s">
        <v>394</v>
      </c>
      <c r="K5078" t="s">
        <v>147</v>
      </c>
      <c r="L5078" t="s">
        <v>3184</v>
      </c>
      <c r="M5078" t="s">
        <v>16</v>
      </c>
    </row>
    <row r="5079" spans="1:13">
      <c r="A5079" t="s">
        <v>851</v>
      </c>
      <c r="B5079" t="s">
        <v>686</v>
      </c>
      <c r="C5079" t="s">
        <v>686</v>
      </c>
      <c r="D5079" t="s">
        <v>3175</v>
      </c>
      <c r="E5079" t="s">
        <v>656</v>
      </c>
      <c r="F5079" t="s">
        <v>31</v>
      </c>
      <c r="G5079">
        <v>2045</v>
      </c>
      <c r="H5079" s="12">
        <v>9.86</v>
      </c>
      <c r="I5079" t="s">
        <v>3183</v>
      </c>
      <c r="J5079" t="s">
        <v>394</v>
      </c>
      <c r="K5079" t="s">
        <v>147</v>
      </c>
      <c r="L5079" t="s">
        <v>3184</v>
      </c>
      <c r="M5079" t="s">
        <v>16</v>
      </c>
    </row>
    <row r="5080" spans="1:13">
      <c r="A5080" t="s">
        <v>851</v>
      </c>
      <c r="B5080" t="s">
        <v>686</v>
      </c>
      <c r="C5080" t="s">
        <v>686</v>
      </c>
      <c r="D5080" t="s">
        <v>3175</v>
      </c>
      <c r="E5080" t="s">
        <v>656</v>
      </c>
      <c r="F5080" t="s">
        <v>31</v>
      </c>
      <c r="G5080">
        <v>2050</v>
      </c>
      <c r="H5080" s="12">
        <v>9.5399999999999991</v>
      </c>
      <c r="I5080" t="s">
        <v>3183</v>
      </c>
      <c r="J5080" t="s">
        <v>394</v>
      </c>
      <c r="K5080" t="s">
        <v>147</v>
      </c>
      <c r="L5080" t="s">
        <v>3184</v>
      </c>
      <c r="M5080" t="s">
        <v>16</v>
      </c>
    </row>
    <row r="5081" spans="1:13">
      <c r="A5081" t="s">
        <v>851</v>
      </c>
      <c r="B5081" t="s">
        <v>687</v>
      </c>
      <c r="C5081" t="s">
        <v>687</v>
      </c>
      <c r="D5081" t="s">
        <v>3175</v>
      </c>
      <c r="E5081" t="s">
        <v>656</v>
      </c>
      <c r="F5081" t="s">
        <v>31</v>
      </c>
      <c r="G5081">
        <v>2030</v>
      </c>
      <c r="H5081" s="12">
        <v>11.62</v>
      </c>
      <c r="I5081" t="s">
        <v>3183</v>
      </c>
      <c r="J5081" t="s">
        <v>394</v>
      </c>
      <c r="K5081" t="s">
        <v>147</v>
      </c>
      <c r="L5081" t="s">
        <v>3184</v>
      </c>
      <c r="M5081" t="s">
        <v>16</v>
      </c>
    </row>
    <row r="5082" spans="1:13">
      <c r="A5082" t="s">
        <v>851</v>
      </c>
      <c r="B5082" t="s">
        <v>687</v>
      </c>
      <c r="C5082" t="s">
        <v>687</v>
      </c>
      <c r="D5082" t="s">
        <v>3175</v>
      </c>
      <c r="E5082" t="s">
        <v>656</v>
      </c>
      <c r="F5082" t="s">
        <v>31</v>
      </c>
      <c r="G5082">
        <v>2035</v>
      </c>
      <c r="H5082" s="12">
        <v>1.54</v>
      </c>
      <c r="I5082" t="s">
        <v>3183</v>
      </c>
      <c r="J5082" t="s">
        <v>394</v>
      </c>
      <c r="K5082" t="s">
        <v>147</v>
      </c>
      <c r="L5082" t="s">
        <v>3184</v>
      </c>
      <c r="M5082" t="s">
        <v>16</v>
      </c>
    </row>
    <row r="5083" spans="1:13">
      <c r="A5083" t="s">
        <v>851</v>
      </c>
      <c r="B5083" t="s">
        <v>687</v>
      </c>
      <c r="C5083" t="s">
        <v>687</v>
      </c>
      <c r="D5083" t="s">
        <v>3175</v>
      </c>
      <c r="E5083" t="s">
        <v>656</v>
      </c>
      <c r="F5083" t="s">
        <v>31</v>
      </c>
      <c r="G5083">
        <v>2040</v>
      </c>
      <c r="H5083" s="12">
        <v>0.7</v>
      </c>
      <c r="I5083" t="s">
        <v>3183</v>
      </c>
      <c r="J5083" t="s">
        <v>394</v>
      </c>
      <c r="K5083" t="s">
        <v>147</v>
      </c>
      <c r="L5083" t="s">
        <v>3184</v>
      </c>
      <c r="M5083" t="s">
        <v>16</v>
      </c>
    </row>
    <row r="5084" spans="1:13">
      <c r="A5084" t="s">
        <v>851</v>
      </c>
      <c r="B5084" t="s">
        <v>687</v>
      </c>
      <c r="C5084" t="s">
        <v>687</v>
      </c>
      <c r="D5084" t="s">
        <v>3175</v>
      </c>
      <c r="E5084" t="s">
        <v>656</v>
      </c>
      <c r="F5084" t="s">
        <v>31</v>
      </c>
      <c r="G5084">
        <v>2045</v>
      </c>
      <c r="H5084" s="12">
        <v>0.3</v>
      </c>
      <c r="I5084" t="s">
        <v>3183</v>
      </c>
      <c r="J5084" t="s">
        <v>394</v>
      </c>
      <c r="K5084" t="s">
        <v>147</v>
      </c>
      <c r="L5084" t="s">
        <v>3184</v>
      </c>
      <c r="M5084" t="s">
        <v>16</v>
      </c>
    </row>
    <row r="5085" spans="1:13">
      <c r="A5085" t="s">
        <v>851</v>
      </c>
      <c r="B5085" t="s">
        <v>687</v>
      </c>
      <c r="C5085" t="s">
        <v>687</v>
      </c>
      <c r="D5085" t="s">
        <v>3175</v>
      </c>
      <c r="E5085" t="s">
        <v>656</v>
      </c>
      <c r="F5085" t="s">
        <v>31</v>
      </c>
      <c r="G5085">
        <v>2050</v>
      </c>
      <c r="H5085" s="12">
        <v>0.3</v>
      </c>
      <c r="I5085" t="s">
        <v>3183</v>
      </c>
      <c r="J5085" t="s">
        <v>394</v>
      </c>
      <c r="K5085" t="s">
        <v>147</v>
      </c>
      <c r="L5085" t="s">
        <v>3184</v>
      </c>
      <c r="M5085" t="s">
        <v>16</v>
      </c>
    </row>
    <row r="5086" spans="1:13">
      <c r="A5086" t="s">
        <v>851</v>
      </c>
      <c r="B5086" t="s">
        <v>686</v>
      </c>
      <c r="C5086" t="s">
        <v>686</v>
      </c>
      <c r="D5086" t="s">
        <v>3175</v>
      </c>
      <c r="E5086" t="s">
        <v>656</v>
      </c>
      <c r="F5086" t="s">
        <v>31</v>
      </c>
      <c r="G5086">
        <v>2010</v>
      </c>
      <c r="H5086" s="12">
        <v>0.02</v>
      </c>
      <c r="I5086" t="s">
        <v>3183</v>
      </c>
      <c r="J5086" t="s">
        <v>484</v>
      </c>
      <c r="K5086" t="s">
        <v>147</v>
      </c>
      <c r="L5086" t="s">
        <v>3184</v>
      </c>
      <c r="M5086" t="s">
        <v>667</v>
      </c>
    </row>
    <row r="5087" spans="1:13">
      <c r="A5087" t="s">
        <v>851</v>
      </c>
      <c r="B5087" t="s">
        <v>686</v>
      </c>
      <c r="C5087" t="s">
        <v>686</v>
      </c>
      <c r="D5087" t="s">
        <v>3175</v>
      </c>
      <c r="E5087" t="s">
        <v>656</v>
      </c>
      <c r="F5087" t="s">
        <v>31</v>
      </c>
      <c r="G5087">
        <v>2015</v>
      </c>
      <c r="H5087" s="12">
        <v>0.3</v>
      </c>
      <c r="I5087" t="s">
        <v>3183</v>
      </c>
      <c r="J5087" t="s">
        <v>484</v>
      </c>
      <c r="K5087" t="s">
        <v>147</v>
      </c>
      <c r="L5087" t="s">
        <v>3184</v>
      </c>
      <c r="M5087" t="s">
        <v>667</v>
      </c>
    </row>
    <row r="5088" spans="1:13">
      <c r="A5088" t="s">
        <v>851</v>
      </c>
      <c r="B5088" t="s">
        <v>686</v>
      </c>
      <c r="C5088" t="s">
        <v>686</v>
      </c>
      <c r="D5088" t="s">
        <v>3175</v>
      </c>
      <c r="E5088" t="s">
        <v>656</v>
      </c>
      <c r="F5088" t="s">
        <v>31</v>
      </c>
      <c r="G5088">
        <v>2020</v>
      </c>
      <c r="H5088" s="12">
        <v>2.96</v>
      </c>
      <c r="I5088" t="s">
        <v>3183</v>
      </c>
      <c r="J5088" t="s">
        <v>484</v>
      </c>
      <c r="K5088" t="s">
        <v>147</v>
      </c>
      <c r="L5088" t="s">
        <v>3184</v>
      </c>
      <c r="M5088" t="s">
        <v>667</v>
      </c>
    </row>
    <row r="5089" spans="1:13">
      <c r="A5089" t="s">
        <v>851</v>
      </c>
      <c r="B5089" t="s">
        <v>686</v>
      </c>
      <c r="C5089" t="s">
        <v>686</v>
      </c>
      <c r="D5089" t="s">
        <v>3175</v>
      </c>
      <c r="E5089" t="s">
        <v>656</v>
      </c>
      <c r="F5089" t="s">
        <v>31</v>
      </c>
      <c r="G5089">
        <v>2030</v>
      </c>
      <c r="H5089" s="12">
        <v>13.82</v>
      </c>
      <c r="I5089" t="s">
        <v>3183</v>
      </c>
      <c r="J5089" t="s">
        <v>484</v>
      </c>
      <c r="K5089" t="s">
        <v>147</v>
      </c>
      <c r="L5089" t="s">
        <v>3184</v>
      </c>
      <c r="M5089" t="s">
        <v>667</v>
      </c>
    </row>
    <row r="5090" spans="1:13">
      <c r="A5090" t="s">
        <v>851</v>
      </c>
      <c r="B5090" t="s">
        <v>686</v>
      </c>
      <c r="C5090" t="s">
        <v>686</v>
      </c>
      <c r="D5090" t="s">
        <v>3175</v>
      </c>
      <c r="E5090" t="s">
        <v>656</v>
      </c>
      <c r="F5090" t="s">
        <v>31</v>
      </c>
      <c r="G5090">
        <v>2035</v>
      </c>
      <c r="H5090" s="12">
        <v>32.49</v>
      </c>
      <c r="I5090" t="s">
        <v>3183</v>
      </c>
      <c r="J5090" t="s">
        <v>484</v>
      </c>
      <c r="K5090" t="s">
        <v>147</v>
      </c>
      <c r="L5090" t="s">
        <v>3184</v>
      </c>
      <c r="M5090" t="s">
        <v>667</v>
      </c>
    </row>
    <row r="5091" spans="1:13">
      <c r="A5091" t="s">
        <v>851</v>
      </c>
      <c r="B5091" t="s">
        <v>686</v>
      </c>
      <c r="C5091" t="s">
        <v>686</v>
      </c>
      <c r="D5091" t="s">
        <v>3175</v>
      </c>
      <c r="E5091" t="s">
        <v>656</v>
      </c>
      <c r="F5091" t="s">
        <v>31</v>
      </c>
      <c r="G5091">
        <v>2040</v>
      </c>
      <c r="H5091" s="12">
        <v>56.41</v>
      </c>
      <c r="I5091" t="s">
        <v>3183</v>
      </c>
      <c r="J5091" t="s">
        <v>484</v>
      </c>
      <c r="K5091" t="s">
        <v>147</v>
      </c>
      <c r="L5091" t="s">
        <v>3184</v>
      </c>
      <c r="M5091" t="s">
        <v>667</v>
      </c>
    </row>
    <row r="5092" spans="1:13">
      <c r="A5092" t="s">
        <v>851</v>
      </c>
      <c r="B5092" t="s">
        <v>686</v>
      </c>
      <c r="C5092" t="s">
        <v>686</v>
      </c>
      <c r="D5092" t="s">
        <v>3175</v>
      </c>
      <c r="E5092" t="s">
        <v>656</v>
      </c>
      <c r="F5092" t="s">
        <v>31</v>
      </c>
      <c r="G5092">
        <v>2045</v>
      </c>
      <c r="H5092" s="12">
        <v>84.54</v>
      </c>
      <c r="I5092" t="s">
        <v>3183</v>
      </c>
      <c r="J5092" t="s">
        <v>484</v>
      </c>
      <c r="K5092" t="s">
        <v>147</v>
      </c>
      <c r="L5092" t="s">
        <v>3184</v>
      </c>
      <c r="M5092" t="s">
        <v>667</v>
      </c>
    </row>
    <row r="5093" spans="1:13">
      <c r="A5093" t="s">
        <v>851</v>
      </c>
      <c r="B5093" t="s">
        <v>686</v>
      </c>
      <c r="C5093" t="s">
        <v>686</v>
      </c>
      <c r="D5093" t="s">
        <v>3175</v>
      </c>
      <c r="E5093" t="s">
        <v>656</v>
      </c>
      <c r="F5093" t="s">
        <v>31</v>
      </c>
      <c r="G5093">
        <v>2050</v>
      </c>
      <c r="H5093" s="12">
        <v>116.98</v>
      </c>
      <c r="I5093" t="s">
        <v>3183</v>
      </c>
      <c r="J5093" t="s">
        <v>484</v>
      </c>
      <c r="K5093" t="s">
        <v>147</v>
      </c>
      <c r="L5093" t="s">
        <v>3184</v>
      </c>
      <c r="M5093" t="s">
        <v>667</v>
      </c>
    </row>
    <row r="5094" spans="1:13">
      <c r="A5094" t="s">
        <v>851</v>
      </c>
      <c r="B5094" t="s">
        <v>687</v>
      </c>
      <c r="C5094" t="s">
        <v>687</v>
      </c>
      <c r="D5094" t="s">
        <v>3175</v>
      </c>
      <c r="E5094" t="s">
        <v>656</v>
      </c>
      <c r="F5094" t="s">
        <v>31</v>
      </c>
      <c r="G5094">
        <v>2030</v>
      </c>
      <c r="H5094" s="12">
        <v>50.98</v>
      </c>
      <c r="I5094" t="s">
        <v>3183</v>
      </c>
      <c r="J5094" t="s">
        <v>484</v>
      </c>
      <c r="K5094" t="s">
        <v>147</v>
      </c>
      <c r="L5094" t="s">
        <v>3184</v>
      </c>
      <c r="M5094" t="s">
        <v>667</v>
      </c>
    </row>
    <row r="5095" spans="1:13">
      <c r="A5095" t="s">
        <v>851</v>
      </c>
      <c r="B5095" t="s">
        <v>687</v>
      </c>
      <c r="C5095" t="s">
        <v>687</v>
      </c>
      <c r="D5095" t="s">
        <v>3175</v>
      </c>
      <c r="E5095" t="s">
        <v>656</v>
      </c>
      <c r="F5095" t="s">
        <v>31</v>
      </c>
      <c r="G5095">
        <v>2035</v>
      </c>
      <c r="H5095" s="12">
        <v>97.88</v>
      </c>
      <c r="I5095" t="s">
        <v>3183</v>
      </c>
      <c r="J5095" t="s">
        <v>484</v>
      </c>
      <c r="K5095" t="s">
        <v>147</v>
      </c>
      <c r="L5095" t="s">
        <v>3184</v>
      </c>
      <c r="M5095" t="s">
        <v>667</v>
      </c>
    </row>
    <row r="5096" spans="1:13">
      <c r="A5096" t="s">
        <v>851</v>
      </c>
      <c r="B5096" t="s">
        <v>687</v>
      </c>
      <c r="C5096" t="s">
        <v>687</v>
      </c>
      <c r="D5096" t="s">
        <v>3175</v>
      </c>
      <c r="E5096" t="s">
        <v>656</v>
      </c>
      <c r="F5096" t="s">
        <v>31</v>
      </c>
      <c r="G5096">
        <v>2040</v>
      </c>
      <c r="H5096" s="12">
        <v>144.55000000000001</v>
      </c>
      <c r="I5096" t="s">
        <v>3183</v>
      </c>
      <c r="J5096" t="s">
        <v>484</v>
      </c>
      <c r="K5096" t="s">
        <v>147</v>
      </c>
      <c r="L5096" t="s">
        <v>3184</v>
      </c>
      <c r="M5096" t="s">
        <v>667</v>
      </c>
    </row>
    <row r="5097" spans="1:13">
      <c r="A5097" t="s">
        <v>851</v>
      </c>
      <c r="B5097" t="s">
        <v>687</v>
      </c>
      <c r="C5097" t="s">
        <v>687</v>
      </c>
      <c r="D5097" t="s">
        <v>3175</v>
      </c>
      <c r="E5097" t="s">
        <v>656</v>
      </c>
      <c r="F5097" t="s">
        <v>31</v>
      </c>
      <c r="G5097">
        <v>2045</v>
      </c>
      <c r="H5097" s="12">
        <v>176.47</v>
      </c>
      <c r="I5097" t="s">
        <v>3183</v>
      </c>
      <c r="J5097" t="s">
        <v>484</v>
      </c>
      <c r="K5097" t="s">
        <v>147</v>
      </c>
      <c r="L5097" t="s">
        <v>3184</v>
      </c>
      <c r="M5097" t="s">
        <v>667</v>
      </c>
    </row>
    <row r="5098" spans="1:13">
      <c r="A5098" t="s">
        <v>851</v>
      </c>
      <c r="B5098" t="s">
        <v>687</v>
      </c>
      <c r="C5098" t="s">
        <v>687</v>
      </c>
      <c r="D5098" t="s">
        <v>3175</v>
      </c>
      <c r="E5098" t="s">
        <v>656</v>
      </c>
      <c r="F5098" t="s">
        <v>31</v>
      </c>
      <c r="G5098">
        <v>2050</v>
      </c>
      <c r="H5098" s="12">
        <v>205.53</v>
      </c>
      <c r="I5098" t="s">
        <v>3183</v>
      </c>
      <c r="J5098" t="s">
        <v>484</v>
      </c>
      <c r="K5098" t="s">
        <v>147</v>
      </c>
      <c r="L5098" t="s">
        <v>3184</v>
      </c>
      <c r="M5098" t="s">
        <v>667</v>
      </c>
    </row>
    <row r="5099" spans="1:13">
      <c r="A5099" t="s">
        <v>851</v>
      </c>
      <c r="B5099" t="s">
        <v>686</v>
      </c>
      <c r="C5099" t="s">
        <v>686</v>
      </c>
      <c r="D5099" t="s">
        <v>3175</v>
      </c>
      <c r="E5099" t="s">
        <v>242</v>
      </c>
      <c r="F5099" t="s">
        <v>663</v>
      </c>
      <c r="G5099">
        <v>2010</v>
      </c>
      <c r="H5099" s="12">
        <v>280.97000000000003</v>
      </c>
      <c r="I5099" t="s">
        <v>3183</v>
      </c>
      <c r="J5099" t="s">
        <v>6</v>
      </c>
      <c r="K5099" t="s">
        <v>147</v>
      </c>
      <c r="L5099" t="s">
        <v>3184</v>
      </c>
      <c r="M5099" t="s">
        <v>659</v>
      </c>
    </row>
    <row r="5100" spans="1:13">
      <c r="A5100" t="s">
        <v>851</v>
      </c>
      <c r="B5100" t="s">
        <v>686</v>
      </c>
      <c r="C5100" t="s">
        <v>686</v>
      </c>
      <c r="D5100" t="s">
        <v>3175</v>
      </c>
      <c r="E5100" t="s">
        <v>242</v>
      </c>
      <c r="F5100" t="s">
        <v>663</v>
      </c>
      <c r="G5100">
        <v>2015</v>
      </c>
      <c r="H5100" s="12">
        <v>185.71</v>
      </c>
      <c r="I5100" t="s">
        <v>3183</v>
      </c>
      <c r="J5100" t="s">
        <v>6</v>
      </c>
      <c r="K5100" t="s">
        <v>147</v>
      </c>
      <c r="L5100" t="s">
        <v>3184</v>
      </c>
      <c r="M5100" t="s">
        <v>659</v>
      </c>
    </row>
    <row r="5101" spans="1:13">
      <c r="A5101" t="s">
        <v>851</v>
      </c>
      <c r="B5101" t="s">
        <v>686</v>
      </c>
      <c r="C5101" t="s">
        <v>686</v>
      </c>
      <c r="D5101" t="s">
        <v>3175</v>
      </c>
      <c r="E5101" t="s">
        <v>242</v>
      </c>
      <c r="F5101" t="s">
        <v>663</v>
      </c>
      <c r="G5101">
        <v>2020</v>
      </c>
      <c r="H5101" s="12">
        <v>241.35</v>
      </c>
      <c r="I5101" t="s">
        <v>3183</v>
      </c>
      <c r="J5101" t="s">
        <v>6</v>
      </c>
      <c r="K5101" t="s">
        <v>147</v>
      </c>
      <c r="L5101" t="s">
        <v>3184</v>
      </c>
      <c r="M5101" t="s">
        <v>659</v>
      </c>
    </row>
    <row r="5102" spans="1:13">
      <c r="A5102" t="s">
        <v>851</v>
      </c>
      <c r="B5102" t="s">
        <v>686</v>
      </c>
      <c r="C5102" t="s">
        <v>686</v>
      </c>
      <c r="D5102" t="s">
        <v>3175</v>
      </c>
      <c r="E5102" t="s">
        <v>242</v>
      </c>
      <c r="F5102" t="s">
        <v>663</v>
      </c>
      <c r="G5102">
        <v>2030</v>
      </c>
      <c r="H5102" s="12">
        <v>188.03</v>
      </c>
      <c r="I5102" t="s">
        <v>3183</v>
      </c>
      <c r="J5102" t="s">
        <v>6</v>
      </c>
      <c r="K5102" t="s">
        <v>147</v>
      </c>
      <c r="L5102" t="s">
        <v>3184</v>
      </c>
      <c r="M5102" t="s">
        <v>659</v>
      </c>
    </row>
    <row r="5103" spans="1:13">
      <c r="A5103" t="s">
        <v>851</v>
      </c>
      <c r="B5103" t="s">
        <v>686</v>
      </c>
      <c r="C5103" t="s">
        <v>686</v>
      </c>
      <c r="D5103" t="s">
        <v>3175</v>
      </c>
      <c r="E5103" t="s">
        <v>656</v>
      </c>
      <c r="F5103" t="s">
        <v>31</v>
      </c>
      <c r="G5103">
        <v>2045</v>
      </c>
      <c r="H5103" s="12">
        <v>429.96</v>
      </c>
      <c r="I5103" t="s">
        <v>3183</v>
      </c>
      <c r="J5103" t="s">
        <v>18</v>
      </c>
      <c r="K5103" t="s">
        <v>147</v>
      </c>
      <c r="L5103" t="s">
        <v>3184</v>
      </c>
      <c r="M5103" t="s">
        <v>18</v>
      </c>
    </row>
    <row r="5104" spans="1:13">
      <c r="A5104" t="s">
        <v>851</v>
      </c>
      <c r="B5104" t="s">
        <v>686</v>
      </c>
      <c r="C5104" t="s">
        <v>686</v>
      </c>
      <c r="D5104" t="s">
        <v>3175</v>
      </c>
      <c r="E5104" t="s">
        <v>656</v>
      </c>
      <c r="F5104" t="s">
        <v>31</v>
      </c>
      <c r="G5104">
        <v>2050</v>
      </c>
      <c r="H5104" s="12">
        <v>440.49</v>
      </c>
      <c r="I5104" t="s">
        <v>3183</v>
      </c>
      <c r="J5104" t="s">
        <v>18</v>
      </c>
      <c r="K5104" t="s">
        <v>147</v>
      </c>
      <c r="L5104" t="s">
        <v>3184</v>
      </c>
      <c r="M5104" t="s">
        <v>18</v>
      </c>
    </row>
    <row r="5105" spans="1:13">
      <c r="A5105" t="s">
        <v>851</v>
      </c>
      <c r="B5105" t="s">
        <v>687</v>
      </c>
      <c r="C5105" t="s">
        <v>687</v>
      </c>
      <c r="D5105" t="s">
        <v>3175</v>
      </c>
      <c r="E5105" t="s">
        <v>656</v>
      </c>
      <c r="F5105" t="s">
        <v>31</v>
      </c>
      <c r="G5105">
        <v>2030</v>
      </c>
      <c r="H5105" s="12">
        <v>447.2</v>
      </c>
      <c r="I5105" t="s">
        <v>3183</v>
      </c>
      <c r="J5105" t="s">
        <v>18</v>
      </c>
      <c r="K5105" t="s">
        <v>147</v>
      </c>
      <c r="L5105" t="s">
        <v>3184</v>
      </c>
      <c r="M5105" t="s">
        <v>18</v>
      </c>
    </row>
    <row r="5106" spans="1:13">
      <c r="A5106" t="s">
        <v>851</v>
      </c>
      <c r="B5106" t="s">
        <v>687</v>
      </c>
      <c r="C5106" t="s">
        <v>687</v>
      </c>
      <c r="D5106" t="s">
        <v>3175</v>
      </c>
      <c r="E5106" t="s">
        <v>656</v>
      </c>
      <c r="F5106" t="s">
        <v>31</v>
      </c>
      <c r="G5106">
        <v>2035</v>
      </c>
      <c r="H5106" s="12">
        <v>602.51</v>
      </c>
      <c r="I5106" t="s">
        <v>3183</v>
      </c>
      <c r="J5106" t="s">
        <v>18</v>
      </c>
      <c r="K5106" t="s">
        <v>147</v>
      </c>
      <c r="L5106" t="s">
        <v>3184</v>
      </c>
      <c r="M5106" t="s">
        <v>18</v>
      </c>
    </row>
    <row r="5107" spans="1:13">
      <c r="A5107" t="s">
        <v>851</v>
      </c>
      <c r="B5107" t="s">
        <v>687</v>
      </c>
      <c r="C5107" t="s">
        <v>687</v>
      </c>
      <c r="D5107" t="s">
        <v>3175</v>
      </c>
      <c r="E5107" t="s">
        <v>656</v>
      </c>
      <c r="F5107" t="s">
        <v>31</v>
      </c>
      <c r="G5107">
        <v>2040</v>
      </c>
      <c r="H5107" s="12">
        <v>682.04</v>
      </c>
      <c r="I5107" t="s">
        <v>3183</v>
      </c>
      <c r="J5107" t="s">
        <v>18</v>
      </c>
      <c r="K5107" t="s">
        <v>147</v>
      </c>
      <c r="L5107" t="s">
        <v>3184</v>
      </c>
      <c r="M5107" t="s">
        <v>18</v>
      </c>
    </row>
    <row r="5108" spans="1:13">
      <c r="A5108" t="s">
        <v>851</v>
      </c>
      <c r="B5108" t="s">
        <v>687</v>
      </c>
      <c r="C5108" t="s">
        <v>687</v>
      </c>
      <c r="D5108" t="s">
        <v>3175</v>
      </c>
      <c r="E5108" t="s">
        <v>656</v>
      </c>
      <c r="F5108" t="s">
        <v>31</v>
      </c>
      <c r="G5108">
        <v>2045</v>
      </c>
      <c r="H5108" s="12">
        <v>717.67</v>
      </c>
      <c r="I5108" t="s">
        <v>3183</v>
      </c>
      <c r="J5108" t="s">
        <v>18</v>
      </c>
      <c r="K5108" t="s">
        <v>147</v>
      </c>
      <c r="L5108" t="s">
        <v>3184</v>
      </c>
      <c r="M5108" t="s">
        <v>18</v>
      </c>
    </row>
    <row r="5109" spans="1:13">
      <c r="A5109" t="s">
        <v>851</v>
      </c>
      <c r="B5109" t="s">
        <v>687</v>
      </c>
      <c r="C5109" t="s">
        <v>687</v>
      </c>
      <c r="D5109" t="s">
        <v>3175</v>
      </c>
      <c r="E5109" t="s">
        <v>656</v>
      </c>
      <c r="F5109" t="s">
        <v>31</v>
      </c>
      <c r="G5109">
        <v>2050</v>
      </c>
      <c r="H5109" s="12">
        <v>748.85</v>
      </c>
      <c r="I5109" t="s">
        <v>3183</v>
      </c>
      <c r="J5109" t="s">
        <v>18</v>
      </c>
      <c r="K5109" t="s">
        <v>147</v>
      </c>
      <c r="L5109" t="s">
        <v>3184</v>
      </c>
      <c r="M5109" t="s">
        <v>18</v>
      </c>
    </row>
    <row r="5110" spans="1:13">
      <c r="A5110" t="s">
        <v>851</v>
      </c>
      <c r="B5110" t="s">
        <v>686</v>
      </c>
      <c r="C5110" t="s">
        <v>686</v>
      </c>
      <c r="D5110" t="s">
        <v>3175</v>
      </c>
      <c r="E5110" t="s">
        <v>656</v>
      </c>
      <c r="F5110" t="s">
        <v>31</v>
      </c>
      <c r="G5110">
        <v>2010</v>
      </c>
      <c r="H5110" s="12">
        <v>143</v>
      </c>
      <c r="I5110" t="s">
        <v>3183</v>
      </c>
      <c r="J5110" t="s">
        <v>14</v>
      </c>
      <c r="K5110" t="s">
        <v>147</v>
      </c>
      <c r="L5110" t="s">
        <v>3184</v>
      </c>
      <c r="M5110" t="s">
        <v>14</v>
      </c>
    </row>
    <row r="5111" spans="1:13">
      <c r="A5111" t="s">
        <v>851</v>
      </c>
      <c r="B5111" t="s">
        <v>686</v>
      </c>
      <c r="C5111" t="s">
        <v>686</v>
      </c>
      <c r="D5111" t="s">
        <v>3175</v>
      </c>
      <c r="E5111" t="s">
        <v>656</v>
      </c>
      <c r="F5111" t="s">
        <v>31</v>
      </c>
      <c r="G5111">
        <v>2015</v>
      </c>
      <c r="H5111" s="12">
        <v>148.19</v>
      </c>
      <c r="I5111" t="s">
        <v>3183</v>
      </c>
      <c r="J5111" t="s">
        <v>14</v>
      </c>
      <c r="K5111" t="s">
        <v>147</v>
      </c>
      <c r="L5111" t="s">
        <v>3184</v>
      </c>
      <c r="M5111" t="s">
        <v>14</v>
      </c>
    </row>
    <row r="5112" spans="1:13">
      <c r="A5112" t="s">
        <v>851</v>
      </c>
      <c r="B5112" t="s">
        <v>686</v>
      </c>
      <c r="C5112" t="s">
        <v>686</v>
      </c>
      <c r="D5112" t="s">
        <v>3175</v>
      </c>
      <c r="E5112" t="s">
        <v>656</v>
      </c>
      <c r="F5112" t="s">
        <v>31</v>
      </c>
      <c r="G5112">
        <v>2020</v>
      </c>
      <c r="H5112" s="12">
        <v>150.77000000000001</v>
      </c>
      <c r="I5112" t="s">
        <v>3183</v>
      </c>
      <c r="J5112" t="s">
        <v>14</v>
      </c>
      <c r="K5112" t="s">
        <v>147</v>
      </c>
      <c r="L5112" t="s">
        <v>3184</v>
      </c>
      <c r="M5112" t="s">
        <v>14</v>
      </c>
    </row>
    <row r="5113" spans="1:13">
      <c r="A5113" t="s">
        <v>851</v>
      </c>
      <c r="B5113" t="s">
        <v>686</v>
      </c>
      <c r="C5113" t="s">
        <v>686</v>
      </c>
      <c r="D5113" t="s">
        <v>3175</v>
      </c>
      <c r="E5113" t="s">
        <v>656</v>
      </c>
      <c r="F5113" t="s">
        <v>31</v>
      </c>
      <c r="G5113">
        <v>2030</v>
      </c>
      <c r="H5113" s="12">
        <v>156.74</v>
      </c>
      <c r="I5113" t="s">
        <v>3183</v>
      </c>
      <c r="J5113" t="s">
        <v>14</v>
      </c>
      <c r="K5113" t="s">
        <v>147</v>
      </c>
      <c r="L5113" t="s">
        <v>3184</v>
      </c>
      <c r="M5113" t="s">
        <v>14</v>
      </c>
    </row>
    <row r="5114" spans="1:13">
      <c r="A5114" t="s">
        <v>851</v>
      </c>
      <c r="B5114" t="s">
        <v>686</v>
      </c>
      <c r="C5114" t="s">
        <v>686</v>
      </c>
      <c r="D5114" t="s">
        <v>3175</v>
      </c>
      <c r="E5114" t="s">
        <v>656</v>
      </c>
      <c r="F5114" t="s">
        <v>31</v>
      </c>
      <c r="G5114">
        <v>2035</v>
      </c>
      <c r="H5114" s="12">
        <v>160.03</v>
      </c>
      <c r="I5114" t="s">
        <v>3183</v>
      </c>
      <c r="J5114" t="s">
        <v>14</v>
      </c>
      <c r="K5114" t="s">
        <v>147</v>
      </c>
      <c r="L5114" t="s">
        <v>3184</v>
      </c>
      <c r="M5114" t="s">
        <v>14</v>
      </c>
    </row>
    <row r="5115" spans="1:13">
      <c r="A5115" t="s">
        <v>851</v>
      </c>
      <c r="B5115" t="s">
        <v>686</v>
      </c>
      <c r="C5115" t="s">
        <v>686</v>
      </c>
      <c r="D5115" t="s">
        <v>3175</v>
      </c>
      <c r="E5115" t="s">
        <v>656</v>
      </c>
      <c r="F5115" t="s">
        <v>31</v>
      </c>
      <c r="G5115">
        <v>2040</v>
      </c>
      <c r="H5115" s="12">
        <v>162.88999999999999</v>
      </c>
      <c r="I5115" t="s">
        <v>3183</v>
      </c>
      <c r="J5115" t="s">
        <v>14</v>
      </c>
      <c r="K5115" t="s">
        <v>147</v>
      </c>
      <c r="L5115" t="s">
        <v>3184</v>
      </c>
      <c r="M5115" t="s">
        <v>14</v>
      </c>
    </row>
    <row r="5116" spans="1:13">
      <c r="A5116" t="s">
        <v>851</v>
      </c>
      <c r="B5116" t="s">
        <v>686</v>
      </c>
      <c r="C5116" t="s">
        <v>686</v>
      </c>
      <c r="D5116" t="s">
        <v>3175</v>
      </c>
      <c r="E5116" t="s">
        <v>656</v>
      </c>
      <c r="F5116" t="s">
        <v>31</v>
      </c>
      <c r="G5116">
        <v>2045</v>
      </c>
      <c r="H5116" s="12">
        <v>165.23</v>
      </c>
      <c r="I5116" t="s">
        <v>3183</v>
      </c>
      <c r="J5116" t="s">
        <v>14</v>
      </c>
      <c r="K5116" t="s">
        <v>147</v>
      </c>
      <c r="L5116" t="s">
        <v>3184</v>
      </c>
      <c r="M5116" t="s">
        <v>14</v>
      </c>
    </row>
    <row r="5117" spans="1:13">
      <c r="A5117" t="s">
        <v>851</v>
      </c>
      <c r="B5117" t="s">
        <v>686</v>
      </c>
      <c r="C5117" t="s">
        <v>686</v>
      </c>
      <c r="D5117" t="s">
        <v>3175</v>
      </c>
      <c r="E5117" t="s">
        <v>656</v>
      </c>
      <c r="F5117" t="s">
        <v>31</v>
      </c>
      <c r="G5117">
        <v>2050</v>
      </c>
      <c r="H5117" s="12">
        <v>167.53</v>
      </c>
      <c r="I5117" t="s">
        <v>3183</v>
      </c>
      <c r="J5117" t="s">
        <v>14</v>
      </c>
      <c r="K5117" t="s">
        <v>147</v>
      </c>
      <c r="L5117" t="s">
        <v>3184</v>
      </c>
      <c r="M5117" t="s">
        <v>14</v>
      </c>
    </row>
    <row r="5118" spans="1:13">
      <c r="A5118" t="s">
        <v>851</v>
      </c>
      <c r="B5118" t="s">
        <v>687</v>
      </c>
      <c r="C5118" t="s">
        <v>687</v>
      </c>
      <c r="D5118" t="s">
        <v>3175</v>
      </c>
      <c r="E5118" t="s">
        <v>656</v>
      </c>
      <c r="F5118" t="s">
        <v>31</v>
      </c>
      <c r="G5118">
        <v>2030</v>
      </c>
      <c r="H5118" s="12">
        <v>162.32</v>
      </c>
      <c r="I5118" t="s">
        <v>3183</v>
      </c>
      <c r="J5118" t="s">
        <v>14</v>
      </c>
      <c r="K5118" t="s">
        <v>147</v>
      </c>
      <c r="L5118" t="s">
        <v>3184</v>
      </c>
      <c r="M5118" t="s">
        <v>14</v>
      </c>
    </row>
    <row r="5119" spans="1:13">
      <c r="A5119" t="s">
        <v>851</v>
      </c>
      <c r="B5119" t="s">
        <v>687</v>
      </c>
      <c r="C5119" t="s">
        <v>687</v>
      </c>
      <c r="D5119" t="s">
        <v>3175</v>
      </c>
      <c r="E5119" t="s">
        <v>656</v>
      </c>
      <c r="F5119" t="s">
        <v>31</v>
      </c>
      <c r="G5119">
        <v>2035</v>
      </c>
      <c r="H5119" s="12">
        <v>165.82</v>
      </c>
      <c r="I5119" t="s">
        <v>3183</v>
      </c>
      <c r="J5119" t="s">
        <v>14</v>
      </c>
      <c r="K5119" t="s">
        <v>147</v>
      </c>
      <c r="L5119" t="s">
        <v>3184</v>
      </c>
      <c r="M5119" t="s">
        <v>14</v>
      </c>
    </row>
    <row r="5120" spans="1:13">
      <c r="A5120" t="s">
        <v>851</v>
      </c>
      <c r="B5120" t="s">
        <v>687</v>
      </c>
      <c r="C5120" t="s">
        <v>687</v>
      </c>
      <c r="D5120" t="s">
        <v>3175</v>
      </c>
      <c r="E5120" t="s">
        <v>656</v>
      </c>
      <c r="F5120" t="s">
        <v>31</v>
      </c>
      <c r="G5120">
        <v>2040</v>
      </c>
      <c r="H5120" s="12">
        <v>168.45</v>
      </c>
      <c r="I5120" t="s">
        <v>3183</v>
      </c>
      <c r="J5120" t="s">
        <v>14</v>
      </c>
      <c r="K5120" t="s">
        <v>147</v>
      </c>
      <c r="L5120" t="s">
        <v>3184</v>
      </c>
      <c r="M5120" t="s">
        <v>14</v>
      </c>
    </row>
    <row r="5121" spans="1:13">
      <c r="A5121" t="s">
        <v>851</v>
      </c>
      <c r="B5121" t="s">
        <v>687</v>
      </c>
      <c r="C5121" t="s">
        <v>687</v>
      </c>
      <c r="D5121" t="s">
        <v>3175</v>
      </c>
      <c r="E5121" t="s">
        <v>656</v>
      </c>
      <c r="F5121" t="s">
        <v>31</v>
      </c>
      <c r="G5121">
        <v>2045</v>
      </c>
      <c r="H5121" s="12">
        <v>170.68</v>
      </c>
      <c r="I5121" t="s">
        <v>3183</v>
      </c>
      <c r="J5121" t="s">
        <v>14</v>
      </c>
      <c r="K5121" t="s">
        <v>147</v>
      </c>
      <c r="L5121" t="s">
        <v>3184</v>
      </c>
      <c r="M5121" t="s">
        <v>14</v>
      </c>
    </row>
    <row r="5122" spans="1:13">
      <c r="A5122" t="s">
        <v>851</v>
      </c>
      <c r="B5122" t="s">
        <v>687</v>
      </c>
      <c r="C5122" t="s">
        <v>687</v>
      </c>
      <c r="D5122" t="s">
        <v>3175</v>
      </c>
      <c r="E5122" t="s">
        <v>656</v>
      </c>
      <c r="F5122" t="s">
        <v>31</v>
      </c>
      <c r="G5122">
        <v>2050</v>
      </c>
      <c r="H5122" s="12">
        <v>172.57</v>
      </c>
      <c r="I5122" t="s">
        <v>3183</v>
      </c>
      <c r="J5122" t="s">
        <v>14</v>
      </c>
      <c r="K5122" t="s">
        <v>147</v>
      </c>
      <c r="L5122" t="s">
        <v>3184</v>
      </c>
      <c r="M5122" t="s">
        <v>14</v>
      </c>
    </row>
    <row r="5123" spans="1:13">
      <c r="A5123" t="s">
        <v>851</v>
      </c>
      <c r="B5123" t="s">
        <v>686</v>
      </c>
      <c r="C5123" t="s">
        <v>686</v>
      </c>
      <c r="D5123" t="s">
        <v>3175</v>
      </c>
      <c r="E5123" t="s">
        <v>656</v>
      </c>
      <c r="F5123" t="s">
        <v>31</v>
      </c>
      <c r="G5123">
        <v>2010</v>
      </c>
      <c r="H5123" s="12">
        <v>26.1</v>
      </c>
      <c r="I5123" t="s">
        <v>3183</v>
      </c>
      <c r="J5123" t="s">
        <v>41</v>
      </c>
      <c r="K5123" t="s">
        <v>147</v>
      </c>
      <c r="L5123" t="s">
        <v>3184</v>
      </c>
      <c r="M5123" t="s">
        <v>669</v>
      </c>
    </row>
    <row r="5124" spans="1:13">
      <c r="A5124" t="s">
        <v>851</v>
      </c>
      <c r="B5124" t="s">
        <v>686</v>
      </c>
      <c r="C5124" t="s">
        <v>686</v>
      </c>
      <c r="D5124" t="s">
        <v>3175</v>
      </c>
      <c r="E5124" t="s">
        <v>656</v>
      </c>
      <c r="F5124" t="s">
        <v>31</v>
      </c>
      <c r="G5124">
        <v>2015</v>
      </c>
      <c r="H5124" s="12">
        <v>32.54</v>
      </c>
      <c r="I5124" t="s">
        <v>3183</v>
      </c>
      <c r="J5124" t="s">
        <v>41</v>
      </c>
      <c r="K5124" t="s">
        <v>147</v>
      </c>
      <c r="L5124" t="s">
        <v>3184</v>
      </c>
      <c r="M5124" t="s">
        <v>669</v>
      </c>
    </row>
    <row r="5125" spans="1:13">
      <c r="A5125" t="s">
        <v>851</v>
      </c>
      <c r="B5125" t="s">
        <v>686</v>
      </c>
      <c r="C5125" t="s">
        <v>686</v>
      </c>
      <c r="D5125" t="s">
        <v>3175</v>
      </c>
      <c r="E5125" t="s">
        <v>656</v>
      </c>
      <c r="F5125" t="s">
        <v>31</v>
      </c>
      <c r="G5125">
        <v>2020</v>
      </c>
      <c r="H5125" s="12">
        <v>37.369999999999997</v>
      </c>
      <c r="I5125" t="s">
        <v>3183</v>
      </c>
      <c r="J5125" t="s">
        <v>41</v>
      </c>
      <c r="K5125" t="s">
        <v>147</v>
      </c>
      <c r="L5125" t="s">
        <v>3184</v>
      </c>
      <c r="M5125" t="s">
        <v>669</v>
      </c>
    </row>
    <row r="5126" spans="1:13">
      <c r="A5126" t="s">
        <v>851</v>
      </c>
      <c r="B5126" t="s">
        <v>686</v>
      </c>
      <c r="C5126" t="s">
        <v>686</v>
      </c>
      <c r="D5126" t="s">
        <v>3175</v>
      </c>
      <c r="E5126" t="s">
        <v>656</v>
      </c>
      <c r="F5126" t="s">
        <v>31</v>
      </c>
      <c r="G5126">
        <v>2030</v>
      </c>
      <c r="H5126" s="12">
        <v>45.04</v>
      </c>
      <c r="I5126" t="s">
        <v>3183</v>
      </c>
      <c r="J5126" t="s">
        <v>41</v>
      </c>
      <c r="K5126" t="s">
        <v>147</v>
      </c>
      <c r="L5126" t="s">
        <v>3184</v>
      </c>
      <c r="M5126" t="s">
        <v>669</v>
      </c>
    </row>
    <row r="5127" spans="1:13">
      <c r="A5127" t="s">
        <v>851</v>
      </c>
      <c r="B5127" t="s">
        <v>686</v>
      </c>
      <c r="C5127" t="s">
        <v>686</v>
      </c>
      <c r="D5127" t="s">
        <v>3175</v>
      </c>
      <c r="E5127" t="s">
        <v>656</v>
      </c>
      <c r="F5127" t="s">
        <v>31</v>
      </c>
      <c r="G5127">
        <v>2035</v>
      </c>
      <c r="H5127" s="12">
        <v>47.81</v>
      </c>
      <c r="I5127" t="s">
        <v>3183</v>
      </c>
      <c r="J5127" t="s">
        <v>41</v>
      </c>
      <c r="K5127" t="s">
        <v>147</v>
      </c>
      <c r="L5127" t="s">
        <v>3184</v>
      </c>
      <c r="M5127" t="s">
        <v>669</v>
      </c>
    </row>
    <row r="5128" spans="1:13">
      <c r="A5128" t="s">
        <v>851</v>
      </c>
      <c r="B5128" t="s">
        <v>686</v>
      </c>
      <c r="C5128" t="s">
        <v>686</v>
      </c>
      <c r="D5128" t="s">
        <v>3175</v>
      </c>
      <c r="E5128" t="s">
        <v>656</v>
      </c>
      <c r="F5128" t="s">
        <v>31</v>
      </c>
      <c r="G5128">
        <v>2040</v>
      </c>
      <c r="H5128" s="12">
        <v>49.29</v>
      </c>
      <c r="I5128" t="s">
        <v>3183</v>
      </c>
      <c r="J5128" t="s">
        <v>41</v>
      </c>
      <c r="K5128" t="s">
        <v>147</v>
      </c>
      <c r="L5128" t="s">
        <v>3184</v>
      </c>
      <c r="M5128" t="s">
        <v>669</v>
      </c>
    </row>
    <row r="5129" spans="1:13">
      <c r="A5129" t="s">
        <v>851</v>
      </c>
      <c r="B5129" t="s">
        <v>686</v>
      </c>
      <c r="C5129" t="s">
        <v>686</v>
      </c>
      <c r="D5129" t="s">
        <v>3175</v>
      </c>
      <c r="E5129" t="s">
        <v>656</v>
      </c>
      <c r="F5129" t="s">
        <v>31</v>
      </c>
      <c r="G5129">
        <v>2045</v>
      </c>
      <c r="H5129" s="12">
        <v>50.23</v>
      </c>
      <c r="I5129" t="s">
        <v>3183</v>
      </c>
      <c r="J5129" t="s">
        <v>41</v>
      </c>
      <c r="K5129" t="s">
        <v>147</v>
      </c>
      <c r="L5129" t="s">
        <v>3184</v>
      </c>
      <c r="M5129" t="s">
        <v>669</v>
      </c>
    </row>
    <row r="5130" spans="1:13">
      <c r="A5130" t="s">
        <v>851</v>
      </c>
      <c r="B5130" t="s">
        <v>686</v>
      </c>
      <c r="C5130" t="s">
        <v>686</v>
      </c>
      <c r="D5130" t="s">
        <v>3175</v>
      </c>
      <c r="E5130" t="s">
        <v>656</v>
      </c>
      <c r="F5130" t="s">
        <v>31</v>
      </c>
      <c r="G5130">
        <v>2050</v>
      </c>
      <c r="H5130" s="12">
        <v>50.35</v>
      </c>
      <c r="I5130" t="s">
        <v>3183</v>
      </c>
      <c r="J5130" t="s">
        <v>41</v>
      </c>
      <c r="K5130" t="s">
        <v>147</v>
      </c>
      <c r="L5130" t="s">
        <v>3184</v>
      </c>
      <c r="M5130" t="s">
        <v>669</v>
      </c>
    </row>
    <row r="5131" spans="1:13">
      <c r="A5131" t="s">
        <v>851</v>
      </c>
      <c r="B5131" t="s">
        <v>687</v>
      </c>
      <c r="C5131" t="s">
        <v>687</v>
      </c>
      <c r="D5131" t="s">
        <v>3175</v>
      </c>
      <c r="E5131" t="s">
        <v>656</v>
      </c>
      <c r="F5131" t="s">
        <v>31</v>
      </c>
      <c r="G5131">
        <v>2030</v>
      </c>
      <c r="H5131" s="12">
        <v>58.5</v>
      </c>
      <c r="I5131" t="s">
        <v>3183</v>
      </c>
      <c r="J5131" t="s">
        <v>41</v>
      </c>
      <c r="K5131" t="s">
        <v>147</v>
      </c>
      <c r="L5131" t="s">
        <v>3184</v>
      </c>
      <c r="M5131" t="s">
        <v>669</v>
      </c>
    </row>
    <row r="5132" spans="1:13">
      <c r="A5132" t="s">
        <v>851</v>
      </c>
      <c r="B5132" t="s">
        <v>687</v>
      </c>
      <c r="C5132" t="s">
        <v>687</v>
      </c>
      <c r="D5132" t="s">
        <v>3175</v>
      </c>
      <c r="E5132" t="s">
        <v>656</v>
      </c>
      <c r="F5132" t="s">
        <v>31</v>
      </c>
      <c r="G5132">
        <v>2035</v>
      </c>
      <c r="H5132" s="12">
        <v>78.64</v>
      </c>
      <c r="I5132" t="s">
        <v>3183</v>
      </c>
      <c r="J5132" t="s">
        <v>41</v>
      </c>
      <c r="K5132" t="s">
        <v>147</v>
      </c>
      <c r="L5132" t="s">
        <v>3184</v>
      </c>
      <c r="M5132" t="s">
        <v>669</v>
      </c>
    </row>
    <row r="5133" spans="1:13">
      <c r="A5133" t="s">
        <v>851</v>
      </c>
      <c r="B5133" t="s">
        <v>687</v>
      </c>
      <c r="C5133" t="s">
        <v>687</v>
      </c>
      <c r="D5133" t="s">
        <v>3175</v>
      </c>
      <c r="E5133" t="s">
        <v>656</v>
      </c>
      <c r="F5133" t="s">
        <v>31</v>
      </c>
      <c r="G5133">
        <v>2040</v>
      </c>
      <c r="H5133" s="12">
        <v>99.34</v>
      </c>
      <c r="I5133" t="s">
        <v>3183</v>
      </c>
      <c r="J5133" t="s">
        <v>41</v>
      </c>
      <c r="K5133" t="s">
        <v>147</v>
      </c>
      <c r="L5133" t="s">
        <v>3184</v>
      </c>
      <c r="M5133" t="s">
        <v>669</v>
      </c>
    </row>
    <row r="5134" spans="1:13">
      <c r="A5134" t="s">
        <v>851</v>
      </c>
      <c r="B5134" t="s">
        <v>687</v>
      </c>
      <c r="C5134" t="s">
        <v>687</v>
      </c>
      <c r="D5134" t="s">
        <v>3175</v>
      </c>
      <c r="E5134" t="s">
        <v>656</v>
      </c>
      <c r="F5134" t="s">
        <v>31</v>
      </c>
      <c r="G5134">
        <v>2045</v>
      </c>
      <c r="H5134" s="12">
        <v>104.35</v>
      </c>
      <c r="I5134" t="s">
        <v>3183</v>
      </c>
      <c r="J5134" t="s">
        <v>41</v>
      </c>
      <c r="K5134" t="s">
        <v>147</v>
      </c>
      <c r="L5134" t="s">
        <v>3184</v>
      </c>
      <c r="M5134" t="s">
        <v>669</v>
      </c>
    </row>
    <row r="5135" spans="1:13">
      <c r="A5135" t="s">
        <v>851</v>
      </c>
      <c r="B5135" t="s">
        <v>687</v>
      </c>
      <c r="C5135" t="s">
        <v>687</v>
      </c>
      <c r="D5135" t="s">
        <v>3175</v>
      </c>
      <c r="E5135" t="s">
        <v>656</v>
      </c>
      <c r="F5135" t="s">
        <v>31</v>
      </c>
      <c r="G5135">
        <v>2050</v>
      </c>
      <c r="H5135" s="12">
        <v>104.16</v>
      </c>
      <c r="I5135" t="s">
        <v>3183</v>
      </c>
      <c r="J5135" t="s">
        <v>41</v>
      </c>
      <c r="K5135" t="s">
        <v>147</v>
      </c>
      <c r="L5135" t="s">
        <v>3184</v>
      </c>
      <c r="M5135" t="s">
        <v>669</v>
      </c>
    </row>
    <row r="5136" spans="1:13">
      <c r="A5136" t="s">
        <v>851</v>
      </c>
      <c r="B5136" t="s">
        <v>686</v>
      </c>
      <c r="C5136" t="s">
        <v>686</v>
      </c>
      <c r="D5136" t="s">
        <v>3175</v>
      </c>
      <c r="E5136" t="s">
        <v>656</v>
      </c>
      <c r="F5136" t="s">
        <v>31</v>
      </c>
      <c r="G5136">
        <v>2010</v>
      </c>
      <c r="H5136" s="12">
        <v>127.3</v>
      </c>
      <c r="I5136" t="s">
        <v>3183</v>
      </c>
      <c r="J5136" t="s">
        <v>15</v>
      </c>
      <c r="K5136" t="s">
        <v>147</v>
      </c>
      <c r="L5136" t="s">
        <v>3184</v>
      </c>
      <c r="M5136" t="s">
        <v>15</v>
      </c>
    </row>
    <row r="5137" spans="1:13">
      <c r="A5137" t="s">
        <v>851</v>
      </c>
      <c r="B5137" t="s">
        <v>686</v>
      </c>
      <c r="C5137" t="s">
        <v>686</v>
      </c>
      <c r="D5137" t="s">
        <v>3175</v>
      </c>
      <c r="E5137" t="s">
        <v>656</v>
      </c>
      <c r="F5137" t="s">
        <v>31</v>
      </c>
      <c r="G5137">
        <v>2015</v>
      </c>
      <c r="H5137" s="12">
        <v>117.22</v>
      </c>
      <c r="I5137" t="s">
        <v>3183</v>
      </c>
      <c r="J5137" t="s">
        <v>15</v>
      </c>
      <c r="K5137" t="s">
        <v>147</v>
      </c>
      <c r="L5137" t="s">
        <v>3184</v>
      </c>
      <c r="M5137" t="s">
        <v>15</v>
      </c>
    </row>
    <row r="5138" spans="1:13">
      <c r="A5138" t="s">
        <v>851</v>
      </c>
      <c r="B5138" t="s">
        <v>686</v>
      </c>
      <c r="C5138" t="s">
        <v>686</v>
      </c>
      <c r="D5138" t="s">
        <v>3175</v>
      </c>
      <c r="E5138" t="s">
        <v>656</v>
      </c>
      <c r="F5138" t="s">
        <v>31</v>
      </c>
      <c r="G5138">
        <v>2020</v>
      </c>
      <c r="H5138" s="12">
        <v>0</v>
      </c>
      <c r="I5138" t="s">
        <v>3183</v>
      </c>
      <c r="J5138" t="s">
        <v>8</v>
      </c>
      <c r="K5138" t="s">
        <v>147</v>
      </c>
      <c r="L5138" t="s">
        <v>3184</v>
      </c>
      <c r="M5138" t="s">
        <v>670</v>
      </c>
    </row>
    <row r="5139" spans="1:13">
      <c r="A5139" t="s">
        <v>851</v>
      </c>
      <c r="B5139" t="s">
        <v>686</v>
      </c>
      <c r="C5139" t="s">
        <v>686</v>
      </c>
      <c r="D5139" t="s">
        <v>3175</v>
      </c>
      <c r="E5139" t="s">
        <v>656</v>
      </c>
      <c r="F5139" t="s">
        <v>31</v>
      </c>
      <c r="G5139">
        <v>2030</v>
      </c>
      <c r="H5139" s="12">
        <v>0.1</v>
      </c>
      <c r="I5139" t="s">
        <v>3183</v>
      </c>
      <c r="J5139" t="s">
        <v>8</v>
      </c>
      <c r="K5139" t="s">
        <v>147</v>
      </c>
      <c r="L5139" t="s">
        <v>3184</v>
      </c>
      <c r="M5139" t="s">
        <v>670</v>
      </c>
    </row>
    <row r="5140" spans="1:13">
      <c r="A5140" t="s">
        <v>851</v>
      </c>
      <c r="B5140" t="s">
        <v>686</v>
      </c>
      <c r="C5140" t="s">
        <v>686</v>
      </c>
      <c r="D5140" t="s">
        <v>3175</v>
      </c>
      <c r="E5140" t="s">
        <v>656</v>
      </c>
      <c r="F5140" t="s">
        <v>31</v>
      </c>
      <c r="G5140">
        <v>2035</v>
      </c>
      <c r="H5140" s="12">
        <v>0.16</v>
      </c>
      <c r="I5140" t="s">
        <v>3183</v>
      </c>
      <c r="J5140" t="s">
        <v>8</v>
      </c>
      <c r="K5140" t="s">
        <v>147</v>
      </c>
      <c r="L5140" t="s">
        <v>3184</v>
      </c>
      <c r="M5140" t="s">
        <v>670</v>
      </c>
    </row>
    <row r="5141" spans="1:13">
      <c r="A5141" t="s">
        <v>851</v>
      </c>
      <c r="B5141" t="s">
        <v>686</v>
      </c>
      <c r="C5141" t="s">
        <v>686</v>
      </c>
      <c r="D5141" t="s">
        <v>3175</v>
      </c>
      <c r="E5141" t="s">
        <v>656</v>
      </c>
      <c r="F5141" t="s">
        <v>31</v>
      </c>
      <c r="G5141">
        <v>2040</v>
      </c>
      <c r="H5141" s="12">
        <v>0.16</v>
      </c>
      <c r="I5141" t="s">
        <v>3183</v>
      </c>
      <c r="J5141" t="s">
        <v>8</v>
      </c>
      <c r="K5141" t="s">
        <v>147</v>
      </c>
      <c r="L5141" t="s">
        <v>3184</v>
      </c>
      <c r="M5141" t="s">
        <v>670</v>
      </c>
    </row>
    <row r="5142" spans="1:13">
      <c r="A5142" t="s">
        <v>851</v>
      </c>
      <c r="B5142" t="s">
        <v>686</v>
      </c>
      <c r="C5142" t="s">
        <v>686</v>
      </c>
      <c r="D5142" t="s">
        <v>3175</v>
      </c>
      <c r="E5142" t="s">
        <v>656</v>
      </c>
      <c r="F5142" t="s">
        <v>31</v>
      </c>
      <c r="G5142">
        <v>2045</v>
      </c>
      <c r="H5142" s="12">
        <v>0.13</v>
      </c>
      <c r="I5142" t="s">
        <v>3183</v>
      </c>
      <c r="J5142" t="s">
        <v>8</v>
      </c>
      <c r="K5142" t="s">
        <v>147</v>
      </c>
      <c r="L5142" t="s">
        <v>3184</v>
      </c>
      <c r="M5142" t="s">
        <v>670</v>
      </c>
    </row>
    <row r="5143" spans="1:13">
      <c r="A5143" t="s">
        <v>851</v>
      </c>
      <c r="B5143" t="s">
        <v>686</v>
      </c>
      <c r="C5143" t="s">
        <v>686</v>
      </c>
      <c r="D5143" t="s">
        <v>3175</v>
      </c>
      <c r="E5143" t="s">
        <v>656</v>
      </c>
      <c r="F5143" t="s">
        <v>31</v>
      </c>
      <c r="G5143">
        <v>2050</v>
      </c>
      <c r="H5143" s="12">
        <v>7.0000000000000007E-2</v>
      </c>
      <c r="I5143" t="s">
        <v>3183</v>
      </c>
      <c r="J5143" t="s">
        <v>8</v>
      </c>
      <c r="K5143" t="s">
        <v>147</v>
      </c>
      <c r="L5143" t="s">
        <v>3184</v>
      </c>
      <c r="M5143" t="s">
        <v>670</v>
      </c>
    </row>
    <row r="5144" spans="1:13">
      <c r="A5144" t="s">
        <v>851</v>
      </c>
      <c r="B5144" t="s">
        <v>687</v>
      </c>
      <c r="C5144" t="s">
        <v>687</v>
      </c>
      <c r="D5144" t="s">
        <v>3175</v>
      </c>
      <c r="E5144" t="s">
        <v>656</v>
      </c>
      <c r="F5144" t="s">
        <v>31</v>
      </c>
      <c r="G5144">
        <v>2030</v>
      </c>
      <c r="H5144" s="12">
        <v>3.77</v>
      </c>
      <c r="I5144" t="s">
        <v>3183</v>
      </c>
      <c r="J5144" t="s">
        <v>8</v>
      </c>
      <c r="K5144" t="s">
        <v>147</v>
      </c>
      <c r="L5144" t="s">
        <v>3184</v>
      </c>
      <c r="M5144" t="s">
        <v>670</v>
      </c>
    </row>
    <row r="5145" spans="1:13">
      <c r="A5145" t="s">
        <v>851</v>
      </c>
      <c r="B5145" t="s">
        <v>687</v>
      </c>
      <c r="C5145" t="s">
        <v>687</v>
      </c>
      <c r="D5145" t="s">
        <v>3175</v>
      </c>
      <c r="E5145" t="s">
        <v>656</v>
      </c>
      <c r="F5145" t="s">
        <v>31</v>
      </c>
      <c r="G5145">
        <v>2035</v>
      </c>
      <c r="H5145" s="12">
        <v>14.64</v>
      </c>
      <c r="I5145" t="s">
        <v>3183</v>
      </c>
      <c r="J5145" t="s">
        <v>8</v>
      </c>
      <c r="K5145" t="s">
        <v>147</v>
      </c>
      <c r="L5145" t="s">
        <v>3184</v>
      </c>
      <c r="M5145" t="s">
        <v>670</v>
      </c>
    </row>
    <row r="5146" spans="1:13">
      <c r="A5146" t="s">
        <v>851</v>
      </c>
      <c r="B5146" t="s">
        <v>687</v>
      </c>
      <c r="C5146" t="s">
        <v>687</v>
      </c>
      <c r="D5146" t="s">
        <v>3175</v>
      </c>
      <c r="E5146" t="s">
        <v>656</v>
      </c>
      <c r="F5146" t="s">
        <v>31</v>
      </c>
      <c r="G5146">
        <v>2040</v>
      </c>
      <c r="H5146" s="12">
        <v>18.559999999999999</v>
      </c>
      <c r="I5146" t="s">
        <v>3183</v>
      </c>
      <c r="J5146" t="s">
        <v>8</v>
      </c>
      <c r="K5146" t="s">
        <v>147</v>
      </c>
      <c r="L5146" t="s">
        <v>3184</v>
      </c>
      <c r="M5146" t="s">
        <v>670</v>
      </c>
    </row>
    <row r="5147" spans="1:13">
      <c r="A5147" t="s">
        <v>851</v>
      </c>
      <c r="B5147" t="s">
        <v>687</v>
      </c>
      <c r="C5147" t="s">
        <v>687</v>
      </c>
      <c r="D5147" t="s">
        <v>3175</v>
      </c>
      <c r="E5147" t="s">
        <v>656</v>
      </c>
      <c r="F5147" t="s">
        <v>31</v>
      </c>
      <c r="G5147">
        <v>2045</v>
      </c>
      <c r="H5147" s="12">
        <v>19.86</v>
      </c>
      <c r="I5147" t="s">
        <v>3183</v>
      </c>
      <c r="J5147" t="s">
        <v>8</v>
      </c>
      <c r="K5147" t="s">
        <v>147</v>
      </c>
      <c r="L5147" t="s">
        <v>3184</v>
      </c>
      <c r="M5147" t="s">
        <v>670</v>
      </c>
    </row>
    <row r="5148" spans="1:13">
      <c r="A5148" t="s">
        <v>851</v>
      </c>
      <c r="B5148" t="s">
        <v>687</v>
      </c>
      <c r="C5148" t="s">
        <v>687</v>
      </c>
      <c r="D5148" t="s">
        <v>3175</v>
      </c>
      <c r="E5148" t="s">
        <v>656</v>
      </c>
      <c r="F5148" t="s">
        <v>31</v>
      </c>
      <c r="G5148">
        <v>2050</v>
      </c>
      <c r="H5148" s="12">
        <v>18.71</v>
      </c>
      <c r="I5148" t="s">
        <v>3183</v>
      </c>
      <c r="J5148" t="s">
        <v>8</v>
      </c>
      <c r="K5148" t="s">
        <v>147</v>
      </c>
      <c r="L5148" t="s">
        <v>3184</v>
      </c>
      <c r="M5148" t="s">
        <v>670</v>
      </c>
    </row>
    <row r="5149" spans="1:13">
      <c r="A5149" t="s">
        <v>851</v>
      </c>
      <c r="B5149" t="s">
        <v>686</v>
      </c>
      <c r="C5149" t="s">
        <v>686</v>
      </c>
      <c r="D5149" t="s">
        <v>3175</v>
      </c>
      <c r="E5149" t="s">
        <v>656</v>
      </c>
      <c r="F5149" t="s">
        <v>31</v>
      </c>
      <c r="G5149">
        <v>2010</v>
      </c>
      <c r="H5149" s="12">
        <v>167.97</v>
      </c>
      <c r="I5149" t="s">
        <v>3183</v>
      </c>
      <c r="J5149" t="s">
        <v>5</v>
      </c>
      <c r="K5149" t="s">
        <v>147</v>
      </c>
      <c r="L5149" t="s">
        <v>3184</v>
      </c>
      <c r="M5149" t="s">
        <v>665</v>
      </c>
    </row>
    <row r="5150" spans="1:13">
      <c r="A5150" t="s">
        <v>851</v>
      </c>
      <c r="B5150" t="s">
        <v>686</v>
      </c>
      <c r="C5150" t="s">
        <v>686</v>
      </c>
      <c r="D5150" t="s">
        <v>3175</v>
      </c>
      <c r="E5150" t="s">
        <v>656</v>
      </c>
      <c r="F5150" t="s">
        <v>31</v>
      </c>
      <c r="G5150">
        <v>2015</v>
      </c>
      <c r="H5150" s="12">
        <v>156.1</v>
      </c>
      <c r="I5150" t="s">
        <v>3183</v>
      </c>
      <c r="J5150" t="s">
        <v>5</v>
      </c>
      <c r="K5150" t="s">
        <v>147</v>
      </c>
      <c r="L5150" t="s">
        <v>3184</v>
      </c>
      <c r="M5150" t="s">
        <v>665</v>
      </c>
    </row>
    <row r="5151" spans="1:13">
      <c r="A5151" t="s">
        <v>851</v>
      </c>
      <c r="B5151" t="s">
        <v>686</v>
      </c>
      <c r="C5151" t="s">
        <v>686</v>
      </c>
      <c r="D5151" t="s">
        <v>3175</v>
      </c>
      <c r="E5151" t="s">
        <v>656</v>
      </c>
      <c r="F5151" t="s">
        <v>31</v>
      </c>
      <c r="G5151">
        <v>2020</v>
      </c>
      <c r="H5151" s="12">
        <v>134.21</v>
      </c>
      <c r="I5151" t="s">
        <v>3183</v>
      </c>
      <c r="J5151" t="s">
        <v>5</v>
      </c>
      <c r="K5151" t="s">
        <v>147</v>
      </c>
      <c r="L5151" t="s">
        <v>3184</v>
      </c>
      <c r="M5151" t="s">
        <v>665</v>
      </c>
    </row>
    <row r="5152" spans="1:13">
      <c r="A5152" t="s">
        <v>851</v>
      </c>
      <c r="B5152" t="s">
        <v>686</v>
      </c>
      <c r="C5152" t="s">
        <v>686</v>
      </c>
      <c r="D5152" t="s">
        <v>3175</v>
      </c>
      <c r="E5152" t="s">
        <v>656</v>
      </c>
      <c r="F5152" t="s">
        <v>31</v>
      </c>
      <c r="G5152">
        <v>2030</v>
      </c>
      <c r="H5152" s="12">
        <v>43.06</v>
      </c>
      <c r="I5152" t="s">
        <v>3183</v>
      </c>
      <c r="J5152" t="s">
        <v>5</v>
      </c>
      <c r="K5152" t="s">
        <v>147</v>
      </c>
      <c r="L5152" t="s">
        <v>3184</v>
      </c>
      <c r="M5152" t="s">
        <v>665</v>
      </c>
    </row>
    <row r="5153" spans="1:13">
      <c r="A5153" t="s">
        <v>851</v>
      </c>
      <c r="B5153" t="s">
        <v>686</v>
      </c>
      <c r="C5153" t="s">
        <v>686</v>
      </c>
      <c r="D5153" t="s">
        <v>3175</v>
      </c>
      <c r="E5153" t="s">
        <v>656</v>
      </c>
      <c r="F5153" t="s">
        <v>31</v>
      </c>
      <c r="G5153">
        <v>2035</v>
      </c>
      <c r="H5153" s="12">
        <v>19.010000000000002</v>
      </c>
      <c r="I5153" t="s">
        <v>3183</v>
      </c>
      <c r="J5153" t="s">
        <v>5</v>
      </c>
      <c r="K5153" t="s">
        <v>147</v>
      </c>
      <c r="L5153" t="s">
        <v>3184</v>
      </c>
      <c r="M5153" t="s">
        <v>665</v>
      </c>
    </row>
    <row r="5154" spans="1:13">
      <c r="A5154" t="s">
        <v>851</v>
      </c>
      <c r="B5154" t="s">
        <v>686</v>
      </c>
      <c r="C5154" t="s">
        <v>686</v>
      </c>
      <c r="D5154" t="s">
        <v>3175</v>
      </c>
      <c r="E5154" t="s">
        <v>656</v>
      </c>
      <c r="F5154" t="s">
        <v>31</v>
      </c>
      <c r="G5154">
        <v>2040</v>
      </c>
      <c r="H5154" s="12">
        <v>14.14</v>
      </c>
      <c r="I5154" t="s">
        <v>3183</v>
      </c>
      <c r="J5154" t="s">
        <v>5</v>
      </c>
      <c r="K5154" t="s">
        <v>147</v>
      </c>
      <c r="L5154" t="s">
        <v>3184</v>
      </c>
      <c r="M5154" t="s">
        <v>665</v>
      </c>
    </row>
    <row r="5155" spans="1:13">
      <c r="A5155" t="s">
        <v>851</v>
      </c>
      <c r="B5155" t="s">
        <v>686</v>
      </c>
      <c r="C5155" t="s">
        <v>686</v>
      </c>
      <c r="D5155" t="s">
        <v>3175</v>
      </c>
      <c r="E5155" t="s">
        <v>656</v>
      </c>
      <c r="F5155" t="s">
        <v>31</v>
      </c>
      <c r="G5155">
        <v>2045</v>
      </c>
      <c r="H5155" s="12">
        <v>13.45</v>
      </c>
      <c r="I5155" t="s">
        <v>3183</v>
      </c>
      <c r="J5155" t="s">
        <v>5</v>
      </c>
      <c r="K5155" t="s">
        <v>147</v>
      </c>
      <c r="L5155" t="s">
        <v>3184</v>
      </c>
      <c r="M5155" t="s">
        <v>665</v>
      </c>
    </row>
    <row r="5156" spans="1:13">
      <c r="A5156" t="s">
        <v>851</v>
      </c>
      <c r="B5156" t="s">
        <v>686</v>
      </c>
      <c r="C5156" t="s">
        <v>686</v>
      </c>
      <c r="D5156" t="s">
        <v>3175</v>
      </c>
      <c r="E5156" t="s">
        <v>656</v>
      </c>
      <c r="F5156" t="s">
        <v>31</v>
      </c>
      <c r="G5156">
        <v>2050</v>
      </c>
      <c r="H5156" s="12">
        <v>12.52</v>
      </c>
      <c r="I5156" t="s">
        <v>3183</v>
      </c>
      <c r="J5156" t="s">
        <v>5</v>
      </c>
      <c r="K5156" t="s">
        <v>147</v>
      </c>
      <c r="L5156" t="s">
        <v>3184</v>
      </c>
      <c r="M5156" t="s">
        <v>665</v>
      </c>
    </row>
    <row r="5157" spans="1:13">
      <c r="A5157" t="s">
        <v>851</v>
      </c>
      <c r="B5157" t="s">
        <v>687</v>
      </c>
      <c r="C5157" t="s">
        <v>687</v>
      </c>
      <c r="D5157" t="s">
        <v>3175</v>
      </c>
      <c r="E5157" t="s">
        <v>656</v>
      </c>
      <c r="F5157" t="s">
        <v>31</v>
      </c>
      <c r="G5157">
        <v>2030</v>
      </c>
      <c r="H5157" s="12">
        <v>22.69</v>
      </c>
      <c r="I5157" t="s">
        <v>3183</v>
      </c>
      <c r="J5157" t="s">
        <v>5</v>
      </c>
      <c r="K5157" t="s">
        <v>147</v>
      </c>
      <c r="L5157" t="s">
        <v>3184</v>
      </c>
      <c r="M5157" t="s">
        <v>665</v>
      </c>
    </row>
    <row r="5158" spans="1:13">
      <c r="A5158" t="s">
        <v>851</v>
      </c>
      <c r="B5158" t="s">
        <v>687</v>
      </c>
      <c r="C5158" t="s">
        <v>687</v>
      </c>
      <c r="D5158" t="s">
        <v>3175</v>
      </c>
      <c r="E5158" t="s">
        <v>656</v>
      </c>
      <c r="F5158" t="s">
        <v>31</v>
      </c>
      <c r="G5158">
        <v>2035</v>
      </c>
      <c r="H5158" s="12">
        <v>1.58</v>
      </c>
      <c r="I5158" t="s">
        <v>3183</v>
      </c>
      <c r="J5158" t="s">
        <v>5</v>
      </c>
      <c r="K5158" t="s">
        <v>147</v>
      </c>
      <c r="L5158" t="s">
        <v>3184</v>
      </c>
      <c r="M5158" t="s">
        <v>665</v>
      </c>
    </row>
    <row r="5159" spans="1:13">
      <c r="A5159" t="s">
        <v>851</v>
      </c>
      <c r="B5159" t="s">
        <v>687</v>
      </c>
      <c r="C5159" t="s">
        <v>687</v>
      </c>
      <c r="D5159" t="s">
        <v>3175</v>
      </c>
      <c r="E5159" t="s">
        <v>656</v>
      </c>
      <c r="F5159" t="s">
        <v>31</v>
      </c>
      <c r="G5159">
        <v>2040</v>
      </c>
      <c r="H5159" s="12">
        <v>0.39</v>
      </c>
      <c r="I5159" t="s">
        <v>3183</v>
      </c>
      <c r="J5159" t="s">
        <v>5</v>
      </c>
      <c r="K5159" t="s">
        <v>147</v>
      </c>
      <c r="L5159" t="s">
        <v>3184</v>
      </c>
      <c r="M5159" t="s">
        <v>665</v>
      </c>
    </row>
    <row r="5160" spans="1:13">
      <c r="A5160" t="s">
        <v>851</v>
      </c>
      <c r="B5160" t="s">
        <v>687</v>
      </c>
      <c r="C5160" t="s">
        <v>687</v>
      </c>
      <c r="D5160" t="s">
        <v>3175</v>
      </c>
      <c r="E5160" t="s">
        <v>656</v>
      </c>
      <c r="F5160" t="s">
        <v>31</v>
      </c>
      <c r="G5160">
        <v>2045</v>
      </c>
      <c r="H5160" s="12">
        <v>0.01</v>
      </c>
      <c r="I5160" t="s">
        <v>3183</v>
      </c>
      <c r="J5160" t="s">
        <v>5</v>
      </c>
      <c r="K5160" t="s">
        <v>147</v>
      </c>
      <c r="L5160" t="s">
        <v>3184</v>
      </c>
      <c r="M5160" t="s">
        <v>665</v>
      </c>
    </row>
    <row r="5161" spans="1:13">
      <c r="A5161" t="s">
        <v>851</v>
      </c>
      <c r="B5161" t="s">
        <v>687</v>
      </c>
      <c r="C5161" t="s">
        <v>687</v>
      </c>
      <c r="D5161" t="s">
        <v>3175</v>
      </c>
      <c r="E5161" t="s">
        <v>656</v>
      </c>
      <c r="F5161" t="s">
        <v>31</v>
      </c>
      <c r="G5161">
        <v>2050</v>
      </c>
      <c r="H5161" s="12">
        <v>0</v>
      </c>
      <c r="I5161" t="s">
        <v>3183</v>
      </c>
      <c r="J5161" t="s">
        <v>5</v>
      </c>
      <c r="K5161" t="s">
        <v>147</v>
      </c>
      <c r="L5161" t="s">
        <v>3184</v>
      </c>
      <c r="M5161" t="s">
        <v>665</v>
      </c>
    </row>
    <row r="5162" spans="1:13">
      <c r="A5162" t="s">
        <v>851</v>
      </c>
      <c r="B5162" t="s">
        <v>686</v>
      </c>
      <c r="C5162" t="s">
        <v>686</v>
      </c>
      <c r="D5162" t="s">
        <v>3175</v>
      </c>
      <c r="E5162" t="s">
        <v>656</v>
      </c>
      <c r="F5162" t="s">
        <v>31</v>
      </c>
      <c r="G5162">
        <v>2010</v>
      </c>
      <c r="H5162" s="12">
        <v>171.18</v>
      </c>
      <c r="I5162" t="s">
        <v>3183</v>
      </c>
      <c r="J5162" t="s">
        <v>6</v>
      </c>
      <c r="K5162" t="s">
        <v>147</v>
      </c>
      <c r="L5162" t="s">
        <v>3184</v>
      </c>
      <c r="M5162" t="s">
        <v>666</v>
      </c>
    </row>
    <row r="5163" spans="1:13">
      <c r="A5163" t="s">
        <v>851</v>
      </c>
      <c r="B5163" t="s">
        <v>686</v>
      </c>
      <c r="C5163" t="s">
        <v>686</v>
      </c>
      <c r="D5163" t="s">
        <v>3175</v>
      </c>
      <c r="E5163" t="s">
        <v>656</v>
      </c>
      <c r="F5163" t="s">
        <v>31</v>
      </c>
      <c r="G5163">
        <v>2015</v>
      </c>
      <c r="H5163" s="12">
        <v>182.38</v>
      </c>
      <c r="I5163" t="s">
        <v>3183</v>
      </c>
      <c r="J5163" t="s">
        <v>6</v>
      </c>
      <c r="K5163" t="s">
        <v>147</v>
      </c>
      <c r="L5163" t="s">
        <v>3184</v>
      </c>
      <c r="M5163" t="s">
        <v>666</v>
      </c>
    </row>
    <row r="5164" spans="1:13">
      <c r="A5164" t="s">
        <v>851</v>
      </c>
      <c r="B5164" t="s">
        <v>686</v>
      </c>
      <c r="C5164" t="s">
        <v>686</v>
      </c>
      <c r="D5164" t="s">
        <v>3175</v>
      </c>
      <c r="E5164" t="s">
        <v>656</v>
      </c>
      <c r="F5164" t="s">
        <v>31</v>
      </c>
      <c r="G5164">
        <v>2020</v>
      </c>
      <c r="H5164" s="12">
        <v>181.02</v>
      </c>
      <c r="I5164" t="s">
        <v>3183</v>
      </c>
      <c r="J5164" t="s">
        <v>6</v>
      </c>
      <c r="K5164" t="s">
        <v>147</v>
      </c>
      <c r="L5164" t="s">
        <v>3184</v>
      </c>
      <c r="M5164" t="s">
        <v>666</v>
      </c>
    </row>
    <row r="5165" spans="1:13">
      <c r="A5165" t="s">
        <v>851</v>
      </c>
      <c r="B5165" t="s">
        <v>686</v>
      </c>
      <c r="C5165" t="s">
        <v>686</v>
      </c>
      <c r="D5165" t="s">
        <v>3175</v>
      </c>
      <c r="E5165" t="s">
        <v>656</v>
      </c>
      <c r="F5165" t="s">
        <v>31</v>
      </c>
      <c r="G5165">
        <v>2030</v>
      </c>
      <c r="H5165" s="12">
        <v>184.1</v>
      </c>
      <c r="I5165" t="s">
        <v>3183</v>
      </c>
      <c r="J5165" t="s">
        <v>6</v>
      </c>
      <c r="K5165" t="s">
        <v>147</v>
      </c>
      <c r="L5165" t="s">
        <v>3184</v>
      </c>
      <c r="M5165" t="s">
        <v>666</v>
      </c>
    </row>
    <row r="5166" spans="1:13">
      <c r="A5166" t="s">
        <v>851</v>
      </c>
      <c r="B5166" t="s">
        <v>686</v>
      </c>
      <c r="C5166" t="s">
        <v>686</v>
      </c>
      <c r="D5166" t="s">
        <v>3175</v>
      </c>
      <c r="E5166" t="s">
        <v>656</v>
      </c>
      <c r="F5166" t="s">
        <v>31</v>
      </c>
      <c r="G5166">
        <v>2035</v>
      </c>
      <c r="H5166" s="12">
        <v>181.86</v>
      </c>
      <c r="I5166" t="s">
        <v>3183</v>
      </c>
      <c r="J5166" t="s">
        <v>6</v>
      </c>
      <c r="K5166" t="s">
        <v>147</v>
      </c>
      <c r="L5166" t="s">
        <v>3184</v>
      </c>
      <c r="M5166" t="s">
        <v>666</v>
      </c>
    </row>
    <row r="5167" spans="1:13">
      <c r="A5167" t="s">
        <v>851</v>
      </c>
      <c r="B5167" t="s">
        <v>686</v>
      </c>
      <c r="C5167" t="s">
        <v>686</v>
      </c>
      <c r="D5167" t="s">
        <v>3175</v>
      </c>
      <c r="E5167" t="s">
        <v>656</v>
      </c>
      <c r="F5167" t="s">
        <v>31</v>
      </c>
      <c r="G5167">
        <v>2040</v>
      </c>
      <c r="H5167" s="12">
        <v>171.51</v>
      </c>
      <c r="I5167" t="s">
        <v>3183</v>
      </c>
      <c r="J5167" t="s">
        <v>6</v>
      </c>
      <c r="K5167" t="s">
        <v>147</v>
      </c>
      <c r="L5167" t="s">
        <v>3184</v>
      </c>
      <c r="M5167" t="s">
        <v>666</v>
      </c>
    </row>
    <row r="5168" spans="1:13">
      <c r="A5168" t="s">
        <v>851</v>
      </c>
      <c r="B5168" t="s">
        <v>686</v>
      </c>
      <c r="C5168" t="s">
        <v>686</v>
      </c>
      <c r="D5168" t="s">
        <v>3175</v>
      </c>
      <c r="E5168" t="s">
        <v>656</v>
      </c>
      <c r="F5168" t="s">
        <v>31</v>
      </c>
      <c r="G5168">
        <v>2045</v>
      </c>
      <c r="H5168" s="12">
        <v>151.47</v>
      </c>
      <c r="I5168" t="s">
        <v>3183</v>
      </c>
      <c r="J5168" t="s">
        <v>6</v>
      </c>
      <c r="K5168" t="s">
        <v>147</v>
      </c>
      <c r="L5168" t="s">
        <v>3184</v>
      </c>
      <c r="M5168" t="s">
        <v>666</v>
      </c>
    </row>
    <row r="5169" spans="1:13">
      <c r="A5169" t="s">
        <v>851</v>
      </c>
      <c r="B5169" t="s">
        <v>686</v>
      </c>
      <c r="C5169" t="s">
        <v>686</v>
      </c>
      <c r="D5169" t="s">
        <v>3175</v>
      </c>
      <c r="E5169" t="s">
        <v>656</v>
      </c>
      <c r="F5169" t="s">
        <v>31</v>
      </c>
      <c r="G5169">
        <v>2050</v>
      </c>
      <c r="H5169" s="12">
        <v>119.98</v>
      </c>
      <c r="I5169" t="s">
        <v>3183</v>
      </c>
      <c r="J5169" t="s">
        <v>6</v>
      </c>
      <c r="K5169" t="s">
        <v>147</v>
      </c>
      <c r="L5169" t="s">
        <v>3184</v>
      </c>
      <c r="M5169" t="s">
        <v>666</v>
      </c>
    </row>
    <row r="5170" spans="1:13">
      <c r="A5170" t="s">
        <v>851</v>
      </c>
      <c r="B5170" t="s">
        <v>687</v>
      </c>
      <c r="C5170" t="s">
        <v>687</v>
      </c>
      <c r="D5170" t="s">
        <v>3175</v>
      </c>
      <c r="E5170" t="s">
        <v>656</v>
      </c>
      <c r="F5170" t="s">
        <v>31</v>
      </c>
      <c r="G5170">
        <v>2030</v>
      </c>
      <c r="H5170" s="12">
        <v>153.28</v>
      </c>
      <c r="I5170" t="s">
        <v>3183</v>
      </c>
      <c r="J5170" t="s">
        <v>6</v>
      </c>
      <c r="K5170" t="s">
        <v>147</v>
      </c>
      <c r="L5170" t="s">
        <v>3184</v>
      </c>
      <c r="M5170" t="s">
        <v>666</v>
      </c>
    </row>
    <row r="5171" spans="1:13">
      <c r="A5171" t="s">
        <v>851</v>
      </c>
      <c r="B5171" t="s">
        <v>686</v>
      </c>
      <c r="C5171" t="s">
        <v>686</v>
      </c>
      <c r="D5171" t="s">
        <v>3175</v>
      </c>
      <c r="E5171" t="s">
        <v>461</v>
      </c>
      <c r="F5171" t="s">
        <v>668</v>
      </c>
      <c r="G5171">
        <v>2010</v>
      </c>
      <c r="H5171" s="12">
        <v>754.86</v>
      </c>
      <c r="I5171" t="s">
        <v>3183</v>
      </c>
      <c r="J5171" t="s">
        <v>5</v>
      </c>
      <c r="K5171" t="s">
        <v>147</v>
      </c>
      <c r="L5171" t="s">
        <v>3184</v>
      </c>
      <c r="M5171" t="s">
        <v>665</v>
      </c>
    </row>
    <row r="5172" spans="1:13">
      <c r="A5172" t="s">
        <v>851</v>
      </c>
      <c r="B5172" t="s">
        <v>686</v>
      </c>
      <c r="C5172" t="s">
        <v>686</v>
      </c>
      <c r="D5172" t="s">
        <v>3175</v>
      </c>
      <c r="E5172" t="s">
        <v>461</v>
      </c>
      <c r="F5172" t="s">
        <v>668</v>
      </c>
      <c r="G5172">
        <v>2015</v>
      </c>
      <c r="H5172" s="12">
        <v>751.01</v>
      </c>
      <c r="I5172" t="s">
        <v>3183</v>
      </c>
      <c r="J5172" t="s">
        <v>5</v>
      </c>
      <c r="K5172" t="s">
        <v>147</v>
      </c>
      <c r="L5172" t="s">
        <v>3184</v>
      </c>
      <c r="M5172" t="s">
        <v>665</v>
      </c>
    </row>
    <row r="5173" spans="1:13">
      <c r="A5173" t="s">
        <v>851</v>
      </c>
      <c r="B5173" t="s">
        <v>686</v>
      </c>
      <c r="C5173" t="s">
        <v>686</v>
      </c>
      <c r="D5173" t="s">
        <v>3175</v>
      </c>
      <c r="E5173" t="s">
        <v>461</v>
      </c>
      <c r="F5173" t="s">
        <v>668</v>
      </c>
      <c r="G5173">
        <v>2020</v>
      </c>
      <c r="H5173" s="12">
        <v>382.91</v>
      </c>
      <c r="I5173" t="s">
        <v>3183</v>
      </c>
      <c r="J5173" t="s">
        <v>5</v>
      </c>
      <c r="K5173" t="s">
        <v>147</v>
      </c>
      <c r="L5173" t="s">
        <v>3184</v>
      </c>
      <c r="M5173" t="s">
        <v>665</v>
      </c>
    </row>
    <row r="5174" spans="1:13">
      <c r="A5174" t="s">
        <v>851</v>
      </c>
      <c r="B5174" t="s">
        <v>686</v>
      </c>
      <c r="C5174" t="s">
        <v>686</v>
      </c>
      <c r="D5174" t="s">
        <v>3175</v>
      </c>
      <c r="E5174" t="s">
        <v>461</v>
      </c>
      <c r="F5174" t="s">
        <v>668</v>
      </c>
      <c r="G5174">
        <v>2030</v>
      </c>
      <c r="H5174" s="12">
        <v>168.46</v>
      </c>
      <c r="I5174" t="s">
        <v>3183</v>
      </c>
      <c r="J5174" t="s">
        <v>5</v>
      </c>
      <c r="K5174" t="s">
        <v>147</v>
      </c>
      <c r="L5174" t="s">
        <v>3184</v>
      </c>
      <c r="M5174" t="s">
        <v>665</v>
      </c>
    </row>
    <row r="5175" spans="1:13">
      <c r="A5175" t="s">
        <v>851</v>
      </c>
      <c r="B5175" t="s">
        <v>686</v>
      </c>
      <c r="C5175" t="s">
        <v>686</v>
      </c>
      <c r="D5175" t="s">
        <v>3175</v>
      </c>
      <c r="E5175" t="s">
        <v>461</v>
      </c>
      <c r="F5175" t="s">
        <v>668</v>
      </c>
      <c r="G5175">
        <v>2035</v>
      </c>
      <c r="H5175" s="12">
        <v>65.459999999999994</v>
      </c>
      <c r="I5175" t="s">
        <v>3183</v>
      </c>
      <c r="J5175" t="s">
        <v>5</v>
      </c>
      <c r="K5175" t="s">
        <v>147</v>
      </c>
      <c r="L5175" t="s">
        <v>3184</v>
      </c>
      <c r="M5175" t="s">
        <v>665</v>
      </c>
    </row>
    <row r="5176" spans="1:13">
      <c r="A5176" t="s">
        <v>851</v>
      </c>
      <c r="B5176" t="s">
        <v>686</v>
      </c>
      <c r="C5176" t="s">
        <v>686</v>
      </c>
      <c r="D5176" t="s">
        <v>3175</v>
      </c>
      <c r="E5176" t="s">
        <v>461</v>
      </c>
      <c r="F5176" t="s">
        <v>668</v>
      </c>
      <c r="G5176">
        <v>2040</v>
      </c>
      <c r="H5176" s="12">
        <v>34.96</v>
      </c>
      <c r="I5176" t="s">
        <v>3183</v>
      </c>
      <c r="J5176" t="s">
        <v>5</v>
      </c>
      <c r="K5176" t="s">
        <v>147</v>
      </c>
      <c r="L5176" t="s">
        <v>3184</v>
      </c>
      <c r="M5176" t="s">
        <v>665</v>
      </c>
    </row>
    <row r="5177" spans="1:13">
      <c r="A5177" t="s">
        <v>851</v>
      </c>
      <c r="B5177" t="s">
        <v>686</v>
      </c>
      <c r="C5177" t="s">
        <v>686</v>
      </c>
      <c r="D5177" t="s">
        <v>3175</v>
      </c>
      <c r="E5177" t="s">
        <v>461</v>
      </c>
      <c r="F5177" t="s">
        <v>668</v>
      </c>
      <c r="G5177">
        <v>2045</v>
      </c>
      <c r="H5177" s="12">
        <v>22.89</v>
      </c>
      <c r="I5177" t="s">
        <v>3183</v>
      </c>
      <c r="J5177" t="s">
        <v>5</v>
      </c>
      <c r="K5177" t="s">
        <v>147</v>
      </c>
      <c r="L5177" t="s">
        <v>3184</v>
      </c>
      <c r="M5177" t="s">
        <v>665</v>
      </c>
    </row>
    <row r="5178" spans="1:13">
      <c r="A5178" t="s">
        <v>851</v>
      </c>
      <c r="B5178" t="s">
        <v>686</v>
      </c>
      <c r="C5178" t="s">
        <v>686</v>
      </c>
      <c r="D5178" t="s">
        <v>3175</v>
      </c>
      <c r="E5178" t="s">
        <v>461</v>
      </c>
      <c r="F5178" t="s">
        <v>668</v>
      </c>
      <c r="G5178">
        <v>2050</v>
      </c>
      <c r="H5178" s="12">
        <v>16.46</v>
      </c>
      <c r="I5178" t="s">
        <v>3183</v>
      </c>
      <c r="J5178" t="s">
        <v>5</v>
      </c>
      <c r="K5178" t="s">
        <v>147</v>
      </c>
      <c r="L5178" t="s">
        <v>3184</v>
      </c>
      <c r="M5178" t="s">
        <v>665</v>
      </c>
    </row>
    <row r="5179" spans="1:13">
      <c r="A5179" t="s">
        <v>851</v>
      </c>
      <c r="B5179" t="s">
        <v>687</v>
      </c>
      <c r="C5179" t="s">
        <v>687</v>
      </c>
      <c r="D5179" t="s">
        <v>3175</v>
      </c>
      <c r="E5179" t="s">
        <v>461</v>
      </c>
      <c r="F5179" t="s">
        <v>668</v>
      </c>
      <c r="G5179">
        <v>2030</v>
      </c>
      <c r="H5179" s="12">
        <v>73.77</v>
      </c>
      <c r="I5179" t="s">
        <v>3183</v>
      </c>
      <c r="J5179" t="s">
        <v>5</v>
      </c>
      <c r="K5179" t="s">
        <v>147</v>
      </c>
      <c r="L5179" t="s">
        <v>3184</v>
      </c>
      <c r="M5179" t="s">
        <v>665</v>
      </c>
    </row>
    <row r="5180" spans="1:13">
      <c r="A5180" t="s">
        <v>851</v>
      </c>
      <c r="B5180" t="s">
        <v>687</v>
      </c>
      <c r="C5180" t="s">
        <v>687</v>
      </c>
      <c r="D5180" t="s">
        <v>3175</v>
      </c>
      <c r="E5180" t="s">
        <v>461</v>
      </c>
      <c r="F5180" t="s">
        <v>668</v>
      </c>
      <c r="G5180">
        <v>2035</v>
      </c>
      <c r="H5180" s="12">
        <v>0</v>
      </c>
      <c r="I5180" t="s">
        <v>3183</v>
      </c>
      <c r="J5180" t="s">
        <v>5</v>
      </c>
      <c r="K5180" t="s">
        <v>147</v>
      </c>
      <c r="L5180" t="s">
        <v>3184</v>
      </c>
      <c r="M5180" t="s">
        <v>665</v>
      </c>
    </row>
    <row r="5181" spans="1:13">
      <c r="A5181" t="s">
        <v>851</v>
      </c>
      <c r="B5181" t="s">
        <v>687</v>
      </c>
      <c r="C5181" t="s">
        <v>687</v>
      </c>
      <c r="D5181" t="s">
        <v>3175</v>
      </c>
      <c r="E5181" t="s">
        <v>461</v>
      </c>
      <c r="F5181" t="s">
        <v>668</v>
      </c>
      <c r="G5181">
        <v>2040</v>
      </c>
      <c r="H5181" s="12">
        <v>0</v>
      </c>
      <c r="I5181" t="s">
        <v>3183</v>
      </c>
      <c r="J5181" t="s">
        <v>5</v>
      </c>
      <c r="K5181" t="s">
        <v>147</v>
      </c>
      <c r="L5181" t="s">
        <v>3184</v>
      </c>
      <c r="M5181" t="s">
        <v>665</v>
      </c>
    </row>
    <row r="5182" spans="1:13">
      <c r="A5182" t="s">
        <v>851</v>
      </c>
      <c r="B5182" t="s">
        <v>687</v>
      </c>
      <c r="C5182" t="s">
        <v>687</v>
      </c>
      <c r="D5182" t="s">
        <v>3175</v>
      </c>
      <c r="E5182" t="s">
        <v>461</v>
      </c>
      <c r="F5182" t="s">
        <v>668</v>
      </c>
      <c r="G5182">
        <v>2045</v>
      </c>
      <c r="H5182" s="12">
        <v>0</v>
      </c>
      <c r="I5182" t="s">
        <v>3183</v>
      </c>
      <c r="J5182" t="s">
        <v>5</v>
      </c>
      <c r="K5182" t="s">
        <v>147</v>
      </c>
      <c r="L5182" t="s">
        <v>3184</v>
      </c>
      <c r="M5182" t="s">
        <v>665</v>
      </c>
    </row>
    <row r="5183" spans="1:13">
      <c r="A5183" t="s">
        <v>851</v>
      </c>
      <c r="B5183" t="s">
        <v>687</v>
      </c>
      <c r="C5183" t="s">
        <v>687</v>
      </c>
      <c r="D5183" t="s">
        <v>3175</v>
      </c>
      <c r="E5183" t="s">
        <v>461</v>
      </c>
      <c r="F5183" t="s">
        <v>668</v>
      </c>
      <c r="G5183">
        <v>2050</v>
      </c>
      <c r="H5183" s="12">
        <v>0</v>
      </c>
      <c r="I5183" t="s">
        <v>3183</v>
      </c>
      <c r="J5183" t="s">
        <v>5</v>
      </c>
      <c r="K5183" t="s">
        <v>147</v>
      </c>
      <c r="L5183" t="s">
        <v>3184</v>
      </c>
      <c r="M5183" t="s">
        <v>665</v>
      </c>
    </row>
    <row r="5184" spans="1:13">
      <c r="A5184" t="s">
        <v>851</v>
      </c>
      <c r="B5184" t="s">
        <v>686</v>
      </c>
      <c r="C5184" t="s">
        <v>686</v>
      </c>
      <c r="D5184" t="s">
        <v>3175</v>
      </c>
      <c r="E5184" t="s">
        <v>461</v>
      </c>
      <c r="F5184" t="s">
        <v>668</v>
      </c>
      <c r="G5184">
        <v>2010</v>
      </c>
      <c r="H5184" s="12">
        <v>588.54999999999995</v>
      </c>
      <c r="I5184" t="s">
        <v>3183</v>
      </c>
      <c r="J5184" t="s">
        <v>6</v>
      </c>
      <c r="K5184" t="s">
        <v>147</v>
      </c>
      <c r="L5184" t="s">
        <v>3184</v>
      </c>
      <c r="M5184" t="s">
        <v>666</v>
      </c>
    </row>
    <row r="5185" spans="1:13">
      <c r="A5185" t="s">
        <v>851</v>
      </c>
      <c r="B5185" t="s">
        <v>686</v>
      </c>
      <c r="C5185" t="s">
        <v>686</v>
      </c>
      <c r="D5185" t="s">
        <v>3175</v>
      </c>
      <c r="E5185" t="s">
        <v>461</v>
      </c>
      <c r="F5185" t="s">
        <v>668</v>
      </c>
      <c r="G5185">
        <v>2015</v>
      </c>
      <c r="H5185" s="12">
        <v>395.16</v>
      </c>
      <c r="I5185" t="s">
        <v>3183</v>
      </c>
      <c r="J5185" t="s">
        <v>6</v>
      </c>
      <c r="K5185" t="s">
        <v>147</v>
      </c>
      <c r="L5185" t="s">
        <v>3184</v>
      </c>
      <c r="M5185" t="s">
        <v>666</v>
      </c>
    </row>
    <row r="5186" spans="1:13">
      <c r="A5186" t="s">
        <v>851</v>
      </c>
      <c r="B5186" t="s">
        <v>686</v>
      </c>
      <c r="C5186" t="s">
        <v>686</v>
      </c>
      <c r="D5186" t="s">
        <v>3175</v>
      </c>
      <c r="E5186" t="s">
        <v>461</v>
      </c>
      <c r="F5186" t="s">
        <v>668</v>
      </c>
      <c r="G5186">
        <v>2020</v>
      </c>
      <c r="H5186" s="12">
        <v>555.1</v>
      </c>
      <c r="I5186" t="s">
        <v>3183</v>
      </c>
      <c r="J5186" t="s">
        <v>6</v>
      </c>
      <c r="K5186" t="s">
        <v>147</v>
      </c>
      <c r="L5186" t="s">
        <v>3184</v>
      </c>
      <c r="M5186" t="s">
        <v>666</v>
      </c>
    </row>
    <row r="5187" spans="1:13">
      <c r="A5187" t="s">
        <v>851</v>
      </c>
      <c r="B5187" t="s">
        <v>686</v>
      </c>
      <c r="C5187" t="s">
        <v>686</v>
      </c>
      <c r="D5187" t="s">
        <v>3175</v>
      </c>
      <c r="E5187" t="s">
        <v>461</v>
      </c>
      <c r="F5187" t="s">
        <v>668</v>
      </c>
      <c r="G5187">
        <v>2030</v>
      </c>
      <c r="H5187" s="12">
        <v>399.94</v>
      </c>
      <c r="I5187" t="s">
        <v>3183</v>
      </c>
      <c r="J5187" t="s">
        <v>6</v>
      </c>
      <c r="K5187" t="s">
        <v>147</v>
      </c>
      <c r="L5187" t="s">
        <v>3184</v>
      </c>
      <c r="M5187" t="s">
        <v>666</v>
      </c>
    </row>
    <row r="5188" spans="1:13">
      <c r="A5188" t="s">
        <v>851</v>
      </c>
      <c r="B5188" t="s">
        <v>686</v>
      </c>
      <c r="C5188" t="s">
        <v>686</v>
      </c>
      <c r="D5188" t="s">
        <v>3175</v>
      </c>
      <c r="E5188" t="s">
        <v>461</v>
      </c>
      <c r="F5188" t="s">
        <v>668</v>
      </c>
      <c r="G5188">
        <v>2035</v>
      </c>
      <c r="H5188" s="12">
        <v>354.17</v>
      </c>
      <c r="I5188" t="s">
        <v>3183</v>
      </c>
      <c r="J5188" t="s">
        <v>6</v>
      </c>
      <c r="K5188" t="s">
        <v>147</v>
      </c>
      <c r="L5188" t="s">
        <v>3184</v>
      </c>
      <c r="M5188" t="s">
        <v>666</v>
      </c>
    </row>
    <row r="5189" spans="1:13">
      <c r="A5189" t="s">
        <v>851</v>
      </c>
      <c r="B5189" t="s">
        <v>686</v>
      </c>
      <c r="C5189" t="s">
        <v>686</v>
      </c>
      <c r="D5189" t="s">
        <v>3175</v>
      </c>
      <c r="E5189" t="s">
        <v>461</v>
      </c>
      <c r="F5189" t="s">
        <v>668</v>
      </c>
      <c r="G5189">
        <v>2040</v>
      </c>
      <c r="H5189" s="12">
        <v>316.23</v>
      </c>
      <c r="I5189" t="s">
        <v>3183</v>
      </c>
      <c r="J5189" t="s">
        <v>6</v>
      </c>
      <c r="K5189" t="s">
        <v>147</v>
      </c>
      <c r="L5189" t="s">
        <v>3184</v>
      </c>
      <c r="M5189" t="s">
        <v>666</v>
      </c>
    </row>
    <row r="5190" spans="1:13">
      <c r="A5190" t="s">
        <v>851</v>
      </c>
      <c r="B5190" t="s">
        <v>686</v>
      </c>
      <c r="C5190" t="s">
        <v>686</v>
      </c>
      <c r="D5190" t="s">
        <v>3175</v>
      </c>
      <c r="E5190" t="s">
        <v>461</v>
      </c>
      <c r="F5190" t="s">
        <v>668</v>
      </c>
      <c r="G5190">
        <v>2045</v>
      </c>
      <c r="H5190" s="12">
        <v>269.88</v>
      </c>
      <c r="I5190" t="s">
        <v>3183</v>
      </c>
      <c r="J5190" t="s">
        <v>6</v>
      </c>
      <c r="K5190" t="s">
        <v>147</v>
      </c>
      <c r="L5190" t="s">
        <v>3184</v>
      </c>
      <c r="M5190" t="s">
        <v>666</v>
      </c>
    </row>
    <row r="5191" spans="1:13">
      <c r="A5191" t="s">
        <v>851</v>
      </c>
      <c r="B5191" t="s">
        <v>686</v>
      </c>
      <c r="C5191" t="s">
        <v>686</v>
      </c>
      <c r="D5191" t="s">
        <v>3175</v>
      </c>
      <c r="E5191" t="s">
        <v>461</v>
      </c>
      <c r="F5191" t="s">
        <v>668</v>
      </c>
      <c r="G5191">
        <v>2050</v>
      </c>
      <c r="H5191" s="12">
        <v>219.2</v>
      </c>
      <c r="I5191" t="s">
        <v>3183</v>
      </c>
      <c r="J5191" t="s">
        <v>6</v>
      </c>
      <c r="K5191" t="s">
        <v>147</v>
      </c>
      <c r="L5191" t="s">
        <v>3184</v>
      </c>
      <c r="M5191" t="s">
        <v>666</v>
      </c>
    </row>
    <row r="5192" spans="1:13">
      <c r="A5192" t="s">
        <v>851</v>
      </c>
      <c r="B5192" t="s">
        <v>687</v>
      </c>
      <c r="C5192" t="s">
        <v>687</v>
      </c>
      <c r="D5192" t="s">
        <v>3175</v>
      </c>
      <c r="E5192" t="s">
        <v>461</v>
      </c>
      <c r="F5192" t="s">
        <v>668</v>
      </c>
      <c r="G5192">
        <v>2030</v>
      </c>
      <c r="H5192" s="12">
        <v>290.98</v>
      </c>
      <c r="I5192" t="s">
        <v>3183</v>
      </c>
      <c r="J5192" t="s">
        <v>6</v>
      </c>
      <c r="K5192" t="s">
        <v>147</v>
      </c>
      <c r="L5192" t="s">
        <v>3184</v>
      </c>
      <c r="M5192" t="s">
        <v>666</v>
      </c>
    </row>
    <row r="5193" spans="1:13">
      <c r="A5193" t="s">
        <v>851</v>
      </c>
      <c r="B5193" t="s">
        <v>687</v>
      </c>
      <c r="C5193" t="s">
        <v>687</v>
      </c>
      <c r="D5193" t="s">
        <v>3175</v>
      </c>
      <c r="E5193" t="s">
        <v>461</v>
      </c>
      <c r="F5193" t="s">
        <v>668</v>
      </c>
      <c r="G5193">
        <v>2035</v>
      </c>
      <c r="H5193" s="12">
        <v>106</v>
      </c>
      <c r="I5193" t="s">
        <v>3183</v>
      </c>
      <c r="J5193" t="s">
        <v>6</v>
      </c>
      <c r="K5193" t="s">
        <v>147</v>
      </c>
      <c r="L5193" t="s">
        <v>3184</v>
      </c>
      <c r="M5193" t="s">
        <v>666</v>
      </c>
    </row>
    <row r="5194" spans="1:13">
      <c r="A5194" t="s">
        <v>851</v>
      </c>
      <c r="B5194" t="s">
        <v>687</v>
      </c>
      <c r="C5194" t="s">
        <v>687</v>
      </c>
      <c r="D5194" t="s">
        <v>3175</v>
      </c>
      <c r="E5194" t="s">
        <v>461</v>
      </c>
      <c r="F5194" t="s">
        <v>668</v>
      </c>
      <c r="G5194">
        <v>2040</v>
      </c>
      <c r="H5194" s="12">
        <v>16.510000000000002</v>
      </c>
      <c r="I5194" t="s">
        <v>3183</v>
      </c>
      <c r="J5194" t="s">
        <v>6</v>
      </c>
      <c r="K5194" t="s">
        <v>147</v>
      </c>
      <c r="L5194" t="s">
        <v>3184</v>
      </c>
      <c r="M5194" t="s">
        <v>666</v>
      </c>
    </row>
    <row r="5195" spans="1:13">
      <c r="A5195" t="s">
        <v>851</v>
      </c>
      <c r="B5195" t="s">
        <v>687</v>
      </c>
      <c r="C5195" t="s">
        <v>687</v>
      </c>
      <c r="D5195" t="s">
        <v>3175</v>
      </c>
      <c r="E5195" t="s">
        <v>461</v>
      </c>
      <c r="F5195" t="s">
        <v>668</v>
      </c>
      <c r="G5195">
        <v>2045</v>
      </c>
      <c r="H5195" s="12">
        <v>15.49</v>
      </c>
      <c r="I5195" t="s">
        <v>3183</v>
      </c>
      <c r="J5195" t="s">
        <v>6</v>
      </c>
      <c r="K5195" t="s">
        <v>147</v>
      </c>
      <c r="L5195" t="s">
        <v>3184</v>
      </c>
      <c r="M5195" t="s">
        <v>666</v>
      </c>
    </row>
    <row r="5196" spans="1:13">
      <c r="A5196" t="s">
        <v>851</v>
      </c>
      <c r="B5196" t="s">
        <v>687</v>
      </c>
      <c r="C5196" t="s">
        <v>687</v>
      </c>
      <c r="D5196" t="s">
        <v>3175</v>
      </c>
      <c r="E5196" t="s">
        <v>461</v>
      </c>
      <c r="F5196" t="s">
        <v>668</v>
      </c>
      <c r="G5196">
        <v>2050</v>
      </c>
      <c r="H5196" s="12">
        <v>6.23</v>
      </c>
      <c r="I5196" t="s">
        <v>3183</v>
      </c>
      <c r="J5196" t="s">
        <v>6</v>
      </c>
      <c r="K5196" t="s">
        <v>147</v>
      </c>
      <c r="L5196" t="s">
        <v>3184</v>
      </c>
      <c r="M5196" t="s">
        <v>666</v>
      </c>
    </row>
    <row r="5197" spans="1:13">
      <c r="A5197" t="s">
        <v>851</v>
      </c>
      <c r="B5197" t="s">
        <v>686</v>
      </c>
      <c r="C5197" t="s">
        <v>686</v>
      </c>
      <c r="D5197" t="s">
        <v>3175</v>
      </c>
      <c r="E5197" t="s">
        <v>656</v>
      </c>
      <c r="F5197" t="s">
        <v>31</v>
      </c>
      <c r="G5197">
        <v>2010</v>
      </c>
      <c r="H5197" s="12">
        <v>29.88</v>
      </c>
      <c r="I5197" t="s">
        <v>3183</v>
      </c>
      <c r="J5197" t="s">
        <v>17</v>
      </c>
      <c r="K5197" t="s">
        <v>147</v>
      </c>
      <c r="L5197" t="s">
        <v>3184</v>
      </c>
      <c r="M5197" t="s">
        <v>671</v>
      </c>
    </row>
    <row r="5198" spans="1:13">
      <c r="A5198" t="s">
        <v>851</v>
      </c>
      <c r="B5198" t="s">
        <v>686</v>
      </c>
      <c r="C5198" t="s">
        <v>686</v>
      </c>
      <c r="D5198" t="s">
        <v>3175</v>
      </c>
      <c r="E5198" t="s">
        <v>656</v>
      </c>
      <c r="F5198" t="s">
        <v>31</v>
      </c>
      <c r="G5198">
        <v>2015</v>
      </c>
      <c r="H5198" s="12">
        <v>85.39</v>
      </c>
      <c r="I5198" t="s">
        <v>3183</v>
      </c>
      <c r="J5198" t="s">
        <v>17</v>
      </c>
      <c r="K5198" t="s">
        <v>147</v>
      </c>
      <c r="L5198" t="s">
        <v>3184</v>
      </c>
      <c r="M5198" t="s">
        <v>671</v>
      </c>
    </row>
    <row r="5199" spans="1:13">
      <c r="A5199" t="s">
        <v>851</v>
      </c>
      <c r="B5199" t="s">
        <v>686</v>
      </c>
      <c r="C5199" t="s">
        <v>686</v>
      </c>
      <c r="D5199" t="s">
        <v>3175</v>
      </c>
      <c r="E5199" t="s">
        <v>656</v>
      </c>
      <c r="F5199" t="s">
        <v>31</v>
      </c>
      <c r="G5199">
        <v>2020</v>
      </c>
      <c r="H5199" s="12">
        <v>136.16999999999999</v>
      </c>
      <c r="I5199" t="s">
        <v>3183</v>
      </c>
      <c r="J5199" t="s">
        <v>17</v>
      </c>
      <c r="K5199" t="s">
        <v>147</v>
      </c>
      <c r="L5199" t="s">
        <v>3184</v>
      </c>
      <c r="M5199" t="s">
        <v>671</v>
      </c>
    </row>
    <row r="5200" spans="1:13">
      <c r="A5200" t="s">
        <v>851</v>
      </c>
      <c r="B5200" t="s">
        <v>686</v>
      </c>
      <c r="C5200" t="s">
        <v>686</v>
      </c>
      <c r="D5200" t="s">
        <v>3175</v>
      </c>
      <c r="E5200" t="s">
        <v>656</v>
      </c>
      <c r="F5200" t="s">
        <v>31</v>
      </c>
      <c r="G5200">
        <v>2030</v>
      </c>
      <c r="H5200" s="12">
        <v>399.88</v>
      </c>
      <c r="I5200" t="s">
        <v>3183</v>
      </c>
      <c r="J5200" t="s">
        <v>17</v>
      </c>
      <c r="K5200" t="s">
        <v>147</v>
      </c>
      <c r="L5200" t="s">
        <v>3184</v>
      </c>
      <c r="M5200" t="s">
        <v>671</v>
      </c>
    </row>
    <row r="5201" spans="1:13">
      <c r="A5201" t="s">
        <v>851</v>
      </c>
      <c r="B5201" t="s">
        <v>686</v>
      </c>
      <c r="C5201" t="s">
        <v>686</v>
      </c>
      <c r="D5201" t="s">
        <v>3175</v>
      </c>
      <c r="E5201" t="s">
        <v>656</v>
      </c>
      <c r="F5201" t="s">
        <v>31</v>
      </c>
      <c r="G5201">
        <v>2035</v>
      </c>
      <c r="H5201" s="12">
        <v>452.71</v>
      </c>
      <c r="I5201" t="s">
        <v>3183</v>
      </c>
      <c r="J5201" t="s">
        <v>17</v>
      </c>
      <c r="K5201" t="s">
        <v>147</v>
      </c>
      <c r="L5201" t="s">
        <v>3184</v>
      </c>
      <c r="M5201" t="s">
        <v>671</v>
      </c>
    </row>
    <row r="5202" spans="1:13">
      <c r="A5202" t="s">
        <v>851</v>
      </c>
      <c r="B5202" t="s">
        <v>686</v>
      </c>
      <c r="C5202" t="s">
        <v>686</v>
      </c>
      <c r="D5202" t="s">
        <v>3175</v>
      </c>
      <c r="E5202" t="s">
        <v>656</v>
      </c>
      <c r="F5202" t="s">
        <v>31</v>
      </c>
      <c r="G5202">
        <v>2040</v>
      </c>
      <c r="H5202" s="12">
        <v>467.49</v>
      </c>
      <c r="I5202" t="s">
        <v>3183</v>
      </c>
      <c r="J5202" t="s">
        <v>17</v>
      </c>
      <c r="K5202" t="s">
        <v>147</v>
      </c>
      <c r="L5202" t="s">
        <v>3184</v>
      </c>
      <c r="M5202" t="s">
        <v>671</v>
      </c>
    </row>
    <row r="5203" spans="1:13">
      <c r="A5203" t="s">
        <v>851</v>
      </c>
      <c r="B5203" t="s">
        <v>686</v>
      </c>
      <c r="C5203" t="s">
        <v>686</v>
      </c>
      <c r="D5203" t="s">
        <v>3175</v>
      </c>
      <c r="E5203" t="s">
        <v>656</v>
      </c>
      <c r="F5203" t="s">
        <v>31</v>
      </c>
      <c r="G5203">
        <v>2045</v>
      </c>
      <c r="H5203" s="12">
        <v>471.37</v>
      </c>
      <c r="I5203" t="s">
        <v>3183</v>
      </c>
      <c r="J5203" t="s">
        <v>17</v>
      </c>
      <c r="K5203" t="s">
        <v>147</v>
      </c>
      <c r="L5203" t="s">
        <v>3184</v>
      </c>
      <c r="M5203" t="s">
        <v>671</v>
      </c>
    </row>
    <row r="5204" spans="1:13">
      <c r="A5204" t="s">
        <v>851</v>
      </c>
      <c r="B5204" t="s">
        <v>686</v>
      </c>
      <c r="C5204" t="s">
        <v>686</v>
      </c>
      <c r="D5204" t="s">
        <v>3175</v>
      </c>
      <c r="E5204" t="s">
        <v>656</v>
      </c>
      <c r="F5204" t="s">
        <v>31</v>
      </c>
      <c r="G5204">
        <v>2050</v>
      </c>
      <c r="H5204" s="12">
        <v>472.29</v>
      </c>
      <c r="I5204" t="s">
        <v>3183</v>
      </c>
      <c r="J5204" t="s">
        <v>17</v>
      </c>
      <c r="K5204" t="s">
        <v>147</v>
      </c>
      <c r="L5204" t="s">
        <v>3184</v>
      </c>
      <c r="M5204" t="s">
        <v>671</v>
      </c>
    </row>
    <row r="5205" spans="1:13">
      <c r="A5205" t="s">
        <v>851</v>
      </c>
      <c r="B5205" t="s">
        <v>687</v>
      </c>
      <c r="C5205" t="s">
        <v>687</v>
      </c>
      <c r="D5205" t="s">
        <v>3175</v>
      </c>
      <c r="E5205" t="s">
        <v>656</v>
      </c>
      <c r="F5205" t="s">
        <v>31</v>
      </c>
      <c r="G5205">
        <v>2030</v>
      </c>
      <c r="H5205" s="12">
        <v>478.81</v>
      </c>
      <c r="I5205" t="s">
        <v>3183</v>
      </c>
      <c r="J5205" t="s">
        <v>17</v>
      </c>
      <c r="K5205" t="s">
        <v>147</v>
      </c>
      <c r="L5205" t="s">
        <v>3184</v>
      </c>
      <c r="M5205" t="s">
        <v>671</v>
      </c>
    </row>
    <row r="5206" spans="1:13">
      <c r="A5206" t="s">
        <v>851</v>
      </c>
      <c r="B5206" t="s">
        <v>687</v>
      </c>
      <c r="C5206" t="s">
        <v>687</v>
      </c>
      <c r="D5206" t="s">
        <v>3175</v>
      </c>
      <c r="E5206" t="s">
        <v>656</v>
      </c>
      <c r="F5206" t="s">
        <v>31</v>
      </c>
      <c r="G5206">
        <v>2035</v>
      </c>
      <c r="H5206" s="12">
        <v>576.5</v>
      </c>
      <c r="I5206" t="s">
        <v>3183</v>
      </c>
      <c r="J5206" t="s">
        <v>17</v>
      </c>
      <c r="K5206" t="s">
        <v>147</v>
      </c>
      <c r="L5206" t="s">
        <v>3184</v>
      </c>
      <c r="M5206" t="s">
        <v>671</v>
      </c>
    </row>
    <row r="5207" spans="1:13">
      <c r="A5207" t="s">
        <v>851</v>
      </c>
      <c r="B5207" t="s">
        <v>687</v>
      </c>
      <c r="C5207" t="s">
        <v>687</v>
      </c>
      <c r="D5207" t="s">
        <v>3175</v>
      </c>
      <c r="E5207" t="s">
        <v>656</v>
      </c>
      <c r="F5207" t="s">
        <v>31</v>
      </c>
      <c r="G5207">
        <v>2040</v>
      </c>
      <c r="H5207" s="12">
        <v>607.89</v>
      </c>
      <c r="I5207" t="s">
        <v>3183</v>
      </c>
      <c r="J5207" t="s">
        <v>17</v>
      </c>
      <c r="K5207" t="s">
        <v>147</v>
      </c>
      <c r="L5207" t="s">
        <v>3184</v>
      </c>
      <c r="M5207" t="s">
        <v>671</v>
      </c>
    </row>
    <row r="5208" spans="1:13">
      <c r="A5208" t="s">
        <v>851</v>
      </c>
      <c r="B5208" t="s">
        <v>687</v>
      </c>
      <c r="C5208" t="s">
        <v>687</v>
      </c>
      <c r="D5208" t="s">
        <v>3175</v>
      </c>
      <c r="E5208" t="s">
        <v>656</v>
      </c>
      <c r="F5208" t="s">
        <v>31</v>
      </c>
      <c r="G5208">
        <v>2045</v>
      </c>
      <c r="H5208" s="12">
        <v>618.01</v>
      </c>
      <c r="I5208" t="s">
        <v>3183</v>
      </c>
      <c r="J5208" t="s">
        <v>17</v>
      </c>
      <c r="K5208" t="s">
        <v>147</v>
      </c>
      <c r="L5208" t="s">
        <v>3184</v>
      </c>
      <c r="M5208" t="s">
        <v>671</v>
      </c>
    </row>
    <row r="5209" spans="1:13">
      <c r="A5209" t="s">
        <v>851</v>
      </c>
      <c r="B5209" t="s">
        <v>687</v>
      </c>
      <c r="C5209" t="s">
        <v>687</v>
      </c>
      <c r="D5209" t="s">
        <v>3175</v>
      </c>
      <c r="E5209" t="s">
        <v>656</v>
      </c>
      <c r="F5209" t="s">
        <v>31</v>
      </c>
      <c r="G5209">
        <v>2050</v>
      </c>
      <c r="H5209" s="12">
        <v>621.41</v>
      </c>
      <c r="I5209" t="s">
        <v>3183</v>
      </c>
      <c r="J5209" t="s">
        <v>17</v>
      </c>
      <c r="K5209" t="s">
        <v>147</v>
      </c>
      <c r="L5209" t="s">
        <v>3184</v>
      </c>
      <c r="M5209" t="s">
        <v>671</v>
      </c>
    </row>
    <row r="5210" spans="1:13">
      <c r="A5210" t="s">
        <v>851</v>
      </c>
      <c r="B5210" t="s">
        <v>686</v>
      </c>
      <c r="C5210" t="s">
        <v>686</v>
      </c>
      <c r="D5210" t="s">
        <v>3175</v>
      </c>
      <c r="E5210" t="s">
        <v>656</v>
      </c>
      <c r="F5210" t="s">
        <v>31</v>
      </c>
      <c r="G5210">
        <v>2010</v>
      </c>
      <c r="H5210" s="12">
        <v>78.94</v>
      </c>
      <c r="I5210" t="s">
        <v>3183</v>
      </c>
      <c r="J5210" t="s">
        <v>18</v>
      </c>
      <c r="K5210" t="s">
        <v>147</v>
      </c>
      <c r="L5210" t="s">
        <v>3184</v>
      </c>
      <c r="M5210" t="s">
        <v>18</v>
      </c>
    </row>
    <row r="5211" spans="1:13">
      <c r="A5211" t="s">
        <v>851</v>
      </c>
      <c r="B5211" t="s">
        <v>686</v>
      </c>
      <c r="C5211" t="s">
        <v>686</v>
      </c>
      <c r="D5211" t="s">
        <v>3175</v>
      </c>
      <c r="E5211" t="s">
        <v>656</v>
      </c>
      <c r="F5211" t="s">
        <v>31</v>
      </c>
      <c r="G5211">
        <v>2015</v>
      </c>
      <c r="H5211" s="12">
        <v>127.17</v>
      </c>
      <c r="I5211" t="s">
        <v>3183</v>
      </c>
      <c r="J5211" t="s">
        <v>18</v>
      </c>
      <c r="K5211" t="s">
        <v>147</v>
      </c>
      <c r="L5211" t="s">
        <v>3184</v>
      </c>
      <c r="M5211" t="s">
        <v>18</v>
      </c>
    </row>
    <row r="5212" spans="1:13">
      <c r="A5212" t="s">
        <v>851</v>
      </c>
      <c r="B5212" t="s">
        <v>686</v>
      </c>
      <c r="C5212" t="s">
        <v>686</v>
      </c>
      <c r="D5212" t="s">
        <v>3175</v>
      </c>
      <c r="E5212" t="s">
        <v>656</v>
      </c>
      <c r="F5212" t="s">
        <v>31</v>
      </c>
      <c r="G5212">
        <v>2020</v>
      </c>
      <c r="H5212" s="12">
        <v>177.69</v>
      </c>
      <c r="I5212" t="s">
        <v>3183</v>
      </c>
      <c r="J5212" t="s">
        <v>18</v>
      </c>
      <c r="K5212" t="s">
        <v>147</v>
      </c>
      <c r="L5212" t="s">
        <v>3184</v>
      </c>
      <c r="M5212" t="s">
        <v>18</v>
      </c>
    </row>
    <row r="5213" spans="1:13">
      <c r="A5213" t="s">
        <v>851</v>
      </c>
      <c r="B5213" t="s">
        <v>686</v>
      </c>
      <c r="C5213" t="s">
        <v>686</v>
      </c>
      <c r="D5213" t="s">
        <v>3175</v>
      </c>
      <c r="E5213" t="s">
        <v>656</v>
      </c>
      <c r="F5213" t="s">
        <v>31</v>
      </c>
      <c r="G5213">
        <v>2030</v>
      </c>
      <c r="H5213" s="12">
        <v>330.24</v>
      </c>
      <c r="I5213" t="s">
        <v>3183</v>
      </c>
      <c r="J5213" t="s">
        <v>18</v>
      </c>
      <c r="K5213" t="s">
        <v>147</v>
      </c>
      <c r="L5213" t="s">
        <v>3184</v>
      </c>
      <c r="M5213" t="s">
        <v>18</v>
      </c>
    </row>
    <row r="5214" spans="1:13">
      <c r="A5214" t="s">
        <v>851</v>
      </c>
      <c r="B5214" t="s">
        <v>686</v>
      </c>
      <c r="C5214" t="s">
        <v>686</v>
      </c>
      <c r="D5214" t="s">
        <v>3175</v>
      </c>
      <c r="E5214" t="s">
        <v>656</v>
      </c>
      <c r="F5214" t="s">
        <v>31</v>
      </c>
      <c r="G5214">
        <v>2035</v>
      </c>
      <c r="H5214" s="12">
        <v>386.56</v>
      </c>
      <c r="I5214" t="s">
        <v>3183</v>
      </c>
      <c r="J5214" t="s">
        <v>18</v>
      </c>
      <c r="K5214" t="s">
        <v>147</v>
      </c>
      <c r="L5214" t="s">
        <v>3184</v>
      </c>
      <c r="M5214" t="s">
        <v>18</v>
      </c>
    </row>
    <row r="5215" spans="1:13">
      <c r="A5215" t="s">
        <v>851</v>
      </c>
      <c r="B5215" t="s">
        <v>686</v>
      </c>
      <c r="C5215" t="s">
        <v>686</v>
      </c>
      <c r="D5215" t="s">
        <v>3175</v>
      </c>
      <c r="E5215" t="s">
        <v>656</v>
      </c>
      <c r="F5215" t="s">
        <v>31</v>
      </c>
      <c r="G5215">
        <v>2040</v>
      </c>
      <c r="H5215" s="12">
        <v>414.6</v>
      </c>
      <c r="I5215" t="s">
        <v>3183</v>
      </c>
      <c r="J5215" t="s">
        <v>18</v>
      </c>
      <c r="K5215" t="s">
        <v>147</v>
      </c>
      <c r="L5215" t="s">
        <v>3184</v>
      </c>
      <c r="M5215" t="s">
        <v>18</v>
      </c>
    </row>
    <row r="5216" spans="1:13">
      <c r="A5216" t="s">
        <v>851</v>
      </c>
      <c r="B5216" t="s">
        <v>686</v>
      </c>
      <c r="C5216" t="s">
        <v>686</v>
      </c>
      <c r="D5216" t="s">
        <v>3175</v>
      </c>
      <c r="E5216" t="s">
        <v>656</v>
      </c>
      <c r="F5216" t="s">
        <v>31</v>
      </c>
      <c r="G5216">
        <v>2020</v>
      </c>
      <c r="H5216" s="12">
        <v>109.07</v>
      </c>
      <c r="I5216" t="s">
        <v>3183</v>
      </c>
      <c r="J5216" t="s">
        <v>15</v>
      </c>
      <c r="K5216" t="s">
        <v>147</v>
      </c>
      <c r="L5216" t="s">
        <v>3184</v>
      </c>
      <c r="M5216" t="s">
        <v>15</v>
      </c>
    </row>
    <row r="5217" spans="1:13">
      <c r="A5217" t="s">
        <v>851</v>
      </c>
      <c r="B5217" t="s">
        <v>686</v>
      </c>
      <c r="C5217" t="s">
        <v>686</v>
      </c>
      <c r="D5217" t="s">
        <v>3175</v>
      </c>
      <c r="E5217" t="s">
        <v>656</v>
      </c>
      <c r="F5217" t="s">
        <v>31</v>
      </c>
      <c r="G5217">
        <v>2030</v>
      </c>
      <c r="H5217" s="12">
        <v>92.57</v>
      </c>
      <c r="I5217" t="s">
        <v>3183</v>
      </c>
      <c r="J5217" t="s">
        <v>15</v>
      </c>
      <c r="K5217" t="s">
        <v>147</v>
      </c>
      <c r="L5217" t="s">
        <v>3184</v>
      </c>
      <c r="M5217" t="s">
        <v>15</v>
      </c>
    </row>
    <row r="5218" spans="1:13">
      <c r="A5218" t="s">
        <v>851</v>
      </c>
      <c r="B5218" t="s">
        <v>686</v>
      </c>
      <c r="C5218" t="s">
        <v>686</v>
      </c>
      <c r="D5218" t="s">
        <v>3175</v>
      </c>
      <c r="E5218" t="s">
        <v>656</v>
      </c>
      <c r="F5218" t="s">
        <v>31</v>
      </c>
      <c r="G5218">
        <v>2035</v>
      </c>
      <c r="H5218" s="12">
        <v>84.41</v>
      </c>
      <c r="I5218" t="s">
        <v>3183</v>
      </c>
      <c r="J5218" t="s">
        <v>15</v>
      </c>
      <c r="K5218" t="s">
        <v>147</v>
      </c>
      <c r="L5218" t="s">
        <v>3184</v>
      </c>
      <c r="M5218" t="s">
        <v>15</v>
      </c>
    </row>
    <row r="5219" spans="1:13">
      <c r="A5219" t="s">
        <v>851</v>
      </c>
      <c r="B5219" t="s">
        <v>686</v>
      </c>
      <c r="C5219" t="s">
        <v>686</v>
      </c>
      <c r="D5219" t="s">
        <v>3175</v>
      </c>
      <c r="E5219" t="s">
        <v>656</v>
      </c>
      <c r="F5219" t="s">
        <v>31</v>
      </c>
      <c r="G5219">
        <v>2040</v>
      </c>
      <c r="H5219" s="12">
        <v>82.52</v>
      </c>
      <c r="I5219" t="s">
        <v>3183</v>
      </c>
      <c r="J5219" t="s">
        <v>15</v>
      </c>
      <c r="K5219" t="s">
        <v>147</v>
      </c>
      <c r="L5219" t="s">
        <v>3184</v>
      </c>
      <c r="M5219" t="s">
        <v>15</v>
      </c>
    </row>
    <row r="5220" spans="1:13">
      <c r="A5220" t="s">
        <v>851</v>
      </c>
      <c r="B5220" t="s">
        <v>686</v>
      </c>
      <c r="C5220" t="s">
        <v>686</v>
      </c>
      <c r="D5220" t="s">
        <v>3175</v>
      </c>
      <c r="E5220" t="s">
        <v>656</v>
      </c>
      <c r="F5220" t="s">
        <v>31</v>
      </c>
      <c r="G5220">
        <v>2045</v>
      </c>
      <c r="H5220" s="12">
        <v>82.52</v>
      </c>
      <c r="I5220" t="s">
        <v>3183</v>
      </c>
      <c r="J5220" t="s">
        <v>15</v>
      </c>
      <c r="K5220" t="s">
        <v>147</v>
      </c>
      <c r="L5220" t="s">
        <v>3184</v>
      </c>
      <c r="M5220" t="s">
        <v>15</v>
      </c>
    </row>
    <row r="5221" spans="1:13">
      <c r="A5221" t="s">
        <v>851</v>
      </c>
      <c r="B5221" t="s">
        <v>686</v>
      </c>
      <c r="C5221" t="s">
        <v>686</v>
      </c>
      <c r="D5221" t="s">
        <v>3175</v>
      </c>
      <c r="E5221" t="s">
        <v>656</v>
      </c>
      <c r="F5221" t="s">
        <v>31</v>
      </c>
      <c r="G5221">
        <v>2050</v>
      </c>
      <c r="H5221" s="12">
        <v>82.52</v>
      </c>
      <c r="I5221" t="s">
        <v>3183</v>
      </c>
      <c r="J5221" t="s">
        <v>15</v>
      </c>
      <c r="K5221" t="s">
        <v>147</v>
      </c>
      <c r="L5221" t="s">
        <v>3184</v>
      </c>
      <c r="M5221" t="s">
        <v>15</v>
      </c>
    </row>
    <row r="5222" spans="1:13">
      <c r="A5222" t="s">
        <v>851</v>
      </c>
      <c r="B5222" t="s">
        <v>687</v>
      </c>
      <c r="C5222" t="s">
        <v>687</v>
      </c>
      <c r="D5222" t="s">
        <v>3175</v>
      </c>
      <c r="E5222" t="s">
        <v>656</v>
      </c>
      <c r="F5222" t="s">
        <v>31</v>
      </c>
      <c r="G5222">
        <v>2030</v>
      </c>
      <c r="H5222" s="12">
        <v>98.57</v>
      </c>
      <c r="I5222" t="s">
        <v>3183</v>
      </c>
      <c r="J5222" t="s">
        <v>15</v>
      </c>
      <c r="K5222" t="s">
        <v>147</v>
      </c>
      <c r="L5222" t="s">
        <v>3184</v>
      </c>
      <c r="M5222" t="s">
        <v>15</v>
      </c>
    </row>
    <row r="5223" spans="1:13">
      <c r="A5223" t="s">
        <v>851</v>
      </c>
      <c r="B5223" t="s">
        <v>687</v>
      </c>
      <c r="C5223" t="s">
        <v>687</v>
      </c>
      <c r="D5223" t="s">
        <v>3175</v>
      </c>
      <c r="E5223" t="s">
        <v>656</v>
      </c>
      <c r="F5223" t="s">
        <v>31</v>
      </c>
      <c r="G5223">
        <v>2035</v>
      </c>
      <c r="H5223" s="12">
        <v>96.15</v>
      </c>
      <c r="I5223" t="s">
        <v>3183</v>
      </c>
      <c r="J5223" t="s">
        <v>15</v>
      </c>
      <c r="K5223" t="s">
        <v>147</v>
      </c>
      <c r="L5223" t="s">
        <v>3184</v>
      </c>
      <c r="M5223" t="s">
        <v>15</v>
      </c>
    </row>
    <row r="5224" spans="1:13">
      <c r="A5224" t="s">
        <v>851</v>
      </c>
      <c r="B5224" t="s">
        <v>687</v>
      </c>
      <c r="C5224" t="s">
        <v>687</v>
      </c>
      <c r="D5224" t="s">
        <v>3175</v>
      </c>
      <c r="E5224" t="s">
        <v>656</v>
      </c>
      <c r="F5224" t="s">
        <v>31</v>
      </c>
      <c r="G5224">
        <v>2040</v>
      </c>
      <c r="H5224" s="12">
        <v>99.47</v>
      </c>
      <c r="I5224" t="s">
        <v>3183</v>
      </c>
      <c r="J5224" t="s">
        <v>15</v>
      </c>
      <c r="K5224" t="s">
        <v>147</v>
      </c>
      <c r="L5224" t="s">
        <v>3184</v>
      </c>
      <c r="M5224" t="s">
        <v>15</v>
      </c>
    </row>
    <row r="5225" spans="1:13">
      <c r="A5225" t="s">
        <v>851</v>
      </c>
      <c r="B5225" t="s">
        <v>687</v>
      </c>
      <c r="C5225" t="s">
        <v>687</v>
      </c>
      <c r="D5225" t="s">
        <v>3175</v>
      </c>
      <c r="E5225" t="s">
        <v>656</v>
      </c>
      <c r="F5225" t="s">
        <v>31</v>
      </c>
      <c r="G5225">
        <v>2045</v>
      </c>
      <c r="H5225" s="12">
        <v>102.36</v>
      </c>
      <c r="I5225" t="s">
        <v>3183</v>
      </c>
      <c r="J5225" t="s">
        <v>15</v>
      </c>
      <c r="K5225" t="s">
        <v>147</v>
      </c>
      <c r="L5225" t="s">
        <v>3184</v>
      </c>
      <c r="M5225" t="s">
        <v>15</v>
      </c>
    </row>
    <row r="5226" spans="1:13">
      <c r="A5226" t="s">
        <v>851</v>
      </c>
      <c r="B5226" t="s">
        <v>687</v>
      </c>
      <c r="C5226" t="s">
        <v>687</v>
      </c>
      <c r="D5226" t="s">
        <v>3175</v>
      </c>
      <c r="E5226" t="s">
        <v>656</v>
      </c>
      <c r="F5226" t="s">
        <v>31</v>
      </c>
      <c r="G5226">
        <v>2050</v>
      </c>
      <c r="H5226" s="12">
        <v>102.36</v>
      </c>
      <c r="I5226" t="s">
        <v>3183</v>
      </c>
      <c r="J5226" t="s">
        <v>15</v>
      </c>
      <c r="K5226" t="s">
        <v>147</v>
      </c>
      <c r="L5226" t="s">
        <v>3184</v>
      </c>
      <c r="M5226" t="s">
        <v>15</v>
      </c>
    </row>
    <row r="5227" spans="1:13">
      <c r="A5227" t="s">
        <v>851</v>
      </c>
      <c r="B5227" t="s">
        <v>686</v>
      </c>
      <c r="C5227" t="s">
        <v>686</v>
      </c>
      <c r="D5227" t="s">
        <v>3175</v>
      </c>
      <c r="E5227" t="s">
        <v>656</v>
      </c>
      <c r="F5227" t="s">
        <v>31</v>
      </c>
      <c r="G5227">
        <v>2010</v>
      </c>
      <c r="H5227" s="12">
        <v>0</v>
      </c>
      <c r="I5227" t="s">
        <v>3183</v>
      </c>
      <c r="J5227" t="s">
        <v>8</v>
      </c>
      <c r="K5227" t="s">
        <v>147</v>
      </c>
      <c r="L5227" t="s">
        <v>3184</v>
      </c>
      <c r="M5227" t="s">
        <v>670</v>
      </c>
    </row>
    <row r="5228" spans="1:13">
      <c r="A5228" t="s">
        <v>851</v>
      </c>
      <c r="B5228" t="s">
        <v>686</v>
      </c>
      <c r="C5228" t="s">
        <v>686</v>
      </c>
      <c r="D5228" t="s">
        <v>3175</v>
      </c>
      <c r="E5228" t="s">
        <v>656</v>
      </c>
      <c r="F5228" t="s">
        <v>31</v>
      </c>
      <c r="G5228">
        <v>2015</v>
      </c>
      <c r="H5228" s="12">
        <v>0</v>
      </c>
      <c r="I5228" t="s">
        <v>3183</v>
      </c>
      <c r="J5228" t="s">
        <v>8</v>
      </c>
      <c r="K5228" t="s">
        <v>147</v>
      </c>
      <c r="L5228" t="s">
        <v>3184</v>
      </c>
      <c r="M5228" t="s">
        <v>670</v>
      </c>
    </row>
    <row r="5229" spans="1:13">
      <c r="A5229" t="s">
        <v>851</v>
      </c>
      <c r="B5229" t="s">
        <v>686</v>
      </c>
      <c r="C5229" t="s">
        <v>686</v>
      </c>
      <c r="D5229" t="s">
        <v>3185</v>
      </c>
      <c r="E5229" t="s">
        <v>242</v>
      </c>
      <c r="F5229" t="s">
        <v>663</v>
      </c>
      <c r="G5229">
        <v>2010</v>
      </c>
      <c r="H5229" s="12">
        <v>1130.72</v>
      </c>
      <c r="I5229" t="s">
        <v>3183</v>
      </c>
      <c r="J5229" t="s">
        <v>5</v>
      </c>
      <c r="K5229" t="s">
        <v>147</v>
      </c>
      <c r="L5229" t="s">
        <v>650</v>
      </c>
      <c r="M5229" t="s">
        <v>5</v>
      </c>
    </row>
    <row r="5230" spans="1:13">
      <c r="A5230" t="s">
        <v>851</v>
      </c>
      <c r="B5230" t="s">
        <v>686</v>
      </c>
      <c r="C5230" t="s">
        <v>686</v>
      </c>
      <c r="D5230" t="s">
        <v>3185</v>
      </c>
      <c r="E5230" t="s">
        <v>242</v>
      </c>
      <c r="F5230" t="s">
        <v>663</v>
      </c>
      <c r="G5230">
        <v>2015</v>
      </c>
      <c r="H5230" s="12">
        <v>1071.24</v>
      </c>
      <c r="I5230" t="s">
        <v>3183</v>
      </c>
      <c r="J5230" t="s">
        <v>5</v>
      </c>
      <c r="K5230" t="s">
        <v>147</v>
      </c>
      <c r="L5230" t="s">
        <v>650</v>
      </c>
      <c r="M5230" t="s">
        <v>5</v>
      </c>
    </row>
    <row r="5231" spans="1:13">
      <c r="A5231" t="s">
        <v>851</v>
      </c>
      <c r="B5231" t="s">
        <v>686</v>
      </c>
      <c r="C5231" t="s">
        <v>686</v>
      </c>
      <c r="D5231" t="s">
        <v>3185</v>
      </c>
      <c r="E5231" t="s">
        <v>242</v>
      </c>
      <c r="F5231" t="s">
        <v>663</v>
      </c>
      <c r="G5231">
        <v>2020</v>
      </c>
      <c r="H5231" s="12">
        <v>652.45000000000005</v>
      </c>
      <c r="I5231" t="s">
        <v>3183</v>
      </c>
      <c r="J5231" t="s">
        <v>5</v>
      </c>
      <c r="K5231" t="s">
        <v>147</v>
      </c>
      <c r="L5231" t="s">
        <v>650</v>
      </c>
      <c r="M5231" t="s">
        <v>5</v>
      </c>
    </row>
    <row r="5232" spans="1:13">
      <c r="A5232" t="s">
        <v>851</v>
      </c>
      <c r="B5232" t="s">
        <v>686</v>
      </c>
      <c r="C5232" t="s">
        <v>686</v>
      </c>
      <c r="D5232" t="s">
        <v>3185</v>
      </c>
      <c r="E5232" t="s">
        <v>242</v>
      </c>
      <c r="F5232" t="s">
        <v>663</v>
      </c>
      <c r="G5232">
        <v>2030</v>
      </c>
      <c r="H5232" s="12">
        <v>365.06</v>
      </c>
      <c r="I5232" t="s">
        <v>3183</v>
      </c>
      <c r="J5232" t="s">
        <v>5</v>
      </c>
      <c r="K5232" t="s">
        <v>147</v>
      </c>
      <c r="L5232" t="s">
        <v>650</v>
      </c>
      <c r="M5232" t="s">
        <v>5</v>
      </c>
    </row>
    <row r="5233" spans="1:13">
      <c r="A5233" t="s">
        <v>851</v>
      </c>
      <c r="B5233" t="s">
        <v>686</v>
      </c>
      <c r="C5233" t="s">
        <v>686</v>
      </c>
      <c r="D5233" t="s">
        <v>3185</v>
      </c>
      <c r="E5233" t="s">
        <v>242</v>
      </c>
      <c r="F5233" t="s">
        <v>663</v>
      </c>
      <c r="G5233">
        <v>2035</v>
      </c>
      <c r="H5233" s="12">
        <v>259.38</v>
      </c>
      <c r="I5233" t="s">
        <v>3183</v>
      </c>
      <c r="J5233" t="s">
        <v>5</v>
      </c>
      <c r="K5233" t="s">
        <v>147</v>
      </c>
      <c r="L5233" t="s">
        <v>650</v>
      </c>
      <c r="M5233" t="s">
        <v>5</v>
      </c>
    </row>
    <row r="5234" spans="1:13">
      <c r="A5234" t="s">
        <v>851</v>
      </c>
      <c r="B5234" t="s">
        <v>686</v>
      </c>
      <c r="C5234" t="s">
        <v>686</v>
      </c>
      <c r="D5234" t="s">
        <v>3185</v>
      </c>
      <c r="E5234" t="s">
        <v>242</v>
      </c>
      <c r="F5234" t="s">
        <v>663</v>
      </c>
      <c r="G5234">
        <v>2040</v>
      </c>
      <c r="H5234" s="12">
        <v>235.17</v>
      </c>
      <c r="I5234" t="s">
        <v>3183</v>
      </c>
      <c r="J5234" t="s">
        <v>5</v>
      </c>
      <c r="K5234" t="s">
        <v>147</v>
      </c>
      <c r="L5234" t="s">
        <v>650</v>
      </c>
      <c r="M5234" t="s">
        <v>5</v>
      </c>
    </row>
    <row r="5235" spans="1:13">
      <c r="A5235" t="s">
        <v>851</v>
      </c>
      <c r="B5235" t="s">
        <v>686</v>
      </c>
      <c r="C5235" t="s">
        <v>686</v>
      </c>
      <c r="D5235" t="s">
        <v>3185</v>
      </c>
      <c r="E5235" t="s">
        <v>242</v>
      </c>
      <c r="F5235" t="s">
        <v>663</v>
      </c>
      <c r="G5235">
        <v>2045</v>
      </c>
      <c r="H5235" s="12">
        <v>231.15</v>
      </c>
      <c r="I5235" t="s">
        <v>3183</v>
      </c>
      <c r="J5235" t="s">
        <v>5</v>
      </c>
      <c r="K5235" t="s">
        <v>147</v>
      </c>
      <c r="L5235" t="s">
        <v>650</v>
      </c>
      <c r="M5235" t="s">
        <v>5</v>
      </c>
    </row>
    <row r="5236" spans="1:13">
      <c r="A5236" t="s">
        <v>851</v>
      </c>
      <c r="B5236" t="s">
        <v>686</v>
      </c>
      <c r="C5236" t="s">
        <v>686</v>
      </c>
      <c r="D5236" t="s">
        <v>3185</v>
      </c>
      <c r="E5236" t="s">
        <v>242</v>
      </c>
      <c r="F5236" t="s">
        <v>663</v>
      </c>
      <c r="G5236">
        <v>2050</v>
      </c>
      <c r="H5236" s="12">
        <v>228.96</v>
      </c>
      <c r="I5236" t="s">
        <v>3183</v>
      </c>
      <c r="J5236" t="s">
        <v>5</v>
      </c>
      <c r="K5236" t="s">
        <v>147</v>
      </c>
      <c r="L5236" t="s">
        <v>650</v>
      </c>
      <c r="M5236" t="s">
        <v>5</v>
      </c>
    </row>
    <row r="5237" spans="1:13">
      <c r="A5237" t="s">
        <v>851</v>
      </c>
      <c r="B5237" t="s">
        <v>687</v>
      </c>
      <c r="C5237" t="s">
        <v>687</v>
      </c>
      <c r="D5237" t="s">
        <v>3185</v>
      </c>
      <c r="E5237" t="s">
        <v>242</v>
      </c>
      <c r="F5237" t="s">
        <v>663</v>
      </c>
      <c r="G5237">
        <v>2030</v>
      </c>
      <c r="H5237" s="12">
        <v>201.19</v>
      </c>
      <c r="I5237" t="s">
        <v>3183</v>
      </c>
      <c r="J5237" t="s">
        <v>5</v>
      </c>
      <c r="K5237" t="s">
        <v>147</v>
      </c>
      <c r="L5237" t="s">
        <v>650</v>
      </c>
      <c r="M5237" t="s">
        <v>5</v>
      </c>
    </row>
    <row r="5238" spans="1:13">
      <c r="A5238" t="s">
        <v>851</v>
      </c>
      <c r="B5238" t="s">
        <v>687</v>
      </c>
      <c r="C5238" t="s">
        <v>687</v>
      </c>
      <c r="D5238" t="s">
        <v>3175</v>
      </c>
      <c r="E5238" t="s">
        <v>461</v>
      </c>
      <c r="F5238" t="s">
        <v>668</v>
      </c>
      <c r="G5238">
        <v>2050</v>
      </c>
      <c r="H5238" s="12">
        <v>432.25</v>
      </c>
      <c r="I5238" t="s">
        <v>3183</v>
      </c>
      <c r="J5238" t="s">
        <v>14</v>
      </c>
      <c r="K5238" t="s">
        <v>147</v>
      </c>
      <c r="L5238" t="s">
        <v>3184</v>
      </c>
      <c r="M5238" t="s">
        <v>14</v>
      </c>
    </row>
    <row r="5239" spans="1:13">
      <c r="A5239" t="s">
        <v>851</v>
      </c>
      <c r="B5239" t="s">
        <v>686</v>
      </c>
      <c r="C5239" t="s">
        <v>686</v>
      </c>
      <c r="D5239" t="s">
        <v>3175</v>
      </c>
      <c r="E5239" t="s">
        <v>461</v>
      </c>
      <c r="F5239" t="s">
        <v>668</v>
      </c>
      <c r="G5239">
        <v>2010</v>
      </c>
      <c r="H5239" s="12">
        <v>117.62</v>
      </c>
      <c r="I5239" t="s">
        <v>3183</v>
      </c>
      <c r="J5239" t="s">
        <v>41</v>
      </c>
      <c r="K5239" t="s">
        <v>147</v>
      </c>
      <c r="L5239" t="s">
        <v>3184</v>
      </c>
      <c r="M5239" t="s">
        <v>669</v>
      </c>
    </row>
    <row r="5240" spans="1:13">
      <c r="A5240" t="s">
        <v>851</v>
      </c>
      <c r="B5240" t="s">
        <v>686</v>
      </c>
      <c r="C5240" t="s">
        <v>686</v>
      </c>
      <c r="D5240" t="s">
        <v>3175</v>
      </c>
      <c r="E5240" t="s">
        <v>461</v>
      </c>
      <c r="F5240" t="s">
        <v>668</v>
      </c>
      <c r="G5240">
        <v>2015</v>
      </c>
      <c r="H5240" s="12">
        <v>155.34</v>
      </c>
      <c r="I5240" t="s">
        <v>3183</v>
      </c>
      <c r="J5240" t="s">
        <v>41</v>
      </c>
      <c r="K5240" t="s">
        <v>147</v>
      </c>
      <c r="L5240" t="s">
        <v>3184</v>
      </c>
      <c r="M5240" t="s">
        <v>669</v>
      </c>
    </row>
    <row r="5241" spans="1:13">
      <c r="A5241" t="s">
        <v>851</v>
      </c>
      <c r="B5241" t="s">
        <v>686</v>
      </c>
      <c r="C5241" t="s">
        <v>686</v>
      </c>
      <c r="D5241" t="s">
        <v>3175</v>
      </c>
      <c r="E5241" t="s">
        <v>461</v>
      </c>
      <c r="F5241" t="s">
        <v>668</v>
      </c>
      <c r="G5241">
        <v>2020</v>
      </c>
      <c r="H5241" s="12">
        <v>173.81</v>
      </c>
      <c r="I5241" t="s">
        <v>3183</v>
      </c>
      <c r="J5241" t="s">
        <v>41</v>
      </c>
      <c r="K5241" t="s">
        <v>147</v>
      </c>
      <c r="L5241" t="s">
        <v>3184</v>
      </c>
      <c r="M5241" t="s">
        <v>669</v>
      </c>
    </row>
    <row r="5242" spans="1:13">
      <c r="A5242" t="s">
        <v>851</v>
      </c>
      <c r="B5242" t="s">
        <v>686</v>
      </c>
      <c r="C5242" t="s">
        <v>686</v>
      </c>
      <c r="D5242" t="s">
        <v>3175</v>
      </c>
      <c r="E5242" t="s">
        <v>461</v>
      </c>
      <c r="F5242" t="s">
        <v>668</v>
      </c>
      <c r="G5242">
        <v>2030</v>
      </c>
      <c r="H5242" s="12">
        <v>215.05</v>
      </c>
      <c r="I5242" t="s">
        <v>3183</v>
      </c>
      <c r="J5242" t="s">
        <v>41</v>
      </c>
      <c r="K5242" t="s">
        <v>147</v>
      </c>
      <c r="L5242" t="s">
        <v>3184</v>
      </c>
      <c r="M5242" t="s">
        <v>669</v>
      </c>
    </row>
    <row r="5243" spans="1:13">
      <c r="A5243" t="s">
        <v>851</v>
      </c>
      <c r="B5243" t="s">
        <v>686</v>
      </c>
      <c r="C5243" t="s">
        <v>686</v>
      </c>
      <c r="D5243" t="s">
        <v>3175</v>
      </c>
      <c r="E5243" t="s">
        <v>461</v>
      </c>
      <c r="F5243" t="s">
        <v>668</v>
      </c>
      <c r="G5243">
        <v>2035</v>
      </c>
      <c r="H5243" s="12">
        <v>229.38</v>
      </c>
      <c r="I5243" t="s">
        <v>3183</v>
      </c>
      <c r="J5243" t="s">
        <v>41</v>
      </c>
      <c r="K5243" t="s">
        <v>147</v>
      </c>
      <c r="L5243" t="s">
        <v>3184</v>
      </c>
      <c r="M5243" t="s">
        <v>669</v>
      </c>
    </row>
    <row r="5244" spans="1:13">
      <c r="A5244" t="s">
        <v>851</v>
      </c>
      <c r="B5244" t="s">
        <v>686</v>
      </c>
      <c r="C5244" t="s">
        <v>686</v>
      </c>
      <c r="D5244" t="s">
        <v>3175</v>
      </c>
      <c r="E5244" t="s">
        <v>461</v>
      </c>
      <c r="F5244" t="s">
        <v>668</v>
      </c>
      <c r="G5244">
        <v>2040</v>
      </c>
      <c r="H5244" s="12">
        <v>237.65</v>
      </c>
      <c r="I5244" t="s">
        <v>3183</v>
      </c>
      <c r="J5244" t="s">
        <v>41</v>
      </c>
      <c r="K5244" t="s">
        <v>147</v>
      </c>
      <c r="L5244" t="s">
        <v>3184</v>
      </c>
      <c r="M5244" t="s">
        <v>669</v>
      </c>
    </row>
    <row r="5245" spans="1:13">
      <c r="A5245" t="s">
        <v>851</v>
      </c>
      <c r="B5245" t="s">
        <v>686</v>
      </c>
      <c r="C5245" t="s">
        <v>686</v>
      </c>
      <c r="D5245" t="s">
        <v>3175</v>
      </c>
      <c r="E5245" t="s">
        <v>461</v>
      </c>
      <c r="F5245" t="s">
        <v>668</v>
      </c>
      <c r="G5245">
        <v>2045</v>
      </c>
      <c r="H5245" s="12">
        <v>246.66</v>
      </c>
      <c r="I5245" t="s">
        <v>3183</v>
      </c>
      <c r="J5245" t="s">
        <v>41</v>
      </c>
      <c r="K5245" t="s">
        <v>147</v>
      </c>
      <c r="L5245" t="s">
        <v>3184</v>
      </c>
      <c r="M5245" t="s">
        <v>669</v>
      </c>
    </row>
    <row r="5246" spans="1:13">
      <c r="A5246" t="s">
        <v>851</v>
      </c>
      <c r="B5246" t="s">
        <v>686</v>
      </c>
      <c r="C5246" t="s">
        <v>686</v>
      </c>
      <c r="D5246" t="s">
        <v>3175</v>
      </c>
      <c r="E5246" t="s">
        <v>461</v>
      </c>
      <c r="F5246" t="s">
        <v>668</v>
      </c>
      <c r="G5246">
        <v>2050</v>
      </c>
      <c r="H5246" s="12">
        <v>254.01</v>
      </c>
      <c r="I5246" t="s">
        <v>3183</v>
      </c>
      <c r="J5246" t="s">
        <v>41</v>
      </c>
      <c r="K5246" t="s">
        <v>147</v>
      </c>
      <c r="L5246" t="s">
        <v>3184</v>
      </c>
      <c r="M5246" t="s">
        <v>669</v>
      </c>
    </row>
    <row r="5247" spans="1:13">
      <c r="A5247" t="s">
        <v>851</v>
      </c>
      <c r="B5247" t="s">
        <v>687</v>
      </c>
      <c r="C5247" t="s">
        <v>687</v>
      </c>
      <c r="D5247" t="s">
        <v>3175</v>
      </c>
      <c r="E5247" t="s">
        <v>461</v>
      </c>
      <c r="F5247" t="s">
        <v>668</v>
      </c>
      <c r="G5247">
        <v>2030</v>
      </c>
      <c r="H5247" s="12">
        <v>252.18</v>
      </c>
      <c r="I5247" t="s">
        <v>3183</v>
      </c>
      <c r="J5247" t="s">
        <v>41</v>
      </c>
      <c r="K5247" t="s">
        <v>147</v>
      </c>
      <c r="L5247" t="s">
        <v>3184</v>
      </c>
      <c r="M5247" t="s">
        <v>669</v>
      </c>
    </row>
    <row r="5248" spans="1:13">
      <c r="A5248" t="s">
        <v>851</v>
      </c>
      <c r="B5248" t="s">
        <v>687</v>
      </c>
      <c r="C5248" t="s">
        <v>687</v>
      </c>
      <c r="D5248" t="s">
        <v>3175</v>
      </c>
      <c r="E5248" t="s">
        <v>461</v>
      </c>
      <c r="F5248" t="s">
        <v>668</v>
      </c>
      <c r="G5248">
        <v>2035</v>
      </c>
      <c r="H5248" s="12">
        <v>283.79000000000002</v>
      </c>
      <c r="I5248" t="s">
        <v>3183</v>
      </c>
      <c r="J5248" t="s">
        <v>41</v>
      </c>
      <c r="K5248" t="s">
        <v>147</v>
      </c>
      <c r="L5248" t="s">
        <v>3184</v>
      </c>
      <c r="M5248" t="s">
        <v>669</v>
      </c>
    </row>
    <row r="5249" spans="1:13">
      <c r="A5249" t="s">
        <v>851</v>
      </c>
      <c r="B5249" t="s">
        <v>687</v>
      </c>
      <c r="C5249" t="s">
        <v>687</v>
      </c>
      <c r="D5249" t="s">
        <v>3175</v>
      </c>
      <c r="E5249" t="s">
        <v>461</v>
      </c>
      <c r="F5249" t="s">
        <v>668</v>
      </c>
      <c r="G5249">
        <v>2040</v>
      </c>
      <c r="H5249" s="12">
        <v>321.61</v>
      </c>
      <c r="I5249" t="s">
        <v>3183</v>
      </c>
      <c r="J5249" t="s">
        <v>41</v>
      </c>
      <c r="K5249" t="s">
        <v>147</v>
      </c>
      <c r="L5249" t="s">
        <v>3184</v>
      </c>
      <c r="M5249" t="s">
        <v>669</v>
      </c>
    </row>
    <row r="5250" spans="1:13">
      <c r="A5250" t="s">
        <v>851</v>
      </c>
      <c r="B5250" t="s">
        <v>687</v>
      </c>
      <c r="C5250" t="s">
        <v>687</v>
      </c>
      <c r="D5250" t="s">
        <v>3175</v>
      </c>
      <c r="E5250" t="s">
        <v>461</v>
      </c>
      <c r="F5250" t="s">
        <v>668</v>
      </c>
      <c r="G5250">
        <v>2045</v>
      </c>
      <c r="H5250" s="12">
        <v>344.01</v>
      </c>
      <c r="I5250" t="s">
        <v>3183</v>
      </c>
      <c r="J5250" t="s">
        <v>41</v>
      </c>
      <c r="K5250" t="s">
        <v>147</v>
      </c>
      <c r="L5250" t="s">
        <v>3184</v>
      </c>
      <c r="M5250" t="s">
        <v>669</v>
      </c>
    </row>
    <row r="5251" spans="1:13">
      <c r="A5251" t="s">
        <v>851</v>
      </c>
      <c r="B5251" t="s">
        <v>687</v>
      </c>
      <c r="C5251" t="s">
        <v>687</v>
      </c>
      <c r="D5251" t="s">
        <v>3175</v>
      </c>
      <c r="E5251" t="s">
        <v>461</v>
      </c>
      <c r="F5251" t="s">
        <v>668</v>
      </c>
      <c r="G5251">
        <v>2050</v>
      </c>
      <c r="H5251" s="12">
        <v>358.96</v>
      </c>
      <c r="I5251" t="s">
        <v>3183</v>
      </c>
      <c r="J5251" t="s">
        <v>41</v>
      </c>
      <c r="K5251" t="s">
        <v>147</v>
      </c>
      <c r="L5251" t="s">
        <v>3184</v>
      </c>
      <c r="M5251" t="s">
        <v>669</v>
      </c>
    </row>
    <row r="5252" spans="1:13">
      <c r="A5252" t="s">
        <v>851</v>
      </c>
      <c r="B5252" t="s">
        <v>686</v>
      </c>
      <c r="C5252" t="s">
        <v>686</v>
      </c>
      <c r="D5252" t="s">
        <v>3175</v>
      </c>
      <c r="E5252" t="s">
        <v>461</v>
      </c>
      <c r="F5252" t="s">
        <v>668</v>
      </c>
      <c r="G5252">
        <v>2010</v>
      </c>
      <c r="H5252" s="12">
        <v>854.47</v>
      </c>
      <c r="I5252" t="s">
        <v>3183</v>
      </c>
      <c r="J5252" t="s">
        <v>15</v>
      </c>
      <c r="K5252" t="s">
        <v>147</v>
      </c>
      <c r="L5252" t="s">
        <v>3184</v>
      </c>
      <c r="M5252" t="s">
        <v>15</v>
      </c>
    </row>
    <row r="5253" spans="1:13">
      <c r="A5253" t="s">
        <v>851</v>
      </c>
      <c r="B5253" t="s">
        <v>686</v>
      </c>
      <c r="C5253" t="s">
        <v>686</v>
      </c>
      <c r="D5253" t="s">
        <v>3175</v>
      </c>
      <c r="E5253" t="s">
        <v>461</v>
      </c>
      <c r="F5253" t="s">
        <v>668</v>
      </c>
      <c r="G5253">
        <v>2015</v>
      </c>
      <c r="H5253" s="12">
        <v>786.68</v>
      </c>
      <c r="I5253" t="s">
        <v>3183</v>
      </c>
      <c r="J5253" t="s">
        <v>15</v>
      </c>
      <c r="K5253" t="s">
        <v>147</v>
      </c>
      <c r="L5253" t="s">
        <v>3184</v>
      </c>
      <c r="M5253" t="s">
        <v>15</v>
      </c>
    </row>
    <row r="5254" spans="1:13">
      <c r="A5254" t="s">
        <v>851</v>
      </c>
      <c r="B5254" t="s">
        <v>686</v>
      </c>
      <c r="C5254" t="s">
        <v>686</v>
      </c>
      <c r="D5254" t="s">
        <v>3175</v>
      </c>
      <c r="E5254" t="s">
        <v>461</v>
      </c>
      <c r="F5254" t="s">
        <v>668</v>
      </c>
      <c r="G5254">
        <v>2020</v>
      </c>
      <c r="H5254" s="12">
        <v>683.51</v>
      </c>
      <c r="I5254" t="s">
        <v>3183</v>
      </c>
      <c r="J5254" t="s">
        <v>15</v>
      </c>
      <c r="K5254" t="s">
        <v>147</v>
      </c>
      <c r="L5254" t="s">
        <v>3184</v>
      </c>
      <c r="M5254" t="s">
        <v>15</v>
      </c>
    </row>
    <row r="5255" spans="1:13">
      <c r="A5255" t="s">
        <v>851</v>
      </c>
      <c r="B5255" t="s">
        <v>686</v>
      </c>
      <c r="C5255" t="s">
        <v>686</v>
      </c>
      <c r="D5255" t="s">
        <v>3175</v>
      </c>
      <c r="E5255" t="s">
        <v>461</v>
      </c>
      <c r="F5255" t="s">
        <v>668</v>
      </c>
      <c r="G5255">
        <v>2030</v>
      </c>
      <c r="H5255" s="12">
        <v>655.89</v>
      </c>
      <c r="I5255" t="s">
        <v>3183</v>
      </c>
      <c r="J5255" t="s">
        <v>15</v>
      </c>
      <c r="K5255" t="s">
        <v>147</v>
      </c>
      <c r="L5255" t="s">
        <v>3184</v>
      </c>
      <c r="M5255" t="s">
        <v>15</v>
      </c>
    </row>
    <row r="5256" spans="1:13">
      <c r="A5256" t="s">
        <v>851</v>
      </c>
      <c r="B5256" t="s">
        <v>686</v>
      </c>
      <c r="C5256" t="s">
        <v>686</v>
      </c>
      <c r="D5256" t="s">
        <v>3175</v>
      </c>
      <c r="E5256" t="s">
        <v>461</v>
      </c>
      <c r="F5256" t="s">
        <v>668</v>
      </c>
      <c r="G5256">
        <v>2035</v>
      </c>
      <c r="H5256" s="12">
        <v>558.26</v>
      </c>
      <c r="I5256" t="s">
        <v>3183</v>
      </c>
      <c r="J5256" t="s">
        <v>15</v>
      </c>
      <c r="K5256" t="s">
        <v>147</v>
      </c>
      <c r="L5256" t="s">
        <v>3184</v>
      </c>
      <c r="M5256" t="s">
        <v>15</v>
      </c>
    </row>
    <row r="5257" spans="1:13">
      <c r="A5257" t="s">
        <v>851</v>
      </c>
      <c r="B5257" t="s">
        <v>686</v>
      </c>
      <c r="C5257" t="s">
        <v>686</v>
      </c>
      <c r="D5257" t="s">
        <v>3175</v>
      </c>
      <c r="E5257" t="s">
        <v>461</v>
      </c>
      <c r="F5257" t="s">
        <v>668</v>
      </c>
      <c r="G5257">
        <v>2040</v>
      </c>
      <c r="H5257" s="12">
        <v>540.34</v>
      </c>
      <c r="I5257" t="s">
        <v>3183</v>
      </c>
      <c r="J5257" t="s">
        <v>15</v>
      </c>
      <c r="K5257" t="s">
        <v>147</v>
      </c>
      <c r="L5257" t="s">
        <v>3184</v>
      </c>
      <c r="M5257" t="s">
        <v>15</v>
      </c>
    </row>
    <row r="5258" spans="1:13">
      <c r="A5258" t="s">
        <v>851</v>
      </c>
      <c r="B5258" t="s">
        <v>686</v>
      </c>
      <c r="C5258" t="s">
        <v>686</v>
      </c>
      <c r="D5258" t="s">
        <v>3175</v>
      </c>
      <c r="E5258" t="s">
        <v>461</v>
      </c>
      <c r="F5258" t="s">
        <v>668</v>
      </c>
      <c r="G5258">
        <v>2045</v>
      </c>
      <c r="H5258" s="12">
        <v>520.72</v>
      </c>
      <c r="I5258" t="s">
        <v>3183</v>
      </c>
      <c r="J5258" t="s">
        <v>15</v>
      </c>
      <c r="K5258" t="s">
        <v>147</v>
      </c>
      <c r="L5258" t="s">
        <v>3184</v>
      </c>
      <c r="M5258" t="s">
        <v>15</v>
      </c>
    </row>
    <row r="5259" spans="1:13">
      <c r="A5259" t="s">
        <v>851</v>
      </c>
      <c r="B5259" t="s">
        <v>686</v>
      </c>
      <c r="C5259" t="s">
        <v>686</v>
      </c>
      <c r="D5259" t="s">
        <v>3175</v>
      </c>
      <c r="E5259" t="s">
        <v>461</v>
      </c>
      <c r="F5259" t="s">
        <v>668</v>
      </c>
      <c r="G5259">
        <v>2050</v>
      </c>
      <c r="H5259" s="12">
        <v>569.54999999999995</v>
      </c>
      <c r="I5259" t="s">
        <v>3183</v>
      </c>
      <c r="J5259" t="s">
        <v>15</v>
      </c>
      <c r="K5259" t="s">
        <v>147</v>
      </c>
      <c r="L5259" t="s">
        <v>3184</v>
      </c>
      <c r="M5259" t="s">
        <v>15</v>
      </c>
    </row>
    <row r="5260" spans="1:13">
      <c r="A5260" t="s">
        <v>851</v>
      </c>
      <c r="B5260" t="s">
        <v>687</v>
      </c>
      <c r="C5260" t="s">
        <v>687</v>
      </c>
      <c r="D5260" t="s">
        <v>3175</v>
      </c>
      <c r="E5260" t="s">
        <v>461</v>
      </c>
      <c r="F5260" t="s">
        <v>668</v>
      </c>
      <c r="G5260">
        <v>2030</v>
      </c>
      <c r="H5260" s="12">
        <v>704.72</v>
      </c>
      <c r="I5260" t="s">
        <v>3183</v>
      </c>
      <c r="J5260" t="s">
        <v>15</v>
      </c>
      <c r="K5260" t="s">
        <v>147</v>
      </c>
      <c r="L5260" t="s">
        <v>3184</v>
      </c>
      <c r="M5260" t="s">
        <v>15</v>
      </c>
    </row>
    <row r="5261" spans="1:13">
      <c r="A5261" t="s">
        <v>851</v>
      </c>
      <c r="B5261" t="s">
        <v>687</v>
      </c>
      <c r="C5261" t="s">
        <v>687</v>
      </c>
      <c r="D5261" t="s">
        <v>3175</v>
      </c>
      <c r="E5261" t="s">
        <v>461</v>
      </c>
      <c r="F5261" t="s">
        <v>668</v>
      </c>
      <c r="G5261">
        <v>2035</v>
      </c>
      <c r="H5261" s="12">
        <v>625.73</v>
      </c>
      <c r="I5261" t="s">
        <v>3183</v>
      </c>
      <c r="J5261" t="s">
        <v>15</v>
      </c>
      <c r="K5261" t="s">
        <v>147</v>
      </c>
      <c r="L5261" t="s">
        <v>3184</v>
      </c>
      <c r="M5261" t="s">
        <v>15</v>
      </c>
    </row>
    <row r="5262" spans="1:13">
      <c r="A5262" t="s">
        <v>851</v>
      </c>
      <c r="B5262" t="s">
        <v>687</v>
      </c>
      <c r="C5262" t="s">
        <v>687</v>
      </c>
      <c r="D5262" t="s">
        <v>3175</v>
      </c>
      <c r="E5262" t="s">
        <v>461</v>
      </c>
      <c r="F5262" t="s">
        <v>668</v>
      </c>
      <c r="G5262">
        <v>2040</v>
      </c>
      <c r="H5262" s="12">
        <v>636.15</v>
      </c>
      <c r="I5262" t="s">
        <v>3183</v>
      </c>
      <c r="J5262" t="s">
        <v>15</v>
      </c>
      <c r="K5262" t="s">
        <v>147</v>
      </c>
      <c r="L5262" t="s">
        <v>3184</v>
      </c>
      <c r="M5262" t="s">
        <v>15</v>
      </c>
    </row>
    <row r="5263" spans="1:13">
      <c r="A5263" t="s">
        <v>851</v>
      </c>
      <c r="B5263" t="s">
        <v>687</v>
      </c>
      <c r="C5263" t="s">
        <v>687</v>
      </c>
      <c r="D5263" t="s">
        <v>3175</v>
      </c>
      <c r="E5263" t="s">
        <v>461</v>
      </c>
      <c r="F5263" t="s">
        <v>668</v>
      </c>
      <c r="G5263">
        <v>2045</v>
      </c>
      <c r="H5263" s="12">
        <v>612.75</v>
      </c>
      <c r="I5263" t="s">
        <v>3183</v>
      </c>
      <c r="J5263" t="s">
        <v>15</v>
      </c>
      <c r="K5263" t="s">
        <v>147</v>
      </c>
      <c r="L5263" t="s">
        <v>3184</v>
      </c>
      <c r="M5263" t="s">
        <v>15</v>
      </c>
    </row>
    <row r="5264" spans="1:13">
      <c r="A5264" t="s">
        <v>851</v>
      </c>
      <c r="B5264" t="s">
        <v>687</v>
      </c>
      <c r="C5264" t="s">
        <v>687</v>
      </c>
      <c r="D5264" t="s">
        <v>3175</v>
      </c>
      <c r="E5264" t="s">
        <v>461</v>
      </c>
      <c r="F5264" t="s">
        <v>668</v>
      </c>
      <c r="G5264">
        <v>2050</v>
      </c>
      <c r="H5264" s="12">
        <v>602.99</v>
      </c>
      <c r="I5264" t="s">
        <v>3183</v>
      </c>
      <c r="J5264" t="s">
        <v>15</v>
      </c>
      <c r="K5264" t="s">
        <v>147</v>
      </c>
      <c r="L5264" t="s">
        <v>3184</v>
      </c>
      <c r="M5264" t="s">
        <v>15</v>
      </c>
    </row>
    <row r="5265" spans="1:13">
      <c r="A5265" t="s">
        <v>851</v>
      </c>
      <c r="B5265" t="s">
        <v>686</v>
      </c>
      <c r="C5265" t="s">
        <v>686</v>
      </c>
      <c r="D5265" t="s">
        <v>3175</v>
      </c>
      <c r="E5265" t="s">
        <v>461</v>
      </c>
      <c r="F5265" t="s">
        <v>668</v>
      </c>
      <c r="G5265">
        <v>2010</v>
      </c>
      <c r="H5265" s="12">
        <v>0</v>
      </c>
      <c r="I5265" t="s">
        <v>3183</v>
      </c>
      <c r="J5265" t="s">
        <v>8</v>
      </c>
      <c r="K5265" t="s">
        <v>147</v>
      </c>
      <c r="L5265" t="s">
        <v>3184</v>
      </c>
      <c r="M5265" t="s">
        <v>670</v>
      </c>
    </row>
    <row r="5266" spans="1:13">
      <c r="A5266" t="s">
        <v>851</v>
      </c>
      <c r="B5266" t="s">
        <v>686</v>
      </c>
      <c r="C5266" t="s">
        <v>686</v>
      </c>
      <c r="D5266" t="s">
        <v>3175</v>
      </c>
      <c r="E5266" t="s">
        <v>461</v>
      </c>
      <c r="F5266" t="s">
        <v>668</v>
      </c>
      <c r="G5266">
        <v>2015</v>
      </c>
      <c r="H5266" s="12">
        <v>0</v>
      </c>
      <c r="I5266" t="s">
        <v>3183</v>
      </c>
      <c r="J5266" t="s">
        <v>8</v>
      </c>
      <c r="K5266" t="s">
        <v>147</v>
      </c>
      <c r="L5266" t="s">
        <v>3184</v>
      </c>
      <c r="M5266" t="s">
        <v>670</v>
      </c>
    </row>
    <row r="5267" spans="1:13">
      <c r="A5267" t="s">
        <v>851</v>
      </c>
      <c r="B5267" t="s">
        <v>686</v>
      </c>
      <c r="C5267" t="s">
        <v>686</v>
      </c>
      <c r="D5267" t="s">
        <v>3175</v>
      </c>
      <c r="E5267" t="s">
        <v>461</v>
      </c>
      <c r="F5267" t="s">
        <v>668</v>
      </c>
      <c r="G5267">
        <v>2020</v>
      </c>
      <c r="H5267" s="12">
        <v>0</v>
      </c>
      <c r="I5267" t="s">
        <v>3183</v>
      </c>
      <c r="J5267" t="s">
        <v>8</v>
      </c>
      <c r="K5267" t="s">
        <v>147</v>
      </c>
      <c r="L5267" t="s">
        <v>3184</v>
      </c>
      <c r="M5267" t="s">
        <v>670</v>
      </c>
    </row>
    <row r="5268" spans="1:13">
      <c r="A5268" t="s">
        <v>851</v>
      </c>
      <c r="B5268" t="s">
        <v>686</v>
      </c>
      <c r="C5268" t="s">
        <v>686</v>
      </c>
      <c r="D5268" t="s">
        <v>3175</v>
      </c>
      <c r="E5268" t="s">
        <v>461</v>
      </c>
      <c r="F5268" t="s">
        <v>668</v>
      </c>
      <c r="G5268">
        <v>2030</v>
      </c>
      <c r="H5268" s="12">
        <v>0.22</v>
      </c>
      <c r="I5268" t="s">
        <v>3183</v>
      </c>
      <c r="J5268" t="s">
        <v>8</v>
      </c>
      <c r="K5268" t="s">
        <v>147</v>
      </c>
      <c r="L5268" t="s">
        <v>3184</v>
      </c>
      <c r="M5268" t="s">
        <v>670</v>
      </c>
    </row>
    <row r="5269" spans="1:13">
      <c r="A5269" t="s">
        <v>851</v>
      </c>
      <c r="B5269" t="s">
        <v>686</v>
      </c>
      <c r="C5269" t="s">
        <v>686</v>
      </c>
      <c r="D5269" t="s">
        <v>3175</v>
      </c>
      <c r="E5269" t="s">
        <v>461</v>
      </c>
      <c r="F5269" t="s">
        <v>668</v>
      </c>
      <c r="G5269">
        <v>2035</v>
      </c>
      <c r="H5269" s="12">
        <v>0.32</v>
      </c>
      <c r="I5269" t="s">
        <v>3183</v>
      </c>
      <c r="J5269" t="s">
        <v>8</v>
      </c>
      <c r="K5269" t="s">
        <v>147</v>
      </c>
      <c r="L5269" t="s">
        <v>3184</v>
      </c>
      <c r="M5269" t="s">
        <v>670</v>
      </c>
    </row>
    <row r="5270" spans="1:13">
      <c r="A5270" t="s">
        <v>851</v>
      </c>
      <c r="B5270" t="s">
        <v>686</v>
      </c>
      <c r="C5270" t="s">
        <v>686</v>
      </c>
      <c r="D5270" t="s">
        <v>3175</v>
      </c>
      <c r="E5270" t="s">
        <v>461</v>
      </c>
      <c r="F5270" t="s">
        <v>668</v>
      </c>
      <c r="G5270">
        <v>2040</v>
      </c>
      <c r="H5270" s="12">
        <v>0.3</v>
      </c>
      <c r="I5270" t="s">
        <v>3183</v>
      </c>
      <c r="J5270" t="s">
        <v>8</v>
      </c>
      <c r="K5270" t="s">
        <v>147</v>
      </c>
      <c r="L5270" t="s">
        <v>3184</v>
      </c>
      <c r="M5270" t="s">
        <v>670</v>
      </c>
    </row>
    <row r="5271" spans="1:13">
      <c r="A5271" t="s">
        <v>851</v>
      </c>
      <c r="B5271" t="s">
        <v>686</v>
      </c>
      <c r="C5271" t="s">
        <v>686</v>
      </c>
      <c r="D5271" t="s">
        <v>3175</v>
      </c>
      <c r="E5271" t="s">
        <v>461</v>
      </c>
      <c r="F5271" t="s">
        <v>668</v>
      </c>
      <c r="G5271">
        <v>2045</v>
      </c>
      <c r="H5271" s="12">
        <v>0.25</v>
      </c>
      <c r="I5271" t="s">
        <v>3183</v>
      </c>
      <c r="J5271" t="s">
        <v>8</v>
      </c>
      <c r="K5271" t="s">
        <v>147</v>
      </c>
      <c r="L5271" t="s">
        <v>3184</v>
      </c>
      <c r="M5271" t="s">
        <v>670</v>
      </c>
    </row>
    <row r="5272" spans="1:13">
      <c r="A5272" t="s">
        <v>851</v>
      </c>
      <c r="B5272" t="s">
        <v>686</v>
      </c>
      <c r="C5272" t="s">
        <v>686</v>
      </c>
      <c r="D5272" t="s">
        <v>3175</v>
      </c>
      <c r="E5272" t="s">
        <v>461</v>
      </c>
      <c r="F5272" t="s">
        <v>668</v>
      </c>
      <c r="G5272">
        <v>2050</v>
      </c>
      <c r="H5272" s="12">
        <v>0.2</v>
      </c>
      <c r="I5272" t="s">
        <v>3183</v>
      </c>
      <c r="J5272" t="s">
        <v>8</v>
      </c>
      <c r="K5272" t="s">
        <v>147</v>
      </c>
      <c r="L5272" t="s">
        <v>3184</v>
      </c>
      <c r="M5272" t="s">
        <v>670</v>
      </c>
    </row>
    <row r="5273" spans="1:13">
      <c r="A5273" t="s">
        <v>851</v>
      </c>
      <c r="B5273" t="s">
        <v>687</v>
      </c>
      <c r="C5273" t="s">
        <v>687</v>
      </c>
      <c r="D5273" t="s">
        <v>3175</v>
      </c>
      <c r="E5273" t="s">
        <v>461</v>
      </c>
      <c r="F5273" t="s">
        <v>668</v>
      </c>
      <c r="G5273">
        <v>2030</v>
      </c>
      <c r="H5273" s="12">
        <v>6.89</v>
      </c>
      <c r="I5273" t="s">
        <v>3183</v>
      </c>
      <c r="J5273" t="s">
        <v>8</v>
      </c>
      <c r="K5273" t="s">
        <v>147</v>
      </c>
      <c r="L5273" t="s">
        <v>3184</v>
      </c>
      <c r="M5273" t="s">
        <v>670</v>
      </c>
    </row>
    <row r="5274" spans="1:13">
      <c r="A5274" t="s">
        <v>851</v>
      </c>
      <c r="B5274" t="s">
        <v>687</v>
      </c>
      <c r="C5274" t="s">
        <v>687</v>
      </c>
      <c r="D5274" t="s">
        <v>3175</v>
      </c>
      <c r="E5274" t="s">
        <v>461</v>
      </c>
      <c r="F5274" t="s">
        <v>668</v>
      </c>
      <c r="G5274">
        <v>2035</v>
      </c>
      <c r="H5274" s="12">
        <v>14.53</v>
      </c>
      <c r="I5274" t="s">
        <v>3183</v>
      </c>
      <c r="J5274" t="s">
        <v>8</v>
      </c>
      <c r="K5274" t="s">
        <v>147</v>
      </c>
      <c r="L5274" t="s">
        <v>3184</v>
      </c>
      <c r="M5274" t="s">
        <v>670</v>
      </c>
    </row>
    <row r="5275" spans="1:13">
      <c r="A5275" t="s">
        <v>851</v>
      </c>
      <c r="B5275" t="s">
        <v>687</v>
      </c>
      <c r="C5275" t="s">
        <v>687</v>
      </c>
      <c r="D5275" t="s">
        <v>3175</v>
      </c>
      <c r="E5275" t="s">
        <v>461</v>
      </c>
      <c r="F5275" t="s">
        <v>668</v>
      </c>
      <c r="G5275">
        <v>2040</v>
      </c>
      <c r="H5275" s="12">
        <v>24.91</v>
      </c>
      <c r="I5275" t="s">
        <v>3183</v>
      </c>
      <c r="J5275" t="s">
        <v>8</v>
      </c>
      <c r="K5275" t="s">
        <v>147</v>
      </c>
      <c r="L5275" t="s">
        <v>3184</v>
      </c>
      <c r="M5275" t="s">
        <v>670</v>
      </c>
    </row>
    <row r="5276" spans="1:13">
      <c r="A5276" t="s">
        <v>851</v>
      </c>
      <c r="B5276" t="s">
        <v>687</v>
      </c>
      <c r="C5276" t="s">
        <v>687</v>
      </c>
      <c r="D5276" t="s">
        <v>3175</v>
      </c>
      <c r="E5276" t="s">
        <v>461</v>
      </c>
      <c r="F5276" t="s">
        <v>668</v>
      </c>
      <c r="G5276">
        <v>2045</v>
      </c>
      <c r="H5276" s="12">
        <v>34.19</v>
      </c>
      <c r="I5276" t="s">
        <v>3183</v>
      </c>
      <c r="J5276" t="s">
        <v>8</v>
      </c>
      <c r="K5276" t="s">
        <v>147</v>
      </c>
      <c r="L5276" t="s">
        <v>3184</v>
      </c>
      <c r="M5276" t="s">
        <v>670</v>
      </c>
    </row>
    <row r="5277" spans="1:13">
      <c r="A5277" t="s">
        <v>851</v>
      </c>
      <c r="B5277" t="s">
        <v>687</v>
      </c>
      <c r="C5277" t="s">
        <v>687</v>
      </c>
      <c r="D5277" t="s">
        <v>3175</v>
      </c>
      <c r="E5277" t="s">
        <v>461</v>
      </c>
      <c r="F5277" t="s">
        <v>668</v>
      </c>
      <c r="G5277">
        <v>2050</v>
      </c>
      <c r="H5277" s="12">
        <v>40.200000000000003</v>
      </c>
      <c r="I5277" t="s">
        <v>3183</v>
      </c>
      <c r="J5277" t="s">
        <v>8</v>
      </c>
      <c r="K5277" t="s">
        <v>147</v>
      </c>
      <c r="L5277" t="s">
        <v>3184</v>
      </c>
      <c r="M5277" t="s">
        <v>670</v>
      </c>
    </row>
    <row r="5278" spans="1:13">
      <c r="A5278" t="s">
        <v>851</v>
      </c>
      <c r="B5278" t="s">
        <v>686</v>
      </c>
      <c r="C5278" t="s">
        <v>686</v>
      </c>
      <c r="D5278" t="s">
        <v>3175</v>
      </c>
      <c r="E5278" t="s">
        <v>461</v>
      </c>
      <c r="F5278" t="s">
        <v>668</v>
      </c>
      <c r="G5278">
        <v>2010</v>
      </c>
      <c r="H5278" s="12">
        <v>82.09</v>
      </c>
      <c r="I5278" t="s">
        <v>3183</v>
      </c>
      <c r="J5278" t="s">
        <v>394</v>
      </c>
      <c r="K5278" t="s">
        <v>147</v>
      </c>
      <c r="L5278" t="s">
        <v>3184</v>
      </c>
      <c r="M5278" t="s">
        <v>16</v>
      </c>
    </row>
    <row r="5279" spans="1:13">
      <c r="A5279" t="s">
        <v>851</v>
      </c>
      <c r="B5279" t="s">
        <v>686</v>
      </c>
      <c r="C5279" t="s">
        <v>686</v>
      </c>
      <c r="D5279" t="s">
        <v>3175</v>
      </c>
      <c r="E5279" t="s">
        <v>461</v>
      </c>
      <c r="F5279" t="s">
        <v>668</v>
      </c>
      <c r="G5279">
        <v>2015</v>
      </c>
      <c r="H5279" s="12">
        <v>63.3</v>
      </c>
      <c r="I5279" t="s">
        <v>3183</v>
      </c>
      <c r="J5279" t="s">
        <v>394</v>
      </c>
      <c r="K5279" t="s">
        <v>147</v>
      </c>
      <c r="L5279" t="s">
        <v>3184</v>
      </c>
      <c r="M5279" t="s">
        <v>16</v>
      </c>
    </row>
    <row r="5280" spans="1:13">
      <c r="A5280" t="s">
        <v>851</v>
      </c>
      <c r="B5280" t="s">
        <v>686</v>
      </c>
      <c r="C5280" t="s">
        <v>686</v>
      </c>
      <c r="D5280" t="s">
        <v>3175</v>
      </c>
      <c r="E5280" t="s">
        <v>461</v>
      </c>
      <c r="F5280" t="s">
        <v>668</v>
      </c>
      <c r="G5280">
        <v>2020</v>
      </c>
      <c r="H5280" s="12">
        <v>48.05</v>
      </c>
      <c r="I5280" t="s">
        <v>3183</v>
      </c>
      <c r="J5280" t="s">
        <v>394</v>
      </c>
      <c r="K5280" t="s">
        <v>147</v>
      </c>
      <c r="L5280" t="s">
        <v>3184</v>
      </c>
      <c r="M5280" t="s">
        <v>16</v>
      </c>
    </row>
    <row r="5281" spans="1:13">
      <c r="A5281" t="s">
        <v>851</v>
      </c>
      <c r="B5281" t="s">
        <v>686</v>
      </c>
      <c r="C5281" t="s">
        <v>686</v>
      </c>
      <c r="D5281" t="s">
        <v>3175</v>
      </c>
      <c r="E5281" t="s">
        <v>461</v>
      </c>
      <c r="F5281" t="s">
        <v>668</v>
      </c>
      <c r="G5281">
        <v>2030</v>
      </c>
      <c r="H5281" s="12">
        <v>21.89</v>
      </c>
      <c r="I5281" t="s">
        <v>3183</v>
      </c>
      <c r="J5281" t="s">
        <v>394</v>
      </c>
      <c r="K5281" t="s">
        <v>147</v>
      </c>
      <c r="L5281" t="s">
        <v>3184</v>
      </c>
      <c r="M5281" t="s">
        <v>16</v>
      </c>
    </row>
    <row r="5282" spans="1:13">
      <c r="A5282" t="s">
        <v>851</v>
      </c>
      <c r="B5282" t="s">
        <v>686</v>
      </c>
      <c r="C5282" t="s">
        <v>686</v>
      </c>
      <c r="D5282" t="s">
        <v>3175</v>
      </c>
      <c r="E5282" t="s">
        <v>461</v>
      </c>
      <c r="F5282" t="s">
        <v>668</v>
      </c>
      <c r="G5282">
        <v>2035</v>
      </c>
      <c r="H5282" s="12">
        <v>17.39</v>
      </c>
      <c r="I5282" t="s">
        <v>3183</v>
      </c>
      <c r="J5282" t="s">
        <v>394</v>
      </c>
      <c r="K5282" t="s">
        <v>147</v>
      </c>
      <c r="L5282" t="s">
        <v>3184</v>
      </c>
      <c r="M5282" t="s">
        <v>16</v>
      </c>
    </row>
    <row r="5283" spans="1:13">
      <c r="A5283" t="s">
        <v>851</v>
      </c>
      <c r="B5283" t="s">
        <v>686</v>
      </c>
      <c r="C5283" t="s">
        <v>686</v>
      </c>
      <c r="D5283" t="s">
        <v>3175</v>
      </c>
      <c r="E5283" t="s">
        <v>461</v>
      </c>
      <c r="F5283" t="s">
        <v>668</v>
      </c>
      <c r="G5283">
        <v>2040</v>
      </c>
      <c r="H5283" s="12">
        <v>10.88</v>
      </c>
      <c r="I5283" t="s">
        <v>3183</v>
      </c>
      <c r="J5283" t="s">
        <v>394</v>
      </c>
      <c r="K5283" t="s">
        <v>147</v>
      </c>
      <c r="L5283" t="s">
        <v>3184</v>
      </c>
      <c r="M5283" t="s">
        <v>16</v>
      </c>
    </row>
    <row r="5284" spans="1:13">
      <c r="A5284" t="s">
        <v>851</v>
      </c>
      <c r="B5284" t="s">
        <v>686</v>
      </c>
      <c r="C5284" t="s">
        <v>686</v>
      </c>
      <c r="D5284" t="s">
        <v>3175</v>
      </c>
      <c r="E5284" t="s">
        <v>461</v>
      </c>
      <c r="F5284" t="s">
        <v>668</v>
      </c>
      <c r="G5284">
        <v>2045</v>
      </c>
      <c r="H5284" s="12">
        <v>6.73</v>
      </c>
      <c r="I5284" t="s">
        <v>3183</v>
      </c>
      <c r="J5284" t="s">
        <v>394</v>
      </c>
      <c r="K5284" t="s">
        <v>147</v>
      </c>
      <c r="L5284" t="s">
        <v>3184</v>
      </c>
      <c r="M5284" t="s">
        <v>16</v>
      </c>
    </row>
    <row r="5285" spans="1:13">
      <c r="A5285" t="s">
        <v>851</v>
      </c>
      <c r="B5285" t="s">
        <v>686</v>
      </c>
      <c r="C5285" t="s">
        <v>686</v>
      </c>
      <c r="D5285" t="s">
        <v>3175</v>
      </c>
      <c r="E5285" t="s">
        <v>461</v>
      </c>
      <c r="F5285" t="s">
        <v>668</v>
      </c>
      <c r="G5285">
        <v>2050</v>
      </c>
      <c r="H5285" s="12">
        <v>4.6900000000000004</v>
      </c>
      <c r="I5285" t="s">
        <v>3183</v>
      </c>
      <c r="J5285" t="s">
        <v>394</v>
      </c>
      <c r="K5285" t="s">
        <v>147</v>
      </c>
      <c r="L5285" t="s">
        <v>3184</v>
      </c>
      <c r="M5285" t="s">
        <v>16</v>
      </c>
    </row>
    <row r="5286" spans="1:13">
      <c r="A5286" t="s">
        <v>851</v>
      </c>
      <c r="B5286" t="s">
        <v>687</v>
      </c>
      <c r="C5286" t="s">
        <v>687</v>
      </c>
      <c r="D5286" t="s">
        <v>3175</v>
      </c>
      <c r="E5286" t="s">
        <v>461</v>
      </c>
      <c r="F5286" t="s">
        <v>668</v>
      </c>
      <c r="G5286">
        <v>2030</v>
      </c>
      <c r="H5286" s="12">
        <v>14.86</v>
      </c>
      <c r="I5286" t="s">
        <v>3183</v>
      </c>
      <c r="J5286" t="s">
        <v>394</v>
      </c>
      <c r="K5286" t="s">
        <v>147</v>
      </c>
      <c r="L5286" t="s">
        <v>3184</v>
      </c>
      <c r="M5286" t="s">
        <v>16</v>
      </c>
    </row>
    <row r="5287" spans="1:13">
      <c r="A5287" t="s">
        <v>851</v>
      </c>
      <c r="B5287" t="s">
        <v>687</v>
      </c>
      <c r="C5287" t="s">
        <v>687</v>
      </c>
      <c r="D5287" t="s">
        <v>3175</v>
      </c>
      <c r="E5287" t="s">
        <v>461</v>
      </c>
      <c r="F5287" t="s">
        <v>668</v>
      </c>
      <c r="G5287">
        <v>2035</v>
      </c>
      <c r="H5287" s="12">
        <v>1.6</v>
      </c>
      <c r="I5287" t="s">
        <v>3183</v>
      </c>
      <c r="J5287" t="s">
        <v>394</v>
      </c>
      <c r="K5287" t="s">
        <v>147</v>
      </c>
      <c r="L5287" t="s">
        <v>3184</v>
      </c>
      <c r="M5287" t="s">
        <v>16</v>
      </c>
    </row>
    <row r="5288" spans="1:13">
      <c r="A5288" t="s">
        <v>851</v>
      </c>
      <c r="B5288" t="s">
        <v>687</v>
      </c>
      <c r="C5288" t="s">
        <v>687</v>
      </c>
      <c r="D5288" t="s">
        <v>3175</v>
      </c>
      <c r="E5288" t="s">
        <v>461</v>
      </c>
      <c r="F5288" t="s">
        <v>668</v>
      </c>
      <c r="G5288">
        <v>2040</v>
      </c>
      <c r="H5288" s="12">
        <v>0.18</v>
      </c>
      <c r="I5288" t="s">
        <v>3183</v>
      </c>
      <c r="J5288" t="s">
        <v>394</v>
      </c>
      <c r="K5288" t="s">
        <v>147</v>
      </c>
      <c r="L5288" t="s">
        <v>3184</v>
      </c>
      <c r="M5288" t="s">
        <v>16</v>
      </c>
    </row>
    <row r="5289" spans="1:13">
      <c r="A5289" t="s">
        <v>851</v>
      </c>
      <c r="B5289" t="s">
        <v>687</v>
      </c>
      <c r="C5289" t="s">
        <v>687</v>
      </c>
      <c r="D5289" t="s">
        <v>3175</v>
      </c>
      <c r="E5289" t="s">
        <v>461</v>
      </c>
      <c r="F5289" t="s">
        <v>668</v>
      </c>
      <c r="G5289">
        <v>2045</v>
      </c>
      <c r="H5289" s="12">
        <v>0</v>
      </c>
      <c r="I5289" t="s">
        <v>3183</v>
      </c>
      <c r="J5289" t="s">
        <v>394</v>
      </c>
      <c r="K5289" t="s">
        <v>147</v>
      </c>
      <c r="L5289" t="s">
        <v>3184</v>
      </c>
      <c r="M5289" t="s">
        <v>16</v>
      </c>
    </row>
    <row r="5290" spans="1:13">
      <c r="A5290" t="s">
        <v>851</v>
      </c>
      <c r="B5290" t="s">
        <v>687</v>
      </c>
      <c r="C5290" t="s">
        <v>687</v>
      </c>
      <c r="D5290" t="s">
        <v>3175</v>
      </c>
      <c r="E5290" t="s">
        <v>461</v>
      </c>
      <c r="F5290" t="s">
        <v>668</v>
      </c>
      <c r="G5290">
        <v>2050</v>
      </c>
      <c r="H5290" s="12">
        <v>0</v>
      </c>
      <c r="I5290" t="s">
        <v>3183</v>
      </c>
      <c r="J5290" t="s">
        <v>394</v>
      </c>
      <c r="K5290" t="s">
        <v>147</v>
      </c>
      <c r="L5290" t="s">
        <v>3184</v>
      </c>
      <c r="M5290" t="s">
        <v>16</v>
      </c>
    </row>
    <row r="5291" spans="1:13">
      <c r="A5291" t="s">
        <v>851</v>
      </c>
      <c r="B5291" t="s">
        <v>687</v>
      </c>
      <c r="C5291" t="s">
        <v>687</v>
      </c>
      <c r="D5291" t="s">
        <v>3185</v>
      </c>
      <c r="E5291" t="s">
        <v>656</v>
      </c>
      <c r="F5291" t="s">
        <v>31</v>
      </c>
      <c r="G5291">
        <v>2030</v>
      </c>
      <c r="H5291" s="12">
        <v>249.55</v>
      </c>
      <c r="I5291" t="s">
        <v>3183</v>
      </c>
      <c r="J5291" t="s">
        <v>6</v>
      </c>
      <c r="K5291" t="s">
        <v>147</v>
      </c>
      <c r="L5291" t="s">
        <v>650</v>
      </c>
      <c r="M5291" t="s">
        <v>666</v>
      </c>
    </row>
    <row r="5292" spans="1:13">
      <c r="A5292" t="s">
        <v>851</v>
      </c>
      <c r="B5292" t="s">
        <v>687</v>
      </c>
      <c r="C5292" t="s">
        <v>687</v>
      </c>
      <c r="D5292" t="s">
        <v>3185</v>
      </c>
      <c r="E5292" t="s">
        <v>656</v>
      </c>
      <c r="F5292" t="s">
        <v>31</v>
      </c>
      <c r="G5292">
        <v>2035</v>
      </c>
      <c r="H5292" s="12">
        <v>174.4</v>
      </c>
      <c r="I5292" t="s">
        <v>3183</v>
      </c>
      <c r="J5292" t="s">
        <v>6</v>
      </c>
      <c r="K5292" t="s">
        <v>147</v>
      </c>
      <c r="L5292" t="s">
        <v>650</v>
      </c>
      <c r="M5292" t="s">
        <v>666</v>
      </c>
    </row>
    <row r="5293" spans="1:13">
      <c r="A5293" t="s">
        <v>851</v>
      </c>
      <c r="B5293" t="s">
        <v>687</v>
      </c>
      <c r="C5293" t="s">
        <v>687</v>
      </c>
      <c r="D5293" t="s">
        <v>3185</v>
      </c>
      <c r="E5293" t="s">
        <v>656</v>
      </c>
      <c r="F5293" t="s">
        <v>31</v>
      </c>
      <c r="G5293">
        <v>2040</v>
      </c>
      <c r="H5293" s="12">
        <v>100.72</v>
      </c>
      <c r="I5293" t="s">
        <v>3183</v>
      </c>
      <c r="J5293" t="s">
        <v>6</v>
      </c>
      <c r="K5293" t="s">
        <v>147</v>
      </c>
      <c r="L5293" t="s">
        <v>650</v>
      </c>
      <c r="M5293" t="s">
        <v>666</v>
      </c>
    </row>
    <row r="5294" spans="1:13">
      <c r="A5294" t="s">
        <v>851</v>
      </c>
      <c r="B5294" t="s">
        <v>687</v>
      </c>
      <c r="C5294" t="s">
        <v>687</v>
      </c>
      <c r="D5294" t="s">
        <v>3185</v>
      </c>
      <c r="E5294" t="s">
        <v>656</v>
      </c>
      <c r="F5294" t="s">
        <v>31</v>
      </c>
      <c r="G5294">
        <v>2045</v>
      </c>
      <c r="H5294" s="12">
        <v>86.27</v>
      </c>
      <c r="I5294" t="s">
        <v>3183</v>
      </c>
      <c r="J5294" t="s">
        <v>6</v>
      </c>
      <c r="K5294" t="s">
        <v>147</v>
      </c>
      <c r="L5294" t="s">
        <v>650</v>
      </c>
      <c r="M5294" t="s">
        <v>666</v>
      </c>
    </row>
    <row r="5295" spans="1:13">
      <c r="A5295" t="s">
        <v>851</v>
      </c>
      <c r="B5295" t="s">
        <v>687</v>
      </c>
      <c r="C5295" t="s">
        <v>687</v>
      </c>
      <c r="D5295" t="s">
        <v>3185</v>
      </c>
      <c r="E5295" t="s">
        <v>656</v>
      </c>
      <c r="F5295" t="s">
        <v>31</v>
      </c>
      <c r="G5295">
        <v>2050</v>
      </c>
      <c r="H5295" s="12">
        <v>68.77</v>
      </c>
      <c r="I5295" t="s">
        <v>3183</v>
      </c>
      <c r="J5295" t="s">
        <v>6</v>
      </c>
      <c r="K5295" t="s">
        <v>147</v>
      </c>
      <c r="L5295" t="s">
        <v>650</v>
      </c>
      <c r="M5295" t="s">
        <v>666</v>
      </c>
    </row>
    <row r="5296" spans="1:13">
      <c r="A5296" t="s">
        <v>851</v>
      </c>
      <c r="B5296" t="s">
        <v>686</v>
      </c>
      <c r="C5296" t="s">
        <v>686</v>
      </c>
      <c r="D5296" t="s">
        <v>3185</v>
      </c>
      <c r="E5296" t="s">
        <v>656</v>
      </c>
      <c r="F5296" t="s">
        <v>31</v>
      </c>
      <c r="G5296">
        <v>2010</v>
      </c>
      <c r="H5296" s="12">
        <v>79.849999999999994</v>
      </c>
      <c r="I5296" t="s">
        <v>3183</v>
      </c>
      <c r="J5296" t="s">
        <v>394</v>
      </c>
      <c r="K5296" t="s">
        <v>147</v>
      </c>
      <c r="L5296" t="s">
        <v>650</v>
      </c>
      <c r="M5296" t="s">
        <v>16</v>
      </c>
    </row>
    <row r="5297" spans="1:13">
      <c r="A5297" t="s">
        <v>851</v>
      </c>
      <c r="B5297" t="s">
        <v>686</v>
      </c>
      <c r="C5297" t="s">
        <v>686</v>
      </c>
      <c r="D5297" t="s">
        <v>3185</v>
      </c>
      <c r="E5297" t="s">
        <v>656</v>
      </c>
      <c r="F5297" t="s">
        <v>31</v>
      </c>
      <c r="G5297">
        <v>2015</v>
      </c>
      <c r="H5297" s="12">
        <v>54.29</v>
      </c>
      <c r="I5297" t="s">
        <v>3183</v>
      </c>
      <c r="J5297" t="s">
        <v>394</v>
      </c>
      <c r="K5297" t="s">
        <v>147</v>
      </c>
      <c r="L5297" t="s">
        <v>650</v>
      </c>
      <c r="M5297" t="s">
        <v>16</v>
      </c>
    </row>
    <row r="5298" spans="1:13">
      <c r="A5298" t="s">
        <v>851</v>
      </c>
      <c r="B5298" t="s">
        <v>686</v>
      </c>
      <c r="C5298" t="s">
        <v>686</v>
      </c>
      <c r="D5298" t="s">
        <v>3185</v>
      </c>
      <c r="E5298" t="s">
        <v>656</v>
      </c>
      <c r="F5298" t="s">
        <v>31</v>
      </c>
      <c r="G5298">
        <v>2020</v>
      </c>
      <c r="H5298" s="12">
        <v>45.98</v>
      </c>
      <c r="I5298" t="s">
        <v>3183</v>
      </c>
      <c r="J5298" t="s">
        <v>394</v>
      </c>
      <c r="K5298" t="s">
        <v>147</v>
      </c>
      <c r="L5298" t="s">
        <v>650</v>
      </c>
      <c r="M5298" t="s">
        <v>16</v>
      </c>
    </row>
    <row r="5299" spans="1:13">
      <c r="A5299" t="s">
        <v>851</v>
      </c>
      <c r="B5299" t="s">
        <v>686</v>
      </c>
      <c r="C5299" t="s">
        <v>686</v>
      </c>
      <c r="D5299" t="s">
        <v>3185</v>
      </c>
      <c r="E5299" t="s">
        <v>656</v>
      </c>
      <c r="F5299" t="s">
        <v>31</v>
      </c>
      <c r="G5299">
        <v>2030</v>
      </c>
      <c r="H5299" s="12">
        <v>25.73</v>
      </c>
      <c r="I5299" t="s">
        <v>3183</v>
      </c>
      <c r="J5299" t="s">
        <v>394</v>
      </c>
      <c r="K5299" t="s">
        <v>147</v>
      </c>
      <c r="L5299" t="s">
        <v>650</v>
      </c>
      <c r="M5299" t="s">
        <v>16</v>
      </c>
    </row>
    <row r="5300" spans="1:13">
      <c r="A5300" t="s">
        <v>851</v>
      </c>
      <c r="B5300" t="s">
        <v>686</v>
      </c>
      <c r="C5300" t="s">
        <v>686</v>
      </c>
      <c r="D5300" t="s">
        <v>3185</v>
      </c>
      <c r="E5300" t="s">
        <v>656</v>
      </c>
      <c r="F5300" t="s">
        <v>31</v>
      </c>
      <c r="G5300">
        <v>2035</v>
      </c>
      <c r="H5300" s="12">
        <v>23.32</v>
      </c>
      <c r="I5300" t="s">
        <v>3183</v>
      </c>
      <c r="J5300" t="s">
        <v>394</v>
      </c>
      <c r="K5300" t="s">
        <v>147</v>
      </c>
      <c r="L5300" t="s">
        <v>650</v>
      </c>
      <c r="M5300" t="s">
        <v>16</v>
      </c>
    </row>
    <row r="5301" spans="1:13">
      <c r="A5301" t="s">
        <v>851</v>
      </c>
      <c r="B5301" t="s">
        <v>686</v>
      </c>
      <c r="C5301" t="s">
        <v>686</v>
      </c>
      <c r="D5301" t="s">
        <v>3185</v>
      </c>
      <c r="E5301" t="s">
        <v>656</v>
      </c>
      <c r="F5301" t="s">
        <v>31</v>
      </c>
      <c r="G5301">
        <v>2040</v>
      </c>
      <c r="H5301" s="12">
        <v>19.47</v>
      </c>
      <c r="I5301" t="s">
        <v>3183</v>
      </c>
      <c r="J5301" t="s">
        <v>394</v>
      </c>
      <c r="K5301" t="s">
        <v>147</v>
      </c>
      <c r="L5301" t="s">
        <v>650</v>
      </c>
      <c r="M5301" t="s">
        <v>16</v>
      </c>
    </row>
    <row r="5302" spans="1:13">
      <c r="A5302" t="s">
        <v>851</v>
      </c>
      <c r="B5302" t="s">
        <v>687</v>
      </c>
      <c r="C5302" t="s">
        <v>687</v>
      </c>
      <c r="D5302" t="s">
        <v>3185</v>
      </c>
      <c r="E5302" t="s">
        <v>242</v>
      </c>
      <c r="F5302" t="s">
        <v>663</v>
      </c>
      <c r="G5302">
        <v>2035</v>
      </c>
      <c r="H5302" s="12">
        <v>90.09</v>
      </c>
      <c r="I5302" t="s">
        <v>3183</v>
      </c>
      <c r="J5302" t="s">
        <v>5</v>
      </c>
      <c r="K5302" t="s">
        <v>147</v>
      </c>
      <c r="L5302" t="s">
        <v>650</v>
      </c>
      <c r="M5302" t="s">
        <v>5</v>
      </c>
    </row>
    <row r="5303" spans="1:13">
      <c r="A5303" t="s">
        <v>851</v>
      </c>
      <c r="B5303" t="s">
        <v>687</v>
      </c>
      <c r="C5303" t="s">
        <v>687</v>
      </c>
      <c r="D5303" t="s">
        <v>3185</v>
      </c>
      <c r="E5303" t="s">
        <v>242</v>
      </c>
      <c r="F5303" t="s">
        <v>663</v>
      </c>
      <c r="G5303">
        <v>2040</v>
      </c>
      <c r="H5303" s="12">
        <v>70.040000000000006</v>
      </c>
      <c r="I5303" t="s">
        <v>3183</v>
      </c>
      <c r="J5303" t="s">
        <v>5</v>
      </c>
      <c r="K5303" t="s">
        <v>147</v>
      </c>
      <c r="L5303" t="s">
        <v>650</v>
      </c>
      <c r="M5303" t="s">
        <v>5</v>
      </c>
    </row>
    <row r="5304" spans="1:13">
      <c r="A5304" t="s">
        <v>851</v>
      </c>
      <c r="B5304" t="s">
        <v>687</v>
      </c>
      <c r="C5304" t="s">
        <v>687</v>
      </c>
      <c r="D5304" t="s">
        <v>3185</v>
      </c>
      <c r="E5304" t="s">
        <v>242</v>
      </c>
      <c r="F5304" t="s">
        <v>663</v>
      </c>
      <c r="G5304">
        <v>2045</v>
      </c>
      <c r="H5304" s="12">
        <v>53.64</v>
      </c>
      <c r="I5304" t="s">
        <v>3183</v>
      </c>
      <c r="J5304" t="s">
        <v>5</v>
      </c>
      <c r="K5304" t="s">
        <v>147</v>
      </c>
      <c r="L5304" t="s">
        <v>650</v>
      </c>
      <c r="M5304" t="s">
        <v>5</v>
      </c>
    </row>
    <row r="5305" spans="1:13">
      <c r="A5305" t="s">
        <v>851</v>
      </c>
      <c r="B5305" t="s">
        <v>687</v>
      </c>
      <c r="C5305" t="s">
        <v>687</v>
      </c>
      <c r="D5305" t="s">
        <v>3185</v>
      </c>
      <c r="E5305" t="s">
        <v>242</v>
      </c>
      <c r="F5305" t="s">
        <v>663</v>
      </c>
      <c r="G5305">
        <v>2050</v>
      </c>
      <c r="H5305" s="12">
        <v>46.14</v>
      </c>
      <c r="I5305" t="s">
        <v>3183</v>
      </c>
      <c r="J5305" t="s">
        <v>5</v>
      </c>
      <c r="K5305" t="s">
        <v>147</v>
      </c>
      <c r="L5305" t="s">
        <v>650</v>
      </c>
      <c r="M5305" t="s">
        <v>5</v>
      </c>
    </row>
    <row r="5306" spans="1:13">
      <c r="A5306" t="s">
        <v>851</v>
      </c>
      <c r="B5306" t="s">
        <v>686</v>
      </c>
      <c r="C5306" t="s">
        <v>686</v>
      </c>
      <c r="D5306" t="s">
        <v>3185</v>
      </c>
      <c r="E5306" t="s">
        <v>242</v>
      </c>
      <c r="F5306" t="s">
        <v>663</v>
      </c>
      <c r="G5306">
        <v>2010</v>
      </c>
      <c r="H5306" s="12">
        <v>85.1</v>
      </c>
      <c r="I5306" t="s">
        <v>3183</v>
      </c>
      <c r="J5306" t="s">
        <v>394</v>
      </c>
      <c r="K5306" t="s">
        <v>147</v>
      </c>
      <c r="L5306" t="s">
        <v>650</v>
      </c>
      <c r="M5306" t="s">
        <v>16</v>
      </c>
    </row>
    <row r="5307" spans="1:13">
      <c r="A5307" t="s">
        <v>851</v>
      </c>
      <c r="B5307" t="s">
        <v>686</v>
      </c>
      <c r="C5307" t="s">
        <v>686</v>
      </c>
      <c r="D5307" t="s">
        <v>3185</v>
      </c>
      <c r="E5307" t="s">
        <v>242</v>
      </c>
      <c r="F5307" t="s">
        <v>663</v>
      </c>
      <c r="G5307">
        <v>2015</v>
      </c>
      <c r="H5307" s="12">
        <v>60.02</v>
      </c>
      <c r="I5307" t="s">
        <v>3183</v>
      </c>
      <c r="J5307" t="s">
        <v>394</v>
      </c>
      <c r="K5307" t="s">
        <v>147</v>
      </c>
      <c r="L5307" t="s">
        <v>650</v>
      </c>
      <c r="M5307" t="s">
        <v>16</v>
      </c>
    </row>
    <row r="5308" spans="1:13">
      <c r="A5308" t="s">
        <v>851</v>
      </c>
      <c r="B5308" t="s">
        <v>686</v>
      </c>
      <c r="C5308" t="s">
        <v>686</v>
      </c>
      <c r="D5308" t="s">
        <v>3185</v>
      </c>
      <c r="E5308" t="s">
        <v>242</v>
      </c>
      <c r="F5308" t="s">
        <v>663</v>
      </c>
      <c r="G5308">
        <v>2020</v>
      </c>
      <c r="H5308" s="12">
        <v>42.39</v>
      </c>
      <c r="I5308" t="s">
        <v>3183</v>
      </c>
      <c r="J5308" t="s">
        <v>394</v>
      </c>
      <c r="K5308" t="s">
        <v>147</v>
      </c>
      <c r="L5308" t="s">
        <v>650</v>
      </c>
      <c r="M5308" t="s">
        <v>16</v>
      </c>
    </row>
    <row r="5309" spans="1:13">
      <c r="A5309" t="s">
        <v>851</v>
      </c>
      <c r="B5309" t="s">
        <v>686</v>
      </c>
      <c r="C5309" t="s">
        <v>686</v>
      </c>
      <c r="D5309" t="s">
        <v>3185</v>
      </c>
      <c r="E5309" t="s">
        <v>242</v>
      </c>
      <c r="F5309" t="s">
        <v>663</v>
      </c>
      <c r="G5309">
        <v>2030</v>
      </c>
      <c r="H5309" s="12">
        <v>19.61</v>
      </c>
      <c r="I5309" t="s">
        <v>3183</v>
      </c>
      <c r="J5309" t="s">
        <v>394</v>
      </c>
      <c r="K5309" t="s">
        <v>147</v>
      </c>
      <c r="L5309" t="s">
        <v>650</v>
      </c>
      <c r="M5309" t="s">
        <v>16</v>
      </c>
    </row>
    <row r="5310" spans="1:13">
      <c r="A5310" t="s">
        <v>851</v>
      </c>
      <c r="B5310" t="s">
        <v>686</v>
      </c>
      <c r="C5310" t="s">
        <v>686</v>
      </c>
      <c r="D5310" t="s">
        <v>3185</v>
      </c>
      <c r="E5310" t="s">
        <v>242</v>
      </c>
      <c r="F5310" t="s">
        <v>663</v>
      </c>
      <c r="G5310">
        <v>2035</v>
      </c>
      <c r="H5310" s="12">
        <v>15.49</v>
      </c>
      <c r="I5310" t="s">
        <v>3183</v>
      </c>
      <c r="J5310" t="s">
        <v>394</v>
      </c>
      <c r="K5310" t="s">
        <v>147</v>
      </c>
      <c r="L5310" t="s">
        <v>650</v>
      </c>
      <c r="M5310" t="s">
        <v>16</v>
      </c>
    </row>
    <row r="5311" spans="1:13">
      <c r="A5311" t="s">
        <v>851</v>
      </c>
      <c r="B5311" t="s">
        <v>686</v>
      </c>
      <c r="C5311" t="s">
        <v>686</v>
      </c>
      <c r="D5311" t="s">
        <v>3185</v>
      </c>
      <c r="E5311" t="s">
        <v>242</v>
      </c>
      <c r="F5311" t="s">
        <v>663</v>
      </c>
      <c r="G5311">
        <v>2040</v>
      </c>
      <c r="H5311" s="12">
        <v>10.039999999999999</v>
      </c>
      <c r="I5311" t="s">
        <v>3183</v>
      </c>
      <c r="J5311" t="s">
        <v>394</v>
      </c>
      <c r="K5311" t="s">
        <v>147</v>
      </c>
      <c r="L5311" t="s">
        <v>650</v>
      </c>
      <c r="M5311" t="s">
        <v>16</v>
      </c>
    </row>
    <row r="5312" spans="1:13">
      <c r="A5312" t="s">
        <v>851</v>
      </c>
      <c r="B5312" t="s">
        <v>686</v>
      </c>
      <c r="C5312" t="s">
        <v>686</v>
      </c>
      <c r="D5312" t="s">
        <v>3185</v>
      </c>
      <c r="E5312" t="s">
        <v>242</v>
      </c>
      <c r="F5312" t="s">
        <v>663</v>
      </c>
      <c r="G5312">
        <v>2045</v>
      </c>
      <c r="H5312" s="12">
        <v>6.82</v>
      </c>
      <c r="I5312" t="s">
        <v>3183</v>
      </c>
      <c r="J5312" t="s">
        <v>394</v>
      </c>
      <c r="K5312" t="s">
        <v>147</v>
      </c>
      <c r="L5312" t="s">
        <v>650</v>
      </c>
      <c r="M5312" t="s">
        <v>16</v>
      </c>
    </row>
    <row r="5313" spans="1:13">
      <c r="A5313" t="s">
        <v>851</v>
      </c>
      <c r="B5313" t="s">
        <v>686</v>
      </c>
      <c r="C5313" t="s">
        <v>686</v>
      </c>
      <c r="D5313" t="s">
        <v>3185</v>
      </c>
      <c r="E5313" t="s">
        <v>242</v>
      </c>
      <c r="F5313" t="s">
        <v>663</v>
      </c>
      <c r="G5313">
        <v>2050</v>
      </c>
      <c r="H5313" s="12">
        <v>4.8600000000000003</v>
      </c>
      <c r="I5313" t="s">
        <v>3183</v>
      </c>
      <c r="J5313" t="s">
        <v>394</v>
      </c>
      <c r="K5313" t="s">
        <v>147</v>
      </c>
      <c r="L5313" t="s">
        <v>650</v>
      </c>
      <c r="M5313" t="s">
        <v>16</v>
      </c>
    </row>
    <row r="5314" spans="1:13">
      <c r="A5314" t="s">
        <v>851</v>
      </c>
      <c r="B5314" t="s">
        <v>687</v>
      </c>
      <c r="C5314" t="s">
        <v>687</v>
      </c>
      <c r="D5314" t="s">
        <v>3185</v>
      </c>
      <c r="E5314" t="s">
        <v>242</v>
      </c>
      <c r="F5314" t="s">
        <v>663</v>
      </c>
      <c r="G5314">
        <v>2030</v>
      </c>
      <c r="H5314" s="12">
        <v>13.74</v>
      </c>
      <c r="I5314" t="s">
        <v>3183</v>
      </c>
      <c r="J5314" t="s">
        <v>394</v>
      </c>
      <c r="K5314" t="s">
        <v>147</v>
      </c>
      <c r="L5314" t="s">
        <v>650</v>
      </c>
      <c r="M5314" t="s">
        <v>16</v>
      </c>
    </row>
    <row r="5315" spans="1:13">
      <c r="A5315" t="s">
        <v>851</v>
      </c>
      <c r="B5315" t="s">
        <v>687</v>
      </c>
      <c r="C5315" t="s">
        <v>687</v>
      </c>
      <c r="D5315" t="s">
        <v>3185</v>
      </c>
      <c r="E5315" t="s">
        <v>242</v>
      </c>
      <c r="F5315" t="s">
        <v>663</v>
      </c>
      <c r="G5315">
        <v>2035</v>
      </c>
      <c r="H5315" s="12">
        <v>2.4900000000000002</v>
      </c>
      <c r="I5315" t="s">
        <v>3183</v>
      </c>
      <c r="J5315" t="s">
        <v>394</v>
      </c>
      <c r="K5315" t="s">
        <v>147</v>
      </c>
      <c r="L5315" t="s">
        <v>650</v>
      </c>
      <c r="M5315" t="s">
        <v>16</v>
      </c>
    </row>
    <row r="5316" spans="1:13">
      <c r="A5316" t="s">
        <v>851</v>
      </c>
      <c r="B5316" t="s">
        <v>687</v>
      </c>
      <c r="C5316" t="s">
        <v>687</v>
      </c>
      <c r="D5316" t="s">
        <v>3185</v>
      </c>
      <c r="E5316" t="s">
        <v>242</v>
      </c>
      <c r="F5316" t="s">
        <v>663</v>
      </c>
      <c r="G5316">
        <v>2040</v>
      </c>
      <c r="H5316" s="12">
        <v>1.2</v>
      </c>
      <c r="I5316" t="s">
        <v>3183</v>
      </c>
      <c r="J5316" t="s">
        <v>394</v>
      </c>
      <c r="K5316" t="s">
        <v>147</v>
      </c>
      <c r="L5316" t="s">
        <v>650</v>
      </c>
      <c r="M5316" t="s">
        <v>16</v>
      </c>
    </row>
    <row r="5317" spans="1:13">
      <c r="A5317" t="s">
        <v>851</v>
      </c>
      <c r="B5317" t="s">
        <v>687</v>
      </c>
      <c r="C5317" t="s">
        <v>687</v>
      </c>
      <c r="D5317" t="s">
        <v>3185</v>
      </c>
      <c r="E5317" t="s">
        <v>242</v>
      </c>
      <c r="F5317" t="s">
        <v>663</v>
      </c>
      <c r="G5317">
        <v>2045</v>
      </c>
      <c r="H5317" s="12">
        <v>0.77</v>
      </c>
      <c r="I5317" t="s">
        <v>3183</v>
      </c>
      <c r="J5317" t="s">
        <v>394</v>
      </c>
      <c r="K5317" t="s">
        <v>147</v>
      </c>
      <c r="L5317" t="s">
        <v>650</v>
      </c>
      <c r="M5317" t="s">
        <v>16</v>
      </c>
    </row>
    <row r="5318" spans="1:13">
      <c r="A5318" t="s">
        <v>851</v>
      </c>
      <c r="B5318" t="s">
        <v>687</v>
      </c>
      <c r="C5318" t="s">
        <v>687</v>
      </c>
      <c r="D5318" t="s">
        <v>3185</v>
      </c>
      <c r="E5318" t="s">
        <v>242</v>
      </c>
      <c r="F5318" t="s">
        <v>663</v>
      </c>
      <c r="G5318">
        <v>2050</v>
      </c>
      <c r="H5318" s="12">
        <v>0.44</v>
      </c>
      <c r="I5318" t="s">
        <v>3183</v>
      </c>
      <c r="J5318" t="s">
        <v>394</v>
      </c>
      <c r="K5318" t="s">
        <v>147</v>
      </c>
      <c r="L5318" t="s">
        <v>650</v>
      </c>
      <c r="M5318" t="s">
        <v>16</v>
      </c>
    </row>
    <row r="5319" spans="1:13">
      <c r="A5319" t="s">
        <v>851</v>
      </c>
      <c r="B5319" t="s">
        <v>686</v>
      </c>
      <c r="C5319" t="s">
        <v>686</v>
      </c>
      <c r="D5319" t="s">
        <v>3185</v>
      </c>
      <c r="E5319" t="s">
        <v>242</v>
      </c>
      <c r="F5319" t="s">
        <v>663</v>
      </c>
      <c r="G5319">
        <v>2010</v>
      </c>
      <c r="H5319" s="12">
        <v>478.87</v>
      </c>
      <c r="I5319" t="s">
        <v>3183</v>
      </c>
      <c r="J5319" t="s">
        <v>6</v>
      </c>
      <c r="K5319" t="s">
        <v>147</v>
      </c>
      <c r="L5319" t="s">
        <v>650</v>
      </c>
      <c r="M5319" t="s">
        <v>659</v>
      </c>
    </row>
    <row r="5320" spans="1:13">
      <c r="A5320" t="s">
        <v>851</v>
      </c>
      <c r="B5320" t="s">
        <v>686</v>
      </c>
      <c r="C5320" t="s">
        <v>686</v>
      </c>
      <c r="D5320" t="s">
        <v>3185</v>
      </c>
      <c r="E5320" t="s">
        <v>242</v>
      </c>
      <c r="F5320" t="s">
        <v>663</v>
      </c>
      <c r="G5320">
        <v>2015</v>
      </c>
      <c r="H5320" s="12">
        <v>334.37</v>
      </c>
      <c r="I5320" t="s">
        <v>3183</v>
      </c>
      <c r="J5320" t="s">
        <v>6</v>
      </c>
      <c r="K5320" t="s">
        <v>147</v>
      </c>
      <c r="L5320" t="s">
        <v>650</v>
      </c>
      <c r="M5320" t="s">
        <v>659</v>
      </c>
    </row>
    <row r="5321" spans="1:13">
      <c r="A5321" t="s">
        <v>851</v>
      </c>
      <c r="B5321" t="s">
        <v>686</v>
      </c>
      <c r="C5321" t="s">
        <v>686</v>
      </c>
      <c r="D5321" t="s">
        <v>3185</v>
      </c>
      <c r="E5321" t="s">
        <v>242</v>
      </c>
      <c r="F5321" t="s">
        <v>663</v>
      </c>
      <c r="G5321">
        <v>2020</v>
      </c>
      <c r="H5321" s="12">
        <v>385.45</v>
      </c>
      <c r="I5321" t="s">
        <v>3183</v>
      </c>
      <c r="J5321" t="s">
        <v>6</v>
      </c>
      <c r="K5321" t="s">
        <v>147</v>
      </c>
      <c r="L5321" t="s">
        <v>650</v>
      </c>
      <c r="M5321" t="s">
        <v>659</v>
      </c>
    </row>
    <row r="5322" spans="1:13">
      <c r="A5322" t="s">
        <v>851</v>
      </c>
      <c r="B5322" t="s">
        <v>686</v>
      </c>
      <c r="C5322" t="s">
        <v>686</v>
      </c>
      <c r="D5322" t="s">
        <v>3185</v>
      </c>
      <c r="E5322" t="s">
        <v>242</v>
      </c>
      <c r="F5322" t="s">
        <v>663</v>
      </c>
      <c r="G5322">
        <v>2030</v>
      </c>
      <c r="H5322" s="12">
        <v>293.10000000000002</v>
      </c>
      <c r="I5322" t="s">
        <v>3183</v>
      </c>
      <c r="J5322" t="s">
        <v>6</v>
      </c>
      <c r="K5322" t="s">
        <v>147</v>
      </c>
      <c r="L5322" t="s">
        <v>650</v>
      </c>
      <c r="M5322" t="s">
        <v>659</v>
      </c>
    </row>
    <row r="5323" spans="1:13">
      <c r="A5323" t="s">
        <v>851</v>
      </c>
      <c r="B5323" t="s">
        <v>686</v>
      </c>
      <c r="C5323" t="s">
        <v>686</v>
      </c>
      <c r="D5323" t="s">
        <v>3185</v>
      </c>
      <c r="E5323" t="s">
        <v>242</v>
      </c>
      <c r="F5323" t="s">
        <v>663</v>
      </c>
      <c r="G5323">
        <v>2035</v>
      </c>
      <c r="H5323" s="12">
        <v>265.58999999999997</v>
      </c>
      <c r="I5323" t="s">
        <v>3183</v>
      </c>
      <c r="J5323" t="s">
        <v>6</v>
      </c>
      <c r="K5323" t="s">
        <v>147</v>
      </c>
      <c r="L5323" t="s">
        <v>650</v>
      </c>
      <c r="M5323" t="s">
        <v>659</v>
      </c>
    </row>
    <row r="5324" spans="1:13">
      <c r="A5324" t="s">
        <v>851</v>
      </c>
      <c r="B5324" t="s">
        <v>686</v>
      </c>
      <c r="C5324" t="s">
        <v>686</v>
      </c>
      <c r="D5324" t="s">
        <v>3185</v>
      </c>
      <c r="E5324" t="s">
        <v>242</v>
      </c>
      <c r="F5324" t="s">
        <v>663</v>
      </c>
      <c r="G5324">
        <v>2040</v>
      </c>
      <c r="H5324" s="12">
        <v>246.08</v>
      </c>
      <c r="I5324" t="s">
        <v>3183</v>
      </c>
      <c r="J5324" t="s">
        <v>6</v>
      </c>
      <c r="K5324" t="s">
        <v>147</v>
      </c>
      <c r="L5324" t="s">
        <v>650</v>
      </c>
      <c r="M5324" t="s">
        <v>659</v>
      </c>
    </row>
    <row r="5325" spans="1:13">
      <c r="A5325" t="s">
        <v>851</v>
      </c>
      <c r="B5325" t="s">
        <v>686</v>
      </c>
      <c r="C5325" t="s">
        <v>686</v>
      </c>
      <c r="D5325" t="s">
        <v>3185</v>
      </c>
      <c r="E5325" t="s">
        <v>242</v>
      </c>
      <c r="F5325" t="s">
        <v>663</v>
      </c>
      <c r="G5325">
        <v>2045</v>
      </c>
      <c r="H5325" s="12">
        <v>225.37</v>
      </c>
      <c r="I5325" t="s">
        <v>3183</v>
      </c>
      <c r="J5325" t="s">
        <v>6</v>
      </c>
      <c r="K5325" t="s">
        <v>147</v>
      </c>
      <c r="L5325" t="s">
        <v>650</v>
      </c>
      <c r="M5325" t="s">
        <v>659</v>
      </c>
    </row>
    <row r="5326" spans="1:13">
      <c r="A5326" t="s">
        <v>851</v>
      </c>
      <c r="B5326" t="s">
        <v>686</v>
      </c>
      <c r="C5326" t="s">
        <v>686</v>
      </c>
      <c r="D5326" t="s">
        <v>3185</v>
      </c>
      <c r="E5326" t="s">
        <v>242</v>
      </c>
      <c r="F5326" t="s">
        <v>663</v>
      </c>
      <c r="G5326">
        <v>2050</v>
      </c>
      <c r="H5326" s="12">
        <v>207.51</v>
      </c>
      <c r="I5326" t="s">
        <v>3183</v>
      </c>
      <c r="J5326" t="s">
        <v>6</v>
      </c>
      <c r="K5326" t="s">
        <v>147</v>
      </c>
      <c r="L5326" t="s">
        <v>650</v>
      </c>
      <c r="M5326" t="s">
        <v>659</v>
      </c>
    </row>
    <row r="5327" spans="1:13">
      <c r="A5327" t="s">
        <v>851</v>
      </c>
      <c r="B5327" t="s">
        <v>687</v>
      </c>
      <c r="C5327" t="s">
        <v>687</v>
      </c>
      <c r="D5327" t="s">
        <v>3185</v>
      </c>
      <c r="E5327" t="s">
        <v>242</v>
      </c>
      <c r="F5327" t="s">
        <v>663</v>
      </c>
      <c r="G5327">
        <v>2030</v>
      </c>
      <c r="H5327" s="12">
        <v>243.41</v>
      </c>
      <c r="I5327" t="s">
        <v>3183</v>
      </c>
      <c r="J5327" t="s">
        <v>6</v>
      </c>
      <c r="K5327" t="s">
        <v>147</v>
      </c>
      <c r="L5327" t="s">
        <v>650</v>
      </c>
      <c r="M5327" t="s">
        <v>659</v>
      </c>
    </row>
    <row r="5328" spans="1:13">
      <c r="A5328" t="s">
        <v>851</v>
      </c>
      <c r="B5328" t="s">
        <v>687</v>
      </c>
      <c r="C5328" t="s">
        <v>687</v>
      </c>
      <c r="D5328" t="s">
        <v>3185</v>
      </c>
      <c r="E5328" t="s">
        <v>242</v>
      </c>
      <c r="F5328" t="s">
        <v>663</v>
      </c>
      <c r="G5328">
        <v>2035</v>
      </c>
      <c r="H5328" s="12">
        <v>143.07</v>
      </c>
      <c r="I5328" t="s">
        <v>3183</v>
      </c>
      <c r="J5328" t="s">
        <v>6</v>
      </c>
      <c r="K5328" t="s">
        <v>147</v>
      </c>
      <c r="L5328" t="s">
        <v>650</v>
      </c>
      <c r="M5328" t="s">
        <v>659</v>
      </c>
    </row>
    <row r="5329" spans="1:13">
      <c r="A5329" t="s">
        <v>851</v>
      </c>
      <c r="B5329" t="s">
        <v>687</v>
      </c>
      <c r="C5329" t="s">
        <v>687</v>
      </c>
      <c r="D5329" t="s">
        <v>3185</v>
      </c>
      <c r="E5329" t="s">
        <v>242</v>
      </c>
      <c r="F5329" t="s">
        <v>663</v>
      </c>
      <c r="G5329">
        <v>2040</v>
      </c>
      <c r="H5329" s="12">
        <v>85.48</v>
      </c>
      <c r="I5329" t="s">
        <v>3183</v>
      </c>
      <c r="J5329" t="s">
        <v>6</v>
      </c>
      <c r="K5329" t="s">
        <v>147</v>
      </c>
      <c r="L5329" t="s">
        <v>650</v>
      </c>
      <c r="M5329" t="s">
        <v>659</v>
      </c>
    </row>
    <row r="5330" spans="1:13">
      <c r="A5330" t="s">
        <v>851</v>
      </c>
      <c r="B5330" t="s">
        <v>687</v>
      </c>
      <c r="C5330" t="s">
        <v>687</v>
      </c>
      <c r="D5330" t="s">
        <v>3185</v>
      </c>
      <c r="E5330" t="s">
        <v>242</v>
      </c>
      <c r="F5330" t="s">
        <v>663</v>
      </c>
      <c r="G5330">
        <v>2045</v>
      </c>
      <c r="H5330" s="12">
        <v>72.260000000000005</v>
      </c>
      <c r="I5330" t="s">
        <v>3183</v>
      </c>
      <c r="J5330" t="s">
        <v>6</v>
      </c>
      <c r="K5330" t="s">
        <v>147</v>
      </c>
      <c r="L5330" t="s">
        <v>650</v>
      </c>
      <c r="M5330" t="s">
        <v>659</v>
      </c>
    </row>
    <row r="5331" spans="1:13">
      <c r="A5331" t="s">
        <v>851</v>
      </c>
      <c r="B5331" t="s">
        <v>686</v>
      </c>
      <c r="C5331" t="s">
        <v>686</v>
      </c>
      <c r="D5331" t="s">
        <v>3185</v>
      </c>
      <c r="E5331" t="s">
        <v>656</v>
      </c>
      <c r="F5331" t="s">
        <v>31</v>
      </c>
      <c r="G5331">
        <v>2010</v>
      </c>
      <c r="H5331" s="12">
        <v>86.24</v>
      </c>
      <c r="I5331" t="s">
        <v>3183</v>
      </c>
      <c r="J5331" t="s">
        <v>18</v>
      </c>
      <c r="K5331" t="s">
        <v>147</v>
      </c>
      <c r="L5331" t="s">
        <v>650</v>
      </c>
      <c r="M5331" t="s">
        <v>18</v>
      </c>
    </row>
    <row r="5332" spans="1:13">
      <c r="A5332" t="s">
        <v>851</v>
      </c>
      <c r="B5332" t="s">
        <v>686</v>
      </c>
      <c r="C5332" t="s">
        <v>686</v>
      </c>
      <c r="D5332" t="s">
        <v>3185</v>
      </c>
      <c r="E5332" t="s">
        <v>656</v>
      </c>
      <c r="F5332" t="s">
        <v>31</v>
      </c>
      <c r="G5332">
        <v>2015</v>
      </c>
      <c r="H5332" s="12">
        <v>147.5</v>
      </c>
      <c r="I5332" t="s">
        <v>3183</v>
      </c>
      <c r="J5332" t="s">
        <v>18</v>
      </c>
      <c r="K5332" t="s">
        <v>147</v>
      </c>
      <c r="L5332" t="s">
        <v>650</v>
      </c>
      <c r="M5332" t="s">
        <v>18</v>
      </c>
    </row>
    <row r="5333" spans="1:13">
      <c r="A5333" t="s">
        <v>851</v>
      </c>
      <c r="B5333" t="s">
        <v>686</v>
      </c>
      <c r="C5333" t="s">
        <v>686</v>
      </c>
      <c r="D5333" t="s">
        <v>3185</v>
      </c>
      <c r="E5333" t="s">
        <v>656</v>
      </c>
      <c r="F5333" t="s">
        <v>31</v>
      </c>
      <c r="G5333">
        <v>2020</v>
      </c>
      <c r="H5333" s="12">
        <v>217.97</v>
      </c>
      <c r="I5333" t="s">
        <v>3183</v>
      </c>
      <c r="J5333" t="s">
        <v>18</v>
      </c>
      <c r="K5333" t="s">
        <v>147</v>
      </c>
      <c r="L5333" t="s">
        <v>650</v>
      </c>
      <c r="M5333" t="s">
        <v>18</v>
      </c>
    </row>
    <row r="5334" spans="1:13">
      <c r="A5334" t="s">
        <v>851</v>
      </c>
      <c r="B5334" t="s">
        <v>687</v>
      </c>
      <c r="C5334" t="s">
        <v>687</v>
      </c>
      <c r="D5334" t="s">
        <v>3185</v>
      </c>
      <c r="E5334" t="s">
        <v>656</v>
      </c>
      <c r="F5334" t="s">
        <v>31</v>
      </c>
      <c r="G5334">
        <v>2050</v>
      </c>
      <c r="H5334" s="12">
        <v>133.86000000000001</v>
      </c>
      <c r="I5334" t="s">
        <v>3183</v>
      </c>
      <c r="J5334" t="s">
        <v>15</v>
      </c>
      <c r="K5334" t="s">
        <v>147</v>
      </c>
      <c r="L5334" t="s">
        <v>650</v>
      </c>
      <c r="M5334" t="s">
        <v>15</v>
      </c>
    </row>
    <row r="5335" spans="1:13">
      <c r="A5335" t="s">
        <v>851</v>
      </c>
      <c r="B5335" t="s">
        <v>686</v>
      </c>
      <c r="C5335" t="s">
        <v>686</v>
      </c>
      <c r="D5335" t="s">
        <v>3185</v>
      </c>
      <c r="E5335" t="s">
        <v>656</v>
      </c>
      <c r="F5335" t="s">
        <v>31</v>
      </c>
      <c r="G5335">
        <v>2010</v>
      </c>
      <c r="H5335" s="12">
        <v>0</v>
      </c>
      <c r="I5335" t="s">
        <v>3183</v>
      </c>
      <c r="J5335" t="s">
        <v>8</v>
      </c>
      <c r="K5335" t="s">
        <v>147</v>
      </c>
      <c r="L5335" t="s">
        <v>650</v>
      </c>
      <c r="M5335" t="s">
        <v>670</v>
      </c>
    </row>
    <row r="5336" spans="1:13">
      <c r="A5336" t="s">
        <v>851</v>
      </c>
      <c r="B5336" t="s">
        <v>686</v>
      </c>
      <c r="C5336" t="s">
        <v>686</v>
      </c>
      <c r="D5336" t="s">
        <v>3185</v>
      </c>
      <c r="E5336" t="s">
        <v>656</v>
      </c>
      <c r="F5336" t="s">
        <v>31</v>
      </c>
      <c r="G5336">
        <v>2015</v>
      </c>
      <c r="H5336" s="12">
        <v>0</v>
      </c>
      <c r="I5336" t="s">
        <v>3183</v>
      </c>
      <c r="J5336" t="s">
        <v>8</v>
      </c>
      <c r="K5336" t="s">
        <v>147</v>
      </c>
      <c r="L5336" t="s">
        <v>650</v>
      </c>
      <c r="M5336" t="s">
        <v>670</v>
      </c>
    </row>
    <row r="5337" spans="1:13">
      <c r="A5337" t="s">
        <v>851</v>
      </c>
      <c r="B5337" t="s">
        <v>686</v>
      </c>
      <c r="C5337" t="s">
        <v>686</v>
      </c>
      <c r="D5337" t="s">
        <v>3185</v>
      </c>
      <c r="E5337" t="s">
        <v>656</v>
      </c>
      <c r="F5337" t="s">
        <v>31</v>
      </c>
      <c r="G5337">
        <v>2020</v>
      </c>
      <c r="H5337" s="12">
        <v>0</v>
      </c>
      <c r="I5337" t="s">
        <v>3183</v>
      </c>
      <c r="J5337" t="s">
        <v>8</v>
      </c>
      <c r="K5337" t="s">
        <v>147</v>
      </c>
      <c r="L5337" t="s">
        <v>650</v>
      </c>
      <c r="M5337" t="s">
        <v>670</v>
      </c>
    </row>
    <row r="5338" spans="1:13">
      <c r="A5338" t="s">
        <v>851</v>
      </c>
      <c r="B5338" t="s">
        <v>686</v>
      </c>
      <c r="C5338" t="s">
        <v>686</v>
      </c>
      <c r="D5338" t="s">
        <v>3185</v>
      </c>
      <c r="E5338" t="s">
        <v>656</v>
      </c>
      <c r="F5338" t="s">
        <v>31</v>
      </c>
      <c r="G5338">
        <v>2030</v>
      </c>
      <c r="H5338" s="12">
        <v>0.12</v>
      </c>
      <c r="I5338" t="s">
        <v>3183</v>
      </c>
      <c r="J5338" t="s">
        <v>8</v>
      </c>
      <c r="K5338" t="s">
        <v>147</v>
      </c>
      <c r="L5338" t="s">
        <v>650</v>
      </c>
      <c r="M5338" t="s">
        <v>670</v>
      </c>
    </row>
    <row r="5339" spans="1:13">
      <c r="A5339" t="s">
        <v>851</v>
      </c>
      <c r="B5339" t="s">
        <v>686</v>
      </c>
      <c r="C5339" t="s">
        <v>686</v>
      </c>
      <c r="D5339" t="s">
        <v>3185</v>
      </c>
      <c r="E5339" t="s">
        <v>656</v>
      </c>
      <c r="F5339" t="s">
        <v>31</v>
      </c>
      <c r="G5339">
        <v>2035</v>
      </c>
      <c r="H5339" s="12">
        <v>0.18</v>
      </c>
      <c r="I5339" t="s">
        <v>3183</v>
      </c>
      <c r="J5339" t="s">
        <v>8</v>
      </c>
      <c r="K5339" t="s">
        <v>147</v>
      </c>
      <c r="L5339" t="s">
        <v>650</v>
      </c>
      <c r="M5339" t="s">
        <v>670</v>
      </c>
    </row>
    <row r="5340" spans="1:13">
      <c r="A5340" t="s">
        <v>851</v>
      </c>
      <c r="B5340" t="s">
        <v>686</v>
      </c>
      <c r="C5340" t="s">
        <v>686</v>
      </c>
      <c r="D5340" t="s">
        <v>3185</v>
      </c>
      <c r="E5340" t="s">
        <v>656</v>
      </c>
      <c r="F5340" t="s">
        <v>31</v>
      </c>
      <c r="G5340">
        <v>2040</v>
      </c>
      <c r="H5340" s="12">
        <v>0.17</v>
      </c>
      <c r="I5340" t="s">
        <v>3183</v>
      </c>
      <c r="J5340" t="s">
        <v>8</v>
      </c>
      <c r="K5340" t="s">
        <v>147</v>
      </c>
      <c r="L5340" t="s">
        <v>650</v>
      </c>
      <c r="M5340" t="s">
        <v>670</v>
      </c>
    </row>
    <row r="5341" spans="1:13">
      <c r="A5341" t="s">
        <v>851</v>
      </c>
      <c r="B5341" t="s">
        <v>686</v>
      </c>
      <c r="C5341" t="s">
        <v>686</v>
      </c>
      <c r="D5341" t="s">
        <v>3185</v>
      </c>
      <c r="E5341" t="s">
        <v>656</v>
      </c>
      <c r="F5341" t="s">
        <v>31</v>
      </c>
      <c r="G5341">
        <v>2045</v>
      </c>
      <c r="H5341" s="12">
        <v>0.15</v>
      </c>
      <c r="I5341" t="s">
        <v>3183</v>
      </c>
      <c r="J5341" t="s">
        <v>8</v>
      </c>
      <c r="K5341" t="s">
        <v>147</v>
      </c>
      <c r="L5341" t="s">
        <v>650</v>
      </c>
      <c r="M5341" t="s">
        <v>670</v>
      </c>
    </row>
    <row r="5342" spans="1:13">
      <c r="A5342" t="s">
        <v>851</v>
      </c>
      <c r="B5342" t="s">
        <v>686</v>
      </c>
      <c r="C5342" t="s">
        <v>686</v>
      </c>
      <c r="D5342" t="s">
        <v>3185</v>
      </c>
      <c r="E5342" t="s">
        <v>656</v>
      </c>
      <c r="F5342" t="s">
        <v>31</v>
      </c>
      <c r="G5342">
        <v>2050</v>
      </c>
      <c r="H5342" s="12">
        <v>7.0000000000000007E-2</v>
      </c>
      <c r="I5342" t="s">
        <v>3183</v>
      </c>
      <c r="J5342" t="s">
        <v>8</v>
      </c>
      <c r="K5342" t="s">
        <v>147</v>
      </c>
      <c r="L5342" t="s">
        <v>650</v>
      </c>
      <c r="M5342" t="s">
        <v>670</v>
      </c>
    </row>
    <row r="5343" spans="1:13">
      <c r="A5343" t="s">
        <v>851</v>
      </c>
      <c r="B5343" t="s">
        <v>687</v>
      </c>
      <c r="C5343" t="s">
        <v>687</v>
      </c>
      <c r="D5343" t="s">
        <v>3185</v>
      </c>
      <c r="E5343" t="s">
        <v>656</v>
      </c>
      <c r="F5343" t="s">
        <v>31</v>
      </c>
      <c r="G5343">
        <v>2030</v>
      </c>
      <c r="H5343" s="12">
        <v>4.43</v>
      </c>
      <c r="I5343" t="s">
        <v>3183</v>
      </c>
      <c r="J5343" t="s">
        <v>8</v>
      </c>
      <c r="K5343" t="s">
        <v>147</v>
      </c>
      <c r="L5343" t="s">
        <v>650</v>
      </c>
      <c r="M5343" t="s">
        <v>670</v>
      </c>
    </row>
    <row r="5344" spans="1:13">
      <c r="A5344" t="s">
        <v>851</v>
      </c>
      <c r="B5344" t="s">
        <v>687</v>
      </c>
      <c r="C5344" t="s">
        <v>687</v>
      </c>
      <c r="D5344" t="s">
        <v>3185</v>
      </c>
      <c r="E5344" t="s">
        <v>656</v>
      </c>
      <c r="F5344" t="s">
        <v>31</v>
      </c>
      <c r="G5344">
        <v>2035</v>
      </c>
      <c r="H5344" s="12">
        <v>16.420000000000002</v>
      </c>
      <c r="I5344" t="s">
        <v>3183</v>
      </c>
      <c r="J5344" t="s">
        <v>8</v>
      </c>
      <c r="K5344" t="s">
        <v>147</v>
      </c>
      <c r="L5344" t="s">
        <v>650</v>
      </c>
      <c r="M5344" t="s">
        <v>670</v>
      </c>
    </row>
    <row r="5345" spans="1:13">
      <c r="A5345" t="s">
        <v>851</v>
      </c>
      <c r="B5345" t="s">
        <v>687</v>
      </c>
      <c r="C5345" t="s">
        <v>687</v>
      </c>
      <c r="D5345" t="s">
        <v>3185</v>
      </c>
      <c r="E5345" t="s">
        <v>656</v>
      </c>
      <c r="F5345" t="s">
        <v>31</v>
      </c>
      <c r="G5345">
        <v>2040</v>
      </c>
      <c r="H5345" s="12">
        <v>20.83</v>
      </c>
      <c r="I5345" t="s">
        <v>3183</v>
      </c>
      <c r="J5345" t="s">
        <v>8</v>
      </c>
      <c r="K5345" t="s">
        <v>147</v>
      </c>
      <c r="L5345" t="s">
        <v>650</v>
      </c>
      <c r="M5345" t="s">
        <v>670</v>
      </c>
    </row>
    <row r="5346" spans="1:13">
      <c r="A5346" t="s">
        <v>851</v>
      </c>
      <c r="B5346" t="s">
        <v>687</v>
      </c>
      <c r="C5346" t="s">
        <v>687</v>
      </c>
      <c r="D5346" t="s">
        <v>3185</v>
      </c>
      <c r="E5346" t="s">
        <v>656</v>
      </c>
      <c r="F5346" t="s">
        <v>31</v>
      </c>
      <c r="G5346">
        <v>2045</v>
      </c>
      <c r="H5346" s="12">
        <v>23.06</v>
      </c>
      <c r="I5346" t="s">
        <v>3183</v>
      </c>
      <c r="J5346" t="s">
        <v>8</v>
      </c>
      <c r="K5346" t="s">
        <v>147</v>
      </c>
      <c r="L5346" t="s">
        <v>650</v>
      </c>
      <c r="M5346" t="s">
        <v>670</v>
      </c>
    </row>
    <row r="5347" spans="1:13">
      <c r="A5347" t="s">
        <v>851</v>
      </c>
      <c r="B5347" t="s">
        <v>687</v>
      </c>
      <c r="C5347" t="s">
        <v>687</v>
      </c>
      <c r="D5347" t="s">
        <v>3185</v>
      </c>
      <c r="E5347" t="s">
        <v>656</v>
      </c>
      <c r="F5347" t="s">
        <v>31</v>
      </c>
      <c r="G5347">
        <v>2050</v>
      </c>
      <c r="H5347" s="12">
        <v>21.28</v>
      </c>
      <c r="I5347" t="s">
        <v>3183</v>
      </c>
      <c r="J5347" t="s">
        <v>8</v>
      </c>
      <c r="K5347" t="s">
        <v>147</v>
      </c>
      <c r="L5347" t="s">
        <v>650</v>
      </c>
      <c r="M5347" t="s">
        <v>670</v>
      </c>
    </row>
    <row r="5348" spans="1:13">
      <c r="A5348" t="s">
        <v>851</v>
      </c>
      <c r="B5348" t="s">
        <v>686</v>
      </c>
      <c r="C5348" t="s">
        <v>686</v>
      </c>
      <c r="D5348" t="s">
        <v>3185</v>
      </c>
      <c r="E5348" t="s">
        <v>656</v>
      </c>
      <c r="F5348" t="s">
        <v>31</v>
      </c>
      <c r="G5348">
        <v>2010</v>
      </c>
      <c r="H5348" s="12">
        <v>247.81</v>
      </c>
      <c r="I5348" t="s">
        <v>3183</v>
      </c>
      <c r="J5348" t="s">
        <v>5</v>
      </c>
      <c r="K5348" t="s">
        <v>147</v>
      </c>
      <c r="L5348" t="s">
        <v>650</v>
      </c>
      <c r="M5348" t="s">
        <v>665</v>
      </c>
    </row>
    <row r="5349" spans="1:13">
      <c r="A5349" t="s">
        <v>851</v>
      </c>
      <c r="B5349" t="s">
        <v>686</v>
      </c>
      <c r="C5349" t="s">
        <v>686</v>
      </c>
      <c r="D5349" t="s">
        <v>3185</v>
      </c>
      <c r="E5349" t="s">
        <v>656</v>
      </c>
      <c r="F5349" t="s">
        <v>31</v>
      </c>
      <c r="G5349">
        <v>2015</v>
      </c>
      <c r="H5349" s="12">
        <v>232.55</v>
      </c>
      <c r="I5349" t="s">
        <v>3183</v>
      </c>
      <c r="J5349" t="s">
        <v>5</v>
      </c>
      <c r="K5349" t="s">
        <v>147</v>
      </c>
      <c r="L5349" t="s">
        <v>650</v>
      </c>
      <c r="M5349" t="s">
        <v>665</v>
      </c>
    </row>
    <row r="5350" spans="1:13">
      <c r="A5350" t="s">
        <v>851</v>
      </c>
      <c r="B5350" t="s">
        <v>686</v>
      </c>
      <c r="C5350" t="s">
        <v>686</v>
      </c>
      <c r="D5350" t="s">
        <v>3185</v>
      </c>
      <c r="E5350" t="s">
        <v>656</v>
      </c>
      <c r="F5350" t="s">
        <v>31</v>
      </c>
      <c r="G5350">
        <v>2020</v>
      </c>
      <c r="H5350" s="12">
        <v>196.34</v>
      </c>
      <c r="I5350" t="s">
        <v>3183</v>
      </c>
      <c r="J5350" t="s">
        <v>5</v>
      </c>
      <c r="K5350" t="s">
        <v>147</v>
      </c>
      <c r="L5350" t="s">
        <v>650</v>
      </c>
      <c r="M5350" t="s">
        <v>665</v>
      </c>
    </row>
    <row r="5351" spans="1:13">
      <c r="A5351" t="s">
        <v>851</v>
      </c>
      <c r="B5351" t="s">
        <v>686</v>
      </c>
      <c r="C5351" t="s">
        <v>686</v>
      </c>
      <c r="D5351" t="s">
        <v>3185</v>
      </c>
      <c r="E5351" t="s">
        <v>656</v>
      </c>
      <c r="F5351" t="s">
        <v>31</v>
      </c>
      <c r="G5351">
        <v>2030</v>
      </c>
      <c r="H5351" s="12">
        <v>98.75</v>
      </c>
      <c r="I5351" t="s">
        <v>3183</v>
      </c>
      <c r="J5351" t="s">
        <v>5</v>
      </c>
      <c r="K5351" t="s">
        <v>147</v>
      </c>
      <c r="L5351" t="s">
        <v>650</v>
      </c>
      <c r="M5351" t="s">
        <v>665</v>
      </c>
    </row>
    <row r="5352" spans="1:13">
      <c r="A5352" t="s">
        <v>851</v>
      </c>
      <c r="B5352" t="s">
        <v>686</v>
      </c>
      <c r="C5352" t="s">
        <v>686</v>
      </c>
      <c r="D5352" t="s">
        <v>3185</v>
      </c>
      <c r="E5352" t="s">
        <v>656</v>
      </c>
      <c r="F5352" t="s">
        <v>31</v>
      </c>
      <c r="G5352">
        <v>2035</v>
      </c>
      <c r="H5352" s="12">
        <v>77.37</v>
      </c>
      <c r="I5352" t="s">
        <v>3183</v>
      </c>
      <c r="J5352" t="s">
        <v>5</v>
      </c>
      <c r="K5352" t="s">
        <v>147</v>
      </c>
      <c r="L5352" t="s">
        <v>650</v>
      </c>
      <c r="M5352" t="s">
        <v>665</v>
      </c>
    </row>
    <row r="5353" spans="1:13">
      <c r="A5353" t="s">
        <v>851</v>
      </c>
      <c r="B5353" t="s">
        <v>686</v>
      </c>
      <c r="C5353" t="s">
        <v>686</v>
      </c>
      <c r="D5353" t="s">
        <v>3185</v>
      </c>
      <c r="E5353" t="s">
        <v>656</v>
      </c>
      <c r="F5353" t="s">
        <v>31</v>
      </c>
      <c r="G5353">
        <v>2040</v>
      </c>
      <c r="H5353" s="12">
        <v>74.88</v>
      </c>
      <c r="I5353" t="s">
        <v>3183</v>
      </c>
      <c r="J5353" t="s">
        <v>5</v>
      </c>
      <c r="K5353" t="s">
        <v>147</v>
      </c>
      <c r="L5353" t="s">
        <v>650</v>
      </c>
      <c r="M5353" t="s">
        <v>665</v>
      </c>
    </row>
    <row r="5354" spans="1:13">
      <c r="A5354" t="s">
        <v>851</v>
      </c>
      <c r="B5354" t="s">
        <v>686</v>
      </c>
      <c r="C5354" t="s">
        <v>686</v>
      </c>
      <c r="D5354" t="s">
        <v>3185</v>
      </c>
      <c r="E5354" t="s">
        <v>656</v>
      </c>
      <c r="F5354" t="s">
        <v>31</v>
      </c>
      <c r="G5354">
        <v>2045</v>
      </c>
      <c r="H5354" s="12">
        <v>76.48</v>
      </c>
      <c r="I5354" t="s">
        <v>3183</v>
      </c>
      <c r="J5354" t="s">
        <v>5</v>
      </c>
      <c r="K5354" t="s">
        <v>147</v>
      </c>
      <c r="L5354" t="s">
        <v>650</v>
      </c>
      <c r="M5354" t="s">
        <v>665</v>
      </c>
    </row>
    <row r="5355" spans="1:13">
      <c r="A5355" t="s">
        <v>851</v>
      </c>
      <c r="B5355" t="s">
        <v>686</v>
      </c>
      <c r="C5355" t="s">
        <v>686</v>
      </c>
      <c r="D5355" t="s">
        <v>3185</v>
      </c>
      <c r="E5355" t="s">
        <v>656</v>
      </c>
      <c r="F5355" t="s">
        <v>31</v>
      </c>
      <c r="G5355">
        <v>2050</v>
      </c>
      <c r="H5355" s="12">
        <v>79.08</v>
      </c>
      <c r="I5355" t="s">
        <v>3183</v>
      </c>
      <c r="J5355" t="s">
        <v>5</v>
      </c>
      <c r="K5355" t="s">
        <v>147</v>
      </c>
      <c r="L5355" t="s">
        <v>650</v>
      </c>
      <c r="M5355" t="s">
        <v>665</v>
      </c>
    </row>
    <row r="5356" spans="1:13">
      <c r="A5356" t="s">
        <v>851</v>
      </c>
      <c r="B5356" t="s">
        <v>687</v>
      </c>
      <c r="C5356" t="s">
        <v>687</v>
      </c>
      <c r="D5356" t="s">
        <v>3185</v>
      </c>
      <c r="E5356" t="s">
        <v>656</v>
      </c>
      <c r="F5356" t="s">
        <v>31</v>
      </c>
      <c r="G5356">
        <v>2030</v>
      </c>
      <c r="H5356" s="12">
        <v>59.84</v>
      </c>
      <c r="I5356" t="s">
        <v>3183</v>
      </c>
      <c r="J5356" t="s">
        <v>5</v>
      </c>
      <c r="K5356" t="s">
        <v>147</v>
      </c>
      <c r="L5356" t="s">
        <v>650</v>
      </c>
      <c r="M5356" t="s">
        <v>665</v>
      </c>
    </row>
    <row r="5357" spans="1:13">
      <c r="A5357" t="s">
        <v>851</v>
      </c>
      <c r="B5357" t="s">
        <v>687</v>
      </c>
      <c r="C5357" t="s">
        <v>687</v>
      </c>
      <c r="D5357" t="s">
        <v>3185</v>
      </c>
      <c r="E5357" t="s">
        <v>656</v>
      </c>
      <c r="F5357" t="s">
        <v>31</v>
      </c>
      <c r="G5357">
        <v>2035</v>
      </c>
      <c r="H5357" s="12">
        <v>29</v>
      </c>
      <c r="I5357" t="s">
        <v>3183</v>
      </c>
      <c r="J5357" t="s">
        <v>5</v>
      </c>
      <c r="K5357" t="s">
        <v>147</v>
      </c>
      <c r="L5357" t="s">
        <v>650</v>
      </c>
      <c r="M5357" t="s">
        <v>665</v>
      </c>
    </row>
    <row r="5358" spans="1:13">
      <c r="A5358" t="s">
        <v>851</v>
      </c>
      <c r="B5358" t="s">
        <v>687</v>
      </c>
      <c r="C5358" t="s">
        <v>687</v>
      </c>
      <c r="D5358" t="s">
        <v>3185</v>
      </c>
      <c r="E5358" t="s">
        <v>656</v>
      </c>
      <c r="F5358" t="s">
        <v>31</v>
      </c>
      <c r="G5358">
        <v>2040</v>
      </c>
      <c r="H5358" s="12">
        <v>21.53</v>
      </c>
      <c r="I5358" t="s">
        <v>3183</v>
      </c>
      <c r="J5358" t="s">
        <v>5</v>
      </c>
      <c r="K5358" t="s">
        <v>147</v>
      </c>
      <c r="L5358" t="s">
        <v>650</v>
      </c>
      <c r="M5358" t="s">
        <v>665</v>
      </c>
    </row>
    <row r="5359" spans="1:13">
      <c r="A5359" t="s">
        <v>851</v>
      </c>
      <c r="B5359" t="s">
        <v>687</v>
      </c>
      <c r="C5359" t="s">
        <v>687</v>
      </c>
      <c r="D5359" t="s">
        <v>3185</v>
      </c>
      <c r="E5359" t="s">
        <v>656</v>
      </c>
      <c r="F5359" t="s">
        <v>31</v>
      </c>
      <c r="G5359">
        <v>2045</v>
      </c>
      <c r="H5359" s="12">
        <v>17.73</v>
      </c>
      <c r="I5359" t="s">
        <v>3183</v>
      </c>
      <c r="J5359" t="s">
        <v>5</v>
      </c>
      <c r="K5359" t="s">
        <v>147</v>
      </c>
      <c r="L5359" t="s">
        <v>650</v>
      </c>
      <c r="M5359" t="s">
        <v>665</v>
      </c>
    </row>
    <row r="5360" spans="1:13">
      <c r="A5360" t="s">
        <v>851</v>
      </c>
      <c r="B5360" t="s">
        <v>687</v>
      </c>
      <c r="C5360" t="s">
        <v>687</v>
      </c>
      <c r="D5360" t="s">
        <v>3185</v>
      </c>
      <c r="E5360" t="s">
        <v>656</v>
      </c>
      <c r="F5360" t="s">
        <v>31</v>
      </c>
      <c r="G5360">
        <v>2050</v>
      </c>
      <c r="H5360" s="12">
        <v>15.87</v>
      </c>
      <c r="I5360" t="s">
        <v>3183</v>
      </c>
      <c r="J5360" t="s">
        <v>5</v>
      </c>
      <c r="K5360" t="s">
        <v>147</v>
      </c>
      <c r="L5360" t="s">
        <v>650</v>
      </c>
      <c r="M5360" t="s">
        <v>665</v>
      </c>
    </row>
    <row r="5361" spans="1:13">
      <c r="A5361" t="s">
        <v>851</v>
      </c>
      <c r="B5361" t="s">
        <v>686</v>
      </c>
      <c r="C5361" t="s">
        <v>686</v>
      </c>
      <c r="D5361" t="s">
        <v>3185</v>
      </c>
      <c r="E5361" t="s">
        <v>656</v>
      </c>
      <c r="F5361" t="s">
        <v>31</v>
      </c>
      <c r="G5361">
        <v>2010</v>
      </c>
      <c r="H5361" s="12">
        <v>244.7</v>
      </c>
      <c r="I5361" t="s">
        <v>3183</v>
      </c>
      <c r="J5361" t="s">
        <v>6</v>
      </c>
      <c r="K5361" t="s">
        <v>147</v>
      </c>
      <c r="L5361" t="s">
        <v>650</v>
      </c>
      <c r="M5361" t="s">
        <v>666</v>
      </c>
    </row>
    <row r="5362" spans="1:13">
      <c r="A5362" t="s">
        <v>851</v>
      </c>
      <c r="B5362" t="s">
        <v>686</v>
      </c>
      <c r="C5362" t="s">
        <v>686</v>
      </c>
      <c r="D5362" t="s">
        <v>3185</v>
      </c>
      <c r="E5362" t="s">
        <v>656</v>
      </c>
      <c r="F5362" t="s">
        <v>31</v>
      </c>
      <c r="G5362">
        <v>2015</v>
      </c>
      <c r="H5362" s="12">
        <v>262.62</v>
      </c>
      <c r="I5362" t="s">
        <v>3183</v>
      </c>
      <c r="J5362" t="s">
        <v>6</v>
      </c>
      <c r="K5362" t="s">
        <v>147</v>
      </c>
      <c r="L5362" t="s">
        <v>650</v>
      </c>
      <c r="M5362" t="s">
        <v>666</v>
      </c>
    </row>
    <row r="5363" spans="1:13">
      <c r="A5363" t="s">
        <v>851</v>
      </c>
      <c r="B5363" t="s">
        <v>686</v>
      </c>
      <c r="C5363" t="s">
        <v>686</v>
      </c>
      <c r="D5363" t="s">
        <v>3185</v>
      </c>
      <c r="E5363" t="s">
        <v>656</v>
      </c>
      <c r="F5363" t="s">
        <v>31</v>
      </c>
      <c r="G5363">
        <v>2020</v>
      </c>
      <c r="H5363" s="12">
        <v>265.45999999999998</v>
      </c>
      <c r="I5363" t="s">
        <v>3183</v>
      </c>
      <c r="J5363" t="s">
        <v>6</v>
      </c>
      <c r="K5363" t="s">
        <v>147</v>
      </c>
      <c r="L5363" t="s">
        <v>650</v>
      </c>
      <c r="M5363" t="s">
        <v>666</v>
      </c>
    </row>
    <row r="5364" spans="1:13">
      <c r="A5364" t="s">
        <v>851</v>
      </c>
      <c r="B5364" t="s">
        <v>686</v>
      </c>
      <c r="C5364" t="s">
        <v>686</v>
      </c>
      <c r="D5364" t="s">
        <v>3185</v>
      </c>
      <c r="E5364" t="s">
        <v>656</v>
      </c>
      <c r="F5364" t="s">
        <v>31</v>
      </c>
      <c r="G5364">
        <v>2030</v>
      </c>
      <c r="H5364" s="12">
        <v>273.48</v>
      </c>
      <c r="I5364" t="s">
        <v>3183</v>
      </c>
      <c r="J5364" t="s">
        <v>6</v>
      </c>
      <c r="K5364" t="s">
        <v>147</v>
      </c>
      <c r="L5364" t="s">
        <v>650</v>
      </c>
      <c r="M5364" t="s">
        <v>666</v>
      </c>
    </row>
    <row r="5365" spans="1:13">
      <c r="A5365" t="s">
        <v>851</v>
      </c>
      <c r="B5365" t="s">
        <v>686</v>
      </c>
      <c r="C5365" t="s">
        <v>686</v>
      </c>
      <c r="D5365" t="s">
        <v>3185</v>
      </c>
      <c r="E5365" t="s">
        <v>656</v>
      </c>
      <c r="F5365" t="s">
        <v>31</v>
      </c>
      <c r="G5365">
        <v>2035</v>
      </c>
      <c r="H5365" s="12">
        <v>269.5</v>
      </c>
      <c r="I5365" t="s">
        <v>3183</v>
      </c>
      <c r="J5365" t="s">
        <v>6</v>
      </c>
      <c r="K5365" t="s">
        <v>147</v>
      </c>
      <c r="L5365" t="s">
        <v>650</v>
      </c>
      <c r="M5365" t="s">
        <v>666</v>
      </c>
    </row>
    <row r="5366" spans="1:13">
      <c r="A5366" t="s">
        <v>851</v>
      </c>
      <c r="B5366" t="s">
        <v>686</v>
      </c>
      <c r="C5366" t="s">
        <v>686</v>
      </c>
      <c r="D5366" t="s">
        <v>3185</v>
      </c>
      <c r="E5366" t="s">
        <v>656</v>
      </c>
      <c r="F5366" t="s">
        <v>31</v>
      </c>
      <c r="G5366">
        <v>2040</v>
      </c>
      <c r="H5366" s="12">
        <v>257.73</v>
      </c>
      <c r="I5366" t="s">
        <v>3183</v>
      </c>
      <c r="J5366" t="s">
        <v>6</v>
      </c>
      <c r="K5366" t="s">
        <v>147</v>
      </c>
      <c r="L5366" t="s">
        <v>650</v>
      </c>
      <c r="M5366" t="s">
        <v>666</v>
      </c>
    </row>
    <row r="5367" spans="1:13">
      <c r="A5367" t="s">
        <v>851</v>
      </c>
      <c r="B5367" t="s">
        <v>686</v>
      </c>
      <c r="C5367" t="s">
        <v>686</v>
      </c>
      <c r="D5367" t="s">
        <v>3185</v>
      </c>
      <c r="E5367" t="s">
        <v>656</v>
      </c>
      <c r="F5367" t="s">
        <v>31</v>
      </c>
      <c r="G5367">
        <v>2045</v>
      </c>
      <c r="H5367" s="12">
        <v>239.94</v>
      </c>
      <c r="I5367" t="s">
        <v>3183</v>
      </c>
      <c r="J5367" t="s">
        <v>6</v>
      </c>
      <c r="K5367" t="s">
        <v>147</v>
      </c>
      <c r="L5367" t="s">
        <v>650</v>
      </c>
      <c r="M5367" t="s">
        <v>666</v>
      </c>
    </row>
    <row r="5368" spans="1:13">
      <c r="A5368" t="s">
        <v>851</v>
      </c>
      <c r="B5368" t="s">
        <v>686</v>
      </c>
      <c r="C5368" t="s">
        <v>686</v>
      </c>
      <c r="D5368" t="s">
        <v>3185</v>
      </c>
      <c r="E5368" t="s">
        <v>656</v>
      </c>
      <c r="F5368" t="s">
        <v>31</v>
      </c>
      <c r="G5368">
        <v>2050</v>
      </c>
      <c r="H5368" s="12">
        <v>211.03</v>
      </c>
      <c r="I5368" t="s">
        <v>3183</v>
      </c>
      <c r="J5368" t="s">
        <v>6</v>
      </c>
      <c r="K5368" t="s">
        <v>147</v>
      </c>
      <c r="L5368" t="s">
        <v>650</v>
      </c>
      <c r="M5368" t="s">
        <v>666</v>
      </c>
    </row>
    <row r="5369" spans="1:13">
      <c r="A5369" t="s">
        <v>851</v>
      </c>
      <c r="B5369" t="s">
        <v>686</v>
      </c>
      <c r="C5369" t="s">
        <v>686</v>
      </c>
      <c r="D5369" t="s">
        <v>3185</v>
      </c>
      <c r="E5369" t="s">
        <v>656</v>
      </c>
      <c r="F5369" t="s">
        <v>31</v>
      </c>
      <c r="G5369">
        <v>2045</v>
      </c>
      <c r="H5369" s="12">
        <v>16.25</v>
      </c>
      <c r="I5369" t="s">
        <v>3183</v>
      </c>
      <c r="J5369" t="s">
        <v>394</v>
      </c>
      <c r="K5369" t="s">
        <v>147</v>
      </c>
      <c r="L5369" t="s">
        <v>650</v>
      </c>
      <c r="M5369" t="s">
        <v>16</v>
      </c>
    </row>
    <row r="5370" spans="1:13">
      <c r="A5370" t="s">
        <v>851</v>
      </c>
      <c r="B5370" t="s">
        <v>686</v>
      </c>
      <c r="C5370" t="s">
        <v>686</v>
      </c>
      <c r="D5370" t="s">
        <v>3185</v>
      </c>
      <c r="E5370" t="s">
        <v>656</v>
      </c>
      <c r="F5370" t="s">
        <v>31</v>
      </c>
      <c r="G5370">
        <v>2050</v>
      </c>
      <c r="H5370" s="12">
        <v>15.41</v>
      </c>
      <c r="I5370" t="s">
        <v>3183</v>
      </c>
      <c r="J5370" t="s">
        <v>394</v>
      </c>
      <c r="K5370" t="s">
        <v>147</v>
      </c>
      <c r="L5370" t="s">
        <v>650</v>
      </c>
      <c r="M5370" t="s">
        <v>16</v>
      </c>
    </row>
    <row r="5371" spans="1:13">
      <c r="A5371" t="s">
        <v>851</v>
      </c>
      <c r="B5371" t="s">
        <v>687</v>
      </c>
      <c r="C5371" t="s">
        <v>687</v>
      </c>
      <c r="D5371" t="s">
        <v>3185</v>
      </c>
      <c r="E5371" t="s">
        <v>656</v>
      </c>
      <c r="F5371" t="s">
        <v>31</v>
      </c>
      <c r="G5371">
        <v>2030</v>
      </c>
      <c r="H5371" s="12">
        <v>16.239999999999998</v>
      </c>
      <c r="I5371" t="s">
        <v>3183</v>
      </c>
      <c r="J5371" t="s">
        <v>394</v>
      </c>
      <c r="K5371" t="s">
        <v>147</v>
      </c>
      <c r="L5371" t="s">
        <v>650</v>
      </c>
      <c r="M5371" t="s">
        <v>16</v>
      </c>
    </row>
    <row r="5372" spans="1:13">
      <c r="A5372" t="s">
        <v>851</v>
      </c>
      <c r="B5372" t="s">
        <v>687</v>
      </c>
      <c r="C5372" t="s">
        <v>687</v>
      </c>
      <c r="D5372" t="s">
        <v>3185</v>
      </c>
      <c r="E5372" t="s">
        <v>656</v>
      </c>
      <c r="F5372" t="s">
        <v>31</v>
      </c>
      <c r="G5372">
        <v>2035</v>
      </c>
      <c r="H5372" s="12">
        <v>5.64</v>
      </c>
      <c r="I5372" t="s">
        <v>3183</v>
      </c>
      <c r="J5372" t="s">
        <v>394</v>
      </c>
      <c r="K5372" t="s">
        <v>147</v>
      </c>
      <c r="L5372" t="s">
        <v>650</v>
      </c>
      <c r="M5372" t="s">
        <v>16</v>
      </c>
    </row>
    <row r="5373" spans="1:13">
      <c r="A5373" t="s">
        <v>851</v>
      </c>
      <c r="B5373" t="s">
        <v>687</v>
      </c>
      <c r="C5373" t="s">
        <v>687</v>
      </c>
      <c r="D5373" t="s">
        <v>3185</v>
      </c>
      <c r="E5373" t="s">
        <v>656</v>
      </c>
      <c r="F5373" t="s">
        <v>31</v>
      </c>
      <c r="G5373">
        <v>2040</v>
      </c>
      <c r="H5373" s="12">
        <v>4.1100000000000003</v>
      </c>
      <c r="I5373" t="s">
        <v>3183</v>
      </c>
      <c r="J5373" t="s">
        <v>394</v>
      </c>
      <c r="K5373" t="s">
        <v>147</v>
      </c>
      <c r="L5373" t="s">
        <v>650</v>
      </c>
      <c r="M5373" t="s">
        <v>16</v>
      </c>
    </row>
    <row r="5374" spans="1:13">
      <c r="A5374" t="s">
        <v>851</v>
      </c>
      <c r="B5374" t="s">
        <v>687</v>
      </c>
      <c r="C5374" t="s">
        <v>687</v>
      </c>
      <c r="D5374" t="s">
        <v>3185</v>
      </c>
      <c r="E5374" t="s">
        <v>656</v>
      </c>
      <c r="F5374" t="s">
        <v>31</v>
      </c>
      <c r="G5374">
        <v>2045</v>
      </c>
      <c r="H5374" s="12">
        <v>2.97</v>
      </c>
      <c r="I5374" t="s">
        <v>3183</v>
      </c>
      <c r="J5374" t="s">
        <v>394</v>
      </c>
      <c r="K5374" t="s">
        <v>147</v>
      </c>
      <c r="L5374" t="s">
        <v>650</v>
      </c>
      <c r="M5374" t="s">
        <v>16</v>
      </c>
    </row>
    <row r="5375" spans="1:13">
      <c r="A5375" t="s">
        <v>851</v>
      </c>
      <c r="B5375" t="s">
        <v>687</v>
      </c>
      <c r="C5375" t="s">
        <v>687</v>
      </c>
      <c r="D5375" t="s">
        <v>3185</v>
      </c>
      <c r="E5375" t="s">
        <v>656</v>
      </c>
      <c r="F5375" t="s">
        <v>31</v>
      </c>
      <c r="G5375">
        <v>2050</v>
      </c>
      <c r="H5375" s="12">
        <v>2.0099999999999998</v>
      </c>
      <c r="I5375" t="s">
        <v>3183</v>
      </c>
      <c r="J5375" t="s">
        <v>394</v>
      </c>
      <c r="K5375" t="s">
        <v>147</v>
      </c>
      <c r="L5375" t="s">
        <v>650</v>
      </c>
      <c r="M5375" t="s">
        <v>16</v>
      </c>
    </row>
    <row r="5376" spans="1:13">
      <c r="A5376" t="s">
        <v>851</v>
      </c>
      <c r="B5376" t="s">
        <v>686</v>
      </c>
      <c r="C5376" t="s">
        <v>686</v>
      </c>
      <c r="D5376" t="s">
        <v>3185</v>
      </c>
      <c r="E5376" t="s">
        <v>656</v>
      </c>
      <c r="F5376" t="s">
        <v>31</v>
      </c>
      <c r="G5376">
        <v>2010</v>
      </c>
      <c r="H5376" s="12">
        <v>0.02</v>
      </c>
      <c r="I5376" t="s">
        <v>3183</v>
      </c>
      <c r="J5376" t="s">
        <v>484</v>
      </c>
      <c r="K5376" t="s">
        <v>147</v>
      </c>
      <c r="L5376" t="s">
        <v>650</v>
      </c>
      <c r="M5376" t="s">
        <v>667</v>
      </c>
    </row>
    <row r="5377" spans="1:13">
      <c r="A5377" t="s">
        <v>851</v>
      </c>
      <c r="B5377" t="s">
        <v>686</v>
      </c>
      <c r="C5377" t="s">
        <v>686</v>
      </c>
      <c r="D5377" t="s">
        <v>3185</v>
      </c>
      <c r="E5377" t="s">
        <v>656</v>
      </c>
      <c r="F5377" t="s">
        <v>31</v>
      </c>
      <c r="G5377">
        <v>2015</v>
      </c>
      <c r="H5377" s="12">
        <v>0.32</v>
      </c>
      <c r="I5377" t="s">
        <v>3183</v>
      </c>
      <c r="J5377" t="s">
        <v>484</v>
      </c>
      <c r="K5377" t="s">
        <v>147</v>
      </c>
      <c r="L5377" t="s">
        <v>650</v>
      </c>
      <c r="M5377" t="s">
        <v>667</v>
      </c>
    </row>
    <row r="5378" spans="1:13">
      <c r="A5378" t="s">
        <v>851</v>
      </c>
      <c r="B5378" t="s">
        <v>686</v>
      </c>
      <c r="C5378" t="s">
        <v>686</v>
      </c>
      <c r="D5378" t="s">
        <v>3185</v>
      </c>
      <c r="E5378" t="s">
        <v>656</v>
      </c>
      <c r="F5378" t="s">
        <v>31</v>
      </c>
      <c r="G5378">
        <v>2020</v>
      </c>
      <c r="H5378" s="12">
        <v>4.29</v>
      </c>
      <c r="I5378" t="s">
        <v>3183</v>
      </c>
      <c r="J5378" t="s">
        <v>484</v>
      </c>
      <c r="K5378" t="s">
        <v>147</v>
      </c>
      <c r="L5378" t="s">
        <v>650</v>
      </c>
      <c r="M5378" t="s">
        <v>667</v>
      </c>
    </row>
    <row r="5379" spans="1:13">
      <c r="A5379" t="s">
        <v>851</v>
      </c>
      <c r="B5379" t="s">
        <v>686</v>
      </c>
      <c r="C5379" t="s">
        <v>686</v>
      </c>
      <c r="D5379" t="s">
        <v>3185</v>
      </c>
      <c r="E5379" t="s">
        <v>656</v>
      </c>
      <c r="F5379" t="s">
        <v>31</v>
      </c>
      <c r="G5379">
        <v>2030</v>
      </c>
      <c r="H5379" s="12">
        <v>40.200000000000003</v>
      </c>
      <c r="I5379" t="s">
        <v>3183</v>
      </c>
      <c r="J5379" t="s">
        <v>484</v>
      </c>
      <c r="K5379" t="s">
        <v>147</v>
      </c>
      <c r="L5379" t="s">
        <v>650</v>
      </c>
      <c r="M5379" t="s">
        <v>667</v>
      </c>
    </row>
    <row r="5380" spans="1:13">
      <c r="A5380" t="s">
        <v>851</v>
      </c>
      <c r="B5380" t="s">
        <v>686</v>
      </c>
      <c r="C5380" t="s">
        <v>686</v>
      </c>
      <c r="D5380" t="s">
        <v>3185</v>
      </c>
      <c r="E5380" t="s">
        <v>656</v>
      </c>
      <c r="F5380" t="s">
        <v>31</v>
      </c>
      <c r="G5380">
        <v>2035</v>
      </c>
      <c r="H5380" s="12">
        <v>73.709999999999994</v>
      </c>
      <c r="I5380" t="s">
        <v>3183</v>
      </c>
      <c r="J5380" t="s">
        <v>484</v>
      </c>
      <c r="K5380" t="s">
        <v>147</v>
      </c>
      <c r="L5380" t="s">
        <v>650</v>
      </c>
      <c r="M5380" t="s">
        <v>667</v>
      </c>
    </row>
    <row r="5381" spans="1:13">
      <c r="A5381" t="s">
        <v>851</v>
      </c>
      <c r="B5381" t="s">
        <v>686</v>
      </c>
      <c r="C5381" t="s">
        <v>686</v>
      </c>
      <c r="D5381" t="s">
        <v>3185</v>
      </c>
      <c r="E5381" t="s">
        <v>656</v>
      </c>
      <c r="F5381" t="s">
        <v>31</v>
      </c>
      <c r="G5381">
        <v>2040</v>
      </c>
      <c r="H5381" s="12">
        <v>114.38</v>
      </c>
      <c r="I5381" t="s">
        <v>3183</v>
      </c>
      <c r="J5381" t="s">
        <v>484</v>
      </c>
      <c r="K5381" t="s">
        <v>147</v>
      </c>
      <c r="L5381" t="s">
        <v>650</v>
      </c>
      <c r="M5381" t="s">
        <v>667</v>
      </c>
    </row>
    <row r="5382" spans="1:13">
      <c r="A5382" t="s">
        <v>851</v>
      </c>
      <c r="B5382" t="s">
        <v>686</v>
      </c>
      <c r="C5382" t="s">
        <v>686</v>
      </c>
      <c r="D5382" t="s">
        <v>3185</v>
      </c>
      <c r="E5382" t="s">
        <v>656</v>
      </c>
      <c r="F5382" t="s">
        <v>31</v>
      </c>
      <c r="G5382">
        <v>2045</v>
      </c>
      <c r="H5382" s="12">
        <v>161.04</v>
      </c>
      <c r="I5382" t="s">
        <v>3183</v>
      </c>
      <c r="J5382" t="s">
        <v>484</v>
      </c>
      <c r="K5382" t="s">
        <v>147</v>
      </c>
      <c r="L5382" t="s">
        <v>650</v>
      </c>
      <c r="M5382" t="s">
        <v>667</v>
      </c>
    </row>
    <row r="5383" spans="1:13">
      <c r="A5383" t="s">
        <v>851</v>
      </c>
      <c r="B5383" t="s">
        <v>686</v>
      </c>
      <c r="C5383" t="s">
        <v>686</v>
      </c>
      <c r="D5383" t="s">
        <v>3185</v>
      </c>
      <c r="E5383" t="s">
        <v>656</v>
      </c>
      <c r="F5383" t="s">
        <v>31</v>
      </c>
      <c r="G5383">
        <v>2050</v>
      </c>
      <c r="H5383" s="12">
        <v>211.18</v>
      </c>
      <c r="I5383" t="s">
        <v>3183</v>
      </c>
      <c r="J5383" t="s">
        <v>484</v>
      </c>
      <c r="K5383" t="s">
        <v>147</v>
      </c>
      <c r="L5383" t="s">
        <v>650</v>
      </c>
      <c r="M5383" t="s">
        <v>667</v>
      </c>
    </row>
    <row r="5384" spans="1:13">
      <c r="A5384" t="s">
        <v>851</v>
      </c>
      <c r="B5384" t="s">
        <v>687</v>
      </c>
      <c r="C5384" t="s">
        <v>687</v>
      </c>
      <c r="D5384" t="s">
        <v>3185</v>
      </c>
      <c r="E5384" t="s">
        <v>656</v>
      </c>
      <c r="F5384" t="s">
        <v>31</v>
      </c>
      <c r="G5384">
        <v>2030</v>
      </c>
      <c r="H5384" s="12">
        <v>85.4</v>
      </c>
      <c r="I5384" t="s">
        <v>3183</v>
      </c>
      <c r="J5384" t="s">
        <v>484</v>
      </c>
      <c r="K5384" t="s">
        <v>147</v>
      </c>
      <c r="L5384" t="s">
        <v>650</v>
      </c>
      <c r="M5384" t="s">
        <v>667</v>
      </c>
    </row>
    <row r="5385" spans="1:13">
      <c r="A5385" t="s">
        <v>851</v>
      </c>
      <c r="B5385" t="s">
        <v>687</v>
      </c>
      <c r="C5385" t="s">
        <v>687</v>
      </c>
      <c r="D5385" t="s">
        <v>3185</v>
      </c>
      <c r="E5385" t="s">
        <v>656</v>
      </c>
      <c r="F5385" t="s">
        <v>31</v>
      </c>
      <c r="G5385">
        <v>2035</v>
      </c>
      <c r="H5385" s="12">
        <v>151.91999999999999</v>
      </c>
      <c r="I5385" t="s">
        <v>3183</v>
      </c>
      <c r="J5385" t="s">
        <v>484</v>
      </c>
      <c r="K5385" t="s">
        <v>147</v>
      </c>
      <c r="L5385" t="s">
        <v>650</v>
      </c>
      <c r="M5385" t="s">
        <v>667</v>
      </c>
    </row>
    <row r="5386" spans="1:13">
      <c r="A5386" t="s">
        <v>851</v>
      </c>
      <c r="B5386" t="s">
        <v>687</v>
      </c>
      <c r="C5386" t="s">
        <v>687</v>
      </c>
      <c r="D5386" t="s">
        <v>3185</v>
      </c>
      <c r="E5386" t="s">
        <v>656</v>
      </c>
      <c r="F5386" t="s">
        <v>31</v>
      </c>
      <c r="G5386">
        <v>2040</v>
      </c>
      <c r="H5386" s="12">
        <v>219.82</v>
      </c>
      <c r="I5386" t="s">
        <v>3183</v>
      </c>
      <c r="J5386" t="s">
        <v>484</v>
      </c>
      <c r="K5386" t="s">
        <v>147</v>
      </c>
      <c r="L5386" t="s">
        <v>650</v>
      </c>
      <c r="M5386" t="s">
        <v>667</v>
      </c>
    </row>
    <row r="5387" spans="1:13">
      <c r="A5387" t="s">
        <v>851</v>
      </c>
      <c r="B5387" t="s">
        <v>687</v>
      </c>
      <c r="C5387" t="s">
        <v>687</v>
      </c>
      <c r="D5387" t="s">
        <v>3185</v>
      </c>
      <c r="E5387" t="s">
        <v>656</v>
      </c>
      <c r="F5387" t="s">
        <v>31</v>
      </c>
      <c r="G5387">
        <v>2045</v>
      </c>
      <c r="H5387" s="12">
        <v>273.45999999999998</v>
      </c>
      <c r="I5387" t="s">
        <v>3183</v>
      </c>
      <c r="J5387" t="s">
        <v>484</v>
      </c>
      <c r="K5387" t="s">
        <v>147</v>
      </c>
      <c r="L5387" t="s">
        <v>650</v>
      </c>
      <c r="M5387" t="s">
        <v>667</v>
      </c>
    </row>
    <row r="5388" spans="1:13">
      <c r="A5388" t="s">
        <v>851</v>
      </c>
      <c r="B5388" t="s">
        <v>687</v>
      </c>
      <c r="C5388" t="s">
        <v>687</v>
      </c>
      <c r="D5388" t="s">
        <v>3185</v>
      </c>
      <c r="E5388" t="s">
        <v>656</v>
      </c>
      <c r="F5388" t="s">
        <v>31</v>
      </c>
      <c r="G5388">
        <v>2050</v>
      </c>
      <c r="H5388" s="12">
        <v>322.37</v>
      </c>
      <c r="I5388" t="s">
        <v>3183</v>
      </c>
      <c r="J5388" t="s">
        <v>484</v>
      </c>
      <c r="K5388" t="s">
        <v>147</v>
      </c>
      <c r="L5388" t="s">
        <v>650</v>
      </c>
      <c r="M5388" t="s">
        <v>667</v>
      </c>
    </row>
    <row r="5389" spans="1:13">
      <c r="A5389" t="s">
        <v>851</v>
      </c>
      <c r="B5389" t="s">
        <v>687</v>
      </c>
      <c r="C5389" t="s">
        <v>687</v>
      </c>
      <c r="D5389" t="s">
        <v>3185</v>
      </c>
      <c r="E5389" t="s">
        <v>461</v>
      </c>
      <c r="F5389" t="s">
        <v>668</v>
      </c>
      <c r="G5389">
        <v>2040</v>
      </c>
      <c r="H5389" s="12">
        <v>0.82</v>
      </c>
      <c r="I5389" t="s">
        <v>3183</v>
      </c>
      <c r="J5389" t="s">
        <v>394</v>
      </c>
      <c r="K5389" t="s">
        <v>147</v>
      </c>
      <c r="L5389" t="s">
        <v>650</v>
      </c>
      <c r="M5389" t="s">
        <v>16</v>
      </c>
    </row>
    <row r="5390" spans="1:13">
      <c r="A5390" t="s">
        <v>851</v>
      </c>
      <c r="B5390" t="s">
        <v>687</v>
      </c>
      <c r="C5390" t="s">
        <v>687</v>
      </c>
      <c r="D5390" t="s">
        <v>3185</v>
      </c>
      <c r="E5390" t="s">
        <v>461</v>
      </c>
      <c r="F5390" t="s">
        <v>668</v>
      </c>
      <c r="G5390">
        <v>2045</v>
      </c>
      <c r="H5390" s="12">
        <v>0.43</v>
      </c>
      <c r="I5390" t="s">
        <v>3183</v>
      </c>
      <c r="J5390" t="s">
        <v>394</v>
      </c>
      <c r="K5390" t="s">
        <v>147</v>
      </c>
      <c r="L5390" t="s">
        <v>650</v>
      </c>
      <c r="M5390" t="s">
        <v>16</v>
      </c>
    </row>
    <row r="5391" spans="1:13">
      <c r="A5391" t="s">
        <v>851</v>
      </c>
      <c r="B5391" t="s">
        <v>687</v>
      </c>
      <c r="C5391" t="s">
        <v>687</v>
      </c>
      <c r="D5391" t="s">
        <v>3185</v>
      </c>
      <c r="E5391" t="s">
        <v>461</v>
      </c>
      <c r="F5391" t="s">
        <v>668</v>
      </c>
      <c r="G5391">
        <v>2050</v>
      </c>
      <c r="H5391" s="12">
        <v>0.11</v>
      </c>
      <c r="I5391" t="s">
        <v>3183</v>
      </c>
      <c r="J5391" t="s">
        <v>394</v>
      </c>
      <c r="K5391" t="s">
        <v>147</v>
      </c>
      <c r="L5391" t="s">
        <v>650</v>
      </c>
      <c r="M5391" t="s">
        <v>16</v>
      </c>
    </row>
    <row r="5392" spans="1:13">
      <c r="A5392" t="s">
        <v>851</v>
      </c>
      <c r="B5392" t="s">
        <v>686</v>
      </c>
      <c r="C5392" t="s">
        <v>686</v>
      </c>
      <c r="D5392" t="s">
        <v>3185</v>
      </c>
      <c r="E5392" t="s">
        <v>656</v>
      </c>
      <c r="F5392" t="s">
        <v>31</v>
      </c>
      <c r="G5392">
        <v>2010</v>
      </c>
      <c r="H5392" s="12">
        <v>30.19</v>
      </c>
      <c r="I5392" t="s">
        <v>3183</v>
      </c>
      <c r="J5392" t="s">
        <v>17</v>
      </c>
      <c r="K5392" t="s">
        <v>147</v>
      </c>
      <c r="L5392" t="s">
        <v>650</v>
      </c>
      <c r="M5392" t="s">
        <v>671</v>
      </c>
    </row>
    <row r="5393" spans="1:13">
      <c r="A5393" t="s">
        <v>851</v>
      </c>
      <c r="B5393" t="s">
        <v>686</v>
      </c>
      <c r="C5393" t="s">
        <v>686</v>
      </c>
      <c r="D5393" t="s">
        <v>3185</v>
      </c>
      <c r="E5393" t="s">
        <v>656</v>
      </c>
      <c r="F5393" t="s">
        <v>31</v>
      </c>
      <c r="G5393">
        <v>2015</v>
      </c>
      <c r="H5393" s="12">
        <v>98.28</v>
      </c>
      <c r="I5393" t="s">
        <v>3183</v>
      </c>
      <c r="J5393" t="s">
        <v>17</v>
      </c>
      <c r="K5393" t="s">
        <v>147</v>
      </c>
      <c r="L5393" t="s">
        <v>650</v>
      </c>
      <c r="M5393" t="s">
        <v>671</v>
      </c>
    </row>
    <row r="5394" spans="1:13">
      <c r="A5394" t="s">
        <v>851</v>
      </c>
      <c r="B5394" t="s">
        <v>686</v>
      </c>
      <c r="C5394" t="s">
        <v>686</v>
      </c>
      <c r="D5394" t="s">
        <v>3185</v>
      </c>
      <c r="E5394" t="s">
        <v>656</v>
      </c>
      <c r="F5394" t="s">
        <v>31</v>
      </c>
      <c r="G5394">
        <v>2020</v>
      </c>
      <c r="H5394" s="12">
        <v>169.49</v>
      </c>
      <c r="I5394" t="s">
        <v>3183</v>
      </c>
      <c r="J5394" t="s">
        <v>17</v>
      </c>
      <c r="K5394" t="s">
        <v>147</v>
      </c>
      <c r="L5394" t="s">
        <v>650</v>
      </c>
      <c r="M5394" t="s">
        <v>671</v>
      </c>
    </row>
    <row r="5395" spans="1:13">
      <c r="A5395" t="s">
        <v>851</v>
      </c>
      <c r="B5395" t="s">
        <v>686</v>
      </c>
      <c r="C5395" t="s">
        <v>686</v>
      </c>
      <c r="D5395" t="s">
        <v>3185</v>
      </c>
      <c r="E5395" t="s">
        <v>656</v>
      </c>
      <c r="F5395" t="s">
        <v>31</v>
      </c>
      <c r="G5395">
        <v>2030</v>
      </c>
      <c r="H5395" s="12">
        <v>481.34</v>
      </c>
      <c r="I5395" t="s">
        <v>3183</v>
      </c>
      <c r="J5395" t="s">
        <v>17</v>
      </c>
      <c r="K5395" t="s">
        <v>147</v>
      </c>
      <c r="L5395" t="s">
        <v>650</v>
      </c>
      <c r="M5395" t="s">
        <v>671</v>
      </c>
    </row>
    <row r="5396" spans="1:13">
      <c r="A5396" t="s">
        <v>851</v>
      </c>
      <c r="B5396" t="s">
        <v>686</v>
      </c>
      <c r="C5396" t="s">
        <v>686</v>
      </c>
      <c r="D5396" t="s">
        <v>3185</v>
      </c>
      <c r="E5396" t="s">
        <v>656</v>
      </c>
      <c r="F5396" t="s">
        <v>31</v>
      </c>
      <c r="G5396">
        <v>2035</v>
      </c>
      <c r="H5396" s="12">
        <v>551.63</v>
      </c>
      <c r="I5396" t="s">
        <v>3183</v>
      </c>
      <c r="J5396" t="s">
        <v>17</v>
      </c>
      <c r="K5396" t="s">
        <v>147</v>
      </c>
      <c r="L5396" t="s">
        <v>650</v>
      </c>
      <c r="M5396" t="s">
        <v>671</v>
      </c>
    </row>
    <row r="5397" spans="1:13">
      <c r="A5397" t="s">
        <v>851</v>
      </c>
      <c r="B5397" t="s">
        <v>686</v>
      </c>
      <c r="C5397" t="s">
        <v>686</v>
      </c>
      <c r="D5397" t="s">
        <v>3185</v>
      </c>
      <c r="E5397" t="s">
        <v>656</v>
      </c>
      <c r="F5397" t="s">
        <v>31</v>
      </c>
      <c r="G5397">
        <v>2030</v>
      </c>
      <c r="H5397" s="12">
        <v>431.94</v>
      </c>
      <c r="I5397" t="s">
        <v>3183</v>
      </c>
      <c r="J5397" t="s">
        <v>18</v>
      </c>
      <c r="K5397" t="s">
        <v>147</v>
      </c>
      <c r="L5397" t="s">
        <v>650</v>
      </c>
      <c r="M5397" t="s">
        <v>18</v>
      </c>
    </row>
    <row r="5398" spans="1:13">
      <c r="A5398" t="s">
        <v>851</v>
      </c>
      <c r="B5398" t="s">
        <v>686</v>
      </c>
      <c r="C5398" t="s">
        <v>686</v>
      </c>
      <c r="D5398" t="s">
        <v>3185</v>
      </c>
      <c r="E5398" t="s">
        <v>656</v>
      </c>
      <c r="F5398" t="s">
        <v>31</v>
      </c>
      <c r="G5398">
        <v>2035</v>
      </c>
      <c r="H5398" s="12">
        <v>514.15</v>
      </c>
      <c r="I5398" t="s">
        <v>3183</v>
      </c>
      <c r="J5398" t="s">
        <v>18</v>
      </c>
      <c r="K5398" t="s">
        <v>147</v>
      </c>
      <c r="L5398" t="s">
        <v>650</v>
      </c>
      <c r="M5398" t="s">
        <v>18</v>
      </c>
    </row>
    <row r="5399" spans="1:13">
      <c r="A5399" t="s">
        <v>851</v>
      </c>
      <c r="B5399" t="s">
        <v>686</v>
      </c>
      <c r="C5399" t="s">
        <v>686</v>
      </c>
      <c r="D5399" t="s">
        <v>3185</v>
      </c>
      <c r="E5399" t="s">
        <v>656</v>
      </c>
      <c r="F5399" t="s">
        <v>31</v>
      </c>
      <c r="G5399">
        <v>2040</v>
      </c>
      <c r="H5399" s="12">
        <v>556.82000000000005</v>
      </c>
      <c r="I5399" t="s">
        <v>3183</v>
      </c>
      <c r="J5399" t="s">
        <v>18</v>
      </c>
      <c r="K5399" t="s">
        <v>147</v>
      </c>
      <c r="L5399" t="s">
        <v>650</v>
      </c>
      <c r="M5399" t="s">
        <v>18</v>
      </c>
    </row>
    <row r="5400" spans="1:13">
      <c r="A5400" t="s">
        <v>851</v>
      </c>
      <c r="B5400" t="s">
        <v>686</v>
      </c>
      <c r="C5400" t="s">
        <v>686</v>
      </c>
      <c r="D5400" t="s">
        <v>3185</v>
      </c>
      <c r="E5400" t="s">
        <v>656</v>
      </c>
      <c r="F5400" t="s">
        <v>31</v>
      </c>
      <c r="G5400">
        <v>2045</v>
      </c>
      <c r="H5400" s="12">
        <v>583.6</v>
      </c>
      <c r="I5400" t="s">
        <v>3183</v>
      </c>
      <c r="J5400" t="s">
        <v>18</v>
      </c>
      <c r="K5400" t="s">
        <v>147</v>
      </c>
      <c r="L5400" t="s">
        <v>650</v>
      </c>
      <c r="M5400" t="s">
        <v>18</v>
      </c>
    </row>
    <row r="5401" spans="1:13">
      <c r="A5401" t="s">
        <v>851</v>
      </c>
      <c r="B5401" t="s">
        <v>686</v>
      </c>
      <c r="C5401" t="s">
        <v>686</v>
      </c>
      <c r="D5401" t="s">
        <v>3185</v>
      </c>
      <c r="E5401" t="s">
        <v>656</v>
      </c>
      <c r="F5401" t="s">
        <v>31</v>
      </c>
      <c r="G5401">
        <v>2050</v>
      </c>
      <c r="H5401" s="12">
        <v>606.66999999999996</v>
      </c>
      <c r="I5401" t="s">
        <v>3183</v>
      </c>
      <c r="J5401" t="s">
        <v>18</v>
      </c>
      <c r="K5401" t="s">
        <v>147</v>
      </c>
      <c r="L5401" t="s">
        <v>650</v>
      </c>
      <c r="M5401" t="s">
        <v>18</v>
      </c>
    </row>
    <row r="5402" spans="1:13">
      <c r="A5402" t="s">
        <v>851</v>
      </c>
      <c r="B5402" t="s">
        <v>687</v>
      </c>
      <c r="C5402" t="s">
        <v>687</v>
      </c>
      <c r="D5402" t="s">
        <v>3185</v>
      </c>
      <c r="E5402" t="s">
        <v>656</v>
      </c>
      <c r="F5402" t="s">
        <v>31</v>
      </c>
      <c r="G5402">
        <v>2030</v>
      </c>
      <c r="H5402" s="12">
        <v>580.33000000000004</v>
      </c>
      <c r="I5402" t="s">
        <v>3183</v>
      </c>
      <c r="J5402" t="s">
        <v>18</v>
      </c>
      <c r="K5402" t="s">
        <v>147</v>
      </c>
      <c r="L5402" t="s">
        <v>650</v>
      </c>
      <c r="M5402" t="s">
        <v>18</v>
      </c>
    </row>
    <row r="5403" spans="1:13">
      <c r="A5403" t="s">
        <v>851</v>
      </c>
      <c r="B5403" t="s">
        <v>687</v>
      </c>
      <c r="C5403" t="s">
        <v>687</v>
      </c>
      <c r="D5403" t="s">
        <v>3185</v>
      </c>
      <c r="E5403" t="s">
        <v>656</v>
      </c>
      <c r="F5403" t="s">
        <v>31</v>
      </c>
      <c r="G5403">
        <v>2035</v>
      </c>
      <c r="H5403" s="12">
        <v>788.42</v>
      </c>
      <c r="I5403" t="s">
        <v>3183</v>
      </c>
      <c r="J5403" t="s">
        <v>18</v>
      </c>
      <c r="K5403" t="s">
        <v>147</v>
      </c>
      <c r="L5403" t="s">
        <v>650</v>
      </c>
      <c r="M5403" t="s">
        <v>18</v>
      </c>
    </row>
    <row r="5404" spans="1:13">
      <c r="A5404" t="s">
        <v>851</v>
      </c>
      <c r="B5404" t="s">
        <v>687</v>
      </c>
      <c r="C5404" t="s">
        <v>687</v>
      </c>
      <c r="D5404" t="s">
        <v>3185</v>
      </c>
      <c r="E5404" t="s">
        <v>656</v>
      </c>
      <c r="F5404" t="s">
        <v>31</v>
      </c>
      <c r="G5404">
        <v>2040</v>
      </c>
      <c r="H5404" s="12">
        <v>911.67</v>
      </c>
      <c r="I5404" t="s">
        <v>3183</v>
      </c>
      <c r="J5404" t="s">
        <v>18</v>
      </c>
      <c r="K5404" t="s">
        <v>147</v>
      </c>
      <c r="L5404" t="s">
        <v>650</v>
      </c>
      <c r="M5404" t="s">
        <v>18</v>
      </c>
    </row>
    <row r="5405" spans="1:13">
      <c r="A5405" t="s">
        <v>851</v>
      </c>
      <c r="B5405" t="s">
        <v>687</v>
      </c>
      <c r="C5405" t="s">
        <v>687</v>
      </c>
      <c r="D5405" t="s">
        <v>3185</v>
      </c>
      <c r="E5405" t="s">
        <v>656</v>
      </c>
      <c r="F5405" t="s">
        <v>31</v>
      </c>
      <c r="G5405">
        <v>2045</v>
      </c>
      <c r="H5405" s="12">
        <v>979.81</v>
      </c>
      <c r="I5405" t="s">
        <v>3183</v>
      </c>
      <c r="J5405" t="s">
        <v>18</v>
      </c>
      <c r="K5405" t="s">
        <v>147</v>
      </c>
      <c r="L5405" t="s">
        <v>650</v>
      </c>
      <c r="M5405" t="s">
        <v>18</v>
      </c>
    </row>
    <row r="5406" spans="1:13">
      <c r="A5406" t="s">
        <v>851</v>
      </c>
      <c r="B5406" t="s">
        <v>687</v>
      </c>
      <c r="C5406" t="s">
        <v>687</v>
      </c>
      <c r="D5406" t="s">
        <v>3185</v>
      </c>
      <c r="E5406" t="s">
        <v>656</v>
      </c>
      <c r="F5406" t="s">
        <v>31</v>
      </c>
      <c r="G5406">
        <v>2050</v>
      </c>
      <c r="H5406" s="12">
        <v>1040.42</v>
      </c>
      <c r="I5406" t="s">
        <v>3183</v>
      </c>
      <c r="J5406" t="s">
        <v>18</v>
      </c>
      <c r="K5406" t="s">
        <v>147</v>
      </c>
      <c r="L5406" t="s">
        <v>650</v>
      </c>
      <c r="M5406" t="s">
        <v>18</v>
      </c>
    </row>
    <row r="5407" spans="1:13">
      <c r="A5407" t="s">
        <v>851</v>
      </c>
      <c r="B5407" t="s">
        <v>686</v>
      </c>
      <c r="C5407" t="s">
        <v>686</v>
      </c>
      <c r="D5407" t="s">
        <v>3185</v>
      </c>
      <c r="E5407" t="s">
        <v>656</v>
      </c>
      <c r="F5407" t="s">
        <v>31</v>
      </c>
      <c r="G5407">
        <v>2010</v>
      </c>
      <c r="H5407" s="12">
        <v>221.78</v>
      </c>
      <c r="I5407" t="s">
        <v>3183</v>
      </c>
      <c r="J5407" t="s">
        <v>14</v>
      </c>
      <c r="K5407" t="s">
        <v>147</v>
      </c>
      <c r="L5407" t="s">
        <v>650</v>
      </c>
      <c r="M5407" t="s">
        <v>14</v>
      </c>
    </row>
    <row r="5408" spans="1:13">
      <c r="A5408" t="s">
        <v>851</v>
      </c>
      <c r="B5408" t="s">
        <v>686</v>
      </c>
      <c r="C5408" t="s">
        <v>686</v>
      </c>
      <c r="D5408" t="s">
        <v>3185</v>
      </c>
      <c r="E5408" t="s">
        <v>656</v>
      </c>
      <c r="F5408" t="s">
        <v>31</v>
      </c>
      <c r="G5408">
        <v>2015</v>
      </c>
      <c r="H5408" s="12">
        <v>240.22</v>
      </c>
      <c r="I5408" t="s">
        <v>3183</v>
      </c>
      <c r="J5408" t="s">
        <v>14</v>
      </c>
      <c r="K5408" t="s">
        <v>147</v>
      </c>
      <c r="L5408" t="s">
        <v>650</v>
      </c>
      <c r="M5408" t="s">
        <v>14</v>
      </c>
    </row>
    <row r="5409" spans="1:13">
      <c r="A5409" t="s">
        <v>851</v>
      </c>
      <c r="B5409" t="s">
        <v>686</v>
      </c>
      <c r="C5409" t="s">
        <v>686</v>
      </c>
      <c r="D5409" t="s">
        <v>3185</v>
      </c>
      <c r="E5409" t="s">
        <v>656</v>
      </c>
      <c r="F5409" t="s">
        <v>31</v>
      </c>
      <c r="G5409">
        <v>2020</v>
      </c>
      <c r="H5409" s="12">
        <v>253.98</v>
      </c>
      <c r="I5409" t="s">
        <v>3183</v>
      </c>
      <c r="J5409" t="s">
        <v>14</v>
      </c>
      <c r="K5409" t="s">
        <v>147</v>
      </c>
      <c r="L5409" t="s">
        <v>650</v>
      </c>
      <c r="M5409" t="s">
        <v>14</v>
      </c>
    </row>
    <row r="5410" spans="1:13">
      <c r="A5410" t="s">
        <v>851</v>
      </c>
      <c r="B5410" t="s">
        <v>686</v>
      </c>
      <c r="C5410" t="s">
        <v>686</v>
      </c>
      <c r="D5410" t="s">
        <v>3185</v>
      </c>
      <c r="E5410" t="s">
        <v>656</v>
      </c>
      <c r="F5410" t="s">
        <v>31</v>
      </c>
      <c r="G5410">
        <v>2030</v>
      </c>
      <c r="H5410" s="12">
        <v>273.62</v>
      </c>
      <c r="I5410" t="s">
        <v>3183</v>
      </c>
      <c r="J5410" t="s">
        <v>14</v>
      </c>
      <c r="K5410" t="s">
        <v>147</v>
      </c>
      <c r="L5410" t="s">
        <v>650</v>
      </c>
      <c r="M5410" t="s">
        <v>14</v>
      </c>
    </row>
    <row r="5411" spans="1:13">
      <c r="A5411" t="s">
        <v>851</v>
      </c>
      <c r="B5411" t="s">
        <v>686</v>
      </c>
      <c r="C5411" t="s">
        <v>686</v>
      </c>
      <c r="D5411" t="s">
        <v>3185</v>
      </c>
      <c r="E5411" t="s">
        <v>656</v>
      </c>
      <c r="F5411" t="s">
        <v>31</v>
      </c>
      <c r="G5411">
        <v>2035</v>
      </c>
      <c r="H5411" s="12">
        <v>284.18</v>
      </c>
      <c r="I5411" t="s">
        <v>3183</v>
      </c>
      <c r="J5411" t="s">
        <v>14</v>
      </c>
      <c r="K5411" t="s">
        <v>147</v>
      </c>
      <c r="L5411" t="s">
        <v>650</v>
      </c>
      <c r="M5411" t="s">
        <v>14</v>
      </c>
    </row>
    <row r="5412" spans="1:13">
      <c r="A5412" t="s">
        <v>851</v>
      </c>
      <c r="B5412" t="s">
        <v>686</v>
      </c>
      <c r="C5412" t="s">
        <v>686</v>
      </c>
      <c r="D5412" t="s">
        <v>3185</v>
      </c>
      <c r="E5412" t="s">
        <v>656</v>
      </c>
      <c r="F5412" t="s">
        <v>31</v>
      </c>
      <c r="G5412">
        <v>2040</v>
      </c>
      <c r="H5412" s="12">
        <v>294.3</v>
      </c>
      <c r="I5412" t="s">
        <v>3183</v>
      </c>
      <c r="J5412" t="s">
        <v>14</v>
      </c>
      <c r="K5412" t="s">
        <v>147</v>
      </c>
      <c r="L5412" t="s">
        <v>650</v>
      </c>
      <c r="M5412" t="s">
        <v>14</v>
      </c>
    </row>
    <row r="5413" spans="1:13">
      <c r="A5413" t="s">
        <v>851</v>
      </c>
      <c r="B5413" t="s">
        <v>686</v>
      </c>
      <c r="C5413" t="s">
        <v>686</v>
      </c>
      <c r="D5413" t="s">
        <v>3185</v>
      </c>
      <c r="E5413" t="s">
        <v>656</v>
      </c>
      <c r="F5413" t="s">
        <v>31</v>
      </c>
      <c r="G5413">
        <v>2045</v>
      </c>
      <c r="H5413" s="12">
        <v>303.92</v>
      </c>
      <c r="I5413" t="s">
        <v>3183</v>
      </c>
      <c r="J5413" t="s">
        <v>14</v>
      </c>
      <c r="K5413" t="s">
        <v>147</v>
      </c>
      <c r="L5413" t="s">
        <v>650</v>
      </c>
      <c r="M5413" t="s">
        <v>14</v>
      </c>
    </row>
    <row r="5414" spans="1:13">
      <c r="A5414" t="s">
        <v>851</v>
      </c>
      <c r="B5414" t="s">
        <v>686</v>
      </c>
      <c r="C5414" t="s">
        <v>686</v>
      </c>
      <c r="D5414" t="s">
        <v>3185</v>
      </c>
      <c r="E5414" t="s">
        <v>656</v>
      </c>
      <c r="F5414" t="s">
        <v>31</v>
      </c>
      <c r="G5414">
        <v>2050</v>
      </c>
      <c r="H5414" s="12">
        <v>313.48</v>
      </c>
      <c r="I5414" t="s">
        <v>3183</v>
      </c>
      <c r="J5414" t="s">
        <v>14</v>
      </c>
      <c r="K5414" t="s">
        <v>147</v>
      </c>
      <c r="L5414" t="s">
        <v>650</v>
      </c>
      <c r="M5414" t="s">
        <v>14</v>
      </c>
    </row>
    <row r="5415" spans="1:13">
      <c r="A5415" t="s">
        <v>851</v>
      </c>
      <c r="B5415" t="s">
        <v>687</v>
      </c>
      <c r="C5415" t="s">
        <v>687</v>
      </c>
      <c r="D5415" t="s">
        <v>3185</v>
      </c>
      <c r="E5415" t="s">
        <v>656</v>
      </c>
      <c r="F5415" t="s">
        <v>31</v>
      </c>
      <c r="G5415">
        <v>2030</v>
      </c>
      <c r="H5415" s="12">
        <v>281.47000000000003</v>
      </c>
      <c r="I5415" t="s">
        <v>3183</v>
      </c>
      <c r="J5415" t="s">
        <v>14</v>
      </c>
      <c r="K5415" t="s">
        <v>147</v>
      </c>
      <c r="L5415" t="s">
        <v>650</v>
      </c>
      <c r="M5415" t="s">
        <v>14</v>
      </c>
    </row>
    <row r="5416" spans="1:13">
      <c r="A5416" t="s">
        <v>851</v>
      </c>
      <c r="B5416" t="s">
        <v>687</v>
      </c>
      <c r="C5416" t="s">
        <v>687</v>
      </c>
      <c r="D5416" t="s">
        <v>3185</v>
      </c>
      <c r="E5416" t="s">
        <v>656</v>
      </c>
      <c r="F5416" t="s">
        <v>31</v>
      </c>
      <c r="G5416">
        <v>2035</v>
      </c>
      <c r="H5416" s="12">
        <v>292.85000000000002</v>
      </c>
      <c r="I5416" t="s">
        <v>3183</v>
      </c>
      <c r="J5416" t="s">
        <v>14</v>
      </c>
      <c r="K5416" t="s">
        <v>147</v>
      </c>
      <c r="L5416" t="s">
        <v>650</v>
      </c>
      <c r="M5416" t="s">
        <v>14</v>
      </c>
    </row>
    <row r="5417" spans="1:13">
      <c r="A5417" t="s">
        <v>851</v>
      </c>
      <c r="B5417" t="s">
        <v>687</v>
      </c>
      <c r="C5417" t="s">
        <v>687</v>
      </c>
      <c r="D5417" t="s">
        <v>3185</v>
      </c>
      <c r="E5417" t="s">
        <v>656</v>
      </c>
      <c r="F5417" t="s">
        <v>31</v>
      </c>
      <c r="G5417">
        <v>2040</v>
      </c>
      <c r="H5417" s="12">
        <v>303.35000000000002</v>
      </c>
      <c r="I5417" t="s">
        <v>3183</v>
      </c>
      <c r="J5417" t="s">
        <v>14</v>
      </c>
      <c r="K5417" t="s">
        <v>147</v>
      </c>
      <c r="L5417" t="s">
        <v>650</v>
      </c>
      <c r="M5417" t="s">
        <v>14</v>
      </c>
    </row>
    <row r="5418" spans="1:13">
      <c r="A5418" t="s">
        <v>851</v>
      </c>
      <c r="B5418" t="s">
        <v>687</v>
      </c>
      <c r="C5418" t="s">
        <v>687</v>
      </c>
      <c r="D5418" t="s">
        <v>3185</v>
      </c>
      <c r="E5418" t="s">
        <v>656</v>
      </c>
      <c r="F5418" t="s">
        <v>31</v>
      </c>
      <c r="G5418">
        <v>2045</v>
      </c>
      <c r="H5418" s="12">
        <v>313.45999999999998</v>
      </c>
      <c r="I5418" t="s">
        <v>3183</v>
      </c>
      <c r="J5418" t="s">
        <v>14</v>
      </c>
      <c r="K5418" t="s">
        <v>147</v>
      </c>
      <c r="L5418" t="s">
        <v>650</v>
      </c>
      <c r="M5418" t="s">
        <v>14</v>
      </c>
    </row>
    <row r="5419" spans="1:13">
      <c r="A5419" t="s">
        <v>851</v>
      </c>
      <c r="B5419" t="s">
        <v>687</v>
      </c>
      <c r="C5419" t="s">
        <v>687</v>
      </c>
      <c r="D5419" t="s">
        <v>3185</v>
      </c>
      <c r="E5419" t="s">
        <v>656</v>
      </c>
      <c r="F5419" t="s">
        <v>31</v>
      </c>
      <c r="G5419">
        <v>2050</v>
      </c>
      <c r="H5419" s="12">
        <v>323.23</v>
      </c>
      <c r="I5419" t="s">
        <v>3183</v>
      </c>
      <c r="J5419" t="s">
        <v>14</v>
      </c>
      <c r="K5419" t="s">
        <v>147</v>
      </c>
      <c r="L5419" t="s">
        <v>650</v>
      </c>
      <c r="M5419" t="s">
        <v>14</v>
      </c>
    </row>
    <row r="5420" spans="1:13">
      <c r="A5420" t="s">
        <v>851</v>
      </c>
      <c r="B5420" t="s">
        <v>686</v>
      </c>
      <c r="C5420" t="s">
        <v>686</v>
      </c>
      <c r="D5420" t="s">
        <v>3185</v>
      </c>
      <c r="E5420" t="s">
        <v>656</v>
      </c>
      <c r="F5420" t="s">
        <v>31</v>
      </c>
      <c r="G5420">
        <v>2010</v>
      </c>
      <c r="H5420" s="12">
        <v>31.56</v>
      </c>
      <c r="I5420" t="s">
        <v>3183</v>
      </c>
      <c r="J5420" t="s">
        <v>41</v>
      </c>
      <c r="K5420" t="s">
        <v>147</v>
      </c>
      <c r="L5420" t="s">
        <v>650</v>
      </c>
      <c r="M5420" t="s">
        <v>669</v>
      </c>
    </row>
    <row r="5421" spans="1:13">
      <c r="A5421" t="s">
        <v>851</v>
      </c>
      <c r="B5421" t="s">
        <v>686</v>
      </c>
      <c r="C5421" t="s">
        <v>686</v>
      </c>
      <c r="D5421" t="s">
        <v>3185</v>
      </c>
      <c r="E5421" t="s">
        <v>656</v>
      </c>
      <c r="F5421" t="s">
        <v>31</v>
      </c>
      <c r="G5421">
        <v>2015</v>
      </c>
      <c r="H5421" s="12">
        <v>40.49</v>
      </c>
      <c r="I5421" t="s">
        <v>3183</v>
      </c>
      <c r="J5421" t="s">
        <v>41</v>
      </c>
      <c r="K5421" t="s">
        <v>147</v>
      </c>
      <c r="L5421" t="s">
        <v>650</v>
      </c>
      <c r="M5421" t="s">
        <v>669</v>
      </c>
    </row>
    <row r="5422" spans="1:13">
      <c r="A5422" t="s">
        <v>851</v>
      </c>
      <c r="B5422" t="s">
        <v>686</v>
      </c>
      <c r="C5422" t="s">
        <v>686</v>
      </c>
      <c r="D5422" t="s">
        <v>3185</v>
      </c>
      <c r="E5422" t="s">
        <v>656</v>
      </c>
      <c r="F5422" t="s">
        <v>31</v>
      </c>
      <c r="G5422">
        <v>2020</v>
      </c>
      <c r="H5422" s="12">
        <v>48.88</v>
      </c>
      <c r="I5422" t="s">
        <v>3183</v>
      </c>
      <c r="J5422" t="s">
        <v>41</v>
      </c>
      <c r="K5422" t="s">
        <v>147</v>
      </c>
      <c r="L5422" t="s">
        <v>650</v>
      </c>
      <c r="M5422" t="s">
        <v>669</v>
      </c>
    </row>
    <row r="5423" spans="1:13">
      <c r="A5423" t="s">
        <v>851</v>
      </c>
      <c r="B5423" t="s">
        <v>686</v>
      </c>
      <c r="C5423" t="s">
        <v>686</v>
      </c>
      <c r="D5423" t="s">
        <v>3185</v>
      </c>
      <c r="E5423" t="s">
        <v>656</v>
      </c>
      <c r="F5423" t="s">
        <v>31</v>
      </c>
      <c r="G5423">
        <v>2030</v>
      </c>
      <c r="H5423" s="12">
        <v>64.38</v>
      </c>
      <c r="I5423" t="s">
        <v>3183</v>
      </c>
      <c r="J5423" t="s">
        <v>41</v>
      </c>
      <c r="K5423" t="s">
        <v>147</v>
      </c>
      <c r="L5423" t="s">
        <v>650</v>
      </c>
      <c r="M5423" t="s">
        <v>669</v>
      </c>
    </row>
    <row r="5424" spans="1:13">
      <c r="A5424" t="s">
        <v>851</v>
      </c>
      <c r="B5424" t="s">
        <v>686</v>
      </c>
      <c r="C5424" t="s">
        <v>686</v>
      </c>
      <c r="D5424" t="s">
        <v>3185</v>
      </c>
      <c r="E5424" t="s">
        <v>656</v>
      </c>
      <c r="F5424" t="s">
        <v>31</v>
      </c>
      <c r="G5424">
        <v>2035</v>
      </c>
      <c r="H5424" s="12">
        <v>70.08</v>
      </c>
      <c r="I5424" t="s">
        <v>3183</v>
      </c>
      <c r="J5424" t="s">
        <v>41</v>
      </c>
      <c r="K5424" t="s">
        <v>147</v>
      </c>
      <c r="L5424" t="s">
        <v>650</v>
      </c>
      <c r="M5424" t="s">
        <v>669</v>
      </c>
    </row>
    <row r="5425" spans="1:13">
      <c r="A5425" t="s">
        <v>851</v>
      </c>
      <c r="B5425" t="s">
        <v>686</v>
      </c>
      <c r="C5425" t="s">
        <v>686</v>
      </c>
      <c r="D5425" t="s">
        <v>3185</v>
      </c>
      <c r="E5425" t="s">
        <v>656</v>
      </c>
      <c r="F5425" t="s">
        <v>31</v>
      </c>
      <c r="G5425">
        <v>2040</v>
      </c>
      <c r="H5425" s="12">
        <v>73.819999999999993</v>
      </c>
      <c r="I5425" t="s">
        <v>3183</v>
      </c>
      <c r="J5425" t="s">
        <v>41</v>
      </c>
      <c r="K5425" t="s">
        <v>147</v>
      </c>
      <c r="L5425" t="s">
        <v>650</v>
      </c>
      <c r="M5425" t="s">
        <v>669</v>
      </c>
    </row>
    <row r="5426" spans="1:13">
      <c r="A5426" t="s">
        <v>851</v>
      </c>
      <c r="B5426" t="s">
        <v>686</v>
      </c>
      <c r="C5426" t="s">
        <v>686</v>
      </c>
      <c r="D5426" t="s">
        <v>3185</v>
      </c>
      <c r="E5426" t="s">
        <v>656</v>
      </c>
      <c r="F5426" t="s">
        <v>31</v>
      </c>
      <c r="G5426">
        <v>2045</v>
      </c>
      <c r="H5426" s="12">
        <v>75.760000000000005</v>
      </c>
      <c r="I5426" t="s">
        <v>3183</v>
      </c>
      <c r="J5426" t="s">
        <v>41</v>
      </c>
      <c r="K5426" t="s">
        <v>147</v>
      </c>
      <c r="L5426" t="s">
        <v>650</v>
      </c>
      <c r="M5426" t="s">
        <v>669</v>
      </c>
    </row>
    <row r="5427" spans="1:13">
      <c r="A5427" t="s">
        <v>851</v>
      </c>
      <c r="B5427" t="s">
        <v>686</v>
      </c>
      <c r="C5427" t="s">
        <v>686</v>
      </c>
      <c r="D5427" t="s">
        <v>3185</v>
      </c>
      <c r="E5427" t="s">
        <v>656</v>
      </c>
      <c r="F5427" t="s">
        <v>31</v>
      </c>
      <c r="G5427">
        <v>2050</v>
      </c>
      <c r="H5427" s="12">
        <v>75.22</v>
      </c>
      <c r="I5427" t="s">
        <v>3183</v>
      </c>
      <c r="J5427" t="s">
        <v>41</v>
      </c>
      <c r="K5427" t="s">
        <v>147</v>
      </c>
      <c r="L5427" t="s">
        <v>650</v>
      </c>
      <c r="M5427" t="s">
        <v>669</v>
      </c>
    </row>
    <row r="5428" spans="1:13">
      <c r="A5428" t="s">
        <v>851</v>
      </c>
      <c r="B5428" t="s">
        <v>687</v>
      </c>
      <c r="C5428" t="s">
        <v>687</v>
      </c>
      <c r="D5428" t="s">
        <v>3185</v>
      </c>
      <c r="E5428" t="s">
        <v>656</v>
      </c>
      <c r="F5428" t="s">
        <v>31</v>
      </c>
      <c r="G5428">
        <v>2030</v>
      </c>
      <c r="H5428" s="12">
        <v>82.69</v>
      </c>
      <c r="I5428" t="s">
        <v>3183</v>
      </c>
      <c r="J5428" t="s">
        <v>41</v>
      </c>
      <c r="K5428" t="s">
        <v>147</v>
      </c>
      <c r="L5428" t="s">
        <v>650</v>
      </c>
      <c r="M5428" t="s">
        <v>669</v>
      </c>
    </row>
    <row r="5429" spans="1:13">
      <c r="A5429" t="s">
        <v>851</v>
      </c>
      <c r="B5429" t="s">
        <v>687</v>
      </c>
      <c r="C5429" t="s">
        <v>687</v>
      </c>
      <c r="D5429" t="s">
        <v>3185</v>
      </c>
      <c r="E5429" t="s">
        <v>656</v>
      </c>
      <c r="F5429" t="s">
        <v>31</v>
      </c>
      <c r="G5429">
        <v>2035</v>
      </c>
      <c r="H5429" s="12">
        <v>111.43</v>
      </c>
      <c r="I5429" t="s">
        <v>3183</v>
      </c>
      <c r="J5429" t="s">
        <v>41</v>
      </c>
      <c r="K5429" t="s">
        <v>147</v>
      </c>
      <c r="L5429" t="s">
        <v>650</v>
      </c>
      <c r="M5429" t="s">
        <v>669</v>
      </c>
    </row>
    <row r="5430" spans="1:13">
      <c r="A5430" t="s">
        <v>851</v>
      </c>
      <c r="B5430" t="s">
        <v>687</v>
      </c>
      <c r="C5430" t="s">
        <v>687</v>
      </c>
      <c r="D5430" t="s">
        <v>3185</v>
      </c>
      <c r="E5430" t="s">
        <v>656</v>
      </c>
      <c r="F5430" t="s">
        <v>31</v>
      </c>
      <c r="G5430">
        <v>2040</v>
      </c>
      <c r="H5430" s="12">
        <v>138.19</v>
      </c>
      <c r="I5430" t="s">
        <v>3183</v>
      </c>
      <c r="J5430" t="s">
        <v>41</v>
      </c>
      <c r="K5430" t="s">
        <v>147</v>
      </c>
      <c r="L5430" t="s">
        <v>650</v>
      </c>
      <c r="M5430" t="s">
        <v>669</v>
      </c>
    </row>
    <row r="5431" spans="1:13">
      <c r="A5431" t="s">
        <v>851</v>
      </c>
      <c r="B5431" t="s">
        <v>687</v>
      </c>
      <c r="C5431" t="s">
        <v>687</v>
      </c>
      <c r="D5431" t="s">
        <v>3185</v>
      </c>
      <c r="E5431" t="s">
        <v>656</v>
      </c>
      <c r="F5431" t="s">
        <v>31</v>
      </c>
      <c r="G5431">
        <v>2045</v>
      </c>
      <c r="H5431" s="12">
        <v>148.26</v>
      </c>
      <c r="I5431" t="s">
        <v>3183</v>
      </c>
      <c r="J5431" t="s">
        <v>41</v>
      </c>
      <c r="K5431" t="s">
        <v>147</v>
      </c>
      <c r="L5431" t="s">
        <v>650</v>
      </c>
      <c r="M5431" t="s">
        <v>669</v>
      </c>
    </row>
    <row r="5432" spans="1:13">
      <c r="A5432" t="s">
        <v>851</v>
      </c>
      <c r="B5432" t="s">
        <v>687</v>
      </c>
      <c r="C5432" t="s">
        <v>687</v>
      </c>
      <c r="D5432" t="s">
        <v>3185</v>
      </c>
      <c r="E5432" t="s">
        <v>656</v>
      </c>
      <c r="F5432" t="s">
        <v>31</v>
      </c>
      <c r="G5432">
        <v>2050</v>
      </c>
      <c r="H5432" s="12">
        <v>154.44999999999999</v>
      </c>
      <c r="I5432" t="s">
        <v>3183</v>
      </c>
      <c r="J5432" t="s">
        <v>41</v>
      </c>
      <c r="K5432" t="s">
        <v>147</v>
      </c>
      <c r="L5432" t="s">
        <v>650</v>
      </c>
      <c r="M5432" t="s">
        <v>669</v>
      </c>
    </row>
    <row r="5433" spans="1:13">
      <c r="A5433" t="s">
        <v>851</v>
      </c>
      <c r="B5433" t="s">
        <v>686</v>
      </c>
      <c r="C5433" t="s">
        <v>686</v>
      </c>
      <c r="D5433" t="s">
        <v>3185</v>
      </c>
      <c r="E5433" t="s">
        <v>656</v>
      </c>
      <c r="F5433" t="s">
        <v>31</v>
      </c>
      <c r="G5433">
        <v>2010</v>
      </c>
      <c r="H5433" s="12">
        <v>156.52000000000001</v>
      </c>
      <c r="I5433" t="s">
        <v>3183</v>
      </c>
      <c r="J5433" t="s">
        <v>15</v>
      </c>
      <c r="K5433" t="s">
        <v>147</v>
      </c>
      <c r="L5433" t="s">
        <v>650</v>
      </c>
      <c r="M5433" t="s">
        <v>15</v>
      </c>
    </row>
    <row r="5434" spans="1:13">
      <c r="A5434" t="s">
        <v>851</v>
      </c>
      <c r="B5434" t="s">
        <v>686</v>
      </c>
      <c r="C5434" t="s">
        <v>686</v>
      </c>
      <c r="D5434" t="s">
        <v>3185</v>
      </c>
      <c r="E5434" t="s">
        <v>656</v>
      </c>
      <c r="F5434" t="s">
        <v>31</v>
      </c>
      <c r="G5434">
        <v>2015</v>
      </c>
      <c r="H5434" s="12">
        <v>144.9</v>
      </c>
      <c r="I5434" t="s">
        <v>3183</v>
      </c>
      <c r="J5434" t="s">
        <v>15</v>
      </c>
      <c r="K5434" t="s">
        <v>147</v>
      </c>
      <c r="L5434" t="s">
        <v>650</v>
      </c>
      <c r="M5434" t="s">
        <v>15</v>
      </c>
    </row>
    <row r="5435" spans="1:13">
      <c r="A5435" t="s">
        <v>851</v>
      </c>
      <c r="B5435" t="s">
        <v>686</v>
      </c>
      <c r="C5435" t="s">
        <v>686</v>
      </c>
      <c r="D5435" t="s">
        <v>3185</v>
      </c>
      <c r="E5435" t="s">
        <v>656</v>
      </c>
      <c r="F5435" t="s">
        <v>31</v>
      </c>
      <c r="G5435">
        <v>2020</v>
      </c>
      <c r="H5435" s="12">
        <v>137.56</v>
      </c>
      <c r="I5435" t="s">
        <v>3183</v>
      </c>
      <c r="J5435" t="s">
        <v>15</v>
      </c>
      <c r="K5435" t="s">
        <v>147</v>
      </c>
      <c r="L5435" t="s">
        <v>650</v>
      </c>
      <c r="M5435" t="s">
        <v>15</v>
      </c>
    </row>
    <row r="5436" spans="1:13">
      <c r="A5436" t="s">
        <v>851</v>
      </c>
      <c r="B5436" t="s">
        <v>686</v>
      </c>
      <c r="C5436" t="s">
        <v>686</v>
      </c>
      <c r="D5436" t="s">
        <v>3185</v>
      </c>
      <c r="E5436" t="s">
        <v>656</v>
      </c>
      <c r="F5436" t="s">
        <v>31</v>
      </c>
      <c r="G5436">
        <v>2030</v>
      </c>
      <c r="H5436" s="12">
        <v>119.66</v>
      </c>
      <c r="I5436" t="s">
        <v>3183</v>
      </c>
      <c r="J5436" t="s">
        <v>15</v>
      </c>
      <c r="K5436" t="s">
        <v>147</v>
      </c>
      <c r="L5436" t="s">
        <v>650</v>
      </c>
      <c r="M5436" t="s">
        <v>15</v>
      </c>
    </row>
    <row r="5437" spans="1:13">
      <c r="A5437" t="s">
        <v>851</v>
      </c>
      <c r="B5437" t="s">
        <v>686</v>
      </c>
      <c r="C5437" t="s">
        <v>686</v>
      </c>
      <c r="D5437" t="s">
        <v>3185</v>
      </c>
      <c r="E5437" t="s">
        <v>656</v>
      </c>
      <c r="F5437" t="s">
        <v>31</v>
      </c>
      <c r="G5437">
        <v>2035</v>
      </c>
      <c r="H5437" s="12">
        <v>110.35</v>
      </c>
      <c r="I5437" t="s">
        <v>3183</v>
      </c>
      <c r="J5437" t="s">
        <v>15</v>
      </c>
      <c r="K5437" t="s">
        <v>147</v>
      </c>
      <c r="L5437" t="s">
        <v>650</v>
      </c>
      <c r="M5437" t="s">
        <v>15</v>
      </c>
    </row>
    <row r="5438" spans="1:13">
      <c r="A5438" t="s">
        <v>851</v>
      </c>
      <c r="B5438" t="s">
        <v>686</v>
      </c>
      <c r="C5438" t="s">
        <v>686</v>
      </c>
      <c r="D5438" t="s">
        <v>3185</v>
      </c>
      <c r="E5438" t="s">
        <v>656</v>
      </c>
      <c r="F5438" t="s">
        <v>31</v>
      </c>
      <c r="G5438">
        <v>2040</v>
      </c>
      <c r="H5438" s="12">
        <v>109.67</v>
      </c>
      <c r="I5438" t="s">
        <v>3183</v>
      </c>
      <c r="J5438" t="s">
        <v>15</v>
      </c>
      <c r="K5438" t="s">
        <v>147</v>
      </c>
      <c r="L5438" t="s">
        <v>650</v>
      </c>
      <c r="M5438" t="s">
        <v>15</v>
      </c>
    </row>
    <row r="5439" spans="1:13">
      <c r="A5439" t="s">
        <v>851</v>
      </c>
      <c r="B5439" t="s">
        <v>686</v>
      </c>
      <c r="C5439" t="s">
        <v>686</v>
      </c>
      <c r="D5439" t="s">
        <v>3185</v>
      </c>
      <c r="E5439" t="s">
        <v>656</v>
      </c>
      <c r="F5439" t="s">
        <v>31</v>
      </c>
      <c r="G5439">
        <v>2045</v>
      </c>
      <c r="H5439" s="12">
        <v>110.28</v>
      </c>
      <c r="I5439" t="s">
        <v>3183</v>
      </c>
      <c r="J5439" t="s">
        <v>15</v>
      </c>
      <c r="K5439" t="s">
        <v>147</v>
      </c>
      <c r="L5439" t="s">
        <v>650</v>
      </c>
      <c r="M5439" t="s">
        <v>15</v>
      </c>
    </row>
    <row r="5440" spans="1:13">
      <c r="A5440" t="s">
        <v>851</v>
      </c>
      <c r="B5440" t="s">
        <v>686</v>
      </c>
      <c r="C5440" t="s">
        <v>686</v>
      </c>
      <c r="D5440" t="s">
        <v>3185</v>
      </c>
      <c r="E5440" t="s">
        <v>656</v>
      </c>
      <c r="F5440" t="s">
        <v>31</v>
      </c>
      <c r="G5440">
        <v>2050</v>
      </c>
      <c r="H5440" s="12">
        <v>110.28</v>
      </c>
      <c r="I5440" t="s">
        <v>3183</v>
      </c>
      <c r="J5440" t="s">
        <v>15</v>
      </c>
      <c r="K5440" t="s">
        <v>147</v>
      </c>
      <c r="L5440" t="s">
        <v>650</v>
      </c>
      <c r="M5440" t="s">
        <v>15</v>
      </c>
    </row>
    <row r="5441" spans="1:13">
      <c r="A5441" t="s">
        <v>851</v>
      </c>
      <c r="B5441" t="s">
        <v>687</v>
      </c>
      <c r="C5441" t="s">
        <v>687</v>
      </c>
      <c r="D5441" t="s">
        <v>3185</v>
      </c>
      <c r="E5441" t="s">
        <v>656</v>
      </c>
      <c r="F5441" t="s">
        <v>31</v>
      </c>
      <c r="G5441">
        <v>2030</v>
      </c>
      <c r="H5441" s="12">
        <v>126.03</v>
      </c>
      <c r="I5441" t="s">
        <v>3183</v>
      </c>
      <c r="J5441" t="s">
        <v>15</v>
      </c>
      <c r="K5441" t="s">
        <v>147</v>
      </c>
      <c r="L5441" t="s">
        <v>650</v>
      </c>
      <c r="M5441" t="s">
        <v>15</v>
      </c>
    </row>
    <row r="5442" spans="1:13">
      <c r="A5442" t="s">
        <v>851</v>
      </c>
      <c r="B5442" t="s">
        <v>687</v>
      </c>
      <c r="C5442" t="s">
        <v>687</v>
      </c>
      <c r="D5442" t="s">
        <v>3185</v>
      </c>
      <c r="E5442" t="s">
        <v>656</v>
      </c>
      <c r="F5442" t="s">
        <v>31</v>
      </c>
      <c r="G5442">
        <v>2035</v>
      </c>
      <c r="H5442" s="12">
        <v>122.47</v>
      </c>
      <c r="I5442" t="s">
        <v>3183</v>
      </c>
      <c r="J5442" t="s">
        <v>15</v>
      </c>
      <c r="K5442" t="s">
        <v>147</v>
      </c>
      <c r="L5442" t="s">
        <v>650</v>
      </c>
      <c r="M5442" t="s">
        <v>15</v>
      </c>
    </row>
    <row r="5443" spans="1:13">
      <c r="A5443" t="s">
        <v>851</v>
      </c>
      <c r="B5443" t="s">
        <v>687</v>
      </c>
      <c r="C5443" t="s">
        <v>687</v>
      </c>
      <c r="D5443" t="s">
        <v>3185</v>
      </c>
      <c r="E5443" t="s">
        <v>656</v>
      </c>
      <c r="F5443" t="s">
        <v>31</v>
      </c>
      <c r="G5443">
        <v>2040</v>
      </c>
      <c r="H5443" s="12">
        <v>127</v>
      </c>
      <c r="I5443" t="s">
        <v>3183</v>
      </c>
      <c r="J5443" t="s">
        <v>15</v>
      </c>
      <c r="K5443" t="s">
        <v>147</v>
      </c>
      <c r="L5443" t="s">
        <v>650</v>
      </c>
      <c r="M5443" t="s">
        <v>15</v>
      </c>
    </row>
    <row r="5444" spans="1:13">
      <c r="A5444" t="s">
        <v>851</v>
      </c>
      <c r="B5444" t="s">
        <v>687</v>
      </c>
      <c r="C5444" t="s">
        <v>687</v>
      </c>
      <c r="D5444" t="s">
        <v>3185</v>
      </c>
      <c r="E5444" t="s">
        <v>656</v>
      </c>
      <c r="F5444" t="s">
        <v>31</v>
      </c>
      <c r="G5444">
        <v>2045</v>
      </c>
      <c r="H5444" s="12">
        <v>131.5</v>
      </c>
      <c r="I5444" t="s">
        <v>3183</v>
      </c>
      <c r="J5444" t="s">
        <v>15</v>
      </c>
      <c r="K5444" t="s">
        <v>147</v>
      </c>
      <c r="L5444" t="s">
        <v>650</v>
      </c>
      <c r="M5444" t="s">
        <v>15</v>
      </c>
    </row>
    <row r="5445" spans="1:13">
      <c r="A5445" t="s">
        <v>851</v>
      </c>
      <c r="B5445" t="s">
        <v>687</v>
      </c>
      <c r="C5445" t="s">
        <v>687</v>
      </c>
      <c r="D5445" t="s">
        <v>3185</v>
      </c>
      <c r="E5445" t="s">
        <v>461</v>
      </c>
      <c r="F5445" t="s">
        <v>668</v>
      </c>
      <c r="G5445">
        <v>2030</v>
      </c>
      <c r="H5445" s="12">
        <v>1625.66</v>
      </c>
      <c r="I5445" t="s">
        <v>3183</v>
      </c>
      <c r="J5445" t="s">
        <v>18</v>
      </c>
      <c r="K5445" t="s">
        <v>147</v>
      </c>
      <c r="L5445" t="s">
        <v>650</v>
      </c>
      <c r="M5445" t="s">
        <v>18</v>
      </c>
    </row>
    <row r="5446" spans="1:13">
      <c r="A5446" t="s">
        <v>851</v>
      </c>
      <c r="B5446" t="s">
        <v>687</v>
      </c>
      <c r="C5446" t="s">
        <v>687</v>
      </c>
      <c r="D5446" t="s">
        <v>3185</v>
      </c>
      <c r="E5446" t="s">
        <v>461</v>
      </c>
      <c r="F5446" t="s">
        <v>668</v>
      </c>
      <c r="G5446">
        <v>2035</v>
      </c>
      <c r="H5446" s="12">
        <v>2433.58</v>
      </c>
      <c r="I5446" t="s">
        <v>3183</v>
      </c>
      <c r="J5446" t="s">
        <v>18</v>
      </c>
      <c r="K5446" t="s">
        <v>147</v>
      </c>
      <c r="L5446" t="s">
        <v>650</v>
      </c>
      <c r="M5446" t="s">
        <v>18</v>
      </c>
    </row>
    <row r="5447" spans="1:13">
      <c r="A5447" t="s">
        <v>851</v>
      </c>
      <c r="B5447" t="s">
        <v>687</v>
      </c>
      <c r="C5447" t="s">
        <v>687</v>
      </c>
      <c r="D5447" t="s">
        <v>3185</v>
      </c>
      <c r="E5447" t="s">
        <v>461</v>
      </c>
      <c r="F5447" t="s">
        <v>668</v>
      </c>
      <c r="G5447">
        <v>2040</v>
      </c>
      <c r="H5447" s="12">
        <v>2982.02</v>
      </c>
      <c r="I5447" t="s">
        <v>3183</v>
      </c>
      <c r="J5447" t="s">
        <v>18</v>
      </c>
      <c r="K5447" t="s">
        <v>147</v>
      </c>
      <c r="L5447" t="s">
        <v>650</v>
      </c>
      <c r="M5447" t="s">
        <v>18</v>
      </c>
    </row>
    <row r="5448" spans="1:13">
      <c r="A5448" t="s">
        <v>851</v>
      </c>
      <c r="B5448" t="s">
        <v>687</v>
      </c>
      <c r="C5448" t="s">
        <v>687</v>
      </c>
      <c r="D5448" t="s">
        <v>3185</v>
      </c>
      <c r="E5448" t="s">
        <v>461</v>
      </c>
      <c r="F5448" t="s">
        <v>668</v>
      </c>
      <c r="G5448">
        <v>2045</v>
      </c>
      <c r="H5448" s="12">
        <v>3315.83</v>
      </c>
      <c r="I5448" t="s">
        <v>3183</v>
      </c>
      <c r="J5448" t="s">
        <v>18</v>
      </c>
      <c r="K5448" t="s">
        <v>147</v>
      </c>
      <c r="L5448" t="s">
        <v>650</v>
      </c>
      <c r="M5448" t="s">
        <v>18</v>
      </c>
    </row>
    <row r="5449" spans="1:13">
      <c r="A5449" t="s">
        <v>851</v>
      </c>
      <c r="B5449" t="s">
        <v>687</v>
      </c>
      <c r="C5449" t="s">
        <v>687</v>
      </c>
      <c r="D5449" t="s">
        <v>3185</v>
      </c>
      <c r="E5449" t="s">
        <v>461</v>
      </c>
      <c r="F5449" t="s">
        <v>668</v>
      </c>
      <c r="G5449">
        <v>2050</v>
      </c>
      <c r="H5449" s="12">
        <v>3574.81</v>
      </c>
      <c r="I5449" t="s">
        <v>3183</v>
      </c>
      <c r="J5449" t="s">
        <v>18</v>
      </c>
      <c r="K5449" t="s">
        <v>147</v>
      </c>
      <c r="L5449" t="s">
        <v>650</v>
      </c>
      <c r="M5449" t="s">
        <v>18</v>
      </c>
    </row>
    <row r="5450" spans="1:13">
      <c r="A5450" t="s">
        <v>851</v>
      </c>
      <c r="B5450" t="s">
        <v>686</v>
      </c>
      <c r="C5450" t="s">
        <v>686</v>
      </c>
      <c r="D5450" t="s">
        <v>3185</v>
      </c>
      <c r="E5450" t="s">
        <v>461</v>
      </c>
      <c r="F5450" t="s">
        <v>668</v>
      </c>
      <c r="G5450">
        <v>2010</v>
      </c>
      <c r="H5450" s="12">
        <v>640.57000000000005</v>
      </c>
      <c r="I5450" t="s">
        <v>3183</v>
      </c>
      <c r="J5450" t="s">
        <v>14</v>
      </c>
      <c r="K5450" t="s">
        <v>147</v>
      </c>
      <c r="L5450" t="s">
        <v>650</v>
      </c>
      <c r="M5450" t="s">
        <v>14</v>
      </c>
    </row>
    <row r="5451" spans="1:13">
      <c r="A5451" t="s">
        <v>851</v>
      </c>
      <c r="B5451" t="s">
        <v>686</v>
      </c>
      <c r="C5451" t="s">
        <v>686</v>
      </c>
      <c r="D5451" t="s">
        <v>3185</v>
      </c>
      <c r="E5451" t="s">
        <v>461</v>
      </c>
      <c r="F5451" t="s">
        <v>668</v>
      </c>
      <c r="G5451">
        <v>2015</v>
      </c>
      <c r="H5451" s="12">
        <v>629.6</v>
      </c>
      <c r="I5451" t="s">
        <v>3183</v>
      </c>
      <c r="J5451" t="s">
        <v>14</v>
      </c>
      <c r="K5451" t="s">
        <v>147</v>
      </c>
      <c r="L5451" t="s">
        <v>650</v>
      </c>
      <c r="M5451" t="s">
        <v>14</v>
      </c>
    </row>
    <row r="5452" spans="1:13">
      <c r="A5452" t="s">
        <v>851</v>
      </c>
      <c r="B5452" t="s">
        <v>686</v>
      </c>
      <c r="C5452" t="s">
        <v>686</v>
      </c>
      <c r="D5452" t="s">
        <v>3185</v>
      </c>
      <c r="E5452" t="s">
        <v>461</v>
      </c>
      <c r="F5452" t="s">
        <v>668</v>
      </c>
      <c r="G5452">
        <v>2020</v>
      </c>
      <c r="H5452" s="12">
        <v>653.16999999999996</v>
      </c>
      <c r="I5452" t="s">
        <v>3183</v>
      </c>
      <c r="J5452" t="s">
        <v>14</v>
      </c>
      <c r="K5452" t="s">
        <v>147</v>
      </c>
      <c r="L5452" t="s">
        <v>650</v>
      </c>
      <c r="M5452" t="s">
        <v>14</v>
      </c>
    </row>
    <row r="5453" spans="1:13">
      <c r="A5453" t="s">
        <v>851</v>
      </c>
      <c r="B5453" t="s">
        <v>686</v>
      </c>
      <c r="C5453" t="s">
        <v>686</v>
      </c>
      <c r="D5453" t="s">
        <v>3185</v>
      </c>
      <c r="E5453" t="s">
        <v>461</v>
      </c>
      <c r="F5453" t="s">
        <v>668</v>
      </c>
      <c r="G5453">
        <v>2030</v>
      </c>
      <c r="H5453" s="12">
        <v>753.41</v>
      </c>
      <c r="I5453" t="s">
        <v>3183</v>
      </c>
      <c r="J5453" t="s">
        <v>14</v>
      </c>
      <c r="K5453" t="s">
        <v>147</v>
      </c>
      <c r="L5453" t="s">
        <v>650</v>
      </c>
      <c r="M5453" t="s">
        <v>14</v>
      </c>
    </row>
    <row r="5454" spans="1:13">
      <c r="A5454" t="s">
        <v>851</v>
      </c>
      <c r="B5454" t="s">
        <v>686</v>
      </c>
      <c r="C5454" t="s">
        <v>686</v>
      </c>
      <c r="D5454" t="s">
        <v>3185</v>
      </c>
      <c r="E5454" t="s">
        <v>461</v>
      </c>
      <c r="F5454" t="s">
        <v>668</v>
      </c>
      <c r="G5454">
        <v>2035</v>
      </c>
      <c r="H5454" s="12">
        <v>793.57</v>
      </c>
      <c r="I5454" t="s">
        <v>3183</v>
      </c>
      <c r="J5454" t="s">
        <v>14</v>
      </c>
      <c r="K5454" t="s">
        <v>147</v>
      </c>
      <c r="L5454" t="s">
        <v>650</v>
      </c>
      <c r="M5454" t="s">
        <v>14</v>
      </c>
    </row>
    <row r="5455" spans="1:13">
      <c r="A5455" t="s">
        <v>851</v>
      </c>
      <c r="B5455" t="s">
        <v>686</v>
      </c>
      <c r="C5455" t="s">
        <v>686</v>
      </c>
      <c r="D5455" t="s">
        <v>3185</v>
      </c>
      <c r="E5455" t="s">
        <v>461</v>
      </c>
      <c r="F5455" t="s">
        <v>668</v>
      </c>
      <c r="G5455">
        <v>2040</v>
      </c>
      <c r="H5455" s="12">
        <v>831.11</v>
      </c>
      <c r="I5455" t="s">
        <v>3183</v>
      </c>
      <c r="J5455" t="s">
        <v>14</v>
      </c>
      <c r="K5455" t="s">
        <v>147</v>
      </c>
      <c r="L5455" t="s">
        <v>650</v>
      </c>
      <c r="M5455" t="s">
        <v>14</v>
      </c>
    </row>
    <row r="5456" spans="1:13">
      <c r="A5456" t="s">
        <v>851</v>
      </c>
      <c r="B5456" t="s">
        <v>686</v>
      </c>
      <c r="C5456" t="s">
        <v>686</v>
      </c>
      <c r="D5456" t="s">
        <v>3185</v>
      </c>
      <c r="E5456" t="s">
        <v>461</v>
      </c>
      <c r="F5456" t="s">
        <v>668</v>
      </c>
      <c r="G5456">
        <v>2045</v>
      </c>
      <c r="H5456" s="12">
        <v>871.6</v>
      </c>
      <c r="I5456" t="s">
        <v>3183</v>
      </c>
      <c r="J5456" t="s">
        <v>14</v>
      </c>
      <c r="K5456" t="s">
        <v>147</v>
      </c>
      <c r="L5456" t="s">
        <v>650</v>
      </c>
      <c r="M5456" t="s">
        <v>14</v>
      </c>
    </row>
    <row r="5457" spans="1:13">
      <c r="A5457" t="s">
        <v>851</v>
      </c>
      <c r="B5457" t="s">
        <v>686</v>
      </c>
      <c r="C5457" t="s">
        <v>686</v>
      </c>
      <c r="D5457" t="s">
        <v>3185</v>
      </c>
      <c r="E5457" t="s">
        <v>461</v>
      </c>
      <c r="F5457" t="s">
        <v>668</v>
      </c>
      <c r="G5457">
        <v>2050</v>
      </c>
      <c r="H5457" s="12">
        <v>912.99</v>
      </c>
      <c r="I5457" t="s">
        <v>3183</v>
      </c>
      <c r="J5457" t="s">
        <v>14</v>
      </c>
      <c r="K5457" t="s">
        <v>147</v>
      </c>
      <c r="L5457" t="s">
        <v>650</v>
      </c>
      <c r="M5457" t="s">
        <v>14</v>
      </c>
    </row>
    <row r="5458" spans="1:13">
      <c r="A5458" t="s">
        <v>851</v>
      </c>
      <c r="B5458" t="s">
        <v>687</v>
      </c>
      <c r="C5458" t="s">
        <v>687</v>
      </c>
      <c r="D5458" t="s">
        <v>3185</v>
      </c>
      <c r="E5458" t="s">
        <v>461</v>
      </c>
      <c r="F5458" t="s">
        <v>668</v>
      </c>
      <c r="G5458">
        <v>2030</v>
      </c>
      <c r="H5458" s="12">
        <v>773.47</v>
      </c>
      <c r="I5458" t="s">
        <v>3183</v>
      </c>
      <c r="J5458" t="s">
        <v>14</v>
      </c>
      <c r="K5458" t="s">
        <v>147</v>
      </c>
      <c r="L5458" t="s">
        <v>650</v>
      </c>
      <c r="M5458" t="s">
        <v>14</v>
      </c>
    </row>
    <row r="5459" spans="1:13">
      <c r="A5459" t="s">
        <v>851</v>
      </c>
      <c r="B5459" t="s">
        <v>687</v>
      </c>
      <c r="C5459" t="s">
        <v>687</v>
      </c>
      <c r="D5459" t="s">
        <v>3185</v>
      </c>
      <c r="E5459" t="s">
        <v>461</v>
      </c>
      <c r="F5459" t="s">
        <v>668</v>
      </c>
      <c r="G5459">
        <v>2035</v>
      </c>
      <c r="H5459" s="12">
        <v>817.04</v>
      </c>
      <c r="I5459" t="s">
        <v>3183</v>
      </c>
      <c r="J5459" t="s">
        <v>14</v>
      </c>
      <c r="K5459" t="s">
        <v>147</v>
      </c>
      <c r="L5459" t="s">
        <v>650</v>
      </c>
      <c r="M5459" t="s">
        <v>14</v>
      </c>
    </row>
    <row r="5460" spans="1:13">
      <c r="A5460" t="s">
        <v>851</v>
      </c>
      <c r="B5460" t="s">
        <v>687</v>
      </c>
      <c r="C5460" t="s">
        <v>687</v>
      </c>
      <c r="D5460" t="s">
        <v>3185</v>
      </c>
      <c r="E5460" t="s">
        <v>461</v>
      </c>
      <c r="F5460" t="s">
        <v>668</v>
      </c>
      <c r="G5460">
        <v>2040</v>
      </c>
      <c r="H5460" s="12">
        <v>855.68</v>
      </c>
      <c r="I5460" t="s">
        <v>3183</v>
      </c>
      <c r="J5460" t="s">
        <v>14</v>
      </c>
      <c r="K5460" t="s">
        <v>147</v>
      </c>
      <c r="L5460" t="s">
        <v>650</v>
      </c>
      <c r="M5460" t="s">
        <v>14</v>
      </c>
    </row>
    <row r="5461" spans="1:13">
      <c r="A5461" t="s">
        <v>851</v>
      </c>
      <c r="B5461" t="s">
        <v>687</v>
      </c>
      <c r="C5461" t="s">
        <v>687</v>
      </c>
      <c r="D5461" t="s">
        <v>3185</v>
      </c>
      <c r="E5461" t="s">
        <v>461</v>
      </c>
      <c r="F5461" t="s">
        <v>668</v>
      </c>
      <c r="G5461">
        <v>2045</v>
      </c>
      <c r="H5461" s="12">
        <v>897.69</v>
      </c>
      <c r="I5461" t="s">
        <v>3183</v>
      </c>
      <c r="J5461" t="s">
        <v>14</v>
      </c>
      <c r="K5461" t="s">
        <v>147</v>
      </c>
      <c r="L5461" t="s">
        <v>650</v>
      </c>
      <c r="M5461" t="s">
        <v>14</v>
      </c>
    </row>
    <row r="5462" spans="1:13">
      <c r="A5462" t="s">
        <v>851</v>
      </c>
      <c r="B5462" t="s">
        <v>687</v>
      </c>
      <c r="C5462" t="s">
        <v>687</v>
      </c>
      <c r="D5462" t="s">
        <v>3185</v>
      </c>
      <c r="E5462" t="s">
        <v>461</v>
      </c>
      <c r="F5462" t="s">
        <v>668</v>
      </c>
      <c r="G5462">
        <v>2050</v>
      </c>
      <c r="H5462" s="12">
        <v>940.22</v>
      </c>
      <c r="I5462" t="s">
        <v>3183</v>
      </c>
      <c r="J5462" t="s">
        <v>14</v>
      </c>
      <c r="K5462" t="s">
        <v>147</v>
      </c>
      <c r="L5462" t="s">
        <v>650</v>
      </c>
      <c r="M5462" t="s">
        <v>14</v>
      </c>
    </row>
    <row r="5463" spans="1:13">
      <c r="A5463" t="s">
        <v>851</v>
      </c>
      <c r="B5463" t="s">
        <v>686</v>
      </c>
      <c r="C5463" t="s">
        <v>686</v>
      </c>
      <c r="D5463" t="s">
        <v>3185</v>
      </c>
      <c r="E5463" t="s">
        <v>461</v>
      </c>
      <c r="F5463" t="s">
        <v>668</v>
      </c>
      <c r="G5463">
        <v>2010</v>
      </c>
      <c r="H5463" s="12">
        <v>133.32</v>
      </c>
      <c r="I5463" t="s">
        <v>3183</v>
      </c>
      <c r="J5463" t="s">
        <v>41</v>
      </c>
      <c r="K5463" t="s">
        <v>147</v>
      </c>
      <c r="L5463" t="s">
        <v>650</v>
      </c>
      <c r="M5463" t="s">
        <v>669</v>
      </c>
    </row>
    <row r="5464" spans="1:13">
      <c r="A5464" t="s">
        <v>851</v>
      </c>
      <c r="B5464" t="s">
        <v>686</v>
      </c>
      <c r="C5464" t="s">
        <v>686</v>
      </c>
      <c r="D5464" t="s">
        <v>3185</v>
      </c>
      <c r="E5464" t="s">
        <v>461</v>
      </c>
      <c r="F5464" t="s">
        <v>668</v>
      </c>
      <c r="G5464">
        <v>2015</v>
      </c>
      <c r="H5464" s="12">
        <v>190.82</v>
      </c>
      <c r="I5464" t="s">
        <v>3183</v>
      </c>
      <c r="J5464" t="s">
        <v>41</v>
      </c>
      <c r="K5464" t="s">
        <v>147</v>
      </c>
      <c r="L5464" t="s">
        <v>650</v>
      </c>
      <c r="M5464" t="s">
        <v>669</v>
      </c>
    </row>
    <row r="5465" spans="1:13">
      <c r="A5465" t="s">
        <v>851</v>
      </c>
      <c r="B5465" t="s">
        <v>686</v>
      </c>
      <c r="C5465" t="s">
        <v>686</v>
      </c>
      <c r="D5465" t="s">
        <v>3185</v>
      </c>
      <c r="E5465" t="s">
        <v>461</v>
      </c>
      <c r="F5465" t="s">
        <v>668</v>
      </c>
      <c r="G5465">
        <v>2020</v>
      </c>
      <c r="H5465" s="12">
        <v>224.82</v>
      </c>
      <c r="I5465" t="s">
        <v>3183</v>
      </c>
      <c r="J5465" t="s">
        <v>41</v>
      </c>
      <c r="K5465" t="s">
        <v>147</v>
      </c>
      <c r="L5465" t="s">
        <v>650</v>
      </c>
      <c r="M5465" t="s">
        <v>669</v>
      </c>
    </row>
    <row r="5466" spans="1:13">
      <c r="A5466" t="s">
        <v>851</v>
      </c>
      <c r="B5466" t="s">
        <v>686</v>
      </c>
      <c r="C5466" t="s">
        <v>686</v>
      </c>
      <c r="D5466" t="s">
        <v>3185</v>
      </c>
      <c r="E5466" t="s">
        <v>461</v>
      </c>
      <c r="F5466" t="s">
        <v>668</v>
      </c>
      <c r="G5466">
        <v>2030</v>
      </c>
      <c r="H5466" s="12">
        <v>292.24</v>
      </c>
      <c r="I5466" t="s">
        <v>3183</v>
      </c>
      <c r="J5466" t="s">
        <v>41</v>
      </c>
      <c r="K5466" t="s">
        <v>147</v>
      </c>
      <c r="L5466" t="s">
        <v>650</v>
      </c>
      <c r="M5466" t="s">
        <v>669</v>
      </c>
    </row>
    <row r="5467" spans="1:13">
      <c r="A5467" t="s">
        <v>851</v>
      </c>
      <c r="B5467" t="s">
        <v>686</v>
      </c>
      <c r="C5467" t="s">
        <v>686</v>
      </c>
      <c r="D5467" t="s">
        <v>3185</v>
      </c>
      <c r="E5467" t="s">
        <v>461</v>
      </c>
      <c r="F5467" t="s">
        <v>668</v>
      </c>
      <c r="G5467">
        <v>2035</v>
      </c>
      <c r="H5467" s="12">
        <v>314.02999999999997</v>
      </c>
      <c r="I5467" t="s">
        <v>3183</v>
      </c>
      <c r="J5467" t="s">
        <v>41</v>
      </c>
      <c r="K5467" t="s">
        <v>147</v>
      </c>
      <c r="L5467" t="s">
        <v>650</v>
      </c>
      <c r="M5467" t="s">
        <v>669</v>
      </c>
    </row>
    <row r="5468" spans="1:13">
      <c r="A5468" t="s">
        <v>851</v>
      </c>
      <c r="B5468" t="s">
        <v>686</v>
      </c>
      <c r="C5468" t="s">
        <v>686</v>
      </c>
      <c r="D5468" t="s">
        <v>3185</v>
      </c>
      <c r="E5468" t="s">
        <v>461</v>
      </c>
      <c r="F5468" t="s">
        <v>668</v>
      </c>
      <c r="G5468">
        <v>2040</v>
      </c>
      <c r="H5468" s="12">
        <v>329.14</v>
      </c>
      <c r="I5468" t="s">
        <v>3183</v>
      </c>
      <c r="J5468" t="s">
        <v>41</v>
      </c>
      <c r="K5468" t="s">
        <v>147</v>
      </c>
      <c r="L5468" t="s">
        <v>650</v>
      </c>
      <c r="M5468" t="s">
        <v>669</v>
      </c>
    </row>
    <row r="5469" spans="1:13">
      <c r="A5469" t="s">
        <v>851</v>
      </c>
      <c r="B5469" t="s">
        <v>686</v>
      </c>
      <c r="C5469" t="s">
        <v>686</v>
      </c>
      <c r="D5469" t="s">
        <v>3185</v>
      </c>
      <c r="E5469" t="s">
        <v>461</v>
      </c>
      <c r="F5469" t="s">
        <v>668</v>
      </c>
      <c r="G5469">
        <v>2045</v>
      </c>
      <c r="H5469" s="12">
        <v>345.33</v>
      </c>
      <c r="I5469" t="s">
        <v>3183</v>
      </c>
      <c r="J5469" t="s">
        <v>41</v>
      </c>
      <c r="K5469" t="s">
        <v>147</v>
      </c>
      <c r="L5469" t="s">
        <v>650</v>
      </c>
      <c r="M5469" t="s">
        <v>669</v>
      </c>
    </row>
    <row r="5470" spans="1:13">
      <c r="A5470" t="s">
        <v>851</v>
      </c>
      <c r="B5470" t="s">
        <v>686</v>
      </c>
      <c r="C5470" t="s">
        <v>686</v>
      </c>
      <c r="D5470" t="s">
        <v>3185</v>
      </c>
      <c r="E5470" t="s">
        <v>461</v>
      </c>
      <c r="F5470" t="s">
        <v>668</v>
      </c>
      <c r="G5470">
        <v>2050</v>
      </c>
      <c r="H5470" s="12">
        <v>358.89</v>
      </c>
      <c r="I5470" t="s">
        <v>3183</v>
      </c>
      <c r="J5470" t="s">
        <v>41</v>
      </c>
      <c r="K5470" t="s">
        <v>147</v>
      </c>
      <c r="L5470" t="s">
        <v>650</v>
      </c>
      <c r="M5470" t="s">
        <v>669</v>
      </c>
    </row>
    <row r="5471" spans="1:13">
      <c r="A5471" t="s">
        <v>851</v>
      </c>
      <c r="B5471" t="s">
        <v>687</v>
      </c>
      <c r="C5471" t="s">
        <v>687</v>
      </c>
      <c r="D5471" t="s">
        <v>3185</v>
      </c>
      <c r="E5471" t="s">
        <v>461</v>
      </c>
      <c r="F5471" t="s">
        <v>668</v>
      </c>
      <c r="G5471">
        <v>2030</v>
      </c>
      <c r="H5471" s="12">
        <v>348.12</v>
      </c>
      <c r="I5471" t="s">
        <v>3183</v>
      </c>
      <c r="J5471" t="s">
        <v>41</v>
      </c>
      <c r="K5471" t="s">
        <v>147</v>
      </c>
      <c r="L5471" t="s">
        <v>650</v>
      </c>
      <c r="M5471" t="s">
        <v>669</v>
      </c>
    </row>
    <row r="5472" spans="1:13">
      <c r="A5472" t="s">
        <v>851</v>
      </c>
      <c r="B5472" t="s">
        <v>687</v>
      </c>
      <c r="C5472" t="s">
        <v>687</v>
      </c>
      <c r="D5472" t="s">
        <v>3185</v>
      </c>
      <c r="E5472" t="s">
        <v>461</v>
      </c>
      <c r="F5472" t="s">
        <v>668</v>
      </c>
      <c r="G5472">
        <v>2035</v>
      </c>
      <c r="H5472" s="12">
        <v>399.68</v>
      </c>
      <c r="I5472" t="s">
        <v>3183</v>
      </c>
      <c r="J5472" t="s">
        <v>41</v>
      </c>
      <c r="K5472" t="s">
        <v>147</v>
      </c>
      <c r="L5472" t="s">
        <v>650</v>
      </c>
      <c r="M5472" t="s">
        <v>669</v>
      </c>
    </row>
    <row r="5473" spans="1:13">
      <c r="A5473" t="s">
        <v>851</v>
      </c>
      <c r="B5473" t="s">
        <v>687</v>
      </c>
      <c r="C5473" t="s">
        <v>687</v>
      </c>
      <c r="D5473" t="s">
        <v>3185</v>
      </c>
      <c r="E5473" t="s">
        <v>461</v>
      </c>
      <c r="F5473" t="s">
        <v>668</v>
      </c>
      <c r="G5473">
        <v>2040</v>
      </c>
      <c r="H5473" s="12">
        <v>463.51</v>
      </c>
      <c r="I5473" t="s">
        <v>3183</v>
      </c>
      <c r="J5473" t="s">
        <v>41</v>
      </c>
      <c r="K5473" t="s">
        <v>147</v>
      </c>
      <c r="L5473" t="s">
        <v>650</v>
      </c>
      <c r="M5473" t="s">
        <v>669</v>
      </c>
    </row>
    <row r="5474" spans="1:13">
      <c r="A5474" t="s">
        <v>851</v>
      </c>
      <c r="B5474" t="s">
        <v>687</v>
      </c>
      <c r="C5474" t="s">
        <v>687</v>
      </c>
      <c r="D5474" t="s">
        <v>3185</v>
      </c>
      <c r="E5474" t="s">
        <v>461</v>
      </c>
      <c r="F5474" t="s">
        <v>668</v>
      </c>
      <c r="G5474">
        <v>2045</v>
      </c>
      <c r="H5474" s="12">
        <v>505.42</v>
      </c>
      <c r="I5474" t="s">
        <v>3183</v>
      </c>
      <c r="J5474" t="s">
        <v>41</v>
      </c>
      <c r="K5474" t="s">
        <v>147</v>
      </c>
      <c r="L5474" t="s">
        <v>650</v>
      </c>
      <c r="M5474" t="s">
        <v>669</v>
      </c>
    </row>
    <row r="5475" spans="1:13">
      <c r="A5475" t="s">
        <v>851</v>
      </c>
      <c r="B5475" t="s">
        <v>687</v>
      </c>
      <c r="C5475" t="s">
        <v>687</v>
      </c>
      <c r="D5475" t="s">
        <v>3185</v>
      </c>
      <c r="E5475" t="s">
        <v>461</v>
      </c>
      <c r="F5475" t="s">
        <v>668</v>
      </c>
      <c r="G5475">
        <v>2050</v>
      </c>
      <c r="H5475" s="12">
        <v>537.89</v>
      </c>
      <c r="I5475" t="s">
        <v>3183</v>
      </c>
      <c r="J5475" t="s">
        <v>41</v>
      </c>
      <c r="K5475" t="s">
        <v>147</v>
      </c>
      <c r="L5475" t="s">
        <v>650</v>
      </c>
      <c r="M5475" t="s">
        <v>669</v>
      </c>
    </row>
    <row r="5476" spans="1:13">
      <c r="A5476" t="s">
        <v>851</v>
      </c>
      <c r="B5476" t="s">
        <v>686</v>
      </c>
      <c r="C5476" t="s">
        <v>686</v>
      </c>
      <c r="D5476" t="s">
        <v>3185</v>
      </c>
      <c r="E5476" t="s">
        <v>461</v>
      </c>
      <c r="F5476" t="s">
        <v>668</v>
      </c>
      <c r="G5476">
        <v>2010</v>
      </c>
      <c r="H5476" s="12">
        <v>1032.0999999999999</v>
      </c>
      <c r="I5476" t="s">
        <v>3183</v>
      </c>
      <c r="J5476" t="s">
        <v>15</v>
      </c>
      <c r="K5476" t="s">
        <v>147</v>
      </c>
      <c r="L5476" t="s">
        <v>650</v>
      </c>
      <c r="M5476" t="s">
        <v>15</v>
      </c>
    </row>
    <row r="5477" spans="1:13">
      <c r="A5477" t="s">
        <v>851</v>
      </c>
      <c r="B5477" t="s">
        <v>686</v>
      </c>
      <c r="C5477" t="s">
        <v>686</v>
      </c>
      <c r="D5477" t="s">
        <v>3185</v>
      </c>
      <c r="E5477" t="s">
        <v>461</v>
      </c>
      <c r="F5477" t="s">
        <v>668</v>
      </c>
      <c r="G5477">
        <v>2015</v>
      </c>
      <c r="H5477" s="12">
        <v>967.74</v>
      </c>
      <c r="I5477" t="s">
        <v>3183</v>
      </c>
      <c r="J5477" t="s">
        <v>15</v>
      </c>
      <c r="K5477" t="s">
        <v>147</v>
      </c>
      <c r="L5477" t="s">
        <v>650</v>
      </c>
      <c r="M5477" t="s">
        <v>15</v>
      </c>
    </row>
    <row r="5478" spans="1:13">
      <c r="A5478" t="s">
        <v>851</v>
      </c>
      <c r="B5478" t="s">
        <v>687</v>
      </c>
      <c r="C5478" t="s">
        <v>687</v>
      </c>
      <c r="D5478" t="s">
        <v>3185</v>
      </c>
      <c r="E5478" t="s">
        <v>461</v>
      </c>
      <c r="F5478" t="s">
        <v>668</v>
      </c>
      <c r="G5478">
        <v>2035</v>
      </c>
      <c r="H5478" s="12">
        <v>18.07</v>
      </c>
      <c r="I5478" t="s">
        <v>3183</v>
      </c>
      <c r="J5478" t="s">
        <v>8</v>
      </c>
      <c r="K5478" t="s">
        <v>147</v>
      </c>
      <c r="L5478" t="s">
        <v>650</v>
      </c>
      <c r="M5478" t="s">
        <v>670</v>
      </c>
    </row>
    <row r="5479" spans="1:13">
      <c r="A5479" t="s">
        <v>851</v>
      </c>
      <c r="B5479" t="s">
        <v>687</v>
      </c>
      <c r="C5479" t="s">
        <v>687</v>
      </c>
      <c r="D5479" t="s">
        <v>3185</v>
      </c>
      <c r="E5479" t="s">
        <v>461</v>
      </c>
      <c r="F5479" t="s">
        <v>668</v>
      </c>
      <c r="G5479">
        <v>2040</v>
      </c>
      <c r="H5479" s="12">
        <v>30.1</v>
      </c>
      <c r="I5479" t="s">
        <v>3183</v>
      </c>
      <c r="J5479" t="s">
        <v>8</v>
      </c>
      <c r="K5479" t="s">
        <v>147</v>
      </c>
      <c r="L5479" t="s">
        <v>650</v>
      </c>
      <c r="M5479" t="s">
        <v>670</v>
      </c>
    </row>
    <row r="5480" spans="1:13">
      <c r="A5480" t="s">
        <v>851</v>
      </c>
      <c r="B5480" t="s">
        <v>687</v>
      </c>
      <c r="C5480" t="s">
        <v>687</v>
      </c>
      <c r="D5480" t="s">
        <v>3185</v>
      </c>
      <c r="E5480" t="s">
        <v>461</v>
      </c>
      <c r="F5480" t="s">
        <v>668</v>
      </c>
      <c r="G5480">
        <v>2045</v>
      </c>
      <c r="H5480" s="12">
        <v>41.52</v>
      </c>
      <c r="I5480" t="s">
        <v>3183</v>
      </c>
      <c r="J5480" t="s">
        <v>8</v>
      </c>
      <c r="K5480" t="s">
        <v>147</v>
      </c>
      <c r="L5480" t="s">
        <v>650</v>
      </c>
      <c r="M5480" t="s">
        <v>670</v>
      </c>
    </row>
    <row r="5481" spans="1:13">
      <c r="A5481" t="s">
        <v>851</v>
      </c>
      <c r="B5481" t="s">
        <v>687</v>
      </c>
      <c r="C5481" t="s">
        <v>687</v>
      </c>
      <c r="D5481" t="s">
        <v>3185</v>
      </c>
      <c r="E5481" t="s">
        <v>461</v>
      </c>
      <c r="F5481" t="s">
        <v>668</v>
      </c>
      <c r="G5481">
        <v>2050</v>
      </c>
      <c r="H5481" s="12">
        <v>46.71</v>
      </c>
      <c r="I5481" t="s">
        <v>3183</v>
      </c>
      <c r="J5481" t="s">
        <v>8</v>
      </c>
      <c r="K5481" t="s">
        <v>147</v>
      </c>
      <c r="L5481" t="s">
        <v>650</v>
      </c>
      <c r="M5481" t="s">
        <v>670</v>
      </c>
    </row>
    <row r="5482" spans="1:13">
      <c r="A5482" t="s">
        <v>851</v>
      </c>
      <c r="B5482" t="s">
        <v>686</v>
      </c>
      <c r="C5482" t="s">
        <v>686</v>
      </c>
      <c r="D5482" t="s">
        <v>3185</v>
      </c>
      <c r="E5482" t="s">
        <v>461</v>
      </c>
      <c r="F5482" t="s">
        <v>668</v>
      </c>
      <c r="G5482">
        <v>2010</v>
      </c>
      <c r="H5482" s="12">
        <v>1067.95</v>
      </c>
      <c r="I5482" t="s">
        <v>3183</v>
      </c>
      <c r="J5482" t="s">
        <v>5</v>
      </c>
      <c r="K5482" t="s">
        <v>147</v>
      </c>
      <c r="L5482" t="s">
        <v>650</v>
      </c>
      <c r="M5482" t="s">
        <v>665</v>
      </c>
    </row>
    <row r="5483" spans="1:13">
      <c r="A5483" t="s">
        <v>851</v>
      </c>
      <c r="B5483" t="s">
        <v>686</v>
      </c>
      <c r="C5483" t="s">
        <v>686</v>
      </c>
      <c r="D5483" t="s">
        <v>3185</v>
      </c>
      <c r="E5483" t="s">
        <v>461</v>
      </c>
      <c r="F5483" t="s">
        <v>668</v>
      </c>
      <c r="G5483">
        <v>2015</v>
      </c>
      <c r="H5483" s="12">
        <v>1037.83</v>
      </c>
      <c r="I5483" t="s">
        <v>3183</v>
      </c>
      <c r="J5483" t="s">
        <v>5</v>
      </c>
      <c r="K5483" t="s">
        <v>147</v>
      </c>
      <c r="L5483" t="s">
        <v>650</v>
      </c>
      <c r="M5483" t="s">
        <v>665</v>
      </c>
    </row>
    <row r="5484" spans="1:13">
      <c r="A5484" t="s">
        <v>851</v>
      </c>
      <c r="B5484" t="s">
        <v>686</v>
      </c>
      <c r="C5484" t="s">
        <v>686</v>
      </c>
      <c r="D5484" t="s">
        <v>3185</v>
      </c>
      <c r="E5484" t="s">
        <v>461</v>
      </c>
      <c r="F5484" t="s">
        <v>668</v>
      </c>
      <c r="G5484">
        <v>2020</v>
      </c>
      <c r="H5484" s="12">
        <v>603.38</v>
      </c>
      <c r="I5484" t="s">
        <v>3183</v>
      </c>
      <c r="J5484" t="s">
        <v>5</v>
      </c>
      <c r="K5484" t="s">
        <v>147</v>
      </c>
      <c r="L5484" t="s">
        <v>650</v>
      </c>
      <c r="M5484" t="s">
        <v>665</v>
      </c>
    </row>
    <row r="5485" spans="1:13">
      <c r="A5485" t="s">
        <v>851</v>
      </c>
      <c r="B5485" t="s">
        <v>686</v>
      </c>
      <c r="C5485" t="s">
        <v>686</v>
      </c>
      <c r="D5485" t="s">
        <v>3185</v>
      </c>
      <c r="E5485" t="s">
        <v>461</v>
      </c>
      <c r="F5485" t="s">
        <v>668</v>
      </c>
      <c r="G5485">
        <v>2030</v>
      </c>
      <c r="H5485" s="12">
        <v>351.78</v>
      </c>
      <c r="I5485" t="s">
        <v>3183</v>
      </c>
      <c r="J5485" t="s">
        <v>5</v>
      </c>
      <c r="K5485" t="s">
        <v>147</v>
      </c>
      <c r="L5485" t="s">
        <v>650</v>
      </c>
      <c r="M5485" t="s">
        <v>665</v>
      </c>
    </row>
    <row r="5486" spans="1:13">
      <c r="A5486" t="s">
        <v>851</v>
      </c>
      <c r="B5486" t="s">
        <v>686</v>
      </c>
      <c r="C5486" t="s">
        <v>686</v>
      </c>
      <c r="D5486" t="s">
        <v>3185</v>
      </c>
      <c r="E5486" t="s">
        <v>461</v>
      </c>
      <c r="F5486" t="s">
        <v>668</v>
      </c>
      <c r="G5486">
        <v>2035</v>
      </c>
      <c r="H5486" s="12">
        <v>253.11</v>
      </c>
      <c r="I5486" t="s">
        <v>3183</v>
      </c>
      <c r="J5486" t="s">
        <v>5</v>
      </c>
      <c r="K5486" t="s">
        <v>147</v>
      </c>
      <c r="L5486" t="s">
        <v>650</v>
      </c>
      <c r="M5486" t="s">
        <v>665</v>
      </c>
    </row>
    <row r="5487" spans="1:13">
      <c r="A5487" t="s">
        <v>851</v>
      </c>
      <c r="B5487" t="s">
        <v>686</v>
      </c>
      <c r="C5487" t="s">
        <v>686</v>
      </c>
      <c r="D5487" t="s">
        <v>3185</v>
      </c>
      <c r="E5487" t="s">
        <v>461</v>
      </c>
      <c r="F5487" t="s">
        <v>668</v>
      </c>
      <c r="G5487">
        <v>2040</v>
      </c>
      <c r="H5487" s="12">
        <v>233.94</v>
      </c>
      <c r="I5487" t="s">
        <v>3183</v>
      </c>
      <c r="J5487" t="s">
        <v>5</v>
      </c>
      <c r="K5487" t="s">
        <v>147</v>
      </c>
      <c r="L5487" t="s">
        <v>650</v>
      </c>
      <c r="M5487" t="s">
        <v>665</v>
      </c>
    </row>
    <row r="5488" spans="1:13">
      <c r="A5488" t="s">
        <v>851</v>
      </c>
      <c r="B5488" t="s">
        <v>686</v>
      </c>
      <c r="C5488" t="s">
        <v>686</v>
      </c>
      <c r="D5488" t="s">
        <v>3185</v>
      </c>
      <c r="E5488" t="s">
        <v>461</v>
      </c>
      <c r="F5488" t="s">
        <v>668</v>
      </c>
      <c r="G5488">
        <v>2045</v>
      </c>
      <c r="H5488" s="12">
        <v>232.51</v>
      </c>
      <c r="I5488" t="s">
        <v>3183</v>
      </c>
      <c r="J5488" t="s">
        <v>5</v>
      </c>
      <c r="K5488" t="s">
        <v>147</v>
      </c>
      <c r="L5488" t="s">
        <v>650</v>
      </c>
      <c r="M5488" t="s">
        <v>665</v>
      </c>
    </row>
    <row r="5489" spans="1:13">
      <c r="A5489" t="s">
        <v>851</v>
      </c>
      <c r="B5489" t="s">
        <v>686</v>
      </c>
      <c r="C5489" t="s">
        <v>686</v>
      </c>
      <c r="D5489" t="s">
        <v>3185</v>
      </c>
      <c r="E5489" t="s">
        <v>461</v>
      </c>
      <c r="F5489" t="s">
        <v>668</v>
      </c>
      <c r="G5489">
        <v>2050</v>
      </c>
      <c r="H5489" s="12">
        <v>232.62</v>
      </c>
      <c r="I5489" t="s">
        <v>3183</v>
      </c>
      <c r="J5489" t="s">
        <v>5</v>
      </c>
      <c r="K5489" t="s">
        <v>147</v>
      </c>
      <c r="L5489" t="s">
        <v>650</v>
      </c>
      <c r="M5489" t="s">
        <v>665</v>
      </c>
    </row>
    <row r="5490" spans="1:13">
      <c r="A5490" t="s">
        <v>851</v>
      </c>
      <c r="B5490" t="s">
        <v>687</v>
      </c>
      <c r="C5490" t="s">
        <v>687</v>
      </c>
      <c r="D5490" t="s">
        <v>3185</v>
      </c>
      <c r="E5490" t="s">
        <v>461</v>
      </c>
      <c r="F5490" t="s">
        <v>668</v>
      </c>
      <c r="G5490">
        <v>2030</v>
      </c>
      <c r="H5490" s="12">
        <v>195.93</v>
      </c>
      <c r="I5490" t="s">
        <v>3183</v>
      </c>
      <c r="J5490" t="s">
        <v>5</v>
      </c>
      <c r="K5490" t="s">
        <v>147</v>
      </c>
      <c r="L5490" t="s">
        <v>650</v>
      </c>
      <c r="M5490" t="s">
        <v>665</v>
      </c>
    </row>
    <row r="5491" spans="1:13">
      <c r="A5491" t="s">
        <v>851</v>
      </c>
      <c r="B5491" t="s">
        <v>687</v>
      </c>
      <c r="C5491" t="s">
        <v>687</v>
      </c>
      <c r="D5491" t="s">
        <v>3185</v>
      </c>
      <c r="E5491" t="s">
        <v>461</v>
      </c>
      <c r="F5491" t="s">
        <v>668</v>
      </c>
      <c r="G5491">
        <v>2035</v>
      </c>
      <c r="H5491" s="12">
        <v>81.900000000000006</v>
      </c>
      <c r="I5491" t="s">
        <v>3183</v>
      </c>
      <c r="J5491" t="s">
        <v>5</v>
      </c>
      <c r="K5491" t="s">
        <v>147</v>
      </c>
      <c r="L5491" t="s">
        <v>650</v>
      </c>
      <c r="M5491" t="s">
        <v>665</v>
      </c>
    </row>
    <row r="5492" spans="1:13">
      <c r="A5492" t="s">
        <v>851</v>
      </c>
      <c r="B5492" t="s">
        <v>687</v>
      </c>
      <c r="C5492" t="s">
        <v>687</v>
      </c>
      <c r="D5492" t="s">
        <v>3185</v>
      </c>
      <c r="E5492" t="s">
        <v>461</v>
      </c>
      <c r="F5492" t="s">
        <v>668</v>
      </c>
      <c r="G5492">
        <v>2040</v>
      </c>
      <c r="H5492" s="12">
        <v>61.5</v>
      </c>
      <c r="I5492" t="s">
        <v>3183</v>
      </c>
      <c r="J5492" t="s">
        <v>5</v>
      </c>
      <c r="K5492" t="s">
        <v>147</v>
      </c>
      <c r="L5492" t="s">
        <v>650</v>
      </c>
      <c r="M5492" t="s">
        <v>665</v>
      </c>
    </row>
    <row r="5493" spans="1:13">
      <c r="A5493" t="s">
        <v>851</v>
      </c>
      <c r="B5493" t="s">
        <v>687</v>
      </c>
      <c r="C5493" t="s">
        <v>687</v>
      </c>
      <c r="D5493" t="s">
        <v>3185</v>
      </c>
      <c r="E5493" t="s">
        <v>461</v>
      </c>
      <c r="F5493" t="s">
        <v>668</v>
      </c>
      <c r="G5493">
        <v>2045</v>
      </c>
      <c r="H5493" s="12">
        <v>45.21</v>
      </c>
      <c r="I5493" t="s">
        <v>3183</v>
      </c>
      <c r="J5493" t="s">
        <v>5</v>
      </c>
      <c r="K5493" t="s">
        <v>147</v>
      </c>
      <c r="L5493" t="s">
        <v>650</v>
      </c>
      <c r="M5493" t="s">
        <v>665</v>
      </c>
    </row>
    <row r="5494" spans="1:13">
      <c r="A5494" t="s">
        <v>851</v>
      </c>
      <c r="B5494" t="s">
        <v>687</v>
      </c>
      <c r="C5494" t="s">
        <v>687</v>
      </c>
      <c r="D5494" t="s">
        <v>3185</v>
      </c>
      <c r="E5494" t="s">
        <v>461</v>
      </c>
      <c r="F5494" t="s">
        <v>668</v>
      </c>
      <c r="G5494">
        <v>2050</v>
      </c>
      <c r="H5494" s="12">
        <v>37.64</v>
      </c>
      <c r="I5494" t="s">
        <v>3183</v>
      </c>
      <c r="J5494" t="s">
        <v>5</v>
      </c>
      <c r="K5494" t="s">
        <v>147</v>
      </c>
      <c r="L5494" t="s">
        <v>650</v>
      </c>
      <c r="M5494" t="s">
        <v>665</v>
      </c>
    </row>
    <row r="5495" spans="1:13">
      <c r="A5495" t="s">
        <v>851</v>
      </c>
      <c r="B5495" t="s">
        <v>686</v>
      </c>
      <c r="C5495" t="s">
        <v>686</v>
      </c>
      <c r="D5495" t="s">
        <v>3185</v>
      </c>
      <c r="E5495" t="s">
        <v>461</v>
      </c>
      <c r="F5495" t="s">
        <v>668</v>
      </c>
      <c r="G5495">
        <v>2010</v>
      </c>
      <c r="H5495" s="12">
        <v>945.79</v>
      </c>
      <c r="I5495" t="s">
        <v>3183</v>
      </c>
      <c r="J5495" t="s">
        <v>6</v>
      </c>
      <c r="K5495" t="s">
        <v>147</v>
      </c>
      <c r="L5495" t="s">
        <v>650</v>
      </c>
      <c r="M5495" t="s">
        <v>666</v>
      </c>
    </row>
    <row r="5496" spans="1:13">
      <c r="A5496" t="s">
        <v>851</v>
      </c>
      <c r="B5496" t="s">
        <v>686</v>
      </c>
      <c r="C5496" t="s">
        <v>686</v>
      </c>
      <c r="D5496" t="s">
        <v>3185</v>
      </c>
      <c r="E5496" t="s">
        <v>461</v>
      </c>
      <c r="F5496" t="s">
        <v>668</v>
      </c>
      <c r="G5496">
        <v>2015</v>
      </c>
      <c r="H5496" s="12">
        <v>679.83</v>
      </c>
      <c r="I5496" t="s">
        <v>3183</v>
      </c>
      <c r="J5496" t="s">
        <v>6</v>
      </c>
      <c r="K5496" t="s">
        <v>147</v>
      </c>
      <c r="L5496" t="s">
        <v>650</v>
      </c>
      <c r="M5496" t="s">
        <v>666</v>
      </c>
    </row>
    <row r="5497" spans="1:13">
      <c r="A5497" t="s">
        <v>851</v>
      </c>
      <c r="B5497" t="s">
        <v>686</v>
      </c>
      <c r="C5497" t="s">
        <v>686</v>
      </c>
      <c r="D5497" t="s">
        <v>3185</v>
      </c>
      <c r="E5497" t="s">
        <v>461</v>
      </c>
      <c r="F5497" t="s">
        <v>668</v>
      </c>
      <c r="G5497">
        <v>2020</v>
      </c>
      <c r="H5497" s="12">
        <v>844.39</v>
      </c>
      <c r="I5497" t="s">
        <v>3183</v>
      </c>
      <c r="J5497" t="s">
        <v>6</v>
      </c>
      <c r="K5497" t="s">
        <v>147</v>
      </c>
      <c r="L5497" t="s">
        <v>650</v>
      </c>
      <c r="M5497" t="s">
        <v>666</v>
      </c>
    </row>
    <row r="5498" spans="1:13">
      <c r="A5498" t="s">
        <v>851</v>
      </c>
      <c r="B5498" t="s">
        <v>686</v>
      </c>
      <c r="C5498" t="s">
        <v>686</v>
      </c>
      <c r="D5498" t="s">
        <v>3185</v>
      </c>
      <c r="E5498" t="s">
        <v>461</v>
      </c>
      <c r="F5498" t="s">
        <v>668</v>
      </c>
      <c r="G5498">
        <v>2030</v>
      </c>
      <c r="H5498" s="12">
        <v>606.28</v>
      </c>
      <c r="I5498" t="s">
        <v>3183</v>
      </c>
      <c r="J5498" t="s">
        <v>6</v>
      </c>
      <c r="K5498" t="s">
        <v>147</v>
      </c>
      <c r="L5498" t="s">
        <v>650</v>
      </c>
      <c r="M5498" t="s">
        <v>666</v>
      </c>
    </row>
    <row r="5499" spans="1:13">
      <c r="A5499" t="s">
        <v>851</v>
      </c>
      <c r="B5499" t="s">
        <v>686</v>
      </c>
      <c r="C5499" t="s">
        <v>686</v>
      </c>
      <c r="D5499" t="s">
        <v>3185</v>
      </c>
      <c r="E5499" t="s">
        <v>461</v>
      </c>
      <c r="F5499" t="s">
        <v>668</v>
      </c>
      <c r="G5499">
        <v>2035</v>
      </c>
      <c r="H5499" s="12">
        <v>532.80999999999995</v>
      </c>
      <c r="I5499" t="s">
        <v>3183</v>
      </c>
      <c r="J5499" t="s">
        <v>6</v>
      </c>
      <c r="K5499" t="s">
        <v>147</v>
      </c>
      <c r="L5499" t="s">
        <v>650</v>
      </c>
      <c r="M5499" t="s">
        <v>666</v>
      </c>
    </row>
    <row r="5500" spans="1:13">
      <c r="A5500" t="s">
        <v>851</v>
      </c>
      <c r="B5500" t="s">
        <v>686</v>
      </c>
      <c r="C5500" t="s">
        <v>686</v>
      </c>
      <c r="D5500" t="s">
        <v>3185</v>
      </c>
      <c r="E5500" t="s">
        <v>461</v>
      </c>
      <c r="F5500" t="s">
        <v>668</v>
      </c>
      <c r="G5500">
        <v>2040</v>
      </c>
      <c r="H5500" s="12">
        <v>489.08</v>
      </c>
      <c r="I5500" t="s">
        <v>3183</v>
      </c>
      <c r="J5500" t="s">
        <v>6</v>
      </c>
      <c r="K5500" t="s">
        <v>147</v>
      </c>
      <c r="L5500" t="s">
        <v>650</v>
      </c>
      <c r="M5500" t="s">
        <v>666</v>
      </c>
    </row>
    <row r="5501" spans="1:13">
      <c r="A5501" t="s">
        <v>851</v>
      </c>
      <c r="B5501" t="s">
        <v>686</v>
      </c>
      <c r="C5501" t="s">
        <v>686</v>
      </c>
      <c r="D5501" t="s">
        <v>3185</v>
      </c>
      <c r="E5501" t="s">
        <v>461</v>
      </c>
      <c r="F5501" t="s">
        <v>668</v>
      </c>
      <c r="G5501">
        <v>2045</v>
      </c>
      <c r="H5501" s="12">
        <v>442.29</v>
      </c>
      <c r="I5501" t="s">
        <v>3183</v>
      </c>
      <c r="J5501" t="s">
        <v>6</v>
      </c>
      <c r="K5501" t="s">
        <v>147</v>
      </c>
      <c r="L5501" t="s">
        <v>650</v>
      </c>
      <c r="M5501" t="s">
        <v>666</v>
      </c>
    </row>
    <row r="5502" spans="1:13">
      <c r="A5502" t="s">
        <v>851</v>
      </c>
      <c r="B5502" t="s">
        <v>686</v>
      </c>
      <c r="C5502" t="s">
        <v>686</v>
      </c>
      <c r="D5502" t="s">
        <v>3185</v>
      </c>
      <c r="E5502" t="s">
        <v>461</v>
      </c>
      <c r="F5502" t="s">
        <v>668</v>
      </c>
      <c r="G5502">
        <v>2050</v>
      </c>
      <c r="H5502" s="12">
        <v>402.14</v>
      </c>
      <c r="I5502" t="s">
        <v>3183</v>
      </c>
      <c r="J5502" t="s">
        <v>6</v>
      </c>
      <c r="K5502" t="s">
        <v>147</v>
      </c>
      <c r="L5502" t="s">
        <v>650</v>
      </c>
      <c r="M5502" t="s">
        <v>666</v>
      </c>
    </row>
    <row r="5503" spans="1:13">
      <c r="A5503" t="s">
        <v>851</v>
      </c>
      <c r="B5503" t="s">
        <v>687</v>
      </c>
      <c r="C5503" t="s">
        <v>687</v>
      </c>
      <c r="D5503" t="s">
        <v>3185</v>
      </c>
      <c r="E5503" t="s">
        <v>461</v>
      </c>
      <c r="F5503" t="s">
        <v>668</v>
      </c>
      <c r="G5503">
        <v>2030</v>
      </c>
      <c r="H5503" s="12">
        <v>527.82000000000005</v>
      </c>
      <c r="I5503" t="s">
        <v>3183</v>
      </c>
      <c r="J5503" t="s">
        <v>6</v>
      </c>
      <c r="K5503" t="s">
        <v>147</v>
      </c>
      <c r="L5503" t="s">
        <v>650</v>
      </c>
      <c r="M5503" t="s">
        <v>666</v>
      </c>
    </row>
    <row r="5504" spans="1:13">
      <c r="A5504" t="s">
        <v>851</v>
      </c>
      <c r="B5504" t="s">
        <v>687</v>
      </c>
      <c r="C5504" t="s">
        <v>687</v>
      </c>
      <c r="D5504" t="s">
        <v>3185</v>
      </c>
      <c r="E5504" t="s">
        <v>461</v>
      </c>
      <c r="F5504" t="s">
        <v>668</v>
      </c>
      <c r="G5504">
        <v>2035</v>
      </c>
      <c r="H5504" s="12">
        <v>291.92</v>
      </c>
      <c r="I5504" t="s">
        <v>3183</v>
      </c>
      <c r="J5504" t="s">
        <v>6</v>
      </c>
      <c r="K5504" t="s">
        <v>147</v>
      </c>
      <c r="L5504" t="s">
        <v>650</v>
      </c>
      <c r="M5504" t="s">
        <v>666</v>
      </c>
    </row>
    <row r="5505" spans="1:13">
      <c r="A5505" t="s">
        <v>851</v>
      </c>
      <c r="B5505" t="s">
        <v>687</v>
      </c>
      <c r="C5505" t="s">
        <v>687</v>
      </c>
      <c r="D5505" t="s">
        <v>3185</v>
      </c>
      <c r="E5505" t="s">
        <v>461</v>
      </c>
      <c r="F5505" t="s">
        <v>668</v>
      </c>
      <c r="G5505">
        <v>2040</v>
      </c>
      <c r="H5505" s="12">
        <v>172.62</v>
      </c>
      <c r="I5505" t="s">
        <v>3183</v>
      </c>
      <c r="J5505" t="s">
        <v>6</v>
      </c>
      <c r="K5505" t="s">
        <v>147</v>
      </c>
      <c r="L5505" t="s">
        <v>650</v>
      </c>
      <c r="M5505" t="s">
        <v>666</v>
      </c>
    </row>
    <row r="5506" spans="1:13">
      <c r="A5506" t="s">
        <v>851</v>
      </c>
      <c r="B5506" t="s">
        <v>687</v>
      </c>
      <c r="C5506" t="s">
        <v>687</v>
      </c>
      <c r="D5506" t="s">
        <v>3185</v>
      </c>
      <c r="E5506" t="s">
        <v>461</v>
      </c>
      <c r="F5506" t="s">
        <v>668</v>
      </c>
      <c r="G5506">
        <v>2045</v>
      </c>
      <c r="H5506" s="12">
        <v>145.82</v>
      </c>
      <c r="I5506" t="s">
        <v>3183</v>
      </c>
      <c r="J5506" t="s">
        <v>6</v>
      </c>
      <c r="K5506" t="s">
        <v>147</v>
      </c>
      <c r="L5506" t="s">
        <v>650</v>
      </c>
      <c r="M5506" t="s">
        <v>666</v>
      </c>
    </row>
    <row r="5507" spans="1:13">
      <c r="A5507" t="s">
        <v>851</v>
      </c>
      <c r="B5507" t="s">
        <v>687</v>
      </c>
      <c r="C5507" t="s">
        <v>687</v>
      </c>
      <c r="D5507" t="s">
        <v>3185</v>
      </c>
      <c r="E5507" t="s">
        <v>461</v>
      </c>
      <c r="F5507" t="s">
        <v>668</v>
      </c>
      <c r="G5507">
        <v>2050</v>
      </c>
      <c r="H5507" s="12">
        <v>88.82</v>
      </c>
      <c r="I5507" t="s">
        <v>3183</v>
      </c>
      <c r="J5507" t="s">
        <v>6</v>
      </c>
      <c r="K5507" t="s">
        <v>147</v>
      </c>
      <c r="L5507" t="s">
        <v>650</v>
      </c>
      <c r="M5507" t="s">
        <v>666</v>
      </c>
    </row>
    <row r="5508" spans="1:13">
      <c r="A5508" t="s">
        <v>851</v>
      </c>
      <c r="B5508" t="s">
        <v>686</v>
      </c>
      <c r="C5508" t="s">
        <v>686</v>
      </c>
      <c r="D5508" t="s">
        <v>3185</v>
      </c>
      <c r="E5508" t="s">
        <v>461</v>
      </c>
      <c r="F5508" t="s">
        <v>668</v>
      </c>
      <c r="G5508">
        <v>2010</v>
      </c>
      <c r="H5508" s="12">
        <v>94.15</v>
      </c>
      <c r="I5508" t="s">
        <v>3183</v>
      </c>
      <c r="J5508" t="s">
        <v>394</v>
      </c>
      <c r="K5508" t="s">
        <v>147</v>
      </c>
      <c r="L5508" t="s">
        <v>650</v>
      </c>
      <c r="M5508" t="s">
        <v>16</v>
      </c>
    </row>
    <row r="5509" spans="1:13">
      <c r="A5509" t="s">
        <v>851</v>
      </c>
      <c r="B5509" t="s">
        <v>686</v>
      </c>
      <c r="C5509" t="s">
        <v>686</v>
      </c>
      <c r="D5509" t="s">
        <v>3185</v>
      </c>
      <c r="E5509" t="s">
        <v>461</v>
      </c>
      <c r="F5509" t="s">
        <v>668</v>
      </c>
      <c r="G5509">
        <v>2015</v>
      </c>
      <c r="H5509" s="12">
        <v>70.11</v>
      </c>
      <c r="I5509" t="s">
        <v>3183</v>
      </c>
      <c r="J5509" t="s">
        <v>394</v>
      </c>
      <c r="K5509" t="s">
        <v>147</v>
      </c>
      <c r="L5509" t="s">
        <v>650</v>
      </c>
      <c r="M5509" t="s">
        <v>16</v>
      </c>
    </row>
    <row r="5510" spans="1:13">
      <c r="A5510" t="s">
        <v>851</v>
      </c>
      <c r="B5510" t="s">
        <v>686</v>
      </c>
      <c r="C5510" t="s">
        <v>686</v>
      </c>
      <c r="D5510" t="s">
        <v>3185</v>
      </c>
      <c r="E5510" t="s">
        <v>461</v>
      </c>
      <c r="F5510" t="s">
        <v>668</v>
      </c>
      <c r="G5510">
        <v>2020</v>
      </c>
      <c r="H5510" s="12">
        <v>52.73</v>
      </c>
      <c r="I5510" t="s">
        <v>3183</v>
      </c>
      <c r="J5510" t="s">
        <v>394</v>
      </c>
      <c r="K5510" t="s">
        <v>147</v>
      </c>
      <c r="L5510" t="s">
        <v>650</v>
      </c>
      <c r="M5510" t="s">
        <v>16</v>
      </c>
    </row>
    <row r="5511" spans="1:13">
      <c r="A5511" t="s">
        <v>851</v>
      </c>
      <c r="B5511" t="s">
        <v>686</v>
      </c>
      <c r="C5511" t="s">
        <v>686</v>
      </c>
      <c r="D5511" t="s">
        <v>3185</v>
      </c>
      <c r="E5511" t="s">
        <v>461</v>
      </c>
      <c r="F5511" t="s">
        <v>668</v>
      </c>
      <c r="G5511">
        <v>2030</v>
      </c>
      <c r="H5511" s="12">
        <v>23.25</v>
      </c>
      <c r="I5511" t="s">
        <v>3183</v>
      </c>
      <c r="J5511" t="s">
        <v>394</v>
      </c>
      <c r="K5511" t="s">
        <v>147</v>
      </c>
      <c r="L5511" t="s">
        <v>650</v>
      </c>
      <c r="M5511" t="s">
        <v>16</v>
      </c>
    </row>
    <row r="5512" spans="1:13">
      <c r="A5512" t="s">
        <v>851</v>
      </c>
      <c r="B5512" t="s">
        <v>686</v>
      </c>
      <c r="C5512" t="s">
        <v>686</v>
      </c>
      <c r="D5512" t="s">
        <v>3185</v>
      </c>
      <c r="E5512" t="s">
        <v>461</v>
      </c>
      <c r="F5512" t="s">
        <v>668</v>
      </c>
      <c r="G5512">
        <v>2035</v>
      </c>
      <c r="H5512" s="12">
        <v>18.55</v>
      </c>
      <c r="I5512" t="s">
        <v>3183</v>
      </c>
      <c r="J5512" t="s">
        <v>394</v>
      </c>
      <c r="K5512" t="s">
        <v>147</v>
      </c>
      <c r="L5512" t="s">
        <v>650</v>
      </c>
      <c r="M5512" t="s">
        <v>16</v>
      </c>
    </row>
    <row r="5513" spans="1:13">
      <c r="A5513" t="s">
        <v>851</v>
      </c>
      <c r="B5513" t="s">
        <v>686</v>
      </c>
      <c r="C5513" t="s">
        <v>686</v>
      </c>
      <c r="D5513" t="s">
        <v>3185</v>
      </c>
      <c r="E5513" t="s">
        <v>461</v>
      </c>
      <c r="F5513" t="s">
        <v>668</v>
      </c>
      <c r="G5513">
        <v>2040</v>
      </c>
      <c r="H5513" s="12">
        <v>11.92</v>
      </c>
      <c r="I5513" t="s">
        <v>3183</v>
      </c>
      <c r="J5513" t="s">
        <v>394</v>
      </c>
      <c r="K5513" t="s">
        <v>147</v>
      </c>
      <c r="L5513" t="s">
        <v>650</v>
      </c>
      <c r="M5513" t="s">
        <v>16</v>
      </c>
    </row>
    <row r="5514" spans="1:13">
      <c r="A5514" t="s">
        <v>851</v>
      </c>
      <c r="B5514" t="s">
        <v>686</v>
      </c>
      <c r="C5514" t="s">
        <v>686</v>
      </c>
      <c r="D5514" t="s">
        <v>3185</v>
      </c>
      <c r="E5514" t="s">
        <v>461</v>
      </c>
      <c r="F5514" t="s">
        <v>668</v>
      </c>
      <c r="G5514">
        <v>2045</v>
      </c>
      <c r="H5514" s="12">
        <v>7.63</v>
      </c>
      <c r="I5514" t="s">
        <v>3183</v>
      </c>
      <c r="J5514" t="s">
        <v>394</v>
      </c>
      <c r="K5514" t="s">
        <v>147</v>
      </c>
      <c r="L5514" t="s">
        <v>650</v>
      </c>
      <c r="M5514" t="s">
        <v>16</v>
      </c>
    </row>
    <row r="5515" spans="1:13">
      <c r="A5515" t="s">
        <v>851</v>
      </c>
      <c r="B5515" t="s">
        <v>686</v>
      </c>
      <c r="C5515" t="s">
        <v>686</v>
      </c>
      <c r="D5515" t="s">
        <v>3185</v>
      </c>
      <c r="E5515" t="s">
        <v>461</v>
      </c>
      <c r="F5515" t="s">
        <v>668</v>
      </c>
      <c r="G5515">
        <v>2050</v>
      </c>
      <c r="H5515" s="12">
        <v>5.22</v>
      </c>
      <c r="I5515" t="s">
        <v>3183</v>
      </c>
      <c r="J5515" t="s">
        <v>394</v>
      </c>
      <c r="K5515" t="s">
        <v>147</v>
      </c>
      <c r="L5515" t="s">
        <v>650</v>
      </c>
      <c r="M5515" t="s">
        <v>16</v>
      </c>
    </row>
    <row r="5516" spans="1:13">
      <c r="A5516" t="s">
        <v>851</v>
      </c>
      <c r="B5516" t="s">
        <v>687</v>
      </c>
      <c r="C5516" t="s">
        <v>687</v>
      </c>
      <c r="D5516" t="s">
        <v>3185</v>
      </c>
      <c r="E5516" t="s">
        <v>461</v>
      </c>
      <c r="F5516" t="s">
        <v>668</v>
      </c>
      <c r="G5516">
        <v>2030</v>
      </c>
      <c r="H5516" s="12">
        <v>15.65</v>
      </c>
      <c r="I5516" t="s">
        <v>3183</v>
      </c>
      <c r="J5516" t="s">
        <v>394</v>
      </c>
      <c r="K5516" t="s">
        <v>147</v>
      </c>
      <c r="L5516" t="s">
        <v>650</v>
      </c>
      <c r="M5516" t="s">
        <v>16</v>
      </c>
    </row>
    <row r="5517" spans="1:13">
      <c r="A5517" t="s">
        <v>851</v>
      </c>
      <c r="B5517" t="s">
        <v>687</v>
      </c>
      <c r="C5517" t="s">
        <v>687</v>
      </c>
      <c r="D5517" t="s">
        <v>3185</v>
      </c>
      <c r="E5517" t="s">
        <v>461</v>
      </c>
      <c r="F5517" t="s">
        <v>668</v>
      </c>
      <c r="G5517">
        <v>2035</v>
      </c>
      <c r="H5517" s="12">
        <v>2.35</v>
      </c>
      <c r="I5517" t="s">
        <v>3183</v>
      </c>
      <c r="J5517" t="s">
        <v>394</v>
      </c>
      <c r="K5517" t="s">
        <v>147</v>
      </c>
      <c r="L5517" t="s">
        <v>650</v>
      </c>
      <c r="M5517" t="s">
        <v>16</v>
      </c>
    </row>
    <row r="5518" spans="1:13">
      <c r="A5518" t="s">
        <v>851</v>
      </c>
      <c r="B5518" t="s">
        <v>686</v>
      </c>
      <c r="C5518" t="s">
        <v>686</v>
      </c>
      <c r="D5518" t="s">
        <v>3185</v>
      </c>
      <c r="E5518" t="s">
        <v>656</v>
      </c>
      <c r="F5518" t="s">
        <v>31</v>
      </c>
      <c r="G5518">
        <v>2040</v>
      </c>
      <c r="H5518" s="12">
        <v>580.07000000000005</v>
      </c>
      <c r="I5518" t="s">
        <v>3183</v>
      </c>
      <c r="J5518" t="s">
        <v>17</v>
      </c>
      <c r="K5518" t="s">
        <v>147</v>
      </c>
      <c r="L5518" t="s">
        <v>650</v>
      </c>
      <c r="M5518" t="s">
        <v>671</v>
      </c>
    </row>
    <row r="5519" spans="1:13">
      <c r="A5519" t="s">
        <v>851</v>
      </c>
      <c r="B5519" t="s">
        <v>686</v>
      </c>
      <c r="C5519" t="s">
        <v>686</v>
      </c>
      <c r="D5519" t="s">
        <v>3185</v>
      </c>
      <c r="E5519" t="s">
        <v>656</v>
      </c>
      <c r="F5519" t="s">
        <v>31</v>
      </c>
      <c r="G5519">
        <v>2045</v>
      </c>
      <c r="H5519" s="12">
        <v>599.45000000000005</v>
      </c>
      <c r="I5519" t="s">
        <v>3183</v>
      </c>
      <c r="J5519" t="s">
        <v>17</v>
      </c>
      <c r="K5519" t="s">
        <v>147</v>
      </c>
      <c r="L5519" t="s">
        <v>650</v>
      </c>
      <c r="M5519" t="s">
        <v>671</v>
      </c>
    </row>
    <row r="5520" spans="1:13">
      <c r="A5520" t="s">
        <v>851</v>
      </c>
      <c r="B5520" t="s">
        <v>686</v>
      </c>
      <c r="C5520" t="s">
        <v>686</v>
      </c>
      <c r="D5520" t="s">
        <v>3185</v>
      </c>
      <c r="E5520" t="s">
        <v>656</v>
      </c>
      <c r="F5520" t="s">
        <v>31</v>
      </c>
      <c r="G5520">
        <v>2050</v>
      </c>
      <c r="H5520" s="12">
        <v>614.98</v>
      </c>
      <c r="I5520" t="s">
        <v>3183</v>
      </c>
      <c r="J5520" t="s">
        <v>17</v>
      </c>
      <c r="K5520" t="s">
        <v>147</v>
      </c>
      <c r="L5520" t="s">
        <v>650</v>
      </c>
      <c r="M5520" t="s">
        <v>671</v>
      </c>
    </row>
    <row r="5521" spans="1:13">
      <c r="A5521" t="s">
        <v>851</v>
      </c>
      <c r="B5521" t="s">
        <v>687</v>
      </c>
      <c r="C5521" t="s">
        <v>687</v>
      </c>
      <c r="D5521" t="s">
        <v>3185</v>
      </c>
      <c r="E5521" t="s">
        <v>656</v>
      </c>
      <c r="F5521" t="s">
        <v>31</v>
      </c>
      <c r="G5521">
        <v>2030</v>
      </c>
      <c r="H5521" s="12">
        <v>583.45000000000005</v>
      </c>
      <c r="I5521" t="s">
        <v>3183</v>
      </c>
      <c r="J5521" t="s">
        <v>17</v>
      </c>
      <c r="K5521" t="s">
        <v>147</v>
      </c>
      <c r="L5521" t="s">
        <v>650</v>
      </c>
      <c r="M5521" t="s">
        <v>671</v>
      </c>
    </row>
    <row r="5522" spans="1:13">
      <c r="A5522" t="s">
        <v>851</v>
      </c>
      <c r="B5522" t="s">
        <v>687</v>
      </c>
      <c r="C5522" t="s">
        <v>687</v>
      </c>
      <c r="D5522" t="s">
        <v>3185</v>
      </c>
      <c r="E5522" t="s">
        <v>656</v>
      </c>
      <c r="F5522" t="s">
        <v>31</v>
      </c>
      <c r="G5522">
        <v>2035</v>
      </c>
      <c r="H5522" s="12">
        <v>723.79</v>
      </c>
      <c r="I5522" t="s">
        <v>3183</v>
      </c>
      <c r="J5522" t="s">
        <v>17</v>
      </c>
      <c r="K5522" t="s">
        <v>147</v>
      </c>
      <c r="L5522" t="s">
        <v>650</v>
      </c>
      <c r="M5522" t="s">
        <v>671</v>
      </c>
    </row>
    <row r="5523" spans="1:13">
      <c r="A5523" t="s">
        <v>851</v>
      </c>
      <c r="B5523" t="s">
        <v>687</v>
      </c>
      <c r="C5523" t="s">
        <v>687</v>
      </c>
      <c r="D5523" t="s">
        <v>3185</v>
      </c>
      <c r="E5523" t="s">
        <v>656</v>
      </c>
      <c r="F5523" t="s">
        <v>31</v>
      </c>
      <c r="G5523">
        <v>2040</v>
      </c>
      <c r="H5523" s="12">
        <v>800.37</v>
      </c>
      <c r="I5523" t="s">
        <v>3183</v>
      </c>
      <c r="J5523" t="s">
        <v>17</v>
      </c>
      <c r="K5523" t="s">
        <v>147</v>
      </c>
      <c r="L5523" t="s">
        <v>650</v>
      </c>
      <c r="M5523" t="s">
        <v>671</v>
      </c>
    </row>
    <row r="5524" spans="1:13">
      <c r="A5524" t="s">
        <v>851</v>
      </c>
      <c r="B5524" t="s">
        <v>687</v>
      </c>
      <c r="C5524" t="s">
        <v>687</v>
      </c>
      <c r="D5524" t="s">
        <v>3185</v>
      </c>
      <c r="E5524" t="s">
        <v>656</v>
      </c>
      <c r="F5524" t="s">
        <v>31</v>
      </c>
      <c r="G5524">
        <v>2045</v>
      </c>
      <c r="H5524" s="12">
        <v>871.39</v>
      </c>
      <c r="I5524" t="s">
        <v>3183</v>
      </c>
      <c r="J5524" t="s">
        <v>17</v>
      </c>
      <c r="K5524" t="s">
        <v>147</v>
      </c>
      <c r="L5524" t="s">
        <v>650</v>
      </c>
      <c r="M5524" t="s">
        <v>671</v>
      </c>
    </row>
    <row r="5525" spans="1:13">
      <c r="A5525" t="s">
        <v>851</v>
      </c>
      <c r="B5525" t="s">
        <v>687</v>
      </c>
      <c r="C5525" t="s">
        <v>687</v>
      </c>
      <c r="D5525" t="s">
        <v>3185</v>
      </c>
      <c r="E5525" t="s">
        <v>656</v>
      </c>
      <c r="F5525" t="s">
        <v>31</v>
      </c>
      <c r="G5525">
        <v>2050</v>
      </c>
      <c r="H5525" s="12">
        <v>909.79</v>
      </c>
      <c r="I5525" t="s">
        <v>3183</v>
      </c>
      <c r="J5525" t="s">
        <v>17</v>
      </c>
      <c r="K5525" t="s">
        <v>147</v>
      </c>
      <c r="L5525" t="s">
        <v>650</v>
      </c>
      <c r="M5525" t="s">
        <v>671</v>
      </c>
    </row>
    <row r="5526" spans="1:13">
      <c r="A5526" t="s">
        <v>851</v>
      </c>
      <c r="B5526" t="s">
        <v>686</v>
      </c>
      <c r="C5526" t="s">
        <v>686</v>
      </c>
      <c r="D5526" t="s">
        <v>3175</v>
      </c>
      <c r="E5526" t="s">
        <v>646</v>
      </c>
      <c r="F5526" t="s">
        <v>40</v>
      </c>
      <c r="G5526">
        <v>2050</v>
      </c>
      <c r="H5526" s="12">
        <v>2562</v>
      </c>
      <c r="I5526" t="s">
        <v>3183</v>
      </c>
      <c r="J5526" t="s">
        <v>6</v>
      </c>
      <c r="K5526" t="s">
        <v>658</v>
      </c>
      <c r="L5526" t="s">
        <v>3184</v>
      </c>
      <c r="M5526" t="s">
        <v>659</v>
      </c>
    </row>
    <row r="5527" spans="1:13">
      <c r="A5527" t="s">
        <v>851</v>
      </c>
      <c r="B5527" t="s">
        <v>687</v>
      </c>
      <c r="C5527" t="s">
        <v>687</v>
      </c>
      <c r="D5527" t="s">
        <v>3175</v>
      </c>
      <c r="E5527" t="s">
        <v>646</v>
      </c>
      <c r="F5527" t="s">
        <v>40</v>
      </c>
      <c r="G5527">
        <v>2030</v>
      </c>
      <c r="H5527" s="12">
        <v>2825</v>
      </c>
      <c r="I5527" t="s">
        <v>3183</v>
      </c>
      <c r="J5527" t="s">
        <v>6</v>
      </c>
      <c r="K5527" t="s">
        <v>658</v>
      </c>
      <c r="L5527" t="s">
        <v>3184</v>
      </c>
      <c r="M5527" t="s">
        <v>659</v>
      </c>
    </row>
    <row r="5528" spans="1:13">
      <c r="A5528" t="s">
        <v>851</v>
      </c>
      <c r="B5528" t="s">
        <v>687</v>
      </c>
      <c r="C5528" t="s">
        <v>687</v>
      </c>
      <c r="D5528" t="s">
        <v>3175</v>
      </c>
      <c r="E5528" t="s">
        <v>646</v>
      </c>
      <c r="F5528" t="s">
        <v>40</v>
      </c>
      <c r="G5528">
        <v>2035</v>
      </c>
      <c r="H5528" s="12">
        <v>1572</v>
      </c>
      <c r="I5528" t="s">
        <v>3183</v>
      </c>
      <c r="J5528" t="s">
        <v>6</v>
      </c>
      <c r="K5528" t="s">
        <v>658</v>
      </c>
      <c r="L5528" t="s">
        <v>3184</v>
      </c>
      <c r="M5528" t="s">
        <v>659</v>
      </c>
    </row>
    <row r="5529" spans="1:13">
      <c r="A5529" t="s">
        <v>851</v>
      </c>
      <c r="B5529" t="s">
        <v>687</v>
      </c>
      <c r="C5529" t="s">
        <v>687</v>
      </c>
      <c r="D5529" t="s">
        <v>3175</v>
      </c>
      <c r="E5529" t="s">
        <v>646</v>
      </c>
      <c r="F5529" t="s">
        <v>40</v>
      </c>
      <c r="G5529">
        <v>2040</v>
      </c>
      <c r="H5529" s="12">
        <v>676</v>
      </c>
      <c r="I5529" t="s">
        <v>3183</v>
      </c>
      <c r="J5529" t="s">
        <v>6</v>
      </c>
      <c r="K5529" t="s">
        <v>658</v>
      </c>
      <c r="L5529" t="s">
        <v>3184</v>
      </c>
      <c r="M5529" t="s">
        <v>659</v>
      </c>
    </row>
    <row r="5530" spans="1:13">
      <c r="A5530" t="s">
        <v>851</v>
      </c>
      <c r="B5530" t="s">
        <v>687</v>
      </c>
      <c r="C5530" t="s">
        <v>687</v>
      </c>
      <c r="D5530" t="s">
        <v>3175</v>
      </c>
      <c r="E5530" t="s">
        <v>646</v>
      </c>
      <c r="F5530" t="s">
        <v>40</v>
      </c>
      <c r="G5530">
        <v>2045</v>
      </c>
      <c r="H5530" s="12">
        <v>188</v>
      </c>
      <c r="I5530" t="s">
        <v>3183</v>
      </c>
      <c r="J5530" t="s">
        <v>6</v>
      </c>
      <c r="K5530" t="s">
        <v>658</v>
      </c>
      <c r="L5530" t="s">
        <v>3184</v>
      </c>
      <c r="M5530" t="s">
        <v>659</v>
      </c>
    </row>
    <row r="5531" spans="1:13">
      <c r="A5531" t="s">
        <v>851</v>
      </c>
      <c r="B5531" t="s">
        <v>687</v>
      </c>
      <c r="C5531" t="s">
        <v>687</v>
      </c>
      <c r="D5531" t="s">
        <v>3175</v>
      </c>
      <c r="E5531" t="s">
        <v>646</v>
      </c>
      <c r="F5531" t="s">
        <v>40</v>
      </c>
      <c r="G5531">
        <v>2050</v>
      </c>
      <c r="H5531" s="12">
        <v>4</v>
      </c>
      <c r="I5531" t="s">
        <v>3183</v>
      </c>
      <c r="J5531" t="s">
        <v>6</v>
      </c>
      <c r="K5531" t="s">
        <v>658</v>
      </c>
      <c r="L5531" t="s">
        <v>3184</v>
      </c>
      <c r="M5531" t="s">
        <v>659</v>
      </c>
    </row>
    <row r="5532" spans="1:13">
      <c r="A5532" t="s">
        <v>851</v>
      </c>
      <c r="B5532" t="s">
        <v>686</v>
      </c>
      <c r="C5532" t="s">
        <v>686</v>
      </c>
      <c r="D5532" t="s">
        <v>3175</v>
      </c>
      <c r="E5532" t="s">
        <v>646</v>
      </c>
      <c r="F5532" t="s">
        <v>40</v>
      </c>
      <c r="G5532">
        <v>2010</v>
      </c>
      <c r="H5532" s="12">
        <v>549</v>
      </c>
      <c r="I5532" t="s">
        <v>3183</v>
      </c>
      <c r="J5532" t="s">
        <v>5</v>
      </c>
      <c r="K5532" t="s">
        <v>658</v>
      </c>
      <c r="L5532" t="s">
        <v>3184</v>
      </c>
      <c r="M5532" t="s">
        <v>5</v>
      </c>
    </row>
    <row r="5533" spans="1:13">
      <c r="A5533" t="s">
        <v>851</v>
      </c>
      <c r="B5533" t="s">
        <v>686</v>
      </c>
      <c r="C5533" t="s">
        <v>686</v>
      </c>
      <c r="D5533" t="s">
        <v>3175</v>
      </c>
      <c r="E5533" t="s">
        <v>461</v>
      </c>
      <c r="F5533" t="s">
        <v>668</v>
      </c>
      <c r="G5533">
        <v>2010</v>
      </c>
      <c r="H5533" s="12">
        <v>22.46</v>
      </c>
      <c r="I5533" t="s">
        <v>3183</v>
      </c>
      <c r="J5533" t="s">
        <v>17</v>
      </c>
      <c r="K5533" t="s">
        <v>147</v>
      </c>
      <c r="L5533" t="s">
        <v>3184</v>
      </c>
      <c r="M5533" t="s">
        <v>671</v>
      </c>
    </row>
    <row r="5534" spans="1:13">
      <c r="A5534" t="s">
        <v>851</v>
      </c>
      <c r="B5534" t="s">
        <v>686</v>
      </c>
      <c r="C5534" t="s">
        <v>686</v>
      </c>
      <c r="D5534" t="s">
        <v>3175</v>
      </c>
      <c r="E5534" t="s">
        <v>461</v>
      </c>
      <c r="F5534" t="s">
        <v>668</v>
      </c>
      <c r="G5534">
        <v>2015</v>
      </c>
      <c r="H5534" s="12">
        <v>95.26</v>
      </c>
      <c r="I5534" t="s">
        <v>3183</v>
      </c>
      <c r="J5534" t="s">
        <v>17</v>
      </c>
      <c r="K5534" t="s">
        <v>147</v>
      </c>
      <c r="L5534" t="s">
        <v>3184</v>
      </c>
      <c r="M5534" t="s">
        <v>671</v>
      </c>
    </row>
    <row r="5535" spans="1:13">
      <c r="A5535" t="s">
        <v>851</v>
      </c>
      <c r="B5535" t="s">
        <v>686</v>
      </c>
      <c r="C5535" t="s">
        <v>686</v>
      </c>
      <c r="D5535" t="s">
        <v>3175</v>
      </c>
      <c r="E5535" t="s">
        <v>461</v>
      </c>
      <c r="F5535" t="s">
        <v>668</v>
      </c>
      <c r="G5535">
        <v>2020</v>
      </c>
      <c r="H5535" s="12">
        <v>139.24</v>
      </c>
      <c r="I5535" t="s">
        <v>3183</v>
      </c>
      <c r="J5535" t="s">
        <v>17</v>
      </c>
      <c r="K5535" t="s">
        <v>147</v>
      </c>
      <c r="L5535" t="s">
        <v>3184</v>
      </c>
      <c r="M5535" t="s">
        <v>671</v>
      </c>
    </row>
    <row r="5536" spans="1:13">
      <c r="A5536" t="s">
        <v>851</v>
      </c>
      <c r="B5536" t="s">
        <v>686</v>
      </c>
      <c r="C5536" t="s">
        <v>686</v>
      </c>
      <c r="D5536" t="s">
        <v>3175</v>
      </c>
      <c r="E5536" t="s">
        <v>461</v>
      </c>
      <c r="F5536" t="s">
        <v>668</v>
      </c>
      <c r="G5536">
        <v>2030</v>
      </c>
      <c r="H5536" s="12">
        <v>461.08</v>
      </c>
      <c r="I5536" t="s">
        <v>3183</v>
      </c>
      <c r="J5536" t="s">
        <v>17</v>
      </c>
      <c r="K5536" t="s">
        <v>147</v>
      </c>
      <c r="L5536" t="s">
        <v>3184</v>
      </c>
      <c r="M5536" t="s">
        <v>671</v>
      </c>
    </row>
    <row r="5537" spans="1:13">
      <c r="A5537" t="s">
        <v>851</v>
      </c>
      <c r="B5537" t="s">
        <v>686</v>
      </c>
      <c r="C5537" t="s">
        <v>686</v>
      </c>
      <c r="D5537" t="s">
        <v>3175</v>
      </c>
      <c r="E5537" t="s">
        <v>461</v>
      </c>
      <c r="F5537" t="s">
        <v>668</v>
      </c>
      <c r="G5537">
        <v>2035</v>
      </c>
      <c r="H5537" s="12">
        <v>539.04</v>
      </c>
      <c r="I5537" t="s">
        <v>3183</v>
      </c>
      <c r="J5537" t="s">
        <v>17</v>
      </c>
      <c r="K5537" t="s">
        <v>147</v>
      </c>
      <c r="L5537" t="s">
        <v>3184</v>
      </c>
      <c r="M5537" t="s">
        <v>671</v>
      </c>
    </row>
    <row r="5538" spans="1:13">
      <c r="A5538" t="s">
        <v>851</v>
      </c>
      <c r="B5538" t="s">
        <v>686</v>
      </c>
      <c r="C5538" t="s">
        <v>686</v>
      </c>
      <c r="D5538" t="s">
        <v>3175</v>
      </c>
      <c r="E5538" t="s">
        <v>461</v>
      </c>
      <c r="F5538" t="s">
        <v>668</v>
      </c>
      <c r="G5538">
        <v>2040</v>
      </c>
      <c r="H5538" s="12">
        <v>565.24</v>
      </c>
      <c r="I5538" t="s">
        <v>3183</v>
      </c>
      <c r="J5538" t="s">
        <v>17</v>
      </c>
      <c r="K5538" t="s">
        <v>147</v>
      </c>
      <c r="L5538" t="s">
        <v>3184</v>
      </c>
      <c r="M5538" t="s">
        <v>671</v>
      </c>
    </row>
    <row r="5539" spans="1:13">
      <c r="A5539" t="s">
        <v>851</v>
      </c>
      <c r="B5539" t="s">
        <v>686</v>
      </c>
      <c r="C5539" t="s">
        <v>686</v>
      </c>
      <c r="D5539" t="s">
        <v>3175</v>
      </c>
      <c r="E5539" t="s">
        <v>461</v>
      </c>
      <c r="F5539" t="s">
        <v>668</v>
      </c>
      <c r="G5539">
        <v>2045</v>
      </c>
      <c r="H5539" s="12">
        <v>576.38</v>
      </c>
      <c r="I5539" t="s">
        <v>3183</v>
      </c>
      <c r="J5539" t="s">
        <v>17</v>
      </c>
      <c r="K5539" t="s">
        <v>147</v>
      </c>
      <c r="L5539" t="s">
        <v>3184</v>
      </c>
      <c r="M5539" t="s">
        <v>671</v>
      </c>
    </row>
    <row r="5540" spans="1:13">
      <c r="A5540" t="s">
        <v>851</v>
      </c>
      <c r="B5540" t="s">
        <v>686</v>
      </c>
      <c r="C5540" t="s">
        <v>686</v>
      </c>
      <c r="D5540" t="s">
        <v>3175</v>
      </c>
      <c r="E5540" t="s">
        <v>461</v>
      </c>
      <c r="F5540" t="s">
        <v>668</v>
      </c>
      <c r="G5540">
        <v>2050</v>
      </c>
      <c r="H5540" s="12">
        <v>583.6</v>
      </c>
      <c r="I5540" t="s">
        <v>3183</v>
      </c>
      <c r="J5540" t="s">
        <v>17</v>
      </c>
      <c r="K5540" t="s">
        <v>147</v>
      </c>
      <c r="L5540" t="s">
        <v>3184</v>
      </c>
      <c r="M5540" t="s">
        <v>671</v>
      </c>
    </row>
    <row r="5541" spans="1:13">
      <c r="A5541" t="s">
        <v>851</v>
      </c>
      <c r="B5541" t="s">
        <v>687</v>
      </c>
      <c r="C5541" t="s">
        <v>687</v>
      </c>
      <c r="D5541" t="s">
        <v>3175</v>
      </c>
      <c r="E5541" t="s">
        <v>461</v>
      </c>
      <c r="F5541" t="s">
        <v>668</v>
      </c>
      <c r="G5541">
        <v>2030</v>
      </c>
      <c r="H5541" s="12">
        <v>567.03</v>
      </c>
      <c r="I5541" t="s">
        <v>3183</v>
      </c>
      <c r="J5541" t="s">
        <v>17</v>
      </c>
      <c r="K5541" t="s">
        <v>147</v>
      </c>
      <c r="L5541" t="s">
        <v>3184</v>
      </c>
      <c r="M5541" t="s">
        <v>671</v>
      </c>
    </row>
    <row r="5542" spans="1:13">
      <c r="A5542" t="s">
        <v>851</v>
      </c>
      <c r="B5542" t="s">
        <v>687</v>
      </c>
      <c r="C5542" t="s">
        <v>687</v>
      </c>
      <c r="D5542" t="s">
        <v>3175</v>
      </c>
      <c r="E5542" t="s">
        <v>461</v>
      </c>
      <c r="F5542" t="s">
        <v>668</v>
      </c>
      <c r="G5542">
        <v>2035</v>
      </c>
      <c r="H5542" s="12">
        <v>708.62</v>
      </c>
      <c r="I5542" t="s">
        <v>3183</v>
      </c>
      <c r="J5542" t="s">
        <v>17</v>
      </c>
      <c r="K5542" t="s">
        <v>147</v>
      </c>
      <c r="L5542" t="s">
        <v>3184</v>
      </c>
      <c r="M5542" t="s">
        <v>671</v>
      </c>
    </row>
    <row r="5543" spans="1:13">
      <c r="A5543" t="s">
        <v>851</v>
      </c>
      <c r="B5543" t="s">
        <v>687</v>
      </c>
      <c r="C5543" t="s">
        <v>687</v>
      </c>
      <c r="D5543" t="s">
        <v>3175</v>
      </c>
      <c r="E5543" t="s">
        <v>461</v>
      </c>
      <c r="F5543" t="s">
        <v>668</v>
      </c>
      <c r="G5543">
        <v>2040</v>
      </c>
      <c r="H5543" s="12">
        <v>754.98</v>
      </c>
      <c r="I5543" t="s">
        <v>3183</v>
      </c>
      <c r="J5543" t="s">
        <v>17</v>
      </c>
      <c r="K5543" t="s">
        <v>147</v>
      </c>
      <c r="L5543" t="s">
        <v>3184</v>
      </c>
      <c r="M5543" t="s">
        <v>671</v>
      </c>
    </row>
    <row r="5544" spans="1:13">
      <c r="A5544" t="s">
        <v>851</v>
      </c>
      <c r="B5544" t="s">
        <v>687</v>
      </c>
      <c r="C5544" t="s">
        <v>687</v>
      </c>
      <c r="D5544" t="s">
        <v>3175</v>
      </c>
      <c r="E5544" t="s">
        <v>461</v>
      </c>
      <c r="F5544" t="s">
        <v>668</v>
      </c>
      <c r="G5544">
        <v>2045</v>
      </c>
      <c r="H5544" s="12">
        <v>766.02</v>
      </c>
      <c r="I5544" t="s">
        <v>3183</v>
      </c>
      <c r="J5544" t="s">
        <v>17</v>
      </c>
      <c r="K5544" t="s">
        <v>147</v>
      </c>
      <c r="L5544" t="s">
        <v>3184</v>
      </c>
      <c r="M5544" t="s">
        <v>671</v>
      </c>
    </row>
    <row r="5545" spans="1:13">
      <c r="A5545" t="s">
        <v>851</v>
      </c>
      <c r="B5545" t="s">
        <v>687</v>
      </c>
      <c r="C5545" t="s">
        <v>687</v>
      </c>
      <c r="D5545" t="s">
        <v>3175</v>
      </c>
      <c r="E5545" t="s">
        <v>461</v>
      </c>
      <c r="F5545" t="s">
        <v>668</v>
      </c>
      <c r="G5545">
        <v>2050</v>
      </c>
      <c r="H5545" s="12">
        <v>777.38</v>
      </c>
      <c r="I5545" t="s">
        <v>3183</v>
      </c>
      <c r="J5545" t="s">
        <v>17</v>
      </c>
      <c r="K5545" t="s">
        <v>147</v>
      </c>
      <c r="L5545" t="s">
        <v>3184</v>
      </c>
      <c r="M5545" t="s">
        <v>671</v>
      </c>
    </row>
    <row r="5546" spans="1:13">
      <c r="A5546" t="s">
        <v>851</v>
      </c>
      <c r="B5546" t="s">
        <v>686</v>
      </c>
      <c r="C5546" t="s">
        <v>686</v>
      </c>
      <c r="D5546" t="s">
        <v>3175</v>
      </c>
      <c r="E5546" t="s">
        <v>461</v>
      </c>
      <c r="F5546" t="s">
        <v>668</v>
      </c>
      <c r="G5546">
        <v>2010</v>
      </c>
      <c r="H5546" s="12">
        <v>139.84</v>
      </c>
      <c r="I5546" t="s">
        <v>3183</v>
      </c>
      <c r="J5546" t="s">
        <v>18</v>
      </c>
      <c r="K5546" t="s">
        <v>147</v>
      </c>
      <c r="L5546" t="s">
        <v>3184</v>
      </c>
      <c r="M5546" t="s">
        <v>18</v>
      </c>
    </row>
    <row r="5547" spans="1:13">
      <c r="A5547" t="s">
        <v>851</v>
      </c>
      <c r="B5547" t="s">
        <v>686</v>
      </c>
      <c r="C5547" t="s">
        <v>686</v>
      </c>
      <c r="D5547" t="s">
        <v>3175</v>
      </c>
      <c r="E5547" t="s">
        <v>461</v>
      </c>
      <c r="F5547" t="s">
        <v>668</v>
      </c>
      <c r="G5547">
        <v>2015</v>
      </c>
      <c r="H5547" s="12">
        <v>263.2</v>
      </c>
      <c r="I5547" t="s">
        <v>3183</v>
      </c>
      <c r="J5547" t="s">
        <v>18</v>
      </c>
      <c r="K5547" t="s">
        <v>147</v>
      </c>
      <c r="L5547" t="s">
        <v>3184</v>
      </c>
      <c r="M5547" t="s">
        <v>18</v>
      </c>
    </row>
    <row r="5548" spans="1:13">
      <c r="A5548" t="s">
        <v>851</v>
      </c>
      <c r="B5548" t="s">
        <v>686</v>
      </c>
      <c r="C5548" t="s">
        <v>686</v>
      </c>
      <c r="D5548" t="s">
        <v>3175</v>
      </c>
      <c r="E5548" t="s">
        <v>461</v>
      </c>
      <c r="F5548" t="s">
        <v>668</v>
      </c>
      <c r="G5548">
        <v>2020</v>
      </c>
      <c r="H5548" s="12">
        <v>397.42</v>
      </c>
      <c r="I5548" t="s">
        <v>3183</v>
      </c>
      <c r="J5548" t="s">
        <v>18</v>
      </c>
      <c r="K5548" t="s">
        <v>147</v>
      </c>
      <c r="L5548" t="s">
        <v>3184</v>
      </c>
      <c r="M5548" t="s">
        <v>18</v>
      </c>
    </row>
    <row r="5549" spans="1:13">
      <c r="A5549" t="s">
        <v>851</v>
      </c>
      <c r="B5549" t="s">
        <v>686</v>
      </c>
      <c r="C5549" t="s">
        <v>686</v>
      </c>
      <c r="D5549" t="s">
        <v>3175</v>
      </c>
      <c r="E5549" t="s">
        <v>461</v>
      </c>
      <c r="F5549" t="s">
        <v>668</v>
      </c>
      <c r="G5549">
        <v>2030</v>
      </c>
      <c r="H5549" s="12">
        <v>893.47</v>
      </c>
      <c r="I5549" t="s">
        <v>3183</v>
      </c>
      <c r="J5549" t="s">
        <v>18</v>
      </c>
      <c r="K5549" t="s">
        <v>147</v>
      </c>
      <c r="L5549" t="s">
        <v>3184</v>
      </c>
      <c r="M5549" t="s">
        <v>18</v>
      </c>
    </row>
    <row r="5550" spans="1:13">
      <c r="A5550" t="s">
        <v>851</v>
      </c>
      <c r="B5550" t="s">
        <v>686</v>
      </c>
      <c r="C5550" t="s">
        <v>686</v>
      </c>
      <c r="D5550" t="s">
        <v>3175</v>
      </c>
      <c r="E5550" t="s">
        <v>461</v>
      </c>
      <c r="F5550" t="s">
        <v>668</v>
      </c>
      <c r="G5550">
        <v>2035</v>
      </c>
      <c r="H5550" s="12">
        <v>1171.8399999999999</v>
      </c>
      <c r="I5550" t="s">
        <v>3183</v>
      </c>
      <c r="J5550" t="s">
        <v>18</v>
      </c>
      <c r="K5550" t="s">
        <v>147</v>
      </c>
      <c r="L5550" t="s">
        <v>3184</v>
      </c>
      <c r="M5550" t="s">
        <v>18</v>
      </c>
    </row>
    <row r="5551" spans="1:13">
      <c r="A5551" t="s">
        <v>851</v>
      </c>
      <c r="B5551" t="s">
        <v>686</v>
      </c>
      <c r="C5551" t="s">
        <v>686</v>
      </c>
      <c r="D5551" t="s">
        <v>3175</v>
      </c>
      <c r="E5551" t="s">
        <v>461</v>
      </c>
      <c r="F5551" t="s">
        <v>668</v>
      </c>
      <c r="G5551">
        <v>2040</v>
      </c>
      <c r="H5551" s="12">
        <v>1331.05</v>
      </c>
      <c r="I5551" t="s">
        <v>3183</v>
      </c>
      <c r="J5551" t="s">
        <v>18</v>
      </c>
      <c r="K5551" t="s">
        <v>147</v>
      </c>
      <c r="L5551" t="s">
        <v>3184</v>
      </c>
      <c r="M5551" t="s">
        <v>18</v>
      </c>
    </row>
    <row r="5552" spans="1:13">
      <c r="A5552" t="s">
        <v>851</v>
      </c>
      <c r="B5552" t="s">
        <v>686</v>
      </c>
      <c r="C5552" t="s">
        <v>686</v>
      </c>
      <c r="D5552" t="s">
        <v>3175</v>
      </c>
      <c r="E5552" t="s">
        <v>461</v>
      </c>
      <c r="F5552" t="s">
        <v>668</v>
      </c>
      <c r="G5552">
        <v>2045</v>
      </c>
      <c r="H5552" s="12">
        <v>1429.95</v>
      </c>
      <c r="I5552" t="s">
        <v>3183</v>
      </c>
      <c r="J5552" t="s">
        <v>18</v>
      </c>
      <c r="K5552" t="s">
        <v>147</v>
      </c>
      <c r="L5552" t="s">
        <v>3184</v>
      </c>
      <c r="M5552" t="s">
        <v>18</v>
      </c>
    </row>
    <row r="5553" spans="1:13">
      <c r="A5553" t="s">
        <v>851</v>
      </c>
      <c r="B5553" t="s">
        <v>686</v>
      </c>
      <c r="C5553" t="s">
        <v>686</v>
      </c>
      <c r="D5553" t="s">
        <v>3175</v>
      </c>
      <c r="E5553" t="s">
        <v>461</v>
      </c>
      <c r="F5553" t="s">
        <v>668</v>
      </c>
      <c r="G5553">
        <v>2050</v>
      </c>
      <c r="H5553" s="12">
        <v>1494.59</v>
      </c>
      <c r="I5553" t="s">
        <v>3183</v>
      </c>
      <c r="J5553" t="s">
        <v>18</v>
      </c>
      <c r="K5553" t="s">
        <v>147</v>
      </c>
      <c r="L5553" t="s">
        <v>3184</v>
      </c>
      <c r="M5553" t="s">
        <v>18</v>
      </c>
    </row>
    <row r="5554" spans="1:13">
      <c r="A5554" t="s">
        <v>851</v>
      </c>
      <c r="B5554" t="s">
        <v>687</v>
      </c>
      <c r="C5554" t="s">
        <v>687</v>
      </c>
      <c r="D5554" t="s">
        <v>3175</v>
      </c>
      <c r="E5554" t="s">
        <v>461</v>
      </c>
      <c r="F5554" t="s">
        <v>668</v>
      </c>
      <c r="G5554">
        <v>2030</v>
      </c>
      <c r="H5554" s="12">
        <v>1225.56</v>
      </c>
      <c r="I5554" t="s">
        <v>3183</v>
      </c>
      <c r="J5554" t="s">
        <v>18</v>
      </c>
      <c r="K5554" t="s">
        <v>147</v>
      </c>
      <c r="L5554" t="s">
        <v>3184</v>
      </c>
      <c r="M5554" t="s">
        <v>18</v>
      </c>
    </row>
    <row r="5555" spans="1:13">
      <c r="A5555" t="s">
        <v>851</v>
      </c>
      <c r="B5555" t="s">
        <v>687</v>
      </c>
      <c r="C5555" t="s">
        <v>687</v>
      </c>
      <c r="D5555" t="s">
        <v>3175</v>
      </c>
      <c r="E5555" t="s">
        <v>461</v>
      </c>
      <c r="F5555" t="s">
        <v>668</v>
      </c>
      <c r="G5555">
        <v>2035</v>
      </c>
      <c r="H5555" s="12">
        <v>1844.77</v>
      </c>
      <c r="I5555" t="s">
        <v>3183</v>
      </c>
      <c r="J5555" t="s">
        <v>18</v>
      </c>
      <c r="K5555" t="s">
        <v>147</v>
      </c>
      <c r="L5555" t="s">
        <v>3184</v>
      </c>
      <c r="M5555" t="s">
        <v>18</v>
      </c>
    </row>
    <row r="5556" spans="1:13">
      <c r="A5556" t="s">
        <v>851</v>
      </c>
      <c r="B5556" t="s">
        <v>687</v>
      </c>
      <c r="C5556" t="s">
        <v>687</v>
      </c>
      <c r="D5556" t="s">
        <v>3175</v>
      </c>
      <c r="E5556" t="s">
        <v>461</v>
      </c>
      <c r="F5556" t="s">
        <v>668</v>
      </c>
      <c r="G5556">
        <v>2040</v>
      </c>
      <c r="H5556" s="12">
        <v>2243.1</v>
      </c>
      <c r="I5556" t="s">
        <v>3183</v>
      </c>
      <c r="J5556" t="s">
        <v>18</v>
      </c>
      <c r="K5556" t="s">
        <v>147</v>
      </c>
      <c r="L5556" t="s">
        <v>3184</v>
      </c>
      <c r="M5556" t="s">
        <v>18</v>
      </c>
    </row>
    <row r="5557" spans="1:13">
      <c r="A5557" t="s">
        <v>851</v>
      </c>
      <c r="B5557" t="s">
        <v>687</v>
      </c>
      <c r="C5557" t="s">
        <v>687</v>
      </c>
      <c r="D5557" t="s">
        <v>3175</v>
      </c>
      <c r="E5557" t="s">
        <v>461</v>
      </c>
      <c r="F5557" t="s">
        <v>668</v>
      </c>
      <c r="G5557">
        <v>2045</v>
      </c>
      <c r="H5557" s="12">
        <v>2454.84</v>
      </c>
      <c r="I5557" t="s">
        <v>3183</v>
      </c>
      <c r="J5557" t="s">
        <v>18</v>
      </c>
      <c r="K5557" t="s">
        <v>147</v>
      </c>
      <c r="L5557" t="s">
        <v>3184</v>
      </c>
      <c r="M5557" t="s">
        <v>18</v>
      </c>
    </row>
    <row r="5558" spans="1:13">
      <c r="A5558" t="s">
        <v>851</v>
      </c>
      <c r="B5558" t="s">
        <v>687</v>
      </c>
      <c r="C5558" t="s">
        <v>687</v>
      </c>
      <c r="D5558" t="s">
        <v>3175</v>
      </c>
      <c r="E5558" t="s">
        <v>461</v>
      </c>
      <c r="F5558" t="s">
        <v>668</v>
      </c>
      <c r="G5558">
        <v>2050</v>
      </c>
      <c r="H5558" s="12">
        <v>2607.9499999999998</v>
      </c>
      <c r="I5558" t="s">
        <v>3183</v>
      </c>
      <c r="J5558" t="s">
        <v>18</v>
      </c>
      <c r="K5558" t="s">
        <v>147</v>
      </c>
      <c r="L5558" t="s">
        <v>3184</v>
      </c>
      <c r="M5558" t="s">
        <v>18</v>
      </c>
    </row>
    <row r="5559" spans="1:13">
      <c r="A5559" t="s">
        <v>851</v>
      </c>
      <c r="B5559" t="s">
        <v>686</v>
      </c>
      <c r="C5559" t="s">
        <v>686</v>
      </c>
      <c r="D5559" t="s">
        <v>3175</v>
      </c>
      <c r="E5559" t="s">
        <v>461</v>
      </c>
      <c r="F5559" t="s">
        <v>668</v>
      </c>
      <c r="G5559">
        <v>2010</v>
      </c>
      <c r="H5559" s="12">
        <v>373.34</v>
      </c>
      <c r="I5559" t="s">
        <v>3183</v>
      </c>
      <c r="J5559" t="s">
        <v>14</v>
      </c>
      <c r="K5559" t="s">
        <v>147</v>
      </c>
      <c r="L5559" t="s">
        <v>3184</v>
      </c>
      <c r="M5559" t="s">
        <v>14</v>
      </c>
    </row>
    <row r="5560" spans="1:13">
      <c r="A5560" t="s">
        <v>851</v>
      </c>
      <c r="B5560" t="s">
        <v>686</v>
      </c>
      <c r="C5560" t="s">
        <v>686</v>
      </c>
      <c r="D5560" t="s">
        <v>3175</v>
      </c>
      <c r="E5560" t="s">
        <v>461</v>
      </c>
      <c r="F5560" t="s">
        <v>668</v>
      </c>
      <c r="G5560">
        <v>2015</v>
      </c>
      <c r="H5560" s="12">
        <v>335.99</v>
      </c>
      <c r="I5560" t="s">
        <v>3183</v>
      </c>
      <c r="J5560" t="s">
        <v>14</v>
      </c>
      <c r="K5560" t="s">
        <v>147</v>
      </c>
      <c r="L5560" t="s">
        <v>3184</v>
      </c>
      <c r="M5560" t="s">
        <v>14</v>
      </c>
    </row>
    <row r="5561" spans="1:13">
      <c r="A5561" t="s">
        <v>851</v>
      </c>
      <c r="B5561" t="s">
        <v>686</v>
      </c>
      <c r="C5561" t="s">
        <v>686</v>
      </c>
      <c r="D5561" t="s">
        <v>3175</v>
      </c>
      <c r="E5561" t="s">
        <v>461</v>
      </c>
      <c r="F5561" t="s">
        <v>668</v>
      </c>
      <c r="G5561">
        <v>2020</v>
      </c>
      <c r="H5561" s="12">
        <v>346.25</v>
      </c>
      <c r="I5561" t="s">
        <v>3183</v>
      </c>
      <c r="J5561" t="s">
        <v>14</v>
      </c>
      <c r="K5561" t="s">
        <v>147</v>
      </c>
      <c r="L5561" t="s">
        <v>3184</v>
      </c>
      <c r="M5561" t="s">
        <v>14</v>
      </c>
    </row>
    <row r="5562" spans="1:13">
      <c r="A5562" t="s">
        <v>851</v>
      </c>
      <c r="B5562" t="s">
        <v>686</v>
      </c>
      <c r="C5562" t="s">
        <v>686</v>
      </c>
      <c r="D5562" t="s">
        <v>3175</v>
      </c>
      <c r="E5562" t="s">
        <v>461</v>
      </c>
      <c r="F5562" t="s">
        <v>668</v>
      </c>
      <c r="G5562">
        <v>2030</v>
      </c>
      <c r="H5562" s="12">
        <v>380.36</v>
      </c>
      <c r="I5562" t="s">
        <v>3183</v>
      </c>
      <c r="J5562" t="s">
        <v>14</v>
      </c>
      <c r="K5562" t="s">
        <v>147</v>
      </c>
      <c r="L5562" t="s">
        <v>3184</v>
      </c>
      <c r="M5562" t="s">
        <v>14</v>
      </c>
    </row>
    <row r="5563" spans="1:13">
      <c r="A5563" t="s">
        <v>851</v>
      </c>
      <c r="B5563" t="s">
        <v>686</v>
      </c>
      <c r="C5563" t="s">
        <v>686</v>
      </c>
      <c r="D5563" t="s">
        <v>3175</v>
      </c>
      <c r="E5563" t="s">
        <v>461</v>
      </c>
      <c r="F5563" t="s">
        <v>668</v>
      </c>
      <c r="G5563">
        <v>2035</v>
      </c>
      <c r="H5563" s="12">
        <v>390.56</v>
      </c>
      <c r="I5563" t="s">
        <v>3183</v>
      </c>
      <c r="J5563" t="s">
        <v>14</v>
      </c>
      <c r="K5563" t="s">
        <v>147</v>
      </c>
      <c r="L5563" t="s">
        <v>3184</v>
      </c>
      <c r="M5563" t="s">
        <v>14</v>
      </c>
    </row>
    <row r="5564" spans="1:13">
      <c r="A5564" t="s">
        <v>851</v>
      </c>
      <c r="B5564" t="s">
        <v>686</v>
      </c>
      <c r="C5564" t="s">
        <v>686</v>
      </c>
      <c r="D5564" t="s">
        <v>3175</v>
      </c>
      <c r="E5564" t="s">
        <v>461</v>
      </c>
      <c r="F5564" t="s">
        <v>668</v>
      </c>
      <c r="G5564">
        <v>2040</v>
      </c>
      <c r="H5564" s="12">
        <v>399.98</v>
      </c>
      <c r="I5564" t="s">
        <v>3183</v>
      </c>
      <c r="J5564" t="s">
        <v>14</v>
      </c>
      <c r="K5564" t="s">
        <v>147</v>
      </c>
      <c r="L5564" t="s">
        <v>3184</v>
      </c>
      <c r="M5564" t="s">
        <v>14</v>
      </c>
    </row>
    <row r="5565" spans="1:13">
      <c r="A5565" t="s">
        <v>851</v>
      </c>
      <c r="B5565" t="s">
        <v>686</v>
      </c>
      <c r="C5565" t="s">
        <v>686</v>
      </c>
      <c r="D5565" t="s">
        <v>3175</v>
      </c>
      <c r="E5565" t="s">
        <v>461</v>
      </c>
      <c r="F5565" t="s">
        <v>668</v>
      </c>
      <c r="G5565">
        <v>2045</v>
      </c>
      <c r="H5565" s="12">
        <v>410.15</v>
      </c>
      <c r="I5565" t="s">
        <v>3183</v>
      </c>
      <c r="J5565" t="s">
        <v>14</v>
      </c>
      <c r="K5565" t="s">
        <v>147</v>
      </c>
      <c r="L5565" t="s">
        <v>3184</v>
      </c>
      <c r="M5565" t="s">
        <v>14</v>
      </c>
    </row>
    <row r="5566" spans="1:13">
      <c r="A5566" t="s">
        <v>851</v>
      </c>
      <c r="B5566" t="s">
        <v>686</v>
      </c>
      <c r="C5566" t="s">
        <v>686</v>
      </c>
      <c r="D5566" t="s">
        <v>3175</v>
      </c>
      <c r="E5566" t="s">
        <v>461</v>
      </c>
      <c r="F5566" t="s">
        <v>668</v>
      </c>
      <c r="G5566">
        <v>2050</v>
      </c>
      <c r="H5566" s="12">
        <v>420.99</v>
      </c>
      <c r="I5566" t="s">
        <v>3183</v>
      </c>
      <c r="J5566" t="s">
        <v>14</v>
      </c>
      <c r="K5566" t="s">
        <v>147</v>
      </c>
      <c r="L5566" t="s">
        <v>3184</v>
      </c>
      <c r="M5566" t="s">
        <v>14</v>
      </c>
    </row>
    <row r="5567" spans="1:13">
      <c r="A5567" t="s">
        <v>851</v>
      </c>
      <c r="B5567" t="s">
        <v>687</v>
      </c>
      <c r="C5567" t="s">
        <v>687</v>
      </c>
      <c r="D5567" t="s">
        <v>3175</v>
      </c>
      <c r="E5567" t="s">
        <v>461</v>
      </c>
      <c r="F5567" t="s">
        <v>668</v>
      </c>
      <c r="G5567">
        <v>2030</v>
      </c>
      <c r="H5567" s="12">
        <v>393.77</v>
      </c>
      <c r="I5567" t="s">
        <v>3183</v>
      </c>
      <c r="J5567" t="s">
        <v>14</v>
      </c>
      <c r="K5567" t="s">
        <v>147</v>
      </c>
      <c r="L5567" t="s">
        <v>3184</v>
      </c>
      <c r="M5567" t="s">
        <v>14</v>
      </c>
    </row>
    <row r="5568" spans="1:13">
      <c r="A5568" t="s">
        <v>851</v>
      </c>
      <c r="B5568" t="s">
        <v>687</v>
      </c>
      <c r="C5568" t="s">
        <v>687</v>
      </c>
      <c r="D5568" t="s">
        <v>3175</v>
      </c>
      <c r="E5568" t="s">
        <v>461</v>
      </c>
      <c r="F5568" t="s">
        <v>668</v>
      </c>
      <c r="G5568">
        <v>2035</v>
      </c>
      <c r="H5568" s="12">
        <v>405.34</v>
      </c>
      <c r="I5568" t="s">
        <v>3183</v>
      </c>
      <c r="J5568" t="s">
        <v>14</v>
      </c>
      <c r="K5568" t="s">
        <v>147</v>
      </c>
      <c r="L5568" t="s">
        <v>3184</v>
      </c>
      <c r="M5568" t="s">
        <v>14</v>
      </c>
    </row>
    <row r="5569" spans="1:13">
      <c r="A5569" t="s">
        <v>851</v>
      </c>
      <c r="B5569" t="s">
        <v>687</v>
      </c>
      <c r="C5569" t="s">
        <v>687</v>
      </c>
      <c r="D5569" t="s">
        <v>3175</v>
      </c>
      <c r="E5569" t="s">
        <v>461</v>
      </c>
      <c r="F5569" t="s">
        <v>668</v>
      </c>
      <c r="G5569">
        <v>2040</v>
      </c>
      <c r="H5569" s="12">
        <v>413.73</v>
      </c>
      <c r="I5569" t="s">
        <v>3183</v>
      </c>
      <c r="J5569" t="s">
        <v>14</v>
      </c>
      <c r="K5569" t="s">
        <v>147</v>
      </c>
      <c r="L5569" t="s">
        <v>3184</v>
      </c>
      <c r="M5569" t="s">
        <v>14</v>
      </c>
    </row>
    <row r="5570" spans="1:13">
      <c r="A5570" t="s">
        <v>851</v>
      </c>
      <c r="B5570" t="s">
        <v>687</v>
      </c>
      <c r="C5570" t="s">
        <v>687</v>
      </c>
      <c r="D5570" t="s">
        <v>3175</v>
      </c>
      <c r="E5570" t="s">
        <v>461</v>
      </c>
      <c r="F5570" t="s">
        <v>668</v>
      </c>
      <c r="G5570">
        <v>2045</v>
      </c>
      <c r="H5570" s="12">
        <v>423.05</v>
      </c>
      <c r="I5570" t="s">
        <v>3183</v>
      </c>
      <c r="J5570" t="s">
        <v>14</v>
      </c>
      <c r="K5570" t="s">
        <v>147</v>
      </c>
      <c r="L5570" t="s">
        <v>3184</v>
      </c>
      <c r="M5570" t="s">
        <v>14</v>
      </c>
    </row>
    <row r="5571" spans="1:13">
      <c r="A5571" t="s">
        <v>851</v>
      </c>
      <c r="B5571" t="s">
        <v>686</v>
      </c>
      <c r="C5571" t="s">
        <v>686</v>
      </c>
      <c r="D5571" t="s">
        <v>3185</v>
      </c>
      <c r="E5571" t="s">
        <v>461</v>
      </c>
      <c r="F5571" t="s">
        <v>668</v>
      </c>
      <c r="G5571">
        <v>2020</v>
      </c>
      <c r="H5571" s="12">
        <v>834.36</v>
      </c>
      <c r="I5571" t="s">
        <v>3183</v>
      </c>
      <c r="J5571" t="s">
        <v>15</v>
      </c>
      <c r="K5571" t="s">
        <v>147</v>
      </c>
      <c r="L5571" t="s">
        <v>650</v>
      </c>
      <c r="M5571" t="s">
        <v>15</v>
      </c>
    </row>
    <row r="5572" spans="1:13">
      <c r="A5572" t="s">
        <v>851</v>
      </c>
      <c r="B5572" t="s">
        <v>686</v>
      </c>
      <c r="C5572" t="s">
        <v>686</v>
      </c>
      <c r="D5572" t="s">
        <v>3185</v>
      </c>
      <c r="E5572" t="s">
        <v>461</v>
      </c>
      <c r="F5572" t="s">
        <v>668</v>
      </c>
      <c r="G5572">
        <v>2030</v>
      </c>
      <c r="H5572" s="12">
        <v>844.29</v>
      </c>
      <c r="I5572" t="s">
        <v>3183</v>
      </c>
      <c r="J5572" t="s">
        <v>15</v>
      </c>
      <c r="K5572" t="s">
        <v>147</v>
      </c>
      <c r="L5572" t="s">
        <v>650</v>
      </c>
      <c r="M5572" t="s">
        <v>15</v>
      </c>
    </row>
    <row r="5573" spans="1:13">
      <c r="A5573" t="s">
        <v>851</v>
      </c>
      <c r="B5573" t="s">
        <v>686</v>
      </c>
      <c r="C5573" t="s">
        <v>686</v>
      </c>
      <c r="D5573" t="s">
        <v>3185</v>
      </c>
      <c r="E5573" t="s">
        <v>461</v>
      </c>
      <c r="F5573" t="s">
        <v>668</v>
      </c>
      <c r="G5573">
        <v>2035</v>
      </c>
      <c r="H5573" s="12">
        <v>740.52</v>
      </c>
      <c r="I5573" t="s">
        <v>3183</v>
      </c>
      <c r="J5573" t="s">
        <v>15</v>
      </c>
      <c r="K5573" t="s">
        <v>147</v>
      </c>
      <c r="L5573" t="s">
        <v>650</v>
      </c>
      <c r="M5573" t="s">
        <v>15</v>
      </c>
    </row>
    <row r="5574" spans="1:13">
      <c r="A5574" t="s">
        <v>851</v>
      </c>
      <c r="B5574" t="s">
        <v>686</v>
      </c>
      <c r="C5574" t="s">
        <v>686</v>
      </c>
      <c r="D5574" t="s">
        <v>3185</v>
      </c>
      <c r="E5574" t="s">
        <v>461</v>
      </c>
      <c r="F5574" t="s">
        <v>668</v>
      </c>
      <c r="G5574">
        <v>2040</v>
      </c>
      <c r="H5574" s="12">
        <v>719.47</v>
      </c>
      <c r="I5574" t="s">
        <v>3183</v>
      </c>
      <c r="J5574" t="s">
        <v>15</v>
      </c>
      <c r="K5574" t="s">
        <v>147</v>
      </c>
      <c r="L5574" t="s">
        <v>650</v>
      </c>
      <c r="M5574" t="s">
        <v>15</v>
      </c>
    </row>
    <row r="5575" spans="1:13">
      <c r="A5575" t="s">
        <v>851</v>
      </c>
      <c r="B5575" t="s">
        <v>686</v>
      </c>
      <c r="C5575" t="s">
        <v>686</v>
      </c>
      <c r="D5575" t="s">
        <v>3185</v>
      </c>
      <c r="E5575" t="s">
        <v>461</v>
      </c>
      <c r="F5575" t="s">
        <v>668</v>
      </c>
      <c r="G5575">
        <v>2045</v>
      </c>
      <c r="H5575" s="12">
        <v>720.16</v>
      </c>
      <c r="I5575" t="s">
        <v>3183</v>
      </c>
      <c r="J5575" t="s">
        <v>15</v>
      </c>
      <c r="K5575" t="s">
        <v>147</v>
      </c>
      <c r="L5575" t="s">
        <v>650</v>
      </c>
      <c r="M5575" t="s">
        <v>15</v>
      </c>
    </row>
    <row r="5576" spans="1:13">
      <c r="A5576" t="s">
        <v>851</v>
      </c>
      <c r="B5576" t="s">
        <v>686</v>
      </c>
      <c r="C5576" t="s">
        <v>686</v>
      </c>
      <c r="D5576" t="s">
        <v>3185</v>
      </c>
      <c r="E5576" t="s">
        <v>461</v>
      </c>
      <c r="F5576" t="s">
        <v>668</v>
      </c>
      <c r="G5576">
        <v>2050</v>
      </c>
      <c r="H5576" s="12">
        <v>778.4</v>
      </c>
      <c r="I5576" t="s">
        <v>3183</v>
      </c>
      <c r="J5576" t="s">
        <v>15</v>
      </c>
      <c r="K5576" t="s">
        <v>147</v>
      </c>
      <c r="L5576" t="s">
        <v>650</v>
      </c>
      <c r="M5576" t="s">
        <v>15</v>
      </c>
    </row>
    <row r="5577" spans="1:13">
      <c r="A5577" t="s">
        <v>851</v>
      </c>
      <c r="B5577" t="s">
        <v>687</v>
      </c>
      <c r="C5577" t="s">
        <v>687</v>
      </c>
      <c r="D5577" t="s">
        <v>3185</v>
      </c>
      <c r="E5577" t="s">
        <v>461</v>
      </c>
      <c r="F5577" t="s">
        <v>668</v>
      </c>
      <c r="G5577">
        <v>2030</v>
      </c>
      <c r="H5577" s="12">
        <v>896.05</v>
      </c>
      <c r="I5577" t="s">
        <v>3183</v>
      </c>
      <c r="J5577" t="s">
        <v>15</v>
      </c>
      <c r="K5577" t="s">
        <v>147</v>
      </c>
      <c r="L5577" t="s">
        <v>650</v>
      </c>
      <c r="M5577" t="s">
        <v>15</v>
      </c>
    </row>
    <row r="5578" spans="1:13">
      <c r="A5578" t="s">
        <v>851</v>
      </c>
      <c r="B5578" t="s">
        <v>687</v>
      </c>
      <c r="C5578" t="s">
        <v>687</v>
      </c>
      <c r="D5578" t="s">
        <v>3185</v>
      </c>
      <c r="E5578" t="s">
        <v>461</v>
      </c>
      <c r="F5578" t="s">
        <v>668</v>
      </c>
      <c r="G5578">
        <v>2035</v>
      </c>
      <c r="H5578" s="12">
        <v>814.17</v>
      </c>
      <c r="I5578" t="s">
        <v>3183</v>
      </c>
      <c r="J5578" t="s">
        <v>15</v>
      </c>
      <c r="K5578" t="s">
        <v>147</v>
      </c>
      <c r="L5578" t="s">
        <v>650</v>
      </c>
      <c r="M5578" t="s">
        <v>15</v>
      </c>
    </row>
    <row r="5579" spans="1:13">
      <c r="A5579" t="s">
        <v>851</v>
      </c>
      <c r="B5579" t="s">
        <v>687</v>
      </c>
      <c r="C5579" t="s">
        <v>687</v>
      </c>
      <c r="D5579" t="s">
        <v>3185</v>
      </c>
      <c r="E5579" t="s">
        <v>461</v>
      </c>
      <c r="F5579" t="s">
        <v>668</v>
      </c>
      <c r="G5579">
        <v>2040</v>
      </c>
      <c r="H5579" s="12">
        <v>824.81</v>
      </c>
      <c r="I5579" t="s">
        <v>3183</v>
      </c>
      <c r="J5579" t="s">
        <v>15</v>
      </c>
      <c r="K5579" t="s">
        <v>147</v>
      </c>
      <c r="L5579" t="s">
        <v>650</v>
      </c>
      <c r="M5579" t="s">
        <v>15</v>
      </c>
    </row>
    <row r="5580" spans="1:13">
      <c r="A5580" t="s">
        <v>851</v>
      </c>
      <c r="B5580" t="s">
        <v>687</v>
      </c>
      <c r="C5580" t="s">
        <v>687</v>
      </c>
      <c r="D5580" t="s">
        <v>3185</v>
      </c>
      <c r="E5580" t="s">
        <v>461</v>
      </c>
      <c r="F5580" t="s">
        <v>668</v>
      </c>
      <c r="G5580">
        <v>2045</v>
      </c>
      <c r="H5580" s="12">
        <v>814.59</v>
      </c>
      <c r="I5580" t="s">
        <v>3183</v>
      </c>
      <c r="J5580" t="s">
        <v>15</v>
      </c>
      <c r="K5580" t="s">
        <v>147</v>
      </c>
      <c r="L5580" t="s">
        <v>650</v>
      </c>
      <c r="M5580" t="s">
        <v>15</v>
      </c>
    </row>
    <row r="5581" spans="1:13">
      <c r="A5581" t="s">
        <v>851</v>
      </c>
      <c r="B5581" t="s">
        <v>687</v>
      </c>
      <c r="C5581" t="s">
        <v>687</v>
      </c>
      <c r="D5581" t="s">
        <v>3185</v>
      </c>
      <c r="E5581" t="s">
        <v>461</v>
      </c>
      <c r="F5581" t="s">
        <v>668</v>
      </c>
      <c r="G5581">
        <v>2050</v>
      </c>
      <c r="H5581" s="12">
        <v>825.29</v>
      </c>
      <c r="I5581" t="s">
        <v>3183</v>
      </c>
      <c r="J5581" t="s">
        <v>15</v>
      </c>
      <c r="K5581" t="s">
        <v>147</v>
      </c>
      <c r="L5581" t="s">
        <v>650</v>
      </c>
      <c r="M5581" t="s">
        <v>15</v>
      </c>
    </row>
    <row r="5582" spans="1:13">
      <c r="A5582" t="s">
        <v>851</v>
      </c>
      <c r="B5582" t="s">
        <v>686</v>
      </c>
      <c r="C5582" t="s">
        <v>686</v>
      </c>
      <c r="D5582" t="s">
        <v>3185</v>
      </c>
      <c r="E5582" t="s">
        <v>461</v>
      </c>
      <c r="F5582" t="s">
        <v>668</v>
      </c>
      <c r="G5582">
        <v>2010</v>
      </c>
      <c r="H5582" s="12">
        <v>0</v>
      </c>
      <c r="I5582" t="s">
        <v>3183</v>
      </c>
      <c r="J5582" t="s">
        <v>8</v>
      </c>
      <c r="K5582" t="s">
        <v>147</v>
      </c>
      <c r="L5582" t="s">
        <v>650</v>
      </c>
      <c r="M5582" t="s">
        <v>670</v>
      </c>
    </row>
    <row r="5583" spans="1:13">
      <c r="A5583" t="s">
        <v>851</v>
      </c>
      <c r="B5583" t="s">
        <v>686</v>
      </c>
      <c r="C5583" t="s">
        <v>686</v>
      </c>
      <c r="D5583" t="s">
        <v>3185</v>
      </c>
      <c r="E5583" t="s">
        <v>461</v>
      </c>
      <c r="F5583" t="s">
        <v>668</v>
      </c>
      <c r="G5583">
        <v>2015</v>
      </c>
      <c r="H5583" s="12">
        <v>0</v>
      </c>
      <c r="I5583" t="s">
        <v>3183</v>
      </c>
      <c r="J5583" t="s">
        <v>8</v>
      </c>
      <c r="K5583" t="s">
        <v>147</v>
      </c>
      <c r="L5583" t="s">
        <v>650</v>
      </c>
      <c r="M5583" t="s">
        <v>670</v>
      </c>
    </row>
    <row r="5584" spans="1:13">
      <c r="A5584" t="s">
        <v>851</v>
      </c>
      <c r="B5584" t="s">
        <v>686</v>
      </c>
      <c r="C5584" t="s">
        <v>686</v>
      </c>
      <c r="D5584" t="s">
        <v>3185</v>
      </c>
      <c r="E5584" t="s">
        <v>461</v>
      </c>
      <c r="F5584" t="s">
        <v>668</v>
      </c>
      <c r="G5584">
        <v>2020</v>
      </c>
      <c r="H5584" s="12">
        <v>0</v>
      </c>
      <c r="I5584" t="s">
        <v>3183</v>
      </c>
      <c r="J5584" t="s">
        <v>8</v>
      </c>
      <c r="K5584" t="s">
        <v>147</v>
      </c>
      <c r="L5584" t="s">
        <v>650</v>
      </c>
      <c r="M5584" t="s">
        <v>670</v>
      </c>
    </row>
    <row r="5585" spans="1:13">
      <c r="A5585" t="s">
        <v>851</v>
      </c>
      <c r="B5585" t="s">
        <v>686</v>
      </c>
      <c r="C5585" t="s">
        <v>686</v>
      </c>
      <c r="D5585" t="s">
        <v>3185</v>
      </c>
      <c r="E5585" t="s">
        <v>461</v>
      </c>
      <c r="F5585" t="s">
        <v>668</v>
      </c>
      <c r="G5585">
        <v>2030</v>
      </c>
      <c r="H5585" s="12">
        <v>0.26</v>
      </c>
      <c r="I5585" t="s">
        <v>3183</v>
      </c>
      <c r="J5585" t="s">
        <v>8</v>
      </c>
      <c r="K5585" t="s">
        <v>147</v>
      </c>
      <c r="L5585" t="s">
        <v>650</v>
      </c>
      <c r="M5585" t="s">
        <v>670</v>
      </c>
    </row>
    <row r="5586" spans="1:13">
      <c r="A5586" t="s">
        <v>851</v>
      </c>
      <c r="B5586" t="s">
        <v>686</v>
      </c>
      <c r="C5586" t="s">
        <v>686</v>
      </c>
      <c r="D5586" t="s">
        <v>3185</v>
      </c>
      <c r="E5586" t="s">
        <v>461</v>
      </c>
      <c r="F5586" t="s">
        <v>668</v>
      </c>
      <c r="G5586">
        <v>2035</v>
      </c>
      <c r="H5586" s="12">
        <v>0.35</v>
      </c>
      <c r="I5586" t="s">
        <v>3183</v>
      </c>
      <c r="J5586" t="s">
        <v>8</v>
      </c>
      <c r="K5586" t="s">
        <v>147</v>
      </c>
      <c r="L5586" t="s">
        <v>650</v>
      </c>
      <c r="M5586" t="s">
        <v>670</v>
      </c>
    </row>
    <row r="5587" spans="1:13">
      <c r="A5587" t="s">
        <v>851</v>
      </c>
      <c r="B5587" t="s">
        <v>686</v>
      </c>
      <c r="C5587" t="s">
        <v>686</v>
      </c>
      <c r="D5587" t="s">
        <v>3185</v>
      </c>
      <c r="E5587" t="s">
        <v>461</v>
      </c>
      <c r="F5587" t="s">
        <v>668</v>
      </c>
      <c r="G5587">
        <v>2040</v>
      </c>
      <c r="H5587" s="12">
        <v>0.31</v>
      </c>
      <c r="I5587" t="s">
        <v>3183</v>
      </c>
      <c r="J5587" t="s">
        <v>8</v>
      </c>
      <c r="K5587" t="s">
        <v>147</v>
      </c>
      <c r="L5587" t="s">
        <v>650</v>
      </c>
      <c r="M5587" t="s">
        <v>670</v>
      </c>
    </row>
    <row r="5588" spans="1:13">
      <c r="A5588" t="s">
        <v>851</v>
      </c>
      <c r="B5588" t="s">
        <v>686</v>
      </c>
      <c r="C5588" t="s">
        <v>686</v>
      </c>
      <c r="D5588" t="s">
        <v>3185</v>
      </c>
      <c r="E5588" t="s">
        <v>461</v>
      </c>
      <c r="F5588" t="s">
        <v>668</v>
      </c>
      <c r="G5588">
        <v>2045</v>
      </c>
      <c r="H5588" s="12">
        <v>0.26</v>
      </c>
      <c r="I5588" t="s">
        <v>3183</v>
      </c>
      <c r="J5588" t="s">
        <v>8</v>
      </c>
      <c r="K5588" t="s">
        <v>147</v>
      </c>
      <c r="L5588" t="s">
        <v>650</v>
      </c>
      <c r="M5588" t="s">
        <v>670</v>
      </c>
    </row>
    <row r="5589" spans="1:13">
      <c r="A5589" t="s">
        <v>851</v>
      </c>
      <c r="B5589" t="s">
        <v>686</v>
      </c>
      <c r="C5589" t="s">
        <v>686</v>
      </c>
      <c r="D5589" t="s">
        <v>3185</v>
      </c>
      <c r="E5589" t="s">
        <v>461</v>
      </c>
      <c r="F5589" t="s">
        <v>668</v>
      </c>
      <c r="G5589">
        <v>2050</v>
      </c>
      <c r="H5589" s="12">
        <v>0.22</v>
      </c>
      <c r="I5589" t="s">
        <v>3183</v>
      </c>
      <c r="J5589" t="s">
        <v>8</v>
      </c>
      <c r="K5589" t="s">
        <v>147</v>
      </c>
      <c r="L5589" t="s">
        <v>650</v>
      </c>
      <c r="M5589" t="s">
        <v>670</v>
      </c>
    </row>
    <row r="5590" spans="1:13">
      <c r="A5590" t="s">
        <v>851</v>
      </c>
      <c r="B5590" t="s">
        <v>687</v>
      </c>
      <c r="C5590" t="s">
        <v>687</v>
      </c>
      <c r="D5590" t="s">
        <v>3185</v>
      </c>
      <c r="E5590" t="s">
        <v>461</v>
      </c>
      <c r="F5590" t="s">
        <v>668</v>
      </c>
      <c r="G5590">
        <v>2030</v>
      </c>
      <c r="H5590" s="12">
        <v>8.31</v>
      </c>
      <c r="I5590" t="s">
        <v>3183</v>
      </c>
      <c r="J5590" t="s">
        <v>8</v>
      </c>
      <c r="K5590" t="s">
        <v>147</v>
      </c>
      <c r="L5590" t="s">
        <v>650</v>
      </c>
      <c r="M5590" t="s">
        <v>670</v>
      </c>
    </row>
    <row r="5591" spans="1:13">
      <c r="A5591" t="s">
        <v>851</v>
      </c>
      <c r="B5591" t="s">
        <v>686</v>
      </c>
      <c r="C5591" t="s">
        <v>686</v>
      </c>
      <c r="D5591" t="s">
        <v>3175</v>
      </c>
      <c r="E5591" t="s">
        <v>646</v>
      </c>
      <c r="F5591" t="s">
        <v>40</v>
      </c>
      <c r="G5591">
        <v>2010</v>
      </c>
      <c r="H5591" s="12">
        <v>5335</v>
      </c>
      <c r="I5591" t="s">
        <v>3183</v>
      </c>
      <c r="J5591" t="s">
        <v>344</v>
      </c>
      <c r="K5591" t="s">
        <v>658</v>
      </c>
      <c r="L5591" t="s">
        <v>3184</v>
      </c>
      <c r="M5591" t="s">
        <v>10</v>
      </c>
    </row>
    <row r="5592" spans="1:13">
      <c r="A5592" t="s">
        <v>851</v>
      </c>
      <c r="B5592" t="s">
        <v>686</v>
      </c>
      <c r="C5592" t="s">
        <v>686</v>
      </c>
      <c r="D5592" t="s">
        <v>3175</v>
      </c>
      <c r="E5592" t="s">
        <v>646</v>
      </c>
      <c r="F5592" t="s">
        <v>40</v>
      </c>
      <c r="G5592">
        <v>2015</v>
      </c>
      <c r="H5592" s="12">
        <v>5144</v>
      </c>
      <c r="I5592" t="s">
        <v>3183</v>
      </c>
      <c r="J5592" t="s">
        <v>344</v>
      </c>
      <c r="K5592" t="s">
        <v>658</v>
      </c>
      <c r="L5592" t="s">
        <v>3184</v>
      </c>
      <c r="M5592" t="s">
        <v>10</v>
      </c>
    </row>
    <row r="5593" spans="1:13">
      <c r="A5593" t="s">
        <v>851</v>
      </c>
      <c r="B5593" t="s">
        <v>686</v>
      </c>
      <c r="C5593" t="s">
        <v>686</v>
      </c>
      <c r="D5593" t="s">
        <v>3175</v>
      </c>
      <c r="E5593" t="s">
        <v>646</v>
      </c>
      <c r="F5593" t="s">
        <v>40</v>
      </c>
      <c r="G5593">
        <v>2020</v>
      </c>
      <c r="H5593" s="12">
        <v>5014</v>
      </c>
      <c r="I5593" t="s">
        <v>3183</v>
      </c>
      <c r="J5593" t="s">
        <v>344</v>
      </c>
      <c r="K5593" t="s">
        <v>658</v>
      </c>
      <c r="L5593" t="s">
        <v>3184</v>
      </c>
      <c r="M5593" t="s">
        <v>10</v>
      </c>
    </row>
    <row r="5594" spans="1:13">
      <c r="A5594" t="s">
        <v>851</v>
      </c>
      <c r="B5594" t="s">
        <v>686</v>
      </c>
      <c r="C5594" t="s">
        <v>686</v>
      </c>
      <c r="D5594" t="s">
        <v>3175</v>
      </c>
      <c r="E5594" t="s">
        <v>646</v>
      </c>
      <c r="F5594" t="s">
        <v>40</v>
      </c>
      <c r="G5594">
        <v>2030</v>
      </c>
      <c r="H5594" s="12">
        <v>5731</v>
      </c>
      <c r="I5594" t="s">
        <v>3183</v>
      </c>
      <c r="J5594" t="s">
        <v>344</v>
      </c>
      <c r="K5594" t="s">
        <v>658</v>
      </c>
      <c r="L5594" t="s">
        <v>3184</v>
      </c>
      <c r="M5594" t="s">
        <v>10</v>
      </c>
    </row>
    <row r="5595" spans="1:13">
      <c r="A5595" t="s">
        <v>851</v>
      </c>
      <c r="B5595" t="s">
        <v>686</v>
      </c>
      <c r="C5595" t="s">
        <v>686</v>
      </c>
      <c r="D5595" t="s">
        <v>3175</v>
      </c>
      <c r="E5595" t="s">
        <v>646</v>
      </c>
      <c r="F5595" t="s">
        <v>40</v>
      </c>
      <c r="G5595">
        <v>2035</v>
      </c>
      <c r="H5595" s="12">
        <v>5767</v>
      </c>
      <c r="I5595" t="s">
        <v>3183</v>
      </c>
      <c r="J5595" t="s">
        <v>344</v>
      </c>
      <c r="K5595" t="s">
        <v>658</v>
      </c>
      <c r="L5595" t="s">
        <v>3184</v>
      </c>
      <c r="M5595" t="s">
        <v>10</v>
      </c>
    </row>
    <row r="5596" spans="1:13">
      <c r="A5596" t="s">
        <v>851</v>
      </c>
      <c r="B5596" t="s">
        <v>686</v>
      </c>
      <c r="C5596" t="s">
        <v>686</v>
      </c>
      <c r="D5596" t="s">
        <v>3175</v>
      </c>
      <c r="E5596" t="s">
        <v>646</v>
      </c>
      <c r="F5596" t="s">
        <v>40</v>
      </c>
      <c r="G5596">
        <v>2040</v>
      </c>
      <c r="H5596" s="12">
        <v>5825</v>
      </c>
      <c r="I5596" t="s">
        <v>3183</v>
      </c>
      <c r="J5596" t="s">
        <v>344</v>
      </c>
      <c r="K5596" t="s">
        <v>658</v>
      </c>
      <c r="L5596" t="s">
        <v>3184</v>
      </c>
      <c r="M5596" t="s">
        <v>10</v>
      </c>
    </row>
    <row r="5597" spans="1:13">
      <c r="A5597" t="s">
        <v>851</v>
      </c>
      <c r="B5597" t="s">
        <v>686</v>
      </c>
      <c r="C5597" t="s">
        <v>686</v>
      </c>
      <c r="D5597" t="s">
        <v>3175</v>
      </c>
      <c r="E5597" t="s">
        <v>646</v>
      </c>
      <c r="F5597" t="s">
        <v>40</v>
      </c>
      <c r="G5597">
        <v>2045</v>
      </c>
      <c r="H5597" s="12">
        <v>5888</v>
      </c>
      <c r="I5597" t="s">
        <v>3183</v>
      </c>
      <c r="J5597" t="s">
        <v>344</v>
      </c>
      <c r="K5597" t="s">
        <v>658</v>
      </c>
      <c r="L5597" t="s">
        <v>3184</v>
      </c>
      <c r="M5597" t="s">
        <v>10</v>
      </c>
    </row>
    <row r="5598" spans="1:13">
      <c r="A5598" t="s">
        <v>851</v>
      </c>
      <c r="B5598" t="s">
        <v>686</v>
      </c>
      <c r="C5598" t="s">
        <v>686</v>
      </c>
      <c r="D5598" t="s">
        <v>3175</v>
      </c>
      <c r="E5598" t="s">
        <v>646</v>
      </c>
      <c r="F5598" t="s">
        <v>40</v>
      </c>
      <c r="G5598">
        <v>2050</v>
      </c>
      <c r="H5598" s="12">
        <v>5947</v>
      </c>
      <c r="I5598" t="s">
        <v>3183</v>
      </c>
      <c r="J5598" t="s">
        <v>344</v>
      </c>
      <c r="K5598" t="s">
        <v>658</v>
      </c>
      <c r="L5598" t="s">
        <v>3184</v>
      </c>
      <c r="M5598" t="s">
        <v>10</v>
      </c>
    </row>
    <row r="5599" spans="1:13">
      <c r="A5599" t="s">
        <v>851</v>
      </c>
      <c r="B5599" t="s">
        <v>687</v>
      </c>
      <c r="C5599" t="s">
        <v>687</v>
      </c>
      <c r="D5599" t="s">
        <v>3175</v>
      </c>
      <c r="E5599" t="s">
        <v>646</v>
      </c>
      <c r="F5599" t="s">
        <v>40</v>
      </c>
      <c r="G5599">
        <v>2030</v>
      </c>
      <c r="H5599" s="12">
        <v>5409</v>
      </c>
      <c r="I5599" t="s">
        <v>3183</v>
      </c>
      <c r="J5599" t="s">
        <v>344</v>
      </c>
      <c r="K5599" t="s">
        <v>658</v>
      </c>
      <c r="L5599" t="s">
        <v>3184</v>
      </c>
      <c r="M5599" t="s">
        <v>10</v>
      </c>
    </row>
    <row r="5600" spans="1:13">
      <c r="A5600" t="s">
        <v>851</v>
      </c>
      <c r="B5600" t="s">
        <v>687</v>
      </c>
      <c r="C5600" t="s">
        <v>687</v>
      </c>
      <c r="D5600" t="s">
        <v>3175</v>
      </c>
      <c r="E5600" t="s">
        <v>646</v>
      </c>
      <c r="F5600" t="s">
        <v>40</v>
      </c>
      <c r="G5600">
        <v>2035</v>
      </c>
      <c r="H5600" s="12">
        <v>5338</v>
      </c>
      <c r="I5600" t="s">
        <v>3183</v>
      </c>
      <c r="J5600" t="s">
        <v>344</v>
      </c>
      <c r="K5600" t="s">
        <v>658</v>
      </c>
      <c r="L5600" t="s">
        <v>3184</v>
      </c>
      <c r="M5600" t="s">
        <v>10</v>
      </c>
    </row>
    <row r="5601" spans="1:13">
      <c r="A5601" t="s">
        <v>851</v>
      </c>
      <c r="B5601" t="s">
        <v>687</v>
      </c>
      <c r="C5601" t="s">
        <v>687</v>
      </c>
      <c r="D5601" t="s">
        <v>3175</v>
      </c>
      <c r="E5601" t="s">
        <v>646</v>
      </c>
      <c r="F5601" t="s">
        <v>40</v>
      </c>
      <c r="G5601">
        <v>2040</v>
      </c>
      <c r="H5601" s="12">
        <v>5298</v>
      </c>
      <c r="I5601" t="s">
        <v>3183</v>
      </c>
      <c r="J5601" t="s">
        <v>344</v>
      </c>
      <c r="K5601" t="s">
        <v>658</v>
      </c>
      <c r="L5601" t="s">
        <v>3184</v>
      </c>
      <c r="M5601" t="s">
        <v>10</v>
      </c>
    </row>
    <row r="5602" spans="1:13">
      <c r="A5602" t="s">
        <v>851</v>
      </c>
      <c r="B5602" t="s">
        <v>687</v>
      </c>
      <c r="C5602" t="s">
        <v>687</v>
      </c>
      <c r="D5602" t="s">
        <v>3175</v>
      </c>
      <c r="E5602" t="s">
        <v>646</v>
      </c>
      <c r="F5602" t="s">
        <v>40</v>
      </c>
      <c r="G5602">
        <v>2045</v>
      </c>
      <c r="H5602" s="12">
        <v>5249</v>
      </c>
      <c r="I5602" t="s">
        <v>3183</v>
      </c>
      <c r="J5602" t="s">
        <v>344</v>
      </c>
      <c r="K5602" t="s">
        <v>658</v>
      </c>
      <c r="L5602" t="s">
        <v>3184</v>
      </c>
      <c r="M5602" t="s">
        <v>10</v>
      </c>
    </row>
    <row r="5603" spans="1:13">
      <c r="A5603" t="s">
        <v>851</v>
      </c>
      <c r="B5603" t="s">
        <v>687</v>
      </c>
      <c r="C5603" t="s">
        <v>687</v>
      </c>
      <c r="D5603" t="s">
        <v>3175</v>
      </c>
      <c r="E5603" t="s">
        <v>646</v>
      </c>
      <c r="F5603" t="s">
        <v>40</v>
      </c>
      <c r="G5603">
        <v>2050</v>
      </c>
      <c r="H5603" s="12">
        <v>5154</v>
      </c>
      <c r="I5603" t="s">
        <v>3183</v>
      </c>
      <c r="J5603" t="s">
        <v>344</v>
      </c>
      <c r="K5603" t="s">
        <v>658</v>
      </c>
      <c r="L5603" t="s">
        <v>3184</v>
      </c>
      <c r="M5603" t="s">
        <v>10</v>
      </c>
    </row>
    <row r="5604" spans="1:13">
      <c r="A5604" t="s">
        <v>851</v>
      </c>
      <c r="B5604" t="s">
        <v>686</v>
      </c>
      <c r="C5604" t="s">
        <v>686</v>
      </c>
      <c r="D5604" t="s">
        <v>3175</v>
      </c>
      <c r="E5604" t="s">
        <v>646</v>
      </c>
      <c r="F5604" t="s">
        <v>40</v>
      </c>
      <c r="G5604">
        <v>2010</v>
      </c>
      <c r="H5604" s="12">
        <v>5596</v>
      </c>
      <c r="I5604" t="s">
        <v>3183</v>
      </c>
      <c r="J5604" t="s">
        <v>6</v>
      </c>
      <c r="K5604" t="s">
        <v>658</v>
      </c>
      <c r="L5604" t="s">
        <v>3184</v>
      </c>
      <c r="M5604" t="s">
        <v>659</v>
      </c>
    </row>
    <row r="5605" spans="1:13">
      <c r="A5605" t="s">
        <v>851</v>
      </c>
      <c r="B5605" t="s">
        <v>686</v>
      </c>
      <c r="C5605" t="s">
        <v>686</v>
      </c>
      <c r="D5605" t="s">
        <v>3175</v>
      </c>
      <c r="E5605" t="s">
        <v>646</v>
      </c>
      <c r="F5605" t="s">
        <v>40</v>
      </c>
      <c r="G5605">
        <v>2015</v>
      </c>
      <c r="H5605" s="12">
        <v>4730</v>
      </c>
      <c r="I5605" t="s">
        <v>3183</v>
      </c>
      <c r="J5605" t="s">
        <v>6</v>
      </c>
      <c r="K5605" t="s">
        <v>658</v>
      </c>
      <c r="L5605" t="s">
        <v>3184</v>
      </c>
      <c r="M5605" t="s">
        <v>659</v>
      </c>
    </row>
    <row r="5606" spans="1:13">
      <c r="A5606" t="s">
        <v>851</v>
      </c>
      <c r="B5606" t="s">
        <v>686</v>
      </c>
      <c r="C5606" t="s">
        <v>686</v>
      </c>
      <c r="D5606" t="s">
        <v>3175</v>
      </c>
      <c r="E5606" t="s">
        <v>646</v>
      </c>
      <c r="F5606" t="s">
        <v>40</v>
      </c>
      <c r="G5606">
        <v>2020</v>
      </c>
      <c r="H5606" s="12">
        <v>4740</v>
      </c>
      <c r="I5606" t="s">
        <v>3183</v>
      </c>
      <c r="J5606" t="s">
        <v>6</v>
      </c>
      <c r="K5606" t="s">
        <v>658</v>
      </c>
      <c r="L5606" t="s">
        <v>3184</v>
      </c>
      <c r="M5606" t="s">
        <v>659</v>
      </c>
    </row>
    <row r="5607" spans="1:13">
      <c r="A5607" t="s">
        <v>851</v>
      </c>
      <c r="B5607" t="s">
        <v>686</v>
      </c>
      <c r="C5607" t="s">
        <v>686</v>
      </c>
      <c r="D5607" t="s">
        <v>3175</v>
      </c>
      <c r="E5607" t="s">
        <v>646</v>
      </c>
      <c r="F5607" t="s">
        <v>40</v>
      </c>
      <c r="G5607">
        <v>2030</v>
      </c>
      <c r="H5607" s="12">
        <v>4078</v>
      </c>
      <c r="I5607" t="s">
        <v>3183</v>
      </c>
      <c r="J5607" t="s">
        <v>6</v>
      </c>
      <c r="K5607" t="s">
        <v>658</v>
      </c>
      <c r="L5607" t="s">
        <v>3184</v>
      </c>
      <c r="M5607" t="s">
        <v>659</v>
      </c>
    </row>
    <row r="5608" spans="1:13">
      <c r="A5608" t="s">
        <v>851</v>
      </c>
      <c r="B5608" t="s">
        <v>686</v>
      </c>
      <c r="C5608" t="s">
        <v>686</v>
      </c>
      <c r="D5608" t="s">
        <v>3175</v>
      </c>
      <c r="E5608" t="s">
        <v>646</v>
      </c>
      <c r="F5608" t="s">
        <v>40</v>
      </c>
      <c r="G5608">
        <v>2035</v>
      </c>
      <c r="H5608" s="12">
        <v>3645</v>
      </c>
      <c r="I5608" t="s">
        <v>3183</v>
      </c>
      <c r="J5608" t="s">
        <v>6</v>
      </c>
      <c r="K5608" t="s">
        <v>658</v>
      </c>
      <c r="L5608" t="s">
        <v>3184</v>
      </c>
      <c r="M5608" t="s">
        <v>659</v>
      </c>
    </row>
    <row r="5609" spans="1:13">
      <c r="A5609" t="s">
        <v>851</v>
      </c>
      <c r="B5609" t="s">
        <v>686</v>
      </c>
      <c r="C5609" t="s">
        <v>686</v>
      </c>
      <c r="D5609" t="s">
        <v>3175</v>
      </c>
      <c r="E5609" t="s">
        <v>646</v>
      </c>
      <c r="F5609" t="s">
        <v>40</v>
      </c>
      <c r="G5609">
        <v>2040</v>
      </c>
      <c r="H5609" s="12">
        <v>3272</v>
      </c>
      <c r="I5609" t="s">
        <v>3183</v>
      </c>
      <c r="J5609" t="s">
        <v>6</v>
      </c>
      <c r="K5609" t="s">
        <v>658</v>
      </c>
      <c r="L5609" t="s">
        <v>3184</v>
      </c>
      <c r="M5609" t="s">
        <v>659</v>
      </c>
    </row>
    <row r="5610" spans="1:13">
      <c r="A5610" t="s">
        <v>851</v>
      </c>
      <c r="B5610" t="s">
        <v>686</v>
      </c>
      <c r="C5610" t="s">
        <v>686</v>
      </c>
      <c r="D5610" t="s">
        <v>3175</v>
      </c>
      <c r="E5610" t="s">
        <v>646</v>
      </c>
      <c r="F5610" t="s">
        <v>40</v>
      </c>
      <c r="G5610">
        <v>2015</v>
      </c>
      <c r="H5610" s="12">
        <v>410</v>
      </c>
      <c r="I5610" t="s">
        <v>3183</v>
      </c>
      <c r="J5610" t="s">
        <v>5</v>
      </c>
      <c r="K5610" t="s">
        <v>658</v>
      </c>
      <c r="L5610" t="s">
        <v>3184</v>
      </c>
      <c r="M5610" t="s">
        <v>5</v>
      </c>
    </row>
    <row r="5611" spans="1:13">
      <c r="A5611" t="s">
        <v>851</v>
      </c>
      <c r="B5611" t="s">
        <v>686</v>
      </c>
      <c r="C5611" t="s">
        <v>686</v>
      </c>
      <c r="D5611" t="s">
        <v>3175</v>
      </c>
      <c r="E5611" t="s">
        <v>646</v>
      </c>
      <c r="F5611" t="s">
        <v>40</v>
      </c>
      <c r="G5611">
        <v>2020</v>
      </c>
      <c r="H5611" s="12">
        <v>314</v>
      </c>
      <c r="I5611" t="s">
        <v>3183</v>
      </c>
      <c r="J5611" t="s">
        <v>5</v>
      </c>
      <c r="K5611" t="s">
        <v>658</v>
      </c>
      <c r="L5611" t="s">
        <v>3184</v>
      </c>
      <c r="M5611" t="s">
        <v>5</v>
      </c>
    </row>
    <row r="5612" spans="1:13">
      <c r="A5612" t="s">
        <v>851</v>
      </c>
      <c r="B5612" t="s">
        <v>686</v>
      </c>
      <c r="C5612" t="s">
        <v>686</v>
      </c>
      <c r="D5612" t="s">
        <v>3175</v>
      </c>
      <c r="E5612" t="s">
        <v>646</v>
      </c>
      <c r="F5612" t="s">
        <v>40</v>
      </c>
      <c r="G5612">
        <v>2030</v>
      </c>
      <c r="H5612" s="12">
        <v>120</v>
      </c>
      <c r="I5612" t="s">
        <v>3183</v>
      </c>
      <c r="J5612" t="s">
        <v>5</v>
      </c>
      <c r="K5612" t="s">
        <v>658</v>
      </c>
      <c r="L5612" t="s">
        <v>3184</v>
      </c>
      <c r="M5612" t="s">
        <v>5</v>
      </c>
    </row>
    <row r="5613" spans="1:13">
      <c r="A5613" t="s">
        <v>851</v>
      </c>
      <c r="B5613" t="s">
        <v>686</v>
      </c>
      <c r="C5613" t="s">
        <v>686</v>
      </c>
      <c r="D5613" t="s">
        <v>3175</v>
      </c>
      <c r="E5613" t="s">
        <v>646</v>
      </c>
      <c r="F5613" t="s">
        <v>40</v>
      </c>
      <c r="G5613">
        <v>2035</v>
      </c>
      <c r="H5613" s="12">
        <v>64</v>
      </c>
      <c r="I5613" t="s">
        <v>3183</v>
      </c>
      <c r="J5613" t="s">
        <v>5</v>
      </c>
      <c r="K5613" t="s">
        <v>658</v>
      </c>
      <c r="L5613" t="s">
        <v>3184</v>
      </c>
      <c r="M5613" t="s">
        <v>5</v>
      </c>
    </row>
    <row r="5614" spans="1:13">
      <c r="A5614" t="s">
        <v>851</v>
      </c>
      <c r="B5614" t="s">
        <v>686</v>
      </c>
      <c r="C5614" t="s">
        <v>686</v>
      </c>
      <c r="D5614" t="s">
        <v>3175</v>
      </c>
      <c r="E5614" t="s">
        <v>646</v>
      </c>
      <c r="F5614" t="s">
        <v>40</v>
      </c>
      <c r="G5614">
        <v>2040</v>
      </c>
      <c r="H5614" s="12">
        <v>31</v>
      </c>
      <c r="I5614" t="s">
        <v>3183</v>
      </c>
      <c r="J5614" t="s">
        <v>5</v>
      </c>
      <c r="K5614" t="s">
        <v>658</v>
      </c>
      <c r="L5614" t="s">
        <v>3184</v>
      </c>
      <c r="M5614" t="s">
        <v>5</v>
      </c>
    </row>
    <row r="5615" spans="1:13">
      <c r="A5615" t="s">
        <v>851</v>
      </c>
      <c r="B5615" t="s">
        <v>686</v>
      </c>
      <c r="C5615" t="s">
        <v>686</v>
      </c>
      <c r="D5615" t="s">
        <v>3175</v>
      </c>
      <c r="E5615" t="s">
        <v>646</v>
      </c>
      <c r="F5615" t="s">
        <v>40</v>
      </c>
      <c r="G5615">
        <v>2045</v>
      </c>
      <c r="H5615" s="12">
        <v>15</v>
      </c>
      <c r="I5615" t="s">
        <v>3183</v>
      </c>
      <c r="J5615" t="s">
        <v>5</v>
      </c>
      <c r="K5615" t="s">
        <v>658</v>
      </c>
      <c r="L5615" t="s">
        <v>3184</v>
      </c>
      <c r="M5615" t="s">
        <v>5</v>
      </c>
    </row>
    <row r="5616" spans="1:13">
      <c r="A5616" t="s">
        <v>851</v>
      </c>
      <c r="B5616" t="s">
        <v>686</v>
      </c>
      <c r="C5616" t="s">
        <v>686</v>
      </c>
      <c r="D5616" t="s">
        <v>3175</v>
      </c>
      <c r="E5616" t="s">
        <v>646</v>
      </c>
      <c r="F5616" t="s">
        <v>40</v>
      </c>
      <c r="G5616">
        <v>2050</v>
      </c>
      <c r="H5616" s="12">
        <v>8</v>
      </c>
      <c r="I5616" t="s">
        <v>3183</v>
      </c>
      <c r="J5616" t="s">
        <v>5</v>
      </c>
      <c r="K5616" t="s">
        <v>658</v>
      </c>
      <c r="L5616" t="s">
        <v>3184</v>
      </c>
      <c r="M5616" t="s">
        <v>5</v>
      </c>
    </row>
    <row r="5617" spans="1:13">
      <c r="A5617" t="s">
        <v>851</v>
      </c>
      <c r="B5617" t="s">
        <v>687</v>
      </c>
      <c r="C5617" t="s">
        <v>687</v>
      </c>
      <c r="D5617" t="s">
        <v>3175</v>
      </c>
      <c r="E5617" t="s">
        <v>646</v>
      </c>
      <c r="F5617" t="s">
        <v>40</v>
      </c>
      <c r="G5617">
        <v>2030</v>
      </c>
      <c r="H5617" s="12">
        <v>83</v>
      </c>
      <c r="I5617" t="s">
        <v>3183</v>
      </c>
      <c r="J5617" t="s">
        <v>5</v>
      </c>
      <c r="K5617" t="s">
        <v>658</v>
      </c>
      <c r="L5617" t="s">
        <v>3184</v>
      </c>
      <c r="M5617" t="s">
        <v>5</v>
      </c>
    </row>
    <row r="5618" spans="1:13">
      <c r="A5618" t="s">
        <v>851</v>
      </c>
      <c r="B5618" t="s">
        <v>687</v>
      </c>
      <c r="C5618" t="s">
        <v>687</v>
      </c>
      <c r="D5618" t="s">
        <v>3175</v>
      </c>
      <c r="E5618" t="s">
        <v>646</v>
      </c>
      <c r="F5618" t="s">
        <v>40</v>
      </c>
      <c r="G5618">
        <v>2035</v>
      </c>
      <c r="H5618" s="12">
        <v>23</v>
      </c>
      <c r="I5618" t="s">
        <v>3183</v>
      </c>
      <c r="J5618" t="s">
        <v>5</v>
      </c>
      <c r="K5618" t="s">
        <v>658</v>
      </c>
      <c r="L5618" t="s">
        <v>3184</v>
      </c>
      <c r="M5618" t="s">
        <v>5</v>
      </c>
    </row>
    <row r="5619" spans="1:13">
      <c r="A5619" t="s">
        <v>851</v>
      </c>
      <c r="B5619" t="s">
        <v>687</v>
      </c>
      <c r="C5619" t="s">
        <v>687</v>
      </c>
      <c r="D5619" t="s">
        <v>3175</v>
      </c>
      <c r="E5619" t="s">
        <v>646</v>
      </c>
      <c r="F5619" t="s">
        <v>40</v>
      </c>
      <c r="G5619">
        <v>2040</v>
      </c>
      <c r="H5619" s="12">
        <v>3</v>
      </c>
      <c r="I5619" t="s">
        <v>3183</v>
      </c>
      <c r="J5619" t="s">
        <v>5</v>
      </c>
      <c r="K5619" t="s">
        <v>658</v>
      </c>
      <c r="L5619" t="s">
        <v>3184</v>
      </c>
      <c r="M5619" t="s">
        <v>5</v>
      </c>
    </row>
    <row r="5620" spans="1:13">
      <c r="A5620" t="s">
        <v>851</v>
      </c>
      <c r="B5620" t="s">
        <v>687</v>
      </c>
      <c r="C5620" t="s">
        <v>687</v>
      </c>
      <c r="D5620" t="s">
        <v>3175</v>
      </c>
      <c r="E5620" t="s">
        <v>646</v>
      </c>
      <c r="F5620" t="s">
        <v>40</v>
      </c>
      <c r="G5620">
        <v>2045</v>
      </c>
      <c r="H5620" s="12">
        <v>0</v>
      </c>
      <c r="I5620" t="s">
        <v>3183</v>
      </c>
      <c r="J5620" t="s">
        <v>5</v>
      </c>
      <c r="K5620" t="s">
        <v>658</v>
      </c>
      <c r="L5620" t="s">
        <v>3184</v>
      </c>
      <c r="M5620" t="s">
        <v>5</v>
      </c>
    </row>
    <row r="5621" spans="1:13">
      <c r="A5621" t="s">
        <v>851</v>
      </c>
      <c r="B5621" t="s">
        <v>687</v>
      </c>
      <c r="C5621" t="s">
        <v>687</v>
      </c>
      <c r="D5621" t="s">
        <v>3175</v>
      </c>
      <c r="E5621" t="s">
        <v>646</v>
      </c>
      <c r="F5621" t="s">
        <v>40</v>
      </c>
      <c r="G5621">
        <v>2050</v>
      </c>
      <c r="H5621" s="12">
        <v>0</v>
      </c>
      <c r="I5621" t="s">
        <v>3183</v>
      </c>
      <c r="J5621" t="s">
        <v>5</v>
      </c>
      <c r="K5621" t="s">
        <v>658</v>
      </c>
      <c r="L5621" t="s">
        <v>3184</v>
      </c>
      <c r="M5621" t="s">
        <v>5</v>
      </c>
    </row>
    <row r="5622" spans="1:13">
      <c r="A5622" t="s">
        <v>851</v>
      </c>
      <c r="B5622" t="s">
        <v>686</v>
      </c>
      <c r="C5622" t="s">
        <v>686</v>
      </c>
      <c r="D5622" t="s">
        <v>3175</v>
      </c>
      <c r="E5622" t="s">
        <v>646</v>
      </c>
      <c r="F5622" t="s">
        <v>40</v>
      </c>
      <c r="G5622">
        <v>2030</v>
      </c>
      <c r="H5622" s="12">
        <v>2907</v>
      </c>
      <c r="I5622" t="s">
        <v>3183</v>
      </c>
      <c r="J5622" t="s">
        <v>6</v>
      </c>
      <c r="K5622" t="s">
        <v>9</v>
      </c>
      <c r="L5622" t="s">
        <v>3184</v>
      </c>
      <c r="M5622" t="s">
        <v>666</v>
      </c>
    </row>
    <row r="5623" spans="1:13">
      <c r="A5623" t="s">
        <v>851</v>
      </c>
      <c r="B5623" t="s">
        <v>686</v>
      </c>
      <c r="C5623" t="s">
        <v>686</v>
      </c>
      <c r="D5623" t="s">
        <v>3175</v>
      </c>
      <c r="E5623" t="s">
        <v>646</v>
      </c>
      <c r="F5623" t="s">
        <v>40</v>
      </c>
      <c r="G5623">
        <v>2035</v>
      </c>
      <c r="H5623" s="12">
        <v>2706</v>
      </c>
      <c r="I5623" t="s">
        <v>3183</v>
      </c>
      <c r="J5623" t="s">
        <v>6</v>
      </c>
      <c r="K5623" t="s">
        <v>9</v>
      </c>
      <c r="L5623" t="s">
        <v>3184</v>
      </c>
      <c r="M5623" t="s">
        <v>666</v>
      </c>
    </row>
    <row r="5624" spans="1:13">
      <c r="A5624" t="s">
        <v>851</v>
      </c>
      <c r="B5624" t="s">
        <v>686</v>
      </c>
      <c r="C5624" t="s">
        <v>686</v>
      </c>
      <c r="D5624" t="s">
        <v>3175</v>
      </c>
      <c r="E5624" t="s">
        <v>646</v>
      </c>
      <c r="F5624" t="s">
        <v>40</v>
      </c>
      <c r="G5624">
        <v>2040</v>
      </c>
      <c r="H5624" s="12">
        <v>2552</v>
      </c>
      <c r="I5624" t="s">
        <v>3183</v>
      </c>
      <c r="J5624" t="s">
        <v>6</v>
      </c>
      <c r="K5624" t="s">
        <v>9</v>
      </c>
      <c r="L5624" t="s">
        <v>3184</v>
      </c>
      <c r="M5624" t="s">
        <v>666</v>
      </c>
    </row>
    <row r="5625" spans="1:13">
      <c r="A5625" t="s">
        <v>851</v>
      </c>
      <c r="B5625" t="s">
        <v>686</v>
      </c>
      <c r="C5625" t="s">
        <v>686</v>
      </c>
      <c r="D5625" t="s">
        <v>3175</v>
      </c>
      <c r="E5625" t="s">
        <v>646</v>
      </c>
      <c r="F5625" t="s">
        <v>40</v>
      </c>
      <c r="G5625">
        <v>2045</v>
      </c>
      <c r="H5625" s="12">
        <v>2413</v>
      </c>
      <c r="I5625" t="s">
        <v>3183</v>
      </c>
      <c r="J5625" t="s">
        <v>6</v>
      </c>
      <c r="K5625" t="s">
        <v>9</v>
      </c>
      <c r="L5625" t="s">
        <v>3184</v>
      </c>
      <c r="M5625" t="s">
        <v>666</v>
      </c>
    </row>
    <row r="5626" spans="1:13">
      <c r="A5626" t="s">
        <v>851</v>
      </c>
      <c r="B5626" t="s">
        <v>686</v>
      </c>
      <c r="C5626" t="s">
        <v>686</v>
      </c>
      <c r="D5626" t="s">
        <v>3175</v>
      </c>
      <c r="E5626" t="s">
        <v>646</v>
      </c>
      <c r="F5626" t="s">
        <v>40</v>
      </c>
      <c r="G5626">
        <v>2050</v>
      </c>
      <c r="H5626" s="12">
        <v>2281</v>
      </c>
      <c r="I5626" t="s">
        <v>3183</v>
      </c>
      <c r="J5626" t="s">
        <v>6</v>
      </c>
      <c r="K5626" t="s">
        <v>9</v>
      </c>
      <c r="L5626" t="s">
        <v>3184</v>
      </c>
      <c r="M5626" t="s">
        <v>666</v>
      </c>
    </row>
    <row r="5627" spans="1:13">
      <c r="A5627" t="s">
        <v>851</v>
      </c>
      <c r="B5627" t="s">
        <v>687</v>
      </c>
      <c r="C5627" t="s">
        <v>687</v>
      </c>
      <c r="D5627" t="s">
        <v>3175</v>
      </c>
      <c r="E5627" t="s">
        <v>646</v>
      </c>
      <c r="F5627" t="s">
        <v>40</v>
      </c>
      <c r="G5627">
        <v>2030</v>
      </c>
      <c r="H5627" s="12">
        <v>2132</v>
      </c>
      <c r="I5627" t="s">
        <v>3183</v>
      </c>
      <c r="J5627" t="s">
        <v>6</v>
      </c>
      <c r="K5627" t="s">
        <v>9</v>
      </c>
      <c r="L5627" t="s">
        <v>3184</v>
      </c>
      <c r="M5627" t="s">
        <v>666</v>
      </c>
    </row>
    <row r="5628" spans="1:13">
      <c r="A5628" t="s">
        <v>851</v>
      </c>
      <c r="B5628" t="s">
        <v>687</v>
      </c>
      <c r="C5628" t="s">
        <v>687</v>
      </c>
      <c r="D5628" t="s">
        <v>3175</v>
      </c>
      <c r="E5628" t="s">
        <v>646</v>
      </c>
      <c r="F5628" t="s">
        <v>40</v>
      </c>
      <c r="G5628">
        <v>2035</v>
      </c>
      <c r="H5628" s="12">
        <v>1679</v>
      </c>
      <c r="I5628" t="s">
        <v>3183</v>
      </c>
      <c r="J5628" t="s">
        <v>6</v>
      </c>
      <c r="K5628" t="s">
        <v>9</v>
      </c>
      <c r="L5628" t="s">
        <v>3184</v>
      </c>
      <c r="M5628" t="s">
        <v>666</v>
      </c>
    </row>
    <row r="5629" spans="1:13">
      <c r="A5629" t="s">
        <v>851</v>
      </c>
      <c r="B5629" t="s">
        <v>687</v>
      </c>
      <c r="C5629" t="s">
        <v>687</v>
      </c>
      <c r="D5629" t="s">
        <v>3175</v>
      </c>
      <c r="E5629" t="s">
        <v>646</v>
      </c>
      <c r="F5629" t="s">
        <v>40</v>
      </c>
      <c r="G5629">
        <v>2040</v>
      </c>
      <c r="H5629" s="12">
        <v>1293</v>
      </c>
      <c r="I5629" t="s">
        <v>3183</v>
      </c>
      <c r="J5629" t="s">
        <v>6</v>
      </c>
      <c r="K5629" t="s">
        <v>9</v>
      </c>
      <c r="L5629" t="s">
        <v>3184</v>
      </c>
      <c r="M5629" t="s">
        <v>666</v>
      </c>
    </row>
    <row r="5630" spans="1:13">
      <c r="A5630" t="s">
        <v>851</v>
      </c>
      <c r="B5630" t="s">
        <v>687</v>
      </c>
      <c r="C5630" t="s">
        <v>687</v>
      </c>
      <c r="D5630" t="s">
        <v>3175</v>
      </c>
      <c r="E5630" t="s">
        <v>646</v>
      </c>
      <c r="F5630" t="s">
        <v>40</v>
      </c>
      <c r="G5630">
        <v>2045</v>
      </c>
      <c r="H5630" s="12">
        <v>941</v>
      </c>
      <c r="I5630" t="s">
        <v>3183</v>
      </c>
      <c r="J5630" t="s">
        <v>6</v>
      </c>
      <c r="K5630" t="s">
        <v>9</v>
      </c>
      <c r="L5630" t="s">
        <v>3184</v>
      </c>
      <c r="M5630" t="s">
        <v>666</v>
      </c>
    </row>
    <row r="5631" spans="1:13">
      <c r="A5631" t="s">
        <v>851</v>
      </c>
      <c r="B5631" t="s">
        <v>687</v>
      </c>
      <c r="C5631" t="s">
        <v>687</v>
      </c>
      <c r="D5631" t="s">
        <v>3175</v>
      </c>
      <c r="E5631" t="s">
        <v>646</v>
      </c>
      <c r="F5631" t="s">
        <v>40</v>
      </c>
      <c r="G5631">
        <v>2050</v>
      </c>
      <c r="H5631" s="12">
        <v>579</v>
      </c>
      <c r="I5631" t="s">
        <v>3183</v>
      </c>
      <c r="J5631" t="s">
        <v>6</v>
      </c>
      <c r="K5631" t="s">
        <v>9</v>
      </c>
      <c r="L5631" t="s">
        <v>3184</v>
      </c>
      <c r="M5631" t="s">
        <v>666</v>
      </c>
    </row>
    <row r="5632" spans="1:13">
      <c r="A5632" t="s">
        <v>851</v>
      </c>
      <c r="B5632" t="s">
        <v>686</v>
      </c>
      <c r="C5632" t="s">
        <v>686</v>
      </c>
      <c r="D5632" t="s">
        <v>3175</v>
      </c>
      <c r="E5632" t="s">
        <v>646</v>
      </c>
      <c r="F5632" t="s">
        <v>40</v>
      </c>
      <c r="G5632">
        <v>2010</v>
      </c>
      <c r="H5632" s="12">
        <v>1896</v>
      </c>
      <c r="I5632" t="s">
        <v>3183</v>
      </c>
      <c r="J5632" t="s">
        <v>5</v>
      </c>
      <c r="K5632" t="s">
        <v>9</v>
      </c>
      <c r="L5632" t="s">
        <v>3184</v>
      </c>
      <c r="M5632" t="s">
        <v>665</v>
      </c>
    </row>
    <row r="5633" spans="1:13">
      <c r="A5633" t="s">
        <v>851</v>
      </c>
      <c r="B5633" t="s">
        <v>686</v>
      </c>
      <c r="C5633" t="s">
        <v>686</v>
      </c>
      <c r="D5633" t="s">
        <v>3175</v>
      </c>
      <c r="E5633" t="s">
        <v>646</v>
      </c>
      <c r="F5633" t="s">
        <v>40</v>
      </c>
      <c r="G5633">
        <v>2015</v>
      </c>
      <c r="H5633" s="12">
        <v>1792</v>
      </c>
      <c r="I5633" t="s">
        <v>3183</v>
      </c>
      <c r="J5633" t="s">
        <v>5</v>
      </c>
      <c r="K5633" t="s">
        <v>9</v>
      </c>
      <c r="L5633" t="s">
        <v>3184</v>
      </c>
      <c r="M5633" t="s">
        <v>665</v>
      </c>
    </row>
    <row r="5634" spans="1:13">
      <c r="A5634" t="s">
        <v>851</v>
      </c>
      <c r="B5634" t="s">
        <v>686</v>
      </c>
      <c r="C5634" t="s">
        <v>686</v>
      </c>
      <c r="D5634" t="s">
        <v>3175</v>
      </c>
      <c r="E5634" t="s">
        <v>646</v>
      </c>
      <c r="F5634" t="s">
        <v>40</v>
      </c>
      <c r="G5634">
        <v>2020</v>
      </c>
      <c r="H5634" s="12">
        <v>1473</v>
      </c>
      <c r="I5634" t="s">
        <v>3183</v>
      </c>
      <c r="J5634" t="s">
        <v>5</v>
      </c>
      <c r="K5634" t="s">
        <v>9</v>
      </c>
      <c r="L5634" t="s">
        <v>3184</v>
      </c>
      <c r="M5634" t="s">
        <v>665</v>
      </c>
    </row>
    <row r="5635" spans="1:13">
      <c r="A5635" t="s">
        <v>851</v>
      </c>
      <c r="B5635" t="s">
        <v>686</v>
      </c>
      <c r="C5635" t="s">
        <v>686</v>
      </c>
      <c r="D5635" t="s">
        <v>3175</v>
      </c>
      <c r="E5635" t="s">
        <v>646</v>
      </c>
      <c r="F5635" t="s">
        <v>40</v>
      </c>
      <c r="G5635">
        <v>2030</v>
      </c>
      <c r="H5635" s="12">
        <v>1553</v>
      </c>
      <c r="I5635" t="s">
        <v>3183</v>
      </c>
      <c r="J5635" t="s">
        <v>5</v>
      </c>
      <c r="K5635" t="s">
        <v>9</v>
      </c>
      <c r="L5635" t="s">
        <v>3184</v>
      </c>
      <c r="M5635" t="s">
        <v>665</v>
      </c>
    </row>
    <row r="5636" spans="1:13">
      <c r="A5636" t="s">
        <v>851</v>
      </c>
      <c r="B5636" t="s">
        <v>686</v>
      </c>
      <c r="C5636" t="s">
        <v>686</v>
      </c>
      <c r="D5636" t="s">
        <v>3175</v>
      </c>
      <c r="E5636" t="s">
        <v>646</v>
      </c>
      <c r="F5636" t="s">
        <v>40</v>
      </c>
      <c r="G5636">
        <v>2035</v>
      </c>
      <c r="H5636" s="12">
        <v>1459</v>
      </c>
      <c r="I5636" t="s">
        <v>3183</v>
      </c>
      <c r="J5636" t="s">
        <v>5</v>
      </c>
      <c r="K5636" t="s">
        <v>9</v>
      </c>
      <c r="L5636" t="s">
        <v>3184</v>
      </c>
      <c r="M5636" t="s">
        <v>665</v>
      </c>
    </row>
    <row r="5637" spans="1:13">
      <c r="A5637" t="s">
        <v>851</v>
      </c>
      <c r="B5637" t="s">
        <v>686</v>
      </c>
      <c r="C5637" t="s">
        <v>686</v>
      </c>
      <c r="D5637" t="s">
        <v>3175</v>
      </c>
      <c r="E5637" t="s">
        <v>646</v>
      </c>
      <c r="F5637" t="s">
        <v>40</v>
      </c>
      <c r="G5637">
        <v>2040</v>
      </c>
      <c r="H5637" s="12">
        <v>1368</v>
      </c>
      <c r="I5637" t="s">
        <v>3183</v>
      </c>
      <c r="J5637" t="s">
        <v>5</v>
      </c>
      <c r="K5637" t="s">
        <v>9</v>
      </c>
      <c r="L5637" t="s">
        <v>3184</v>
      </c>
      <c r="M5637" t="s">
        <v>665</v>
      </c>
    </row>
    <row r="5638" spans="1:13">
      <c r="A5638" t="s">
        <v>851</v>
      </c>
      <c r="B5638" t="s">
        <v>686</v>
      </c>
      <c r="C5638" t="s">
        <v>686</v>
      </c>
      <c r="D5638" t="s">
        <v>3175</v>
      </c>
      <c r="E5638" t="s">
        <v>646</v>
      </c>
      <c r="F5638" t="s">
        <v>40</v>
      </c>
      <c r="G5638">
        <v>2045</v>
      </c>
      <c r="H5638" s="12">
        <v>1290</v>
      </c>
      <c r="I5638" t="s">
        <v>3183</v>
      </c>
      <c r="J5638" t="s">
        <v>5</v>
      </c>
      <c r="K5638" t="s">
        <v>9</v>
      </c>
      <c r="L5638" t="s">
        <v>3184</v>
      </c>
      <c r="M5638" t="s">
        <v>665</v>
      </c>
    </row>
    <row r="5639" spans="1:13">
      <c r="A5639" t="s">
        <v>851</v>
      </c>
      <c r="B5639" t="s">
        <v>686</v>
      </c>
      <c r="C5639" t="s">
        <v>686</v>
      </c>
      <c r="D5639" t="s">
        <v>3175</v>
      </c>
      <c r="E5639" t="s">
        <v>646</v>
      </c>
      <c r="F5639" t="s">
        <v>40</v>
      </c>
      <c r="G5639">
        <v>2050</v>
      </c>
      <c r="H5639" s="12">
        <v>1210</v>
      </c>
      <c r="I5639" t="s">
        <v>3183</v>
      </c>
      <c r="J5639" t="s">
        <v>5</v>
      </c>
      <c r="K5639" t="s">
        <v>9</v>
      </c>
      <c r="L5639" t="s">
        <v>3184</v>
      </c>
      <c r="M5639" t="s">
        <v>665</v>
      </c>
    </row>
    <row r="5640" spans="1:13">
      <c r="A5640" t="s">
        <v>851</v>
      </c>
      <c r="B5640" t="s">
        <v>687</v>
      </c>
      <c r="C5640" t="s">
        <v>687</v>
      </c>
      <c r="D5640" t="s">
        <v>3175</v>
      </c>
      <c r="E5640" t="s">
        <v>646</v>
      </c>
      <c r="F5640" t="s">
        <v>40</v>
      </c>
      <c r="G5640">
        <v>2030</v>
      </c>
      <c r="H5640" s="12">
        <v>1164</v>
      </c>
      <c r="I5640" t="s">
        <v>3183</v>
      </c>
      <c r="J5640" t="s">
        <v>5</v>
      </c>
      <c r="K5640" t="s">
        <v>9</v>
      </c>
      <c r="L5640" t="s">
        <v>3184</v>
      </c>
      <c r="M5640" t="s">
        <v>665</v>
      </c>
    </row>
    <row r="5641" spans="1:13">
      <c r="A5641" t="s">
        <v>851</v>
      </c>
      <c r="B5641" t="s">
        <v>687</v>
      </c>
      <c r="C5641" t="s">
        <v>687</v>
      </c>
      <c r="D5641" t="s">
        <v>3175</v>
      </c>
      <c r="E5641" t="s">
        <v>646</v>
      </c>
      <c r="F5641" t="s">
        <v>40</v>
      </c>
      <c r="G5641">
        <v>2035</v>
      </c>
      <c r="H5641" s="12">
        <v>828</v>
      </c>
      <c r="I5641" t="s">
        <v>3183</v>
      </c>
      <c r="J5641" t="s">
        <v>5</v>
      </c>
      <c r="K5641" t="s">
        <v>9</v>
      </c>
      <c r="L5641" t="s">
        <v>3184</v>
      </c>
      <c r="M5641" t="s">
        <v>665</v>
      </c>
    </row>
    <row r="5642" spans="1:13">
      <c r="A5642" t="s">
        <v>851</v>
      </c>
      <c r="B5642" t="s">
        <v>687</v>
      </c>
      <c r="C5642" t="s">
        <v>687</v>
      </c>
      <c r="D5642" t="s">
        <v>3175</v>
      </c>
      <c r="E5642" t="s">
        <v>646</v>
      </c>
      <c r="F5642" t="s">
        <v>40</v>
      </c>
      <c r="G5642">
        <v>2040</v>
      </c>
      <c r="H5642" s="12">
        <v>546</v>
      </c>
      <c r="I5642" t="s">
        <v>3183</v>
      </c>
      <c r="J5642" t="s">
        <v>5</v>
      </c>
      <c r="K5642" t="s">
        <v>9</v>
      </c>
      <c r="L5642" t="s">
        <v>3184</v>
      </c>
      <c r="M5642" t="s">
        <v>665</v>
      </c>
    </row>
    <row r="5643" spans="1:13">
      <c r="A5643" t="s">
        <v>851</v>
      </c>
      <c r="B5643" t="s">
        <v>687</v>
      </c>
      <c r="C5643" t="s">
        <v>687</v>
      </c>
      <c r="D5643" t="s">
        <v>3175</v>
      </c>
      <c r="E5643" t="s">
        <v>646</v>
      </c>
      <c r="F5643" t="s">
        <v>40</v>
      </c>
      <c r="G5643">
        <v>2030</v>
      </c>
      <c r="H5643" s="12">
        <v>786</v>
      </c>
      <c r="I5643" t="s">
        <v>3183</v>
      </c>
      <c r="J5643" t="s">
        <v>344</v>
      </c>
      <c r="K5643" t="s">
        <v>11</v>
      </c>
      <c r="L5643" t="s">
        <v>3184</v>
      </c>
      <c r="M5643" t="s">
        <v>10</v>
      </c>
    </row>
    <row r="5644" spans="1:13">
      <c r="A5644" t="s">
        <v>851</v>
      </c>
      <c r="B5644" t="s">
        <v>687</v>
      </c>
      <c r="C5644" t="s">
        <v>687</v>
      </c>
      <c r="D5644" t="s">
        <v>3175</v>
      </c>
      <c r="E5644" t="s">
        <v>646</v>
      </c>
      <c r="F5644" t="s">
        <v>40</v>
      </c>
      <c r="G5644">
        <v>2035</v>
      </c>
      <c r="H5644" s="12">
        <v>1358</v>
      </c>
      <c r="I5644" t="s">
        <v>3183</v>
      </c>
      <c r="J5644" t="s">
        <v>344</v>
      </c>
      <c r="K5644" t="s">
        <v>11</v>
      </c>
      <c r="L5644" t="s">
        <v>3184</v>
      </c>
      <c r="M5644" t="s">
        <v>10</v>
      </c>
    </row>
    <row r="5645" spans="1:13">
      <c r="A5645" t="s">
        <v>851</v>
      </c>
      <c r="B5645" t="s">
        <v>687</v>
      </c>
      <c r="C5645" t="s">
        <v>687</v>
      </c>
      <c r="D5645" t="s">
        <v>3175</v>
      </c>
      <c r="E5645" t="s">
        <v>646</v>
      </c>
      <c r="F5645" t="s">
        <v>40</v>
      </c>
      <c r="G5645">
        <v>2040</v>
      </c>
      <c r="H5645" s="12">
        <v>1958</v>
      </c>
      <c r="I5645" t="s">
        <v>3183</v>
      </c>
      <c r="J5645" t="s">
        <v>344</v>
      </c>
      <c r="K5645" t="s">
        <v>11</v>
      </c>
      <c r="L5645" t="s">
        <v>3184</v>
      </c>
      <c r="M5645" t="s">
        <v>10</v>
      </c>
    </row>
    <row r="5646" spans="1:13">
      <c r="A5646" t="s">
        <v>851</v>
      </c>
      <c r="B5646" t="s">
        <v>687</v>
      </c>
      <c r="C5646" t="s">
        <v>687</v>
      </c>
      <c r="D5646" t="s">
        <v>3175</v>
      </c>
      <c r="E5646" t="s">
        <v>646</v>
      </c>
      <c r="F5646" t="s">
        <v>40</v>
      </c>
      <c r="G5646">
        <v>2045</v>
      </c>
      <c r="H5646" s="12">
        <v>2372</v>
      </c>
      <c r="I5646" t="s">
        <v>3183</v>
      </c>
      <c r="J5646" t="s">
        <v>344</v>
      </c>
      <c r="K5646" t="s">
        <v>11</v>
      </c>
      <c r="L5646" t="s">
        <v>3184</v>
      </c>
      <c r="M5646" t="s">
        <v>10</v>
      </c>
    </row>
    <row r="5647" spans="1:13">
      <c r="A5647" t="s">
        <v>851</v>
      </c>
      <c r="B5647" t="s">
        <v>687</v>
      </c>
      <c r="C5647" t="s">
        <v>687</v>
      </c>
      <c r="D5647" t="s">
        <v>3175</v>
      </c>
      <c r="E5647" t="s">
        <v>646</v>
      </c>
      <c r="F5647" t="s">
        <v>40</v>
      </c>
      <c r="G5647">
        <v>2050</v>
      </c>
      <c r="H5647" s="12">
        <v>2644</v>
      </c>
      <c r="I5647" t="s">
        <v>3183</v>
      </c>
      <c r="J5647" t="s">
        <v>344</v>
      </c>
      <c r="K5647" t="s">
        <v>11</v>
      </c>
      <c r="L5647" t="s">
        <v>3184</v>
      </c>
      <c r="M5647" t="s">
        <v>10</v>
      </c>
    </row>
    <row r="5648" spans="1:13">
      <c r="A5648" t="s">
        <v>851</v>
      </c>
      <c r="B5648" t="s">
        <v>686</v>
      </c>
      <c r="C5648" t="s">
        <v>686</v>
      </c>
      <c r="D5648" t="s">
        <v>3175</v>
      </c>
      <c r="E5648" t="s">
        <v>646</v>
      </c>
      <c r="F5648" t="s">
        <v>40</v>
      </c>
      <c r="G5648">
        <v>2010</v>
      </c>
      <c r="H5648" s="12">
        <v>10870</v>
      </c>
      <c r="I5648" t="s">
        <v>3183</v>
      </c>
      <c r="J5648" t="s">
        <v>394</v>
      </c>
      <c r="K5648" t="s">
        <v>11</v>
      </c>
      <c r="L5648" t="s">
        <v>3184</v>
      </c>
      <c r="M5648" t="s">
        <v>16</v>
      </c>
    </row>
    <row r="5649" spans="1:13">
      <c r="A5649" t="s">
        <v>851</v>
      </c>
      <c r="B5649" t="s">
        <v>686</v>
      </c>
      <c r="C5649" t="s">
        <v>686</v>
      </c>
      <c r="D5649" t="s">
        <v>3175</v>
      </c>
      <c r="E5649" t="s">
        <v>646</v>
      </c>
      <c r="F5649" t="s">
        <v>40</v>
      </c>
      <c r="G5649">
        <v>2015</v>
      </c>
      <c r="H5649" s="12">
        <v>10558</v>
      </c>
      <c r="I5649" t="s">
        <v>3183</v>
      </c>
      <c r="J5649" t="s">
        <v>394</v>
      </c>
      <c r="K5649" t="s">
        <v>11</v>
      </c>
      <c r="L5649" t="s">
        <v>3184</v>
      </c>
      <c r="M5649" t="s">
        <v>16</v>
      </c>
    </row>
    <row r="5650" spans="1:13">
      <c r="A5650" t="s">
        <v>851</v>
      </c>
      <c r="B5650" t="s">
        <v>686</v>
      </c>
      <c r="C5650" t="s">
        <v>686</v>
      </c>
      <c r="D5650" t="s">
        <v>3175</v>
      </c>
      <c r="E5650" t="s">
        <v>646</v>
      </c>
      <c r="F5650" t="s">
        <v>40</v>
      </c>
      <c r="G5650">
        <v>2020</v>
      </c>
      <c r="H5650" s="12">
        <v>9556</v>
      </c>
      <c r="I5650" t="s">
        <v>3183</v>
      </c>
      <c r="J5650" t="s">
        <v>394</v>
      </c>
      <c r="K5650" t="s">
        <v>11</v>
      </c>
      <c r="L5650" t="s">
        <v>3184</v>
      </c>
      <c r="M5650" t="s">
        <v>16</v>
      </c>
    </row>
    <row r="5651" spans="1:13">
      <c r="A5651" t="s">
        <v>851</v>
      </c>
      <c r="B5651" t="s">
        <v>686</v>
      </c>
      <c r="C5651" t="s">
        <v>686</v>
      </c>
      <c r="D5651" t="s">
        <v>3175</v>
      </c>
      <c r="E5651" t="s">
        <v>646</v>
      </c>
      <c r="F5651" t="s">
        <v>40</v>
      </c>
      <c r="G5651">
        <v>2030</v>
      </c>
      <c r="H5651" s="12">
        <v>8395</v>
      </c>
      <c r="I5651" t="s">
        <v>3183</v>
      </c>
      <c r="J5651" t="s">
        <v>394</v>
      </c>
      <c r="K5651" t="s">
        <v>11</v>
      </c>
      <c r="L5651" t="s">
        <v>3184</v>
      </c>
      <c r="M5651" t="s">
        <v>16</v>
      </c>
    </row>
    <row r="5652" spans="1:13">
      <c r="A5652" t="s">
        <v>851</v>
      </c>
      <c r="B5652" t="s">
        <v>686</v>
      </c>
      <c r="C5652" t="s">
        <v>686</v>
      </c>
      <c r="D5652" t="s">
        <v>3175</v>
      </c>
      <c r="E5652" t="s">
        <v>646</v>
      </c>
      <c r="F5652" t="s">
        <v>40</v>
      </c>
      <c r="G5652">
        <v>2035</v>
      </c>
      <c r="H5652" s="12">
        <v>7144</v>
      </c>
      <c r="I5652" t="s">
        <v>3183</v>
      </c>
      <c r="J5652" t="s">
        <v>394</v>
      </c>
      <c r="K5652" t="s">
        <v>11</v>
      </c>
      <c r="L5652" t="s">
        <v>3184</v>
      </c>
      <c r="M5652" t="s">
        <v>16</v>
      </c>
    </row>
    <row r="5653" spans="1:13">
      <c r="A5653" t="s">
        <v>851</v>
      </c>
      <c r="B5653" t="s">
        <v>686</v>
      </c>
      <c r="C5653" t="s">
        <v>686</v>
      </c>
      <c r="D5653" t="s">
        <v>3175</v>
      </c>
      <c r="E5653" t="s">
        <v>646</v>
      </c>
      <c r="F5653" t="s">
        <v>40</v>
      </c>
      <c r="G5653">
        <v>2040</v>
      </c>
      <c r="H5653" s="12">
        <v>6059</v>
      </c>
      <c r="I5653" t="s">
        <v>3183</v>
      </c>
      <c r="J5653" t="s">
        <v>394</v>
      </c>
      <c r="K5653" t="s">
        <v>11</v>
      </c>
      <c r="L5653" t="s">
        <v>3184</v>
      </c>
      <c r="M5653" t="s">
        <v>16</v>
      </c>
    </row>
    <row r="5654" spans="1:13">
      <c r="A5654" t="s">
        <v>851</v>
      </c>
      <c r="B5654" t="s">
        <v>686</v>
      </c>
      <c r="C5654" t="s">
        <v>686</v>
      </c>
      <c r="D5654" t="s">
        <v>3175</v>
      </c>
      <c r="E5654" t="s">
        <v>646</v>
      </c>
      <c r="F5654" t="s">
        <v>40</v>
      </c>
      <c r="G5654">
        <v>2045</v>
      </c>
      <c r="H5654" s="12">
        <v>5259</v>
      </c>
      <c r="I5654" t="s">
        <v>3183</v>
      </c>
      <c r="J5654" t="s">
        <v>394</v>
      </c>
      <c r="K5654" t="s">
        <v>11</v>
      </c>
      <c r="L5654" t="s">
        <v>3184</v>
      </c>
      <c r="M5654" t="s">
        <v>16</v>
      </c>
    </row>
    <row r="5655" spans="1:13">
      <c r="A5655" t="s">
        <v>851</v>
      </c>
      <c r="B5655" t="s">
        <v>686</v>
      </c>
      <c r="C5655" t="s">
        <v>686</v>
      </c>
      <c r="D5655" t="s">
        <v>3175</v>
      </c>
      <c r="E5655" t="s">
        <v>646</v>
      </c>
      <c r="F5655" t="s">
        <v>40</v>
      </c>
      <c r="G5655">
        <v>2050</v>
      </c>
      <c r="H5655" s="12">
        <v>4625</v>
      </c>
      <c r="I5655" t="s">
        <v>3183</v>
      </c>
      <c r="J5655" t="s">
        <v>394</v>
      </c>
      <c r="K5655" t="s">
        <v>11</v>
      </c>
      <c r="L5655" t="s">
        <v>3184</v>
      </c>
      <c r="M5655" t="s">
        <v>16</v>
      </c>
    </row>
    <row r="5656" spans="1:13">
      <c r="A5656" t="s">
        <v>851</v>
      </c>
      <c r="B5656" t="s">
        <v>687</v>
      </c>
      <c r="C5656" t="s">
        <v>687</v>
      </c>
      <c r="D5656" t="s">
        <v>3175</v>
      </c>
      <c r="E5656" t="s">
        <v>646</v>
      </c>
      <c r="F5656" t="s">
        <v>40</v>
      </c>
      <c r="G5656">
        <v>2030</v>
      </c>
      <c r="H5656" s="12">
        <v>7007</v>
      </c>
      <c r="I5656" t="s">
        <v>3183</v>
      </c>
      <c r="J5656" t="s">
        <v>394</v>
      </c>
      <c r="K5656" t="s">
        <v>11</v>
      </c>
      <c r="L5656" t="s">
        <v>3184</v>
      </c>
      <c r="M5656" t="s">
        <v>16</v>
      </c>
    </row>
    <row r="5657" spans="1:13">
      <c r="A5657" t="s">
        <v>851</v>
      </c>
      <c r="B5657" t="s">
        <v>687</v>
      </c>
      <c r="C5657" t="s">
        <v>687</v>
      </c>
      <c r="D5657" t="s">
        <v>3175</v>
      </c>
      <c r="E5657" t="s">
        <v>646</v>
      </c>
      <c r="F5657" t="s">
        <v>40</v>
      </c>
      <c r="G5657">
        <v>2035</v>
      </c>
      <c r="H5657" s="12">
        <v>4602</v>
      </c>
      <c r="I5657" t="s">
        <v>3183</v>
      </c>
      <c r="J5657" t="s">
        <v>394</v>
      </c>
      <c r="K5657" t="s">
        <v>11</v>
      </c>
      <c r="L5657" t="s">
        <v>3184</v>
      </c>
      <c r="M5657" t="s">
        <v>16</v>
      </c>
    </row>
    <row r="5658" spans="1:13">
      <c r="A5658" t="s">
        <v>851</v>
      </c>
      <c r="B5658" t="s">
        <v>687</v>
      </c>
      <c r="C5658" t="s">
        <v>687</v>
      </c>
      <c r="D5658" t="s">
        <v>3175</v>
      </c>
      <c r="E5658" t="s">
        <v>646</v>
      </c>
      <c r="F5658" t="s">
        <v>40</v>
      </c>
      <c r="G5658">
        <v>2040</v>
      </c>
      <c r="H5658" s="12">
        <v>2585</v>
      </c>
      <c r="I5658" t="s">
        <v>3183</v>
      </c>
      <c r="J5658" t="s">
        <v>394</v>
      </c>
      <c r="K5658" t="s">
        <v>11</v>
      </c>
      <c r="L5658" t="s">
        <v>3184</v>
      </c>
      <c r="M5658" t="s">
        <v>16</v>
      </c>
    </row>
    <row r="5659" spans="1:13">
      <c r="A5659" t="s">
        <v>851</v>
      </c>
      <c r="B5659" t="s">
        <v>687</v>
      </c>
      <c r="C5659" t="s">
        <v>687</v>
      </c>
      <c r="D5659" t="s">
        <v>3175</v>
      </c>
      <c r="E5659" t="s">
        <v>646</v>
      </c>
      <c r="F5659" t="s">
        <v>40</v>
      </c>
      <c r="G5659">
        <v>2045</v>
      </c>
      <c r="H5659" s="12">
        <v>1436</v>
      </c>
      <c r="I5659" t="s">
        <v>3183</v>
      </c>
      <c r="J5659" t="s">
        <v>394</v>
      </c>
      <c r="K5659" t="s">
        <v>11</v>
      </c>
      <c r="L5659" t="s">
        <v>3184</v>
      </c>
      <c r="M5659" t="s">
        <v>16</v>
      </c>
    </row>
    <row r="5660" spans="1:13">
      <c r="A5660" t="s">
        <v>851</v>
      </c>
      <c r="B5660" t="s">
        <v>687</v>
      </c>
      <c r="C5660" t="s">
        <v>687</v>
      </c>
      <c r="D5660" t="s">
        <v>3175</v>
      </c>
      <c r="E5660" t="s">
        <v>646</v>
      </c>
      <c r="F5660" t="s">
        <v>40</v>
      </c>
      <c r="G5660">
        <v>2050</v>
      </c>
      <c r="H5660" s="12">
        <v>795</v>
      </c>
      <c r="I5660" t="s">
        <v>3183</v>
      </c>
      <c r="J5660" t="s">
        <v>394</v>
      </c>
      <c r="K5660" t="s">
        <v>11</v>
      </c>
      <c r="L5660" t="s">
        <v>3184</v>
      </c>
      <c r="M5660" t="s">
        <v>16</v>
      </c>
    </row>
    <row r="5661" spans="1:13">
      <c r="A5661" t="s">
        <v>851</v>
      </c>
      <c r="B5661" t="s">
        <v>686</v>
      </c>
      <c r="C5661" t="s">
        <v>686</v>
      </c>
      <c r="D5661" t="s">
        <v>3175</v>
      </c>
      <c r="E5661" t="s">
        <v>646</v>
      </c>
      <c r="F5661" t="s">
        <v>40</v>
      </c>
      <c r="G5661">
        <v>2010</v>
      </c>
      <c r="H5661" s="12">
        <v>111</v>
      </c>
      <c r="I5661" t="s">
        <v>3183</v>
      </c>
      <c r="J5661" t="s">
        <v>6</v>
      </c>
      <c r="K5661" t="s">
        <v>11</v>
      </c>
      <c r="L5661" t="s">
        <v>3184</v>
      </c>
      <c r="M5661" t="s">
        <v>659</v>
      </c>
    </row>
    <row r="5662" spans="1:13">
      <c r="A5662" t="s">
        <v>851</v>
      </c>
      <c r="B5662" t="s">
        <v>686</v>
      </c>
      <c r="C5662" t="s">
        <v>686</v>
      </c>
      <c r="D5662" t="s">
        <v>3175</v>
      </c>
      <c r="E5662" t="s">
        <v>646</v>
      </c>
      <c r="F5662" t="s">
        <v>40</v>
      </c>
      <c r="G5662">
        <v>2015</v>
      </c>
      <c r="H5662" s="12">
        <v>127</v>
      </c>
      <c r="I5662" t="s">
        <v>3183</v>
      </c>
      <c r="J5662" t="s">
        <v>6</v>
      </c>
      <c r="K5662" t="s">
        <v>11</v>
      </c>
      <c r="L5662" t="s">
        <v>3184</v>
      </c>
      <c r="M5662" t="s">
        <v>659</v>
      </c>
    </row>
    <row r="5663" spans="1:13">
      <c r="A5663" t="s">
        <v>851</v>
      </c>
      <c r="B5663" t="s">
        <v>686</v>
      </c>
      <c r="C5663" t="s">
        <v>686</v>
      </c>
      <c r="D5663" t="s">
        <v>3175</v>
      </c>
      <c r="E5663" t="s">
        <v>646</v>
      </c>
      <c r="F5663" t="s">
        <v>40</v>
      </c>
      <c r="G5663">
        <v>2020</v>
      </c>
      <c r="H5663" s="12">
        <v>132</v>
      </c>
      <c r="I5663" t="s">
        <v>3183</v>
      </c>
      <c r="J5663" t="s">
        <v>6</v>
      </c>
      <c r="K5663" t="s">
        <v>11</v>
      </c>
      <c r="L5663" t="s">
        <v>3184</v>
      </c>
      <c r="M5663" t="s">
        <v>659</v>
      </c>
    </row>
    <row r="5664" spans="1:13">
      <c r="A5664" t="s">
        <v>851</v>
      </c>
      <c r="B5664" t="s">
        <v>686</v>
      </c>
      <c r="C5664" t="s">
        <v>686</v>
      </c>
      <c r="D5664" t="s">
        <v>3175</v>
      </c>
      <c r="E5664" t="s">
        <v>646</v>
      </c>
      <c r="F5664" t="s">
        <v>40</v>
      </c>
      <c r="G5664">
        <v>2030</v>
      </c>
      <c r="H5664" s="12">
        <v>107</v>
      </c>
      <c r="I5664" t="s">
        <v>3183</v>
      </c>
      <c r="J5664" t="s">
        <v>6</v>
      </c>
      <c r="K5664" t="s">
        <v>11</v>
      </c>
      <c r="L5664" t="s">
        <v>3184</v>
      </c>
      <c r="M5664" t="s">
        <v>659</v>
      </c>
    </row>
    <row r="5665" spans="1:13">
      <c r="A5665" t="s">
        <v>851</v>
      </c>
      <c r="B5665" t="s">
        <v>686</v>
      </c>
      <c r="C5665" t="s">
        <v>686</v>
      </c>
      <c r="D5665" t="s">
        <v>3175</v>
      </c>
      <c r="E5665" t="s">
        <v>646</v>
      </c>
      <c r="F5665" t="s">
        <v>40</v>
      </c>
      <c r="G5665">
        <v>2035</v>
      </c>
      <c r="H5665" s="12">
        <v>88</v>
      </c>
      <c r="I5665" t="s">
        <v>3183</v>
      </c>
      <c r="J5665" t="s">
        <v>6</v>
      </c>
      <c r="K5665" t="s">
        <v>11</v>
      </c>
      <c r="L5665" t="s">
        <v>3184</v>
      </c>
      <c r="M5665" t="s">
        <v>659</v>
      </c>
    </row>
    <row r="5666" spans="1:13">
      <c r="A5666" t="s">
        <v>851</v>
      </c>
      <c r="B5666" t="s">
        <v>686</v>
      </c>
      <c r="C5666" t="s">
        <v>686</v>
      </c>
      <c r="D5666" t="s">
        <v>3175</v>
      </c>
      <c r="E5666" t="s">
        <v>646</v>
      </c>
      <c r="F5666" t="s">
        <v>40</v>
      </c>
      <c r="G5666">
        <v>2040</v>
      </c>
      <c r="H5666" s="12">
        <v>73</v>
      </c>
      <c r="I5666" t="s">
        <v>3183</v>
      </c>
      <c r="J5666" t="s">
        <v>6</v>
      </c>
      <c r="K5666" t="s">
        <v>11</v>
      </c>
      <c r="L5666" t="s">
        <v>3184</v>
      </c>
      <c r="M5666" t="s">
        <v>659</v>
      </c>
    </row>
    <row r="5667" spans="1:13">
      <c r="A5667" t="s">
        <v>851</v>
      </c>
      <c r="B5667" t="s">
        <v>686</v>
      </c>
      <c r="C5667" t="s">
        <v>686</v>
      </c>
      <c r="D5667" t="s">
        <v>3175</v>
      </c>
      <c r="E5667" t="s">
        <v>646</v>
      </c>
      <c r="F5667" t="s">
        <v>40</v>
      </c>
      <c r="G5667">
        <v>2045</v>
      </c>
      <c r="H5667" s="12">
        <v>59</v>
      </c>
      <c r="I5667" t="s">
        <v>3183</v>
      </c>
      <c r="J5667" t="s">
        <v>6</v>
      </c>
      <c r="K5667" t="s">
        <v>11</v>
      </c>
      <c r="L5667" t="s">
        <v>3184</v>
      </c>
      <c r="M5667" t="s">
        <v>659</v>
      </c>
    </row>
    <row r="5668" spans="1:13">
      <c r="A5668" t="s">
        <v>851</v>
      </c>
      <c r="B5668" t="s">
        <v>686</v>
      </c>
      <c r="C5668" t="s">
        <v>686</v>
      </c>
      <c r="D5668" t="s">
        <v>3175</v>
      </c>
      <c r="E5668" t="s">
        <v>646</v>
      </c>
      <c r="F5668" t="s">
        <v>40</v>
      </c>
      <c r="G5668">
        <v>2050</v>
      </c>
      <c r="H5668" s="12">
        <v>45</v>
      </c>
      <c r="I5668" t="s">
        <v>3183</v>
      </c>
      <c r="J5668" t="s">
        <v>6</v>
      </c>
      <c r="K5668" t="s">
        <v>11</v>
      </c>
      <c r="L5668" t="s">
        <v>3184</v>
      </c>
      <c r="M5668" t="s">
        <v>659</v>
      </c>
    </row>
    <row r="5669" spans="1:13">
      <c r="A5669" t="s">
        <v>851</v>
      </c>
      <c r="B5669" t="s">
        <v>687</v>
      </c>
      <c r="C5669" t="s">
        <v>687</v>
      </c>
      <c r="D5669" t="s">
        <v>3175</v>
      </c>
      <c r="E5669" t="s">
        <v>646</v>
      </c>
      <c r="F5669" t="s">
        <v>40</v>
      </c>
      <c r="G5669">
        <v>2030</v>
      </c>
      <c r="H5669" s="12">
        <v>69</v>
      </c>
      <c r="I5669" t="s">
        <v>3183</v>
      </c>
      <c r="J5669" t="s">
        <v>6</v>
      </c>
      <c r="K5669" t="s">
        <v>11</v>
      </c>
      <c r="L5669" t="s">
        <v>3184</v>
      </c>
      <c r="M5669" t="s">
        <v>659</v>
      </c>
    </row>
    <row r="5670" spans="1:13">
      <c r="A5670" t="s">
        <v>851</v>
      </c>
      <c r="B5670" t="s">
        <v>687</v>
      </c>
      <c r="C5670" t="s">
        <v>687</v>
      </c>
      <c r="D5670" t="s">
        <v>3175</v>
      </c>
      <c r="E5670" t="s">
        <v>646</v>
      </c>
      <c r="F5670" t="s">
        <v>40</v>
      </c>
      <c r="G5670">
        <v>2035</v>
      </c>
      <c r="H5670" s="12">
        <v>42</v>
      </c>
      <c r="I5670" t="s">
        <v>3183</v>
      </c>
      <c r="J5670" t="s">
        <v>6</v>
      </c>
      <c r="K5670" t="s">
        <v>11</v>
      </c>
      <c r="L5670" t="s">
        <v>3184</v>
      </c>
      <c r="M5670" t="s">
        <v>659</v>
      </c>
    </row>
    <row r="5671" spans="1:13">
      <c r="A5671" t="s">
        <v>851</v>
      </c>
      <c r="B5671" t="s">
        <v>687</v>
      </c>
      <c r="C5671" t="s">
        <v>687</v>
      </c>
      <c r="D5671" t="s">
        <v>3175</v>
      </c>
      <c r="E5671" t="s">
        <v>646</v>
      </c>
      <c r="F5671" t="s">
        <v>40</v>
      </c>
      <c r="G5671">
        <v>2040</v>
      </c>
      <c r="H5671" s="12">
        <v>21</v>
      </c>
      <c r="I5671" t="s">
        <v>3183</v>
      </c>
      <c r="J5671" t="s">
        <v>6</v>
      </c>
      <c r="K5671" t="s">
        <v>11</v>
      </c>
      <c r="L5671" t="s">
        <v>3184</v>
      </c>
      <c r="M5671" t="s">
        <v>659</v>
      </c>
    </row>
    <row r="5672" spans="1:13">
      <c r="A5672" t="s">
        <v>851</v>
      </c>
      <c r="B5672" t="s">
        <v>687</v>
      </c>
      <c r="C5672" t="s">
        <v>687</v>
      </c>
      <c r="D5672" t="s">
        <v>3175</v>
      </c>
      <c r="E5672" t="s">
        <v>646</v>
      </c>
      <c r="F5672" t="s">
        <v>40</v>
      </c>
      <c r="G5672">
        <v>2045</v>
      </c>
      <c r="H5672" s="12">
        <v>9</v>
      </c>
      <c r="I5672" t="s">
        <v>3183</v>
      </c>
      <c r="J5672" t="s">
        <v>6</v>
      </c>
      <c r="K5672" t="s">
        <v>11</v>
      </c>
      <c r="L5672" t="s">
        <v>3184</v>
      </c>
      <c r="M5672" t="s">
        <v>659</v>
      </c>
    </row>
    <row r="5673" spans="1:13">
      <c r="A5673" t="s">
        <v>851</v>
      </c>
      <c r="B5673" t="s">
        <v>687</v>
      </c>
      <c r="C5673" t="s">
        <v>687</v>
      </c>
      <c r="D5673" t="s">
        <v>3175</v>
      </c>
      <c r="E5673" t="s">
        <v>646</v>
      </c>
      <c r="F5673" t="s">
        <v>40</v>
      </c>
      <c r="G5673">
        <v>2050</v>
      </c>
      <c r="H5673" s="12">
        <v>4</v>
      </c>
      <c r="I5673" t="s">
        <v>3183</v>
      </c>
      <c r="J5673" t="s">
        <v>6</v>
      </c>
      <c r="K5673" t="s">
        <v>11</v>
      </c>
      <c r="L5673" t="s">
        <v>3184</v>
      </c>
      <c r="M5673" t="s">
        <v>659</v>
      </c>
    </row>
    <row r="5674" spans="1:13">
      <c r="A5674" t="s">
        <v>851</v>
      </c>
      <c r="B5674" t="s">
        <v>686</v>
      </c>
      <c r="C5674" t="s">
        <v>686</v>
      </c>
      <c r="D5674" t="s">
        <v>3175</v>
      </c>
      <c r="E5674" t="s">
        <v>646</v>
      </c>
      <c r="F5674" t="s">
        <v>40</v>
      </c>
      <c r="G5674">
        <v>2045</v>
      </c>
      <c r="H5674" s="12">
        <v>2926</v>
      </c>
      <c r="I5674" t="s">
        <v>3183</v>
      </c>
      <c r="J5674" t="s">
        <v>6</v>
      </c>
      <c r="K5674" t="s">
        <v>658</v>
      </c>
      <c r="L5674" t="s">
        <v>3184</v>
      </c>
      <c r="M5674" t="s">
        <v>659</v>
      </c>
    </row>
    <row r="5675" spans="1:13">
      <c r="A5675" t="s">
        <v>851</v>
      </c>
      <c r="B5675" t="s">
        <v>686</v>
      </c>
      <c r="C5675" t="s">
        <v>686</v>
      </c>
      <c r="D5675" t="s">
        <v>3175</v>
      </c>
      <c r="E5675" t="s">
        <v>646</v>
      </c>
      <c r="F5675" t="s">
        <v>40</v>
      </c>
      <c r="G5675">
        <v>2010</v>
      </c>
      <c r="H5675" s="12">
        <v>3343</v>
      </c>
      <c r="I5675" t="s">
        <v>3183</v>
      </c>
      <c r="J5675" t="s">
        <v>344</v>
      </c>
      <c r="K5675" t="s">
        <v>9</v>
      </c>
      <c r="L5675" t="s">
        <v>3184</v>
      </c>
      <c r="M5675" t="s">
        <v>10</v>
      </c>
    </row>
    <row r="5676" spans="1:13">
      <c r="A5676" t="s">
        <v>851</v>
      </c>
      <c r="B5676" t="s">
        <v>686</v>
      </c>
      <c r="C5676" t="s">
        <v>686</v>
      </c>
      <c r="D5676" t="s">
        <v>3175</v>
      </c>
      <c r="E5676" t="s">
        <v>646</v>
      </c>
      <c r="F5676" t="s">
        <v>40</v>
      </c>
      <c r="G5676">
        <v>2015</v>
      </c>
      <c r="H5676" s="12">
        <v>3304</v>
      </c>
      <c r="I5676" t="s">
        <v>3183</v>
      </c>
      <c r="J5676" t="s">
        <v>344</v>
      </c>
      <c r="K5676" t="s">
        <v>9</v>
      </c>
      <c r="L5676" t="s">
        <v>3184</v>
      </c>
      <c r="M5676" t="s">
        <v>10</v>
      </c>
    </row>
    <row r="5677" spans="1:13">
      <c r="A5677" t="s">
        <v>851</v>
      </c>
      <c r="B5677" t="s">
        <v>686</v>
      </c>
      <c r="C5677" t="s">
        <v>686</v>
      </c>
      <c r="D5677" t="s">
        <v>3175</v>
      </c>
      <c r="E5677" t="s">
        <v>646</v>
      </c>
      <c r="F5677" t="s">
        <v>40</v>
      </c>
      <c r="G5677">
        <v>2020</v>
      </c>
      <c r="H5677" s="12">
        <v>3199</v>
      </c>
      <c r="I5677" t="s">
        <v>3183</v>
      </c>
      <c r="J5677" t="s">
        <v>344</v>
      </c>
      <c r="K5677" t="s">
        <v>9</v>
      </c>
      <c r="L5677" t="s">
        <v>3184</v>
      </c>
      <c r="M5677" t="s">
        <v>10</v>
      </c>
    </row>
    <row r="5678" spans="1:13">
      <c r="A5678" t="s">
        <v>851</v>
      </c>
      <c r="B5678" t="s">
        <v>686</v>
      </c>
      <c r="C5678" t="s">
        <v>686</v>
      </c>
      <c r="D5678" t="s">
        <v>3175</v>
      </c>
      <c r="E5678" t="s">
        <v>646</v>
      </c>
      <c r="F5678" t="s">
        <v>40</v>
      </c>
      <c r="G5678">
        <v>2030</v>
      </c>
      <c r="H5678" s="12">
        <v>3594</v>
      </c>
      <c r="I5678" t="s">
        <v>3183</v>
      </c>
      <c r="J5678" t="s">
        <v>344</v>
      </c>
      <c r="K5678" t="s">
        <v>9</v>
      </c>
      <c r="L5678" t="s">
        <v>3184</v>
      </c>
      <c r="M5678" t="s">
        <v>10</v>
      </c>
    </row>
    <row r="5679" spans="1:13">
      <c r="A5679" t="s">
        <v>851</v>
      </c>
      <c r="B5679" t="s">
        <v>686</v>
      </c>
      <c r="C5679" t="s">
        <v>686</v>
      </c>
      <c r="D5679" t="s">
        <v>3175</v>
      </c>
      <c r="E5679" t="s">
        <v>646</v>
      </c>
      <c r="F5679" t="s">
        <v>40</v>
      </c>
      <c r="G5679">
        <v>2035</v>
      </c>
      <c r="H5679" s="12">
        <v>3594</v>
      </c>
      <c r="I5679" t="s">
        <v>3183</v>
      </c>
      <c r="J5679" t="s">
        <v>344</v>
      </c>
      <c r="K5679" t="s">
        <v>9</v>
      </c>
      <c r="L5679" t="s">
        <v>3184</v>
      </c>
      <c r="M5679" t="s">
        <v>10</v>
      </c>
    </row>
    <row r="5680" spans="1:13">
      <c r="A5680" t="s">
        <v>851</v>
      </c>
      <c r="B5680" t="s">
        <v>686</v>
      </c>
      <c r="C5680" t="s">
        <v>686</v>
      </c>
      <c r="D5680" t="s">
        <v>3175</v>
      </c>
      <c r="E5680" t="s">
        <v>646</v>
      </c>
      <c r="F5680" t="s">
        <v>40</v>
      </c>
      <c r="G5680">
        <v>2040</v>
      </c>
      <c r="H5680" s="12">
        <v>3586</v>
      </c>
      <c r="I5680" t="s">
        <v>3183</v>
      </c>
      <c r="J5680" t="s">
        <v>344</v>
      </c>
      <c r="K5680" t="s">
        <v>9</v>
      </c>
      <c r="L5680" t="s">
        <v>3184</v>
      </c>
      <c r="M5680" t="s">
        <v>10</v>
      </c>
    </row>
    <row r="5681" spans="1:13">
      <c r="A5681" t="s">
        <v>851</v>
      </c>
      <c r="B5681" t="s">
        <v>686</v>
      </c>
      <c r="C5681" t="s">
        <v>686</v>
      </c>
      <c r="D5681" t="s">
        <v>3175</v>
      </c>
      <c r="E5681" t="s">
        <v>646</v>
      </c>
      <c r="F5681" t="s">
        <v>40</v>
      </c>
      <c r="G5681">
        <v>2045</v>
      </c>
      <c r="H5681" s="12">
        <v>3572</v>
      </c>
      <c r="I5681" t="s">
        <v>3183</v>
      </c>
      <c r="J5681" t="s">
        <v>344</v>
      </c>
      <c r="K5681" t="s">
        <v>9</v>
      </c>
      <c r="L5681" t="s">
        <v>3184</v>
      </c>
      <c r="M5681" t="s">
        <v>10</v>
      </c>
    </row>
    <row r="5682" spans="1:13">
      <c r="A5682" t="s">
        <v>851</v>
      </c>
      <c r="B5682" t="s">
        <v>686</v>
      </c>
      <c r="C5682" t="s">
        <v>686</v>
      </c>
      <c r="D5682" t="s">
        <v>3175</v>
      </c>
      <c r="E5682" t="s">
        <v>646</v>
      </c>
      <c r="F5682" t="s">
        <v>40</v>
      </c>
      <c r="G5682">
        <v>2050</v>
      </c>
      <c r="H5682" s="12">
        <v>3554</v>
      </c>
      <c r="I5682" t="s">
        <v>3183</v>
      </c>
      <c r="J5682" t="s">
        <v>344</v>
      </c>
      <c r="K5682" t="s">
        <v>9</v>
      </c>
      <c r="L5682" t="s">
        <v>3184</v>
      </c>
      <c r="M5682" t="s">
        <v>10</v>
      </c>
    </row>
    <row r="5683" spans="1:13">
      <c r="A5683" t="s">
        <v>851</v>
      </c>
      <c r="B5683" t="s">
        <v>687</v>
      </c>
      <c r="C5683" t="s">
        <v>687</v>
      </c>
      <c r="D5683" t="s">
        <v>3175</v>
      </c>
      <c r="E5683" t="s">
        <v>646</v>
      </c>
      <c r="F5683" t="s">
        <v>40</v>
      </c>
      <c r="G5683">
        <v>2030</v>
      </c>
      <c r="H5683" s="12">
        <v>4248</v>
      </c>
      <c r="I5683" t="s">
        <v>3183</v>
      </c>
      <c r="J5683" t="s">
        <v>344</v>
      </c>
      <c r="K5683" t="s">
        <v>9</v>
      </c>
      <c r="L5683" t="s">
        <v>3184</v>
      </c>
      <c r="M5683" t="s">
        <v>10</v>
      </c>
    </row>
    <row r="5684" spans="1:13">
      <c r="A5684" t="s">
        <v>851</v>
      </c>
      <c r="B5684" t="s">
        <v>687</v>
      </c>
      <c r="C5684" t="s">
        <v>687</v>
      </c>
      <c r="D5684" t="s">
        <v>3175</v>
      </c>
      <c r="E5684" t="s">
        <v>646</v>
      </c>
      <c r="F5684" t="s">
        <v>40</v>
      </c>
      <c r="G5684">
        <v>2035</v>
      </c>
      <c r="H5684" s="12">
        <v>4517</v>
      </c>
      <c r="I5684" t="s">
        <v>3183</v>
      </c>
      <c r="J5684" t="s">
        <v>344</v>
      </c>
      <c r="K5684" t="s">
        <v>9</v>
      </c>
      <c r="L5684" t="s">
        <v>3184</v>
      </c>
      <c r="M5684" t="s">
        <v>10</v>
      </c>
    </row>
    <row r="5685" spans="1:13">
      <c r="A5685" t="s">
        <v>851</v>
      </c>
      <c r="B5685" t="s">
        <v>687</v>
      </c>
      <c r="C5685" t="s">
        <v>687</v>
      </c>
      <c r="D5685" t="s">
        <v>3175</v>
      </c>
      <c r="E5685" t="s">
        <v>646</v>
      </c>
      <c r="F5685" t="s">
        <v>40</v>
      </c>
      <c r="G5685">
        <v>2040</v>
      </c>
      <c r="H5685" s="12">
        <v>4726</v>
      </c>
      <c r="I5685" t="s">
        <v>3183</v>
      </c>
      <c r="J5685" t="s">
        <v>344</v>
      </c>
      <c r="K5685" t="s">
        <v>9</v>
      </c>
      <c r="L5685" t="s">
        <v>3184</v>
      </c>
      <c r="M5685" t="s">
        <v>10</v>
      </c>
    </row>
    <row r="5686" spans="1:13">
      <c r="A5686" t="s">
        <v>851</v>
      </c>
      <c r="B5686" t="s">
        <v>687</v>
      </c>
      <c r="C5686" t="s">
        <v>687</v>
      </c>
      <c r="D5686" t="s">
        <v>3175</v>
      </c>
      <c r="E5686" t="s">
        <v>646</v>
      </c>
      <c r="F5686" t="s">
        <v>40</v>
      </c>
      <c r="G5686">
        <v>2045</v>
      </c>
      <c r="H5686" s="12">
        <v>4901</v>
      </c>
      <c r="I5686" t="s">
        <v>3183</v>
      </c>
      <c r="J5686" t="s">
        <v>344</v>
      </c>
      <c r="K5686" t="s">
        <v>9</v>
      </c>
      <c r="L5686" t="s">
        <v>3184</v>
      </c>
      <c r="M5686" t="s">
        <v>10</v>
      </c>
    </row>
    <row r="5687" spans="1:13">
      <c r="A5687" t="s">
        <v>851</v>
      </c>
      <c r="B5687" t="s">
        <v>687</v>
      </c>
      <c r="C5687" t="s">
        <v>687</v>
      </c>
      <c r="D5687" t="s">
        <v>3175</v>
      </c>
      <c r="E5687" t="s">
        <v>646</v>
      </c>
      <c r="F5687" t="s">
        <v>40</v>
      </c>
      <c r="G5687">
        <v>2050</v>
      </c>
      <c r="H5687" s="12">
        <v>5099</v>
      </c>
      <c r="I5687" t="s">
        <v>3183</v>
      </c>
      <c r="J5687" t="s">
        <v>344</v>
      </c>
      <c r="K5687" t="s">
        <v>9</v>
      </c>
      <c r="L5687" t="s">
        <v>3184</v>
      </c>
      <c r="M5687" t="s">
        <v>10</v>
      </c>
    </row>
    <row r="5688" spans="1:13">
      <c r="A5688" t="s">
        <v>851</v>
      </c>
      <c r="B5688" t="s">
        <v>686</v>
      </c>
      <c r="C5688" t="s">
        <v>686</v>
      </c>
      <c r="D5688" t="s">
        <v>3175</v>
      </c>
      <c r="E5688" t="s">
        <v>646</v>
      </c>
      <c r="F5688" t="s">
        <v>40</v>
      </c>
      <c r="G5688">
        <v>2010</v>
      </c>
      <c r="H5688" s="12">
        <v>3516</v>
      </c>
      <c r="I5688" t="s">
        <v>3183</v>
      </c>
      <c r="J5688" t="s">
        <v>6</v>
      </c>
      <c r="K5688" t="s">
        <v>9</v>
      </c>
      <c r="L5688" t="s">
        <v>3184</v>
      </c>
      <c r="M5688" t="s">
        <v>666</v>
      </c>
    </row>
    <row r="5689" spans="1:13">
      <c r="A5689" t="s">
        <v>851</v>
      </c>
      <c r="B5689" t="s">
        <v>686</v>
      </c>
      <c r="C5689" t="s">
        <v>686</v>
      </c>
      <c r="D5689" t="s">
        <v>3175</v>
      </c>
      <c r="E5689" t="s">
        <v>646</v>
      </c>
      <c r="F5689" t="s">
        <v>40</v>
      </c>
      <c r="G5689">
        <v>2015</v>
      </c>
      <c r="H5689" s="12">
        <v>3337</v>
      </c>
      <c r="I5689" t="s">
        <v>3183</v>
      </c>
      <c r="J5689" t="s">
        <v>6</v>
      </c>
      <c r="K5689" t="s">
        <v>9</v>
      </c>
      <c r="L5689" t="s">
        <v>3184</v>
      </c>
      <c r="M5689" t="s">
        <v>666</v>
      </c>
    </row>
    <row r="5690" spans="1:13">
      <c r="A5690" t="s">
        <v>851</v>
      </c>
      <c r="B5690" t="s">
        <v>686</v>
      </c>
      <c r="C5690" t="s">
        <v>686</v>
      </c>
      <c r="D5690" t="s">
        <v>3175</v>
      </c>
      <c r="E5690" t="s">
        <v>646</v>
      </c>
      <c r="F5690" t="s">
        <v>40</v>
      </c>
      <c r="G5690">
        <v>2020</v>
      </c>
      <c r="H5690" s="12">
        <v>3383</v>
      </c>
      <c r="I5690" t="s">
        <v>3183</v>
      </c>
      <c r="J5690" t="s">
        <v>6</v>
      </c>
      <c r="K5690" t="s">
        <v>9</v>
      </c>
      <c r="L5690" t="s">
        <v>3184</v>
      </c>
      <c r="M5690" t="s">
        <v>666</v>
      </c>
    </row>
    <row r="5691" spans="1:13">
      <c r="A5691" t="s">
        <v>851</v>
      </c>
      <c r="B5691" t="s">
        <v>687</v>
      </c>
      <c r="C5691" t="s">
        <v>687</v>
      </c>
      <c r="D5691" t="s">
        <v>3175</v>
      </c>
      <c r="E5691" t="s">
        <v>646</v>
      </c>
      <c r="F5691" t="s">
        <v>40</v>
      </c>
      <c r="G5691">
        <v>2045</v>
      </c>
      <c r="H5691" s="12">
        <v>313</v>
      </c>
      <c r="I5691" t="s">
        <v>3183</v>
      </c>
      <c r="J5691" t="s">
        <v>5</v>
      </c>
      <c r="K5691" t="s">
        <v>9</v>
      </c>
      <c r="L5691" t="s">
        <v>3184</v>
      </c>
      <c r="M5691" t="s">
        <v>665</v>
      </c>
    </row>
    <row r="5692" spans="1:13">
      <c r="A5692" t="s">
        <v>851</v>
      </c>
      <c r="B5692" t="s">
        <v>687</v>
      </c>
      <c r="C5692" t="s">
        <v>687</v>
      </c>
      <c r="D5692" t="s">
        <v>3175</v>
      </c>
      <c r="E5692" t="s">
        <v>646</v>
      </c>
      <c r="F5692" t="s">
        <v>40</v>
      </c>
      <c r="G5692">
        <v>2050</v>
      </c>
      <c r="H5692" s="12">
        <v>100</v>
      </c>
      <c r="I5692" t="s">
        <v>3183</v>
      </c>
      <c r="J5692" t="s">
        <v>5</v>
      </c>
      <c r="K5692" t="s">
        <v>9</v>
      </c>
      <c r="L5692" t="s">
        <v>3184</v>
      </c>
      <c r="M5692" t="s">
        <v>665</v>
      </c>
    </row>
    <row r="5693" spans="1:13">
      <c r="A5693" t="s">
        <v>851</v>
      </c>
      <c r="B5693" t="s">
        <v>686</v>
      </c>
      <c r="C5693" t="s">
        <v>686</v>
      </c>
      <c r="D5693" t="s">
        <v>3175</v>
      </c>
      <c r="E5693" t="s">
        <v>646</v>
      </c>
      <c r="F5693" t="s">
        <v>40</v>
      </c>
      <c r="G5693">
        <v>2010</v>
      </c>
      <c r="H5693" s="12">
        <v>202</v>
      </c>
      <c r="I5693" t="s">
        <v>3183</v>
      </c>
      <c r="J5693" t="s">
        <v>344</v>
      </c>
      <c r="K5693" t="s">
        <v>11</v>
      </c>
      <c r="L5693" t="s">
        <v>3184</v>
      </c>
      <c r="M5693" t="s">
        <v>10</v>
      </c>
    </row>
    <row r="5694" spans="1:13">
      <c r="A5694" t="s">
        <v>851</v>
      </c>
      <c r="B5694" t="s">
        <v>686</v>
      </c>
      <c r="C5694" t="s">
        <v>686</v>
      </c>
      <c r="D5694" t="s">
        <v>3175</v>
      </c>
      <c r="E5694" t="s">
        <v>646</v>
      </c>
      <c r="F5694" t="s">
        <v>40</v>
      </c>
      <c r="G5694">
        <v>2015</v>
      </c>
      <c r="H5694" s="12">
        <v>203</v>
      </c>
      <c r="I5694" t="s">
        <v>3183</v>
      </c>
      <c r="J5694" t="s">
        <v>344</v>
      </c>
      <c r="K5694" t="s">
        <v>11</v>
      </c>
      <c r="L5694" t="s">
        <v>3184</v>
      </c>
      <c r="M5694" t="s">
        <v>10</v>
      </c>
    </row>
    <row r="5695" spans="1:13">
      <c r="A5695" t="s">
        <v>851</v>
      </c>
      <c r="B5695" t="s">
        <v>686</v>
      </c>
      <c r="C5695" t="s">
        <v>686</v>
      </c>
      <c r="D5695" t="s">
        <v>3175</v>
      </c>
      <c r="E5695" t="s">
        <v>646</v>
      </c>
      <c r="F5695" t="s">
        <v>40</v>
      </c>
      <c r="G5695">
        <v>2020</v>
      </c>
      <c r="H5695" s="12">
        <v>193</v>
      </c>
      <c r="I5695" t="s">
        <v>3183</v>
      </c>
      <c r="J5695" t="s">
        <v>344</v>
      </c>
      <c r="K5695" t="s">
        <v>11</v>
      </c>
      <c r="L5695" t="s">
        <v>3184</v>
      </c>
      <c r="M5695" t="s">
        <v>10</v>
      </c>
    </row>
    <row r="5696" spans="1:13">
      <c r="A5696" t="s">
        <v>851</v>
      </c>
      <c r="B5696" t="s">
        <v>686</v>
      </c>
      <c r="C5696" t="s">
        <v>686</v>
      </c>
      <c r="D5696" t="s">
        <v>3175</v>
      </c>
      <c r="E5696" t="s">
        <v>646</v>
      </c>
      <c r="F5696" t="s">
        <v>40</v>
      </c>
      <c r="G5696">
        <v>2030</v>
      </c>
      <c r="H5696" s="12">
        <v>621</v>
      </c>
      <c r="I5696" t="s">
        <v>3183</v>
      </c>
      <c r="J5696" t="s">
        <v>344</v>
      </c>
      <c r="K5696" t="s">
        <v>11</v>
      </c>
      <c r="L5696" t="s">
        <v>3184</v>
      </c>
      <c r="M5696" t="s">
        <v>10</v>
      </c>
    </row>
    <row r="5697" spans="1:13">
      <c r="A5697" t="s">
        <v>851</v>
      </c>
      <c r="B5697" t="s">
        <v>686</v>
      </c>
      <c r="C5697" t="s">
        <v>686</v>
      </c>
      <c r="D5697" t="s">
        <v>3175</v>
      </c>
      <c r="E5697" t="s">
        <v>646</v>
      </c>
      <c r="F5697" t="s">
        <v>40</v>
      </c>
      <c r="G5697">
        <v>2035</v>
      </c>
      <c r="H5697" s="12">
        <v>927</v>
      </c>
      <c r="I5697" t="s">
        <v>3183</v>
      </c>
      <c r="J5697" t="s">
        <v>344</v>
      </c>
      <c r="K5697" t="s">
        <v>11</v>
      </c>
      <c r="L5697" t="s">
        <v>3184</v>
      </c>
      <c r="M5697" t="s">
        <v>10</v>
      </c>
    </row>
    <row r="5698" spans="1:13">
      <c r="A5698" t="s">
        <v>851</v>
      </c>
      <c r="B5698" t="s">
        <v>686</v>
      </c>
      <c r="C5698" t="s">
        <v>686</v>
      </c>
      <c r="D5698" t="s">
        <v>3175</v>
      </c>
      <c r="E5698" t="s">
        <v>646</v>
      </c>
      <c r="F5698" t="s">
        <v>40</v>
      </c>
      <c r="G5698">
        <v>2040</v>
      </c>
      <c r="H5698" s="12">
        <v>1219</v>
      </c>
      <c r="I5698" t="s">
        <v>3183</v>
      </c>
      <c r="J5698" t="s">
        <v>344</v>
      </c>
      <c r="K5698" t="s">
        <v>11</v>
      </c>
      <c r="L5698" t="s">
        <v>3184</v>
      </c>
      <c r="M5698" t="s">
        <v>10</v>
      </c>
    </row>
    <row r="5699" spans="1:13">
      <c r="A5699" t="s">
        <v>851</v>
      </c>
      <c r="B5699" t="s">
        <v>686</v>
      </c>
      <c r="C5699" t="s">
        <v>686</v>
      </c>
      <c r="D5699" t="s">
        <v>3175</v>
      </c>
      <c r="E5699" t="s">
        <v>646</v>
      </c>
      <c r="F5699" t="s">
        <v>40</v>
      </c>
      <c r="G5699">
        <v>2045</v>
      </c>
      <c r="H5699" s="12">
        <v>1486</v>
      </c>
      <c r="I5699" t="s">
        <v>3183</v>
      </c>
      <c r="J5699" t="s">
        <v>344</v>
      </c>
      <c r="K5699" t="s">
        <v>11</v>
      </c>
      <c r="L5699" t="s">
        <v>3184</v>
      </c>
      <c r="M5699" t="s">
        <v>10</v>
      </c>
    </row>
    <row r="5700" spans="1:13">
      <c r="A5700" t="s">
        <v>851</v>
      </c>
      <c r="B5700" t="s">
        <v>686</v>
      </c>
      <c r="C5700" t="s">
        <v>686</v>
      </c>
      <c r="D5700" t="s">
        <v>3175</v>
      </c>
      <c r="E5700" t="s">
        <v>646</v>
      </c>
      <c r="F5700" t="s">
        <v>40</v>
      </c>
      <c r="G5700">
        <v>2050</v>
      </c>
      <c r="H5700" s="12">
        <v>1719</v>
      </c>
      <c r="I5700" t="s">
        <v>3183</v>
      </c>
      <c r="J5700" t="s">
        <v>344</v>
      </c>
      <c r="K5700" t="s">
        <v>11</v>
      </c>
      <c r="L5700" t="s">
        <v>3184</v>
      </c>
      <c r="M5700" t="s">
        <v>10</v>
      </c>
    </row>
    <row r="5701" spans="1:13">
      <c r="A5701" t="s">
        <v>851</v>
      </c>
      <c r="B5701" t="s">
        <v>686</v>
      </c>
      <c r="C5701" t="s">
        <v>686</v>
      </c>
      <c r="D5701" t="s">
        <v>3175</v>
      </c>
      <c r="E5701" t="s">
        <v>573</v>
      </c>
      <c r="F5701" t="s">
        <v>40</v>
      </c>
      <c r="G5701">
        <v>2010</v>
      </c>
      <c r="H5701" s="12">
        <v>9322</v>
      </c>
      <c r="I5701" t="s">
        <v>3183</v>
      </c>
      <c r="J5701" t="s">
        <v>15</v>
      </c>
      <c r="K5701" t="s">
        <v>147</v>
      </c>
      <c r="L5701" t="s">
        <v>3184</v>
      </c>
      <c r="M5701" t="s">
        <v>15</v>
      </c>
    </row>
    <row r="5702" spans="1:13">
      <c r="A5702" t="s">
        <v>851</v>
      </c>
      <c r="B5702" t="s">
        <v>686</v>
      </c>
      <c r="C5702" t="s">
        <v>686</v>
      </c>
      <c r="D5702" t="s">
        <v>3175</v>
      </c>
      <c r="E5702" t="s">
        <v>573</v>
      </c>
      <c r="F5702" t="s">
        <v>40</v>
      </c>
      <c r="G5702">
        <v>2015</v>
      </c>
      <c r="H5702" s="12">
        <v>8582</v>
      </c>
      <c r="I5702" t="s">
        <v>3183</v>
      </c>
      <c r="J5702" t="s">
        <v>15</v>
      </c>
      <c r="K5702" t="s">
        <v>147</v>
      </c>
      <c r="L5702" t="s">
        <v>3184</v>
      </c>
      <c r="M5702" t="s">
        <v>15</v>
      </c>
    </row>
    <row r="5703" spans="1:13">
      <c r="A5703" t="s">
        <v>851</v>
      </c>
      <c r="B5703" t="s">
        <v>686</v>
      </c>
      <c r="C5703" t="s">
        <v>686</v>
      </c>
      <c r="D5703" t="s">
        <v>3175</v>
      </c>
      <c r="E5703" t="s">
        <v>573</v>
      </c>
      <c r="F5703" t="s">
        <v>40</v>
      </c>
      <c r="G5703">
        <v>2020</v>
      </c>
      <c r="H5703" s="12">
        <v>7460</v>
      </c>
      <c r="I5703" t="s">
        <v>3183</v>
      </c>
      <c r="J5703" t="s">
        <v>15</v>
      </c>
      <c r="K5703" t="s">
        <v>147</v>
      </c>
      <c r="L5703" t="s">
        <v>3184</v>
      </c>
      <c r="M5703" t="s">
        <v>15</v>
      </c>
    </row>
    <row r="5704" spans="1:13">
      <c r="A5704" t="s">
        <v>851</v>
      </c>
      <c r="B5704" t="s">
        <v>686</v>
      </c>
      <c r="C5704" t="s">
        <v>686</v>
      </c>
      <c r="D5704" t="s">
        <v>3175</v>
      </c>
      <c r="E5704" t="s">
        <v>573</v>
      </c>
      <c r="F5704" t="s">
        <v>40</v>
      </c>
      <c r="G5704">
        <v>2030</v>
      </c>
      <c r="H5704" s="12">
        <v>7156</v>
      </c>
      <c r="I5704" t="s">
        <v>3183</v>
      </c>
      <c r="J5704" t="s">
        <v>15</v>
      </c>
      <c r="K5704" t="s">
        <v>147</v>
      </c>
      <c r="L5704" t="s">
        <v>3184</v>
      </c>
      <c r="M5704" t="s">
        <v>15</v>
      </c>
    </row>
    <row r="5705" spans="1:13">
      <c r="A5705" t="s">
        <v>851</v>
      </c>
      <c r="B5705" t="s">
        <v>686</v>
      </c>
      <c r="C5705" t="s">
        <v>686</v>
      </c>
      <c r="D5705" t="s">
        <v>3175</v>
      </c>
      <c r="E5705" t="s">
        <v>573</v>
      </c>
      <c r="F5705" t="s">
        <v>40</v>
      </c>
      <c r="G5705">
        <v>2035</v>
      </c>
      <c r="H5705" s="12">
        <v>6091</v>
      </c>
      <c r="I5705" t="s">
        <v>3183</v>
      </c>
      <c r="J5705" t="s">
        <v>15</v>
      </c>
      <c r="K5705" t="s">
        <v>147</v>
      </c>
      <c r="L5705" t="s">
        <v>3184</v>
      </c>
      <c r="M5705" t="s">
        <v>15</v>
      </c>
    </row>
    <row r="5706" spans="1:13">
      <c r="A5706" t="s">
        <v>851</v>
      </c>
      <c r="B5706" t="s">
        <v>686</v>
      </c>
      <c r="C5706" t="s">
        <v>686</v>
      </c>
      <c r="D5706" t="s">
        <v>3175</v>
      </c>
      <c r="E5706" t="s">
        <v>573</v>
      </c>
      <c r="F5706" t="s">
        <v>40</v>
      </c>
      <c r="G5706">
        <v>2040</v>
      </c>
      <c r="H5706" s="12">
        <v>5895</v>
      </c>
      <c r="I5706" t="s">
        <v>3183</v>
      </c>
      <c r="J5706" t="s">
        <v>15</v>
      </c>
      <c r="K5706" t="s">
        <v>147</v>
      </c>
      <c r="L5706" t="s">
        <v>3184</v>
      </c>
      <c r="M5706" t="s">
        <v>15</v>
      </c>
    </row>
    <row r="5707" spans="1:13">
      <c r="A5707" t="s">
        <v>851</v>
      </c>
      <c r="B5707" t="s">
        <v>686</v>
      </c>
      <c r="C5707" t="s">
        <v>686</v>
      </c>
      <c r="D5707" t="s">
        <v>3175</v>
      </c>
      <c r="E5707" t="s">
        <v>573</v>
      </c>
      <c r="F5707" t="s">
        <v>40</v>
      </c>
      <c r="G5707">
        <v>2045</v>
      </c>
      <c r="H5707" s="12">
        <v>5681</v>
      </c>
      <c r="I5707" t="s">
        <v>3183</v>
      </c>
      <c r="J5707" t="s">
        <v>15</v>
      </c>
      <c r="K5707" t="s">
        <v>147</v>
      </c>
      <c r="L5707" t="s">
        <v>3184</v>
      </c>
      <c r="M5707" t="s">
        <v>15</v>
      </c>
    </row>
    <row r="5708" spans="1:13">
      <c r="A5708" t="s">
        <v>851</v>
      </c>
      <c r="B5708" t="s">
        <v>686</v>
      </c>
      <c r="C5708" t="s">
        <v>686</v>
      </c>
      <c r="D5708" t="s">
        <v>3175</v>
      </c>
      <c r="E5708" t="s">
        <v>573</v>
      </c>
      <c r="F5708" t="s">
        <v>40</v>
      </c>
      <c r="G5708">
        <v>2050</v>
      </c>
      <c r="H5708" s="12">
        <v>6214</v>
      </c>
      <c r="I5708" t="s">
        <v>3183</v>
      </c>
      <c r="J5708" t="s">
        <v>15</v>
      </c>
      <c r="K5708" t="s">
        <v>147</v>
      </c>
      <c r="L5708" t="s">
        <v>3184</v>
      </c>
      <c r="M5708" t="s">
        <v>15</v>
      </c>
    </row>
    <row r="5709" spans="1:13">
      <c r="A5709" t="s">
        <v>851</v>
      </c>
      <c r="B5709" t="s">
        <v>687</v>
      </c>
      <c r="C5709" t="s">
        <v>687</v>
      </c>
      <c r="D5709" t="s">
        <v>3175</v>
      </c>
      <c r="E5709" t="s">
        <v>573</v>
      </c>
      <c r="F5709" t="s">
        <v>40</v>
      </c>
      <c r="G5709">
        <v>2030</v>
      </c>
      <c r="H5709" s="12">
        <v>7689</v>
      </c>
      <c r="I5709" t="s">
        <v>3183</v>
      </c>
      <c r="J5709" t="s">
        <v>15</v>
      </c>
      <c r="K5709" t="s">
        <v>147</v>
      </c>
      <c r="L5709" t="s">
        <v>3184</v>
      </c>
      <c r="M5709" t="s">
        <v>15</v>
      </c>
    </row>
    <row r="5710" spans="1:13">
      <c r="A5710" t="s">
        <v>851</v>
      </c>
      <c r="B5710" t="s">
        <v>687</v>
      </c>
      <c r="C5710" t="s">
        <v>687</v>
      </c>
      <c r="D5710" t="s">
        <v>3175</v>
      </c>
      <c r="E5710" t="s">
        <v>573</v>
      </c>
      <c r="F5710" t="s">
        <v>40</v>
      </c>
      <c r="G5710">
        <v>2035</v>
      </c>
      <c r="H5710" s="12">
        <v>6828</v>
      </c>
      <c r="I5710" t="s">
        <v>3183</v>
      </c>
      <c r="J5710" t="s">
        <v>15</v>
      </c>
      <c r="K5710" t="s">
        <v>147</v>
      </c>
      <c r="L5710" t="s">
        <v>3184</v>
      </c>
      <c r="M5710" t="s">
        <v>15</v>
      </c>
    </row>
    <row r="5711" spans="1:13">
      <c r="A5711" t="s">
        <v>851</v>
      </c>
      <c r="B5711" t="s">
        <v>687</v>
      </c>
      <c r="C5711" t="s">
        <v>687</v>
      </c>
      <c r="D5711" t="s">
        <v>3175</v>
      </c>
      <c r="E5711" t="s">
        <v>573</v>
      </c>
      <c r="F5711" t="s">
        <v>40</v>
      </c>
      <c r="G5711">
        <v>2040</v>
      </c>
      <c r="H5711" s="12">
        <v>6941</v>
      </c>
      <c r="I5711" t="s">
        <v>3183</v>
      </c>
      <c r="J5711" t="s">
        <v>15</v>
      </c>
      <c r="K5711" t="s">
        <v>147</v>
      </c>
      <c r="L5711" t="s">
        <v>3184</v>
      </c>
      <c r="M5711" t="s">
        <v>15</v>
      </c>
    </row>
    <row r="5712" spans="1:13">
      <c r="A5712" t="s">
        <v>851</v>
      </c>
      <c r="B5712" t="s">
        <v>687</v>
      </c>
      <c r="C5712" t="s">
        <v>687</v>
      </c>
      <c r="D5712" t="s">
        <v>3175</v>
      </c>
      <c r="E5712" t="s">
        <v>573</v>
      </c>
      <c r="F5712" t="s">
        <v>40</v>
      </c>
      <c r="G5712">
        <v>2045</v>
      </c>
      <c r="H5712" s="12">
        <v>6685</v>
      </c>
      <c r="I5712" t="s">
        <v>3183</v>
      </c>
      <c r="J5712" t="s">
        <v>15</v>
      </c>
      <c r="K5712" t="s">
        <v>147</v>
      </c>
      <c r="L5712" t="s">
        <v>3184</v>
      </c>
      <c r="M5712" t="s">
        <v>15</v>
      </c>
    </row>
    <row r="5713" spans="1:13">
      <c r="A5713" t="s">
        <v>851</v>
      </c>
      <c r="B5713" t="s">
        <v>687</v>
      </c>
      <c r="C5713" t="s">
        <v>687</v>
      </c>
      <c r="D5713" t="s">
        <v>3175</v>
      </c>
      <c r="E5713" t="s">
        <v>573</v>
      </c>
      <c r="F5713" t="s">
        <v>40</v>
      </c>
      <c r="G5713">
        <v>2050</v>
      </c>
      <c r="H5713" s="12">
        <v>6578</v>
      </c>
      <c r="I5713" t="s">
        <v>3183</v>
      </c>
      <c r="J5713" t="s">
        <v>15</v>
      </c>
      <c r="K5713" t="s">
        <v>147</v>
      </c>
      <c r="L5713" t="s">
        <v>3184</v>
      </c>
      <c r="M5713" t="s">
        <v>15</v>
      </c>
    </row>
    <row r="5714" spans="1:13">
      <c r="A5714" t="s">
        <v>851</v>
      </c>
      <c r="B5714" t="s">
        <v>686</v>
      </c>
      <c r="C5714" t="s">
        <v>686</v>
      </c>
      <c r="D5714" t="s">
        <v>3175</v>
      </c>
      <c r="E5714" t="s">
        <v>573</v>
      </c>
      <c r="F5714" t="s">
        <v>40</v>
      </c>
      <c r="G5714">
        <v>2010</v>
      </c>
      <c r="H5714" s="12">
        <v>5000</v>
      </c>
      <c r="I5714" t="s">
        <v>3183</v>
      </c>
      <c r="J5714" t="s">
        <v>6</v>
      </c>
      <c r="K5714" t="s">
        <v>147</v>
      </c>
      <c r="L5714" t="s">
        <v>3184</v>
      </c>
      <c r="M5714" t="s">
        <v>659</v>
      </c>
    </row>
    <row r="5715" spans="1:13">
      <c r="A5715" t="s">
        <v>851</v>
      </c>
      <c r="B5715" t="s">
        <v>686</v>
      </c>
      <c r="C5715" t="s">
        <v>686</v>
      </c>
      <c r="D5715" t="s">
        <v>3175</v>
      </c>
      <c r="E5715" t="s">
        <v>573</v>
      </c>
      <c r="F5715" t="s">
        <v>40</v>
      </c>
      <c r="G5715">
        <v>2015</v>
      </c>
      <c r="H5715" s="12">
        <v>3296</v>
      </c>
      <c r="I5715" t="s">
        <v>3183</v>
      </c>
      <c r="J5715" t="s">
        <v>6</v>
      </c>
      <c r="K5715" t="s">
        <v>147</v>
      </c>
      <c r="L5715" t="s">
        <v>3184</v>
      </c>
      <c r="M5715" t="s">
        <v>659</v>
      </c>
    </row>
    <row r="5716" spans="1:13">
      <c r="A5716" t="s">
        <v>851</v>
      </c>
      <c r="B5716" t="s">
        <v>686</v>
      </c>
      <c r="C5716" t="s">
        <v>686</v>
      </c>
      <c r="D5716" t="s">
        <v>3175</v>
      </c>
      <c r="E5716" t="s">
        <v>573</v>
      </c>
      <c r="F5716" t="s">
        <v>40</v>
      </c>
      <c r="G5716">
        <v>2020</v>
      </c>
      <c r="H5716" s="12">
        <v>4260</v>
      </c>
      <c r="I5716" t="s">
        <v>3183</v>
      </c>
      <c r="J5716" t="s">
        <v>6</v>
      </c>
      <c r="K5716" t="s">
        <v>147</v>
      </c>
      <c r="L5716" t="s">
        <v>3184</v>
      </c>
      <c r="M5716" t="s">
        <v>659</v>
      </c>
    </row>
    <row r="5717" spans="1:13">
      <c r="A5717" t="s">
        <v>851</v>
      </c>
      <c r="B5717" t="s">
        <v>686</v>
      </c>
      <c r="C5717" t="s">
        <v>686</v>
      </c>
      <c r="D5717" t="s">
        <v>3175</v>
      </c>
      <c r="E5717" t="s">
        <v>573</v>
      </c>
      <c r="F5717" t="s">
        <v>40</v>
      </c>
      <c r="G5717">
        <v>2030</v>
      </c>
      <c r="H5717" s="12">
        <v>3349</v>
      </c>
      <c r="I5717" t="s">
        <v>3183</v>
      </c>
      <c r="J5717" t="s">
        <v>6</v>
      </c>
      <c r="K5717" t="s">
        <v>147</v>
      </c>
      <c r="L5717" t="s">
        <v>3184</v>
      </c>
      <c r="M5717" t="s">
        <v>659</v>
      </c>
    </row>
    <row r="5718" spans="1:13">
      <c r="A5718" t="s">
        <v>851</v>
      </c>
      <c r="B5718" t="s">
        <v>686</v>
      </c>
      <c r="C5718" t="s">
        <v>686</v>
      </c>
      <c r="D5718" t="s">
        <v>3175</v>
      </c>
      <c r="E5718" t="s">
        <v>573</v>
      </c>
      <c r="F5718" t="s">
        <v>40</v>
      </c>
      <c r="G5718">
        <v>2035</v>
      </c>
      <c r="H5718" s="12">
        <v>3063</v>
      </c>
      <c r="I5718" t="s">
        <v>3183</v>
      </c>
      <c r="J5718" t="s">
        <v>6</v>
      </c>
      <c r="K5718" t="s">
        <v>147</v>
      </c>
      <c r="L5718" t="s">
        <v>3184</v>
      </c>
      <c r="M5718" t="s">
        <v>659</v>
      </c>
    </row>
    <row r="5719" spans="1:13">
      <c r="A5719" t="s">
        <v>851</v>
      </c>
      <c r="B5719" t="s">
        <v>686</v>
      </c>
      <c r="C5719" t="s">
        <v>686</v>
      </c>
      <c r="D5719" t="s">
        <v>3175</v>
      </c>
      <c r="E5719" t="s">
        <v>573</v>
      </c>
      <c r="F5719" t="s">
        <v>40</v>
      </c>
      <c r="G5719">
        <v>2040</v>
      </c>
      <c r="H5719" s="12">
        <v>2778</v>
      </c>
      <c r="I5719" t="s">
        <v>3183</v>
      </c>
      <c r="J5719" t="s">
        <v>6</v>
      </c>
      <c r="K5719" t="s">
        <v>147</v>
      </c>
      <c r="L5719" t="s">
        <v>3184</v>
      </c>
      <c r="M5719" t="s">
        <v>659</v>
      </c>
    </row>
    <row r="5720" spans="1:13">
      <c r="A5720" t="s">
        <v>851</v>
      </c>
      <c r="B5720" t="s">
        <v>686</v>
      </c>
      <c r="C5720" t="s">
        <v>686</v>
      </c>
      <c r="D5720" t="s">
        <v>3175</v>
      </c>
      <c r="E5720" t="s">
        <v>573</v>
      </c>
      <c r="F5720" t="s">
        <v>40</v>
      </c>
      <c r="G5720">
        <v>2045</v>
      </c>
      <c r="H5720" s="12">
        <v>2438</v>
      </c>
      <c r="I5720" t="s">
        <v>3183</v>
      </c>
      <c r="J5720" t="s">
        <v>6</v>
      </c>
      <c r="K5720" t="s">
        <v>147</v>
      </c>
      <c r="L5720" t="s">
        <v>3184</v>
      </c>
      <c r="M5720" t="s">
        <v>659</v>
      </c>
    </row>
    <row r="5721" spans="1:13">
      <c r="A5721" t="s">
        <v>851</v>
      </c>
      <c r="B5721" t="s">
        <v>686</v>
      </c>
      <c r="C5721" t="s">
        <v>686</v>
      </c>
      <c r="D5721" t="s">
        <v>3175</v>
      </c>
      <c r="E5721" t="s">
        <v>573</v>
      </c>
      <c r="F5721" t="s">
        <v>40</v>
      </c>
      <c r="G5721">
        <v>2050</v>
      </c>
      <c r="H5721" s="12">
        <v>2070</v>
      </c>
      <c r="I5721" t="s">
        <v>3183</v>
      </c>
      <c r="J5721" t="s">
        <v>6</v>
      </c>
      <c r="K5721" t="s">
        <v>147</v>
      </c>
      <c r="L5721" t="s">
        <v>3184</v>
      </c>
      <c r="M5721" t="s">
        <v>659</v>
      </c>
    </row>
    <row r="5722" spans="1:13">
      <c r="A5722" t="s">
        <v>851</v>
      </c>
      <c r="B5722" t="s">
        <v>687</v>
      </c>
      <c r="C5722" t="s">
        <v>687</v>
      </c>
      <c r="D5722" t="s">
        <v>3175</v>
      </c>
      <c r="E5722" t="s">
        <v>573</v>
      </c>
      <c r="F5722" t="s">
        <v>40</v>
      </c>
      <c r="G5722">
        <v>2030</v>
      </c>
      <c r="H5722" s="12">
        <v>2377</v>
      </c>
      <c r="I5722" t="s">
        <v>3183</v>
      </c>
      <c r="J5722" t="s">
        <v>6</v>
      </c>
      <c r="K5722" t="s">
        <v>147</v>
      </c>
      <c r="L5722" t="s">
        <v>3184</v>
      </c>
      <c r="M5722" t="s">
        <v>659</v>
      </c>
    </row>
    <row r="5723" spans="1:13">
      <c r="A5723" t="s">
        <v>851</v>
      </c>
      <c r="B5723" t="s">
        <v>687</v>
      </c>
      <c r="C5723" t="s">
        <v>687</v>
      </c>
      <c r="D5723" t="s">
        <v>3175</v>
      </c>
      <c r="E5723" t="s">
        <v>573</v>
      </c>
      <c r="F5723" t="s">
        <v>40</v>
      </c>
      <c r="G5723">
        <v>2035</v>
      </c>
      <c r="H5723" s="12">
        <v>1024</v>
      </c>
      <c r="I5723" t="s">
        <v>3183</v>
      </c>
      <c r="J5723" t="s">
        <v>6</v>
      </c>
      <c r="K5723" t="s">
        <v>147</v>
      </c>
      <c r="L5723" t="s">
        <v>3184</v>
      </c>
      <c r="M5723" t="s">
        <v>659</v>
      </c>
    </row>
    <row r="5724" spans="1:13">
      <c r="A5724" t="s">
        <v>851</v>
      </c>
      <c r="B5724" t="s">
        <v>687</v>
      </c>
      <c r="C5724" t="s">
        <v>687</v>
      </c>
      <c r="D5724" t="s">
        <v>3175</v>
      </c>
      <c r="E5724" t="s">
        <v>573</v>
      </c>
      <c r="F5724" t="s">
        <v>40</v>
      </c>
      <c r="G5724">
        <v>2040</v>
      </c>
      <c r="H5724" s="12">
        <v>275</v>
      </c>
      <c r="I5724" t="s">
        <v>3183</v>
      </c>
      <c r="J5724" t="s">
        <v>6</v>
      </c>
      <c r="K5724" t="s">
        <v>147</v>
      </c>
      <c r="L5724" t="s">
        <v>3184</v>
      </c>
      <c r="M5724" t="s">
        <v>659</v>
      </c>
    </row>
    <row r="5725" spans="1:13">
      <c r="A5725" t="s">
        <v>851</v>
      </c>
      <c r="B5725" t="s">
        <v>687</v>
      </c>
      <c r="C5725" t="s">
        <v>687</v>
      </c>
      <c r="D5725" t="s">
        <v>3175</v>
      </c>
      <c r="E5725" t="s">
        <v>573</v>
      </c>
      <c r="F5725" t="s">
        <v>40</v>
      </c>
      <c r="G5725">
        <v>2045</v>
      </c>
      <c r="H5725" s="12">
        <v>266</v>
      </c>
      <c r="I5725" t="s">
        <v>3183</v>
      </c>
      <c r="J5725" t="s">
        <v>6</v>
      </c>
      <c r="K5725" t="s">
        <v>147</v>
      </c>
      <c r="L5725" t="s">
        <v>3184</v>
      </c>
      <c r="M5725" t="s">
        <v>659</v>
      </c>
    </row>
    <row r="5726" spans="1:13">
      <c r="A5726" t="s">
        <v>851</v>
      </c>
      <c r="B5726" t="s">
        <v>687</v>
      </c>
      <c r="C5726" t="s">
        <v>687</v>
      </c>
      <c r="D5726" t="s">
        <v>3175</v>
      </c>
      <c r="E5726" t="s">
        <v>573</v>
      </c>
      <c r="F5726" t="s">
        <v>40</v>
      </c>
      <c r="G5726">
        <v>2050</v>
      </c>
      <c r="H5726" s="12">
        <v>217</v>
      </c>
      <c r="I5726" t="s">
        <v>3183</v>
      </c>
      <c r="J5726" t="s">
        <v>6</v>
      </c>
      <c r="K5726" t="s">
        <v>147</v>
      </c>
      <c r="L5726" t="s">
        <v>3184</v>
      </c>
      <c r="M5726" t="s">
        <v>659</v>
      </c>
    </row>
    <row r="5727" spans="1:13">
      <c r="A5727" t="s">
        <v>851</v>
      </c>
      <c r="B5727" t="s">
        <v>686</v>
      </c>
      <c r="C5727" t="s">
        <v>686</v>
      </c>
      <c r="D5727" t="s">
        <v>3175</v>
      </c>
      <c r="E5727" t="s">
        <v>573</v>
      </c>
      <c r="F5727" t="s">
        <v>40</v>
      </c>
      <c r="G5727">
        <v>2010</v>
      </c>
      <c r="H5727" s="12">
        <v>977</v>
      </c>
      <c r="I5727" t="s">
        <v>3183</v>
      </c>
      <c r="J5727" t="s">
        <v>394</v>
      </c>
      <c r="K5727" t="s">
        <v>147</v>
      </c>
      <c r="L5727" t="s">
        <v>3184</v>
      </c>
      <c r="M5727" t="s">
        <v>16</v>
      </c>
    </row>
    <row r="5728" spans="1:13">
      <c r="A5728" t="s">
        <v>851</v>
      </c>
      <c r="B5728" t="s">
        <v>686</v>
      </c>
      <c r="C5728" t="s">
        <v>686</v>
      </c>
      <c r="D5728" t="s">
        <v>3175</v>
      </c>
      <c r="E5728" t="s">
        <v>573</v>
      </c>
      <c r="F5728" t="s">
        <v>40</v>
      </c>
      <c r="G5728">
        <v>2015</v>
      </c>
      <c r="H5728" s="12">
        <v>708</v>
      </c>
      <c r="I5728" t="s">
        <v>3183</v>
      </c>
      <c r="J5728" t="s">
        <v>394</v>
      </c>
      <c r="K5728" t="s">
        <v>147</v>
      </c>
      <c r="L5728" t="s">
        <v>3184</v>
      </c>
      <c r="M5728" t="s">
        <v>16</v>
      </c>
    </row>
    <row r="5729" spans="1:13">
      <c r="A5729" t="s">
        <v>851</v>
      </c>
      <c r="B5729" t="s">
        <v>686</v>
      </c>
      <c r="C5729" t="s">
        <v>686</v>
      </c>
      <c r="D5729" t="s">
        <v>3175</v>
      </c>
      <c r="E5729" t="s">
        <v>573</v>
      </c>
      <c r="F5729" t="s">
        <v>40</v>
      </c>
      <c r="G5729">
        <v>2020</v>
      </c>
      <c r="H5729" s="12">
        <v>518</v>
      </c>
      <c r="I5729" t="s">
        <v>3183</v>
      </c>
      <c r="J5729" t="s">
        <v>394</v>
      </c>
      <c r="K5729" t="s">
        <v>147</v>
      </c>
      <c r="L5729" t="s">
        <v>3184</v>
      </c>
      <c r="M5729" t="s">
        <v>16</v>
      </c>
    </row>
    <row r="5730" spans="1:13">
      <c r="A5730" t="s">
        <v>851</v>
      </c>
      <c r="B5730" t="s">
        <v>686</v>
      </c>
      <c r="C5730" t="s">
        <v>686</v>
      </c>
      <c r="D5730" t="s">
        <v>3175</v>
      </c>
      <c r="E5730" t="s">
        <v>573</v>
      </c>
      <c r="F5730" t="s">
        <v>40</v>
      </c>
      <c r="G5730">
        <v>2030</v>
      </c>
      <c r="H5730" s="12">
        <v>245</v>
      </c>
      <c r="I5730" t="s">
        <v>3183</v>
      </c>
      <c r="J5730" t="s">
        <v>394</v>
      </c>
      <c r="K5730" t="s">
        <v>147</v>
      </c>
      <c r="L5730" t="s">
        <v>3184</v>
      </c>
      <c r="M5730" t="s">
        <v>16</v>
      </c>
    </row>
    <row r="5731" spans="1:13">
      <c r="A5731" t="s">
        <v>851</v>
      </c>
      <c r="B5731" t="s">
        <v>686</v>
      </c>
      <c r="C5731" t="s">
        <v>686</v>
      </c>
      <c r="D5731" t="s">
        <v>3175</v>
      </c>
      <c r="E5731" t="s">
        <v>573</v>
      </c>
      <c r="F5731" t="s">
        <v>40</v>
      </c>
      <c r="G5731">
        <v>2035</v>
      </c>
      <c r="H5731" s="12">
        <v>192</v>
      </c>
      <c r="I5731" t="s">
        <v>3183</v>
      </c>
      <c r="J5731" t="s">
        <v>394</v>
      </c>
      <c r="K5731" t="s">
        <v>147</v>
      </c>
      <c r="L5731" t="s">
        <v>3184</v>
      </c>
      <c r="M5731" t="s">
        <v>16</v>
      </c>
    </row>
    <row r="5732" spans="1:13">
      <c r="A5732" t="s">
        <v>851</v>
      </c>
      <c r="B5732" t="s">
        <v>686</v>
      </c>
      <c r="C5732" t="s">
        <v>686</v>
      </c>
      <c r="D5732" t="s">
        <v>3175</v>
      </c>
      <c r="E5732" t="s">
        <v>573</v>
      </c>
      <c r="F5732" t="s">
        <v>40</v>
      </c>
      <c r="G5732">
        <v>2040</v>
      </c>
      <c r="H5732" s="12">
        <v>119</v>
      </c>
      <c r="I5732" t="s">
        <v>3183</v>
      </c>
      <c r="J5732" t="s">
        <v>394</v>
      </c>
      <c r="K5732" t="s">
        <v>147</v>
      </c>
      <c r="L5732" t="s">
        <v>3184</v>
      </c>
      <c r="M5732" t="s">
        <v>16</v>
      </c>
    </row>
    <row r="5733" spans="1:13">
      <c r="A5733" t="s">
        <v>851</v>
      </c>
      <c r="B5733" t="s">
        <v>686</v>
      </c>
      <c r="C5733" t="s">
        <v>686</v>
      </c>
      <c r="D5733" t="s">
        <v>3175</v>
      </c>
      <c r="E5733" t="s">
        <v>573</v>
      </c>
      <c r="F5733" t="s">
        <v>40</v>
      </c>
      <c r="G5733">
        <v>2045</v>
      </c>
      <c r="H5733" s="12">
        <v>78</v>
      </c>
      <c r="I5733" t="s">
        <v>3183</v>
      </c>
      <c r="J5733" t="s">
        <v>394</v>
      </c>
      <c r="K5733" t="s">
        <v>147</v>
      </c>
      <c r="L5733" t="s">
        <v>3184</v>
      </c>
      <c r="M5733" t="s">
        <v>16</v>
      </c>
    </row>
    <row r="5734" spans="1:13">
      <c r="A5734" t="s">
        <v>851</v>
      </c>
      <c r="B5734" t="s">
        <v>686</v>
      </c>
      <c r="C5734" t="s">
        <v>686</v>
      </c>
      <c r="D5734" t="s">
        <v>3175</v>
      </c>
      <c r="E5734" t="s">
        <v>573</v>
      </c>
      <c r="F5734" t="s">
        <v>40</v>
      </c>
      <c r="G5734">
        <v>2050</v>
      </c>
      <c r="H5734" s="12">
        <v>56</v>
      </c>
      <c r="I5734" t="s">
        <v>3183</v>
      </c>
      <c r="J5734" t="s">
        <v>394</v>
      </c>
      <c r="K5734" t="s">
        <v>147</v>
      </c>
      <c r="L5734" t="s">
        <v>3184</v>
      </c>
      <c r="M5734" t="s">
        <v>16</v>
      </c>
    </row>
    <row r="5735" spans="1:13">
      <c r="A5735" t="s">
        <v>851</v>
      </c>
      <c r="B5735" t="s">
        <v>687</v>
      </c>
      <c r="C5735" t="s">
        <v>687</v>
      </c>
      <c r="D5735" t="s">
        <v>3175</v>
      </c>
      <c r="E5735" t="s">
        <v>573</v>
      </c>
      <c r="F5735" t="s">
        <v>40</v>
      </c>
      <c r="G5735">
        <v>2030</v>
      </c>
      <c r="H5735" s="12">
        <v>172</v>
      </c>
      <c r="I5735" t="s">
        <v>3183</v>
      </c>
      <c r="J5735" t="s">
        <v>394</v>
      </c>
      <c r="K5735" t="s">
        <v>147</v>
      </c>
      <c r="L5735" t="s">
        <v>3184</v>
      </c>
      <c r="M5735" t="s">
        <v>16</v>
      </c>
    </row>
    <row r="5736" spans="1:13">
      <c r="A5736" t="s">
        <v>851</v>
      </c>
      <c r="B5736" t="s">
        <v>687</v>
      </c>
      <c r="C5736" t="s">
        <v>687</v>
      </c>
      <c r="D5736" t="s">
        <v>3175</v>
      </c>
      <c r="E5736" t="s">
        <v>573</v>
      </c>
      <c r="F5736" t="s">
        <v>40</v>
      </c>
      <c r="G5736">
        <v>2035</v>
      </c>
      <c r="H5736" s="12">
        <v>19</v>
      </c>
      <c r="I5736" t="s">
        <v>3183</v>
      </c>
      <c r="J5736" t="s">
        <v>394</v>
      </c>
      <c r="K5736" t="s">
        <v>147</v>
      </c>
      <c r="L5736" t="s">
        <v>3184</v>
      </c>
      <c r="M5736" t="s">
        <v>16</v>
      </c>
    </row>
    <row r="5737" spans="1:13">
      <c r="A5737" t="s">
        <v>851</v>
      </c>
      <c r="B5737" t="s">
        <v>687</v>
      </c>
      <c r="C5737" t="s">
        <v>687</v>
      </c>
      <c r="D5737" t="s">
        <v>3175</v>
      </c>
      <c r="E5737" t="s">
        <v>573</v>
      </c>
      <c r="F5737" t="s">
        <v>40</v>
      </c>
      <c r="G5737">
        <v>2040</v>
      </c>
      <c r="H5737" s="12">
        <v>3</v>
      </c>
      <c r="I5737" t="s">
        <v>3183</v>
      </c>
      <c r="J5737" t="s">
        <v>394</v>
      </c>
      <c r="K5737" t="s">
        <v>147</v>
      </c>
      <c r="L5737" t="s">
        <v>3184</v>
      </c>
      <c r="M5737" t="s">
        <v>16</v>
      </c>
    </row>
    <row r="5738" spans="1:13">
      <c r="A5738" t="s">
        <v>851</v>
      </c>
      <c r="B5738" t="s">
        <v>687</v>
      </c>
      <c r="C5738" t="s">
        <v>687</v>
      </c>
      <c r="D5738" t="s">
        <v>3175</v>
      </c>
      <c r="E5738" t="s">
        <v>573</v>
      </c>
      <c r="F5738" t="s">
        <v>40</v>
      </c>
      <c r="G5738">
        <v>2045</v>
      </c>
      <c r="H5738" s="12">
        <v>0</v>
      </c>
      <c r="I5738" t="s">
        <v>3183</v>
      </c>
      <c r="J5738" t="s">
        <v>394</v>
      </c>
      <c r="K5738" t="s">
        <v>147</v>
      </c>
      <c r="L5738" t="s">
        <v>3184</v>
      </c>
      <c r="M5738" t="s">
        <v>16</v>
      </c>
    </row>
    <row r="5739" spans="1:13">
      <c r="A5739" t="s">
        <v>851</v>
      </c>
      <c r="B5739" t="s">
        <v>687</v>
      </c>
      <c r="C5739" t="s">
        <v>687</v>
      </c>
      <c r="D5739" t="s">
        <v>3175</v>
      </c>
      <c r="E5739" t="s">
        <v>573</v>
      </c>
      <c r="F5739" t="s">
        <v>40</v>
      </c>
      <c r="G5739">
        <v>2050</v>
      </c>
      <c r="H5739" s="12">
        <v>0</v>
      </c>
      <c r="I5739" t="s">
        <v>3183</v>
      </c>
      <c r="J5739" t="s">
        <v>394</v>
      </c>
      <c r="K5739" t="s">
        <v>147</v>
      </c>
      <c r="L5739" t="s">
        <v>3184</v>
      </c>
      <c r="M5739" t="s">
        <v>16</v>
      </c>
    </row>
    <row r="5740" spans="1:13">
      <c r="A5740" t="s">
        <v>851</v>
      </c>
      <c r="B5740" t="s">
        <v>686</v>
      </c>
      <c r="C5740" t="s">
        <v>686</v>
      </c>
      <c r="D5740" t="s">
        <v>3175</v>
      </c>
      <c r="E5740" t="s">
        <v>573</v>
      </c>
      <c r="F5740" t="s">
        <v>40</v>
      </c>
      <c r="G5740">
        <v>2010</v>
      </c>
      <c r="H5740" s="12">
        <v>7845</v>
      </c>
      <c r="I5740" t="s">
        <v>3183</v>
      </c>
      <c r="J5740" t="s">
        <v>5</v>
      </c>
      <c r="K5740" t="s">
        <v>147</v>
      </c>
      <c r="L5740" t="s">
        <v>3184</v>
      </c>
      <c r="M5740" t="s">
        <v>5</v>
      </c>
    </row>
    <row r="5741" spans="1:13">
      <c r="A5741" t="s">
        <v>851</v>
      </c>
      <c r="B5741" t="s">
        <v>686</v>
      </c>
      <c r="C5741" t="s">
        <v>686</v>
      </c>
      <c r="D5741" t="s">
        <v>3175</v>
      </c>
      <c r="E5741" t="s">
        <v>660</v>
      </c>
      <c r="F5741" t="s">
        <v>40</v>
      </c>
      <c r="G5741">
        <v>2035</v>
      </c>
      <c r="H5741" s="12">
        <v>8400</v>
      </c>
      <c r="I5741" t="s">
        <v>3183</v>
      </c>
      <c r="J5741" t="s">
        <v>41</v>
      </c>
      <c r="K5741" t="s">
        <v>657</v>
      </c>
      <c r="L5741" t="s">
        <v>3184</v>
      </c>
      <c r="M5741" t="s">
        <v>662</v>
      </c>
    </row>
    <row r="5742" spans="1:13">
      <c r="A5742" t="s">
        <v>851</v>
      </c>
      <c r="B5742" t="s">
        <v>686</v>
      </c>
      <c r="C5742" t="s">
        <v>686</v>
      </c>
      <c r="D5742" t="s">
        <v>3175</v>
      </c>
      <c r="E5742" t="s">
        <v>660</v>
      </c>
      <c r="F5742" t="s">
        <v>40</v>
      </c>
      <c r="G5742">
        <v>2040</v>
      </c>
      <c r="H5742" s="12">
        <v>8637</v>
      </c>
      <c r="I5742" t="s">
        <v>3183</v>
      </c>
      <c r="J5742" t="s">
        <v>41</v>
      </c>
      <c r="K5742" t="s">
        <v>657</v>
      </c>
      <c r="L5742" t="s">
        <v>3184</v>
      </c>
      <c r="M5742" t="s">
        <v>662</v>
      </c>
    </row>
    <row r="5743" spans="1:13">
      <c r="A5743" t="s">
        <v>851</v>
      </c>
      <c r="B5743" t="s">
        <v>686</v>
      </c>
      <c r="C5743" t="s">
        <v>686</v>
      </c>
      <c r="D5743" t="s">
        <v>3175</v>
      </c>
      <c r="E5743" t="s">
        <v>660</v>
      </c>
      <c r="F5743" t="s">
        <v>40</v>
      </c>
      <c r="G5743">
        <v>2045</v>
      </c>
      <c r="H5743" s="12">
        <v>8929</v>
      </c>
      <c r="I5743" t="s">
        <v>3183</v>
      </c>
      <c r="J5743" t="s">
        <v>41</v>
      </c>
      <c r="K5743" t="s">
        <v>657</v>
      </c>
      <c r="L5743" t="s">
        <v>3184</v>
      </c>
      <c r="M5743" t="s">
        <v>662</v>
      </c>
    </row>
    <row r="5744" spans="1:13">
      <c r="A5744" t="s">
        <v>851</v>
      </c>
      <c r="B5744" t="s">
        <v>686</v>
      </c>
      <c r="C5744" t="s">
        <v>686</v>
      </c>
      <c r="D5744" t="s">
        <v>3175</v>
      </c>
      <c r="E5744" t="s">
        <v>660</v>
      </c>
      <c r="F5744" t="s">
        <v>40</v>
      </c>
      <c r="G5744">
        <v>2050</v>
      </c>
      <c r="H5744" s="12">
        <v>9129</v>
      </c>
      <c r="I5744" t="s">
        <v>3183</v>
      </c>
      <c r="J5744" t="s">
        <v>41</v>
      </c>
      <c r="K5744" t="s">
        <v>657</v>
      </c>
      <c r="L5744" t="s">
        <v>3184</v>
      </c>
      <c r="M5744" t="s">
        <v>662</v>
      </c>
    </row>
    <row r="5745" spans="1:13">
      <c r="A5745" t="s">
        <v>851</v>
      </c>
      <c r="B5745" t="s">
        <v>687</v>
      </c>
      <c r="C5745" t="s">
        <v>687</v>
      </c>
      <c r="D5745" t="s">
        <v>3175</v>
      </c>
      <c r="E5745" t="s">
        <v>660</v>
      </c>
      <c r="F5745" t="s">
        <v>40</v>
      </c>
      <c r="G5745">
        <v>2030</v>
      </c>
      <c r="H5745" s="12">
        <v>9602</v>
      </c>
      <c r="I5745" t="s">
        <v>3183</v>
      </c>
      <c r="J5745" t="s">
        <v>41</v>
      </c>
      <c r="K5745" t="s">
        <v>657</v>
      </c>
      <c r="L5745" t="s">
        <v>3184</v>
      </c>
      <c r="M5745" t="s">
        <v>662</v>
      </c>
    </row>
    <row r="5746" spans="1:13">
      <c r="A5746" t="s">
        <v>851</v>
      </c>
      <c r="B5746" t="s">
        <v>687</v>
      </c>
      <c r="C5746" t="s">
        <v>687</v>
      </c>
      <c r="D5746" t="s">
        <v>3175</v>
      </c>
      <c r="E5746" t="s">
        <v>660</v>
      </c>
      <c r="F5746" t="s">
        <v>40</v>
      </c>
      <c r="G5746">
        <v>2035</v>
      </c>
      <c r="H5746" s="12">
        <v>10220</v>
      </c>
      <c r="I5746" t="s">
        <v>3183</v>
      </c>
      <c r="J5746" t="s">
        <v>41</v>
      </c>
      <c r="K5746" t="s">
        <v>657</v>
      </c>
      <c r="L5746" t="s">
        <v>3184</v>
      </c>
      <c r="M5746" t="s">
        <v>662</v>
      </c>
    </row>
    <row r="5747" spans="1:13">
      <c r="A5747" t="s">
        <v>851</v>
      </c>
      <c r="B5747" t="s">
        <v>687</v>
      </c>
      <c r="C5747" t="s">
        <v>687</v>
      </c>
      <c r="D5747" t="s">
        <v>3175</v>
      </c>
      <c r="E5747" t="s">
        <v>660</v>
      </c>
      <c r="F5747" t="s">
        <v>40</v>
      </c>
      <c r="G5747">
        <v>2040</v>
      </c>
      <c r="H5747" s="12">
        <v>10572</v>
      </c>
      <c r="I5747" t="s">
        <v>3183</v>
      </c>
      <c r="J5747" t="s">
        <v>41</v>
      </c>
      <c r="K5747" t="s">
        <v>657</v>
      </c>
      <c r="L5747" t="s">
        <v>3184</v>
      </c>
      <c r="M5747" t="s">
        <v>662</v>
      </c>
    </row>
    <row r="5748" spans="1:13">
      <c r="A5748" t="s">
        <v>851</v>
      </c>
      <c r="B5748" t="s">
        <v>687</v>
      </c>
      <c r="C5748" t="s">
        <v>687</v>
      </c>
      <c r="D5748" t="s">
        <v>3175</v>
      </c>
      <c r="E5748" t="s">
        <v>660</v>
      </c>
      <c r="F5748" t="s">
        <v>40</v>
      </c>
      <c r="G5748">
        <v>2045</v>
      </c>
      <c r="H5748" s="12">
        <v>10722</v>
      </c>
      <c r="I5748" t="s">
        <v>3183</v>
      </c>
      <c r="J5748" t="s">
        <v>41</v>
      </c>
      <c r="K5748" t="s">
        <v>657</v>
      </c>
      <c r="L5748" t="s">
        <v>3184</v>
      </c>
      <c r="M5748" t="s">
        <v>662</v>
      </c>
    </row>
    <row r="5749" spans="1:13">
      <c r="A5749" t="s">
        <v>851</v>
      </c>
      <c r="B5749" t="s">
        <v>687</v>
      </c>
      <c r="C5749" t="s">
        <v>687</v>
      </c>
      <c r="D5749" t="s">
        <v>3175</v>
      </c>
      <c r="E5749" t="s">
        <v>660</v>
      </c>
      <c r="F5749" t="s">
        <v>40</v>
      </c>
      <c r="G5749">
        <v>2050</v>
      </c>
      <c r="H5749" s="12">
        <v>10567</v>
      </c>
      <c r="I5749" t="s">
        <v>3183</v>
      </c>
      <c r="J5749" t="s">
        <v>41</v>
      </c>
      <c r="K5749" t="s">
        <v>657</v>
      </c>
      <c r="L5749" t="s">
        <v>3184</v>
      </c>
      <c r="M5749" t="s">
        <v>662</v>
      </c>
    </row>
    <row r="5750" spans="1:13">
      <c r="A5750" t="s">
        <v>851</v>
      </c>
      <c r="B5750" t="s">
        <v>686</v>
      </c>
      <c r="C5750" t="s">
        <v>686</v>
      </c>
      <c r="D5750" t="s">
        <v>3175</v>
      </c>
      <c r="E5750" t="s">
        <v>660</v>
      </c>
      <c r="F5750" t="s">
        <v>40</v>
      </c>
      <c r="G5750">
        <v>2010</v>
      </c>
      <c r="H5750" s="12">
        <v>0</v>
      </c>
      <c r="I5750" t="s">
        <v>3183</v>
      </c>
      <c r="J5750" t="s">
        <v>41</v>
      </c>
      <c r="K5750" t="s">
        <v>657</v>
      </c>
      <c r="L5750" t="s">
        <v>3184</v>
      </c>
      <c r="M5750" t="s">
        <v>661</v>
      </c>
    </row>
    <row r="5751" spans="1:13">
      <c r="A5751" t="s">
        <v>851</v>
      </c>
      <c r="B5751" t="s">
        <v>686</v>
      </c>
      <c r="C5751" t="s">
        <v>686</v>
      </c>
      <c r="D5751" t="s">
        <v>3175</v>
      </c>
      <c r="E5751" t="s">
        <v>660</v>
      </c>
      <c r="F5751" t="s">
        <v>40</v>
      </c>
      <c r="G5751">
        <v>2015</v>
      </c>
      <c r="H5751" s="12">
        <v>0</v>
      </c>
      <c r="I5751" t="s">
        <v>3183</v>
      </c>
      <c r="J5751" t="s">
        <v>41</v>
      </c>
      <c r="K5751" t="s">
        <v>657</v>
      </c>
      <c r="L5751" t="s">
        <v>3184</v>
      </c>
      <c r="M5751" t="s">
        <v>661</v>
      </c>
    </row>
    <row r="5752" spans="1:13">
      <c r="A5752" t="s">
        <v>851</v>
      </c>
      <c r="B5752" t="s">
        <v>686</v>
      </c>
      <c r="C5752" t="s">
        <v>686</v>
      </c>
      <c r="D5752" t="s">
        <v>3175</v>
      </c>
      <c r="E5752" t="s">
        <v>660</v>
      </c>
      <c r="F5752" t="s">
        <v>40</v>
      </c>
      <c r="G5752">
        <v>2020</v>
      </c>
      <c r="H5752" s="12">
        <v>0</v>
      </c>
      <c r="I5752" t="s">
        <v>3183</v>
      </c>
      <c r="J5752" t="s">
        <v>41</v>
      </c>
      <c r="K5752" t="s">
        <v>657</v>
      </c>
      <c r="L5752" t="s">
        <v>3184</v>
      </c>
      <c r="M5752" t="s">
        <v>661</v>
      </c>
    </row>
    <row r="5753" spans="1:13">
      <c r="A5753" t="s">
        <v>851</v>
      </c>
      <c r="B5753" t="s">
        <v>686</v>
      </c>
      <c r="C5753" t="s">
        <v>686</v>
      </c>
      <c r="D5753" t="s">
        <v>3175</v>
      </c>
      <c r="E5753" t="s">
        <v>660</v>
      </c>
      <c r="F5753" t="s">
        <v>40</v>
      </c>
      <c r="G5753">
        <v>2030</v>
      </c>
      <c r="H5753" s="12">
        <v>0</v>
      </c>
      <c r="I5753" t="s">
        <v>3183</v>
      </c>
      <c r="J5753" t="s">
        <v>41</v>
      </c>
      <c r="K5753" t="s">
        <v>657</v>
      </c>
      <c r="L5753" t="s">
        <v>3184</v>
      </c>
      <c r="M5753" t="s">
        <v>661</v>
      </c>
    </row>
    <row r="5754" spans="1:13">
      <c r="A5754" t="s">
        <v>851</v>
      </c>
      <c r="B5754" t="s">
        <v>686</v>
      </c>
      <c r="C5754" t="s">
        <v>686</v>
      </c>
      <c r="D5754" t="s">
        <v>3175</v>
      </c>
      <c r="E5754" t="s">
        <v>660</v>
      </c>
      <c r="F5754" t="s">
        <v>40</v>
      </c>
      <c r="G5754">
        <v>2035</v>
      </c>
      <c r="H5754" s="12">
        <v>0</v>
      </c>
      <c r="I5754" t="s">
        <v>3183</v>
      </c>
      <c r="J5754" t="s">
        <v>41</v>
      </c>
      <c r="K5754" t="s">
        <v>657</v>
      </c>
      <c r="L5754" t="s">
        <v>3184</v>
      </c>
      <c r="M5754" t="s">
        <v>661</v>
      </c>
    </row>
    <row r="5755" spans="1:13">
      <c r="A5755" t="s">
        <v>851</v>
      </c>
      <c r="B5755" t="s">
        <v>686</v>
      </c>
      <c r="C5755" t="s">
        <v>686</v>
      </c>
      <c r="D5755" t="s">
        <v>3175</v>
      </c>
      <c r="E5755" t="s">
        <v>660</v>
      </c>
      <c r="F5755" t="s">
        <v>40</v>
      </c>
      <c r="G5755">
        <v>2040</v>
      </c>
      <c r="H5755" s="12">
        <v>0</v>
      </c>
      <c r="I5755" t="s">
        <v>3183</v>
      </c>
      <c r="J5755" t="s">
        <v>41</v>
      </c>
      <c r="K5755" t="s">
        <v>657</v>
      </c>
      <c r="L5755" t="s">
        <v>3184</v>
      </c>
      <c r="M5755" t="s">
        <v>661</v>
      </c>
    </row>
    <row r="5756" spans="1:13">
      <c r="A5756" t="s">
        <v>851</v>
      </c>
      <c r="B5756" t="s">
        <v>686</v>
      </c>
      <c r="C5756" t="s">
        <v>686</v>
      </c>
      <c r="D5756" t="s">
        <v>3175</v>
      </c>
      <c r="E5756" t="s">
        <v>660</v>
      </c>
      <c r="F5756" t="s">
        <v>40</v>
      </c>
      <c r="G5756">
        <v>2045</v>
      </c>
      <c r="H5756" s="12">
        <v>0</v>
      </c>
      <c r="I5756" t="s">
        <v>3183</v>
      </c>
      <c r="J5756" t="s">
        <v>41</v>
      </c>
      <c r="K5756" t="s">
        <v>657</v>
      </c>
      <c r="L5756" t="s">
        <v>3184</v>
      </c>
      <c r="M5756" t="s">
        <v>661</v>
      </c>
    </row>
    <row r="5757" spans="1:13">
      <c r="A5757" t="s">
        <v>851</v>
      </c>
      <c r="B5757" t="s">
        <v>686</v>
      </c>
      <c r="C5757" t="s">
        <v>686</v>
      </c>
      <c r="D5757" t="s">
        <v>3175</v>
      </c>
      <c r="E5757" t="s">
        <v>660</v>
      </c>
      <c r="F5757" t="s">
        <v>40</v>
      </c>
      <c r="G5757">
        <v>2050</v>
      </c>
      <c r="H5757" s="12">
        <v>0</v>
      </c>
      <c r="I5757" t="s">
        <v>3183</v>
      </c>
      <c r="J5757" t="s">
        <v>41</v>
      </c>
      <c r="K5757" t="s">
        <v>657</v>
      </c>
      <c r="L5757" t="s">
        <v>3184</v>
      </c>
      <c r="M5757" t="s">
        <v>661</v>
      </c>
    </row>
    <row r="5758" spans="1:13">
      <c r="A5758" t="s">
        <v>851</v>
      </c>
      <c r="B5758" t="s">
        <v>687</v>
      </c>
      <c r="C5758" t="s">
        <v>687</v>
      </c>
      <c r="D5758" t="s">
        <v>3175</v>
      </c>
      <c r="E5758" t="s">
        <v>660</v>
      </c>
      <c r="F5758" t="s">
        <v>40</v>
      </c>
      <c r="G5758">
        <v>2030</v>
      </c>
      <c r="H5758" s="12">
        <v>0</v>
      </c>
      <c r="I5758" t="s">
        <v>3183</v>
      </c>
      <c r="J5758" t="s">
        <v>41</v>
      </c>
      <c r="K5758" t="s">
        <v>657</v>
      </c>
      <c r="L5758" t="s">
        <v>3184</v>
      </c>
      <c r="M5758" t="s">
        <v>661</v>
      </c>
    </row>
    <row r="5759" spans="1:13">
      <c r="A5759" t="s">
        <v>851</v>
      </c>
      <c r="B5759" t="s">
        <v>687</v>
      </c>
      <c r="C5759" t="s">
        <v>687</v>
      </c>
      <c r="D5759" t="s">
        <v>3175</v>
      </c>
      <c r="E5759" t="s">
        <v>660</v>
      </c>
      <c r="F5759" t="s">
        <v>40</v>
      </c>
      <c r="G5759">
        <v>2035</v>
      </c>
      <c r="H5759" s="12">
        <v>0</v>
      </c>
      <c r="I5759" t="s">
        <v>3183</v>
      </c>
      <c r="J5759" t="s">
        <v>41</v>
      </c>
      <c r="K5759" t="s">
        <v>657</v>
      </c>
      <c r="L5759" t="s">
        <v>3184</v>
      </c>
      <c r="M5759" t="s">
        <v>661</v>
      </c>
    </row>
    <row r="5760" spans="1:13">
      <c r="A5760" t="s">
        <v>851</v>
      </c>
      <c r="B5760" t="s">
        <v>687</v>
      </c>
      <c r="C5760" t="s">
        <v>687</v>
      </c>
      <c r="D5760" t="s">
        <v>3175</v>
      </c>
      <c r="E5760" t="s">
        <v>660</v>
      </c>
      <c r="F5760" t="s">
        <v>40</v>
      </c>
      <c r="G5760">
        <v>2040</v>
      </c>
      <c r="H5760" s="12">
        <v>0</v>
      </c>
      <c r="I5760" t="s">
        <v>3183</v>
      </c>
      <c r="J5760" t="s">
        <v>41</v>
      </c>
      <c r="K5760" t="s">
        <v>657</v>
      </c>
      <c r="L5760" t="s">
        <v>3184</v>
      </c>
      <c r="M5760" t="s">
        <v>661</v>
      </c>
    </row>
    <row r="5761" spans="1:13">
      <c r="A5761" t="s">
        <v>851</v>
      </c>
      <c r="B5761" t="s">
        <v>687</v>
      </c>
      <c r="C5761" t="s">
        <v>687</v>
      </c>
      <c r="D5761" t="s">
        <v>3175</v>
      </c>
      <c r="E5761" t="s">
        <v>660</v>
      </c>
      <c r="F5761" t="s">
        <v>40</v>
      </c>
      <c r="G5761">
        <v>2045</v>
      </c>
      <c r="H5761" s="12">
        <v>0</v>
      </c>
      <c r="I5761" t="s">
        <v>3183</v>
      </c>
      <c r="J5761" t="s">
        <v>41</v>
      </c>
      <c r="K5761" t="s">
        <v>657</v>
      </c>
      <c r="L5761" t="s">
        <v>3184</v>
      </c>
      <c r="M5761" t="s">
        <v>661</v>
      </c>
    </row>
    <row r="5762" spans="1:13">
      <c r="A5762" t="s">
        <v>851</v>
      </c>
      <c r="B5762" t="s">
        <v>687</v>
      </c>
      <c r="C5762" t="s">
        <v>687</v>
      </c>
      <c r="D5762" t="s">
        <v>3175</v>
      </c>
      <c r="E5762" t="s">
        <v>660</v>
      </c>
      <c r="F5762" t="s">
        <v>40</v>
      </c>
      <c r="G5762">
        <v>2050</v>
      </c>
      <c r="H5762" s="12">
        <v>0</v>
      </c>
      <c r="I5762" t="s">
        <v>3183</v>
      </c>
      <c r="J5762" t="s">
        <v>41</v>
      </c>
      <c r="K5762" t="s">
        <v>657</v>
      </c>
      <c r="L5762" t="s">
        <v>3184</v>
      </c>
      <c r="M5762" t="s">
        <v>661</v>
      </c>
    </row>
    <row r="5763" spans="1:13">
      <c r="A5763" t="s">
        <v>851</v>
      </c>
      <c r="B5763" t="s">
        <v>686</v>
      </c>
      <c r="C5763" t="s">
        <v>686</v>
      </c>
      <c r="D5763" t="s">
        <v>3175</v>
      </c>
      <c r="E5763" t="s">
        <v>660</v>
      </c>
      <c r="F5763" t="s">
        <v>40</v>
      </c>
      <c r="G5763">
        <v>2010</v>
      </c>
      <c r="H5763" s="12">
        <v>9322</v>
      </c>
      <c r="I5763" t="s">
        <v>3183</v>
      </c>
      <c r="J5763" t="s">
        <v>15</v>
      </c>
      <c r="K5763" t="s">
        <v>657</v>
      </c>
      <c r="L5763" t="s">
        <v>3184</v>
      </c>
      <c r="M5763" t="s">
        <v>15</v>
      </c>
    </row>
    <row r="5764" spans="1:13">
      <c r="A5764" t="s">
        <v>851</v>
      </c>
      <c r="B5764" t="s">
        <v>686</v>
      </c>
      <c r="C5764" t="s">
        <v>686</v>
      </c>
      <c r="D5764" t="s">
        <v>3175</v>
      </c>
      <c r="E5764" t="s">
        <v>660</v>
      </c>
      <c r="F5764" t="s">
        <v>40</v>
      </c>
      <c r="G5764">
        <v>2015</v>
      </c>
      <c r="H5764" s="12">
        <v>8582</v>
      </c>
      <c r="I5764" t="s">
        <v>3183</v>
      </c>
      <c r="J5764" t="s">
        <v>15</v>
      </c>
      <c r="K5764" t="s">
        <v>657</v>
      </c>
      <c r="L5764" t="s">
        <v>3184</v>
      </c>
      <c r="M5764" t="s">
        <v>15</v>
      </c>
    </row>
    <row r="5765" spans="1:13">
      <c r="A5765" t="s">
        <v>851</v>
      </c>
      <c r="B5765" t="s">
        <v>686</v>
      </c>
      <c r="C5765" t="s">
        <v>686</v>
      </c>
      <c r="D5765" t="s">
        <v>3175</v>
      </c>
      <c r="E5765" t="s">
        <v>660</v>
      </c>
      <c r="F5765" t="s">
        <v>40</v>
      </c>
      <c r="G5765">
        <v>2020</v>
      </c>
      <c r="H5765" s="12">
        <v>7460</v>
      </c>
      <c r="I5765" t="s">
        <v>3183</v>
      </c>
      <c r="J5765" t="s">
        <v>15</v>
      </c>
      <c r="K5765" t="s">
        <v>657</v>
      </c>
      <c r="L5765" t="s">
        <v>3184</v>
      </c>
      <c r="M5765" t="s">
        <v>15</v>
      </c>
    </row>
    <row r="5766" spans="1:13">
      <c r="A5766" t="s">
        <v>851</v>
      </c>
      <c r="B5766" t="s">
        <v>686</v>
      </c>
      <c r="C5766" t="s">
        <v>686</v>
      </c>
      <c r="D5766" t="s">
        <v>3175</v>
      </c>
      <c r="E5766" t="s">
        <v>660</v>
      </c>
      <c r="F5766" t="s">
        <v>40</v>
      </c>
      <c r="G5766">
        <v>2040</v>
      </c>
      <c r="H5766" s="12">
        <v>11223</v>
      </c>
      <c r="I5766" t="s">
        <v>3183</v>
      </c>
      <c r="J5766" t="s">
        <v>394</v>
      </c>
      <c r="K5766" t="s">
        <v>657</v>
      </c>
      <c r="L5766" t="s">
        <v>3184</v>
      </c>
      <c r="M5766" t="s">
        <v>16</v>
      </c>
    </row>
    <row r="5767" spans="1:13">
      <c r="A5767" t="s">
        <v>851</v>
      </c>
      <c r="B5767" t="s">
        <v>686</v>
      </c>
      <c r="C5767" t="s">
        <v>686</v>
      </c>
      <c r="D5767" t="s">
        <v>3175</v>
      </c>
      <c r="E5767" t="s">
        <v>660</v>
      </c>
      <c r="F5767" t="s">
        <v>40</v>
      </c>
      <c r="G5767">
        <v>2045</v>
      </c>
      <c r="H5767" s="12">
        <v>9867</v>
      </c>
      <c r="I5767" t="s">
        <v>3183</v>
      </c>
      <c r="J5767" t="s">
        <v>394</v>
      </c>
      <c r="K5767" t="s">
        <v>657</v>
      </c>
      <c r="L5767" t="s">
        <v>3184</v>
      </c>
      <c r="M5767" t="s">
        <v>16</v>
      </c>
    </row>
    <row r="5768" spans="1:13">
      <c r="A5768" t="s">
        <v>851</v>
      </c>
      <c r="B5768" t="s">
        <v>686</v>
      </c>
      <c r="C5768" t="s">
        <v>686</v>
      </c>
      <c r="D5768" t="s">
        <v>3175</v>
      </c>
      <c r="E5768" t="s">
        <v>660</v>
      </c>
      <c r="F5768" t="s">
        <v>40</v>
      </c>
      <c r="G5768">
        <v>2050</v>
      </c>
      <c r="H5768" s="12">
        <v>8764</v>
      </c>
      <c r="I5768" t="s">
        <v>3183</v>
      </c>
      <c r="J5768" t="s">
        <v>394</v>
      </c>
      <c r="K5768" t="s">
        <v>657</v>
      </c>
      <c r="L5768" t="s">
        <v>3184</v>
      </c>
      <c r="M5768" t="s">
        <v>16</v>
      </c>
    </row>
    <row r="5769" spans="1:13">
      <c r="A5769" t="s">
        <v>851</v>
      </c>
      <c r="B5769" t="s">
        <v>687</v>
      </c>
      <c r="C5769" t="s">
        <v>687</v>
      </c>
      <c r="D5769" t="s">
        <v>3175</v>
      </c>
      <c r="E5769" t="s">
        <v>660</v>
      </c>
      <c r="F5769" t="s">
        <v>40</v>
      </c>
      <c r="G5769">
        <v>2030</v>
      </c>
      <c r="H5769" s="12">
        <v>12789</v>
      </c>
      <c r="I5769" t="s">
        <v>3183</v>
      </c>
      <c r="J5769" t="s">
        <v>394</v>
      </c>
      <c r="K5769" t="s">
        <v>657</v>
      </c>
      <c r="L5769" t="s">
        <v>3184</v>
      </c>
      <c r="M5769" t="s">
        <v>16</v>
      </c>
    </row>
    <row r="5770" spans="1:13">
      <c r="A5770" t="s">
        <v>851</v>
      </c>
      <c r="B5770" t="s">
        <v>687</v>
      </c>
      <c r="C5770" t="s">
        <v>687</v>
      </c>
      <c r="D5770" t="s">
        <v>3175</v>
      </c>
      <c r="E5770" t="s">
        <v>660</v>
      </c>
      <c r="F5770" t="s">
        <v>40</v>
      </c>
      <c r="G5770">
        <v>2035</v>
      </c>
      <c r="H5770" s="12">
        <v>8800</v>
      </c>
      <c r="I5770" t="s">
        <v>3183</v>
      </c>
      <c r="J5770" t="s">
        <v>394</v>
      </c>
      <c r="K5770" t="s">
        <v>657</v>
      </c>
      <c r="L5770" t="s">
        <v>3184</v>
      </c>
      <c r="M5770" t="s">
        <v>16</v>
      </c>
    </row>
    <row r="5771" spans="1:13">
      <c r="A5771" t="s">
        <v>851</v>
      </c>
      <c r="B5771" t="s">
        <v>687</v>
      </c>
      <c r="C5771" t="s">
        <v>687</v>
      </c>
      <c r="D5771" t="s">
        <v>3175</v>
      </c>
      <c r="E5771" t="s">
        <v>660</v>
      </c>
      <c r="F5771" t="s">
        <v>40</v>
      </c>
      <c r="G5771">
        <v>2040</v>
      </c>
      <c r="H5771" s="12">
        <v>5857</v>
      </c>
      <c r="I5771" t="s">
        <v>3183</v>
      </c>
      <c r="J5771" t="s">
        <v>394</v>
      </c>
      <c r="K5771" t="s">
        <v>657</v>
      </c>
      <c r="L5771" t="s">
        <v>3184</v>
      </c>
      <c r="M5771" t="s">
        <v>16</v>
      </c>
    </row>
    <row r="5772" spans="1:13">
      <c r="A5772" t="s">
        <v>851</v>
      </c>
      <c r="B5772" t="s">
        <v>687</v>
      </c>
      <c r="C5772" t="s">
        <v>687</v>
      </c>
      <c r="D5772" t="s">
        <v>3175</v>
      </c>
      <c r="E5772" t="s">
        <v>660</v>
      </c>
      <c r="F5772" t="s">
        <v>40</v>
      </c>
      <c r="G5772">
        <v>2045</v>
      </c>
      <c r="H5772" s="12">
        <v>4093</v>
      </c>
      <c r="I5772" t="s">
        <v>3183</v>
      </c>
      <c r="J5772" t="s">
        <v>394</v>
      </c>
      <c r="K5772" t="s">
        <v>657</v>
      </c>
      <c r="L5772" t="s">
        <v>3184</v>
      </c>
      <c r="M5772" t="s">
        <v>16</v>
      </c>
    </row>
    <row r="5773" spans="1:13">
      <c r="A5773" t="s">
        <v>851</v>
      </c>
      <c r="B5773" t="s">
        <v>687</v>
      </c>
      <c r="C5773" t="s">
        <v>687</v>
      </c>
      <c r="D5773" t="s">
        <v>3175</v>
      </c>
      <c r="E5773" t="s">
        <v>660</v>
      </c>
      <c r="F5773" t="s">
        <v>40</v>
      </c>
      <c r="G5773">
        <v>2050</v>
      </c>
      <c r="H5773" s="12">
        <v>3045</v>
      </c>
      <c r="I5773" t="s">
        <v>3183</v>
      </c>
      <c r="J5773" t="s">
        <v>394</v>
      </c>
      <c r="K5773" t="s">
        <v>657</v>
      </c>
      <c r="L5773" t="s">
        <v>3184</v>
      </c>
      <c r="M5773" t="s">
        <v>16</v>
      </c>
    </row>
    <row r="5774" spans="1:13">
      <c r="A5774" t="s">
        <v>851</v>
      </c>
      <c r="B5774" t="s">
        <v>686</v>
      </c>
      <c r="C5774" t="s">
        <v>686</v>
      </c>
      <c r="D5774" t="s">
        <v>3175</v>
      </c>
      <c r="E5774" t="s">
        <v>646</v>
      </c>
      <c r="F5774" t="s">
        <v>40</v>
      </c>
      <c r="G5774">
        <v>2010</v>
      </c>
      <c r="H5774" s="12">
        <v>3414</v>
      </c>
      <c r="I5774" t="s">
        <v>3183</v>
      </c>
      <c r="J5774" t="s">
        <v>394</v>
      </c>
      <c r="K5774" t="s">
        <v>272</v>
      </c>
      <c r="L5774" t="s">
        <v>3184</v>
      </c>
      <c r="M5774" t="s">
        <v>16</v>
      </c>
    </row>
    <row r="5775" spans="1:13">
      <c r="A5775" t="s">
        <v>851</v>
      </c>
      <c r="B5775" t="s">
        <v>686</v>
      </c>
      <c r="C5775" t="s">
        <v>686</v>
      </c>
      <c r="D5775" t="s">
        <v>3175</v>
      </c>
      <c r="E5775" t="s">
        <v>646</v>
      </c>
      <c r="F5775" t="s">
        <v>40</v>
      </c>
      <c r="G5775">
        <v>2015</v>
      </c>
      <c r="H5775" s="12">
        <v>3029</v>
      </c>
      <c r="I5775" t="s">
        <v>3183</v>
      </c>
      <c r="J5775" t="s">
        <v>394</v>
      </c>
      <c r="K5775" t="s">
        <v>272</v>
      </c>
      <c r="L5775" t="s">
        <v>3184</v>
      </c>
      <c r="M5775" t="s">
        <v>16</v>
      </c>
    </row>
    <row r="5776" spans="1:13">
      <c r="A5776" t="s">
        <v>851</v>
      </c>
      <c r="B5776" t="s">
        <v>686</v>
      </c>
      <c r="C5776" t="s">
        <v>686</v>
      </c>
      <c r="D5776" t="s">
        <v>3175</v>
      </c>
      <c r="E5776" t="s">
        <v>646</v>
      </c>
      <c r="F5776" t="s">
        <v>40</v>
      </c>
      <c r="G5776">
        <v>2020</v>
      </c>
      <c r="H5776" s="12">
        <v>3065</v>
      </c>
      <c r="I5776" t="s">
        <v>3183</v>
      </c>
      <c r="J5776" t="s">
        <v>394</v>
      </c>
      <c r="K5776" t="s">
        <v>272</v>
      </c>
      <c r="L5776" t="s">
        <v>3184</v>
      </c>
      <c r="M5776" t="s">
        <v>16</v>
      </c>
    </row>
    <row r="5777" spans="1:13">
      <c r="A5777" t="s">
        <v>851</v>
      </c>
      <c r="B5777" t="s">
        <v>686</v>
      </c>
      <c r="C5777" t="s">
        <v>686</v>
      </c>
      <c r="D5777" t="s">
        <v>3175</v>
      </c>
      <c r="E5777" t="s">
        <v>646</v>
      </c>
      <c r="F5777" t="s">
        <v>40</v>
      </c>
      <c r="G5777">
        <v>2030</v>
      </c>
      <c r="H5777" s="12">
        <v>3079</v>
      </c>
      <c r="I5777" t="s">
        <v>3183</v>
      </c>
      <c r="J5777" t="s">
        <v>394</v>
      </c>
      <c r="K5777" t="s">
        <v>272</v>
      </c>
      <c r="L5777" t="s">
        <v>3184</v>
      </c>
      <c r="M5777" t="s">
        <v>16</v>
      </c>
    </row>
    <row r="5778" spans="1:13">
      <c r="A5778" t="s">
        <v>851</v>
      </c>
      <c r="B5778" t="s">
        <v>686</v>
      </c>
      <c r="C5778" t="s">
        <v>686</v>
      </c>
      <c r="D5778" t="s">
        <v>3175</v>
      </c>
      <c r="E5778" t="s">
        <v>646</v>
      </c>
      <c r="F5778" t="s">
        <v>40</v>
      </c>
      <c r="G5778">
        <v>2035</v>
      </c>
      <c r="H5778" s="12">
        <v>2872</v>
      </c>
      <c r="I5778" t="s">
        <v>3183</v>
      </c>
      <c r="J5778" t="s">
        <v>394</v>
      </c>
      <c r="K5778" t="s">
        <v>272</v>
      </c>
      <c r="L5778" t="s">
        <v>3184</v>
      </c>
      <c r="M5778" t="s">
        <v>16</v>
      </c>
    </row>
    <row r="5779" spans="1:13">
      <c r="A5779" t="s">
        <v>851</v>
      </c>
      <c r="B5779" t="s">
        <v>686</v>
      </c>
      <c r="C5779" t="s">
        <v>686</v>
      </c>
      <c r="D5779" t="s">
        <v>3175</v>
      </c>
      <c r="E5779" t="s">
        <v>646</v>
      </c>
      <c r="F5779" t="s">
        <v>40</v>
      </c>
      <c r="G5779">
        <v>2040</v>
      </c>
      <c r="H5779" s="12">
        <v>2662</v>
      </c>
      <c r="I5779" t="s">
        <v>3183</v>
      </c>
      <c r="J5779" t="s">
        <v>394</v>
      </c>
      <c r="K5779" t="s">
        <v>272</v>
      </c>
      <c r="L5779" t="s">
        <v>3184</v>
      </c>
      <c r="M5779" t="s">
        <v>16</v>
      </c>
    </row>
    <row r="5780" spans="1:13">
      <c r="A5780" t="s">
        <v>851</v>
      </c>
      <c r="B5780" t="s">
        <v>686</v>
      </c>
      <c r="C5780" t="s">
        <v>686</v>
      </c>
      <c r="D5780" t="s">
        <v>3175</v>
      </c>
      <c r="E5780" t="s">
        <v>646</v>
      </c>
      <c r="F5780" t="s">
        <v>40</v>
      </c>
      <c r="G5780">
        <v>2045</v>
      </c>
      <c r="H5780" s="12">
        <v>2455</v>
      </c>
      <c r="I5780" t="s">
        <v>3183</v>
      </c>
      <c r="J5780" t="s">
        <v>394</v>
      </c>
      <c r="K5780" t="s">
        <v>272</v>
      </c>
      <c r="L5780" t="s">
        <v>3184</v>
      </c>
      <c r="M5780" t="s">
        <v>16</v>
      </c>
    </row>
    <row r="5781" spans="1:13">
      <c r="A5781" t="s">
        <v>851</v>
      </c>
      <c r="B5781" t="s">
        <v>686</v>
      </c>
      <c r="C5781" t="s">
        <v>686</v>
      </c>
      <c r="D5781" t="s">
        <v>3175</v>
      </c>
      <c r="E5781" t="s">
        <v>646</v>
      </c>
      <c r="F5781" t="s">
        <v>40</v>
      </c>
      <c r="G5781">
        <v>2050</v>
      </c>
      <c r="H5781" s="12">
        <v>2249</v>
      </c>
      <c r="I5781" t="s">
        <v>3183</v>
      </c>
      <c r="J5781" t="s">
        <v>394</v>
      </c>
      <c r="K5781" t="s">
        <v>272</v>
      </c>
      <c r="L5781" t="s">
        <v>3184</v>
      </c>
      <c r="M5781" t="s">
        <v>16</v>
      </c>
    </row>
    <row r="5782" spans="1:13">
      <c r="A5782" t="s">
        <v>851</v>
      </c>
      <c r="B5782" t="s">
        <v>687</v>
      </c>
      <c r="C5782" t="s">
        <v>687</v>
      </c>
      <c r="D5782" t="s">
        <v>3175</v>
      </c>
      <c r="E5782" t="s">
        <v>646</v>
      </c>
      <c r="F5782" t="s">
        <v>40</v>
      </c>
      <c r="G5782">
        <v>2030</v>
      </c>
      <c r="H5782" s="12">
        <v>3032</v>
      </c>
      <c r="I5782" t="s">
        <v>3183</v>
      </c>
      <c r="J5782" t="s">
        <v>394</v>
      </c>
      <c r="K5782" t="s">
        <v>272</v>
      </c>
      <c r="L5782" t="s">
        <v>3184</v>
      </c>
      <c r="M5782" t="s">
        <v>16</v>
      </c>
    </row>
    <row r="5783" spans="1:13">
      <c r="A5783" t="s">
        <v>851</v>
      </c>
      <c r="B5783" t="s">
        <v>687</v>
      </c>
      <c r="C5783" t="s">
        <v>687</v>
      </c>
      <c r="D5783" t="s">
        <v>3175</v>
      </c>
      <c r="E5783" t="s">
        <v>646</v>
      </c>
      <c r="F5783" t="s">
        <v>40</v>
      </c>
      <c r="G5783">
        <v>2035</v>
      </c>
      <c r="H5783" s="12">
        <v>2665</v>
      </c>
      <c r="I5783" t="s">
        <v>3183</v>
      </c>
      <c r="J5783" t="s">
        <v>394</v>
      </c>
      <c r="K5783" t="s">
        <v>272</v>
      </c>
      <c r="L5783" t="s">
        <v>3184</v>
      </c>
      <c r="M5783" t="s">
        <v>16</v>
      </c>
    </row>
    <row r="5784" spans="1:13">
      <c r="A5784" t="s">
        <v>851</v>
      </c>
      <c r="B5784" t="s">
        <v>687</v>
      </c>
      <c r="C5784" t="s">
        <v>687</v>
      </c>
      <c r="D5784" t="s">
        <v>3175</v>
      </c>
      <c r="E5784" t="s">
        <v>646</v>
      </c>
      <c r="F5784" t="s">
        <v>40</v>
      </c>
      <c r="G5784">
        <v>2040</v>
      </c>
      <c r="H5784" s="12">
        <v>2402</v>
      </c>
      <c r="I5784" t="s">
        <v>3183</v>
      </c>
      <c r="J5784" t="s">
        <v>394</v>
      </c>
      <c r="K5784" t="s">
        <v>272</v>
      </c>
      <c r="L5784" t="s">
        <v>3184</v>
      </c>
      <c r="M5784" t="s">
        <v>16</v>
      </c>
    </row>
    <row r="5785" spans="1:13">
      <c r="A5785" t="s">
        <v>851</v>
      </c>
      <c r="B5785" t="s">
        <v>687</v>
      </c>
      <c r="C5785" t="s">
        <v>687</v>
      </c>
      <c r="D5785" t="s">
        <v>3175</v>
      </c>
      <c r="E5785" t="s">
        <v>646</v>
      </c>
      <c r="F5785" t="s">
        <v>40</v>
      </c>
      <c r="G5785">
        <v>2045</v>
      </c>
      <c r="H5785" s="12">
        <v>2161</v>
      </c>
      <c r="I5785" t="s">
        <v>3183</v>
      </c>
      <c r="J5785" t="s">
        <v>394</v>
      </c>
      <c r="K5785" t="s">
        <v>272</v>
      </c>
      <c r="L5785" t="s">
        <v>3184</v>
      </c>
      <c r="M5785" t="s">
        <v>16</v>
      </c>
    </row>
    <row r="5786" spans="1:13">
      <c r="A5786" t="s">
        <v>851</v>
      </c>
      <c r="B5786" t="s">
        <v>687</v>
      </c>
      <c r="C5786" t="s">
        <v>687</v>
      </c>
      <c r="D5786" t="s">
        <v>3175</v>
      </c>
      <c r="E5786" t="s">
        <v>646</v>
      </c>
      <c r="F5786" t="s">
        <v>40</v>
      </c>
      <c r="G5786">
        <v>2050</v>
      </c>
      <c r="H5786" s="12">
        <v>1957</v>
      </c>
      <c r="I5786" t="s">
        <v>3183</v>
      </c>
      <c r="J5786" t="s">
        <v>394</v>
      </c>
      <c r="K5786" t="s">
        <v>272</v>
      </c>
      <c r="L5786" t="s">
        <v>3184</v>
      </c>
      <c r="M5786" t="s">
        <v>16</v>
      </c>
    </row>
    <row r="5787" spans="1:13">
      <c r="A5787" t="s">
        <v>851</v>
      </c>
      <c r="B5787" t="s">
        <v>686</v>
      </c>
      <c r="C5787" t="s">
        <v>686</v>
      </c>
      <c r="D5787" t="s">
        <v>3175</v>
      </c>
      <c r="E5787" t="s">
        <v>660</v>
      </c>
      <c r="F5787" t="s">
        <v>40</v>
      </c>
      <c r="G5787">
        <v>2010</v>
      </c>
      <c r="H5787" s="12">
        <v>10565</v>
      </c>
      <c r="I5787" t="s">
        <v>3183</v>
      </c>
      <c r="J5787" t="s">
        <v>5</v>
      </c>
      <c r="K5787" t="s">
        <v>657</v>
      </c>
      <c r="L5787" t="s">
        <v>3184</v>
      </c>
      <c r="M5787" t="s">
        <v>5</v>
      </c>
    </row>
    <row r="5788" spans="1:13">
      <c r="A5788" t="s">
        <v>851</v>
      </c>
      <c r="B5788" t="s">
        <v>686</v>
      </c>
      <c r="C5788" t="s">
        <v>686</v>
      </c>
      <c r="D5788" t="s">
        <v>3175</v>
      </c>
      <c r="E5788" t="s">
        <v>660</v>
      </c>
      <c r="F5788" t="s">
        <v>40</v>
      </c>
      <c r="G5788">
        <v>2015</v>
      </c>
      <c r="H5788" s="12">
        <v>10021</v>
      </c>
      <c r="I5788" t="s">
        <v>3183</v>
      </c>
      <c r="J5788" t="s">
        <v>5</v>
      </c>
      <c r="K5788" t="s">
        <v>657</v>
      </c>
      <c r="L5788" t="s">
        <v>3184</v>
      </c>
      <c r="M5788" t="s">
        <v>5</v>
      </c>
    </row>
    <row r="5789" spans="1:13">
      <c r="A5789" t="s">
        <v>851</v>
      </c>
      <c r="B5789" t="s">
        <v>686</v>
      </c>
      <c r="C5789" t="s">
        <v>686</v>
      </c>
      <c r="D5789" t="s">
        <v>3175</v>
      </c>
      <c r="E5789" t="s">
        <v>660</v>
      </c>
      <c r="F5789" t="s">
        <v>40</v>
      </c>
      <c r="G5789">
        <v>2020</v>
      </c>
      <c r="H5789" s="12">
        <v>6020</v>
      </c>
      <c r="I5789" t="s">
        <v>3183</v>
      </c>
      <c r="J5789" t="s">
        <v>5</v>
      </c>
      <c r="K5789" t="s">
        <v>657</v>
      </c>
      <c r="L5789" t="s">
        <v>3184</v>
      </c>
      <c r="M5789" t="s">
        <v>5</v>
      </c>
    </row>
    <row r="5790" spans="1:13">
      <c r="A5790" t="s">
        <v>851</v>
      </c>
      <c r="B5790" t="s">
        <v>686</v>
      </c>
      <c r="C5790" t="s">
        <v>686</v>
      </c>
      <c r="D5790" t="s">
        <v>3175</v>
      </c>
      <c r="E5790" t="s">
        <v>660</v>
      </c>
      <c r="F5790" t="s">
        <v>40</v>
      </c>
      <c r="G5790">
        <v>2030</v>
      </c>
      <c r="H5790" s="12">
        <v>3668</v>
      </c>
      <c r="I5790" t="s">
        <v>3183</v>
      </c>
      <c r="J5790" t="s">
        <v>5</v>
      </c>
      <c r="K5790" t="s">
        <v>657</v>
      </c>
      <c r="L5790" t="s">
        <v>3184</v>
      </c>
      <c r="M5790" t="s">
        <v>5</v>
      </c>
    </row>
    <row r="5791" spans="1:13">
      <c r="A5791" t="s">
        <v>851</v>
      </c>
      <c r="B5791" t="s">
        <v>686</v>
      </c>
      <c r="C5791" t="s">
        <v>686</v>
      </c>
      <c r="D5791" t="s">
        <v>3175</v>
      </c>
      <c r="E5791" t="s">
        <v>660</v>
      </c>
      <c r="F5791" t="s">
        <v>40</v>
      </c>
      <c r="G5791">
        <v>2035</v>
      </c>
      <c r="H5791" s="12">
        <v>2473</v>
      </c>
      <c r="I5791" t="s">
        <v>3183</v>
      </c>
      <c r="J5791" t="s">
        <v>5</v>
      </c>
      <c r="K5791" t="s">
        <v>657</v>
      </c>
      <c r="L5791" t="s">
        <v>3184</v>
      </c>
      <c r="M5791" t="s">
        <v>5</v>
      </c>
    </row>
    <row r="5792" spans="1:13">
      <c r="A5792" t="s">
        <v>851</v>
      </c>
      <c r="B5792" t="s">
        <v>686</v>
      </c>
      <c r="C5792" t="s">
        <v>686</v>
      </c>
      <c r="D5792" t="s">
        <v>3175</v>
      </c>
      <c r="E5792" t="s">
        <v>660</v>
      </c>
      <c r="F5792" t="s">
        <v>40</v>
      </c>
      <c r="G5792">
        <v>2040</v>
      </c>
      <c r="H5792" s="12">
        <v>2021</v>
      </c>
      <c r="I5792" t="s">
        <v>3183</v>
      </c>
      <c r="J5792" t="s">
        <v>5</v>
      </c>
      <c r="K5792" t="s">
        <v>657</v>
      </c>
      <c r="L5792" t="s">
        <v>3184</v>
      </c>
      <c r="M5792" t="s">
        <v>5</v>
      </c>
    </row>
    <row r="5793" spans="1:13">
      <c r="A5793" t="s">
        <v>851</v>
      </c>
      <c r="B5793" t="s">
        <v>686</v>
      </c>
      <c r="C5793" t="s">
        <v>686</v>
      </c>
      <c r="D5793" t="s">
        <v>3175</v>
      </c>
      <c r="E5793" t="s">
        <v>660</v>
      </c>
      <c r="F5793" t="s">
        <v>40</v>
      </c>
      <c r="G5793">
        <v>2045</v>
      </c>
      <c r="H5793" s="12">
        <v>1800</v>
      </c>
      <c r="I5793" t="s">
        <v>3183</v>
      </c>
      <c r="J5793" t="s">
        <v>5</v>
      </c>
      <c r="K5793" t="s">
        <v>657</v>
      </c>
      <c r="L5793" t="s">
        <v>3184</v>
      </c>
      <c r="M5793" t="s">
        <v>5</v>
      </c>
    </row>
    <row r="5794" spans="1:13">
      <c r="A5794" t="s">
        <v>851</v>
      </c>
      <c r="B5794" t="s">
        <v>686</v>
      </c>
      <c r="C5794" t="s">
        <v>686</v>
      </c>
      <c r="D5794" t="s">
        <v>3175</v>
      </c>
      <c r="E5794" t="s">
        <v>660</v>
      </c>
      <c r="F5794" t="s">
        <v>40</v>
      </c>
      <c r="G5794">
        <v>2050</v>
      </c>
      <c r="H5794" s="12">
        <v>1635</v>
      </c>
      <c r="I5794" t="s">
        <v>3183</v>
      </c>
      <c r="J5794" t="s">
        <v>5</v>
      </c>
      <c r="K5794" t="s">
        <v>657</v>
      </c>
      <c r="L5794" t="s">
        <v>3184</v>
      </c>
      <c r="M5794" t="s">
        <v>5</v>
      </c>
    </row>
    <row r="5795" spans="1:13">
      <c r="A5795" t="s">
        <v>851</v>
      </c>
      <c r="B5795" t="s">
        <v>687</v>
      </c>
      <c r="C5795" t="s">
        <v>687</v>
      </c>
      <c r="D5795" t="s">
        <v>3175</v>
      </c>
      <c r="E5795" t="s">
        <v>660</v>
      </c>
      <c r="F5795" t="s">
        <v>40</v>
      </c>
      <c r="G5795">
        <v>2030</v>
      </c>
      <c r="H5795" s="12">
        <v>2292</v>
      </c>
      <c r="I5795" t="s">
        <v>3183</v>
      </c>
      <c r="J5795" t="s">
        <v>5</v>
      </c>
      <c r="K5795" t="s">
        <v>657</v>
      </c>
      <c r="L5795" t="s">
        <v>3184</v>
      </c>
      <c r="M5795" t="s">
        <v>5</v>
      </c>
    </row>
    <row r="5796" spans="1:13">
      <c r="A5796" t="s">
        <v>851</v>
      </c>
      <c r="B5796" t="s">
        <v>687</v>
      </c>
      <c r="C5796" t="s">
        <v>687</v>
      </c>
      <c r="D5796" t="s">
        <v>3175</v>
      </c>
      <c r="E5796" t="s">
        <v>660</v>
      </c>
      <c r="F5796" t="s">
        <v>40</v>
      </c>
      <c r="G5796">
        <v>2035</v>
      </c>
      <c r="H5796" s="12">
        <v>1328</v>
      </c>
      <c r="I5796" t="s">
        <v>3183</v>
      </c>
      <c r="J5796" t="s">
        <v>5</v>
      </c>
      <c r="K5796" t="s">
        <v>657</v>
      </c>
      <c r="L5796" t="s">
        <v>3184</v>
      </c>
      <c r="M5796" t="s">
        <v>5</v>
      </c>
    </row>
    <row r="5797" spans="1:13">
      <c r="A5797" t="s">
        <v>851</v>
      </c>
      <c r="B5797" t="s">
        <v>687</v>
      </c>
      <c r="C5797" t="s">
        <v>687</v>
      </c>
      <c r="D5797" t="s">
        <v>3175</v>
      </c>
      <c r="E5797" t="s">
        <v>660</v>
      </c>
      <c r="F5797" t="s">
        <v>40</v>
      </c>
      <c r="G5797">
        <v>2040</v>
      </c>
      <c r="H5797" s="12">
        <v>1028</v>
      </c>
      <c r="I5797" t="s">
        <v>3183</v>
      </c>
      <c r="J5797" t="s">
        <v>5</v>
      </c>
      <c r="K5797" t="s">
        <v>657</v>
      </c>
      <c r="L5797" t="s">
        <v>3184</v>
      </c>
      <c r="M5797" t="s">
        <v>5</v>
      </c>
    </row>
    <row r="5798" spans="1:13">
      <c r="A5798" t="s">
        <v>851</v>
      </c>
      <c r="B5798" t="s">
        <v>687</v>
      </c>
      <c r="C5798" t="s">
        <v>687</v>
      </c>
      <c r="D5798" t="s">
        <v>3175</v>
      </c>
      <c r="E5798" t="s">
        <v>660</v>
      </c>
      <c r="F5798" t="s">
        <v>40</v>
      </c>
      <c r="G5798">
        <v>2045</v>
      </c>
      <c r="H5798" s="12">
        <v>787</v>
      </c>
      <c r="I5798" t="s">
        <v>3183</v>
      </c>
      <c r="J5798" t="s">
        <v>5</v>
      </c>
      <c r="K5798" t="s">
        <v>657</v>
      </c>
      <c r="L5798" t="s">
        <v>3184</v>
      </c>
      <c r="M5798" t="s">
        <v>5</v>
      </c>
    </row>
    <row r="5799" spans="1:13">
      <c r="A5799" t="s">
        <v>851</v>
      </c>
      <c r="B5799" t="s">
        <v>687</v>
      </c>
      <c r="C5799" t="s">
        <v>687</v>
      </c>
      <c r="D5799" t="s">
        <v>3175</v>
      </c>
      <c r="E5799" t="s">
        <v>660</v>
      </c>
      <c r="F5799" t="s">
        <v>40</v>
      </c>
      <c r="G5799">
        <v>2050</v>
      </c>
      <c r="H5799" s="12">
        <v>577</v>
      </c>
      <c r="I5799" t="s">
        <v>3183</v>
      </c>
      <c r="J5799" t="s">
        <v>5</v>
      </c>
      <c r="K5799" t="s">
        <v>657</v>
      </c>
      <c r="L5799" t="s">
        <v>3184</v>
      </c>
      <c r="M5799" t="s">
        <v>5</v>
      </c>
    </row>
    <row r="5800" spans="1:13">
      <c r="A5800" t="s">
        <v>851</v>
      </c>
      <c r="B5800" t="s">
        <v>686</v>
      </c>
      <c r="C5800" t="s">
        <v>686</v>
      </c>
      <c r="D5800" t="s">
        <v>3175</v>
      </c>
      <c r="E5800" t="s">
        <v>573</v>
      </c>
      <c r="F5800" t="s">
        <v>40</v>
      </c>
      <c r="G5800">
        <v>2015</v>
      </c>
      <c r="H5800" s="12">
        <v>7552</v>
      </c>
      <c r="I5800" t="s">
        <v>3183</v>
      </c>
      <c r="J5800" t="s">
        <v>5</v>
      </c>
      <c r="K5800" t="s">
        <v>147</v>
      </c>
      <c r="L5800" t="s">
        <v>3184</v>
      </c>
      <c r="M5800" t="s">
        <v>5</v>
      </c>
    </row>
    <row r="5801" spans="1:13">
      <c r="A5801" t="s">
        <v>851</v>
      </c>
      <c r="B5801" t="s">
        <v>686</v>
      </c>
      <c r="C5801" t="s">
        <v>686</v>
      </c>
      <c r="D5801" t="s">
        <v>3175</v>
      </c>
      <c r="E5801" t="s">
        <v>573</v>
      </c>
      <c r="F5801" t="s">
        <v>40</v>
      </c>
      <c r="G5801">
        <v>2020</v>
      </c>
      <c r="H5801" s="12">
        <v>3962</v>
      </c>
      <c r="I5801" t="s">
        <v>3183</v>
      </c>
      <c r="J5801" t="s">
        <v>5</v>
      </c>
      <c r="K5801" t="s">
        <v>147</v>
      </c>
      <c r="L5801" t="s">
        <v>3184</v>
      </c>
      <c r="M5801" t="s">
        <v>5</v>
      </c>
    </row>
    <row r="5802" spans="1:13">
      <c r="A5802" t="s">
        <v>851</v>
      </c>
      <c r="B5802" t="s">
        <v>686</v>
      </c>
      <c r="C5802" t="s">
        <v>686</v>
      </c>
      <c r="D5802" t="s">
        <v>3175</v>
      </c>
      <c r="E5802" t="s">
        <v>573</v>
      </c>
      <c r="F5802" t="s">
        <v>40</v>
      </c>
      <c r="G5802">
        <v>2030</v>
      </c>
      <c r="H5802" s="12">
        <v>1732</v>
      </c>
      <c r="I5802" t="s">
        <v>3183</v>
      </c>
      <c r="J5802" t="s">
        <v>5</v>
      </c>
      <c r="K5802" t="s">
        <v>147</v>
      </c>
      <c r="L5802" t="s">
        <v>3184</v>
      </c>
      <c r="M5802" t="s">
        <v>5</v>
      </c>
    </row>
    <row r="5803" spans="1:13">
      <c r="A5803" t="s">
        <v>851</v>
      </c>
      <c r="B5803" t="s">
        <v>686</v>
      </c>
      <c r="C5803" t="s">
        <v>686</v>
      </c>
      <c r="D5803" t="s">
        <v>3175</v>
      </c>
      <c r="E5803" t="s">
        <v>573</v>
      </c>
      <c r="F5803" t="s">
        <v>40</v>
      </c>
      <c r="G5803">
        <v>2035</v>
      </c>
      <c r="H5803" s="12">
        <v>705</v>
      </c>
      <c r="I5803" t="s">
        <v>3183</v>
      </c>
      <c r="J5803" t="s">
        <v>5</v>
      </c>
      <c r="K5803" t="s">
        <v>147</v>
      </c>
      <c r="L5803" t="s">
        <v>3184</v>
      </c>
      <c r="M5803" t="s">
        <v>5</v>
      </c>
    </row>
    <row r="5804" spans="1:13">
      <c r="A5804" t="s">
        <v>851</v>
      </c>
      <c r="B5804" t="s">
        <v>686</v>
      </c>
      <c r="C5804" t="s">
        <v>686</v>
      </c>
      <c r="D5804" t="s">
        <v>3175</v>
      </c>
      <c r="E5804" t="s">
        <v>573</v>
      </c>
      <c r="F5804" t="s">
        <v>40</v>
      </c>
      <c r="G5804">
        <v>2040</v>
      </c>
      <c r="H5804" s="12">
        <v>393</v>
      </c>
      <c r="I5804" t="s">
        <v>3183</v>
      </c>
      <c r="J5804" t="s">
        <v>5</v>
      </c>
      <c r="K5804" t="s">
        <v>147</v>
      </c>
      <c r="L5804" t="s">
        <v>3184</v>
      </c>
      <c r="M5804" t="s">
        <v>5</v>
      </c>
    </row>
    <row r="5805" spans="1:13">
      <c r="A5805" t="s">
        <v>851</v>
      </c>
      <c r="B5805" t="s">
        <v>686</v>
      </c>
      <c r="C5805" t="s">
        <v>686</v>
      </c>
      <c r="D5805" t="s">
        <v>3175</v>
      </c>
      <c r="E5805" t="s">
        <v>573</v>
      </c>
      <c r="F5805" t="s">
        <v>40</v>
      </c>
      <c r="G5805">
        <v>2045</v>
      </c>
      <c r="H5805" s="12">
        <v>273</v>
      </c>
      <c r="I5805" t="s">
        <v>3183</v>
      </c>
      <c r="J5805" t="s">
        <v>5</v>
      </c>
      <c r="K5805" t="s">
        <v>147</v>
      </c>
      <c r="L5805" t="s">
        <v>3184</v>
      </c>
      <c r="M5805" t="s">
        <v>5</v>
      </c>
    </row>
    <row r="5806" spans="1:13">
      <c r="A5806" t="s">
        <v>851</v>
      </c>
      <c r="B5806" t="s">
        <v>686</v>
      </c>
      <c r="C5806" t="s">
        <v>686</v>
      </c>
      <c r="D5806" t="s">
        <v>3175</v>
      </c>
      <c r="E5806" t="s">
        <v>573</v>
      </c>
      <c r="F5806" t="s">
        <v>40</v>
      </c>
      <c r="G5806">
        <v>2050</v>
      </c>
      <c r="H5806" s="12">
        <v>203</v>
      </c>
      <c r="I5806" t="s">
        <v>3183</v>
      </c>
      <c r="J5806" t="s">
        <v>5</v>
      </c>
      <c r="K5806" t="s">
        <v>147</v>
      </c>
      <c r="L5806" t="s">
        <v>3184</v>
      </c>
      <c r="M5806" t="s">
        <v>5</v>
      </c>
    </row>
    <row r="5807" spans="1:13">
      <c r="A5807" t="s">
        <v>851</v>
      </c>
      <c r="B5807" t="s">
        <v>687</v>
      </c>
      <c r="C5807" t="s">
        <v>687</v>
      </c>
      <c r="D5807" t="s">
        <v>3175</v>
      </c>
      <c r="E5807" t="s">
        <v>573</v>
      </c>
      <c r="F5807" t="s">
        <v>40</v>
      </c>
      <c r="G5807">
        <v>2030</v>
      </c>
      <c r="H5807" s="12">
        <v>780</v>
      </c>
      <c r="I5807" t="s">
        <v>3183</v>
      </c>
      <c r="J5807" t="s">
        <v>5</v>
      </c>
      <c r="K5807" t="s">
        <v>147</v>
      </c>
      <c r="L5807" t="s">
        <v>3184</v>
      </c>
      <c r="M5807" t="s">
        <v>5</v>
      </c>
    </row>
    <row r="5808" spans="1:13">
      <c r="A5808" t="s">
        <v>851</v>
      </c>
      <c r="B5808" t="s">
        <v>687</v>
      </c>
      <c r="C5808" t="s">
        <v>687</v>
      </c>
      <c r="D5808" t="s">
        <v>3175</v>
      </c>
      <c r="E5808" t="s">
        <v>573</v>
      </c>
      <c r="F5808" t="s">
        <v>40</v>
      </c>
      <c r="G5808">
        <v>2035</v>
      </c>
      <c r="H5808" s="12">
        <v>200</v>
      </c>
      <c r="I5808" t="s">
        <v>3183</v>
      </c>
      <c r="J5808" t="s">
        <v>5</v>
      </c>
      <c r="K5808" t="s">
        <v>147</v>
      </c>
      <c r="L5808" t="s">
        <v>3184</v>
      </c>
      <c r="M5808" t="s">
        <v>5</v>
      </c>
    </row>
    <row r="5809" spans="1:13">
      <c r="A5809" t="s">
        <v>851</v>
      </c>
      <c r="B5809" t="s">
        <v>687</v>
      </c>
      <c r="C5809" t="s">
        <v>687</v>
      </c>
      <c r="D5809" t="s">
        <v>3175</v>
      </c>
      <c r="E5809" t="s">
        <v>573</v>
      </c>
      <c r="F5809" t="s">
        <v>40</v>
      </c>
      <c r="G5809">
        <v>2040</v>
      </c>
      <c r="H5809" s="12">
        <v>209</v>
      </c>
      <c r="I5809" t="s">
        <v>3183</v>
      </c>
      <c r="J5809" t="s">
        <v>5</v>
      </c>
      <c r="K5809" t="s">
        <v>147</v>
      </c>
      <c r="L5809" t="s">
        <v>3184</v>
      </c>
      <c r="M5809" t="s">
        <v>5</v>
      </c>
    </row>
    <row r="5810" spans="1:13">
      <c r="A5810" t="s">
        <v>851</v>
      </c>
      <c r="B5810" t="s">
        <v>687</v>
      </c>
      <c r="C5810" t="s">
        <v>687</v>
      </c>
      <c r="D5810" t="s">
        <v>3175</v>
      </c>
      <c r="E5810" t="s">
        <v>573</v>
      </c>
      <c r="F5810" t="s">
        <v>40</v>
      </c>
      <c r="G5810">
        <v>2045</v>
      </c>
      <c r="H5810" s="12">
        <v>198</v>
      </c>
      <c r="I5810" t="s">
        <v>3183</v>
      </c>
      <c r="J5810" t="s">
        <v>5</v>
      </c>
      <c r="K5810" t="s">
        <v>147</v>
      </c>
      <c r="L5810" t="s">
        <v>3184</v>
      </c>
      <c r="M5810" t="s">
        <v>5</v>
      </c>
    </row>
    <row r="5811" spans="1:13">
      <c r="A5811" t="s">
        <v>851</v>
      </c>
      <c r="B5811" t="s">
        <v>687</v>
      </c>
      <c r="C5811" t="s">
        <v>687</v>
      </c>
      <c r="D5811" t="s">
        <v>3175</v>
      </c>
      <c r="E5811" t="s">
        <v>573</v>
      </c>
      <c r="F5811" t="s">
        <v>40</v>
      </c>
      <c r="G5811">
        <v>2050</v>
      </c>
      <c r="H5811" s="12">
        <v>196</v>
      </c>
      <c r="I5811" t="s">
        <v>3183</v>
      </c>
      <c r="J5811" t="s">
        <v>5</v>
      </c>
      <c r="K5811" t="s">
        <v>147</v>
      </c>
      <c r="L5811" t="s">
        <v>3184</v>
      </c>
      <c r="M5811" t="s">
        <v>5</v>
      </c>
    </row>
    <row r="5812" spans="1:13">
      <c r="A5812" t="s">
        <v>851</v>
      </c>
      <c r="B5812" t="s">
        <v>686</v>
      </c>
      <c r="C5812" t="s">
        <v>686</v>
      </c>
      <c r="D5812" t="s">
        <v>3175</v>
      </c>
      <c r="E5812" t="s">
        <v>660</v>
      </c>
      <c r="F5812" t="s">
        <v>40</v>
      </c>
      <c r="G5812">
        <v>2010</v>
      </c>
      <c r="H5812" s="12">
        <v>156</v>
      </c>
      <c r="I5812" t="s">
        <v>3183</v>
      </c>
      <c r="J5812" t="s">
        <v>17</v>
      </c>
      <c r="K5812" t="s">
        <v>657</v>
      </c>
      <c r="L5812" t="s">
        <v>3184</v>
      </c>
      <c r="M5812" t="s">
        <v>17</v>
      </c>
    </row>
    <row r="5813" spans="1:13">
      <c r="A5813" t="s">
        <v>851</v>
      </c>
      <c r="B5813" t="s">
        <v>686</v>
      </c>
      <c r="C5813" t="s">
        <v>686</v>
      </c>
      <c r="D5813" t="s">
        <v>3175</v>
      </c>
      <c r="E5813" t="s">
        <v>660</v>
      </c>
      <c r="F5813" t="s">
        <v>40</v>
      </c>
      <c r="G5813">
        <v>2015</v>
      </c>
      <c r="H5813" s="12">
        <v>523</v>
      </c>
      <c r="I5813" t="s">
        <v>3183</v>
      </c>
      <c r="J5813" t="s">
        <v>17</v>
      </c>
      <c r="K5813" t="s">
        <v>657</v>
      </c>
      <c r="L5813" t="s">
        <v>3184</v>
      </c>
      <c r="M5813" t="s">
        <v>17</v>
      </c>
    </row>
    <row r="5814" spans="1:13">
      <c r="A5814" t="s">
        <v>851</v>
      </c>
      <c r="B5814" t="s">
        <v>686</v>
      </c>
      <c r="C5814" t="s">
        <v>686</v>
      </c>
      <c r="D5814" t="s">
        <v>3175</v>
      </c>
      <c r="E5814" t="s">
        <v>660</v>
      </c>
      <c r="F5814" t="s">
        <v>40</v>
      </c>
      <c r="G5814">
        <v>2020</v>
      </c>
      <c r="H5814" s="12">
        <v>688</v>
      </c>
      <c r="I5814" t="s">
        <v>3183</v>
      </c>
      <c r="J5814" t="s">
        <v>17</v>
      </c>
      <c r="K5814" t="s">
        <v>657</v>
      </c>
      <c r="L5814" t="s">
        <v>3184</v>
      </c>
      <c r="M5814" t="s">
        <v>17</v>
      </c>
    </row>
    <row r="5815" spans="1:13">
      <c r="A5815" t="s">
        <v>851</v>
      </c>
      <c r="B5815" t="s">
        <v>686</v>
      </c>
      <c r="C5815" t="s">
        <v>686</v>
      </c>
      <c r="D5815" t="s">
        <v>3175</v>
      </c>
      <c r="E5815" t="s">
        <v>660</v>
      </c>
      <c r="F5815" t="s">
        <v>40</v>
      </c>
      <c r="G5815">
        <v>2030</v>
      </c>
      <c r="H5815" s="12">
        <v>2034</v>
      </c>
      <c r="I5815" t="s">
        <v>3183</v>
      </c>
      <c r="J5815" t="s">
        <v>17</v>
      </c>
      <c r="K5815" t="s">
        <v>657</v>
      </c>
      <c r="L5815" t="s">
        <v>3184</v>
      </c>
      <c r="M5815" t="s">
        <v>17</v>
      </c>
    </row>
    <row r="5816" spans="1:13">
      <c r="A5816" t="s">
        <v>851</v>
      </c>
      <c r="B5816" t="s">
        <v>686</v>
      </c>
      <c r="C5816" t="s">
        <v>686</v>
      </c>
      <c r="D5816" t="s">
        <v>3175</v>
      </c>
      <c r="E5816" t="s">
        <v>660</v>
      </c>
      <c r="F5816" t="s">
        <v>40</v>
      </c>
      <c r="G5816">
        <v>2035</v>
      </c>
      <c r="H5816" s="12">
        <v>2426</v>
      </c>
      <c r="I5816" t="s">
        <v>3183</v>
      </c>
      <c r="J5816" t="s">
        <v>17</v>
      </c>
      <c r="K5816" t="s">
        <v>657</v>
      </c>
      <c r="L5816" t="s">
        <v>3184</v>
      </c>
      <c r="M5816" t="s">
        <v>17</v>
      </c>
    </row>
    <row r="5817" spans="1:13">
      <c r="A5817" t="s">
        <v>851</v>
      </c>
      <c r="B5817" t="s">
        <v>686</v>
      </c>
      <c r="C5817" t="s">
        <v>686</v>
      </c>
      <c r="D5817" t="s">
        <v>3175</v>
      </c>
      <c r="E5817" t="s">
        <v>660</v>
      </c>
      <c r="F5817" t="s">
        <v>40</v>
      </c>
      <c r="G5817">
        <v>2040</v>
      </c>
      <c r="H5817" s="12">
        <v>2610</v>
      </c>
      <c r="I5817" t="s">
        <v>3183</v>
      </c>
      <c r="J5817" t="s">
        <v>17</v>
      </c>
      <c r="K5817" t="s">
        <v>657</v>
      </c>
      <c r="L5817" t="s">
        <v>3184</v>
      </c>
      <c r="M5817" t="s">
        <v>17</v>
      </c>
    </row>
    <row r="5818" spans="1:13">
      <c r="A5818" t="s">
        <v>851</v>
      </c>
      <c r="B5818" t="s">
        <v>686</v>
      </c>
      <c r="C5818" t="s">
        <v>686</v>
      </c>
      <c r="D5818" t="s">
        <v>3175</v>
      </c>
      <c r="E5818" t="s">
        <v>660</v>
      </c>
      <c r="F5818" t="s">
        <v>40</v>
      </c>
      <c r="G5818">
        <v>2045</v>
      </c>
      <c r="H5818" s="12">
        <v>2752</v>
      </c>
      <c r="I5818" t="s">
        <v>3183</v>
      </c>
      <c r="J5818" t="s">
        <v>17</v>
      </c>
      <c r="K5818" t="s">
        <v>657</v>
      </c>
      <c r="L5818" t="s">
        <v>3184</v>
      </c>
      <c r="M5818" t="s">
        <v>17</v>
      </c>
    </row>
    <row r="5819" spans="1:13">
      <c r="A5819" t="s">
        <v>851</v>
      </c>
      <c r="B5819" t="s">
        <v>686</v>
      </c>
      <c r="C5819" t="s">
        <v>686</v>
      </c>
      <c r="D5819" t="s">
        <v>3175</v>
      </c>
      <c r="E5819" t="s">
        <v>660</v>
      </c>
      <c r="F5819" t="s">
        <v>40</v>
      </c>
      <c r="G5819">
        <v>2050</v>
      </c>
      <c r="H5819" s="12">
        <v>2872</v>
      </c>
      <c r="I5819" t="s">
        <v>3183</v>
      </c>
      <c r="J5819" t="s">
        <v>17</v>
      </c>
      <c r="K5819" t="s">
        <v>657</v>
      </c>
      <c r="L5819" t="s">
        <v>3184</v>
      </c>
      <c r="M5819" t="s">
        <v>17</v>
      </c>
    </row>
    <row r="5820" spans="1:13">
      <c r="A5820" t="s">
        <v>851</v>
      </c>
      <c r="B5820" t="s">
        <v>687</v>
      </c>
      <c r="C5820" t="s">
        <v>687</v>
      </c>
      <c r="D5820" t="s">
        <v>3175</v>
      </c>
      <c r="E5820" t="s">
        <v>660</v>
      </c>
      <c r="F5820" t="s">
        <v>40</v>
      </c>
      <c r="G5820">
        <v>2030</v>
      </c>
      <c r="H5820" s="12">
        <v>2550</v>
      </c>
      <c r="I5820" t="s">
        <v>3183</v>
      </c>
      <c r="J5820" t="s">
        <v>17</v>
      </c>
      <c r="K5820" t="s">
        <v>657</v>
      </c>
      <c r="L5820" t="s">
        <v>3184</v>
      </c>
      <c r="M5820" t="s">
        <v>17</v>
      </c>
    </row>
    <row r="5821" spans="1:13">
      <c r="A5821" t="s">
        <v>851</v>
      </c>
      <c r="B5821" t="s">
        <v>687</v>
      </c>
      <c r="C5821" t="s">
        <v>687</v>
      </c>
      <c r="D5821" t="s">
        <v>3175</v>
      </c>
      <c r="E5821" t="s">
        <v>660</v>
      </c>
      <c r="F5821" t="s">
        <v>40</v>
      </c>
      <c r="G5821">
        <v>2035</v>
      </c>
      <c r="H5821" s="12">
        <v>3314</v>
      </c>
      <c r="I5821" t="s">
        <v>3183</v>
      </c>
      <c r="J5821" t="s">
        <v>17</v>
      </c>
      <c r="K5821" t="s">
        <v>657</v>
      </c>
      <c r="L5821" t="s">
        <v>3184</v>
      </c>
      <c r="M5821" t="s">
        <v>17</v>
      </c>
    </row>
    <row r="5822" spans="1:13">
      <c r="A5822" t="s">
        <v>851</v>
      </c>
      <c r="B5822" t="s">
        <v>687</v>
      </c>
      <c r="C5822" t="s">
        <v>687</v>
      </c>
      <c r="D5822" t="s">
        <v>3175</v>
      </c>
      <c r="E5822" t="s">
        <v>660</v>
      </c>
      <c r="F5822" t="s">
        <v>40</v>
      </c>
      <c r="G5822">
        <v>2040</v>
      </c>
      <c r="H5822" s="12">
        <v>3683</v>
      </c>
      <c r="I5822" t="s">
        <v>3183</v>
      </c>
      <c r="J5822" t="s">
        <v>17</v>
      </c>
      <c r="K5822" t="s">
        <v>657</v>
      </c>
      <c r="L5822" t="s">
        <v>3184</v>
      </c>
      <c r="M5822" t="s">
        <v>17</v>
      </c>
    </row>
    <row r="5823" spans="1:13">
      <c r="A5823" t="s">
        <v>851</v>
      </c>
      <c r="B5823" t="s">
        <v>687</v>
      </c>
      <c r="C5823" t="s">
        <v>687</v>
      </c>
      <c r="D5823" t="s">
        <v>3175</v>
      </c>
      <c r="E5823" t="s">
        <v>660</v>
      </c>
      <c r="F5823" t="s">
        <v>40</v>
      </c>
      <c r="G5823">
        <v>2045</v>
      </c>
      <c r="H5823" s="12">
        <v>3859</v>
      </c>
      <c r="I5823" t="s">
        <v>3183</v>
      </c>
      <c r="J5823" t="s">
        <v>17</v>
      </c>
      <c r="K5823" t="s">
        <v>657</v>
      </c>
      <c r="L5823" t="s">
        <v>3184</v>
      </c>
      <c r="M5823" t="s">
        <v>17</v>
      </c>
    </row>
    <row r="5824" spans="1:13">
      <c r="A5824" t="s">
        <v>851</v>
      </c>
      <c r="B5824" t="s">
        <v>687</v>
      </c>
      <c r="C5824" t="s">
        <v>687</v>
      </c>
      <c r="D5824" t="s">
        <v>3175</v>
      </c>
      <c r="E5824" t="s">
        <v>660</v>
      </c>
      <c r="F5824" t="s">
        <v>40</v>
      </c>
      <c r="G5824">
        <v>2050</v>
      </c>
      <c r="H5824" s="12">
        <v>3976</v>
      </c>
      <c r="I5824" t="s">
        <v>3183</v>
      </c>
      <c r="J5824" t="s">
        <v>17</v>
      </c>
      <c r="K5824" t="s">
        <v>657</v>
      </c>
      <c r="L5824" t="s">
        <v>3184</v>
      </c>
      <c r="M5824" t="s">
        <v>17</v>
      </c>
    </row>
    <row r="5825" spans="1:13">
      <c r="A5825" t="s">
        <v>851</v>
      </c>
      <c r="B5825" t="s">
        <v>686</v>
      </c>
      <c r="C5825" t="s">
        <v>686</v>
      </c>
      <c r="D5825" t="s">
        <v>3175</v>
      </c>
      <c r="E5825" t="s">
        <v>660</v>
      </c>
      <c r="F5825" t="s">
        <v>40</v>
      </c>
      <c r="G5825">
        <v>2010</v>
      </c>
      <c r="H5825" s="12">
        <v>503</v>
      </c>
      <c r="I5825" t="s">
        <v>3183</v>
      </c>
      <c r="J5825" t="s">
        <v>18</v>
      </c>
      <c r="K5825" t="s">
        <v>657</v>
      </c>
      <c r="L5825" t="s">
        <v>3184</v>
      </c>
      <c r="M5825" t="s">
        <v>18</v>
      </c>
    </row>
    <row r="5826" spans="1:13">
      <c r="A5826" t="s">
        <v>851</v>
      </c>
      <c r="B5826" t="s">
        <v>686</v>
      </c>
      <c r="C5826" t="s">
        <v>686</v>
      </c>
      <c r="D5826" t="s">
        <v>3175</v>
      </c>
      <c r="E5826" t="s">
        <v>660</v>
      </c>
      <c r="F5826" t="s">
        <v>40</v>
      </c>
      <c r="G5826">
        <v>2015</v>
      </c>
      <c r="H5826" s="12">
        <v>948</v>
      </c>
      <c r="I5826" t="s">
        <v>3183</v>
      </c>
      <c r="J5826" t="s">
        <v>18</v>
      </c>
      <c r="K5826" t="s">
        <v>657</v>
      </c>
      <c r="L5826" t="s">
        <v>3184</v>
      </c>
      <c r="M5826" t="s">
        <v>18</v>
      </c>
    </row>
    <row r="5827" spans="1:13">
      <c r="A5827" t="s">
        <v>851</v>
      </c>
      <c r="B5827" t="s">
        <v>686</v>
      </c>
      <c r="C5827" t="s">
        <v>686</v>
      </c>
      <c r="D5827" t="s">
        <v>3175</v>
      </c>
      <c r="E5827" t="s">
        <v>660</v>
      </c>
      <c r="F5827" t="s">
        <v>40</v>
      </c>
      <c r="G5827">
        <v>2020</v>
      </c>
      <c r="H5827" s="12">
        <v>1431</v>
      </c>
      <c r="I5827" t="s">
        <v>3183</v>
      </c>
      <c r="J5827" t="s">
        <v>18</v>
      </c>
      <c r="K5827" t="s">
        <v>657</v>
      </c>
      <c r="L5827" t="s">
        <v>3184</v>
      </c>
      <c r="M5827" t="s">
        <v>18</v>
      </c>
    </row>
    <row r="5828" spans="1:13">
      <c r="A5828" t="s">
        <v>851</v>
      </c>
      <c r="B5828" t="s">
        <v>686</v>
      </c>
      <c r="C5828" t="s">
        <v>686</v>
      </c>
      <c r="D5828" t="s">
        <v>3175</v>
      </c>
      <c r="E5828" t="s">
        <v>660</v>
      </c>
      <c r="F5828" t="s">
        <v>40</v>
      </c>
      <c r="G5828">
        <v>2030</v>
      </c>
      <c r="H5828" s="12">
        <v>3216</v>
      </c>
      <c r="I5828" t="s">
        <v>3183</v>
      </c>
      <c r="J5828" t="s">
        <v>18</v>
      </c>
      <c r="K5828" t="s">
        <v>657</v>
      </c>
      <c r="L5828" t="s">
        <v>3184</v>
      </c>
      <c r="M5828" t="s">
        <v>18</v>
      </c>
    </row>
    <row r="5829" spans="1:13">
      <c r="A5829" t="s">
        <v>851</v>
      </c>
      <c r="B5829" t="s">
        <v>686</v>
      </c>
      <c r="C5829" t="s">
        <v>686</v>
      </c>
      <c r="D5829" t="s">
        <v>3175</v>
      </c>
      <c r="E5829" t="s">
        <v>660</v>
      </c>
      <c r="F5829" t="s">
        <v>40</v>
      </c>
      <c r="G5829">
        <v>2035</v>
      </c>
      <c r="H5829" s="12">
        <v>4219</v>
      </c>
      <c r="I5829" t="s">
        <v>3183</v>
      </c>
      <c r="J5829" t="s">
        <v>18</v>
      </c>
      <c r="K5829" t="s">
        <v>657</v>
      </c>
      <c r="L5829" t="s">
        <v>3184</v>
      </c>
      <c r="M5829" t="s">
        <v>18</v>
      </c>
    </row>
    <row r="5830" spans="1:13">
      <c r="A5830" t="s">
        <v>851</v>
      </c>
      <c r="B5830" t="s">
        <v>686</v>
      </c>
      <c r="C5830" t="s">
        <v>686</v>
      </c>
      <c r="D5830" t="s">
        <v>3175</v>
      </c>
      <c r="E5830" t="s">
        <v>660</v>
      </c>
      <c r="F5830" t="s">
        <v>40</v>
      </c>
      <c r="G5830">
        <v>2040</v>
      </c>
      <c r="H5830" s="12">
        <v>4792</v>
      </c>
      <c r="I5830" t="s">
        <v>3183</v>
      </c>
      <c r="J5830" t="s">
        <v>18</v>
      </c>
      <c r="K5830" t="s">
        <v>657</v>
      </c>
      <c r="L5830" t="s">
        <v>3184</v>
      </c>
      <c r="M5830" t="s">
        <v>18</v>
      </c>
    </row>
    <row r="5831" spans="1:13">
      <c r="A5831" t="s">
        <v>851</v>
      </c>
      <c r="B5831" t="s">
        <v>686</v>
      </c>
      <c r="C5831" t="s">
        <v>686</v>
      </c>
      <c r="D5831" t="s">
        <v>3175</v>
      </c>
      <c r="E5831" t="s">
        <v>660</v>
      </c>
      <c r="F5831" t="s">
        <v>40</v>
      </c>
      <c r="G5831">
        <v>2045</v>
      </c>
      <c r="H5831" s="12">
        <v>5148</v>
      </c>
      <c r="I5831" t="s">
        <v>3183</v>
      </c>
      <c r="J5831" t="s">
        <v>18</v>
      </c>
      <c r="K5831" t="s">
        <v>657</v>
      </c>
      <c r="L5831" t="s">
        <v>3184</v>
      </c>
      <c r="M5831" t="s">
        <v>18</v>
      </c>
    </row>
    <row r="5832" spans="1:13">
      <c r="A5832" t="s">
        <v>851</v>
      </c>
      <c r="B5832" t="s">
        <v>686</v>
      </c>
      <c r="C5832" t="s">
        <v>686</v>
      </c>
      <c r="D5832" t="s">
        <v>3175</v>
      </c>
      <c r="E5832" t="s">
        <v>660</v>
      </c>
      <c r="F5832" t="s">
        <v>40</v>
      </c>
      <c r="G5832">
        <v>2050</v>
      </c>
      <c r="H5832" s="12">
        <v>5381</v>
      </c>
      <c r="I5832" t="s">
        <v>3183</v>
      </c>
      <c r="J5832" t="s">
        <v>18</v>
      </c>
      <c r="K5832" t="s">
        <v>657</v>
      </c>
      <c r="L5832" t="s">
        <v>3184</v>
      </c>
      <c r="M5832" t="s">
        <v>18</v>
      </c>
    </row>
    <row r="5833" spans="1:13">
      <c r="A5833" t="s">
        <v>851</v>
      </c>
      <c r="B5833" t="s">
        <v>687</v>
      </c>
      <c r="C5833" t="s">
        <v>687</v>
      </c>
      <c r="D5833" t="s">
        <v>3175</v>
      </c>
      <c r="E5833" t="s">
        <v>660</v>
      </c>
      <c r="F5833" t="s">
        <v>40</v>
      </c>
      <c r="G5833">
        <v>2030</v>
      </c>
      <c r="H5833" s="12">
        <v>4412</v>
      </c>
      <c r="I5833" t="s">
        <v>3183</v>
      </c>
      <c r="J5833" t="s">
        <v>18</v>
      </c>
      <c r="K5833" t="s">
        <v>657</v>
      </c>
      <c r="L5833" t="s">
        <v>3184</v>
      </c>
      <c r="M5833" t="s">
        <v>18</v>
      </c>
    </row>
    <row r="5834" spans="1:13">
      <c r="A5834" t="s">
        <v>851</v>
      </c>
      <c r="B5834" t="s">
        <v>687</v>
      </c>
      <c r="C5834" t="s">
        <v>687</v>
      </c>
      <c r="D5834" t="s">
        <v>3175</v>
      </c>
      <c r="E5834" t="s">
        <v>660</v>
      </c>
      <c r="F5834" t="s">
        <v>40</v>
      </c>
      <c r="G5834">
        <v>2035</v>
      </c>
      <c r="H5834" s="12">
        <v>6641</v>
      </c>
      <c r="I5834" t="s">
        <v>3183</v>
      </c>
      <c r="J5834" t="s">
        <v>18</v>
      </c>
      <c r="K5834" t="s">
        <v>657</v>
      </c>
      <c r="L5834" t="s">
        <v>3184</v>
      </c>
      <c r="M5834" t="s">
        <v>18</v>
      </c>
    </row>
    <row r="5835" spans="1:13">
      <c r="A5835" t="s">
        <v>851</v>
      </c>
      <c r="B5835" t="s">
        <v>687</v>
      </c>
      <c r="C5835" t="s">
        <v>687</v>
      </c>
      <c r="D5835" t="s">
        <v>3175</v>
      </c>
      <c r="E5835" t="s">
        <v>660</v>
      </c>
      <c r="F5835" t="s">
        <v>40</v>
      </c>
      <c r="G5835">
        <v>2040</v>
      </c>
      <c r="H5835" s="12">
        <v>8075</v>
      </c>
      <c r="I5835" t="s">
        <v>3183</v>
      </c>
      <c r="J5835" t="s">
        <v>18</v>
      </c>
      <c r="K5835" t="s">
        <v>657</v>
      </c>
      <c r="L5835" t="s">
        <v>3184</v>
      </c>
      <c r="M5835" t="s">
        <v>18</v>
      </c>
    </row>
    <row r="5836" spans="1:13">
      <c r="A5836" t="s">
        <v>851</v>
      </c>
      <c r="B5836" t="s">
        <v>687</v>
      </c>
      <c r="C5836" t="s">
        <v>687</v>
      </c>
      <c r="D5836" t="s">
        <v>3175</v>
      </c>
      <c r="E5836" t="s">
        <v>660</v>
      </c>
      <c r="F5836" t="s">
        <v>40</v>
      </c>
      <c r="G5836">
        <v>2045</v>
      </c>
      <c r="H5836" s="12">
        <v>8837</v>
      </c>
      <c r="I5836" t="s">
        <v>3183</v>
      </c>
      <c r="J5836" t="s">
        <v>18</v>
      </c>
      <c r="K5836" t="s">
        <v>657</v>
      </c>
      <c r="L5836" t="s">
        <v>3184</v>
      </c>
      <c r="M5836" t="s">
        <v>18</v>
      </c>
    </row>
    <row r="5837" spans="1:13">
      <c r="A5837" t="s">
        <v>851</v>
      </c>
      <c r="B5837" t="s">
        <v>687</v>
      </c>
      <c r="C5837" t="s">
        <v>687</v>
      </c>
      <c r="D5837" t="s">
        <v>3175</v>
      </c>
      <c r="E5837" t="s">
        <v>660</v>
      </c>
      <c r="F5837" t="s">
        <v>40</v>
      </c>
      <c r="G5837">
        <v>2050</v>
      </c>
      <c r="H5837" s="12">
        <v>9389</v>
      </c>
      <c r="I5837" t="s">
        <v>3183</v>
      </c>
      <c r="J5837" t="s">
        <v>18</v>
      </c>
      <c r="K5837" t="s">
        <v>657</v>
      </c>
      <c r="L5837" t="s">
        <v>3184</v>
      </c>
      <c r="M5837" t="s">
        <v>18</v>
      </c>
    </row>
    <row r="5838" spans="1:13">
      <c r="A5838" t="s">
        <v>851</v>
      </c>
      <c r="B5838" t="s">
        <v>686</v>
      </c>
      <c r="C5838" t="s">
        <v>686</v>
      </c>
      <c r="D5838" t="s">
        <v>3175</v>
      </c>
      <c r="E5838" t="s">
        <v>660</v>
      </c>
      <c r="F5838" t="s">
        <v>40</v>
      </c>
      <c r="G5838">
        <v>2010</v>
      </c>
      <c r="H5838" s="12">
        <v>1344</v>
      </c>
      <c r="I5838" t="s">
        <v>3183</v>
      </c>
      <c r="J5838" t="s">
        <v>14</v>
      </c>
      <c r="K5838" t="s">
        <v>657</v>
      </c>
      <c r="L5838" t="s">
        <v>3184</v>
      </c>
      <c r="M5838" t="s">
        <v>14</v>
      </c>
    </row>
    <row r="5839" spans="1:13">
      <c r="A5839" t="s">
        <v>851</v>
      </c>
      <c r="B5839" t="s">
        <v>686</v>
      </c>
      <c r="C5839" t="s">
        <v>686</v>
      </c>
      <c r="D5839" t="s">
        <v>3175</v>
      </c>
      <c r="E5839" t="s">
        <v>660</v>
      </c>
      <c r="F5839" t="s">
        <v>40</v>
      </c>
      <c r="G5839">
        <v>2015</v>
      </c>
      <c r="H5839" s="12">
        <v>1210</v>
      </c>
      <c r="I5839" t="s">
        <v>3183</v>
      </c>
      <c r="J5839" t="s">
        <v>14</v>
      </c>
      <c r="K5839" t="s">
        <v>657</v>
      </c>
      <c r="L5839" t="s">
        <v>3184</v>
      </c>
      <c r="M5839" t="s">
        <v>14</v>
      </c>
    </row>
    <row r="5840" spans="1:13">
      <c r="A5840" t="s">
        <v>851</v>
      </c>
      <c r="B5840" t="s">
        <v>686</v>
      </c>
      <c r="C5840" t="s">
        <v>686</v>
      </c>
      <c r="D5840" t="s">
        <v>3175</v>
      </c>
      <c r="E5840" t="s">
        <v>660</v>
      </c>
      <c r="F5840" t="s">
        <v>40</v>
      </c>
      <c r="G5840">
        <v>2020</v>
      </c>
      <c r="H5840" s="12">
        <v>1246</v>
      </c>
      <c r="I5840" t="s">
        <v>3183</v>
      </c>
      <c r="J5840" t="s">
        <v>14</v>
      </c>
      <c r="K5840" t="s">
        <v>657</v>
      </c>
      <c r="L5840" t="s">
        <v>3184</v>
      </c>
      <c r="M5840" t="s">
        <v>14</v>
      </c>
    </row>
    <row r="5841" spans="1:13">
      <c r="A5841" t="s">
        <v>851</v>
      </c>
      <c r="B5841" t="s">
        <v>686</v>
      </c>
      <c r="C5841" t="s">
        <v>686</v>
      </c>
      <c r="D5841" t="s">
        <v>3175</v>
      </c>
      <c r="E5841" t="s">
        <v>660</v>
      </c>
      <c r="F5841" t="s">
        <v>40</v>
      </c>
      <c r="G5841">
        <v>2030</v>
      </c>
      <c r="H5841" s="12">
        <v>1369</v>
      </c>
      <c r="I5841" t="s">
        <v>3183</v>
      </c>
      <c r="J5841" t="s">
        <v>14</v>
      </c>
      <c r="K5841" t="s">
        <v>657</v>
      </c>
      <c r="L5841" t="s">
        <v>3184</v>
      </c>
      <c r="M5841" t="s">
        <v>14</v>
      </c>
    </row>
    <row r="5842" spans="1:13">
      <c r="A5842" t="s">
        <v>851</v>
      </c>
      <c r="B5842" t="s">
        <v>686</v>
      </c>
      <c r="C5842" t="s">
        <v>686</v>
      </c>
      <c r="D5842" t="s">
        <v>3175</v>
      </c>
      <c r="E5842" t="s">
        <v>660</v>
      </c>
      <c r="F5842" t="s">
        <v>40</v>
      </c>
      <c r="G5842">
        <v>2035</v>
      </c>
      <c r="H5842" s="12">
        <v>1406</v>
      </c>
      <c r="I5842" t="s">
        <v>3183</v>
      </c>
      <c r="J5842" t="s">
        <v>14</v>
      </c>
      <c r="K5842" t="s">
        <v>657</v>
      </c>
      <c r="L5842" t="s">
        <v>3184</v>
      </c>
      <c r="M5842" t="s">
        <v>14</v>
      </c>
    </row>
    <row r="5843" spans="1:13">
      <c r="A5843" t="s">
        <v>851</v>
      </c>
      <c r="B5843" t="s">
        <v>686</v>
      </c>
      <c r="C5843" t="s">
        <v>686</v>
      </c>
      <c r="D5843" t="s">
        <v>3175</v>
      </c>
      <c r="E5843" t="s">
        <v>660</v>
      </c>
      <c r="F5843" t="s">
        <v>40</v>
      </c>
      <c r="G5843">
        <v>2040</v>
      </c>
      <c r="H5843" s="12">
        <v>1440</v>
      </c>
      <c r="I5843" t="s">
        <v>3183</v>
      </c>
      <c r="J5843" t="s">
        <v>14</v>
      </c>
      <c r="K5843" t="s">
        <v>657</v>
      </c>
      <c r="L5843" t="s">
        <v>3184</v>
      </c>
      <c r="M5843" t="s">
        <v>14</v>
      </c>
    </row>
    <row r="5844" spans="1:13">
      <c r="A5844" t="s">
        <v>851</v>
      </c>
      <c r="B5844" t="s">
        <v>686</v>
      </c>
      <c r="C5844" t="s">
        <v>686</v>
      </c>
      <c r="D5844" t="s">
        <v>3175</v>
      </c>
      <c r="E5844" t="s">
        <v>660</v>
      </c>
      <c r="F5844" t="s">
        <v>40</v>
      </c>
      <c r="G5844">
        <v>2045</v>
      </c>
      <c r="H5844" s="12">
        <v>1477</v>
      </c>
      <c r="I5844" t="s">
        <v>3183</v>
      </c>
      <c r="J5844" t="s">
        <v>14</v>
      </c>
      <c r="K5844" t="s">
        <v>657</v>
      </c>
      <c r="L5844" t="s">
        <v>3184</v>
      </c>
      <c r="M5844" t="s">
        <v>14</v>
      </c>
    </row>
    <row r="5845" spans="1:13">
      <c r="A5845" t="s">
        <v>851</v>
      </c>
      <c r="B5845" t="s">
        <v>686</v>
      </c>
      <c r="C5845" t="s">
        <v>686</v>
      </c>
      <c r="D5845" t="s">
        <v>3175</v>
      </c>
      <c r="E5845" t="s">
        <v>660</v>
      </c>
      <c r="F5845" t="s">
        <v>40</v>
      </c>
      <c r="G5845">
        <v>2050</v>
      </c>
      <c r="H5845" s="12">
        <v>1516</v>
      </c>
      <c r="I5845" t="s">
        <v>3183</v>
      </c>
      <c r="J5845" t="s">
        <v>14</v>
      </c>
      <c r="K5845" t="s">
        <v>657</v>
      </c>
      <c r="L5845" t="s">
        <v>3184</v>
      </c>
      <c r="M5845" t="s">
        <v>14</v>
      </c>
    </row>
    <row r="5846" spans="1:13">
      <c r="A5846" t="s">
        <v>851</v>
      </c>
      <c r="B5846" t="s">
        <v>687</v>
      </c>
      <c r="C5846" t="s">
        <v>687</v>
      </c>
      <c r="D5846" t="s">
        <v>3175</v>
      </c>
      <c r="E5846" t="s">
        <v>660</v>
      </c>
      <c r="F5846" t="s">
        <v>40</v>
      </c>
      <c r="G5846">
        <v>2030</v>
      </c>
      <c r="H5846" s="12">
        <v>1418</v>
      </c>
      <c r="I5846" t="s">
        <v>3183</v>
      </c>
      <c r="J5846" t="s">
        <v>14</v>
      </c>
      <c r="K5846" t="s">
        <v>657</v>
      </c>
      <c r="L5846" t="s">
        <v>3184</v>
      </c>
      <c r="M5846" t="s">
        <v>14</v>
      </c>
    </row>
    <row r="5847" spans="1:13">
      <c r="A5847" t="s">
        <v>851</v>
      </c>
      <c r="B5847" t="s">
        <v>687</v>
      </c>
      <c r="C5847" t="s">
        <v>687</v>
      </c>
      <c r="D5847" t="s">
        <v>3175</v>
      </c>
      <c r="E5847" t="s">
        <v>660</v>
      </c>
      <c r="F5847" t="s">
        <v>40</v>
      </c>
      <c r="G5847">
        <v>2035</v>
      </c>
      <c r="H5847" s="12">
        <v>1459</v>
      </c>
      <c r="I5847" t="s">
        <v>3183</v>
      </c>
      <c r="J5847" t="s">
        <v>14</v>
      </c>
      <c r="K5847" t="s">
        <v>657</v>
      </c>
      <c r="L5847" t="s">
        <v>3184</v>
      </c>
      <c r="M5847" t="s">
        <v>14</v>
      </c>
    </row>
    <row r="5848" spans="1:13">
      <c r="A5848" t="s">
        <v>851</v>
      </c>
      <c r="B5848" t="s">
        <v>687</v>
      </c>
      <c r="C5848" t="s">
        <v>687</v>
      </c>
      <c r="D5848" t="s">
        <v>3175</v>
      </c>
      <c r="E5848" t="s">
        <v>660</v>
      </c>
      <c r="F5848" t="s">
        <v>40</v>
      </c>
      <c r="G5848">
        <v>2040</v>
      </c>
      <c r="H5848" s="12">
        <v>1489</v>
      </c>
      <c r="I5848" t="s">
        <v>3183</v>
      </c>
      <c r="J5848" t="s">
        <v>14</v>
      </c>
      <c r="K5848" t="s">
        <v>657</v>
      </c>
      <c r="L5848" t="s">
        <v>3184</v>
      </c>
      <c r="M5848" t="s">
        <v>14</v>
      </c>
    </row>
    <row r="5849" spans="1:13">
      <c r="A5849" t="s">
        <v>851</v>
      </c>
      <c r="B5849" t="s">
        <v>687</v>
      </c>
      <c r="C5849" t="s">
        <v>687</v>
      </c>
      <c r="D5849" t="s">
        <v>3175</v>
      </c>
      <c r="E5849" t="s">
        <v>660</v>
      </c>
      <c r="F5849" t="s">
        <v>40</v>
      </c>
      <c r="G5849">
        <v>2045</v>
      </c>
      <c r="H5849" s="12">
        <v>1523</v>
      </c>
      <c r="I5849" t="s">
        <v>3183</v>
      </c>
      <c r="J5849" t="s">
        <v>14</v>
      </c>
      <c r="K5849" t="s">
        <v>657</v>
      </c>
      <c r="L5849" t="s">
        <v>3184</v>
      </c>
      <c r="M5849" t="s">
        <v>14</v>
      </c>
    </row>
    <row r="5850" spans="1:13">
      <c r="A5850" t="s">
        <v>851</v>
      </c>
      <c r="B5850" t="s">
        <v>687</v>
      </c>
      <c r="C5850" t="s">
        <v>687</v>
      </c>
      <c r="D5850" t="s">
        <v>3175</v>
      </c>
      <c r="E5850" t="s">
        <v>660</v>
      </c>
      <c r="F5850" t="s">
        <v>40</v>
      </c>
      <c r="G5850">
        <v>2050</v>
      </c>
      <c r="H5850" s="12">
        <v>1556</v>
      </c>
      <c r="I5850" t="s">
        <v>3183</v>
      </c>
      <c r="J5850" t="s">
        <v>14</v>
      </c>
      <c r="K5850" t="s">
        <v>657</v>
      </c>
      <c r="L5850" t="s">
        <v>3184</v>
      </c>
      <c r="M5850" t="s">
        <v>14</v>
      </c>
    </row>
    <row r="5851" spans="1:13">
      <c r="A5851" t="s">
        <v>851</v>
      </c>
      <c r="B5851" t="s">
        <v>686</v>
      </c>
      <c r="C5851" t="s">
        <v>686</v>
      </c>
      <c r="D5851" t="s">
        <v>3175</v>
      </c>
      <c r="E5851" t="s">
        <v>660</v>
      </c>
      <c r="F5851" t="s">
        <v>40</v>
      </c>
      <c r="G5851">
        <v>2010</v>
      </c>
      <c r="H5851" s="12">
        <v>5668</v>
      </c>
      <c r="I5851" t="s">
        <v>3183</v>
      </c>
      <c r="J5851" t="s">
        <v>41</v>
      </c>
      <c r="K5851" t="s">
        <v>657</v>
      </c>
      <c r="L5851" t="s">
        <v>3184</v>
      </c>
      <c r="M5851" t="s">
        <v>662</v>
      </c>
    </row>
    <row r="5852" spans="1:13">
      <c r="A5852" t="s">
        <v>851</v>
      </c>
      <c r="B5852" t="s">
        <v>686</v>
      </c>
      <c r="C5852" t="s">
        <v>686</v>
      </c>
      <c r="D5852" t="s">
        <v>3175</v>
      </c>
      <c r="E5852" t="s">
        <v>660</v>
      </c>
      <c r="F5852" t="s">
        <v>40</v>
      </c>
      <c r="G5852">
        <v>2015</v>
      </c>
      <c r="H5852" s="12">
        <v>6163</v>
      </c>
      <c r="I5852" t="s">
        <v>3183</v>
      </c>
      <c r="J5852" t="s">
        <v>41</v>
      </c>
      <c r="K5852" t="s">
        <v>657</v>
      </c>
      <c r="L5852" t="s">
        <v>3184</v>
      </c>
      <c r="M5852" t="s">
        <v>662</v>
      </c>
    </row>
    <row r="5853" spans="1:13">
      <c r="A5853" t="s">
        <v>851</v>
      </c>
      <c r="B5853" t="s">
        <v>686</v>
      </c>
      <c r="C5853" t="s">
        <v>686</v>
      </c>
      <c r="D5853" t="s">
        <v>3175</v>
      </c>
      <c r="E5853" t="s">
        <v>660</v>
      </c>
      <c r="F5853" t="s">
        <v>40</v>
      </c>
      <c r="G5853">
        <v>2020</v>
      </c>
      <c r="H5853" s="12">
        <v>6823</v>
      </c>
      <c r="I5853" t="s">
        <v>3183</v>
      </c>
      <c r="J5853" t="s">
        <v>41</v>
      </c>
      <c r="K5853" t="s">
        <v>657</v>
      </c>
      <c r="L5853" t="s">
        <v>3184</v>
      </c>
      <c r="M5853" t="s">
        <v>662</v>
      </c>
    </row>
    <row r="5854" spans="1:13">
      <c r="A5854" t="s">
        <v>851</v>
      </c>
      <c r="B5854" t="s">
        <v>686</v>
      </c>
      <c r="C5854" t="s">
        <v>686</v>
      </c>
      <c r="D5854" t="s">
        <v>3175</v>
      </c>
      <c r="E5854" t="s">
        <v>660</v>
      </c>
      <c r="F5854" t="s">
        <v>40</v>
      </c>
      <c r="G5854">
        <v>2030</v>
      </c>
      <c r="H5854" s="12">
        <v>8056</v>
      </c>
      <c r="I5854" t="s">
        <v>3183</v>
      </c>
      <c r="J5854" t="s">
        <v>41</v>
      </c>
      <c r="K5854" t="s">
        <v>657</v>
      </c>
      <c r="L5854" t="s">
        <v>3184</v>
      </c>
      <c r="M5854" t="s">
        <v>662</v>
      </c>
    </row>
    <row r="5855" spans="1:13">
      <c r="A5855" t="s">
        <v>851</v>
      </c>
      <c r="B5855" t="s">
        <v>686</v>
      </c>
      <c r="C5855" t="s">
        <v>686</v>
      </c>
      <c r="D5855" t="s">
        <v>3175</v>
      </c>
      <c r="E5855" t="s">
        <v>660</v>
      </c>
      <c r="F5855" t="s">
        <v>40</v>
      </c>
      <c r="G5855">
        <v>2030</v>
      </c>
      <c r="H5855" s="12">
        <v>7156</v>
      </c>
      <c r="I5855" t="s">
        <v>3183</v>
      </c>
      <c r="J5855" t="s">
        <v>15</v>
      </c>
      <c r="K5855" t="s">
        <v>657</v>
      </c>
      <c r="L5855" t="s">
        <v>3184</v>
      </c>
      <c r="M5855" t="s">
        <v>15</v>
      </c>
    </row>
    <row r="5856" spans="1:13">
      <c r="A5856" t="s">
        <v>851</v>
      </c>
      <c r="B5856" t="s">
        <v>686</v>
      </c>
      <c r="C5856" t="s">
        <v>686</v>
      </c>
      <c r="D5856" t="s">
        <v>3175</v>
      </c>
      <c r="E5856" t="s">
        <v>660</v>
      </c>
      <c r="F5856" t="s">
        <v>40</v>
      </c>
      <c r="G5856">
        <v>2035</v>
      </c>
      <c r="H5856" s="12">
        <v>6091</v>
      </c>
      <c r="I5856" t="s">
        <v>3183</v>
      </c>
      <c r="J5856" t="s">
        <v>15</v>
      </c>
      <c r="K5856" t="s">
        <v>657</v>
      </c>
      <c r="L5856" t="s">
        <v>3184</v>
      </c>
      <c r="M5856" t="s">
        <v>15</v>
      </c>
    </row>
    <row r="5857" spans="1:13">
      <c r="A5857" t="s">
        <v>851</v>
      </c>
      <c r="B5857" t="s">
        <v>686</v>
      </c>
      <c r="C5857" t="s">
        <v>686</v>
      </c>
      <c r="D5857" t="s">
        <v>3175</v>
      </c>
      <c r="E5857" t="s">
        <v>660</v>
      </c>
      <c r="F5857" t="s">
        <v>40</v>
      </c>
      <c r="G5857">
        <v>2040</v>
      </c>
      <c r="H5857" s="12">
        <v>5895</v>
      </c>
      <c r="I5857" t="s">
        <v>3183</v>
      </c>
      <c r="J5857" t="s">
        <v>15</v>
      </c>
      <c r="K5857" t="s">
        <v>657</v>
      </c>
      <c r="L5857" t="s">
        <v>3184</v>
      </c>
      <c r="M5857" t="s">
        <v>15</v>
      </c>
    </row>
    <row r="5858" spans="1:13">
      <c r="A5858" t="s">
        <v>851</v>
      </c>
      <c r="B5858" t="s">
        <v>686</v>
      </c>
      <c r="C5858" t="s">
        <v>686</v>
      </c>
      <c r="D5858" t="s">
        <v>3175</v>
      </c>
      <c r="E5858" t="s">
        <v>660</v>
      </c>
      <c r="F5858" t="s">
        <v>40</v>
      </c>
      <c r="G5858">
        <v>2045</v>
      </c>
      <c r="H5858" s="12">
        <v>5681</v>
      </c>
      <c r="I5858" t="s">
        <v>3183</v>
      </c>
      <c r="J5858" t="s">
        <v>15</v>
      </c>
      <c r="K5858" t="s">
        <v>657</v>
      </c>
      <c r="L5858" t="s">
        <v>3184</v>
      </c>
      <c r="M5858" t="s">
        <v>15</v>
      </c>
    </row>
    <row r="5859" spans="1:13">
      <c r="A5859" t="s">
        <v>851</v>
      </c>
      <c r="B5859" t="s">
        <v>686</v>
      </c>
      <c r="C5859" t="s">
        <v>686</v>
      </c>
      <c r="D5859" t="s">
        <v>3175</v>
      </c>
      <c r="E5859" t="s">
        <v>660</v>
      </c>
      <c r="F5859" t="s">
        <v>40</v>
      </c>
      <c r="G5859">
        <v>2050</v>
      </c>
      <c r="H5859" s="12">
        <v>6214</v>
      </c>
      <c r="I5859" t="s">
        <v>3183</v>
      </c>
      <c r="J5859" t="s">
        <v>15</v>
      </c>
      <c r="K5859" t="s">
        <v>657</v>
      </c>
      <c r="L5859" t="s">
        <v>3184</v>
      </c>
      <c r="M5859" t="s">
        <v>15</v>
      </c>
    </row>
    <row r="5860" spans="1:13">
      <c r="A5860" t="s">
        <v>851</v>
      </c>
      <c r="B5860" t="s">
        <v>687</v>
      </c>
      <c r="C5860" t="s">
        <v>687</v>
      </c>
      <c r="D5860" t="s">
        <v>3175</v>
      </c>
      <c r="E5860" t="s">
        <v>660</v>
      </c>
      <c r="F5860" t="s">
        <v>40</v>
      </c>
      <c r="G5860">
        <v>2030</v>
      </c>
      <c r="H5860" s="12">
        <v>7689</v>
      </c>
      <c r="I5860" t="s">
        <v>3183</v>
      </c>
      <c r="J5860" t="s">
        <v>15</v>
      </c>
      <c r="K5860" t="s">
        <v>657</v>
      </c>
      <c r="L5860" t="s">
        <v>3184</v>
      </c>
      <c r="M5860" t="s">
        <v>15</v>
      </c>
    </row>
    <row r="5861" spans="1:13">
      <c r="A5861" t="s">
        <v>851</v>
      </c>
      <c r="B5861" t="s">
        <v>687</v>
      </c>
      <c r="C5861" t="s">
        <v>687</v>
      </c>
      <c r="D5861" t="s">
        <v>3175</v>
      </c>
      <c r="E5861" t="s">
        <v>660</v>
      </c>
      <c r="F5861" t="s">
        <v>40</v>
      </c>
      <c r="G5861">
        <v>2035</v>
      </c>
      <c r="H5861" s="12">
        <v>6828</v>
      </c>
      <c r="I5861" t="s">
        <v>3183</v>
      </c>
      <c r="J5861" t="s">
        <v>15</v>
      </c>
      <c r="K5861" t="s">
        <v>657</v>
      </c>
      <c r="L5861" t="s">
        <v>3184</v>
      </c>
      <c r="M5861" t="s">
        <v>15</v>
      </c>
    </row>
    <row r="5862" spans="1:13">
      <c r="A5862" t="s">
        <v>851</v>
      </c>
      <c r="B5862" t="s">
        <v>687</v>
      </c>
      <c r="C5862" t="s">
        <v>687</v>
      </c>
      <c r="D5862" t="s">
        <v>3175</v>
      </c>
      <c r="E5862" t="s">
        <v>660</v>
      </c>
      <c r="F5862" t="s">
        <v>40</v>
      </c>
      <c r="G5862">
        <v>2040</v>
      </c>
      <c r="H5862" s="12">
        <v>6941</v>
      </c>
      <c r="I5862" t="s">
        <v>3183</v>
      </c>
      <c r="J5862" t="s">
        <v>15</v>
      </c>
      <c r="K5862" t="s">
        <v>657</v>
      </c>
      <c r="L5862" t="s">
        <v>3184</v>
      </c>
      <c r="M5862" t="s">
        <v>15</v>
      </c>
    </row>
    <row r="5863" spans="1:13">
      <c r="A5863" t="s">
        <v>851</v>
      </c>
      <c r="B5863" t="s">
        <v>687</v>
      </c>
      <c r="C5863" t="s">
        <v>687</v>
      </c>
      <c r="D5863" t="s">
        <v>3175</v>
      </c>
      <c r="E5863" t="s">
        <v>660</v>
      </c>
      <c r="F5863" t="s">
        <v>40</v>
      </c>
      <c r="G5863">
        <v>2045</v>
      </c>
      <c r="H5863" s="12">
        <v>6685</v>
      </c>
      <c r="I5863" t="s">
        <v>3183</v>
      </c>
      <c r="J5863" t="s">
        <v>15</v>
      </c>
      <c r="K5863" t="s">
        <v>657</v>
      </c>
      <c r="L5863" t="s">
        <v>3184</v>
      </c>
      <c r="M5863" t="s">
        <v>15</v>
      </c>
    </row>
    <row r="5864" spans="1:13">
      <c r="A5864" t="s">
        <v>851</v>
      </c>
      <c r="B5864" t="s">
        <v>687</v>
      </c>
      <c r="C5864" t="s">
        <v>687</v>
      </c>
      <c r="D5864" t="s">
        <v>3175</v>
      </c>
      <c r="E5864" t="s">
        <v>660</v>
      </c>
      <c r="F5864" t="s">
        <v>40</v>
      </c>
      <c r="G5864">
        <v>2050</v>
      </c>
      <c r="H5864" s="12">
        <v>6578</v>
      </c>
      <c r="I5864" t="s">
        <v>3183</v>
      </c>
      <c r="J5864" t="s">
        <v>15</v>
      </c>
      <c r="K5864" t="s">
        <v>657</v>
      </c>
      <c r="L5864" t="s">
        <v>3184</v>
      </c>
      <c r="M5864" t="s">
        <v>15</v>
      </c>
    </row>
    <row r="5865" spans="1:13">
      <c r="A5865" t="s">
        <v>851</v>
      </c>
      <c r="B5865" t="s">
        <v>686</v>
      </c>
      <c r="C5865" t="s">
        <v>686</v>
      </c>
      <c r="D5865" t="s">
        <v>3175</v>
      </c>
      <c r="E5865" t="s">
        <v>660</v>
      </c>
      <c r="F5865" t="s">
        <v>40</v>
      </c>
      <c r="G5865">
        <v>2010</v>
      </c>
      <c r="H5865" s="12">
        <v>15189</v>
      </c>
      <c r="I5865" t="s">
        <v>3183</v>
      </c>
      <c r="J5865" t="s">
        <v>6</v>
      </c>
      <c r="K5865" t="s">
        <v>657</v>
      </c>
      <c r="L5865" t="s">
        <v>3184</v>
      </c>
      <c r="M5865" t="s">
        <v>659</v>
      </c>
    </row>
    <row r="5866" spans="1:13">
      <c r="A5866" t="s">
        <v>851</v>
      </c>
      <c r="B5866" t="s">
        <v>686</v>
      </c>
      <c r="C5866" t="s">
        <v>686</v>
      </c>
      <c r="D5866" t="s">
        <v>3175</v>
      </c>
      <c r="E5866" t="s">
        <v>660</v>
      </c>
      <c r="F5866" t="s">
        <v>40</v>
      </c>
      <c r="G5866">
        <v>2015</v>
      </c>
      <c r="H5866" s="12">
        <v>12385</v>
      </c>
      <c r="I5866" t="s">
        <v>3183</v>
      </c>
      <c r="J5866" t="s">
        <v>6</v>
      </c>
      <c r="K5866" t="s">
        <v>657</v>
      </c>
      <c r="L5866" t="s">
        <v>3184</v>
      </c>
      <c r="M5866" t="s">
        <v>659</v>
      </c>
    </row>
    <row r="5867" spans="1:13">
      <c r="A5867" t="s">
        <v>851</v>
      </c>
      <c r="B5867" t="s">
        <v>686</v>
      </c>
      <c r="C5867" t="s">
        <v>686</v>
      </c>
      <c r="D5867" t="s">
        <v>3175</v>
      </c>
      <c r="E5867" t="s">
        <v>660</v>
      </c>
      <c r="F5867" t="s">
        <v>40</v>
      </c>
      <c r="G5867">
        <v>2020</v>
      </c>
      <c r="H5867" s="12">
        <v>13630</v>
      </c>
      <c r="I5867" t="s">
        <v>3183</v>
      </c>
      <c r="J5867" t="s">
        <v>6</v>
      </c>
      <c r="K5867" t="s">
        <v>657</v>
      </c>
      <c r="L5867" t="s">
        <v>3184</v>
      </c>
      <c r="M5867" t="s">
        <v>659</v>
      </c>
    </row>
    <row r="5868" spans="1:13">
      <c r="A5868" t="s">
        <v>851</v>
      </c>
      <c r="B5868" t="s">
        <v>686</v>
      </c>
      <c r="C5868" t="s">
        <v>686</v>
      </c>
      <c r="D5868" t="s">
        <v>3175</v>
      </c>
      <c r="E5868" t="s">
        <v>660</v>
      </c>
      <c r="F5868" t="s">
        <v>40</v>
      </c>
      <c r="G5868">
        <v>2030</v>
      </c>
      <c r="H5868" s="12">
        <v>11572</v>
      </c>
      <c r="I5868" t="s">
        <v>3183</v>
      </c>
      <c r="J5868" t="s">
        <v>6</v>
      </c>
      <c r="K5868" t="s">
        <v>657</v>
      </c>
      <c r="L5868" t="s">
        <v>3184</v>
      </c>
      <c r="M5868" t="s">
        <v>659</v>
      </c>
    </row>
    <row r="5869" spans="1:13">
      <c r="A5869" t="s">
        <v>851</v>
      </c>
      <c r="B5869" t="s">
        <v>686</v>
      </c>
      <c r="C5869" t="s">
        <v>686</v>
      </c>
      <c r="D5869" t="s">
        <v>3175</v>
      </c>
      <c r="E5869" t="s">
        <v>660</v>
      </c>
      <c r="F5869" t="s">
        <v>40</v>
      </c>
      <c r="G5869">
        <v>2035</v>
      </c>
      <c r="H5869" s="12">
        <v>10609</v>
      </c>
      <c r="I5869" t="s">
        <v>3183</v>
      </c>
      <c r="J5869" t="s">
        <v>6</v>
      </c>
      <c r="K5869" t="s">
        <v>657</v>
      </c>
      <c r="L5869" t="s">
        <v>3184</v>
      </c>
      <c r="M5869" t="s">
        <v>659</v>
      </c>
    </row>
    <row r="5870" spans="1:13">
      <c r="A5870" t="s">
        <v>851</v>
      </c>
      <c r="B5870" t="s">
        <v>686</v>
      </c>
      <c r="C5870" t="s">
        <v>686</v>
      </c>
      <c r="D5870" t="s">
        <v>3175</v>
      </c>
      <c r="E5870" t="s">
        <v>660</v>
      </c>
      <c r="F5870" t="s">
        <v>40</v>
      </c>
      <c r="G5870">
        <v>2040</v>
      </c>
      <c r="H5870" s="12">
        <v>9778</v>
      </c>
      <c r="I5870" t="s">
        <v>3183</v>
      </c>
      <c r="J5870" t="s">
        <v>6</v>
      </c>
      <c r="K5870" t="s">
        <v>657</v>
      </c>
      <c r="L5870" t="s">
        <v>3184</v>
      </c>
      <c r="M5870" t="s">
        <v>659</v>
      </c>
    </row>
    <row r="5871" spans="1:13">
      <c r="A5871" t="s">
        <v>851</v>
      </c>
      <c r="B5871" t="s">
        <v>686</v>
      </c>
      <c r="C5871" t="s">
        <v>686</v>
      </c>
      <c r="D5871" t="s">
        <v>3175</v>
      </c>
      <c r="E5871" t="s">
        <v>660</v>
      </c>
      <c r="F5871" t="s">
        <v>40</v>
      </c>
      <c r="G5871">
        <v>2045</v>
      </c>
      <c r="H5871" s="12">
        <v>8901</v>
      </c>
      <c r="I5871" t="s">
        <v>3183</v>
      </c>
      <c r="J5871" t="s">
        <v>6</v>
      </c>
      <c r="K5871" t="s">
        <v>657</v>
      </c>
      <c r="L5871" t="s">
        <v>3184</v>
      </c>
      <c r="M5871" t="s">
        <v>659</v>
      </c>
    </row>
    <row r="5872" spans="1:13">
      <c r="A5872" t="s">
        <v>851</v>
      </c>
      <c r="B5872" t="s">
        <v>686</v>
      </c>
      <c r="C5872" t="s">
        <v>686</v>
      </c>
      <c r="D5872" t="s">
        <v>3175</v>
      </c>
      <c r="E5872" t="s">
        <v>660</v>
      </c>
      <c r="F5872" t="s">
        <v>40</v>
      </c>
      <c r="G5872">
        <v>2050</v>
      </c>
      <c r="H5872" s="12">
        <v>8001</v>
      </c>
      <c r="I5872" t="s">
        <v>3183</v>
      </c>
      <c r="J5872" t="s">
        <v>6</v>
      </c>
      <c r="K5872" t="s">
        <v>657</v>
      </c>
      <c r="L5872" t="s">
        <v>3184</v>
      </c>
      <c r="M5872" t="s">
        <v>659</v>
      </c>
    </row>
    <row r="5873" spans="1:13">
      <c r="A5873" t="s">
        <v>851</v>
      </c>
      <c r="B5873" t="s">
        <v>687</v>
      </c>
      <c r="C5873" t="s">
        <v>687</v>
      </c>
      <c r="D5873" t="s">
        <v>3175</v>
      </c>
      <c r="E5873" t="s">
        <v>660</v>
      </c>
      <c r="F5873" t="s">
        <v>40</v>
      </c>
      <c r="G5873">
        <v>2030</v>
      </c>
      <c r="H5873" s="12">
        <v>8230</v>
      </c>
      <c r="I5873" t="s">
        <v>3183</v>
      </c>
      <c r="J5873" t="s">
        <v>6</v>
      </c>
      <c r="K5873" t="s">
        <v>657</v>
      </c>
      <c r="L5873" t="s">
        <v>3184</v>
      </c>
      <c r="M5873" t="s">
        <v>659</v>
      </c>
    </row>
    <row r="5874" spans="1:13">
      <c r="A5874" t="s">
        <v>851</v>
      </c>
      <c r="B5874" t="s">
        <v>687</v>
      </c>
      <c r="C5874" t="s">
        <v>687</v>
      </c>
      <c r="D5874" t="s">
        <v>3175</v>
      </c>
      <c r="E5874" t="s">
        <v>660</v>
      </c>
      <c r="F5874" t="s">
        <v>40</v>
      </c>
      <c r="G5874">
        <v>2035</v>
      </c>
      <c r="H5874" s="12">
        <v>5128</v>
      </c>
      <c r="I5874" t="s">
        <v>3183</v>
      </c>
      <c r="J5874" t="s">
        <v>6</v>
      </c>
      <c r="K5874" t="s">
        <v>657</v>
      </c>
      <c r="L5874" t="s">
        <v>3184</v>
      </c>
      <c r="M5874" t="s">
        <v>659</v>
      </c>
    </row>
    <row r="5875" spans="1:13">
      <c r="A5875" t="s">
        <v>851</v>
      </c>
      <c r="B5875" t="s">
        <v>687</v>
      </c>
      <c r="C5875" t="s">
        <v>687</v>
      </c>
      <c r="D5875" t="s">
        <v>3175</v>
      </c>
      <c r="E5875" t="s">
        <v>660</v>
      </c>
      <c r="F5875" t="s">
        <v>40</v>
      </c>
      <c r="G5875">
        <v>2040</v>
      </c>
      <c r="H5875" s="12">
        <v>3086</v>
      </c>
      <c r="I5875" t="s">
        <v>3183</v>
      </c>
      <c r="J5875" t="s">
        <v>6</v>
      </c>
      <c r="K5875" t="s">
        <v>657</v>
      </c>
      <c r="L5875" t="s">
        <v>3184</v>
      </c>
      <c r="M5875" t="s">
        <v>659</v>
      </c>
    </row>
    <row r="5876" spans="1:13">
      <c r="A5876" t="s">
        <v>851</v>
      </c>
      <c r="B5876" t="s">
        <v>687</v>
      </c>
      <c r="C5876" t="s">
        <v>687</v>
      </c>
      <c r="D5876" t="s">
        <v>3175</v>
      </c>
      <c r="E5876" t="s">
        <v>660</v>
      </c>
      <c r="F5876" t="s">
        <v>40</v>
      </c>
      <c r="G5876">
        <v>2045</v>
      </c>
      <c r="H5876" s="12">
        <v>2152</v>
      </c>
      <c r="I5876" t="s">
        <v>3183</v>
      </c>
      <c r="J5876" t="s">
        <v>6</v>
      </c>
      <c r="K5876" t="s">
        <v>657</v>
      </c>
      <c r="L5876" t="s">
        <v>3184</v>
      </c>
      <c r="M5876" t="s">
        <v>659</v>
      </c>
    </row>
    <row r="5877" spans="1:13">
      <c r="A5877" t="s">
        <v>851</v>
      </c>
      <c r="B5877" t="s">
        <v>687</v>
      </c>
      <c r="C5877" t="s">
        <v>687</v>
      </c>
      <c r="D5877" t="s">
        <v>3175</v>
      </c>
      <c r="E5877" t="s">
        <v>660</v>
      </c>
      <c r="F5877" t="s">
        <v>40</v>
      </c>
      <c r="G5877">
        <v>2050</v>
      </c>
      <c r="H5877" s="12">
        <v>1523</v>
      </c>
      <c r="I5877" t="s">
        <v>3183</v>
      </c>
      <c r="J5877" t="s">
        <v>6</v>
      </c>
      <c r="K5877" t="s">
        <v>657</v>
      </c>
      <c r="L5877" t="s">
        <v>3184</v>
      </c>
      <c r="M5877" t="s">
        <v>659</v>
      </c>
    </row>
    <row r="5878" spans="1:13">
      <c r="A5878" t="s">
        <v>851</v>
      </c>
      <c r="B5878" t="s">
        <v>686</v>
      </c>
      <c r="C5878" t="s">
        <v>686</v>
      </c>
      <c r="D5878" t="s">
        <v>3175</v>
      </c>
      <c r="E5878" t="s">
        <v>660</v>
      </c>
      <c r="F5878" t="s">
        <v>40</v>
      </c>
      <c r="G5878">
        <v>2010</v>
      </c>
      <c r="H5878" s="12">
        <v>21185</v>
      </c>
      <c r="I5878" t="s">
        <v>3183</v>
      </c>
      <c r="J5878" t="s">
        <v>394</v>
      </c>
      <c r="K5878" t="s">
        <v>657</v>
      </c>
      <c r="L5878" t="s">
        <v>3184</v>
      </c>
      <c r="M5878" t="s">
        <v>16</v>
      </c>
    </row>
    <row r="5879" spans="1:13">
      <c r="A5879" t="s">
        <v>851</v>
      </c>
      <c r="B5879" t="s">
        <v>686</v>
      </c>
      <c r="C5879" t="s">
        <v>686</v>
      </c>
      <c r="D5879" t="s">
        <v>3175</v>
      </c>
      <c r="E5879" t="s">
        <v>660</v>
      </c>
      <c r="F5879" t="s">
        <v>40</v>
      </c>
      <c r="G5879">
        <v>2015</v>
      </c>
      <c r="H5879" s="12">
        <v>19108</v>
      </c>
      <c r="I5879" t="s">
        <v>3183</v>
      </c>
      <c r="J5879" t="s">
        <v>394</v>
      </c>
      <c r="K5879" t="s">
        <v>657</v>
      </c>
      <c r="L5879" t="s">
        <v>3184</v>
      </c>
      <c r="M5879" t="s">
        <v>16</v>
      </c>
    </row>
    <row r="5880" spans="1:13">
      <c r="A5880" t="s">
        <v>851</v>
      </c>
      <c r="B5880" t="s">
        <v>686</v>
      </c>
      <c r="C5880" t="s">
        <v>686</v>
      </c>
      <c r="D5880" t="s">
        <v>3175</v>
      </c>
      <c r="E5880" t="s">
        <v>660</v>
      </c>
      <c r="F5880" t="s">
        <v>40</v>
      </c>
      <c r="G5880">
        <v>2020</v>
      </c>
      <c r="H5880" s="12">
        <v>17511</v>
      </c>
      <c r="I5880" t="s">
        <v>3183</v>
      </c>
      <c r="J5880" t="s">
        <v>394</v>
      </c>
      <c r="K5880" t="s">
        <v>657</v>
      </c>
      <c r="L5880" t="s">
        <v>3184</v>
      </c>
      <c r="M5880" t="s">
        <v>16</v>
      </c>
    </row>
    <row r="5881" spans="1:13">
      <c r="A5881" t="s">
        <v>851</v>
      </c>
      <c r="B5881" t="s">
        <v>686</v>
      </c>
      <c r="C5881" t="s">
        <v>686</v>
      </c>
      <c r="D5881" t="s">
        <v>3175</v>
      </c>
      <c r="E5881" t="s">
        <v>660</v>
      </c>
      <c r="F5881" t="s">
        <v>40</v>
      </c>
      <c r="G5881">
        <v>2030</v>
      </c>
      <c r="H5881" s="12">
        <v>15146</v>
      </c>
      <c r="I5881" t="s">
        <v>3183</v>
      </c>
      <c r="J5881" t="s">
        <v>394</v>
      </c>
      <c r="K5881" t="s">
        <v>657</v>
      </c>
      <c r="L5881" t="s">
        <v>3184</v>
      </c>
      <c r="M5881" t="s">
        <v>16</v>
      </c>
    </row>
    <row r="5882" spans="1:13">
      <c r="A5882" t="s">
        <v>851</v>
      </c>
      <c r="B5882" t="s">
        <v>686</v>
      </c>
      <c r="C5882" t="s">
        <v>686</v>
      </c>
      <c r="D5882" t="s">
        <v>3175</v>
      </c>
      <c r="E5882" t="s">
        <v>660</v>
      </c>
      <c r="F5882" t="s">
        <v>40</v>
      </c>
      <c r="G5882">
        <v>2035</v>
      </c>
      <c r="H5882" s="12">
        <v>13036</v>
      </c>
      <c r="I5882" t="s">
        <v>3183</v>
      </c>
      <c r="J5882" t="s">
        <v>394</v>
      </c>
      <c r="K5882" t="s">
        <v>657</v>
      </c>
      <c r="L5882" t="s">
        <v>3184</v>
      </c>
      <c r="M5882" t="s">
        <v>16</v>
      </c>
    </row>
    <row r="5883" spans="1:13">
      <c r="A5883" t="s">
        <v>851</v>
      </c>
      <c r="B5883" t="s">
        <v>687</v>
      </c>
      <c r="C5883" t="s">
        <v>687</v>
      </c>
      <c r="D5883" t="s">
        <v>3185</v>
      </c>
      <c r="E5883" t="s">
        <v>242</v>
      </c>
      <c r="F5883" t="s">
        <v>663</v>
      </c>
      <c r="G5883">
        <v>2040</v>
      </c>
      <c r="H5883" s="12">
        <v>84.44</v>
      </c>
      <c r="I5883" t="s">
        <v>3183</v>
      </c>
      <c r="J5883" t="s">
        <v>5</v>
      </c>
      <c r="K5883" t="s">
        <v>664</v>
      </c>
      <c r="L5883" t="s">
        <v>650</v>
      </c>
      <c r="M5883" t="s">
        <v>5</v>
      </c>
    </row>
    <row r="5884" spans="1:13">
      <c r="A5884" t="s">
        <v>851</v>
      </c>
      <c r="B5884" t="s">
        <v>687</v>
      </c>
      <c r="C5884" t="s">
        <v>687</v>
      </c>
      <c r="D5884" t="s">
        <v>3185</v>
      </c>
      <c r="E5884" t="s">
        <v>242</v>
      </c>
      <c r="F5884" t="s">
        <v>663</v>
      </c>
      <c r="G5884">
        <v>2045</v>
      </c>
      <c r="H5884" s="12">
        <v>59.73</v>
      </c>
      <c r="I5884" t="s">
        <v>3183</v>
      </c>
      <c r="J5884" t="s">
        <v>5</v>
      </c>
      <c r="K5884" t="s">
        <v>664</v>
      </c>
      <c r="L5884" t="s">
        <v>650</v>
      </c>
      <c r="M5884" t="s">
        <v>5</v>
      </c>
    </row>
    <row r="5885" spans="1:13">
      <c r="A5885" t="s">
        <v>851</v>
      </c>
      <c r="B5885" t="s">
        <v>687</v>
      </c>
      <c r="C5885" t="s">
        <v>687</v>
      </c>
      <c r="D5885" t="s">
        <v>3185</v>
      </c>
      <c r="E5885" t="s">
        <v>242</v>
      </c>
      <c r="F5885" t="s">
        <v>663</v>
      </c>
      <c r="G5885">
        <v>2050</v>
      </c>
      <c r="H5885" s="12">
        <v>35.450000000000003</v>
      </c>
      <c r="I5885" t="s">
        <v>3183</v>
      </c>
      <c r="J5885" t="s">
        <v>5</v>
      </c>
      <c r="K5885" t="s">
        <v>664</v>
      </c>
      <c r="L5885" t="s">
        <v>650</v>
      </c>
      <c r="M5885" t="s">
        <v>5</v>
      </c>
    </row>
    <row r="5886" spans="1:13">
      <c r="A5886" t="s">
        <v>851</v>
      </c>
      <c r="B5886" t="s">
        <v>686</v>
      </c>
      <c r="C5886" t="s">
        <v>686</v>
      </c>
      <c r="D5886" t="s">
        <v>3185</v>
      </c>
      <c r="E5886" t="s">
        <v>242</v>
      </c>
      <c r="F5886" t="s">
        <v>663</v>
      </c>
      <c r="G5886">
        <v>2010</v>
      </c>
      <c r="H5886" s="12">
        <v>1475.65</v>
      </c>
      <c r="I5886" t="s">
        <v>3183</v>
      </c>
      <c r="J5886" t="s">
        <v>394</v>
      </c>
      <c r="K5886" t="s">
        <v>664</v>
      </c>
      <c r="L5886" t="s">
        <v>650</v>
      </c>
      <c r="M5886" t="s">
        <v>16</v>
      </c>
    </row>
    <row r="5887" spans="1:13">
      <c r="A5887" t="s">
        <v>851</v>
      </c>
      <c r="B5887" t="s">
        <v>686</v>
      </c>
      <c r="C5887" t="s">
        <v>686</v>
      </c>
      <c r="D5887" t="s">
        <v>3185</v>
      </c>
      <c r="E5887" t="s">
        <v>242</v>
      </c>
      <c r="F5887" t="s">
        <v>663</v>
      </c>
      <c r="G5887">
        <v>2015</v>
      </c>
      <c r="H5887" s="12">
        <v>1400.91</v>
      </c>
      <c r="I5887" t="s">
        <v>3183</v>
      </c>
      <c r="J5887" t="s">
        <v>394</v>
      </c>
      <c r="K5887" t="s">
        <v>664</v>
      </c>
      <c r="L5887" t="s">
        <v>650</v>
      </c>
      <c r="M5887" t="s">
        <v>16</v>
      </c>
    </row>
    <row r="5888" spans="1:13">
      <c r="A5888" t="s">
        <v>851</v>
      </c>
      <c r="B5888" t="s">
        <v>686</v>
      </c>
      <c r="C5888" t="s">
        <v>686</v>
      </c>
      <c r="D5888" t="s">
        <v>3185</v>
      </c>
      <c r="E5888" t="s">
        <v>242</v>
      </c>
      <c r="F5888" t="s">
        <v>663</v>
      </c>
      <c r="G5888">
        <v>2020</v>
      </c>
      <c r="H5888" s="12">
        <v>1291.79</v>
      </c>
      <c r="I5888" t="s">
        <v>3183</v>
      </c>
      <c r="J5888" t="s">
        <v>394</v>
      </c>
      <c r="K5888" t="s">
        <v>664</v>
      </c>
      <c r="L5888" t="s">
        <v>650</v>
      </c>
      <c r="M5888" t="s">
        <v>16</v>
      </c>
    </row>
    <row r="5889" spans="1:13">
      <c r="A5889" t="s">
        <v>851</v>
      </c>
      <c r="B5889" t="s">
        <v>686</v>
      </c>
      <c r="C5889" t="s">
        <v>686</v>
      </c>
      <c r="D5889" t="s">
        <v>3185</v>
      </c>
      <c r="E5889" t="s">
        <v>242</v>
      </c>
      <c r="F5889" t="s">
        <v>663</v>
      </c>
      <c r="G5889">
        <v>2030</v>
      </c>
      <c r="H5889" s="12">
        <v>1168.46</v>
      </c>
      <c r="I5889" t="s">
        <v>3183</v>
      </c>
      <c r="J5889" t="s">
        <v>394</v>
      </c>
      <c r="K5889" t="s">
        <v>664</v>
      </c>
      <c r="L5889" t="s">
        <v>650</v>
      </c>
      <c r="M5889" t="s">
        <v>16</v>
      </c>
    </row>
    <row r="5890" spans="1:13">
      <c r="A5890" t="s">
        <v>851</v>
      </c>
      <c r="B5890" t="s">
        <v>686</v>
      </c>
      <c r="C5890" t="s">
        <v>686</v>
      </c>
      <c r="D5890" t="s">
        <v>3185</v>
      </c>
      <c r="E5890" t="s">
        <v>242</v>
      </c>
      <c r="F5890" t="s">
        <v>663</v>
      </c>
      <c r="G5890">
        <v>2035</v>
      </c>
      <c r="H5890" s="12">
        <v>1023.8</v>
      </c>
      <c r="I5890" t="s">
        <v>3183</v>
      </c>
      <c r="J5890" t="s">
        <v>394</v>
      </c>
      <c r="K5890" t="s">
        <v>664</v>
      </c>
      <c r="L5890" t="s">
        <v>650</v>
      </c>
      <c r="M5890" t="s">
        <v>16</v>
      </c>
    </row>
    <row r="5891" spans="1:13">
      <c r="A5891" t="s">
        <v>851</v>
      </c>
      <c r="B5891" t="s">
        <v>686</v>
      </c>
      <c r="C5891" t="s">
        <v>686</v>
      </c>
      <c r="D5891" t="s">
        <v>3185</v>
      </c>
      <c r="E5891" t="s">
        <v>242</v>
      </c>
      <c r="F5891" t="s">
        <v>663</v>
      </c>
      <c r="G5891">
        <v>2040</v>
      </c>
      <c r="H5891" s="12">
        <v>897.01</v>
      </c>
      <c r="I5891" t="s">
        <v>3183</v>
      </c>
      <c r="J5891" t="s">
        <v>394</v>
      </c>
      <c r="K5891" t="s">
        <v>664</v>
      </c>
      <c r="L5891" t="s">
        <v>650</v>
      </c>
      <c r="M5891" t="s">
        <v>16</v>
      </c>
    </row>
    <row r="5892" spans="1:13">
      <c r="A5892" t="s">
        <v>851</v>
      </c>
      <c r="B5892" t="s">
        <v>686</v>
      </c>
      <c r="C5892" t="s">
        <v>686</v>
      </c>
      <c r="D5892" t="s">
        <v>3185</v>
      </c>
      <c r="E5892" t="s">
        <v>242</v>
      </c>
      <c r="F5892" t="s">
        <v>663</v>
      </c>
      <c r="G5892">
        <v>2045</v>
      </c>
      <c r="H5892" s="12">
        <v>806.53</v>
      </c>
      <c r="I5892" t="s">
        <v>3183</v>
      </c>
      <c r="J5892" t="s">
        <v>394</v>
      </c>
      <c r="K5892" t="s">
        <v>664</v>
      </c>
      <c r="L5892" t="s">
        <v>650</v>
      </c>
      <c r="M5892" t="s">
        <v>16</v>
      </c>
    </row>
    <row r="5893" spans="1:13">
      <c r="A5893" t="s">
        <v>851</v>
      </c>
      <c r="B5893" t="s">
        <v>686</v>
      </c>
      <c r="C5893" t="s">
        <v>686</v>
      </c>
      <c r="D5893" t="s">
        <v>3185</v>
      </c>
      <c r="E5893" t="s">
        <v>242</v>
      </c>
      <c r="F5893" t="s">
        <v>663</v>
      </c>
      <c r="G5893">
        <v>2050</v>
      </c>
      <c r="H5893" s="12">
        <v>732.76</v>
      </c>
      <c r="I5893" t="s">
        <v>3183</v>
      </c>
      <c r="J5893" t="s">
        <v>394</v>
      </c>
      <c r="K5893" t="s">
        <v>664</v>
      </c>
      <c r="L5893" t="s">
        <v>650</v>
      </c>
      <c r="M5893" t="s">
        <v>16</v>
      </c>
    </row>
    <row r="5894" spans="1:13">
      <c r="A5894" t="s">
        <v>851</v>
      </c>
      <c r="B5894" t="s">
        <v>687</v>
      </c>
      <c r="C5894" t="s">
        <v>687</v>
      </c>
      <c r="D5894" t="s">
        <v>3185</v>
      </c>
      <c r="E5894" t="s">
        <v>242</v>
      </c>
      <c r="F5894" t="s">
        <v>663</v>
      </c>
      <c r="G5894">
        <v>2030</v>
      </c>
      <c r="H5894" s="12">
        <v>952.43</v>
      </c>
      <c r="I5894" t="s">
        <v>3183</v>
      </c>
      <c r="J5894" t="s">
        <v>394</v>
      </c>
      <c r="K5894" t="s">
        <v>664</v>
      </c>
      <c r="L5894" t="s">
        <v>650</v>
      </c>
      <c r="M5894" t="s">
        <v>16</v>
      </c>
    </row>
    <row r="5895" spans="1:13">
      <c r="A5895" t="s">
        <v>851</v>
      </c>
      <c r="B5895" t="s">
        <v>687</v>
      </c>
      <c r="C5895" t="s">
        <v>687</v>
      </c>
      <c r="D5895" t="s">
        <v>3185</v>
      </c>
      <c r="E5895" t="s">
        <v>242</v>
      </c>
      <c r="F5895" t="s">
        <v>663</v>
      </c>
      <c r="G5895">
        <v>2035</v>
      </c>
      <c r="H5895" s="12">
        <v>643.13</v>
      </c>
      <c r="I5895" t="s">
        <v>3183</v>
      </c>
      <c r="J5895" t="s">
        <v>394</v>
      </c>
      <c r="K5895" t="s">
        <v>664</v>
      </c>
      <c r="L5895" t="s">
        <v>650</v>
      </c>
      <c r="M5895" t="s">
        <v>16</v>
      </c>
    </row>
    <row r="5896" spans="1:13">
      <c r="A5896" t="s">
        <v>851</v>
      </c>
      <c r="B5896" t="s">
        <v>687</v>
      </c>
      <c r="C5896" t="s">
        <v>687</v>
      </c>
      <c r="D5896" t="s">
        <v>3185</v>
      </c>
      <c r="E5896" t="s">
        <v>242</v>
      </c>
      <c r="F5896" t="s">
        <v>663</v>
      </c>
      <c r="G5896">
        <v>2040</v>
      </c>
      <c r="H5896" s="12">
        <v>391.47</v>
      </c>
      <c r="I5896" t="s">
        <v>3183</v>
      </c>
      <c r="J5896" t="s">
        <v>394</v>
      </c>
      <c r="K5896" t="s">
        <v>664</v>
      </c>
      <c r="L5896" t="s">
        <v>650</v>
      </c>
      <c r="M5896" t="s">
        <v>16</v>
      </c>
    </row>
    <row r="5897" spans="1:13">
      <c r="A5897" t="s">
        <v>851</v>
      </c>
      <c r="B5897" t="s">
        <v>687</v>
      </c>
      <c r="C5897" t="s">
        <v>687</v>
      </c>
      <c r="D5897" t="s">
        <v>3185</v>
      </c>
      <c r="E5897" t="s">
        <v>242</v>
      </c>
      <c r="F5897" t="s">
        <v>663</v>
      </c>
      <c r="G5897">
        <v>2045</v>
      </c>
      <c r="H5897" s="12">
        <v>239.34</v>
      </c>
      <c r="I5897" t="s">
        <v>3183</v>
      </c>
      <c r="J5897" t="s">
        <v>394</v>
      </c>
      <c r="K5897" t="s">
        <v>664</v>
      </c>
      <c r="L5897" t="s">
        <v>650</v>
      </c>
      <c r="M5897" t="s">
        <v>16</v>
      </c>
    </row>
    <row r="5898" spans="1:13">
      <c r="A5898" t="s">
        <v>851</v>
      </c>
      <c r="B5898" t="s">
        <v>687</v>
      </c>
      <c r="C5898" t="s">
        <v>687</v>
      </c>
      <c r="D5898" t="s">
        <v>3185</v>
      </c>
      <c r="E5898" t="s">
        <v>242</v>
      </c>
      <c r="F5898" t="s">
        <v>663</v>
      </c>
      <c r="G5898">
        <v>2050</v>
      </c>
      <c r="H5898" s="12">
        <v>151.84</v>
      </c>
      <c r="I5898" t="s">
        <v>3183</v>
      </c>
      <c r="J5898" t="s">
        <v>394</v>
      </c>
      <c r="K5898" t="s">
        <v>664</v>
      </c>
      <c r="L5898" t="s">
        <v>650</v>
      </c>
      <c r="M5898" t="s">
        <v>16</v>
      </c>
    </row>
    <row r="5899" spans="1:13">
      <c r="A5899" t="s">
        <v>851</v>
      </c>
      <c r="B5899" t="s">
        <v>686</v>
      </c>
      <c r="C5899" t="s">
        <v>686</v>
      </c>
      <c r="D5899" t="s">
        <v>3185</v>
      </c>
      <c r="E5899" t="s">
        <v>242</v>
      </c>
      <c r="F5899" t="s">
        <v>663</v>
      </c>
      <c r="G5899">
        <v>2010</v>
      </c>
      <c r="H5899" s="12">
        <v>733.8</v>
      </c>
      <c r="I5899" t="s">
        <v>3183</v>
      </c>
      <c r="J5899" t="s">
        <v>6</v>
      </c>
      <c r="K5899" t="s">
        <v>664</v>
      </c>
      <c r="L5899" t="s">
        <v>650</v>
      </c>
      <c r="M5899" t="s">
        <v>659</v>
      </c>
    </row>
    <row r="5900" spans="1:13">
      <c r="A5900" t="s">
        <v>851</v>
      </c>
      <c r="B5900" t="s">
        <v>686</v>
      </c>
      <c r="C5900" t="s">
        <v>686</v>
      </c>
      <c r="D5900" t="s">
        <v>3185</v>
      </c>
      <c r="E5900" t="s">
        <v>242</v>
      </c>
      <c r="F5900" t="s">
        <v>663</v>
      </c>
      <c r="G5900">
        <v>2015</v>
      </c>
      <c r="H5900" s="12">
        <v>647.45000000000005</v>
      </c>
      <c r="I5900" t="s">
        <v>3183</v>
      </c>
      <c r="J5900" t="s">
        <v>6</v>
      </c>
      <c r="K5900" t="s">
        <v>664</v>
      </c>
      <c r="L5900" t="s">
        <v>650</v>
      </c>
      <c r="M5900" t="s">
        <v>659</v>
      </c>
    </row>
    <row r="5901" spans="1:13">
      <c r="A5901" t="s">
        <v>851</v>
      </c>
      <c r="B5901" t="s">
        <v>686</v>
      </c>
      <c r="C5901" t="s">
        <v>686</v>
      </c>
      <c r="D5901" t="s">
        <v>3185</v>
      </c>
      <c r="E5901" t="s">
        <v>242</v>
      </c>
      <c r="F5901" t="s">
        <v>663</v>
      </c>
      <c r="G5901">
        <v>2020</v>
      </c>
      <c r="H5901" s="12">
        <v>655.56</v>
      </c>
      <c r="I5901" t="s">
        <v>3183</v>
      </c>
      <c r="J5901" t="s">
        <v>6</v>
      </c>
      <c r="K5901" t="s">
        <v>664</v>
      </c>
      <c r="L5901" t="s">
        <v>650</v>
      </c>
      <c r="M5901" t="s">
        <v>659</v>
      </c>
    </row>
    <row r="5902" spans="1:13">
      <c r="A5902" t="s">
        <v>851</v>
      </c>
      <c r="B5902" t="s">
        <v>686</v>
      </c>
      <c r="C5902" t="s">
        <v>686</v>
      </c>
      <c r="D5902" t="s">
        <v>3185</v>
      </c>
      <c r="E5902" t="s">
        <v>242</v>
      </c>
      <c r="F5902" t="s">
        <v>663</v>
      </c>
      <c r="G5902">
        <v>2030</v>
      </c>
      <c r="H5902" s="12">
        <v>577.61</v>
      </c>
      <c r="I5902" t="s">
        <v>3183</v>
      </c>
      <c r="J5902" t="s">
        <v>6</v>
      </c>
      <c r="K5902" t="s">
        <v>664</v>
      </c>
      <c r="L5902" t="s">
        <v>650</v>
      </c>
      <c r="M5902" t="s">
        <v>659</v>
      </c>
    </row>
    <row r="5903" spans="1:13">
      <c r="A5903" t="s">
        <v>851</v>
      </c>
      <c r="B5903" t="s">
        <v>686</v>
      </c>
      <c r="C5903" t="s">
        <v>686</v>
      </c>
      <c r="D5903" t="s">
        <v>3185</v>
      </c>
      <c r="E5903" t="s">
        <v>242</v>
      </c>
      <c r="F5903" t="s">
        <v>663</v>
      </c>
      <c r="G5903">
        <v>2035</v>
      </c>
      <c r="H5903" s="12">
        <v>535.4</v>
      </c>
      <c r="I5903" t="s">
        <v>3183</v>
      </c>
      <c r="J5903" t="s">
        <v>6</v>
      </c>
      <c r="K5903" t="s">
        <v>664</v>
      </c>
      <c r="L5903" t="s">
        <v>650</v>
      </c>
      <c r="M5903" t="s">
        <v>659</v>
      </c>
    </row>
    <row r="5904" spans="1:13">
      <c r="A5904" t="s">
        <v>851</v>
      </c>
      <c r="B5904" t="s">
        <v>686</v>
      </c>
      <c r="C5904" t="s">
        <v>686</v>
      </c>
      <c r="D5904" t="s">
        <v>3185</v>
      </c>
      <c r="E5904" t="s">
        <v>242</v>
      </c>
      <c r="F5904" t="s">
        <v>663</v>
      </c>
      <c r="G5904">
        <v>2040</v>
      </c>
      <c r="H5904" s="12">
        <v>502.91</v>
      </c>
      <c r="I5904" t="s">
        <v>3183</v>
      </c>
      <c r="J5904" t="s">
        <v>6</v>
      </c>
      <c r="K5904" t="s">
        <v>664</v>
      </c>
      <c r="L5904" t="s">
        <v>650</v>
      </c>
      <c r="M5904" t="s">
        <v>659</v>
      </c>
    </row>
    <row r="5905" spans="1:13">
      <c r="A5905" t="s">
        <v>851</v>
      </c>
      <c r="B5905" t="s">
        <v>686</v>
      </c>
      <c r="C5905" t="s">
        <v>686</v>
      </c>
      <c r="D5905" t="s">
        <v>3185</v>
      </c>
      <c r="E5905" t="s">
        <v>242</v>
      </c>
      <c r="F5905" t="s">
        <v>663</v>
      </c>
      <c r="G5905">
        <v>2045</v>
      </c>
      <c r="H5905" s="12">
        <v>474.37</v>
      </c>
      <c r="I5905" t="s">
        <v>3183</v>
      </c>
      <c r="J5905" t="s">
        <v>6</v>
      </c>
      <c r="K5905" t="s">
        <v>664</v>
      </c>
      <c r="L5905" t="s">
        <v>650</v>
      </c>
      <c r="M5905" t="s">
        <v>659</v>
      </c>
    </row>
    <row r="5906" spans="1:13">
      <c r="A5906" t="s">
        <v>851</v>
      </c>
      <c r="B5906" t="s">
        <v>686</v>
      </c>
      <c r="C5906" t="s">
        <v>686</v>
      </c>
      <c r="D5906" t="s">
        <v>3185</v>
      </c>
      <c r="E5906" t="s">
        <v>242</v>
      </c>
      <c r="F5906" t="s">
        <v>663</v>
      </c>
      <c r="G5906">
        <v>2050</v>
      </c>
      <c r="H5906" s="12">
        <v>445.47</v>
      </c>
      <c r="I5906" t="s">
        <v>3183</v>
      </c>
      <c r="J5906" t="s">
        <v>6</v>
      </c>
      <c r="K5906" t="s">
        <v>664</v>
      </c>
      <c r="L5906" t="s">
        <v>650</v>
      </c>
      <c r="M5906" t="s">
        <v>659</v>
      </c>
    </row>
    <row r="5907" spans="1:13">
      <c r="A5907" t="s">
        <v>851</v>
      </c>
      <c r="B5907" t="s">
        <v>687</v>
      </c>
      <c r="C5907" t="s">
        <v>687</v>
      </c>
      <c r="D5907" t="s">
        <v>3185</v>
      </c>
      <c r="E5907" t="s">
        <v>242</v>
      </c>
      <c r="F5907" t="s">
        <v>663</v>
      </c>
      <c r="G5907">
        <v>2030</v>
      </c>
      <c r="H5907" s="12">
        <v>415.17</v>
      </c>
      <c r="I5907" t="s">
        <v>3183</v>
      </c>
      <c r="J5907" t="s">
        <v>6</v>
      </c>
      <c r="K5907" t="s">
        <v>664</v>
      </c>
      <c r="L5907" t="s">
        <v>650</v>
      </c>
      <c r="M5907" t="s">
        <v>659</v>
      </c>
    </row>
    <row r="5908" spans="1:13">
      <c r="A5908" t="s">
        <v>851</v>
      </c>
      <c r="B5908" t="s">
        <v>687</v>
      </c>
      <c r="C5908" t="s">
        <v>687</v>
      </c>
      <c r="D5908" t="s">
        <v>3185</v>
      </c>
      <c r="E5908" t="s">
        <v>242</v>
      </c>
      <c r="F5908" t="s">
        <v>663</v>
      </c>
      <c r="G5908">
        <v>2035</v>
      </c>
      <c r="H5908" s="12">
        <v>282.52</v>
      </c>
      <c r="I5908" t="s">
        <v>3183</v>
      </c>
      <c r="J5908" t="s">
        <v>6</v>
      </c>
      <c r="K5908" t="s">
        <v>664</v>
      </c>
      <c r="L5908" t="s">
        <v>650</v>
      </c>
      <c r="M5908" t="s">
        <v>659</v>
      </c>
    </row>
    <row r="5909" spans="1:13">
      <c r="A5909" t="s">
        <v>851</v>
      </c>
      <c r="B5909" t="s">
        <v>687</v>
      </c>
      <c r="C5909" t="s">
        <v>687</v>
      </c>
      <c r="D5909" t="s">
        <v>3185</v>
      </c>
      <c r="E5909" t="s">
        <v>242</v>
      </c>
      <c r="F5909" t="s">
        <v>663</v>
      </c>
      <c r="G5909">
        <v>2040</v>
      </c>
      <c r="H5909" s="12">
        <v>184.61</v>
      </c>
      <c r="I5909" t="s">
        <v>3183</v>
      </c>
      <c r="J5909" t="s">
        <v>6</v>
      </c>
      <c r="K5909" t="s">
        <v>664</v>
      </c>
      <c r="L5909" t="s">
        <v>650</v>
      </c>
      <c r="M5909" t="s">
        <v>659</v>
      </c>
    </row>
    <row r="5910" spans="1:13">
      <c r="A5910" t="s">
        <v>851</v>
      </c>
      <c r="B5910" t="s">
        <v>687</v>
      </c>
      <c r="C5910" t="s">
        <v>687</v>
      </c>
      <c r="D5910" t="s">
        <v>3185</v>
      </c>
      <c r="E5910" t="s">
        <v>242</v>
      </c>
      <c r="F5910" t="s">
        <v>663</v>
      </c>
      <c r="G5910">
        <v>2045</v>
      </c>
      <c r="H5910" s="12">
        <v>118.06</v>
      </c>
      <c r="I5910" t="s">
        <v>3183</v>
      </c>
      <c r="J5910" t="s">
        <v>6</v>
      </c>
      <c r="K5910" t="s">
        <v>664</v>
      </c>
      <c r="L5910" t="s">
        <v>650</v>
      </c>
      <c r="M5910" t="s">
        <v>659</v>
      </c>
    </row>
    <row r="5911" spans="1:13">
      <c r="A5911" t="s">
        <v>851</v>
      </c>
      <c r="B5911" t="s">
        <v>687</v>
      </c>
      <c r="C5911" t="s">
        <v>687</v>
      </c>
      <c r="D5911" t="s">
        <v>3185</v>
      </c>
      <c r="E5911" t="s">
        <v>242</v>
      </c>
      <c r="F5911" t="s">
        <v>663</v>
      </c>
      <c r="G5911">
        <v>2050</v>
      </c>
      <c r="H5911" s="12">
        <v>73.17</v>
      </c>
      <c r="I5911" t="s">
        <v>3183</v>
      </c>
      <c r="J5911" t="s">
        <v>6</v>
      </c>
      <c r="K5911" t="s">
        <v>664</v>
      </c>
      <c r="L5911" t="s">
        <v>650</v>
      </c>
      <c r="M5911" t="s">
        <v>659</v>
      </c>
    </row>
    <row r="5912" spans="1:13">
      <c r="A5912" t="s">
        <v>851</v>
      </c>
      <c r="B5912" t="s">
        <v>686</v>
      </c>
      <c r="C5912" t="s">
        <v>686</v>
      </c>
      <c r="D5912" t="s">
        <v>3185</v>
      </c>
      <c r="E5912" t="s">
        <v>646</v>
      </c>
      <c r="F5912" t="s">
        <v>40</v>
      </c>
      <c r="G5912">
        <v>2010</v>
      </c>
      <c r="H5912" s="12">
        <v>961</v>
      </c>
      <c r="I5912" t="s">
        <v>3183</v>
      </c>
      <c r="J5912" t="s">
        <v>5</v>
      </c>
      <c r="K5912" t="s">
        <v>658</v>
      </c>
      <c r="L5912" t="s">
        <v>650</v>
      </c>
      <c r="M5912" t="s">
        <v>5</v>
      </c>
    </row>
    <row r="5913" spans="1:13">
      <c r="A5913" t="s">
        <v>851</v>
      </c>
      <c r="B5913" t="s">
        <v>686</v>
      </c>
      <c r="C5913" t="s">
        <v>686</v>
      </c>
      <c r="D5913" t="s">
        <v>3185</v>
      </c>
      <c r="E5913" t="s">
        <v>646</v>
      </c>
      <c r="F5913" t="s">
        <v>40</v>
      </c>
      <c r="G5913">
        <v>2015</v>
      </c>
      <c r="H5913" s="12">
        <v>718</v>
      </c>
      <c r="I5913" t="s">
        <v>3183</v>
      </c>
      <c r="J5913" t="s">
        <v>5</v>
      </c>
      <c r="K5913" t="s">
        <v>658</v>
      </c>
      <c r="L5913" t="s">
        <v>650</v>
      </c>
      <c r="M5913" t="s">
        <v>5</v>
      </c>
    </row>
    <row r="5914" spans="1:13">
      <c r="A5914" t="s">
        <v>851</v>
      </c>
      <c r="B5914" t="s">
        <v>686</v>
      </c>
      <c r="C5914" t="s">
        <v>686</v>
      </c>
      <c r="D5914" t="s">
        <v>3185</v>
      </c>
      <c r="E5914" t="s">
        <v>646</v>
      </c>
      <c r="F5914" t="s">
        <v>40</v>
      </c>
      <c r="G5914">
        <v>2020</v>
      </c>
      <c r="H5914" s="12">
        <v>591</v>
      </c>
      <c r="I5914" t="s">
        <v>3183</v>
      </c>
      <c r="J5914" t="s">
        <v>5</v>
      </c>
      <c r="K5914" t="s">
        <v>658</v>
      </c>
      <c r="L5914" t="s">
        <v>650</v>
      </c>
      <c r="M5914" t="s">
        <v>5</v>
      </c>
    </row>
    <row r="5915" spans="1:13">
      <c r="A5915" t="s">
        <v>851</v>
      </c>
      <c r="B5915" t="s">
        <v>686</v>
      </c>
      <c r="C5915" t="s">
        <v>686</v>
      </c>
      <c r="D5915" t="s">
        <v>3185</v>
      </c>
      <c r="E5915" t="s">
        <v>646</v>
      </c>
      <c r="F5915" t="s">
        <v>40</v>
      </c>
      <c r="G5915">
        <v>2030</v>
      </c>
      <c r="H5915" s="12">
        <v>269</v>
      </c>
      <c r="I5915" t="s">
        <v>3183</v>
      </c>
      <c r="J5915" t="s">
        <v>5</v>
      </c>
      <c r="K5915" t="s">
        <v>658</v>
      </c>
      <c r="L5915" t="s">
        <v>650</v>
      </c>
      <c r="M5915" t="s">
        <v>5</v>
      </c>
    </row>
    <row r="5916" spans="1:13">
      <c r="A5916" t="s">
        <v>851</v>
      </c>
      <c r="B5916" t="s">
        <v>686</v>
      </c>
      <c r="C5916" t="s">
        <v>686</v>
      </c>
      <c r="D5916" t="s">
        <v>3185</v>
      </c>
      <c r="E5916" t="s">
        <v>646</v>
      </c>
      <c r="F5916" t="s">
        <v>40</v>
      </c>
      <c r="G5916">
        <v>2035</v>
      </c>
      <c r="H5916" s="12">
        <v>174</v>
      </c>
      <c r="I5916" t="s">
        <v>3183</v>
      </c>
      <c r="J5916" t="s">
        <v>5</v>
      </c>
      <c r="K5916" t="s">
        <v>658</v>
      </c>
      <c r="L5916" t="s">
        <v>650</v>
      </c>
      <c r="M5916" t="s">
        <v>5</v>
      </c>
    </row>
    <row r="5917" spans="1:13">
      <c r="A5917" t="s">
        <v>851</v>
      </c>
      <c r="B5917" t="s">
        <v>686</v>
      </c>
      <c r="C5917" t="s">
        <v>686</v>
      </c>
      <c r="D5917" t="s">
        <v>3185</v>
      </c>
      <c r="E5917" t="s">
        <v>646</v>
      </c>
      <c r="F5917" t="s">
        <v>40</v>
      </c>
      <c r="G5917">
        <v>2040</v>
      </c>
      <c r="H5917" s="12">
        <v>102</v>
      </c>
      <c r="I5917" t="s">
        <v>3183</v>
      </c>
      <c r="J5917" t="s">
        <v>5</v>
      </c>
      <c r="K5917" t="s">
        <v>658</v>
      </c>
      <c r="L5917" t="s">
        <v>650</v>
      </c>
      <c r="M5917" t="s">
        <v>5</v>
      </c>
    </row>
    <row r="5918" spans="1:13">
      <c r="A5918" t="s">
        <v>851</v>
      </c>
      <c r="B5918" t="s">
        <v>686</v>
      </c>
      <c r="C5918" t="s">
        <v>686</v>
      </c>
      <c r="D5918" t="s">
        <v>3185</v>
      </c>
      <c r="E5918" t="s">
        <v>646</v>
      </c>
      <c r="F5918" t="s">
        <v>40</v>
      </c>
      <c r="G5918">
        <v>2045</v>
      </c>
      <c r="H5918" s="12">
        <v>53</v>
      </c>
      <c r="I5918" t="s">
        <v>3183</v>
      </c>
      <c r="J5918" t="s">
        <v>5</v>
      </c>
      <c r="K5918" t="s">
        <v>658</v>
      </c>
      <c r="L5918" t="s">
        <v>650</v>
      </c>
      <c r="M5918" t="s">
        <v>5</v>
      </c>
    </row>
    <row r="5919" spans="1:13">
      <c r="A5919" t="s">
        <v>851</v>
      </c>
      <c r="B5919" t="s">
        <v>686</v>
      </c>
      <c r="C5919" t="s">
        <v>686</v>
      </c>
      <c r="D5919" t="s">
        <v>3185</v>
      </c>
      <c r="E5919" t="s">
        <v>646</v>
      </c>
      <c r="F5919" t="s">
        <v>40</v>
      </c>
      <c r="G5919">
        <v>2050</v>
      </c>
      <c r="H5919" s="12">
        <v>10</v>
      </c>
      <c r="I5919" t="s">
        <v>3183</v>
      </c>
      <c r="J5919" t="s">
        <v>5</v>
      </c>
      <c r="K5919" t="s">
        <v>658</v>
      </c>
      <c r="L5919" t="s">
        <v>650</v>
      </c>
      <c r="M5919" t="s">
        <v>5</v>
      </c>
    </row>
    <row r="5920" spans="1:13">
      <c r="A5920" t="s">
        <v>851</v>
      </c>
      <c r="B5920" t="s">
        <v>687</v>
      </c>
      <c r="C5920" t="s">
        <v>687</v>
      </c>
      <c r="D5920" t="s">
        <v>3185</v>
      </c>
      <c r="E5920" t="s">
        <v>646</v>
      </c>
      <c r="F5920" t="s">
        <v>40</v>
      </c>
      <c r="G5920">
        <v>2030</v>
      </c>
      <c r="H5920" s="12">
        <v>279</v>
      </c>
      <c r="I5920" t="s">
        <v>3183</v>
      </c>
      <c r="J5920" t="s">
        <v>5</v>
      </c>
      <c r="K5920" t="s">
        <v>658</v>
      </c>
      <c r="L5920" t="s">
        <v>650</v>
      </c>
      <c r="M5920" t="s">
        <v>5</v>
      </c>
    </row>
    <row r="5921" spans="1:13">
      <c r="A5921" t="s">
        <v>851</v>
      </c>
      <c r="B5921" t="s">
        <v>687</v>
      </c>
      <c r="C5921" t="s">
        <v>687</v>
      </c>
      <c r="D5921" t="s">
        <v>3185</v>
      </c>
      <c r="E5921" t="s">
        <v>646</v>
      </c>
      <c r="F5921" t="s">
        <v>40</v>
      </c>
      <c r="G5921">
        <v>2035</v>
      </c>
      <c r="H5921" s="12">
        <v>138</v>
      </c>
      <c r="I5921" t="s">
        <v>3183</v>
      </c>
      <c r="J5921" t="s">
        <v>5</v>
      </c>
      <c r="K5921" t="s">
        <v>658</v>
      </c>
      <c r="L5921" t="s">
        <v>650</v>
      </c>
      <c r="M5921" t="s">
        <v>5</v>
      </c>
    </row>
    <row r="5922" spans="1:13">
      <c r="A5922" t="s">
        <v>851</v>
      </c>
      <c r="B5922" t="s">
        <v>687</v>
      </c>
      <c r="C5922" t="s">
        <v>687</v>
      </c>
      <c r="D5922" t="s">
        <v>3185</v>
      </c>
      <c r="E5922" t="s">
        <v>646</v>
      </c>
      <c r="F5922" t="s">
        <v>40</v>
      </c>
      <c r="G5922">
        <v>2040</v>
      </c>
      <c r="H5922" s="12">
        <v>25</v>
      </c>
      <c r="I5922" t="s">
        <v>3183</v>
      </c>
      <c r="J5922" t="s">
        <v>5</v>
      </c>
      <c r="K5922" t="s">
        <v>658</v>
      </c>
      <c r="L5922" t="s">
        <v>650</v>
      </c>
      <c r="M5922" t="s">
        <v>5</v>
      </c>
    </row>
    <row r="5923" spans="1:13">
      <c r="A5923" t="s">
        <v>851</v>
      </c>
      <c r="B5923" t="s">
        <v>687</v>
      </c>
      <c r="C5923" t="s">
        <v>687</v>
      </c>
      <c r="D5923" t="s">
        <v>3185</v>
      </c>
      <c r="E5923" t="s">
        <v>646</v>
      </c>
      <c r="F5923" t="s">
        <v>40</v>
      </c>
      <c r="G5923">
        <v>2045</v>
      </c>
      <c r="H5923" s="12">
        <v>4</v>
      </c>
      <c r="I5923" t="s">
        <v>3183</v>
      </c>
      <c r="J5923" t="s">
        <v>5</v>
      </c>
      <c r="K5923" t="s">
        <v>658</v>
      </c>
      <c r="L5923" t="s">
        <v>650</v>
      </c>
      <c r="M5923" t="s">
        <v>5</v>
      </c>
    </row>
    <row r="5924" spans="1:13">
      <c r="A5924" t="s">
        <v>851</v>
      </c>
      <c r="B5924" t="s">
        <v>687</v>
      </c>
      <c r="C5924" t="s">
        <v>687</v>
      </c>
      <c r="D5924" t="s">
        <v>3185</v>
      </c>
      <c r="E5924" t="s">
        <v>646</v>
      </c>
      <c r="F5924" t="s">
        <v>40</v>
      </c>
      <c r="G5924">
        <v>2050</v>
      </c>
      <c r="H5924" s="12">
        <v>0</v>
      </c>
      <c r="I5924" t="s">
        <v>3183</v>
      </c>
      <c r="J5924" t="s">
        <v>5</v>
      </c>
      <c r="K5924" t="s">
        <v>658</v>
      </c>
      <c r="L5924" t="s">
        <v>650</v>
      </c>
      <c r="M5924" t="s">
        <v>5</v>
      </c>
    </row>
    <row r="5925" spans="1:13">
      <c r="A5925" t="s">
        <v>851</v>
      </c>
      <c r="B5925" t="s">
        <v>686</v>
      </c>
      <c r="C5925" t="s">
        <v>686</v>
      </c>
      <c r="D5925" t="s">
        <v>3185</v>
      </c>
      <c r="E5925" t="s">
        <v>461</v>
      </c>
      <c r="F5925" t="s">
        <v>668</v>
      </c>
      <c r="G5925">
        <v>2020</v>
      </c>
      <c r="H5925" s="12">
        <v>175.78</v>
      </c>
      <c r="I5925" t="s">
        <v>3183</v>
      </c>
      <c r="J5925" t="s">
        <v>17</v>
      </c>
      <c r="K5925" t="s">
        <v>147</v>
      </c>
      <c r="L5925" t="s">
        <v>650</v>
      </c>
      <c r="M5925" t="s">
        <v>671</v>
      </c>
    </row>
    <row r="5926" spans="1:13">
      <c r="A5926" t="s">
        <v>851</v>
      </c>
      <c r="B5926" t="s">
        <v>686</v>
      </c>
      <c r="C5926" t="s">
        <v>686</v>
      </c>
      <c r="D5926" t="s">
        <v>3185</v>
      </c>
      <c r="E5926" t="s">
        <v>461</v>
      </c>
      <c r="F5926" t="s">
        <v>668</v>
      </c>
      <c r="G5926">
        <v>2030</v>
      </c>
      <c r="H5926" s="12">
        <v>552.64</v>
      </c>
      <c r="I5926" t="s">
        <v>3183</v>
      </c>
      <c r="J5926" t="s">
        <v>17</v>
      </c>
      <c r="K5926" t="s">
        <v>147</v>
      </c>
      <c r="L5926" t="s">
        <v>650</v>
      </c>
      <c r="M5926" t="s">
        <v>671</v>
      </c>
    </row>
    <row r="5927" spans="1:13">
      <c r="A5927" t="s">
        <v>851</v>
      </c>
      <c r="B5927" t="s">
        <v>686</v>
      </c>
      <c r="C5927" t="s">
        <v>686</v>
      </c>
      <c r="D5927" t="s">
        <v>3185</v>
      </c>
      <c r="E5927" t="s">
        <v>461</v>
      </c>
      <c r="F5927" t="s">
        <v>668</v>
      </c>
      <c r="G5927">
        <v>2035</v>
      </c>
      <c r="H5927" s="12">
        <v>653.04999999999995</v>
      </c>
      <c r="I5927" t="s">
        <v>3183</v>
      </c>
      <c r="J5927" t="s">
        <v>17</v>
      </c>
      <c r="K5927" t="s">
        <v>147</v>
      </c>
      <c r="L5927" t="s">
        <v>650</v>
      </c>
      <c r="M5927" t="s">
        <v>671</v>
      </c>
    </row>
    <row r="5928" spans="1:13">
      <c r="A5928" t="s">
        <v>851</v>
      </c>
      <c r="B5928" t="s">
        <v>686</v>
      </c>
      <c r="C5928" t="s">
        <v>686</v>
      </c>
      <c r="D5928" t="s">
        <v>3185</v>
      </c>
      <c r="E5928" t="s">
        <v>461</v>
      </c>
      <c r="F5928" t="s">
        <v>668</v>
      </c>
      <c r="G5928">
        <v>2040</v>
      </c>
      <c r="H5928" s="12">
        <v>698.58</v>
      </c>
      <c r="I5928" t="s">
        <v>3183</v>
      </c>
      <c r="J5928" t="s">
        <v>17</v>
      </c>
      <c r="K5928" t="s">
        <v>147</v>
      </c>
      <c r="L5928" t="s">
        <v>650</v>
      </c>
      <c r="M5928" t="s">
        <v>671</v>
      </c>
    </row>
    <row r="5929" spans="1:13">
      <c r="A5929" t="s">
        <v>851</v>
      </c>
      <c r="B5929" t="s">
        <v>686</v>
      </c>
      <c r="C5929" t="s">
        <v>686</v>
      </c>
      <c r="D5929" t="s">
        <v>3185</v>
      </c>
      <c r="E5929" t="s">
        <v>461</v>
      </c>
      <c r="F5929" t="s">
        <v>668</v>
      </c>
      <c r="G5929">
        <v>2045</v>
      </c>
      <c r="H5929" s="12">
        <v>733.71</v>
      </c>
      <c r="I5929" t="s">
        <v>3183</v>
      </c>
      <c r="J5929" t="s">
        <v>17</v>
      </c>
      <c r="K5929" t="s">
        <v>147</v>
      </c>
      <c r="L5929" t="s">
        <v>650</v>
      </c>
      <c r="M5929" t="s">
        <v>671</v>
      </c>
    </row>
    <row r="5930" spans="1:13">
      <c r="A5930" t="s">
        <v>851</v>
      </c>
      <c r="B5930" t="s">
        <v>686</v>
      </c>
      <c r="C5930" t="s">
        <v>686</v>
      </c>
      <c r="D5930" t="s">
        <v>3185</v>
      </c>
      <c r="E5930" t="s">
        <v>461</v>
      </c>
      <c r="F5930" t="s">
        <v>668</v>
      </c>
      <c r="G5930">
        <v>2050</v>
      </c>
      <c r="H5930" s="12">
        <v>764.05</v>
      </c>
      <c r="I5930" t="s">
        <v>3183</v>
      </c>
      <c r="J5930" t="s">
        <v>17</v>
      </c>
      <c r="K5930" t="s">
        <v>147</v>
      </c>
      <c r="L5930" t="s">
        <v>650</v>
      </c>
      <c r="M5930" t="s">
        <v>671</v>
      </c>
    </row>
    <row r="5931" spans="1:13">
      <c r="A5931" t="s">
        <v>851</v>
      </c>
      <c r="B5931" t="s">
        <v>687</v>
      </c>
      <c r="C5931" t="s">
        <v>687</v>
      </c>
      <c r="D5931" t="s">
        <v>3185</v>
      </c>
      <c r="E5931" t="s">
        <v>461</v>
      </c>
      <c r="F5931" t="s">
        <v>668</v>
      </c>
      <c r="G5931">
        <v>2030</v>
      </c>
      <c r="H5931" s="12">
        <v>687.87</v>
      </c>
      <c r="I5931" t="s">
        <v>3183</v>
      </c>
      <c r="J5931" t="s">
        <v>17</v>
      </c>
      <c r="K5931" t="s">
        <v>147</v>
      </c>
      <c r="L5931" t="s">
        <v>650</v>
      </c>
      <c r="M5931" t="s">
        <v>671</v>
      </c>
    </row>
    <row r="5932" spans="1:13">
      <c r="A5932" t="s">
        <v>851</v>
      </c>
      <c r="B5932" t="s">
        <v>687</v>
      </c>
      <c r="C5932" t="s">
        <v>687</v>
      </c>
      <c r="D5932" t="s">
        <v>3185</v>
      </c>
      <c r="E5932" t="s">
        <v>461</v>
      </c>
      <c r="F5932" t="s">
        <v>668</v>
      </c>
      <c r="G5932">
        <v>2035</v>
      </c>
      <c r="H5932" s="12">
        <v>890.91</v>
      </c>
      <c r="I5932" t="s">
        <v>3183</v>
      </c>
      <c r="J5932" t="s">
        <v>17</v>
      </c>
      <c r="K5932" t="s">
        <v>147</v>
      </c>
      <c r="L5932" t="s">
        <v>650</v>
      </c>
      <c r="M5932" t="s">
        <v>671</v>
      </c>
    </row>
    <row r="5933" spans="1:13">
      <c r="A5933" t="s">
        <v>851</v>
      </c>
      <c r="B5933" t="s">
        <v>687</v>
      </c>
      <c r="C5933" t="s">
        <v>687</v>
      </c>
      <c r="D5933" t="s">
        <v>3185</v>
      </c>
      <c r="E5933" t="s">
        <v>461</v>
      </c>
      <c r="F5933" t="s">
        <v>668</v>
      </c>
      <c r="G5933">
        <v>2040</v>
      </c>
      <c r="H5933" s="12">
        <v>1004.01</v>
      </c>
      <c r="I5933" t="s">
        <v>3183</v>
      </c>
      <c r="J5933" t="s">
        <v>17</v>
      </c>
      <c r="K5933" t="s">
        <v>147</v>
      </c>
      <c r="L5933" t="s">
        <v>650</v>
      </c>
      <c r="M5933" t="s">
        <v>671</v>
      </c>
    </row>
    <row r="5934" spans="1:13">
      <c r="A5934" t="s">
        <v>851</v>
      </c>
      <c r="B5934" t="s">
        <v>687</v>
      </c>
      <c r="C5934" t="s">
        <v>687</v>
      </c>
      <c r="D5934" t="s">
        <v>3185</v>
      </c>
      <c r="E5934" t="s">
        <v>461</v>
      </c>
      <c r="F5934" t="s">
        <v>668</v>
      </c>
      <c r="G5934">
        <v>2045</v>
      </c>
      <c r="H5934" s="12">
        <v>1109.8599999999999</v>
      </c>
      <c r="I5934" t="s">
        <v>3183</v>
      </c>
      <c r="J5934" t="s">
        <v>17</v>
      </c>
      <c r="K5934" t="s">
        <v>147</v>
      </c>
      <c r="L5934" t="s">
        <v>650</v>
      </c>
      <c r="M5934" t="s">
        <v>671</v>
      </c>
    </row>
    <row r="5935" spans="1:13">
      <c r="A5935" t="s">
        <v>851</v>
      </c>
      <c r="B5935" t="s">
        <v>687</v>
      </c>
      <c r="C5935" t="s">
        <v>687</v>
      </c>
      <c r="D5935" t="s">
        <v>3185</v>
      </c>
      <c r="E5935" t="s">
        <v>461</v>
      </c>
      <c r="F5935" t="s">
        <v>668</v>
      </c>
      <c r="G5935">
        <v>2050</v>
      </c>
      <c r="H5935" s="12">
        <v>1184.3800000000001</v>
      </c>
      <c r="I5935" t="s">
        <v>3183</v>
      </c>
      <c r="J5935" t="s">
        <v>17</v>
      </c>
      <c r="K5935" t="s">
        <v>147</v>
      </c>
      <c r="L5935" t="s">
        <v>650</v>
      </c>
      <c r="M5935" t="s">
        <v>671</v>
      </c>
    </row>
    <row r="5936" spans="1:13">
      <c r="A5936" t="s">
        <v>851</v>
      </c>
      <c r="B5936" t="s">
        <v>686</v>
      </c>
      <c r="C5936" t="s">
        <v>686</v>
      </c>
      <c r="D5936" t="s">
        <v>3185</v>
      </c>
      <c r="E5936" t="s">
        <v>461</v>
      </c>
      <c r="F5936" t="s">
        <v>668</v>
      </c>
      <c r="G5936">
        <v>2010</v>
      </c>
      <c r="H5936" s="12">
        <v>154.02000000000001</v>
      </c>
      <c r="I5936" t="s">
        <v>3183</v>
      </c>
      <c r="J5936" t="s">
        <v>18</v>
      </c>
      <c r="K5936" t="s">
        <v>147</v>
      </c>
      <c r="L5936" t="s">
        <v>650</v>
      </c>
      <c r="M5936" t="s">
        <v>18</v>
      </c>
    </row>
    <row r="5937" spans="1:13">
      <c r="A5937" t="s">
        <v>851</v>
      </c>
      <c r="B5937" t="s">
        <v>686</v>
      </c>
      <c r="C5937" t="s">
        <v>686</v>
      </c>
      <c r="D5937" t="s">
        <v>3185</v>
      </c>
      <c r="E5937" t="s">
        <v>461</v>
      </c>
      <c r="F5937" t="s">
        <v>668</v>
      </c>
      <c r="G5937">
        <v>2015</v>
      </c>
      <c r="H5937" s="12">
        <v>319.01</v>
      </c>
      <c r="I5937" t="s">
        <v>3183</v>
      </c>
      <c r="J5937" t="s">
        <v>18</v>
      </c>
      <c r="K5937" t="s">
        <v>147</v>
      </c>
      <c r="L5937" t="s">
        <v>650</v>
      </c>
      <c r="M5937" t="s">
        <v>18</v>
      </c>
    </row>
    <row r="5938" spans="1:13">
      <c r="A5938" t="s">
        <v>851</v>
      </c>
      <c r="B5938" t="s">
        <v>686</v>
      </c>
      <c r="C5938" t="s">
        <v>686</v>
      </c>
      <c r="D5938" t="s">
        <v>3185</v>
      </c>
      <c r="E5938" t="s">
        <v>461</v>
      </c>
      <c r="F5938" t="s">
        <v>668</v>
      </c>
      <c r="G5938">
        <v>2020</v>
      </c>
      <c r="H5938" s="12">
        <v>513.16</v>
      </c>
      <c r="I5938" t="s">
        <v>3183</v>
      </c>
      <c r="J5938" t="s">
        <v>18</v>
      </c>
      <c r="K5938" t="s">
        <v>147</v>
      </c>
      <c r="L5938" t="s">
        <v>650</v>
      </c>
      <c r="M5938" t="s">
        <v>18</v>
      </c>
    </row>
    <row r="5939" spans="1:13">
      <c r="A5939" t="s">
        <v>851</v>
      </c>
      <c r="B5939" t="s">
        <v>686</v>
      </c>
      <c r="C5939" t="s">
        <v>686</v>
      </c>
      <c r="D5939" t="s">
        <v>3185</v>
      </c>
      <c r="E5939" t="s">
        <v>461</v>
      </c>
      <c r="F5939" t="s">
        <v>668</v>
      </c>
      <c r="G5939">
        <v>2030</v>
      </c>
      <c r="H5939" s="12">
        <v>1195.81</v>
      </c>
      <c r="I5939" t="s">
        <v>3183</v>
      </c>
      <c r="J5939" t="s">
        <v>18</v>
      </c>
      <c r="K5939" t="s">
        <v>147</v>
      </c>
      <c r="L5939" t="s">
        <v>650</v>
      </c>
      <c r="M5939" t="s">
        <v>18</v>
      </c>
    </row>
    <row r="5940" spans="1:13">
      <c r="A5940" t="s">
        <v>851</v>
      </c>
      <c r="B5940" t="s">
        <v>686</v>
      </c>
      <c r="C5940" t="s">
        <v>686</v>
      </c>
      <c r="D5940" t="s">
        <v>3185</v>
      </c>
      <c r="E5940" t="s">
        <v>461</v>
      </c>
      <c r="F5940" t="s">
        <v>668</v>
      </c>
      <c r="G5940">
        <v>2035</v>
      </c>
      <c r="H5940" s="12">
        <v>1580.32</v>
      </c>
      <c r="I5940" t="s">
        <v>3183</v>
      </c>
      <c r="J5940" t="s">
        <v>18</v>
      </c>
      <c r="K5940" t="s">
        <v>147</v>
      </c>
      <c r="L5940" t="s">
        <v>650</v>
      </c>
      <c r="M5940" t="s">
        <v>18</v>
      </c>
    </row>
    <row r="5941" spans="1:13">
      <c r="A5941" t="s">
        <v>851</v>
      </c>
      <c r="B5941" t="s">
        <v>686</v>
      </c>
      <c r="C5941" t="s">
        <v>686</v>
      </c>
      <c r="D5941" t="s">
        <v>3185</v>
      </c>
      <c r="E5941" t="s">
        <v>461</v>
      </c>
      <c r="F5941" t="s">
        <v>668</v>
      </c>
      <c r="G5941">
        <v>2040</v>
      </c>
      <c r="H5941" s="12">
        <v>1806.35</v>
      </c>
      <c r="I5941" t="s">
        <v>3183</v>
      </c>
      <c r="J5941" t="s">
        <v>18</v>
      </c>
      <c r="K5941" t="s">
        <v>147</v>
      </c>
      <c r="L5941" t="s">
        <v>650</v>
      </c>
      <c r="M5941" t="s">
        <v>18</v>
      </c>
    </row>
    <row r="5942" spans="1:13">
      <c r="A5942" t="s">
        <v>851</v>
      </c>
      <c r="B5942" t="s">
        <v>686</v>
      </c>
      <c r="C5942" t="s">
        <v>686</v>
      </c>
      <c r="D5942" t="s">
        <v>3185</v>
      </c>
      <c r="E5942" t="s">
        <v>461</v>
      </c>
      <c r="F5942" t="s">
        <v>668</v>
      </c>
      <c r="G5942">
        <v>2045</v>
      </c>
      <c r="H5942" s="12">
        <v>1962.96</v>
      </c>
      <c r="I5942" t="s">
        <v>3183</v>
      </c>
      <c r="J5942" t="s">
        <v>18</v>
      </c>
      <c r="K5942" t="s">
        <v>147</v>
      </c>
      <c r="L5942" t="s">
        <v>650</v>
      </c>
      <c r="M5942" t="s">
        <v>18</v>
      </c>
    </row>
    <row r="5943" spans="1:13">
      <c r="A5943" t="s">
        <v>851</v>
      </c>
      <c r="B5943" t="s">
        <v>686</v>
      </c>
      <c r="C5943" t="s">
        <v>686</v>
      </c>
      <c r="D5943" t="s">
        <v>3185</v>
      </c>
      <c r="E5943" t="s">
        <v>461</v>
      </c>
      <c r="F5943" t="s">
        <v>668</v>
      </c>
      <c r="G5943">
        <v>2050</v>
      </c>
      <c r="H5943" s="12">
        <v>2081.21</v>
      </c>
      <c r="I5943" t="s">
        <v>3183</v>
      </c>
      <c r="J5943" t="s">
        <v>18</v>
      </c>
      <c r="K5943" t="s">
        <v>147</v>
      </c>
      <c r="L5943" t="s">
        <v>650</v>
      </c>
      <c r="M5943" t="s">
        <v>18</v>
      </c>
    </row>
    <row r="5944" spans="1:13">
      <c r="A5944" t="s">
        <v>851</v>
      </c>
      <c r="B5944" t="s">
        <v>687</v>
      </c>
      <c r="C5944" t="s">
        <v>687</v>
      </c>
      <c r="D5944" t="s">
        <v>3185</v>
      </c>
      <c r="E5944" t="s">
        <v>242</v>
      </c>
      <c r="F5944" t="s">
        <v>663</v>
      </c>
      <c r="G5944">
        <v>2050</v>
      </c>
      <c r="H5944" s="12">
        <v>49.73</v>
      </c>
      <c r="I5944" t="s">
        <v>3183</v>
      </c>
      <c r="J5944" t="s">
        <v>6</v>
      </c>
      <c r="K5944" t="s">
        <v>147</v>
      </c>
      <c r="L5944" t="s">
        <v>650</v>
      </c>
      <c r="M5944" t="s">
        <v>659</v>
      </c>
    </row>
    <row r="5945" spans="1:13">
      <c r="A5945" t="s">
        <v>851</v>
      </c>
      <c r="B5945" t="s">
        <v>686</v>
      </c>
      <c r="C5945" t="s">
        <v>686</v>
      </c>
      <c r="D5945" t="s">
        <v>3185</v>
      </c>
      <c r="E5945" t="s">
        <v>242</v>
      </c>
      <c r="F5945" t="s">
        <v>663</v>
      </c>
      <c r="G5945">
        <v>2010</v>
      </c>
      <c r="H5945" s="12">
        <v>338.31</v>
      </c>
      <c r="I5945" t="s">
        <v>3183</v>
      </c>
      <c r="J5945" t="s">
        <v>5</v>
      </c>
      <c r="K5945" t="s">
        <v>664</v>
      </c>
      <c r="L5945" t="s">
        <v>650</v>
      </c>
      <c r="M5945" t="s">
        <v>5</v>
      </c>
    </row>
    <row r="5946" spans="1:13">
      <c r="A5946" t="s">
        <v>851</v>
      </c>
      <c r="B5946" t="s">
        <v>686</v>
      </c>
      <c r="C5946" t="s">
        <v>686</v>
      </c>
      <c r="D5946" t="s">
        <v>3185</v>
      </c>
      <c r="E5946" t="s">
        <v>242</v>
      </c>
      <c r="F5946" t="s">
        <v>663</v>
      </c>
      <c r="G5946">
        <v>2015</v>
      </c>
      <c r="H5946" s="12">
        <v>290.73</v>
      </c>
      <c r="I5946" t="s">
        <v>3183</v>
      </c>
      <c r="J5946" t="s">
        <v>5</v>
      </c>
      <c r="K5946" t="s">
        <v>664</v>
      </c>
      <c r="L5946" t="s">
        <v>650</v>
      </c>
      <c r="M5946" t="s">
        <v>5</v>
      </c>
    </row>
    <row r="5947" spans="1:13">
      <c r="A5947" t="s">
        <v>851</v>
      </c>
      <c r="B5947" t="s">
        <v>686</v>
      </c>
      <c r="C5947" t="s">
        <v>686</v>
      </c>
      <c r="D5947" t="s">
        <v>3185</v>
      </c>
      <c r="E5947" t="s">
        <v>242</v>
      </c>
      <c r="F5947" t="s">
        <v>663</v>
      </c>
      <c r="G5947">
        <v>2020</v>
      </c>
      <c r="H5947" s="12">
        <v>248.44</v>
      </c>
      <c r="I5947" t="s">
        <v>3183</v>
      </c>
      <c r="J5947" t="s">
        <v>5</v>
      </c>
      <c r="K5947" t="s">
        <v>664</v>
      </c>
      <c r="L5947" t="s">
        <v>650</v>
      </c>
      <c r="M5947" t="s">
        <v>5</v>
      </c>
    </row>
    <row r="5948" spans="1:13">
      <c r="A5948" t="s">
        <v>851</v>
      </c>
      <c r="B5948" t="s">
        <v>686</v>
      </c>
      <c r="C5948" t="s">
        <v>686</v>
      </c>
      <c r="D5948" t="s">
        <v>3185</v>
      </c>
      <c r="E5948" t="s">
        <v>242</v>
      </c>
      <c r="F5948" t="s">
        <v>663</v>
      </c>
      <c r="G5948">
        <v>2030</v>
      </c>
      <c r="H5948" s="12">
        <v>207.52</v>
      </c>
      <c r="I5948" t="s">
        <v>3183</v>
      </c>
      <c r="J5948" t="s">
        <v>5</v>
      </c>
      <c r="K5948" t="s">
        <v>664</v>
      </c>
      <c r="L5948" t="s">
        <v>650</v>
      </c>
      <c r="M5948" t="s">
        <v>5</v>
      </c>
    </row>
    <row r="5949" spans="1:13">
      <c r="A5949" t="s">
        <v>851</v>
      </c>
      <c r="B5949" t="s">
        <v>686</v>
      </c>
      <c r="C5949" t="s">
        <v>686</v>
      </c>
      <c r="D5949" t="s">
        <v>3185</v>
      </c>
      <c r="E5949" t="s">
        <v>242</v>
      </c>
      <c r="F5949" t="s">
        <v>663</v>
      </c>
      <c r="G5949">
        <v>2035</v>
      </c>
      <c r="H5949" s="12">
        <v>195.96</v>
      </c>
      <c r="I5949" t="s">
        <v>3183</v>
      </c>
      <c r="J5949" t="s">
        <v>5</v>
      </c>
      <c r="K5949" t="s">
        <v>664</v>
      </c>
      <c r="L5949" t="s">
        <v>650</v>
      </c>
      <c r="M5949" t="s">
        <v>5</v>
      </c>
    </row>
    <row r="5950" spans="1:13">
      <c r="A5950" t="s">
        <v>851</v>
      </c>
      <c r="B5950" t="s">
        <v>686</v>
      </c>
      <c r="C5950" t="s">
        <v>686</v>
      </c>
      <c r="D5950" t="s">
        <v>3185</v>
      </c>
      <c r="E5950" t="s">
        <v>242</v>
      </c>
      <c r="F5950" t="s">
        <v>663</v>
      </c>
      <c r="G5950">
        <v>2040</v>
      </c>
      <c r="H5950" s="12">
        <v>185.72</v>
      </c>
      <c r="I5950" t="s">
        <v>3183</v>
      </c>
      <c r="J5950" t="s">
        <v>5</v>
      </c>
      <c r="K5950" t="s">
        <v>664</v>
      </c>
      <c r="L5950" t="s">
        <v>650</v>
      </c>
      <c r="M5950" t="s">
        <v>5</v>
      </c>
    </row>
    <row r="5951" spans="1:13">
      <c r="A5951" t="s">
        <v>851</v>
      </c>
      <c r="B5951" t="s">
        <v>686</v>
      </c>
      <c r="C5951" t="s">
        <v>686</v>
      </c>
      <c r="D5951" t="s">
        <v>3185</v>
      </c>
      <c r="E5951" t="s">
        <v>242</v>
      </c>
      <c r="F5951" t="s">
        <v>663</v>
      </c>
      <c r="G5951">
        <v>2045</v>
      </c>
      <c r="H5951" s="12">
        <v>177.13</v>
      </c>
      <c r="I5951" t="s">
        <v>3183</v>
      </c>
      <c r="J5951" t="s">
        <v>5</v>
      </c>
      <c r="K5951" t="s">
        <v>664</v>
      </c>
      <c r="L5951" t="s">
        <v>650</v>
      </c>
      <c r="M5951" t="s">
        <v>5</v>
      </c>
    </row>
    <row r="5952" spans="1:13">
      <c r="A5952" t="s">
        <v>851</v>
      </c>
      <c r="B5952" t="s">
        <v>686</v>
      </c>
      <c r="C5952" t="s">
        <v>686</v>
      </c>
      <c r="D5952" t="s">
        <v>3185</v>
      </c>
      <c r="E5952" t="s">
        <v>242</v>
      </c>
      <c r="F5952" t="s">
        <v>663</v>
      </c>
      <c r="G5952">
        <v>2050</v>
      </c>
      <c r="H5952" s="12">
        <v>168.12</v>
      </c>
      <c r="I5952" t="s">
        <v>3183</v>
      </c>
      <c r="J5952" t="s">
        <v>5</v>
      </c>
      <c r="K5952" t="s">
        <v>664</v>
      </c>
      <c r="L5952" t="s">
        <v>650</v>
      </c>
      <c r="M5952" t="s">
        <v>5</v>
      </c>
    </row>
    <row r="5953" spans="1:13">
      <c r="A5953" t="s">
        <v>851</v>
      </c>
      <c r="B5953" t="s">
        <v>687</v>
      </c>
      <c r="C5953" t="s">
        <v>687</v>
      </c>
      <c r="D5953" t="s">
        <v>3185</v>
      </c>
      <c r="E5953" t="s">
        <v>242</v>
      </c>
      <c r="F5953" t="s">
        <v>663</v>
      </c>
      <c r="G5953">
        <v>2030</v>
      </c>
      <c r="H5953" s="12">
        <v>163.95</v>
      </c>
      <c r="I5953" t="s">
        <v>3183</v>
      </c>
      <c r="J5953" t="s">
        <v>5</v>
      </c>
      <c r="K5953" t="s">
        <v>664</v>
      </c>
      <c r="L5953" t="s">
        <v>650</v>
      </c>
      <c r="M5953" t="s">
        <v>5</v>
      </c>
    </row>
    <row r="5954" spans="1:13">
      <c r="A5954" t="s">
        <v>851</v>
      </c>
      <c r="B5954" t="s">
        <v>687</v>
      </c>
      <c r="C5954" t="s">
        <v>687</v>
      </c>
      <c r="D5954" t="s">
        <v>3185</v>
      </c>
      <c r="E5954" t="s">
        <v>242</v>
      </c>
      <c r="F5954" t="s">
        <v>663</v>
      </c>
      <c r="G5954">
        <v>2035</v>
      </c>
      <c r="H5954" s="12">
        <v>122.03</v>
      </c>
      <c r="I5954" t="s">
        <v>3183</v>
      </c>
      <c r="J5954" t="s">
        <v>5</v>
      </c>
      <c r="K5954" t="s">
        <v>664</v>
      </c>
      <c r="L5954" t="s">
        <v>650</v>
      </c>
      <c r="M5954" t="s">
        <v>5</v>
      </c>
    </row>
    <row r="5955" spans="1:13">
      <c r="A5955" t="s">
        <v>851</v>
      </c>
      <c r="B5955" t="s">
        <v>686</v>
      </c>
      <c r="C5955" t="s">
        <v>686</v>
      </c>
      <c r="D5955" t="s">
        <v>3185</v>
      </c>
      <c r="E5955" t="s">
        <v>646</v>
      </c>
      <c r="F5955" t="s">
        <v>40</v>
      </c>
      <c r="G5955">
        <v>2010</v>
      </c>
      <c r="H5955" s="12">
        <v>7326</v>
      </c>
      <c r="I5955" t="s">
        <v>3183</v>
      </c>
      <c r="J5955" t="s">
        <v>344</v>
      </c>
      <c r="K5955" t="s">
        <v>658</v>
      </c>
      <c r="L5955" t="s">
        <v>650</v>
      </c>
      <c r="M5955" t="s">
        <v>10</v>
      </c>
    </row>
    <row r="5956" spans="1:13">
      <c r="A5956" t="s">
        <v>851</v>
      </c>
      <c r="B5956" t="s">
        <v>686</v>
      </c>
      <c r="C5956" t="s">
        <v>686</v>
      </c>
      <c r="D5956" t="s">
        <v>3185</v>
      </c>
      <c r="E5956" t="s">
        <v>646</v>
      </c>
      <c r="F5956" t="s">
        <v>40</v>
      </c>
      <c r="G5956">
        <v>2015</v>
      </c>
      <c r="H5956" s="12">
        <v>7182</v>
      </c>
      <c r="I5956" t="s">
        <v>3183</v>
      </c>
      <c r="J5956" t="s">
        <v>344</v>
      </c>
      <c r="K5956" t="s">
        <v>658</v>
      </c>
      <c r="L5956" t="s">
        <v>650</v>
      </c>
      <c r="M5956" t="s">
        <v>10</v>
      </c>
    </row>
    <row r="5957" spans="1:13">
      <c r="A5957" t="s">
        <v>851</v>
      </c>
      <c r="B5957" t="s">
        <v>686</v>
      </c>
      <c r="C5957" t="s">
        <v>686</v>
      </c>
      <c r="D5957" t="s">
        <v>3185</v>
      </c>
      <c r="E5957" t="s">
        <v>646</v>
      </c>
      <c r="F5957" t="s">
        <v>40</v>
      </c>
      <c r="G5957">
        <v>2020</v>
      </c>
      <c r="H5957" s="12">
        <v>7099</v>
      </c>
      <c r="I5957" t="s">
        <v>3183</v>
      </c>
      <c r="J5957" t="s">
        <v>344</v>
      </c>
      <c r="K5957" t="s">
        <v>658</v>
      </c>
      <c r="L5957" t="s">
        <v>650</v>
      </c>
      <c r="M5957" t="s">
        <v>10</v>
      </c>
    </row>
    <row r="5958" spans="1:13">
      <c r="A5958" t="s">
        <v>851</v>
      </c>
      <c r="B5958" t="s">
        <v>686</v>
      </c>
      <c r="C5958" t="s">
        <v>686</v>
      </c>
      <c r="D5958" t="s">
        <v>3185</v>
      </c>
      <c r="E5958" t="s">
        <v>646</v>
      </c>
      <c r="F5958" t="s">
        <v>40</v>
      </c>
      <c r="G5958">
        <v>2030</v>
      </c>
      <c r="H5958" s="12">
        <v>8230</v>
      </c>
      <c r="I5958" t="s">
        <v>3183</v>
      </c>
      <c r="J5958" t="s">
        <v>344</v>
      </c>
      <c r="K5958" t="s">
        <v>658</v>
      </c>
      <c r="L5958" t="s">
        <v>650</v>
      </c>
      <c r="M5958" t="s">
        <v>10</v>
      </c>
    </row>
    <row r="5959" spans="1:13">
      <c r="A5959" t="s">
        <v>851</v>
      </c>
      <c r="B5959" t="s">
        <v>686</v>
      </c>
      <c r="C5959" t="s">
        <v>686</v>
      </c>
      <c r="D5959" t="s">
        <v>3185</v>
      </c>
      <c r="E5959" t="s">
        <v>646</v>
      </c>
      <c r="F5959" t="s">
        <v>40</v>
      </c>
      <c r="G5959">
        <v>2035</v>
      </c>
      <c r="H5959" s="12">
        <v>8447</v>
      </c>
      <c r="I5959" t="s">
        <v>3183</v>
      </c>
      <c r="J5959" t="s">
        <v>344</v>
      </c>
      <c r="K5959" t="s">
        <v>658</v>
      </c>
      <c r="L5959" t="s">
        <v>650</v>
      </c>
      <c r="M5959" t="s">
        <v>10</v>
      </c>
    </row>
    <row r="5960" spans="1:13">
      <c r="A5960" t="s">
        <v>851</v>
      </c>
      <c r="B5960" t="s">
        <v>686</v>
      </c>
      <c r="C5960" t="s">
        <v>686</v>
      </c>
      <c r="D5960" t="s">
        <v>3185</v>
      </c>
      <c r="E5960" t="s">
        <v>646</v>
      </c>
      <c r="F5960" t="s">
        <v>40</v>
      </c>
      <c r="G5960">
        <v>2040</v>
      </c>
      <c r="H5960" s="12">
        <v>8718</v>
      </c>
      <c r="I5960" t="s">
        <v>3183</v>
      </c>
      <c r="J5960" t="s">
        <v>344</v>
      </c>
      <c r="K5960" t="s">
        <v>658</v>
      </c>
      <c r="L5960" t="s">
        <v>650</v>
      </c>
      <c r="M5960" t="s">
        <v>10</v>
      </c>
    </row>
    <row r="5961" spans="1:13">
      <c r="A5961" t="s">
        <v>851</v>
      </c>
      <c r="B5961" t="s">
        <v>686</v>
      </c>
      <c r="C5961" t="s">
        <v>686</v>
      </c>
      <c r="D5961" t="s">
        <v>3185</v>
      </c>
      <c r="E5961" t="s">
        <v>646</v>
      </c>
      <c r="F5961" t="s">
        <v>40</v>
      </c>
      <c r="G5961">
        <v>2045</v>
      </c>
      <c r="H5961" s="12">
        <v>9003</v>
      </c>
      <c r="I5961" t="s">
        <v>3183</v>
      </c>
      <c r="J5961" t="s">
        <v>344</v>
      </c>
      <c r="K5961" t="s">
        <v>658</v>
      </c>
      <c r="L5961" t="s">
        <v>650</v>
      </c>
      <c r="M5961" t="s">
        <v>10</v>
      </c>
    </row>
    <row r="5962" spans="1:13">
      <c r="A5962" t="s">
        <v>851</v>
      </c>
      <c r="B5962" t="s">
        <v>686</v>
      </c>
      <c r="C5962" t="s">
        <v>686</v>
      </c>
      <c r="D5962" t="s">
        <v>3185</v>
      </c>
      <c r="E5962" t="s">
        <v>646</v>
      </c>
      <c r="F5962" t="s">
        <v>40</v>
      </c>
      <c r="G5962">
        <v>2050</v>
      </c>
      <c r="H5962" s="12">
        <v>9289</v>
      </c>
      <c r="I5962" t="s">
        <v>3183</v>
      </c>
      <c r="J5962" t="s">
        <v>344</v>
      </c>
      <c r="K5962" t="s">
        <v>658</v>
      </c>
      <c r="L5962" t="s">
        <v>650</v>
      </c>
      <c r="M5962" t="s">
        <v>10</v>
      </c>
    </row>
    <row r="5963" spans="1:13">
      <c r="A5963" t="s">
        <v>851</v>
      </c>
      <c r="B5963" t="s">
        <v>687</v>
      </c>
      <c r="C5963" t="s">
        <v>687</v>
      </c>
      <c r="D5963" t="s">
        <v>3185</v>
      </c>
      <c r="E5963" t="s">
        <v>646</v>
      </c>
      <c r="F5963" t="s">
        <v>40</v>
      </c>
      <c r="G5963">
        <v>2030</v>
      </c>
      <c r="H5963" s="12">
        <v>7950</v>
      </c>
      <c r="I5963" t="s">
        <v>3183</v>
      </c>
      <c r="J5963" t="s">
        <v>344</v>
      </c>
      <c r="K5963" t="s">
        <v>658</v>
      </c>
      <c r="L5963" t="s">
        <v>650</v>
      </c>
      <c r="M5963" t="s">
        <v>10</v>
      </c>
    </row>
    <row r="5964" spans="1:13">
      <c r="A5964" t="s">
        <v>851</v>
      </c>
      <c r="B5964" t="s">
        <v>687</v>
      </c>
      <c r="C5964" t="s">
        <v>687</v>
      </c>
      <c r="D5964" t="s">
        <v>3185</v>
      </c>
      <c r="E5964" t="s">
        <v>646</v>
      </c>
      <c r="F5964" t="s">
        <v>40</v>
      </c>
      <c r="G5964">
        <v>2035</v>
      </c>
      <c r="H5964" s="12">
        <v>8071</v>
      </c>
      <c r="I5964" t="s">
        <v>3183</v>
      </c>
      <c r="J5964" t="s">
        <v>344</v>
      </c>
      <c r="K5964" t="s">
        <v>658</v>
      </c>
      <c r="L5964" t="s">
        <v>650</v>
      </c>
      <c r="M5964" t="s">
        <v>10</v>
      </c>
    </row>
    <row r="5965" spans="1:13">
      <c r="A5965" t="s">
        <v>851</v>
      </c>
      <c r="B5965" t="s">
        <v>687</v>
      </c>
      <c r="C5965" t="s">
        <v>687</v>
      </c>
      <c r="D5965" t="s">
        <v>3185</v>
      </c>
      <c r="E5965" t="s">
        <v>646</v>
      </c>
      <c r="F5965" t="s">
        <v>40</v>
      </c>
      <c r="G5965">
        <v>2040</v>
      </c>
      <c r="H5965" s="12">
        <v>8266</v>
      </c>
      <c r="I5965" t="s">
        <v>3183</v>
      </c>
      <c r="J5965" t="s">
        <v>344</v>
      </c>
      <c r="K5965" t="s">
        <v>658</v>
      </c>
      <c r="L5965" t="s">
        <v>650</v>
      </c>
      <c r="M5965" t="s">
        <v>10</v>
      </c>
    </row>
    <row r="5966" spans="1:13">
      <c r="A5966" t="s">
        <v>851</v>
      </c>
      <c r="B5966" t="s">
        <v>687</v>
      </c>
      <c r="C5966" t="s">
        <v>687</v>
      </c>
      <c r="D5966" t="s">
        <v>3185</v>
      </c>
      <c r="E5966" t="s">
        <v>646</v>
      </c>
      <c r="F5966" t="s">
        <v>40</v>
      </c>
      <c r="G5966">
        <v>2045</v>
      </c>
      <c r="H5966" s="12">
        <v>8368</v>
      </c>
      <c r="I5966" t="s">
        <v>3183</v>
      </c>
      <c r="J5966" t="s">
        <v>344</v>
      </c>
      <c r="K5966" t="s">
        <v>658</v>
      </c>
      <c r="L5966" t="s">
        <v>650</v>
      </c>
      <c r="M5966" t="s">
        <v>10</v>
      </c>
    </row>
    <row r="5967" spans="1:13">
      <c r="A5967" t="s">
        <v>851</v>
      </c>
      <c r="B5967" t="s">
        <v>687</v>
      </c>
      <c r="C5967" t="s">
        <v>687</v>
      </c>
      <c r="D5967" t="s">
        <v>3185</v>
      </c>
      <c r="E5967" t="s">
        <v>646</v>
      </c>
      <c r="F5967" t="s">
        <v>40</v>
      </c>
      <c r="G5967">
        <v>2050</v>
      </c>
      <c r="H5967" s="12">
        <v>8380</v>
      </c>
      <c r="I5967" t="s">
        <v>3183</v>
      </c>
      <c r="J5967" t="s">
        <v>344</v>
      </c>
      <c r="K5967" t="s">
        <v>658</v>
      </c>
      <c r="L5967" t="s">
        <v>650</v>
      </c>
      <c r="M5967" t="s">
        <v>10</v>
      </c>
    </row>
    <row r="5968" spans="1:13">
      <c r="A5968" t="s">
        <v>851</v>
      </c>
      <c r="B5968" t="s">
        <v>686</v>
      </c>
      <c r="C5968" t="s">
        <v>686</v>
      </c>
      <c r="D5968" t="s">
        <v>3185</v>
      </c>
      <c r="E5968" t="s">
        <v>646</v>
      </c>
      <c r="F5968" t="s">
        <v>40</v>
      </c>
      <c r="G5968">
        <v>2010</v>
      </c>
      <c r="H5968" s="12">
        <v>8223</v>
      </c>
      <c r="I5968" t="s">
        <v>3183</v>
      </c>
      <c r="J5968" t="s">
        <v>6</v>
      </c>
      <c r="K5968" t="s">
        <v>658</v>
      </c>
      <c r="L5968" t="s">
        <v>650</v>
      </c>
      <c r="M5968" t="s">
        <v>659</v>
      </c>
    </row>
    <row r="5969" spans="1:13">
      <c r="A5969" t="s">
        <v>851</v>
      </c>
      <c r="B5969" t="s">
        <v>686</v>
      </c>
      <c r="C5969" t="s">
        <v>686</v>
      </c>
      <c r="D5969" t="s">
        <v>3185</v>
      </c>
      <c r="E5969" t="s">
        <v>646</v>
      </c>
      <c r="F5969" t="s">
        <v>40</v>
      </c>
      <c r="G5969">
        <v>2015</v>
      </c>
      <c r="H5969" s="12">
        <v>7033</v>
      </c>
      <c r="I5969" t="s">
        <v>3183</v>
      </c>
      <c r="J5969" t="s">
        <v>6</v>
      </c>
      <c r="K5969" t="s">
        <v>658</v>
      </c>
      <c r="L5969" t="s">
        <v>650</v>
      </c>
      <c r="M5969" t="s">
        <v>659</v>
      </c>
    </row>
    <row r="5970" spans="1:13">
      <c r="A5970" t="s">
        <v>851</v>
      </c>
      <c r="B5970" t="s">
        <v>686</v>
      </c>
      <c r="C5970" t="s">
        <v>686</v>
      </c>
      <c r="D5970" t="s">
        <v>3185</v>
      </c>
      <c r="E5970" t="s">
        <v>646</v>
      </c>
      <c r="F5970" t="s">
        <v>40</v>
      </c>
      <c r="G5970">
        <v>2020</v>
      </c>
      <c r="H5970" s="12">
        <v>7168</v>
      </c>
      <c r="I5970" t="s">
        <v>3183</v>
      </c>
      <c r="J5970" t="s">
        <v>6</v>
      </c>
      <c r="K5970" t="s">
        <v>658</v>
      </c>
      <c r="L5970" t="s">
        <v>650</v>
      </c>
      <c r="M5970" t="s">
        <v>659</v>
      </c>
    </row>
    <row r="5971" spans="1:13">
      <c r="A5971" t="s">
        <v>851</v>
      </c>
      <c r="B5971" t="s">
        <v>686</v>
      </c>
      <c r="C5971" t="s">
        <v>686</v>
      </c>
      <c r="D5971" t="s">
        <v>3185</v>
      </c>
      <c r="E5971" t="s">
        <v>646</v>
      </c>
      <c r="F5971" t="s">
        <v>40</v>
      </c>
      <c r="G5971">
        <v>2030</v>
      </c>
      <c r="H5971" s="12">
        <v>6221</v>
      </c>
      <c r="I5971" t="s">
        <v>3183</v>
      </c>
      <c r="J5971" t="s">
        <v>6</v>
      </c>
      <c r="K5971" t="s">
        <v>658</v>
      </c>
      <c r="L5971" t="s">
        <v>650</v>
      </c>
      <c r="M5971" t="s">
        <v>659</v>
      </c>
    </row>
    <row r="5972" spans="1:13">
      <c r="A5972" t="s">
        <v>851</v>
      </c>
      <c r="B5972" t="s">
        <v>686</v>
      </c>
      <c r="C5972" t="s">
        <v>686</v>
      </c>
      <c r="D5972" t="s">
        <v>3185</v>
      </c>
      <c r="E5972" t="s">
        <v>646</v>
      </c>
      <c r="F5972" t="s">
        <v>40</v>
      </c>
      <c r="G5972">
        <v>2035</v>
      </c>
      <c r="H5972" s="12">
        <v>5638</v>
      </c>
      <c r="I5972" t="s">
        <v>3183</v>
      </c>
      <c r="J5972" t="s">
        <v>6</v>
      </c>
      <c r="K5972" t="s">
        <v>658</v>
      </c>
      <c r="L5972" t="s">
        <v>650</v>
      </c>
      <c r="M5972" t="s">
        <v>659</v>
      </c>
    </row>
    <row r="5973" spans="1:13">
      <c r="A5973" t="s">
        <v>851</v>
      </c>
      <c r="B5973" t="s">
        <v>686</v>
      </c>
      <c r="C5973" t="s">
        <v>686</v>
      </c>
      <c r="D5973" t="s">
        <v>3185</v>
      </c>
      <c r="E5973" t="s">
        <v>646</v>
      </c>
      <c r="F5973" t="s">
        <v>40</v>
      </c>
      <c r="G5973">
        <v>2040</v>
      </c>
      <c r="H5973" s="12">
        <v>5178</v>
      </c>
      <c r="I5973" t="s">
        <v>3183</v>
      </c>
      <c r="J5973" t="s">
        <v>6</v>
      </c>
      <c r="K5973" t="s">
        <v>658</v>
      </c>
      <c r="L5973" t="s">
        <v>650</v>
      </c>
      <c r="M5973" t="s">
        <v>659</v>
      </c>
    </row>
    <row r="5974" spans="1:13">
      <c r="A5974" t="s">
        <v>851</v>
      </c>
      <c r="B5974" t="s">
        <v>686</v>
      </c>
      <c r="C5974" t="s">
        <v>686</v>
      </c>
      <c r="D5974" t="s">
        <v>3185</v>
      </c>
      <c r="E5974" t="s">
        <v>646</v>
      </c>
      <c r="F5974" t="s">
        <v>40</v>
      </c>
      <c r="G5974">
        <v>2045</v>
      </c>
      <c r="H5974" s="12">
        <v>4781</v>
      </c>
      <c r="I5974" t="s">
        <v>3183</v>
      </c>
      <c r="J5974" t="s">
        <v>6</v>
      </c>
      <c r="K5974" t="s">
        <v>658</v>
      </c>
      <c r="L5974" t="s">
        <v>650</v>
      </c>
      <c r="M5974" t="s">
        <v>659</v>
      </c>
    </row>
    <row r="5975" spans="1:13">
      <c r="A5975" t="s">
        <v>851</v>
      </c>
      <c r="B5975" t="s">
        <v>686</v>
      </c>
      <c r="C5975" t="s">
        <v>686</v>
      </c>
      <c r="D5975" t="s">
        <v>3185</v>
      </c>
      <c r="E5975" t="s">
        <v>646</v>
      </c>
      <c r="F5975" t="s">
        <v>40</v>
      </c>
      <c r="G5975">
        <v>2050</v>
      </c>
      <c r="H5975" s="12">
        <v>4379</v>
      </c>
      <c r="I5975" t="s">
        <v>3183</v>
      </c>
      <c r="J5975" t="s">
        <v>6</v>
      </c>
      <c r="K5975" t="s">
        <v>658</v>
      </c>
      <c r="L5975" t="s">
        <v>650</v>
      </c>
      <c r="M5975" t="s">
        <v>659</v>
      </c>
    </row>
    <row r="5976" spans="1:13">
      <c r="A5976" t="s">
        <v>851</v>
      </c>
      <c r="B5976" t="s">
        <v>687</v>
      </c>
      <c r="C5976" t="s">
        <v>687</v>
      </c>
      <c r="D5976" t="s">
        <v>3185</v>
      </c>
      <c r="E5976" t="s">
        <v>646</v>
      </c>
      <c r="F5976" t="s">
        <v>40</v>
      </c>
      <c r="G5976">
        <v>2030</v>
      </c>
      <c r="H5976" s="12">
        <v>4352</v>
      </c>
      <c r="I5976" t="s">
        <v>3183</v>
      </c>
      <c r="J5976" t="s">
        <v>6</v>
      </c>
      <c r="K5976" t="s">
        <v>658</v>
      </c>
      <c r="L5976" t="s">
        <v>650</v>
      </c>
      <c r="M5976" t="s">
        <v>659</v>
      </c>
    </row>
    <row r="5977" spans="1:13">
      <c r="A5977" t="s">
        <v>851</v>
      </c>
      <c r="B5977" t="s">
        <v>687</v>
      </c>
      <c r="C5977" t="s">
        <v>687</v>
      </c>
      <c r="D5977" t="s">
        <v>3185</v>
      </c>
      <c r="E5977" t="s">
        <v>646</v>
      </c>
      <c r="F5977" t="s">
        <v>40</v>
      </c>
      <c r="G5977">
        <v>2035</v>
      </c>
      <c r="H5977" s="12">
        <v>2608</v>
      </c>
      <c r="I5977" t="s">
        <v>3183</v>
      </c>
      <c r="J5977" t="s">
        <v>6</v>
      </c>
      <c r="K5977" t="s">
        <v>658</v>
      </c>
      <c r="L5977" t="s">
        <v>650</v>
      </c>
      <c r="M5977" t="s">
        <v>659</v>
      </c>
    </row>
    <row r="5978" spans="1:13">
      <c r="A5978" t="s">
        <v>851</v>
      </c>
      <c r="B5978" t="s">
        <v>687</v>
      </c>
      <c r="C5978" t="s">
        <v>687</v>
      </c>
      <c r="D5978" t="s">
        <v>3185</v>
      </c>
      <c r="E5978" t="s">
        <v>646</v>
      </c>
      <c r="F5978" t="s">
        <v>40</v>
      </c>
      <c r="G5978">
        <v>2040</v>
      </c>
      <c r="H5978" s="12">
        <v>1371</v>
      </c>
      <c r="I5978" t="s">
        <v>3183</v>
      </c>
      <c r="J5978" t="s">
        <v>6</v>
      </c>
      <c r="K5978" t="s">
        <v>658</v>
      </c>
      <c r="L5978" t="s">
        <v>650</v>
      </c>
      <c r="M5978" t="s">
        <v>659</v>
      </c>
    </row>
    <row r="5979" spans="1:13">
      <c r="A5979" t="s">
        <v>851</v>
      </c>
      <c r="B5979" t="s">
        <v>687</v>
      </c>
      <c r="C5979" t="s">
        <v>687</v>
      </c>
      <c r="D5979" t="s">
        <v>3185</v>
      </c>
      <c r="E5979" t="s">
        <v>646</v>
      </c>
      <c r="F5979" t="s">
        <v>40</v>
      </c>
      <c r="G5979">
        <v>2045</v>
      </c>
      <c r="H5979" s="12">
        <v>661</v>
      </c>
      <c r="I5979" t="s">
        <v>3183</v>
      </c>
      <c r="J5979" t="s">
        <v>6</v>
      </c>
      <c r="K5979" t="s">
        <v>658</v>
      </c>
      <c r="L5979" t="s">
        <v>650</v>
      </c>
      <c r="M5979" t="s">
        <v>659</v>
      </c>
    </row>
    <row r="5980" spans="1:13">
      <c r="A5980" t="s">
        <v>851</v>
      </c>
      <c r="B5980" t="s">
        <v>687</v>
      </c>
      <c r="C5980" t="s">
        <v>687</v>
      </c>
      <c r="D5980" t="s">
        <v>3185</v>
      </c>
      <c r="E5980" t="s">
        <v>646</v>
      </c>
      <c r="F5980" t="s">
        <v>40</v>
      </c>
      <c r="G5980">
        <v>2050</v>
      </c>
      <c r="H5980" s="12">
        <v>331</v>
      </c>
      <c r="I5980" t="s">
        <v>3183</v>
      </c>
      <c r="J5980" t="s">
        <v>6</v>
      </c>
      <c r="K5980" t="s">
        <v>658</v>
      </c>
      <c r="L5980" t="s">
        <v>650</v>
      </c>
      <c r="M5980" t="s">
        <v>659</v>
      </c>
    </row>
    <row r="5981" spans="1:13">
      <c r="A5981" t="s">
        <v>851</v>
      </c>
      <c r="B5981" t="s">
        <v>686</v>
      </c>
      <c r="C5981" t="s">
        <v>686</v>
      </c>
      <c r="D5981" t="s">
        <v>3185</v>
      </c>
      <c r="E5981" t="s">
        <v>461</v>
      </c>
      <c r="F5981" t="s">
        <v>668</v>
      </c>
      <c r="G5981">
        <v>2010</v>
      </c>
      <c r="H5981" s="12">
        <v>22.67</v>
      </c>
      <c r="I5981" t="s">
        <v>3183</v>
      </c>
      <c r="J5981" t="s">
        <v>17</v>
      </c>
      <c r="K5981" t="s">
        <v>147</v>
      </c>
      <c r="L5981" t="s">
        <v>650</v>
      </c>
      <c r="M5981" t="s">
        <v>671</v>
      </c>
    </row>
    <row r="5982" spans="1:13">
      <c r="A5982" t="s">
        <v>851</v>
      </c>
      <c r="B5982" t="s">
        <v>686</v>
      </c>
      <c r="C5982" t="s">
        <v>686</v>
      </c>
      <c r="D5982" t="s">
        <v>3185</v>
      </c>
      <c r="E5982" t="s">
        <v>461</v>
      </c>
      <c r="F5982" t="s">
        <v>668</v>
      </c>
      <c r="G5982">
        <v>2015</v>
      </c>
      <c r="H5982" s="12">
        <v>105.75</v>
      </c>
      <c r="I5982" t="s">
        <v>3183</v>
      </c>
      <c r="J5982" t="s">
        <v>17</v>
      </c>
      <c r="K5982" t="s">
        <v>147</v>
      </c>
      <c r="L5982" t="s">
        <v>650</v>
      </c>
      <c r="M5982" t="s">
        <v>671</v>
      </c>
    </row>
    <row r="5983" spans="1:13">
      <c r="A5983" t="s">
        <v>851</v>
      </c>
      <c r="B5983" t="s">
        <v>686</v>
      </c>
      <c r="C5983" t="s">
        <v>686</v>
      </c>
      <c r="D5983" t="s">
        <v>3185</v>
      </c>
      <c r="E5983" t="s">
        <v>646</v>
      </c>
      <c r="F5983" t="s">
        <v>40</v>
      </c>
      <c r="G5983">
        <v>2050</v>
      </c>
      <c r="H5983" s="12">
        <v>3677</v>
      </c>
      <c r="I5983" t="s">
        <v>3183</v>
      </c>
      <c r="J5983" t="s">
        <v>6</v>
      </c>
      <c r="K5983" t="s">
        <v>9</v>
      </c>
      <c r="L5983" t="s">
        <v>650</v>
      </c>
      <c r="M5983" t="s">
        <v>666</v>
      </c>
    </row>
    <row r="5984" spans="1:13">
      <c r="A5984" t="s">
        <v>851</v>
      </c>
      <c r="B5984" t="s">
        <v>687</v>
      </c>
      <c r="C5984" t="s">
        <v>687</v>
      </c>
      <c r="D5984" t="s">
        <v>3185</v>
      </c>
      <c r="E5984" t="s">
        <v>646</v>
      </c>
      <c r="F5984" t="s">
        <v>40</v>
      </c>
      <c r="G5984">
        <v>2030</v>
      </c>
      <c r="H5984" s="12">
        <v>3158</v>
      </c>
      <c r="I5984" t="s">
        <v>3183</v>
      </c>
      <c r="J5984" t="s">
        <v>6</v>
      </c>
      <c r="K5984" t="s">
        <v>9</v>
      </c>
      <c r="L5984" t="s">
        <v>650</v>
      </c>
      <c r="M5984" t="s">
        <v>666</v>
      </c>
    </row>
    <row r="5985" spans="1:13">
      <c r="A5985" t="s">
        <v>851</v>
      </c>
      <c r="B5985" t="s">
        <v>687</v>
      </c>
      <c r="C5985" t="s">
        <v>687</v>
      </c>
      <c r="D5985" t="s">
        <v>3185</v>
      </c>
      <c r="E5985" t="s">
        <v>646</v>
      </c>
      <c r="F5985" t="s">
        <v>40</v>
      </c>
      <c r="G5985">
        <v>2035</v>
      </c>
      <c r="H5985" s="12">
        <v>2614</v>
      </c>
      <c r="I5985" t="s">
        <v>3183</v>
      </c>
      <c r="J5985" t="s">
        <v>6</v>
      </c>
      <c r="K5985" t="s">
        <v>9</v>
      </c>
      <c r="L5985" t="s">
        <v>650</v>
      </c>
      <c r="M5985" t="s">
        <v>666</v>
      </c>
    </row>
    <row r="5986" spans="1:13">
      <c r="A5986" t="s">
        <v>851</v>
      </c>
      <c r="B5986" t="s">
        <v>687</v>
      </c>
      <c r="C5986" t="s">
        <v>687</v>
      </c>
      <c r="D5986" t="s">
        <v>3185</v>
      </c>
      <c r="E5986" t="s">
        <v>646</v>
      </c>
      <c r="F5986" t="s">
        <v>40</v>
      </c>
      <c r="G5986">
        <v>2040</v>
      </c>
      <c r="H5986" s="12">
        <v>2156</v>
      </c>
      <c r="I5986" t="s">
        <v>3183</v>
      </c>
      <c r="J5986" t="s">
        <v>6</v>
      </c>
      <c r="K5986" t="s">
        <v>9</v>
      </c>
      <c r="L5986" t="s">
        <v>650</v>
      </c>
      <c r="M5986" t="s">
        <v>666</v>
      </c>
    </row>
    <row r="5987" spans="1:13">
      <c r="A5987" t="s">
        <v>851</v>
      </c>
      <c r="B5987" t="s">
        <v>687</v>
      </c>
      <c r="C5987" t="s">
        <v>687</v>
      </c>
      <c r="D5987" t="s">
        <v>3185</v>
      </c>
      <c r="E5987" t="s">
        <v>646</v>
      </c>
      <c r="F5987" t="s">
        <v>40</v>
      </c>
      <c r="G5987">
        <v>2045</v>
      </c>
      <c r="H5987" s="12">
        <v>1720</v>
      </c>
      <c r="I5987" t="s">
        <v>3183</v>
      </c>
      <c r="J5987" t="s">
        <v>6</v>
      </c>
      <c r="K5987" t="s">
        <v>9</v>
      </c>
      <c r="L5987" t="s">
        <v>650</v>
      </c>
      <c r="M5987" t="s">
        <v>666</v>
      </c>
    </row>
    <row r="5988" spans="1:13">
      <c r="A5988" t="s">
        <v>851</v>
      </c>
      <c r="B5988" t="s">
        <v>687</v>
      </c>
      <c r="C5988" t="s">
        <v>687</v>
      </c>
      <c r="D5988" t="s">
        <v>3185</v>
      </c>
      <c r="E5988" t="s">
        <v>646</v>
      </c>
      <c r="F5988" t="s">
        <v>40</v>
      </c>
      <c r="G5988">
        <v>2050</v>
      </c>
      <c r="H5988" s="12">
        <v>1277</v>
      </c>
      <c r="I5988" t="s">
        <v>3183</v>
      </c>
      <c r="J5988" t="s">
        <v>6</v>
      </c>
      <c r="K5988" t="s">
        <v>9</v>
      </c>
      <c r="L5988" t="s">
        <v>650</v>
      </c>
      <c r="M5988" t="s">
        <v>666</v>
      </c>
    </row>
    <row r="5989" spans="1:13">
      <c r="A5989" t="s">
        <v>851</v>
      </c>
      <c r="B5989" t="s">
        <v>686</v>
      </c>
      <c r="C5989" t="s">
        <v>686</v>
      </c>
      <c r="D5989" t="s">
        <v>3185</v>
      </c>
      <c r="E5989" t="s">
        <v>646</v>
      </c>
      <c r="F5989" t="s">
        <v>40</v>
      </c>
      <c r="G5989">
        <v>2010</v>
      </c>
      <c r="H5989" s="12">
        <v>3254</v>
      </c>
      <c r="I5989" t="s">
        <v>3183</v>
      </c>
      <c r="J5989" t="s">
        <v>5</v>
      </c>
      <c r="K5989" t="s">
        <v>9</v>
      </c>
      <c r="L5989" t="s">
        <v>650</v>
      </c>
      <c r="M5989" t="s">
        <v>665</v>
      </c>
    </row>
    <row r="5990" spans="1:13">
      <c r="A5990" t="s">
        <v>851</v>
      </c>
      <c r="B5990" t="s">
        <v>686</v>
      </c>
      <c r="C5990" t="s">
        <v>686</v>
      </c>
      <c r="D5990" t="s">
        <v>3185</v>
      </c>
      <c r="E5990" t="s">
        <v>646</v>
      </c>
      <c r="F5990" t="s">
        <v>40</v>
      </c>
      <c r="G5990">
        <v>2015</v>
      </c>
      <c r="H5990" s="12">
        <v>3022</v>
      </c>
      <c r="I5990" t="s">
        <v>3183</v>
      </c>
      <c r="J5990" t="s">
        <v>5</v>
      </c>
      <c r="K5990" t="s">
        <v>9</v>
      </c>
      <c r="L5990" t="s">
        <v>650</v>
      </c>
      <c r="M5990" t="s">
        <v>665</v>
      </c>
    </row>
    <row r="5991" spans="1:13">
      <c r="A5991" t="s">
        <v>851</v>
      </c>
      <c r="B5991" t="s">
        <v>686</v>
      </c>
      <c r="C5991" t="s">
        <v>686</v>
      </c>
      <c r="D5991" t="s">
        <v>3185</v>
      </c>
      <c r="E5991" t="s">
        <v>646</v>
      </c>
      <c r="F5991" t="s">
        <v>40</v>
      </c>
      <c r="G5991">
        <v>2020</v>
      </c>
      <c r="H5991" s="12">
        <v>2547</v>
      </c>
      <c r="I5991" t="s">
        <v>3183</v>
      </c>
      <c r="J5991" t="s">
        <v>5</v>
      </c>
      <c r="K5991" t="s">
        <v>9</v>
      </c>
      <c r="L5991" t="s">
        <v>650</v>
      </c>
      <c r="M5991" t="s">
        <v>665</v>
      </c>
    </row>
    <row r="5992" spans="1:13">
      <c r="A5992" t="s">
        <v>851</v>
      </c>
      <c r="B5992" t="s">
        <v>686</v>
      </c>
      <c r="C5992" t="s">
        <v>686</v>
      </c>
      <c r="D5992" t="s">
        <v>3185</v>
      </c>
      <c r="E5992" t="s">
        <v>646</v>
      </c>
      <c r="F5992" t="s">
        <v>40</v>
      </c>
      <c r="G5992">
        <v>2010</v>
      </c>
      <c r="H5992" s="12">
        <v>14505</v>
      </c>
      <c r="I5992" t="s">
        <v>3183</v>
      </c>
      <c r="J5992" t="s">
        <v>394</v>
      </c>
      <c r="K5992" t="s">
        <v>11</v>
      </c>
      <c r="L5992" t="s">
        <v>650</v>
      </c>
      <c r="M5992" t="s">
        <v>16</v>
      </c>
    </row>
    <row r="5993" spans="1:13">
      <c r="A5993" t="s">
        <v>851</v>
      </c>
      <c r="B5993" t="s">
        <v>686</v>
      </c>
      <c r="C5993" t="s">
        <v>686</v>
      </c>
      <c r="D5993" t="s">
        <v>3185</v>
      </c>
      <c r="E5993" t="s">
        <v>646</v>
      </c>
      <c r="F5993" t="s">
        <v>40</v>
      </c>
      <c r="G5993">
        <v>2015</v>
      </c>
      <c r="H5993" s="12">
        <v>14499</v>
      </c>
      <c r="I5993" t="s">
        <v>3183</v>
      </c>
      <c r="J5993" t="s">
        <v>394</v>
      </c>
      <c r="K5993" t="s">
        <v>11</v>
      </c>
      <c r="L5993" t="s">
        <v>650</v>
      </c>
      <c r="M5993" t="s">
        <v>16</v>
      </c>
    </row>
    <row r="5994" spans="1:13">
      <c r="A5994" t="s">
        <v>851</v>
      </c>
      <c r="B5994" t="s">
        <v>686</v>
      </c>
      <c r="C5994" t="s">
        <v>686</v>
      </c>
      <c r="D5994" t="s">
        <v>3185</v>
      </c>
      <c r="E5994" t="s">
        <v>646</v>
      </c>
      <c r="F5994" t="s">
        <v>40</v>
      </c>
      <c r="G5994">
        <v>2020</v>
      </c>
      <c r="H5994" s="12">
        <v>13214</v>
      </c>
      <c r="I5994" t="s">
        <v>3183</v>
      </c>
      <c r="J5994" t="s">
        <v>394</v>
      </c>
      <c r="K5994" t="s">
        <v>11</v>
      </c>
      <c r="L5994" t="s">
        <v>650</v>
      </c>
      <c r="M5994" t="s">
        <v>16</v>
      </c>
    </row>
    <row r="5995" spans="1:13">
      <c r="A5995" t="s">
        <v>851</v>
      </c>
      <c r="B5995" t="s">
        <v>686</v>
      </c>
      <c r="C5995" t="s">
        <v>686</v>
      </c>
      <c r="D5995" t="s">
        <v>3185</v>
      </c>
      <c r="E5995" t="s">
        <v>646</v>
      </c>
      <c r="F5995" t="s">
        <v>40</v>
      </c>
      <c r="G5995">
        <v>2030</v>
      </c>
      <c r="H5995" s="12">
        <v>12421</v>
      </c>
      <c r="I5995" t="s">
        <v>3183</v>
      </c>
      <c r="J5995" t="s">
        <v>394</v>
      </c>
      <c r="K5995" t="s">
        <v>11</v>
      </c>
      <c r="L5995" t="s">
        <v>650</v>
      </c>
      <c r="M5995" t="s">
        <v>16</v>
      </c>
    </row>
    <row r="5996" spans="1:13">
      <c r="A5996" t="s">
        <v>851</v>
      </c>
      <c r="B5996" t="s">
        <v>686</v>
      </c>
      <c r="C5996" t="s">
        <v>686</v>
      </c>
      <c r="D5996" t="s">
        <v>3185</v>
      </c>
      <c r="E5996" t="s">
        <v>646</v>
      </c>
      <c r="F5996" t="s">
        <v>40</v>
      </c>
      <c r="G5996">
        <v>2035</v>
      </c>
      <c r="H5996" s="12">
        <v>10964</v>
      </c>
      <c r="I5996" t="s">
        <v>3183</v>
      </c>
      <c r="J5996" t="s">
        <v>394</v>
      </c>
      <c r="K5996" t="s">
        <v>11</v>
      </c>
      <c r="L5996" t="s">
        <v>650</v>
      </c>
      <c r="M5996" t="s">
        <v>16</v>
      </c>
    </row>
    <row r="5997" spans="1:13">
      <c r="A5997" t="s">
        <v>851</v>
      </c>
      <c r="B5997" t="s">
        <v>686</v>
      </c>
      <c r="C5997" t="s">
        <v>686</v>
      </c>
      <c r="D5997" t="s">
        <v>3185</v>
      </c>
      <c r="E5997" t="s">
        <v>646</v>
      </c>
      <c r="F5997" t="s">
        <v>40</v>
      </c>
      <c r="G5997">
        <v>2040</v>
      </c>
      <c r="H5997" s="12">
        <v>9634</v>
      </c>
      <c r="I5997" t="s">
        <v>3183</v>
      </c>
      <c r="J5997" t="s">
        <v>394</v>
      </c>
      <c r="K5997" t="s">
        <v>11</v>
      </c>
      <c r="L5997" t="s">
        <v>650</v>
      </c>
      <c r="M5997" t="s">
        <v>16</v>
      </c>
    </row>
    <row r="5998" spans="1:13">
      <c r="A5998" t="s">
        <v>851</v>
      </c>
      <c r="B5998" t="s">
        <v>686</v>
      </c>
      <c r="C5998" t="s">
        <v>686</v>
      </c>
      <c r="D5998" t="s">
        <v>3185</v>
      </c>
      <c r="E5998" t="s">
        <v>646</v>
      </c>
      <c r="F5998" t="s">
        <v>40</v>
      </c>
      <c r="G5998">
        <v>2045</v>
      </c>
      <c r="H5998" s="12">
        <v>8670</v>
      </c>
      <c r="I5998" t="s">
        <v>3183</v>
      </c>
      <c r="J5998" t="s">
        <v>394</v>
      </c>
      <c r="K5998" t="s">
        <v>11</v>
      </c>
      <c r="L5998" t="s">
        <v>650</v>
      </c>
      <c r="M5998" t="s">
        <v>16</v>
      </c>
    </row>
    <row r="5999" spans="1:13">
      <c r="A5999" t="s">
        <v>851</v>
      </c>
      <c r="B5999" t="s">
        <v>686</v>
      </c>
      <c r="C5999" t="s">
        <v>686</v>
      </c>
      <c r="D5999" t="s">
        <v>3185</v>
      </c>
      <c r="E5999" t="s">
        <v>646</v>
      </c>
      <c r="F5999" t="s">
        <v>40</v>
      </c>
      <c r="G5999">
        <v>2050</v>
      </c>
      <c r="H5999" s="12">
        <v>7892</v>
      </c>
      <c r="I5999" t="s">
        <v>3183</v>
      </c>
      <c r="J5999" t="s">
        <v>394</v>
      </c>
      <c r="K5999" t="s">
        <v>11</v>
      </c>
      <c r="L5999" t="s">
        <v>650</v>
      </c>
      <c r="M5999" t="s">
        <v>16</v>
      </c>
    </row>
    <row r="6000" spans="1:13">
      <c r="A6000" t="s">
        <v>851</v>
      </c>
      <c r="B6000" t="s">
        <v>687</v>
      </c>
      <c r="C6000" t="s">
        <v>687</v>
      </c>
      <c r="D6000" t="s">
        <v>3185</v>
      </c>
      <c r="E6000" t="s">
        <v>646</v>
      </c>
      <c r="F6000" t="s">
        <v>40</v>
      </c>
      <c r="G6000">
        <v>2030</v>
      </c>
      <c r="H6000" s="12">
        <v>10347</v>
      </c>
      <c r="I6000" t="s">
        <v>3183</v>
      </c>
      <c r="J6000" t="s">
        <v>394</v>
      </c>
      <c r="K6000" t="s">
        <v>11</v>
      </c>
      <c r="L6000" t="s">
        <v>650</v>
      </c>
      <c r="M6000" t="s">
        <v>16</v>
      </c>
    </row>
    <row r="6001" spans="1:13">
      <c r="A6001" t="s">
        <v>851</v>
      </c>
      <c r="B6001" t="s">
        <v>687</v>
      </c>
      <c r="C6001" t="s">
        <v>687</v>
      </c>
      <c r="D6001" t="s">
        <v>3185</v>
      </c>
      <c r="E6001" t="s">
        <v>646</v>
      </c>
      <c r="F6001" t="s">
        <v>40</v>
      </c>
      <c r="G6001">
        <v>2035</v>
      </c>
      <c r="H6001" s="12">
        <v>7150</v>
      </c>
      <c r="I6001" t="s">
        <v>3183</v>
      </c>
      <c r="J6001" t="s">
        <v>394</v>
      </c>
      <c r="K6001" t="s">
        <v>11</v>
      </c>
      <c r="L6001" t="s">
        <v>650</v>
      </c>
      <c r="M6001" t="s">
        <v>16</v>
      </c>
    </row>
    <row r="6002" spans="1:13">
      <c r="A6002" t="s">
        <v>851</v>
      </c>
      <c r="B6002" t="s">
        <v>687</v>
      </c>
      <c r="C6002" t="s">
        <v>687</v>
      </c>
      <c r="D6002" t="s">
        <v>3185</v>
      </c>
      <c r="E6002" t="s">
        <v>646</v>
      </c>
      <c r="F6002" t="s">
        <v>40</v>
      </c>
      <c r="G6002">
        <v>2040</v>
      </c>
      <c r="H6002" s="12">
        <v>4327</v>
      </c>
      <c r="I6002" t="s">
        <v>3183</v>
      </c>
      <c r="J6002" t="s">
        <v>394</v>
      </c>
      <c r="K6002" t="s">
        <v>11</v>
      </c>
      <c r="L6002" t="s">
        <v>650</v>
      </c>
      <c r="M6002" t="s">
        <v>16</v>
      </c>
    </row>
    <row r="6003" spans="1:13">
      <c r="A6003" t="s">
        <v>851</v>
      </c>
      <c r="B6003" t="s">
        <v>687</v>
      </c>
      <c r="C6003" t="s">
        <v>687</v>
      </c>
      <c r="D6003" t="s">
        <v>3185</v>
      </c>
      <c r="E6003" t="s">
        <v>646</v>
      </c>
      <c r="F6003" t="s">
        <v>40</v>
      </c>
      <c r="G6003">
        <v>2045</v>
      </c>
      <c r="H6003" s="12">
        <v>2609</v>
      </c>
      <c r="I6003" t="s">
        <v>3183</v>
      </c>
      <c r="J6003" t="s">
        <v>394</v>
      </c>
      <c r="K6003" t="s">
        <v>11</v>
      </c>
      <c r="L6003" t="s">
        <v>650</v>
      </c>
      <c r="M6003" t="s">
        <v>16</v>
      </c>
    </row>
    <row r="6004" spans="1:13">
      <c r="A6004" t="s">
        <v>851</v>
      </c>
      <c r="B6004" t="s">
        <v>687</v>
      </c>
      <c r="C6004" t="s">
        <v>687</v>
      </c>
      <c r="D6004" t="s">
        <v>3185</v>
      </c>
      <c r="E6004" t="s">
        <v>646</v>
      </c>
      <c r="F6004" t="s">
        <v>40</v>
      </c>
      <c r="G6004">
        <v>2050</v>
      </c>
      <c r="H6004" s="12">
        <v>1682</v>
      </c>
      <c r="I6004" t="s">
        <v>3183</v>
      </c>
      <c r="J6004" t="s">
        <v>394</v>
      </c>
      <c r="K6004" t="s">
        <v>11</v>
      </c>
      <c r="L6004" t="s">
        <v>650</v>
      </c>
      <c r="M6004" t="s">
        <v>16</v>
      </c>
    </row>
    <row r="6005" spans="1:13">
      <c r="A6005" t="s">
        <v>851</v>
      </c>
      <c r="B6005" t="s">
        <v>686</v>
      </c>
      <c r="C6005" t="s">
        <v>686</v>
      </c>
      <c r="D6005" t="s">
        <v>3185</v>
      </c>
      <c r="E6005" t="s">
        <v>646</v>
      </c>
      <c r="F6005" t="s">
        <v>40</v>
      </c>
      <c r="G6005">
        <v>2010</v>
      </c>
      <c r="H6005" s="12">
        <v>276</v>
      </c>
      <c r="I6005" t="s">
        <v>3183</v>
      </c>
      <c r="J6005" t="s">
        <v>6</v>
      </c>
      <c r="K6005" t="s">
        <v>11</v>
      </c>
      <c r="L6005" t="s">
        <v>650</v>
      </c>
      <c r="M6005" t="s">
        <v>659</v>
      </c>
    </row>
    <row r="6006" spans="1:13">
      <c r="A6006" t="s">
        <v>851</v>
      </c>
      <c r="B6006" t="s">
        <v>686</v>
      </c>
      <c r="C6006" t="s">
        <v>686</v>
      </c>
      <c r="D6006" t="s">
        <v>3185</v>
      </c>
      <c r="E6006" t="s">
        <v>646</v>
      </c>
      <c r="F6006" t="s">
        <v>40</v>
      </c>
      <c r="G6006">
        <v>2015</v>
      </c>
      <c r="H6006" s="12">
        <v>233</v>
      </c>
      <c r="I6006" t="s">
        <v>3183</v>
      </c>
      <c r="J6006" t="s">
        <v>6</v>
      </c>
      <c r="K6006" t="s">
        <v>11</v>
      </c>
      <c r="L6006" t="s">
        <v>650</v>
      </c>
      <c r="M6006" t="s">
        <v>659</v>
      </c>
    </row>
    <row r="6007" spans="1:13">
      <c r="A6007" t="s">
        <v>851</v>
      </c>
      <c r="B6007" t="s">
        <v>686</v>
      </c>
      <c r="C6007" t="s">
        <v>686</v>
      </c>
      <c r="D6007" t="s">
        <v>3185</v>
      </c>
      <c r="E6007" t="s">
        <v>646</v>
      </c>
      <c r="F6007" t="s">
        <v>40</v>
      </c>
      <c r="G6007">
        <v>2020</v>
      </c>
      <c r="H6007" s="12">
        <v>189</v>
      </c>
      <c r="I6007" t="s">
        <v>3183</v>
      </c>
      <c r="J6007" t="s">
        <v>6</v>
      </c>
      <c r="K6007" t="s">
        <v>11</v>
      </c>
      <c r="L6007" t="s">
        <v>650</v>
      </c>
      <c r="M6007" t="s">
        <v>659</v>
      </c>
    </row>
    <row r="6008" spans="1:13">
      <c r="A6008" t="s">
        <v>851</v>
      </c>
      <c r="B6008" t="s">
        <v>686</v>
      </c>
      <c r="C6008" t="s">
        <v>686</v>
      </c>
      <c r="D6008" t="s">
        <v>3185</v>
      </c>
      <c r="E6008" t="s">
        <v>646</v>
      </c>
      <c r="F6008" t="s">
        <v>40</v>
      </c>
      <c r="G6008">
        <v>2030</v>
      </c>
      <c r="H6008" s="12">
        <v>174</v>
      </c>
      <c r="I6008" t="s">
        <v>3183</v>
      </c>
      <c r="J6008" t="s">
        <v>6</v>
      </c>
      <c r="K6008" t="s">
        <v>11</v>
      </c>
      <c r="L6008" t="s">
        <v>650</v>
      </c>
      <c r="M6008" t="s">
        <v>659</v>
      </c>
    </row>
    <row r="6009" spans="1:13">
      <c r="A6009" t="s">
        <v>851</v>
      </c>
      <c r="B6009" t="s">
        <v>686</v>
      </c>
      <c r="C6009" t="s">
        <v>686</v>
      </c>
      <c r="D6009" t="s">
        <v>3185</v>
      </c>
      <c r="E6009" t="s">
        <v>646</v>
      </c>
      <c r="F6009" t="s">
        <v>40</v>
      </c>
      <c r="G6009">
        <v>2035</v>
      </c>
      <c r="H6009" s="12">
        <v>163</v>
      </c>
      <c r="I6009" t="s">
        <v>3183</v>
      </c>
      <c r="J6009" t="s">
        <v>6</v>
      </c>
      <c r="K6009" t="s">
        <v>11</v>
      </c>
      <c r="L6009" t="s">
        <v>650</v>
      </c>
      <c r="M6009" t="s">
        <v>659</v>
      </c>
    </row>
    <row r="6010" spans="1:13">
      <c r="A6010" t="s">
        <v>851</v>
      </c>
      <c r="B6010" t="s">
        <v>686</v>
      </c>
      <c r="C6010" t="s">
        <v>686</v>
      </c>
      <c r="D6010" t="s">
        <v>3185</v>
      </c>
      <c r="E6010" t="s">
        <v>646</v>
      </c>
      <c r="F6010" t="s">
        <v>40</v>
      </c>
      <c r="G6010">
        <v>2040</v>
      </c>
      <c r="H6010" s="12">
        <v>157</v>
      </c>
      <c r="I6010" t="s">
        <v>3183</v>
      </c>
      <c r="J6010" t="s">
        <v>6</v>
      </c>
      <c r="K6010" t="s">
        <v>11</v>
      </c>
      <c r="L6010" t="s">
        <v>650</v>
      </c>
      <c r="M6010" t="s">
        <v>659</v>
      </c>
    </row>
    <row r="6011" spans="1:13">
      <c r="A6011" t="s">
        <v>851</v>
      </c>
      <c r="B6011" t="s">
        <v>686</v>
      </c>
      <c r="C6011" t="s">
        <v>686</v>
      </c>
      <c r="D6011" t="s">
        <v>3185</v>
      </c>
      <c r="E6011" t="s">
        <v>646</v>
      </c>
      <c r="F6011" t="s">
        <v>40</v>
      </c>
      <c r="G6011">
        <v>2045</v>
      </c>
      <c r="H6011" s="12">
        <v>150</v>
      </c>
      <c r="I6011" t="s">
        <v>3183</v>
      </c>
      <c r="J6011" t="s">
        <v>6</v>
      </c>
      <c r="K6011" t="s">
        <v>11</v>
      </c>
      <c r="L6011" t="s">
        <v>650</v>
      </c>
      <c r="M6011" t="s">
        <v>659</v>
      </c>
    </row>
    <row r="6012" spans="1:13">
      <c r="A6012" t="s">
        <v>851</v>
      </c>
      <c r="B6012" t="s">
        <v>686</v>
      </c>
      <c r="C6012" t="s">
        <v>686</v>
      </c>
      <c r="D6012" t="s">
        <v>3185</v>
      </c>
      <c r="E6012" t="s">
        <v>646</v>
      </c>
      <c r="F6012" t="s">
        <v>40</v>
      </c>
      <c r="G6012">
        <v>2050</v>
      </c>
      <c r="H6012" s="12">
        <v>138</v>
      </c>
      <c r="I6012" t="s">
        <v>3183</v>
      </c>
      <c r="J6012" t="s">
        <v>6</v>
      </c>
      <c r="K6012" t="s">
        <v>11</v>
      </c>
      <c r="L6012" t="s">
        <v>650</v>
      </c>
      <c r="M6012" t="s">
        <v>659</v>
      </c>
    </row>
    <row r="6013" spans="1:13">
      <c r="A6013" t="s">
        <v>851</v>
      </c>
      <c r="B6013" t="s">
        <v>687</v>
      </c>
      <c r="C6013" t="s">
        <v>687</v>
      </c>
      <c r="D6013" t="s">
        <v>3185</v>
      </c>
      <c r="E6013" t="s">
        <v>646</v>
      </c>
      <c r="F6013" t="s">
        <v>40</v>
      </c>
      <c r="G6013">
        <v>2030</v>
      </c>
      <c r="H6013" s="12">
        <v>121</v>
      </c>
      <c r="I6013" t="s">
        <v>3183</v>
      </c>
      <c r="J6013" t="s">
        <v>6</v>
      </c>
      <c r="K6013" t="s">
        <v>11</v>
      </c>
      <c r="L6013" t="s">
        <v>650</v>
      </c>
      <c r="M6013" t="s">
        <v>659</v>
      </c>
    </row>
    <row r="6014" spans="1:13">
      <c r="A6014" t="s">
        <v>851</v>
      </c>
      <c r="B6014" t="s">
        <v>687</v>
      </c>
      <c r="C6014" t="s">
        <v>687</v>
      </c>
      <c r="D6014" t="s">
        <v>3185</v>
      </c>
      <c r="E6014" t="s">
        <v>646</v>
      </c>
      <c r="F6014" t="s">
        <v>40</v>
      </c>
      <c r="G6014">
        <v>2035</v>
      </c>
      <c r="H6014" s="12">
        <v>86</v>
      </c>
      <c r="I6014" t="s">
        <v>3183</v>
      </c>
      <c r="J6014" t="s">
        <v>6</v>
      </c>
      <c r="K6014" t="s">
        <v>11</v>
      </c>
      <c r="L6014" t="s">
        <v>650</v>
      </c>
      <c r="M6014" t="s">
        <v>659</v>
      </c>
    </row>
    <row r="6015" spans="1:13">
      <c r="A6015" t="s">
        <v>851</v>
      </c>
      <c r="B6015" t="s">
        <v>687</v>
      </c>
      <c r="C6015" t="s">
        <v>687</v>
      </c>
      <c r="D6015" t="s">
        <v>3185</v>
      </c>
      <c r="E6015" t="s">
        <v>646</v>
      </c>
      <c r="F6015" t="s">
        <v>40</v>
      </c>
      <c r="G6015">
        <v>2040</v>
      </c>
      <c r="H6015" s="12">
        <v>57</v>
      </c>
      <c r="I6015" t="s">
        <v>3183</v>
      </c>
      <c r="J6015" t="s">
        <v>6</v>
      </c>
      <c r="K6015" t="s">
        <v>11</v>
      </c>
      <c r="L6015" t="s">
        <v>650</v>
      </c>
      <c r="M6015" t="s">
        <v>659</v>
      </c>
    </row>
    <row r="6016" spans="1:13">
      <c r="A6016" t="s">
        <v>851</v>
      </c>
      <c r="B6016" t="s">
        <v>687</v>
      </c>
      <c r="C6016" t="s">
        <v>687</v>
      </c>
      <c r="D6016" t="s">
        <v>3185</v>
      </c>
      <c r="E6016" t="s">
        <v>646</v>
      </c>
      <c r="F6016" t="s">
        <v>40</v>
      </c>
      <c r="G6016">
        <v>2045</v>
      </c>
      <c r="H6016" s="12">
        <v>39</v>
      </c>
      <c r="I6016" t="s">
        <v>3183</v>
      </c>
      <c r="J6016" t="s">
        <v>6</v>
      </c>
      <c r="K6016" t="s">
        <v>11</v>
      </c>
      <c r="L6016" t="s">
        <v>650</v>
      </c>
      <c r="M6016" t="s">
        <v>659</v>
      </c>
    </row>
    <row r="6017" spans="1:13">
      <c r="A6017" t="s">
        <v>851</v>
      </c>
      <c r="B6017" t="s">
        <v>687</v>
      </c>
      <c r="C6017" t="s">
        <v>687</v>
      </c>
      <c r="D6017" t="s">
        <v>3185</v>
      </c>
      <c r="E6017" t="s">
        <v>646</v>
      </c>
      <c r="F6017" t="s">
        <v>40</v>
      </c>
      <c r="G6017">
        <v>2050</v>
      </c>
      <c r="H6017" s="12">
        <v>29</v>
      </c>
      <c r="I6017" t="s">
        <v>3183</v>
      </c>
      <c r="J6017" t="s">
        <v>6</v>
      </c>
      <c r="K6017" t="s">
        <v>11</v>
      </c>
      <c r="L6017" t="s">
        <v>650</v>
      </c>
      <c r="M6017" t="s">
        <v>659</v>
      </c>
    </row>
    <row r="6018" spans="1:13">
      <c r="A6018" t="s">
        <v>851</v>
      </c>
      <c r="B6018" t="s">
        <v>686</v>
      </c>
      <c r="C6018" t="s">
        <v>686</v>
      </c>
      <c r="D6018" t="s">
        <v>3185</v>
      </c>
      <c r="E6018" t="s">
        <v>646</v>
      </c>
      <c r="F6018" t="s">
        <v>40</v>
      </c>
      <c r="G6018">
        <v>2010</v>
      </c>
      <c r="H6018" s="12">
        <v>4678</v>
      </c>
      <c r="I6018" t="s">
        <v>3183</v>
      </c>
      <c r="J6018" t="s">
        <v>344</v>
      </c>
      <c r="K6018" t="s">
        <v>9</v>
      </c>
      <c r="L6018" t="s">
        <v>650</v>
      </c>
      <c r="M6018" t="s">
        <v>10</v>
      </c>
    </row>
    <row r="6019" spans="1:13">
      <c r="A6019" t="s">
        <v>851</v>
      </c>
      <c r="B6019" t="s">
        <v>686</v>
      </c>
      <c r="C6019" t="s">
        <v>686</v>
      </c>
      <c r="D6019" t="s">
        <v>3185</v>
      </c>
      <c r="E6019" t="s">
        <v>646</v>
      </c>
      <c r="F6019" t="s">
        <v>40</v>
      </c>
      <c r="G6019">
        <v>2015</v>
      </c>
      <c r="H6019" s="12">
        <v>4621</v>
      </c>
      <c r="I6019" t="s">
        <v>3183</v>
      </c>
      <c r="J6019" t="s">
        <v>344</v>
      </c>
      <c r="K6019" t="s">
        <v>9</v>
      </c>
      <c r="L6019" t="s">
        <v>650</v>
      </c>
      <c r="M6019" t="s">
        <v>10</v>
      </c>
    </row>
    <row r="6020" spans="1:13">
      <c r="A6020" t="s">
        <v>851</v>
      </c>
      <c r="B6020" t="s">
        <v>686</v>
      </c>
      <c r="C6020" t="s">
        <v>686</v>
      </c>
      <c r="D6020" t="s">
        <v>3185</v>
      </c>
      <c r="E6020" t="s">
        <v>646</v>
      </c>
      <c r="F6020" t="s">
        <v>40</v>
      </c>
      <c r="G6020">
        <v>2020</v>
      </c>
      <c r="H6020" s="12">
        <v>4524</v>
      </c>
      <c r="I6020" t="s">
        <v>3183</v>
      </c>
      <c r="J6020" t="s">
        <v>344</v>
      </c>
      <c r="K6020" t="s">
        <v>9</v>
      </c>
      <c r="L6020" t="s">
        <v>650</v>
      </c>
      <c r="M6020" t="s">
        <v>10</v>
      </c>
    </row>
    <row r="6021" spans="1:13">
      <c r="A6021" t="s">
        <v>851</v>
      </c>
      <c r="B6021" t="s">
        <v>686</v>
      </c>
      <c r="C6021" t="s">
        <v>686</v>
      </c>
      <c r="D6021" t="s">
        <v>3185</v>
      </c>
      <c r="E6021" t="s">
        <v>646</v>
      </c>
      <c r="F6021" t="s">
        <v>40</v>
      </c>
      <c r="G6021">
        <v>2030</v>
      </c>
      <c r="H6021" s="12">
        <v>5110</v>
      </c>
      <c r="I6021" t="s">
        <v>3183</v>
      </c>
      <c r="J6021" t="s">
        <v>344</v>
      </c>
      <c r="K6021" t="s">
        <v>9</v>
      </c>
      <c r="L6021" t="s">
        <v>650</v>
      </c>
      <c r="M6021" t="s">
        <v>10</v>
      </c>
    </row>
    <row r="6022" spans="1:13">
      <c r="A6022" t="s">
        <v>851</v>
      </c>
      <c r="B6022" t="s">
        <v>686</v>
      </c>
      <c r="C6022" t="s">
        <v>686</v>
      </c>
      <c r="D6022" t="s">
        <v>3185</v>
      </c>
      <c r="E6022" t="s">
        <v>646</v>
      </c>
      <c r="F6022" t="s">
        <v>40</v>
      </c>
      <c r="G6022">
        <v>2035</v>
      </c>
      <c r="H6022" s="12">
        <v>5193</v>
      </c>
      <c r="I6022" t="s">
        <v>3183</v>
      </c>
      <c r="J6022" t="s">
        <v>344</v>
      </c>
      <c r="K6022" t="s">
        <v>9</v>
      </c>
      <c r="L6022" t="s">
        <v>650</v>
      </c>
      <c r="M6022" t="s">
        <v>10</v>
      </c>
    </row>
    <row r="6023" spans="1:13">
      <c r="A6023" t="s">
        <v>851</v>
      </c>
      <c r="B6023" t="s">
        <v>686</v>
      </c>
      <c r="C6023" t="s">
        <v>686</v>
      </c>
      <c r="D6023" t="s">
        <v>3185</v>
      </c>
      <c r="E6023" t="s">
        <v>646</v>
      </c>
      <c r="F6023" t="s">
        <v>40</v>
      </c>
      <c r="G6023">
        <v>2040</v>
      </c>
      <c r="H6023" s="12">
        <v>5267</v>
      </c>
      <c r="I6023" t="s">
        <v>3183</v>
      </c>
      <c r="J6023" t="s">
        <v>344</v>
      </c>
      <c r="K6023" t="s">
        <v>9</v>
      </c>
      <c r="L6023" t="s">
        <v>650</v>
      </c>
      <c r="M6023" t="s">
        <v>10</v>
      </c>
    </row>
    <row r="6024" spans="1:13">
      <c r="A6024" t="s">
        <v>851</v>
      </c>
      <c r="B6024" t="s">
        <v>686</v>
      </c>
      <c r="C6024" t="s">
        <v>686</v>
      </c>
      <c r="D6024" t="s">
        <v>3185</v>
      </c>
      <c r="E6024" t="s">
        <v>646</v>
      </c>
      <c r="F6024" t="s">
        <v>40</v>
      </c>
      <c r="G6024">
        <v>2045</v>
      </c>
      <c r="H6024" s="12">
        <v>5331</v>
      </c>
      <c r="I6024" t="s">
        <v>3183</v>
      </c>
      <c r="J6024" t="s">
        <v>344</v>
      </c>
      <c r="K6024" t="s">
        <v>9</v>
      </c>
      <c r="L6024" t="s">
        <v>650</v>
      </c>
      <c r="M6024" t="s">
        <v>10</v>
      </c>
    </row>
    <row r="6025" spans="1:13">
      <c r="A6025" t="s">
        <v>851</v>
      </c>
      <c r="B6025" t="s">
        <v>686</v>
      </c>
      <c r="C6025" t="s">
        <v>686</v>
      </c>
      <c r="D6025" t="s">
        <v>3185</v>
      </c>
      <c r="E6025" t="s">
        <v>646</v>
      </c>
      <c r="F6025" t="s">
        <v>40</v>
      </c>
      <c r="G6025">
        <v>2050</v>
      </c>
      <c r="H6025" s="12">
        <v>5386</v>
      </c>
      <c r="I6025" t="s">
        <v>3183</v>
      </c>
      <c r="J6025" t="s">
        <v>344</v>
      </c>
      <c r="K6025" t="s">
        <v>9</v>
      </c>
      <c r="L6025" t="s">
        <v>650</v>
      </c>
      <c r="M6025" t="s">
        <v>10</v>
      </c>
    </row>
    <row r="6026" spans="1:13">
      <c r="A6026" t="s">
        <v>851</v>
      </c>
      <c r="B6026" t="s">
        <v>687</v>
      </c>
      <c r="C6026" t="s">
        <v>687</v>
      </c>
      <c r="D6026" t="s">
        <v>3185</v>
      </c>
      <c r="E6026" t="s">
        <v>646</v>
      </c>
      <c r="F6026" t="s">
        <v>40</v>
      </c>
      <c r="G6026">
        <v>2030</v>
      </c>
      <c r="H6026" s="12">
        <v>5845</v>
      </c>
      <c r="I6026" t="s">
        <v>3183</v>
      </c>
      <c r="J6026" t="s">
        <v>344</v>
      </c>
      <c r="K6026" t="s">
        <v>9</v>
      </c>
      <c r="L6026" t="s">
        <v>650</v>
      </c>
      <c r="M6026" t="s">
        <v>10</v>
      </c>
    </row>
    <row r="6027" spans="1:13">
      <c r="A6027" t="s">
        <v>851</v>
      </c>
      <c r="B6027" t="s">
        <v>687</v>
      </c>
      <c r="C6027" t="s">
        <v>687</v>
      </c>
      <c r="D6027" t="s">
        <v>3185</v>
      </c>
      <c r="E6027" t="s">
        <v>646</v>
      </c>
      <c r="F6027" t="s">
        <v>40</v>
      </c>
      <c r="G6027">
        <v>2035</v>
      </c>
      <c r="H6027" s="12">
        <v>6262</v>
      </c>
      <c r="I6027" t="s">
        <v>3183</v>
      </c>
      <c r="J6027" t="s">
        <v>344</v>
      </c>
      <c r="K6027" t="s">
        <v>9</v>
      </c>
      <c r="L6027" t="s">
        <v>650</v>
      </c>
      <c r="M6027" t="s">
        <v>10</v>
      </c>
    </row>
    <row r="6028" spans="1:13">
      <c r="A6028" t="s">
        <v>851</v>
      </c>
      <c r="B6028" t="s">
        <v>687</v>
      </c>
      <c r="C6028" t="s">
        <v>687</v>
      </c>
      <c r="D6028" t="s">
        <v>3185</v>
      </c>
      <c r="E6028" t="s">
        <v>646</v>
      </c>
      <c r="F6028" t="s">
        <v>40</v>
      </c>
      <c r="G6028">
        <v>2040</v>
      </c>
      <c r="H6028" s="12">
        <v>6604</v>
      </c>
      <c r="I6028" t="s">
        <v>3183</v>
      </c>
      <c r="J6028" t="s">
        <v>344</v>
      </c>
      <c r="K6028" t="s">
        <v>9</v>
      </c>
      <c r="L6028" t="s">
        <v>650</v>
      </c>
      <c r="M6028" t="s">
        <v>10</v>
      </c>
    </row>
    <row r="6029" spans="1:13">
      <c r="A6029" t="s">
        <v>851</v>
      </c>
      <c r="B6029" t="s">
        <v>687</v>
      </c>
      <c r="C6029" t="s">
        <v>687</v>
      </c>
      <c r="D6029" t="s">
        <v>3185</v>
      </c>
      <c r="E6029" t="s">
        <v>646</v>
      </c>
      <c r="F6029" t="s">
        <v>40</v>
      </c>
      <c r="G6029">
        <v>2045</v>
      </c>
      <c r="H6029" s="12">
        <v>6935</v>
      </c>
      <c r="I6029" t="s">
        <v>3183</v>
      </c>
      <c r="J6029" t="s">
        <v>344</v>
      </c>
      <c r="K6029" t="s">
        <v>9</v>
      </c>
      <c r="L6029" t="s">
        <v>650</v>
      </c>
      <c r="M6029" t="s">
        <v>10</v>
      </c>
    </row>
    <row r="6030" spans="1:13">
      <c r="A6030" t="s">
        <v>851</v>
      </c>
      <c r="B6030" t="s">
        <v>687</v>
      </c>
      <c r="C6030" t="s">
        <v>687</v>
      </c>
      <c r="D6030" t="s">
        <v>3185</v>
      </c>
      <c r="E6030" t="s">
        <v>646</v>
      </c>
      <c r="F6030" t="s">
        <v>40</v>
      </c>
      <c r="G6030">
        <v>2050</v>
      </c>
      <c r="H6030" s="12">
        <v>7319</v>
      </c>
      <c r="I6030" t="s">
        <v>3183</v>
      </c>
      <c r="J6030" t="s">
        <v>344</v>
      </c>
      <c r="K6030" t="s">
        <v>9</v>
      </c>
      <c r="L6030" t="s">
        <v>650</v>
      </c>
      <c r="M6030" t="s">
        <v>10</v>
      </c>
    </row>
    <row r="6031" spans="1:13">
      <c r="A6031" t="s">
        <v>851</v>
      </c>
      <c r="B6031" t="s">
        <v>686</v>
      </c>
      <c r="C6031" t="s">
        <v>686</v>
      </c>
      <c r="D6031" t="s">
        <v>3185</v>
      </c>
      <c r="E6031" t="s">
        <v>646</v>
      </c>
      <c r="F6031" t="s">
        <v>40</v>
      </c>
      <c r="G6031">
        <v>2010</v>
      </c>
      <c r="H6031" s="12">
        <v>4802</v>
      </c>
      <c r="I6031" t="s">
        <v>3183</v>
      </c>
      <c r="J6031" t="s">
        <v>6</v>
      </c>
      <c r="K6031" t="s">
        <v>9</v>
      </c>
      <c r="L6031" t="s">
        <v>650</v>
      </c>
      <c r="M6031" t="s">
        <v>666</v>
      </c>
    </row>
    <row r="6032" spans="1:13">
      <c r="A6032" t="s">
        <v>851</v>
      </c>
      <c r="B6032" t="s">
        <v>686</v>
      </c>
      <c r="C6032" t="s">
        <v>686</v>
      </c>
      <c r="D6032" t="s">
        <v>3185</v>
      </c>
      <c r="E6032" t="s">
        <v>646</v>
      </c>
      <c r="F6032" t="s">
        <v>40</v>
      </c>
      <c r="G6032">
        <v>2030</v>
      </c>
      <c r="H6032" s="12">
        <v>2528</v>
      </c>
      <c r="I6032" t="s">
        <v>3183</v>
      </c>
      <c r="J6032" t="s">
        <v>5</v>
      </c>
      <c r="K6032" t="s">
        <v>9</v>
      </c>
      <c r="L6032" t="s">
        <v>650</v>
      </c>
      <c r="M6032" t="s">
        <v>665</v>
      </c>
    </row>
    <row r="6033" spans="1:13">
      <c r="A6033" t="s">
        <v>851</v>
      </c>
      <c r="B6033" t="s">
        <v>686</v>
      </c>
      <c r="C6033" t="s">
        <v>686</v>
      </c>
      <c r="D6033" t="s">
        <v>3185</v>
      </c>
      <c r="E6033" t="s">
        <v>646</v>
      </c>
      <c r="F6033" t="s">
        <v>40</v>
      </c>
      <c r="G6033">
        <v>2035</v>
      </c>
      <c r="H6033" s="12">
        <v>2488</v>
      </c>
      <c r="I6033" t="s">
        <v>3183</v>
      </c>
      <c r="J6033" t="s">
        <v>5</v>
      </c>
      <c r="K6033" t="s">
        <v>9</v>
      </c>
      <c r="L6033" t="s">
        <v>650</v>
      </c>
      <c r="M6033" t="s">
        <v>665</v>
      </c>
    </row>
    <row r="6034" spans="1:13">
      <c r="A6034" t="s">
        <v>851</v>
      </c>
      <c r="B6034" t="s">
        <v>686</v>
      </c>
      <c r="C6034" t="s">
        <v>686</v>
      </c>
      <c r="D6034" t="s">
        <v>3185</v>
      </c>
      <c r="E6034" t="s">
        <v>646</v>
      </c>
      <c r="F6034" t="s">
        <v>40</v>
      </c>
      <c r="G6034">
        <v>2040</v>
      </c>
      <c r="H6034" s="12">
        <v>2436</v>
      </c>
      <c r="I6034" t="s">
        <v>3183</v>
      </c>
      <c r="J6034" t="s">
        <v>5</v>
      </c>
      <c r="K6034" t="s">
        <v>9</v>
      </c>
      <c r="L6034" t="s">
        <v>650</v>
      </c>
      <c r="M6034" t="s">
        <v>665</v>
      </c>
    </row>
    <row r="6035" spans="1:13">
      <c r="A6035" t="s">
        <v>851</v>
      </c>
      <c r="B6035" t="s">
        <v>686</v>
      </c>
      <c r="C6035" t="s">
        <v>686</v>
      </c>
      <c r="D6035" t="s">
        <v>3185</v>
      </c>
      <c r="E6035" t="s">
        <v>646</v>
      </c>
      <c r="F6035" t="s">
        <v>40</v>
      </c>
      <c r="G6035">
        <v>2045</v>
      </c>
      <c r="H6035" s="12">
        <v>2385</v>
      </c>
      <c r="I6035" t="s">
        <v>3183</v>
      </c>
      <c r="J6035" t="s">
        <v>5</v>
      </c>
      <c r="K6035" t="s">
        <v>9</v>
      </c>
      <c r="L6035" t="s">
        <v>650</v>
      </c>
      <c r="M6035" t="s">
        <v>665</v>
      </c>
    </row>
    <row r="6036" spans="1:13">
      <c r="A6036" t="s">
        <v>851</v>
      </c>
      <c r="B6036" t="s">
        <v>686</v>
      </c>
      <c r="C6036" t="s">
        <v>686</v>
      </c>
      <c r="D6036" t="s">
        <v>3185</v>
      </c>
      <c r="E6036" t="s">
        <v>646</v>
      </c>
      <c r="F6036" t="s">
        <v>40</v>
      </c>
      <c r="G6036">
        <v>2050</v>
      </c>
      <c r="H6036" s="12">
        <v>2318</v>
      </c>
      <c r="I6036" t="s">
        <v>3183</v>
      </c>
      <c r="J6036" t="s">
        <v>5</v>
      </c>
      <c r="K6036" t="s">
        <v>9</v>
      </c>
      <c r="L6036" t="s">
        <v>650</v>
      </c>
      <c r="M6036" t="s">
        <v>665</v>
      </c>
    </row>
    <row r="6037" spans="1:13">
      <c r="A6037" t="s">
        <v>851</v>
      </c>
      <c r="B6037" t="s">
        <v>687</v>
      </c>
      <c r="C6037" t="s">
        <v>687</v>
      </c>
      <c r="D6037" t="s">
        <v>3185</v>
      </c>
      <c r="E6037" t="s">
        <v>646</v>
      </c>
      <c r="F6037" t="s">
        <v>40</v>
      </c>
      <c r="G6037">
        <v>2030</v>
      </c>
      <c r="H6037" s="12">
        <v>1976</v>
      </c>
      <c r="I6037" t="s">
        <v>3183</v>
      </c>
      <c r="J6037" t="s">
        <v>5</v>
      </c>
      <c r="K6037" t="s">
        <v>9</v>
      </c>
      <c r="L6037" t="s">
        <v>650</v>
      </c>
      <c r="M6037" t="s">
        <v>665</v>
      </c>
    </row>
    <row r="6038" spans="1:13">
      <c r="A6038" t="s">
        <v>851</v>
      </c>
      <c r="B6038" t="s">
        <v>687</v>
      </c>
      <c r="C6038" t="s">
        <v>687</v>
      </c>
      <c r="D6038" t="s">
        <v>3185</v>
      </c>
      <c r="E6038" t="s">
        <v>646</v>
      </c>
      <c r="F6038" t="s">
        <v>40</v>
      </c>
      <c r="G6038">
        <v>2035</v>
      </c>
      <c r="H6038" s="12">
        <v>1580</v>
      </c>
      <c r="I6038" t="s">
        <v>3183</v>
      </c>
      <c r="J6038" t="s">
        <v>5</v>
      </c>
      <c r="K6038" t="s">
        <v>9</v>
      </c>
      <c r="L6038" t="s">
        <v>650</v>
      </c>
      <c r="M6038" t="s">
        <v>665</v>
      </c>
    </row>
    <row r="6039" spans="1:13">
      <c r="A6039" t="s">
        <v>851</v>
      </c>
      <c r="B6039" t="s">
        <v>687</v>
      </c>
      <c r="C6039" t="s">
        <v>687</v>
      </c>
      <c r="D6039" t="s">
        <v>3185</v>
      </c>
      <c r="E6039" t="s">
        <v>646</v>
      </c>
      <c r="F6039" t="s">
        <v>40</v>
      </c>
      <c r="G6039">
        <v>2040</v>
      </c>
      <c r="H6039" s="12">
        <v>1173</v>
      </c>
      <c r="I6039" t="s">
        <v>3183</v>
      </c>
      <c r="J6039" t="s">
        <v>5</v>
      </c>
      <c r="K6039" t="s">
        <v>9</v>
      </c>
      <c r="L6039" t="s">
        <v>650</v>
      </c>
      <c r="M6039" t="s">
        <v>665</v>
      </c>
    </row>
    <row r="6040" spans="1:13">
      <c r="A6040" t="s">
        <v>851</v>
      </c>
      <c r="B6040" t="s">
        <v>687</v>
      </c>
      <c r="C6040" t="s">
        <v>687</v>
      </c>
      <c r="D6040" t="s">
        <v>3185</v>
      </c>
      <c r="E6040" t="s">
        <v>646</v>
      </c>
      <c r="F6040" t="s">
        <v>40</v>
      </c>
      <c r="G6040">
        <v>2045</v>
      </c>
      <c r="H6040" s="12">
        <v>838</v>
      </c>
      <c r="I6040" t="s">
        <v>3183</v>
      </c>
      <c r="J6040" t="s">
        <v>5</v>
      </c>
      <c r="K6040" t="s">
        <v>9</v>
      </c>
      <c r="L6040" t="s">
        <v>650</v>
      </c>
      <c r="M6040" t="s">
        <v>665</v>
      </c>
    </row>
    <row r="6041" spans="1:13">
      <c r="A6041" t="s">
        <v>851</v>
      </c>
      <c r="B6041" t="s">
        <v>687</v>
      </c>
      <c r="C6041" t="s">
        <v>687</v>
      </c>
      <c r="D6041" t="s">
        <v>3185</v>
      </c>
      <c r="E6041" t="s">
        <v>646</v>
      </c>
      <c r="F6041" t="s">
        <v>40</v>
      </c>
      <c r="G6041">
        <v>2050</v>
      </c>
      <c r="H6041" s="12">
        <v>493</v>
      </c>
      <c r="I6041" t="s">
        <v>3183</v>
      </c>
      <c r="J6041" t="s">
        <v>5</v>
      </c>
      <c r="K6041" t="s">
        <v>9</v>
      </c>
      <c r="L6041" t="s">
        <v>650</v>
      </c>
      <c r="M6041" t="s">
        <v>665</v>
      </c>
    </row>
    <row r="6042" spans="1:13">
      <c r="A6042" t="s">
        <v>851</v>
      </c>
      <c r="B6042" t="s">
        <v>686</v>
      </c>
      <c r="C6042" t="s">
        <v>686</v>
      </c>
      <c r="D6042" t="s">
        <v>3185</v>
      </c>
      <c r="E6042" t="s">
        <v>646</v>
      </c>
      <c r="F6042" t="s">
        <v>40</v>
      </c>
      <c r="G6042">
        <v>2010</v>
      </c>
      <c r="H6042" s="12">
        <v>272</v>
      </c>
      <c r="I6042" t="s">
        <v>3183</v>
      </c>
      <c r="J6042" t="s">
        <v>344</v>
      </c>
      <c r="K6042" t="s">
        <v>11</v>
      </c>
      <c r="L6042" t="s">
        <v>650</v>
      </c>
      <c r="M6042" t="s">
        <v>10</v>
      </c>
    </row>
    <row r="6043" spans="1:13">
      <c r="A6043" t="s">
        <v>851</v>
      </c>
      <c r="B6043" t="s">
        <v>686</v>
      </c>
      <c r="C6043" t="s">
        <v>686</v>
      </c>
      <c r="D6043" t="s">
        <v>3185</v>
      </c>
      <c r="E6043" t="s">
        <v>646</v>
      </c>
      <c r="F6043" t="s">
        <v>40</v>
      </c>
      <c r="G6043">
        <v>2015</v>
      </c>
      <c r="H6043" s="12">
        <v>269</v>
      </c>
      <c r="I6043" t="s">
        <v>3183</v>
      </c>
      <c r="J6043" t="s">
        <v>344</v>
      </c>
      <c r="K6043" t="s">
        <v>11</v>
      </c>
      <c r="L6043" t="s">
        <v>650</v>
      </c>
      <c r="M6043" t="s">
        <v>10</v>
      </c>
    </row>
    <row r="6044" spans="1:13">
      <c r="A6044" t="s">
        <v>851</v>
      </c>
      <c r="B6044" t="s">
        <v>686</v>
      </c>
      <c r="C6044" t="s">
        <v>686</v>
      </c>
      <c r="D6044" t="s">
        <v>3185</v>
      </c>
      <c r="E6044" t="s">
        <v>646</v>
      </c>
      <c r="F6044" t="s">
        <v>40</v>
      </c>
      <c r="G6044">
        <v>2020</v>
      </c>
      <c r="H6044" s="12">
        <v>259</v>
      </c>
      <c r="I6044" t="s">
        <v>3183</v>
      </c>
      <c r="J6044" t="s">
        <v>344</v>
      </c>
      <c r="K6044" t="s">
        <v>11</v>
      </c>
      <c r="L6044" t="s">
        <v>650</v>
      </c>
      <c r="M6044" t="s">
        <v>10</v>
      </c>
    </row>
    <row r="6045" spans="1:13">
      <c r="A6045" t="s">
        <v>851</v>
      </c>
      <c r="B6045" t="s">
        <v>686</v>
      </c>
      <c r="C6045" t="s">
        <v>686</v>
      </c>
      <c r="D6045" t="s">
        <v>3185</v>
      </c>
      <c r="E6045" t="s">
        <v>646</v>
      </c>
      <c r="F6045" t="s">
        <v>40</v>
      </c>
      <c r="G6045">
        <v>2030</v>
      </c>
      <c r="H6045" s="12">
        <v>852</v>
      </c>
      <c r="I6045" t="s">
        <v>3183</v>
      </c>
      <c r="J6045" t="s">
        <v>344</v>
      </c>
      <c r="K6045" t="s">
        <v>11</v>
      </c>
      <c r="L6045" t="s">
        <v>650</v>
      </c>
      <c r="M6045" t="s">
        <v>10</v>
      </c>
    </row>
    <row r="6046" spans="1:13">
      <c r="A6046" t="s">
        <v>851</v>
      </c>
      <c r="B6046" t="s">
        <v>686</v>
      </c>
      <c r="C6046" t="s">
        <v>686</v>
      </c>
      <c r="D6046" t="s">
        <v>3185</v>
      </c>
      <c r="E6046" t="s">
        <v>646</v>
      </c>
      <c r="F6046" t="s">
        <v>40</v>
      </c>
      <c r="G6046">
        <v>2035</v>
      </c>
      <c r="H6046" s="12">
        <v>1271</v>
      </c>
      <c r="I6046" t="s">
        <v>3183</v>
      </c>
      <c r="J6046" t="s">
        <v>344</v>
      </c>
      <c r="K6046" t="s">
        <v>11</v>
      </c>
      <c r="L6046" t="s">
        <v>650</v>
      </c>
      <c r="M6046" t="s">
        <v>10</v>
      </c>
    </row>
    <row r="6047" spans="1:13">
      <c r="A6047" t="s">
        <v>851</v>
      </c>
      <c r="B6047" t="s">
        <v>686</v>
      </c>
      <c r="C6047" t="s">
        <v>686</v>
      </c>
      <c r="D6047" t="s">
        <v>3185</v>
      </c>
      <c r="E6047" t="s">
        <v>646</v>
      </c>
      <c r="F6047" t="s">
        <v>40</v>
      </c>
      <c r="G6047">
        <v>2040</v>
      </c>
      <c r="H6047" s="12">
        <v>1675</v>
      </c>
      <c r="I6047" t="s">
        <v>3183</v>
      </c>
      <c r="J6047" t="s">
        <v>344</v>
      </c>
      <c r="K6047" t="s">
        <v>11</v>
      </c>
      <c r="L6047" t="s">
        <v>650</v>
      </c>
      <c r="M6047" t="s">
        <v>10</v>
      </c>
    </row>
    <row r="6048" spans="1:13">
      <c r="A6048" t="s">
        <v>851</v>
      </c>
      <c r="B6048" t="s">
        <v>686</v>
      </c>
      <c r="C6048" t="s">
        <v>686</v>
      </c>
      <c r="D6048" t="s">
        <v>3185</v>
      </c>
      <c r="E6048" t="s">
        <v>646</v>
      </c>
      <c r="F6048" t="s">
        <v>40</v>
      </c>
      <c r="G6048">
        <v>2045</v>
      </c>
      <c r="H6048" s="12">
        <v>2056</v>
      </c>
      <c r="I6048" t="s">
        <v>3183</v>
      </c>
      <c r="J6048" t="s">
        <v>344</v>
      </c>
      <c r="K6048" t="s">
        <v>11</v>
      </c>
      <c r="L6048" t="s">
        <v>650</v>
      </c>
      <c r="M6048" t="s">
        <v>10</v>
      </c>
    </row>
    <row r="6049" spans="1:13">
      <c r="A6049" t="s">
        <v>851</v>
      </c>
      <c r="B6049" t="s">
        <v>686</v>
      </c>
      <c r="C6049" t="s">
        <v>686</v>
      </c>
      <c r="D6049" t="s">
        <v>3185</v>
      </c>
      <c r="E6049" t="s">
        <v>646</v>
      </c>
      <c r="F6049" t="s">
        <v>40</v>
      </c>
      <c r="G6049">
        <v>2050</v>
      </c>
      <c r="H6049" s="12">
        <v>2365</v>
      </c>
      <c r="I6049" t="s">
        <v>3183</v>
      </c>
      <c r="J6049" t="s">
        <v>344</v>
      </c>
      <c r="K6049" t="s">
        <v>11</v>
      </c>
      <c r="L6049" t="s">
        <v>650</v>
      </c>
      <c r="M6049" t="s">
        <v>10</v>
      </c>
    </row>
    <row r="6050" spans="1:13">
      <c r="A6050" t="s">
        <v>851</v>
      </c>
      <c r="B6050" t="s">
        <v>687</v>
      </c>
      <c r="C6050" t="s">
        <v>687</v>
      </c>
      <c r="D6050" t="s">
        <v>3185</v>
      </c>
      <c r="E6050" t="s">
        <v>646</v>
      </c>
      <c r="F6050" t="s">
        <v>40</v>
      </c>
      <c r="G6050">
        <v>2030</v>
      </c>
      <c r="H6050" s="12">
        <v>1126</v>
      </c>
      <c r="I6050" t="s">
        <v>3183</v>
      </c>
      <c r="J6050" t="s">
        <v>344</v>
      </c>
      <c r="K6050" t="s">
        <v>11</v>
      </c>
      <c r="L6050" t="s">
        <v>650</v>
      </c>
      <c r="M6050" t="s">
        <v>10</v>
      </c>
    </row>
    <row r="6051" spans="1:13">
      <c r="A6051" t="s">
        <v>851</v>
      </c>
      <c r="B6051" t="s">
        <v>687</v>
      </c>
      <c r="C6051" t="s">
        <v>687</v>
      </c>
      <c r="D6051" t="s">
        <v>3185</v>
      </c>
      <c r="E6051" t="s">
        <v>646</v>
      </c>
      <c r="F6051" t="s">
        <v>40</v>
      </c>
      <c r="G6051">
        <v>2035</v>
      </c>
      <c r="H6051" s="12">
        <v>1997</v>
      </c>
      <c r="I6051" t="s">
        <v>3183</v>
      </c>
      <c r="J6051" t="s">
        <v>344</v>
      </c>
      <c r="K6051" t="s">
        <v>11</v>
      </c>
      <c r="L6051" t="s">
        <v>650</v>
      </c>
      <c r="M6051" t="s">
        <v>10</v>
      </c>
    </row>
    <row r="6052" spans="1:13">
      <c r="A6052" t="s">
        <v>851</v>
      </c>
      <c r="B6052" t="s">
        <v>687</v>
      </c>
      <c r="C6052" t="s">
        <v>687</v>
      </c>
      <c r="D6052" t="s">
        <v>3185</v>
      </c>
      <c r="E6052" t="s">
        <v>646</v>
      </c>
      <c r="F6052" t="s">
        <v>40</v>
      </c>
      <c r="G6052">
        <v>2040</v>
      </c>
      <c r="H6052" s="12">
        <v>2948</v>
      </c>
      <c r="I6052" t="s">
        <v>3183</v>
      </c>
      <c r="J6052" t="s">
        <v>344</v>
      </c>
      <c r="K6052" t="s">
        <v>11</v>
      </c>
      <c r="L6052" t="s">
        <v>650</v>
      </c>
      <c r="M6052" t="s">
        <v>10</v>
      </c>
    </row>
    <row r="6053" spans="1:13">
      <c r="A6053" t="s">
        <v>851</v>
      </c>
      <c r="B6053" t="s">
        <v>687</v>
      </c>
      <c r="C6053" t="s">
        <v>687</v>
      </c>
      <c r="D6053" t="s">
        <v>3185</v>
      </c>
      <c r="E6053" t="s">
        <v>646</v>
      </c>
      <c r="F6053" t="s">
        <v>40</v>
      </c>
      <c r="G6053">
        <v>2045</v>
      </c>
      <c r="H6053" s="12">
        <v>3689</v>
      </c>
      <c r="I6053" t="s">
        <v>3183</v>
      </c>
      <c r="J6053" t="s">
        <v>344</v>
      </c>
      <c r="K6053" t="s">
        <v>11</v>
      </c>
      <c r="L6053" t="s">
        <v>650</v>
      </c>
      <c r="M6053" t="s">
        <v>10</v>
      </c>
    </row>
    <row r="6054" spans="1:13">
      <c r="A6054" t="s">
        <v>851</v>
      </c>
      <c r="B6054" t="s">
        <v>687</v>
      </c>
      <c r="C6054" t="s">
        <v>687</v>
      </c>
      <c r="D6054" t="s">
        <v>3185</v>
      </c>
      <c r="E6054" t="s">
        <v>646</v>
      </c>
      <c r="F6054" t="s">
        <v>40</v>
      </c>
      <c r="G6054">
        <v>2050</v>
      </c>
      <c r="H6054" s="12">
        <v>4156</v>
      </c>
      <c r="I6054" t="s">
        <v>3183</v>
      </c>
      <c r="J6054" t="s">
        <v>344</v>
      </c>
      <c r="K6054" t="s">
        <v>11</v>
      </c>
      <c r="L6054" t="s">
        <v>650</v>
      </c>
      <c r="M6054" t="s">
        <v>10</v>
      </c>
    </row>
    <row r="6055" spans="1:13">
      <c r="A6055" t="s">
        <v>851</v>
      </c>
      <c r="B6055" t="s">
        <v>686</v>
      </c>
      <c r="C6055" t="s">
        <v>686</v>
      </c>
      <c r="D6055" t="s">
        <v>3185</v>
      </c>
      <c r="E6055" t="s">
        <v>646</v>
      </c>
      <c r="F6055" t="s">
        <v>40</v>
      </c>
      <c r="G6055">
        <v>2015</v>
      </c>
      <c r="H6055" s="12">
        <v>4509</v>
      </c>
      <c r="I6055" t="s">
        <v>3183</v>
      </c>
      <c r="J6055" t="s">
        <v>6</v>
      </c>
      <c r="K6055" t="s">
        <v>9</v>
      </c>
      <c r="L6055" t="s">
        <v>650</v>
      </c>
      <c r="M6055" t="s">
        <v>666</v>
      </c>
    </row>
    <row r="6056" spans="1:13">
      <c r="A6056" t="s">
        <v>851</v>
      </c>
      <c r="B6056" t="s">
        <v>686</v>
      </c>
      <c r="C6056" t="s">
        <v>686</v>
      </c>
      <c r="D6056" t="s">
        <v>3185</v>
      </c>
      <c r="E6056" t="s">
        <v>646</v>
      </c>
      <c r="F6056" t="s">
        <v>40</v>
      </c>
      <c r="G6056">
        <v>2020</v>
      </c>
      <c r="H6056" s="12">
        <v>4552</v>
      </c>
      <c r="I6056" t="s">
        <v>3183</v>
      </c>
      <c r="J6056" t="s">
        <v>6</v>
      </c>
      <c r="K6056" t="s">
        <v>9</v>
      </c>
      <c r="L6056" t="s">
        <v>650</v>
      </c>
      <c r="M6056" t="s">
        <v>666</v>
      </c>
    </row>
    <row r="6057" spans="1:13">
      <c r="A6057" t="s">
        <v>851</v>
      </c>
      <c r="B6057" t="s">
        <v>686</v>
      </c>
      <c r="C6057" t="s">
        <v>686</v>
      </c>
      <c r="D6057" t="s">
        <v>3185</v>
      </c>
      <c r="E6057" t="s">
        <v>646</v>
      </c>
      <c r="F6057" t="s">
        <v>40</v>
      </c>
      <c r="G6057">
        <v>2030</v>
      </c>
      <c r="H6057" s="12">
        <v>4121</v>
      </c>
      <c r="I6057" t="s">
        <v>3183</v>
      </c>
      <c r="J6057" t="s">
        <v>6</v>
      </c>
      <c r="K6057" t="s">
        <v>9</v>
      </c>
      <c r="L6057" t="s">
        <v>650</v>
      </c>
      <c r="M6057" t="s">
        <v>666</v>
      </c>
    </row>
    <row r="6058" spans="1:13">
      <c r="A6058" t="s">
        <v>851</v>
      </c>
      <c r="B6058" t="s">
        <v>686</v>
      </c>
      <c r="C6058" t="s">
        <v>686</v>
      </c>
      <c r="D6058" t="s">
        <v>3185</v>
      </c>
      <c r="E6058" t="s">
        <v>646</v>
      </c>
      <c r="F6058" t="s">
        <v>40</v>
      </c>
      <c r="G6058">
        <v>2035</v>
      </c>
      <c r="H6058" s="12">
        <v>3971</v>
      </c>
      <c r="I6058" t="s">
        <v>3183</v>
      </c>
      <c r="J6058" t="s">
        <v>6</v>
      </c>
      <c r="K6058" t="s">
        <v>9</v>
      </c>
      <c r="L6058" t="s">
        <v>650</v>
      </c>
      <c r="M6058" t="s">
        <v>666</v>
      </c>
    </row>
    <row r="6059" spans="1:13">
      <c r="A6059" t="s">
        <v>851</v>
      </c>
      <c r="B6059" t="s">
        <v>686</v>
      </c>
      <c r="C6059" t="s">
        <v>686</v>
      </c>
      <c r="D6059" t="s">
        <v>3185</v>
      </c>
      <c r="E6059" t="s">
        <v>646</v>
      </c>
      <c r="F6059" t="s">
        <v>40</v>
      </c>
      <c r="G6059">
        <v>2040</v>
      </c>
      <c r="H6059" s="12">
        <v>3867</v>
      </c>
      <c r="I6059" t="s">
        <v>3183</v>
      </c>
      <c r="J6059" t="s">
        <v>6</v>
      </c>
      <c r="K6059" t="s">
        <v>9</v>
      </c>
      <c r="L6059" t="s">
        <v>650</v>
      </c>
      <c r="M6059" t="s">
        <v>666</v>
      </c>
    </row>
    <row r="6060" spans="1:13">
      <c r="A6060" t="s">
        <v>851</v>
      </c>
      <c r="B6060" t="s">
        <v>686</v>
      </c>
      <c r="C6060" t="s">
        <v>686</v>
      </c>
      <c r="D6060" t="s">
        <v>3185</v>
      </c>
      <c r="E6060" t="s">
        <v>646</v>
      </c>
      <c r="F6060" t="s">
        <v>40</v>
      </c>
      <c r="G6060">
        <v>2045</v>
      </c>
      <c r="H6060" s="12">
        <v>3771</v>
      </c>
      <c r="I6060" t="s">
        <v>3183</v>
      </c>
      <c r="J6060" t="s">
        <v>6</v>
      </c>
      <c r="K6060" t="s">
        <v>9</v>
      </c>
      <c r="L6060" t="s">
        <v>650</v>
      </c>
      <c r="M6060" t="s">
        <v>666</v>
      </c>
    </row>
    <row r="6061" spans="1:13">
      <c r="A6061" t="s">
        <v>851</v>
      </c>
      <c r="B6061" t="s">
        <v>686</v>
      </c>
      <c r="C6061" t="s">
        <v>686</v>
      </c>
      <c r="D6061" t="s">
        <v>3185</v>
      </c>
      <c r="E6061" t="s">
        <v>573</v>
      </c>
      <c r="F6061" t="s">
        <v>40</v>
      </c>
      <c r="G6061">
        <v>2030</v>
      </c>
      <c r="H6061" s="12">
        <v>3573</v>
      </c>
      <c r="I6061" t="s">
        <v>3183</v>
      </c>
      <c r="J6061" t="s">
        <v>5</v>
      </c>
      <c r="K6061" t="s">
        <v>147</v>
      </c>
      <c r="L6061" t="s">
        <v>650</v>
      </c>
      <c r="M6061" t="s">
        <v>5</v>
      </c>
    </row>
    <row r="6062" spans="1:13">
      <c r="A6062" t="s">
        <v>851</v>
      </c>
      <c r="B6062" t="s">
        <v>686</v>
      </c>
      <c r="C6062" t="s">
        <v>686</v>
      </c>
      <c r="D6062" t="s">
        <v>3185</v>
      </c>
      <c r="E6062" t="s">
        <v>573</v>
      </c>
      <c r="F6062" t="s">
        <v>40</v>
      </c>
      <c r="G6062">
        <v>2035</v>
      </c>
      <c r="H6062" s="12">
        <v>2554</v>
      </c>
      <c r="I6062" t="s">
        <v>3183</v>
      </c>
      <c r="J6062" t="s">
        <v>5</v>
      </c>
      <c r="K6062" t="s">
        <v>147</v>
      </c>
      <c r="L6062" t="s">
        <v>650</v>
      </c>
      <c r="M6062" t="s">
        <v>5</v>
      </c>
    </row>
    <row r="6063" spans="1:13">
      <c r="A6063" t="s">
        <v>851</v>
      </c>
      <c r="B6063" t="s">
        <v>686</v>
      </c>
      <c r="C6063" t="s">
        <v>686</v>
      </c>
      <c r="D6063" t="s">
        <v>3185</v>
      </c>
      <c r="E6063" t="s">
        <v>573</v>
      </c>
      <c r="F6063" t="s">
        <v>40</v>
      </c>
      <c r="G6063">
        <v>2040</v>
      </c>
      <c r="H6063" s="12">
        <v>2320</v>
      </c>
      <c r="I6063" t="s">
        <v>3183</v>
      </c>
      <c r="J6063" t="s">
        <v>5</v>
      </c>
      <c r="K6063" t="s">
        <v>147</v>
      </c>
      <c r="L6063" t="s">
        <v>650</v>
      </c>
      <c r="M6063" t="s">
        <v>5</v>
      </c>
    </row>
    <row r="6064" spans="1:13">
      <c r="A6064" t="s">
        <v>851</v>
      </c>
      <c r="B6064" t="s">
        <v>686</v>
      </c>
      <c r="C6064" t="s">
        <v>686</v>
      </c>
      <c r="D6064" t="s">
        <v>3185</v>
      </c>
      <c r="E6064" t="s">
        <v>573</v>
      </c>
      <c r="F6064" t="s">
        <v>40</v>
      </c>
      <c r="G6064">
        <v>2045</v>
      </c>
      <c r="H6064" s="12">
        <v>2283</v>
      </c>
      <c r="I6064" t="s">
        <v>3183</v>
      </c>
      <c r="J6064" t="s">
        <v>5</v>
      </c>
      <c r="K6064" t="s">
        <v>147</v>
      </c>
      <c r="L6064" t="s">
        <v>650</v>
      </c>
      <c r="M6064" t="s">
        <v>5</v>
      </c>
    </row>
    <row r="6065" spans="1:13">
      <c r="A6065" t="s">
        <v>851</v>
      </c>
      <c r="B6065" t="s">
        <v>686</v>
      </c>
      <c r="C6065" t="s">
        <v>686</v>
      </c>
      <c r="D6065" t="s">
        <v>3185</v>
      </c>
      <c r="E6065" t="s">
        <v>573</v>
      </c>
      <c r="F6065" t="s">
        <v>40</v>
      </c>
      <c r="G6065">
        <v>2050</v>
      </c>
      <c r="H6065" s="12">
        <v>2262</v>
      </c>
      <c r="I6065" t="s">
        <v>3183</v>
      </c>
      <c r="J6065" t="s">
        <v>5</v>
      </c>
      <c r="K6065" t="s">
        <v>147</v>
      </c>
      <c r="L6065" t="s">
        <v>650</v>
      </c>
      <c r="M6065" t="s">
        <v>5</v>
      </c>
    </row>
    <row r="6066" spans="1:13">
      <c r="A6066" t="s">
        <v>851</v>
      </c>
      <c r="B6066" t="s">
        <v>687</v>
      </c>
      <c r="C6066" t="s">
        <v>687</v>
      </c>
      <c r="D6066" t="s">
        <v>3185</v>
      </c>
      <c r="E6066" t="s">
        <v>573</v>
      </c>
      <c r="F6066" t="s">
        <v>40</v>
      </c>
      <c r="G6066">
        <v>2030</v>
      </c>
      <c r="H6066" s="12">
        <v>2011</v>
      </c>
      <c r="I6066" t="s">
        <v>3183</v>
      </c>
      <c r="J6066" t="s">
        <v>5</v>
      </c>
      <c r="K6066" t="s">
        <v>147</v>
      </c>
      <c r="L6066" t="s">
        <v>650</v>
      </c>
      <c r="M6066" t="s">
        <v>5</v>
      </c>
    </row>
    <row r="6067" spans="1:13">
      <c r="A6067" t="s">
        <v>851</v>
      </c>
      <c r="B6067" t="s">
        <v>687</v>
      </c>
      <c r="C6067" t="s">
        <v>687</v>
      </c>
      <c r="D6067" t="s">
        <v>3185</v>
      </c>
      <c r="E6067" t="s">
        <v>573</v>
      </c>
      <c r="F6067" t="s">
        <v>40</v>
      </c>
      <c r="G6067">
        <v>2035</v>
      </c>
      <c r="H6067" s="12">
        <v>1339</v>
      </c>
      <c r="I6067" t="s">
        <v>3183</v>
      </c>
      <c r="J6067" t="s">
        <v>5</v>
      </c>
      <c r="K6067" t="s">
        <v>147</v>
      </c>
      <c r="L6067" t="s">
        <v>650</v>
      </c>
      <c r="M6067" t="s">
        <v>5</v>
      </c>
    </row>
    <row r="6068" spans="1:13">
      <c r="A6068" t="s">
        <v>851</v>
      </c>
      <c r="B6068" t="s">
        <v>687</v>
      </c>
      <c r="C6068" t="s">
        <v>687</v>
      </c>
      <c r="D6068" t="s">
        <v>3185</v>
      </c>
      <c r="E6068" t="s">
        <v>573</v>
      </c>
      <c r="F6068" t="s">
        <v>40</v>
      </c>
      <c r="G6068">
        <v>2040</v>
      </c>
      <c r="H6068" s="12">
        <v>1306</v>
      </c>
      <c r="I6068" t="s">
        <v>3183</v>
      </c>
      <c r="J6068" t="s">
        <v>5</v>
      </c>
      <c r="K6068" t="s">
        <v>147</v>
      </c>
      <c r="L6068" t="s">
        <v>650</v>
      </c>
      <c r="M6068" t="s">
        <v>5</v>
      </c>
    </row>
    <row r="6069" spans="1:13">
      <c r="A6069" t="s">
        <v>851</v>
      </c>
      <c r="B6069" t="s">
        <v>687</v>
      </c>
      <c r="C6069" t="s">
        <v>687</v>
      </c>
      <c r="D6069" t="s">
        <v>3185</v>
      </c>
      <c r="E6069" t="s">
        <v>573</v>
      </c>
      <c r="F6069" t="s">
        <v>40</v>
      </c>
      <c r="G6069">
        <v>2045</v>
      </c>
      <c r="H6069" s="12">
        <v>1182</v>
      </c>
      <c r="I6069" t="s">
        <v>3183</v>
      </c>
      <c r="J6069" t="s">
        <v>5</v>
      </c>
      <c r="K6069" t="s">
        <v>147</v>
      </c>
      <c r="L6069" t="s">
        <v>650</v>
      </c>
      <c r="M6069" t="s">
        <v>5</v>
      </c>
    </row>
    <row r="6070" spans="1:13">
      <c r="A6070" t="s">
        <v>851</v>
      </c>
      <c r="B6070" t="s">
        <v>687</v>
      </c>
      <c r="C6070" t="s">
        <v>687</v>
      </c>
      <c r="D6070" t="s">
        <v>3185</v>
      </c>
      <c r="E6070" t="s">
        <v>573</v>
      </c>
      <c r="F6070" t="s">
        <v>40</v>
      </c>
      <c r="G6070">
        <v>2050</v>
      </c>
      <c r="H6070" s="12">
        <v>1141</v>
      </c>
      <c r="I6070" t="s">
        <v>3183</v>
      </c>
      <c r="J6070" t="s">
        <v>5</v>
      </c>
      <c r="K6070" t="s">
        <v>147</v>
      </c>
      <c r="L6070" t="s">
        <v>650</v>
      </c>
      <c r="M6070" t="s">
        <v>5</v>
      </c>
    </row>
    <row r="6071" spans="1:13">
      <c r="A6071" t="s">
        <v>851</v>
      </c>
      <c r="B6071" t="s">
        <v>686</v>
      </c>
      <c r="C6071" t="s">
        <v>686</v>
      </c>
      <c r="D6071" t="s">
        <v>3185</v>
      </c>
      <c r="E6071" t="s">
        <v>660</v>
      </c>
      <c r="F6071" t="s">
        <v>40</v>
      </c>
      <c r="G6071">
        <v>2030</v>
      </c>
      <c r="H6071" s="12">
        <v>17496</v>
      </c>
      <c r="I6071" t="s">
        <v>3183</v>
      </c>
      <c r="J6071" t="s">
        <v>6</v>
      </c>
      <c r="K6071" t="s">
        <v>657</v>
      </c>
      <c r="L6071" t="s">
        <v>650</v>
      </c>
      <c r="M6071" t="s">
        <v>659</v>
      </c>
    </row>
    <row r="6072" spans="1:13">
      <c r="A6072" t="s">
        <v>851</v>
      </c>
      <c r="B6072" t="s">
        <v>686</v>
      </c>
      <c r="C6072" t="s">
        <v>686</v>
      </c>
      <c r="D6072" t="s">
        <v>3185</v>
      </c>
      <c r="E6072" t="s">
        <v>660</v>
      </c>
      <c r="F6072" t="s">
        <v>40</v>
      </c>
      <c r="G6072">
        <v>2035</v>
      </c>
      <c r="H6072" s="12">
        <v>16241</v>
      </c>
      <c r="I6072" t="s">
        <v>3183</v>
      </c>
      <c r="J6072" t="s">
        <v>6</v>
      </c>
      <c r="K6072" t="s">
        <v>657</v>
      </c>
      <c r="L6072" t="s">
        <v>650</v>
      </c>
      <c r="M6072" t="s">
        <v>659</v>
      </c>
    </row>
    <row r="6073" spans="1:13">
      <c r="A6073" t="s">
        <v>851</v>
      </c>
      <c r="B6073" t="s">
        <v>686</v>
      </c>
      <c r="C6073" t="s">
        <v>686</v>
      </c>
      <c r="D6073" t="s">
        <v>3185</v>
      </c>
      <c r="E6073" t="s">
        <v>660</v>
      </c>
      <c r="F6073" t="s">
        <v>40</v>
      </c>
      <c r="G6073">
        <v>2040</v>
      </c>
      <c r="H6073" s="12">
        <v>15313</v>
      </c>
      <c r="I6073" t="s">
        <v>3183</v>
      </c>
      <c r="J6073" t="s">
        <v>6</v>
      </c>
      <c r="K6073" t="s">
        <v>657</v>
      </c>
      <c r="L6073" t="s">
        <v>650</v>
      </c>
      <c r="M6073" t="s">
        <v>659</v>
      </c>
    </row>
    <row r="6074" spans="1:13">
      <c r="A6074" t="s">
        <v>851</v>
      </c>
      <c r="B6074" t="s">
        <v>686</v>
      </c>
      <c r="C6074" t="s">
        <v>686</v>
      </c>
      <c r="D6074" t="s">
        <v>3185</v>
      </c>
      <c r="E6074" t="s">
        <v>660</v>
      </c>
      <c r="F6074" t="s">
        <v>40</v>
      </c>
      <c r="G6074">
        <v>2045</v>
      </c>
      <c r="H6074" s="12">
        <v>14377</v>
      </c>
      <c r="I6074" t="s">
        <v>3183</v>
      </c>
      <c r="J6074" t="s">
        <v>6</v>
      </c>
      <c r="K6074" t="s">
        <v>657</v>
      </c>
      <c r="L6074" t="s">
        <v>650</v>
      </c>
      <c r="M6074" t="s">
        <v>659</v>
      </c>
    </row>
    <row r="6075" spans="1:13">
      <c r="A6075" t="s">
        <v>851</v>
      </c>
      <c r="B6075" t="s">
        <v>686</v>
      </c>
      <c r="C6075" t="s">
        <v>686</v>
      </c>
      <c r="D6075" t="s">
        <v>3185</v>
      </c>
      <c r="E6075" t="s">
        <v>660</v>
      </c>
      <c r="F6075" t="s">
        <v>40</v>
      </c>
      <c r="G6075">
        <v>2050</v>
      </c>
      <c r="H6075" s="12">
        <v>13512</v>
      </c>
      <c r="I6075" t="s">
        <v>3183</v>
      </c>
      <c r="J6075" t="s">
        <v>6</v>
      </c>
      <c r="K6075" t="s">
        <v>657</v>
      </c>
      <c r="L6075" t="s">
        <v>650</v>
      </c>
      <c r="M6075" t="s">
        <v>659</v>
      </c>
    </row>
    <row r="6076" spans="1:13">
      <c r="A6076" t="s">
        <v>851</v>
      </c>
      <c r="B6076" t="s">
        <v>687</v>
      </c>
      <c r="C6076" t="s">
        <v>687</v>
      </c>
      <c r="D6076" t="s">
        <v>3185</v>
      </c>
      <c r="E6076" t="s">
        <v>660</v>
      </c>
      <c r="F6076" t="s">
        <v>40</v>
      </c>
      <c r="G6076">
        <v>2030</v>
      </c>
      <c r="H6076" s="12">
        <v>13506</v>
      </c>
      <c r="I6076" t="s">
        <v>3183</v>
      </c>
      <c r="J6076" t="s">
        <v>6</v>
      </c>
      <c r="K6076" t="s">
        <v>657</v>
      </c>
      <c r="L6076" t="s">
        <v>650</v>
      </c>
      <c r="M6076" t="s">
        <v>659</v>
      </c>
    </row>
    <row r="6077" spans="1:13">
      <c r="A6077" t="s">
        <v>851</v>
      </c>
      <c r="B6077" t="s">
        <v>687</v>
      </c>
      <c r="C6077" t="s">
        <v>687</v>
      </c>
      <c r="D6077" t="s">
        <v>3185</v>
      </c>
      <c r="E6077" t="s">
        <v>660</v>
      </c>
      <c r="F6077" t="s">
        <v>40</v>
      </c>
      <c r="G6077">
        <v>2035</v>
      </c>
      <c r="H6077" s="12">
        <v>9480</v>
      </c>
      <c r="I6077" t="s">
        <v>3183</v>
      </c>
      <c r="J6077" t="s">
        <v>6</v>
      </c>
      <c r="K6077" t="s">
        <v>657</v>
      </c>
      <c r="L6077" t="s">
        <v>650</v>
      </c>
      <c r="M6077" t="s">
        <v>659</v>
      </c>
    </row>
    <row r="6078" spans="1:13">
      <c r="A6078" t="s">
        <v>851</v>
      </c>
      <c r="B6078" t="s">
        <v>687</v>
      </c>
      <c r="C6078" t="s">
        <v>687</v>
      </c>
      <c r="D6078" t="s">
        <v>3185</v>
      </c>
      <c r="E6078" t="s">
        <v>660</v>
      </c>
      <c r="F6078" t="s">
        <v>40</v>
      </c>
      <c r="G6078">
        <v>2040</v>
      </c>
      <c r="H6078" s="12">
        <v>6820</v>
      </c>
      <c r="I6078" t="s">
        <v>3183</v>
      </c>
      <c r="J6078" t="s">
        <v>6</v>
      </c>
      <c r="K6078" t="s">
        <v>657</v>
      </c>
      <c r="L6078" t="s">
        <v>650</v>
      </c>
      <c r="M6078" t="s">
        <v>659</v>
      </c>
    </row>
    <row r="6079" spans="1:13">
      <c r="A6079" t="s">
        <v>851</v>
      </c>
      <c r="B6079" t="s">
        <v>687</v>
      </c>
      <c r="C6079" t="s">
        <v>687</v>
      </c>
      <c r="D6079" t="s">
        <v>3185</v>
      </c>
      <c r="E6079" t="s">
        <v>660</v>
      </c>
      <c r="F6079" t="s">
        <v>40</v>
      </c>
      <c r="G6079">
        <v>2045</v>
      </c>
      <c r="H6079" s="12">
        <v>5392</v>
      </c>
      <c r="I6079" t="s">
        <v>3183</v>
      </c>
      <c r="J6079" t="s">
        <v>6</v>
      </c>
      <c r="K6079" t="s">
        <v>657</v>
      </c>
      <c r="L6079" t="s">
        <v>650</v>
      </c>
      <c r="M6079" t="s">
        <v>659</v>
      </c>
    </row>
    <row r="6080" spans="1:13">
      <c r="A6080" t="s">
        <v>851</v>
      </c>
      <c r="B6080" t="s">
        <v>687</v>
      </c>
      <c r="C6080" t="s">
        <v>687</v>
      </c>
      <c r="D6080" t="s">
        <v>3185</v>
      </c>
      <c r="E6080" t="s">
        <v>660</v>
      </c>
      <c r="F6080" t="s">
        <v>40</v>
      </c>
      <c r="G6080">
        <v>2050</v>
      </c>
      <c r="H6080" s="12">
        <v>4175</v>
      </c>
      <c r="I6080" t="s">
        <v>3183</v>
      </c>
      <c r="J6080" t="s">
        <v>6</v>
      </c>
      <c r="K6080" t="s">
        <v>657</v>
      </c>
      <c r="L6080" t="s">
        <v>650</v>
      </c>
      <c r="M6080" t="s">
        <v>659</v>
      </c>
    </row>
    <row r="6081" spans="1:13">
      <c r="A6081" t="s">
        <v>851</v>
      </c>
      <c r="B6081" t="s">
        <v>686</v>
      </c>
      <c r="C6081" t="s">
        <v>686</v>
      </c>
      <c r="D6081" t="s">
        <v>3185</v>
      </c>
      <c r="E6081" t="s">
        <v>660</v>
      </c>
      <c r="F6081" t="s">
        <v>40</v>
      </c>
      <c r="G6081">
        <v>2010</v>
      </c>
      <c r="H6081" s="12">
        <v>27862</v>
      </c>
      <c r="I6081" t="s">
        <v>3183</v>
      </c>
      <c r="J6081" t="s">
        <v>394</v>
      </c>
      <c r="K6081" t="s">
        <v>657</v>
      </c>
      <c r="L6081" t="s">
        <v>650</v>
      </c>
      <c r="M6081" t="s">
        <v>16</v>
      </c>
    </row>
    <row r="6082" spans="1:13">
      <c r="A6082" t="s">
        <v>851</v>
      </c>
      <c r="B6082" t="s">
        <v>686</v>
      </c>
      <c r="C6082" t="s">
        <v>686</v>
      </c>
      <c r="D6082" t="s">
        <v>3185</v>
      </c>
      <c r="E6082" t="s">
        <v>660</v>
      </c>
      <c r="F6082" t="s">
        <v>40</v>
      </c>
      <c r="G6082">
        <v>2015</v>
      </c>
      <c r="H6082" s="12">
        <v>25586</v>
      </c>
      <c r="I6082" t="s">
        <v>3183</v>
      </c>
      <c r="J6082" t="s">
        <v>394</v>
      </c>
      <c r="K6082" t="s">
        <v>657</v>
      </c>
      <c r="L6082" t="s">
        <v>650</v>
      </c>
      <c r="M6082" t="s">
        <v>16</v>
      </c>
    </row>
    <row r="6083" spans="1:13">
      <c r="A6083" t="s">
        <v>851</v>
      </c>
      <c r="B6083" t="s">
        <v>686</v>
      </c>
      <c r="C6083" t="s">
        <v>686</v>
      </c>
      <c r="D6083" t="s">
        <v>3185</v>
      </c>
      <c r="E6083" t="s">
        <v>660</v>
      </c>
      <c r="F6083" t="s">
        <v>40</v>
      </c>
      <c r="G6083">
        <v>2020</v>
      </c>
      <c r="H6083" s="12">
        <v>23668</v>
      </c>
      <c r="I6083" t="s">
        <v>3183</v>
      </c>
      <c r="J6083" t="s">
        <v>394</v>
      </c>
      <c r="K6083" t="s">
        <v>657</v>
      </c>
      <c r="L6083" t="s">
        <v>650</v>
      </c>
      <c r="M6083" t="s">
        <v>16</v>
      </c>
    </row>
    <row r="6084" spans="1:13">
      <c r="A6084" t="s">
        <v>851</v>
      </c>
      <c r="B6084" t="s">
        <v>686</v>
      </c>
      <c r="C6084" t="s">
        <v>686</v>
      </c>
      <c r="D6084" t="s">
        <v>3185</v>
      </c>
      <c r="E6084" t="s">
        <v>660</v>
      </c>
      <c r="F6084" t="s">
        <v>40</v>
      </c>
      <c r="G6084">
        <v>2030</v>
      </c>
      <c r="H6084" s="12">
        <v>21643</v>
      </c>
      <c r="I6084" t="s">
        <v>3183</v>
      </c>
      <c r="J6084" t="s">
        <v>394</v>
      </c>
      <c r="K6084" t="s">
        <v>657</v>
      </c>
      <c r="L6084" t="s">
        <v>650</v>
      </c>
      <c r="M6084" t="s">
        <v>16</v>
      </c>
    </row>
    <row r="6085" spans="1:13">
      <c r="A6085" t="s">
        <v>851</v>
      </c>
      <c r="B6085" t="s">
        <v>686</v>
      </c>
      <c r="C6085" t="s">
        <v>686</v>
      </c>
      <c r="D6085" t="s">
        <v>3185</v>
      </c>
      <c r="E6085" t="s">
        <v>660</v>
      </c>
      <c r="F6085" t="s">
        <v>40</v>
      </c>
      <c r="G6085">
        <v>2035</v>
      </c>
      <c r="H6085" s="12">
        <v>19231</v>
      </c>
      <c r="I6085" t="s">
        <v>3183</v>
      </c>
      <c r="J6085" t="s">
        <v>394</v>
      </c>
      <c r="K6085" t="s">
        <v>657</v>
      </c>
      <c r="L6085" t="s">
        <v>650</v>
      </c>
      <c r="M6085" t="s">
        <v>16</v>
      </c>
    </row>
    <row r="6086" spans="1:13">
      <c r="A6086" t="s">
        <v>851</v>
      </c>
      <c r="B6086" t="s">
        <v>686</v>
      </c>
      <c r="C6086" t="s">
        <v>686</v>
      </c>
      <c r="D6086" t="s">
        <v>3185</v>
      </c>
      <c r="E6086" t="s">
        <v>660</v>
      </c>
      <c r="F6086" t="s">
        <v>40</v>
      </c>
      <c r="G6086">
        <v>2040</v>
      </c>
      <c r="H6086" s="12">
        <v>17057</v>
      </c>
      <c r="I6086" t="s">
        <v>3183</v>
      </c>
      <c r="J6086" t="s">
        <v>394</v>
      </c>
      <c r="K6086" t="s">
        <v>657</v>
      </c>
      <c r="L6086" t="s">
        <v>650</v>
      </c>
      <c r="M6086" t="s">
        <v>16</v>
      </c>
    </row>
    <row r="6087" spans="1:13">
      <c r="A6087" t="s">
        <v>851</v>
      </c>
      <c r="B6087" t="s">
        <v>686</v>
      </c>
      <c r="C6087" t="s">
        <v>686</v>
      </c>
      <c r="D6087" t="s">
        <v>3185</v>
      </c>
      <c r="E6087" t="s">
        <v>660</v>
      </c>
      <c r="F6087" t="s">
        <v>40</v>
      </c>
      <c r="G6087">
        <v>2045</v>
      </c>
      <c r="H6087" s="12">
        <v>15449</v>
      </c>
      <c r="I6087" t="s">
        <v>3183</v>
      </c>
      <c r="J6087" t="s">
        <v>394</v>
      </c>
      <c r="K6087" t="s">
        <v>657</v>
      </c>
      <c r="L6087" t="s">
        <v>650</v>
      </c>
      <c r="M6087" t="s">
        <v>16</v>
      </c>
    </row>
    <row r="6088" spans="1:13">
      <c r="A6088" t="s">
        <v>851</v>
      </c>
      <c r="B6088" t="s">
        <v>686</v>
      </c>
      <c r="C6088" t="s">
        <v>686</v>
      </c>
      <c r="D6088" t="s">
        <v>3185</v>
      </c>
      <c r="E6088" t="s">
        <v>660</v>
      </c>
      <c r="F6088" t="s">
        <v>40</v>
      </c>
      <c r="G6088">
        <v>2050</v>
      </c>
      <c r="H6088" s="12">
        <v>14100</v>
      </c>
      <c r="I6088" t="s">
        <v>3183</v>
      </c>
      <c r="J6088" t="s">
        <v>394</v>
      </c>
      <c r="K6088" t="s">
        <v>657</v>
      </c>
      <c r="L6088" t="s">
        <v>650</v>
      </c>
      <c r="M6088" t="s">
        <v>16</v>
      </c>
    </row>
    <row r="6089" spans="1:13">
      <c r="A6089" t="s">
        <v>851</v>
      </c>
      <c r="B6089" t="s">
        <v>687</v>
      </c>
      <c r="C6089" t="s">
        <v>687</v>
      </c>
      <c r="D6089" t="s">
        <v>3185</v>
      </c>
      <c r="E6089" t="s">
        <v>660</v>
      </c>
      <c r="F6089" t="s">
        <v>40</v>
      </c>
      <c r="G6089">
        <v>2030</v>
      </c>
      <c r="H6089" s="12">
        <v>18336</v>
      </c>
      <c r="I6089" t="s">
        <v>3183</v>
      </c>
      <c r="J6089" t="s">
        <v>394</v>
      </c>
      <c r="K6089" t="s">
        <v>657</v>
      </c>
      <c r="L6089" t="s">
        <v>650</v>
      </c>
      <c r="M6089" t="s">
        <v>16</v>
      </c>
    </row>
    <row r="6090" spans="1:13">
      <c r="A6090" t="s">
        <v>851</v>
      </c>
      <c r="B6090" t="s">
        <v>687</v>
      </c>
      <c r="C6090" t="s">
        <v>687</v>
      </c>
      <c r="D6090" t="s">
        <v>3185</v>
      </c>
      <c r="E6090" t="s">
        <v>660</v>
      </c>
      <c r="F6090" t="s">
        <v>40</v>
      </c>
      <c r="G6090">
        <v>2035</v>
      </c>
      <c r="H6090" s="12">
        <v>13290</v>
      </c>
      <c r="I6090" t="s">
        <v>3183</v>
      </c>
      <c r="J6090" t="s">
        <v>394</v>
      </c>
      <c r="K6090" t="s">
        <v>657</v>
      </c>
      <c r="L6090" t="s">
        <v>650</v>
      </c>
      <c r="M6090" t="s">
        <v>16</v>
      </c>
    </row>
    <row r="6091" spans="1:13">
      <c r="A6091" t="s">
        <v>851</v>
      </c>
      <c r="B6091" t="s">
        <v>687</v>
      </c>
      <c r="C6091" t="s">
        <v>687</v>
      </c>
      <c r="D6091" t="s">
        <v>3185</v>
      </c>
      <c r="E6091" t="s">
        <v>660</v>
      </c>
      <c r="F6091" t="s">
        <v>40</v>
      </c>
      <c r="G6091">
        <v>2040</v>
      </c>
      <c r="H6091" s="12">
        <v>9234</v>
      </c>
      <c r="I6091" t="s">
        <v>3183</v>
      </c>
      <c r="J6091" t="s">
        <v>394</v>
      </c>
      <c r="K6091" t="s">
        <v>657</v>
      </c>
      <c r="L6091" t="s">
        <v>650</v>
      </c>
      <c r="M6091" t="s">
        <v>16</v>
      </c>
    </row>
    <row r="6092" spans="1:13">
      <c r="A6092" t="s">
        <v>851</v>
      </c>
      <c r="B6092" t="s">
        <v>687</v>
      </c>
      <c r="C6092" t="s">
        <v>687</v>
      </c>
      <c r="D6092" t="s">
        <v>3185</v>
      </c>
      <c r="E6092" t="s">
        <v>660</v>
      </c>
      <c r="F6092" t="s">
        <v>40</v>
      </c>
      <c r="G6092">
        <v>2045</v>
      </c>
      <c r="H6092" s="12">
        <v>6729</v>
      </c>
      <c r="I6092" t="s">
        <v>3183</v>
      </c>
      <c r="J6092" t="s">
        <v>394</v>
      </c>
      <c r="K6092" t="s">
        <v>657</v>
      </c>
      <c r="L6092" t="s">
        <v>650</v>
      </c>
      <c r="M6092" t="s">
        <v>16</v>
      </c>
    </row>
    <row r="6093" spans="1:13">
      <c r="A6093" t="s">
        <v>851</v>
      </c>
      <c r="B6093" t="s">
        <v>687</v>
      </c>
      <c r="C6093" t="s">
        <v>687</v>
      </c>
      <c r="D6093" t="s">
        <v>3185</v>
      </c>
      <c r="E6093" t="s">
        <v>660</v>
      </c>
      <c r="F6093" t="s">
        <v>40</v>
      </c>
      <c r="G6093">
        <v>2050</v>
      </c>
      <c r="H6093" s="12">
        <v>5217</v>
      </c>
      <c r="I6093" t="s">
        <v>3183</v>
      </c>
      <c r="J6093" t="s">
        <v>394</v>
      </c>
      <c r="K6093" t="s">
        <v>657</v>
      </c>
      <c r="L6093" t="s">
        <v>650</v>
      </c>
      <c r="M6093" t="s">
        <v>16</v>
      </c>
    </row>
    <row r="6094" spans="1:13">
      <c r="A6094" t="s">
        <v>851</v>
      </c>
      <c r="B6094" t="s">
        <v>686</v>
      </c>
      <c r="C6094" t="s">
        <v>686</v>
      </c>
      <c r="D6094" t="s">
        <v>3185</v>
      </c>
      <c r="E6094" t="s">
        <v>646</v>
      </c>
      <c r="F6094" t="s">
        <v>40</v>
      </c>
      <c r="G6094">
        <v>2010</v>
      </c>
      <c r="H6094" s="12">
        <v>4295</v>
      </c>
      <c r="I6094" t="s">
        <v>3183</v>
      </c>
      <c r="J6094" t="s">
        <v>394</v>
      </c>
      <c r="K6094" t="s">
        <v>272</v>
      </c>
      <c r="L6094" t="s">
        <v>650</v>
      </c>
      <c r="M6094" t="s">
        <v>16</v>
      </c>
    </row>
    <row r="6095" spans="1:13">
      <c r="A6095" t="s">
        <v>851</v>
      </c>
      <c r="B6095" t="s">
        <v>686</v>
      </c>
      <c r="C6095" t="s">
        <v>686</v>
      </c>
      <c r="D6095" t="s">
        <v>3185</v>
      </c>
      <c r="E6095" t="s">
        <v>646</v>
      </c>
      <c r="F6095" t="s">
        <v>40</v>
      </c>
      <c r="G6095">
        <v>2015</v>
      </c>
      <c r="H6095" s="12">
        <v>3755</v>
      </c>
      <c r="I6095" t="s">
        <v>3183</v>
      </c>
      <c r="J6095" t="s">
        <v>394</v>
      </c>
      <c r="K6095" t="s">
        <v>272</v>
      </c>
      <c r="L6095" t="s">
        <v>650</v>
      </c>
      <c r="M6095" t="s">
        <v>16</v>
      </c>
    </row>
    <row r="6096" spans="1:13">
      <c r="A6096" t="s">
        <v>851</v>
      </c>
      <c r="B6096" t="s">
        <v>686</v>
      </c>
      <c r="C6096" t="s">
        <v>686</v>
      </c>
      <c r="D6096" t="s">
        <v>3185</v>
      </c>
      <c r="E6096" t="s">
        <v>646</v>
      </c>
      <c r="F6096" t="s">
        <v>40</v>
      </c>
      <c r="G6096">
        <v>2020</v>
      </c>
      <c r="H6096" s="12">
        <v>3882</v>
      </c>
      <c r="I6096" t="s">
        <v>3183</v>
      </c>
      <c r="J6096" t="s">
        <v>394</v>
      </c>
      <c r="K6096" t="s">
        <v>272</v>
      </c>
      <c r="L6096" t="s">
        <v>650</v>
      </c>
      <c r="M6096" t="s">
        <v>16</v>
      </c>
    </row>
    <row r="6097" spans="1:13">
      <c r="A6097" t="s">
        <v>851</v>
      </c>
      <c r="B6097" t="s">
        <v>686</v>
      </c>
      <c r="C6097" t="s">
        <v>686</v>
      </c>
      <c r="D6097" t="s">
        <v>3185</v>
      </c>
      <c r="E6097" t="s">
        <v>646</v>
      </c>
      <c r="F6097" t="s">
        <v>40</v>
      </c>
      <c r="G6097">
        <v>2030</v>
      </c>
      <c r="H6097" s="12">
        <v>3987</v>
      </c>
      <c r="I6097" t="s">
        <v>3183</v>
      </c>
      <c r="J6097" t="s">
        <v>394</v>
      </c>
      <c r="K6097" t="s">
        <v>272</v>
      </c>
      <c r="L6097" t="s">
        <v>650</v>
      </c>
      <c r="M6097" t="s">
        <v>16</v>
      </c>
    </row>
    <row r="6098" spans="1:13">
      <c r="A6098" t="s">
        <v>851</v>
      </c>
      <c r="B6098" t="s">
        <v>686</v>
      </c>
      <c r="C6098" t="s">
        <v>686</v>
      </c>
      <c r="D6098" t="s">
        <v>3185</v>
      </c>
      <c r="E6098" t="s">
        <v>646</v>
      </c>
      <c r="F6098" t="s">
        <v>40</v>
      </c>
      <c r="G6098">
        <v>2035</v>
      </c>
      <c r="H6098" s="12">
        <v>3800</v>
      </c>
      <c r="I6098" t="s">
        <v>3183</v>
      </c>
      <c r="J6098" t="s">
        <v>394</v>
      </c>
      <c r="K6098" t="s">
        <v>272</v>
      </c>
      <c r="L6098" t="s">
        <v>650</v>
      </c>
      <c r="M6098" t="s">
        <v>16</v>
      </c>
    </row>
    <row r="6099" spans="1:13">
      <c r="A6099" t="s">
        <v>851</v>
      </c>
      <c r="B6099" t="s">
        <v>686</v>
      </c>
      <c r="C6099" t="s">
        <v>686</v>
      </c>
      <c r="D6099" t="s">
        <v>3185</v>
      </c>
      <c r="E6099" t="s">
        <v>646</v>
      </c>
      <c r="F6099" t="s">
        <v>40</v>
      </c>
      <c r="G6099">
        <v>2040</v>
      </c>
      <c r="H6099" s="12">
        <v>3585</v>
      </c>
      <c r="I6099" t="s">
        <v>3183</v>
      </c>
      <c r="J6099" t="s">
        <v>394</v>
      </c>
      <c r="K6099" t="s">
        <v>272</v>
      </c>
      <c r="L6099" t="s">
        <v>650</v>
      </c>
      <c r="M6099" t="s">
        <v>16</v>
      </c>
    </row>
    <row r="6100" spans="1:13">
      <c r="A6100" t="s">
        <v>851</v>
      </c>
      <c r="B6100" t="s">
        <v>686</v>
      </c>
      <c r="C6100" t="s">
        <v>686</v>
      </c>
      <c r="D6100" t="s">
        <v>3185</v>
      </c>
      <c r="E6100" t="s">
        <v>646</v>
      </c>
      <c r="F6100" t="s">
        <v>40</v>
      </c>
      <c r="G6100">
        <v>2045</v>
      </c>
      <c r="H6100" s="12">
        <v>3368</v>
      </c>
      <c r="I6100" t="s">
        <v>3183</v>
      </c>
      <c r="J6100" t="s">
        <v>394</v>
      </c>
      <c r="K6100" t="s">
        <v>272</v>
      </c>
      <c r="L6100" t="s">
        <v>650</v>
      </c>
      <c r="M6100" t="s">
        <v>16</v>
      </c>
    </row>
    <row r="6101" spans="1:13">
      <c r="A6101" t="s">
        <v>851</v>
      </c>
      <c r="B6101" t="s">
        <v>686</v>
      </c>
      <c r="C6101" t="s">
        <v>686</v>
      </c>
      <c r="D6101" t="s">
        <v>3185</v>
      </c>
      <c r="E6101" t="s">
        <v>646</v>
      </c>
      <c r="F6101" t="s">
        <v>40</v>
      </c>
      <c r="G6101">
        <v>2050</v>
      </c>
      <c r="H6101" s="12">
        <v>3141</v>
      </c>
      <c r="I6101" t="s">
        <v>3183</v>
      </c>
      <c r="J6101" t="s">
        <v>394</v>
      </c>
      <c r="K6101" t="s">
        <v>272</v>
      </c>
      <c r="L6101" t="s">
        <v>650</v>
      </c>
      <c r="M6101" t="s">
        <v>16</v>
      </c>
    </row>
    <row r="6102" spans="1:13">
      <c r="A6102" t="s">
        <v>851</v>
      </c>
      <c r="B6102" t="s">
        <v>687</v>
      </c>
      <c r="C6102" t="s">
        <v>687</v>
      </c>
      <c r="D6102" t="s">
        <v>3185</v>
      </c>
      <c r="E6102" t="s">
        <v>646</v>
      </c>
      <c r="F6102" t="s">
        <v>40</v>
      </c>
      <c r="G6102">
        <v>2030</v>
      </c>
      <c r="H6102" s="12">
        <v>3912</v>
      </c>
      <c r="I6102" t="s">
        <v>3183</v>
      </c>
      <c r="J6102" t="s">
        <v>394</v>
      </c>
      <c r="K6102" t="s">
        <v>272</v>
      </c>
      <c r="L6102" t="s">
        <v>650</v>
      </c>
      <c r="M6102" t="s">
        <v>16</v>
      </c>
    </row>
    <row r="6103" spans="1:13">
      <c r="A6103" t="s">
        <v>851</v>
      </c>
      <c r="B6103" t="s">
        <v>687</v>
      </c>
      <c r="C6103" t="s">
        <v>687</v>
      </c>
      <c r="D6103" t="s">
        <v>3185</v>
      </c>
      <c r="E6103" t="s">
        <v>646</v>
      </c>
      <c r="F6103" t="s">
        <v>40</v>
      </c>
      <c r="G6103">
        <v>2035</v>
      </c>
      <c r="H6103" s="12">
        <v>3548</v>
      </c>
      <c r="I6103" t="s">
        <v>3183</v>
      </c>
      <c r="J6103" t="s">
        <v>394</v>
      </c>
      <c r="K6103" t="s">
        <v>272</v>
      </c>
      <c r="L6103" t="s">
        <v>650</v>
      </c>
      <c r="M6103" t="s">
        <v>16</v>
      </c>
    </row>
    <row r="6104" spans="1:13">
      <c r="A6104" t="s">
        <v>851</v>
      </c>
      <c r="B6104" t="s">
        <v>687</v>
      </c>
      <c r="C6104" t="s">
        <v>687</v>
      </c>
      <c r="D6104" t="s">
        <v>3185</v>
      </c>
      <c r="E6104" t="s">
        <v>646</v>
      </c>
      <c r="F6104" t="s">
        <v>40</v>
      </c>
      <c r="G6104">
        <v>2040</v>
      </c>
      <c r="H6104" s="12">
        <v>3263</v>
      </c>
      <c r="I6104" t="s">
        <v>3183</v>
      </c>
      <c r="J6104" t="s">
        <v>394</v>
      </c>
      <c r="K6104" t="s">
        <v>272</v>
      </c>
      <c r="L6104" t="s">
        <v>650</v>
      </c>
      <c r="M6104" t="s">
        <v>16</v>
      </c>
    </row>
    <row r="6105" spans="1:13">
      <c r="A6105" t="s">
        <v>851</v>
      </c>
      <c r="B6105" t="s">
        <v>687</v>
      </c>
      <c r="C6105" t="s">
        <v>687</v>
      </c>
      <c r="D6105" t="s">
        <v>3185</v>
      </c>
      <c r="E6105" t="s">
        <v>646</v>
      </c>
      <c r="F6105" t="s">
        <v>40</v>
      </c>
      <c r="G6105">
        <v>2045</v>
      </c>
      <c r="H6105" s="12">
        <v>2994</v>
      </c>
      <c r="I6105" t="s">
        <v>3183</v>
      </c>
      <c r="J6105" t="s">
        <v>394</v>
      </c>
      <c r="K6105" t="s">
        <v>272</v>
      </c>
      <c r="L6105" t="s">
        <v>650</v>
      </c>
      <c r="M6105" t="s">
        <v>16</v>
      </c>
    </row>
    <row r="6106" spans="1:13">
      <c r="A6106" t="s">
        <v>851</v>
      </c>
      <c r="B6106" t="s">
        <v>687</v>
      </c>
      <c r="C6106" t="s">
        <v>687</v>
      </c>
      <c r="D6106" t="s">
        <v>3185</v>
      </c>
      <c r="E6106" t="s">
        <v>646</v>
      </c>
      <c r="F6106" t="s">
        <v>40</v>
      </c>
      <c r="G6106">
        <v>2050</v>
      </c>
      <c r="H6106" s="12">
        <v>2753</v>
      </c>
      <c r="I6106" t="s">
        <v>3183</v>
      </c>
      <c r="J6106" t="s">
        <v>394</v>
      </c>
      <c r="K6106" t="s">
        <v>272</v>
      </c>
      <c r="L6106" t="s">
        <v>650</v>
      </c>
      <c r="M6106" t="s">
        <v>16</v>
      </c>
    </row>
    <row r="6107" spans="1:13">
      <c r="A6107" t="s">
        <v>851</v>
      </c>
      <c r="B6107" t="s">
        <v>686</v>
      </c>
      <c r="C6107" t="s">
        <v>686</v>
      </c>
      <c r="D6107" t="s">
        <v>3185</v>
      </c>
      <c r="E6107" t="s">
        <v>660</v>
      </c>
      <c r="F6107" t="s">
        <v>40</v>
      </c>
      <c r="G6107">
        <v>2010</v>
      </c>
      <c r="H6107" s="12">
        <v>15789</v>
      </c>
      <c r="I6107" t="s">
        <v>3183</v>
      </c>
      <c r="J6107" t="s">
        <v>5</v>
      </c>
      <c r="K6107" t="s">
        <v>657</v>
      </c>
      <c r="L6107" t="s">
        <v>650</v>
      </c>
      <c r="M6107" t="s">
        <v>5</v>
      </c>
    </row>
    <row r="6108" spans="1:13">
      <c r="A6108" t="s">
        <v>851</v>
      </c>
      <c r="B6108" t="s">
        <v>686</v>
      </c>
      <c r="C6108" t="s">
        <v>686</v>
      </c>
      <c r="D6108" t="s">
        <v>3185</v>
      </c>
      <c r="E6108" t="s">
        <v>660</v>
      </c>
      <c r="F6108" t="s">
        <v>40</v>
      </c>
      <c r="G6108">
        <v>2015</v>
      </c>
      <c r="H6108" s="12">
        <v>14685</v>
      </c>
      <c r="I6108" t="s">
        <v>3183</v>
      </c>
      <c r="J6108" t="s">
        <v>5</v>
      </c>
      <c r="K6108" t="s">
        <v>657</v>
      </c>
      <c r="L6108" t="s">
        <v>650</v>
      </c>
      <c r="M6108" t="s">
        <v>5</v>
      </c>
    </row>
    <row r="6109" spans="1:13">
      <c r="A6109" t="s">
        <v>851</v>
      </c>
      <c r="B6109" t="s">
        <v>686</v>
      </c>
      <c r="C6109" t="s">
        <v>686</v>
      </c>
      <c r="D6109" t="s">
        <v>3185</v>
      </c>
      <c r="E6109" t="s">
        <v>660</v>
      </c>
      <c r="F6109" t="s">
        <v>40</v>
      </c>
      <c r="G6109">
        <v>2020</v>
      </c>
      <c r="H6109" s="12">
        <v>9767</v>
      </c>
      <c r="I6109" t="s">
        <v>3183</v>
      </c>
      <c r="J6109" t="s">
        <v>5</v>
      </c>
      <c r="K6109" t="s">
        <v>657</v>
      </c>
      <c r="L6109" t="s">
        <v>650</v>
      </c>
      <c r="M6109" t="s">
        <v>5</v>
      </c>
    </row>
    <row r="6110" spans="1:13">
      <c r="A6110" t="s">
        <v>851</v>
      </c>
      <c r="B6110" t="s">
        <v>686</v>
      </c>
      <c r="C6110" t="s">
        <v>686</v>
      </c>
      <c r="D6110" t="s">
        <v>3185</v>
      </c>
      <c r="E6110" t="s">
        <v>660</v>
      </c>
      <c r="F6110" t="s">
        <v>40</v>
      </c>
      <c r="G6110">
        <v>2030</v>
      </c>
      <c r="H6110" s="12">
        <v>6706</v>
      </c>
      <c r="I6110" t="s">
        <v>3183</v>
      </c>
      <c r="J6110" t="s">
        <v>5</v>
      </c>
      <c r="K6110" t="s">
        <v>657</v>
      </c>
      <c r="L6110" t="s">
        <v>650</v>
      </c>
      <c r="M6110" t="s">
        <v>5</v>
      </c>
    </row>
    <row r="6111" spans="1:13">
      <c r="A6111" t="s">
        <v>851</v>
      </c>
      <c r="B6111" t="s">
        <v>686</v>
      </c>
      <c r="C6111" t="s">
        <v>686</v>
      </c>
      <c r="D6111" t="s">
        <v>3185</v>
      </c>
      <c r="E6111" t="s">
        <v>660</v>
      </c>
      <c r="F6111" t="s">
        <v>40</v>
      </c>
      <c r="G6111">
        <v>2035</v>
      </c>
      <c r="H6111" s="12">
        <v>5534</v>
      </c>
      <c r="I6111" t="s">
        <v>3183</v>
      </c>
      <c r="J6111" t="s">
        <v>5</v>
      </c>
      <c r="K6111" t="s">
        <v>657</v>
      </c>
      <c r="L6111" t="s">
        <v>650</v>
      </c>
      <c r="M6111" t="s">
        <v>5</v>
      </c>
    </row>
    <row r="6112" spans="1:13">
      <c r="A6112" t="s">
        <v>851</v>
      </c>
      <c r="B6112" t="s">
        <v>686</v>
      </c>
      <c r="C6112" t="s">
        <v>686</v>
      </c>
      <c r="D6112" t="s">
        <v>3185</v>
      </c>
      <c r="E6112" t="s">
        <v>660</v>
      </c>
      <c r="F6112" t="s">
        <v>40</v>
      </c>
      <c r="G6112">
        <v>2040</v>
      </c>
      <c r="H6112" s="12">
        <v>5162</v>
      </c>
      <c r="I6112" t="s">
        <v>3183</v>
      </c>
      <c r="J6112" t="s">
        <v>5</v>
      </c>
      <c r="K6112" t="s">
        <v>657</v>
      </c>
      <c r="L6112" t="s">
        <v>650</v>
      </c>
      <c r="M6112" t="s">
        <v>5</v>
      </c>
    </row>
    <row r="6113" spans="1:13">
      <c r="A6113" t="s">
        <v>851</v>
      </c>
      <c r="B6113" t="s">
        <v>686</v>
      </c>
      <c r="C6113" t="s">
        <v>686</v>
      </c>
      <c r="D6113" t="s">
        <v>3185</v>
      </c>
      <c r="E6113" t="s">
        <v>660</v>
      </c>
      <c r="F6113" t="s">
        <v>40</v>
      </c>
      <c r="G6113">
        <v>2045</v>
      </c>
      <c r="H6113" s="12">
        <v>5016</v>
      </c>
      <c r="I6113" t="s">
        <v>3183</v>
      </c>
      <c r="J6113" t="s">
        <v>5</v>
      </c>
      <c r="K6113" t="s">
        <v>657</v>
      </c>
      <c r="L6113" t="s">
        <v>650</v>
      </c>
      <c r="M6113" t="s">
        <v>5</v>
      </c>
    </row>
    <row r="6114" spans="1:13">
      <c r="A6114" t="s">
        <v>851</v>
      </c>
      <c r="B6114" t="s">
        <v>686</v>
      </c>
      <c r="C6114" t="s">
        <v>686</v>
      </c>
      <c r="D6114" t="s">
        <v>3185</v>
      </c>
      <c r="E6114" t="s">
        <v>660</v>
      </c>
      <c r="F6114" t="s">
        <v>40</v>
      </c>
      <c r="G6114">
        <v>2050</v>
      </c>
      <c r="H6114" s="12">
        <v>4881</v>
      </c>
      <c r="I6114" t="s">
        <v>3183</v>
      </c>
      <c r="J6114" t="s">
        <v>5</v>
      </c>
      <c r="K6114" t="s">
        <v>657</v>
      </c>
      <c r="L6114" t="s">
        <v>650</v>
      </c>
      <c r="M6114" t="s">
        <v>5</v>
      </c>
    </row>
    <row r="6115" spans="1:13">
      <c r="A6115" t="s">
        <v>851</v>
      </c>
      <c r="B6115" t="s">
        <v>687</v>
      </c>
      <c r="C6115" t="s">
        <v>687</v>
      </c>
      <c r="D6115" t="s">
        <v>3185</v>
      </c>
      <c r="E6115" t="s">
        <v>660</v>
      </c>
      <c r="F6115" t="s">
        <v>40</v>
      </c>
      <c r="G6115">
        <v>2030</v>
      </c>
      <c r="H6115" s="12">
        <v>4602</v>
      </c>
      <c r="I6115" t="s">
        <v>3183</v>
      </c>
      <c r="J6115" t="s">
        <v>5</v>
      </c>
      <c r="K6115" t="s">
        <v>657</v>
      </c>
      <c r="L6115" t="s">
        <v>650</v>
      </c>
      <c r="M6115" t="s">
        <v>5</v>
      </c>
    </row>
    <row r="6116" spans="1:13">
      <c r="A6116" t="s">
        <v>851</v>
      </c>
      <c r="B6116" t="s">
        <v>687</v>
      </c>
      <c r="C6116" t="s">
        <v>687</v>
      </c>
      <c r="D6116" t="s">
        <v>3185</v>
      </c>
      <c r="E6116" t="s">
        <v>660</v>
      </c>
      <c r="F6116" t="s">
        <v>40</v>
      </c>
      <c r="G6116">
        <v>2035</v>
      </c>
      <c r="H6116" s="12">
        <v>3406</v>
      </c>
      <c r="I6116" t="s">
        <v>3183</v>
      </c>
      <c r="J6116" t="s">
        <v>5</v>
      </c>
      <c r="K6116" t="s">
        <v>657</v>
      </c>
      <c r="L6116" t="s">
        <v>650</v>
      </c>
      <c r="M6116" t="s">
        <v>5</v>
      </c>
    </row>
    <row r="6117" spans="1:13">
      <c r="A6117" t="s">
        <v>851</v>
      </c>
      <c r="B6117" t="s">
        <v>687</v>
      </c>
      <c r="C6117" t="s">
        <v>687</v>
      </c>
      <c r="D6117" t="s">
        <v>3185</v>
      </c>
      <c r="E6117" t="s">
        <v>660</v>
      </c>
      <c r="F6117" t="s">
        <v>40</v>
      </c>
      <c r="G6117">
        <v>2040</v>
      </c>
      <c r="H6117" s="12">
        <v>2900</v>
      </c>
      <c r="I6117" t="s">
        <v>3183</v>
      </c>
      <c r="J6117" t="s">
        <v>5</v>
      </c>
      <c r="K6117" t="s">
        <v>657</v>
      </c>
      <c r="L6117" t="s">
        <v>650</v>
      </c>
      <c r="M6117" t="s">
        <v>5</v>
      </c>
    </row>
    <row r="6118" spans="1:13">
      <c r="A6118" t="s">
        <v>851</v>
      </c>
      <c r="B6118" t="s">
        <v>687</v>
      </c>
      <c r="C6118" t="s">
        <v>687</v>
      </c>
      <c r="D6118" t="s">
        <v>3185</v>
      </c>
      <c r="E6118" t="s">
        <v>660</v>
      </c>
      <c r="F6118" t="s">
        <v>40</v>
      </c>
      <c r="G6118">
        <v>2045</v>
      </c>
      <c r="H6118" s="12">
        <v>2459</v>
      </c>
      <c r="I6118" t="s">
        <v>3183</v>
      </c>
      <c r="J6118" t="s">
        <v>5</v>
      </c>
      <c r="K6118" t="s">
        <v>657</v>
      </c>
      <c r="L6118" t="s">
        <v>650</v>
      </c>
      <c r="M6118" t="s">
        <v>5</v>
      </c>
    </row>
    <row r="6119" spans="1:13">
      <c r="A6119" t="s">
        <v>851</v>
      </c>
      <c r="B6119" t="s">
        <v>687</v>
      </c>
      <c r="C6119" t="s">
        <v>687</v>
      </c>
      <c r="D6119" t="s">
        <v>3185</v>
      </c>
      <c r="E6119" t="s">
        <v>660</v>
      </c>
      <c r="F6119" t="s">
        <v>40</v>
      </c>
      <c r="G6119">
        <v>2050</v>
      </c>
      <c r="H6119" s="12">
        <v>2104</v>
      </c>
      <c r="I6119" t="s">
        <v>3183</v>
      </c>
      <c r="J6119" t="s">
        <v>5</v>
      </c>
      <c r="K6119" t="s">
        <v>657</v>
      </c>
      <c r="L6119" t="s">
        <v>650</v>
      </c>
      <c r="M6119" t="s">
        <v>5</v>
      </c>
    </row>
    <row r="6120" spans="1:13">
      <c r="A6120" t="s">
        <v>851</v>
      </c>
      <c r="B6120" t="s">
        <v>686</v>
      </c>
      <c r="C6120" t="s">
        <v>686</v>
      </c>
      <c r="D6120" t="s">
        <v>3185</v>
      </c>
      <c r="E6120" t="s">
        <v>573</v>
      </c>
      <c r="F6120" t="s">
        <v>40</v>
      </c>
      <c r="G6120">
        <v>2010</v>
      </c>
      <c r="H6120" s="12">
        <v>11267</v>
      </c>
      <c r="I6120" t="s">
        <v>3183</v>
      </c>
      <c r="J6120" t="s">
        <v>15</v>
      </c>
      <c r="K6120" t="s">
        <v>147</v>
      </c>
      <c r="L6120" t="s">
        <v>650</v>
      </c>
      <c r="M6120" t="s">
        <v>15</v>
      </c>
    </row>
    <row r="6121" spans="1:13">
      <c r="A6121" t="s">
        <v>851</v>
      </c>
      <c r="B6121" t="s">
        <v>686</v>
      </c>
      <c r="C6121" t="s">
        <v>686</v>
      </c>
      <c r="D6121" t="s">
        <v>3185</v>
      </c>
      <c r="E6121" t="s">
        <v>573</v>
      </c>
      <c r="F6121" t="s">
        <v>40</v>
      </c>
      <c r="G6121">
        <v>2015</v>
      </c>
      <c r="H6121" s="12">
        <v>10565</v>
      </c>
      <c r="I6121" t="s">
        <v>3183</v>
      </c>
      <c r="J6121" t="s">
        <v>15</v>
      </c>
      <c r="K6121" t="s">
        <v>147</v>
      </c>
      <c r="L6121" t="s">
        <v>650</v>
      </c>
      <c r="M6121" t="s">
        <v>15</v>
      </c>
    </row>
    <row r="6122" spans="1:13">
      <c r="A6122" t="s">
        <v>851</v>
      </c>
      <c r="B6122" t="s">
        <v>686</v>
      </c>
      <c r="C6122" t="s">
        <v>686</v>
      </c>
      <c r="D6122" t="s">
        <v>3185</v>
      </c>
      <c r="E6122" t="s">
        <v>573</v>
      </c>
      <c r="F6122" t="s">
        <v>40</v>
      </c>
      <c r="G6122">
        <v>2020</v>
      </c>
      <c r="H6122" s="12">
        <v>9113</v>
      </c>
      <c r="I6122" t="s">
        <v>3183</v>
      </c>
      <c r="J6122" t="s">
        <v>15</v>
      </c>
      <c r="K6122" t="s">
        <v>147</v>
      </c>
      <c r="L6122" t="s">
        <v>650</v>
      </c>
      <c r="M6122" t="s">
        <v>15</v>
      </c>
    </row>
    <row r="6123" spans="1:13">
      <c r="A6123" t="s">
        <v>851</v>
      </c>
      <c r="B6123" t="s">
        <v>686</v>
      </c>
      <c r="C6123" t="s">
        <v>686</v>
      </c>
      <c r="D6123" t="s">
        <v>3185</v>
      </c>
      <c r="E6123" t="s">
        <v>573</v>
      </c>
      <c r="F6123" t="s">
        <v>40</v>
      </c>
      <c r="G6123">
        <v>2030</v>
      </c>
      <c r="H6123" s="12">
        <v>9212</v>
      </c>
      <c r="I6123" t="s">
        <v>3183</v>
      </c>
      <c r="J6123" t="s">
        <v>15</v>
      </c>
      <c r="K6123" t="s">
        <v>147</v>
      </c>
      <c r="L6123" t="s">
        <v>650</v>
      </c>
      <c r="M6123" t="s">
        <v>15</v>
      </c>
    </row>
    <row r="6124" spans="1:13">
      <c r="A6124" t="s">
        <v>851</v>
      </c>
      <c r="B6124" t="s">
        <v>686</v>
      </c>
      <c r="C6124" t="s">
        <v>686</v>
      </c>
      <c r="D6124" t="s">
        <v>3185</v>
      </c>
      <c r="E6124" t="s">
        <v>573</v>
      </c>
      <c r="F6124" t="s">
        <v>40</v>
      </c>
      <c r="G6124">
        <v>2035</v>
      </c>
      <c r="H6124" s="12">
        <v>8080</v>
      </c>
      <c r="I6124" t="s">
        <v>3183</v>
      </c>
      <c r="J6124" t="s">
        <v>15</v>
      </c>
      <c r="K6124" t="s">
        <v>147</v>
      </c>
      <c r="L6124" t="s">
        <v>650</v>
      </c>
      <c r="M6124" t="s">
        <v>15</v>
      </c>
    </row>
    <row r="6125" spans="1:13">
      <c r="A6125" t="s">
        <v>851</v>
      </c>
      <c r="B6125" t="s">
        <v>686</v>
      </c>
      <c r="C6125" t="s">
        <v>686</v>
      </c>
      <c r="D6125" t="s">
        <v>3185</v>
      </c>
      <c r="E6125" t="s">
        <v>573</v>
      </c>
      <c r="F6125" t="s">
        <v>40</v>
      </c>
      <c r="G6125">
        <v>2040</v>
      </c>
      <c r="H6125" s="12">
        <v>7849</v>
      </c>
      <c r="I6125" t="s">
        <v>3183</v>
      </c>
      <c r="J6125" t="s">
        <v>15</v>
      </c>
      <c r="K6125" t="s">
        <v>147</v>
      </c>
      <c r="L6125" t="s">
        <v>650</v>
      </c>
      <c r="M6125" t="s">
        <v>15</v>
      </c>
    </row>
    <row r="6126" spans="1:13">
      <c r="A6126" t="s">
        <v>851</v>
      </c>
      <c r="B6126" t="s">
        <v>686</v>
      </c>
      <c r="C6126" t="s">
        <v>686</v>
      </c>
      <c r="D6126" t="s">
        <v>3185</v>
      </c>
      <c r="E6126" t="s">
        <v>573</v>
      </c>
      <c r="F6126" t="s">
        <v>40</v>
      </c>
      <c r="G6126">
        <v>2045</v>
      </c>
      <c r="H6126" s="12">
        <v>7857</v>
      </c>
      <c r="I6126" t="s">
        <v>3183</v>
      </c>
      <c r="J6126" t="s">
        <v>15</v>
      </c>
      <c r="K6126" t="s">
        <v>147</v>
      </c>
      <c r="L6126" t="s">
        <v>650</v>
      </c>
      <c r="M6126" t="s">
        <v>15</v>
      </c>
    </row>
    <row r="6127" spans="1:13">
      <c r="A6127" t="s">
        <v>851</v>
      </c>
      <c r="B6127" t="s">
        <v>686</v>
      </c>
      <c r="C6127" t="s">
        <v>686</v>
      </c>
      <c r="D6127" t="s">
        <v>3185</v>
      </c>
      <c r="E6127" t="s">
        <v>573</v>
      </c>
      <c r="F6127" t="s">
        <v>40</v>
      </c>
      <c r="G6127">
        <v>2050</v>
      </c>
      <c r="H6127" s="12">
        <v>8492</v>
      </c>
      <c r="I6127" t="s">
        <v>3183</v>
      </c>
      <c r="J6127" t="s">
        <v>15</v>
      </c>
      <c r="K6127" t="s">
        <v>147</v>
      </c>
      <c r="L6127" t="s">
        <v>650</v>
      </c>
      <c r="M6127" t="s">
        <v>15</v>
      </c>
    </row>
    <row r="6128" spans="1:13">
      <c r="A6128" t="s">
        <v>851</v>
      </c>
      <c r="B6128" t="s">
        <v>687</v>
      </c>
      <c r="C6128" t="s">
        <v>687</v>
      </c>
      <c r="D6128" t="s">
        <v>3185</v>
      </c>
      <c r="E6128" t="s">
        <v>573</v>
      </c>
      <c r="F6128" t="s">
        <v>40</v>
      </c>
      <c r="G6128">
        <v>2030</v>
      </c>
      <c r="H6128" s="12">
        <v>9777</v>
      </c>
      <c r="I6128" t="s">
        <v>3183</v>
      </c>
      <c r="J6128" t="s">
        <v>15</v>
      </c>
      <c r="K6128" t="s">
        <v>147</v>
      </c>
      <c r="L6128" t="s">
        <v>650</v>
      </c>
      <c r="M6128" t="s">
        <v>15</v>
      </c>
    </row>
    <row r="6129" spans="1:13">
      <c r="A6129" t="s">
        <v>851</v>
      </c>
      <c r="B6129" t="s">
        <v>687</v>
      </c>
      <c r="C6129" t="s">
        <v>687</v>
      </c>
      <c r="D6129" t="s">
        <v>3185</v>
      </c>
      <c r="E6129" t="s">
        <v>573</v>
      </c>
      <c r="F6129" t="s">
        <v>40</v>
      </c>
      <c r="G6129">
        <v>2035</v>
      </c>
      <c r="H6129" s="12">
        <v>8883</v>
      </c>
      <c r="I6129" t="s">
        <v>3183</v>
      </c>
      <c r="J6129" t="s">
        <v>15</v>
      </c>
      <c r="K6129" t="s">
        <v>147</v>
      </c>
      <c r="L6129" t="s">
        <v>650</v>
      </c>
      <c r="M6129" t="s">
        <v>15</v>
      </c>
    </row>
    <row r="6130" spans="1:13">
      <c r="A6130" t="s">
        <v>851</v>
      </c>
      <c r="B6130" t="s">
        <v>687</v>
      </c>
      <c r="C6130" t="s">
        <v>687</v>
      </c>
      <c r="D6130" t="s">
        <v>3185</v>
      </c>
      <c r="E6130" t="s">
        <v>573</v>
      </c>
      <c r="F6130" t="s">
        <v>40</v>
      </c>
      <c r="G6130">
        <v>2040</v>
      </c>
      <c r="H6130" s="12">
        <v>8999</v>
      </c>
      <c r="I6130" t="s">
        <v>3183</v>
      </c>
      <c r="J6130" t="s">
        <v>15</v>
      </c>
      <c r="K6130" t="s">
        <v>147</v>
      </c>
      <c r="L6130" t="s">
        <v>650</v>
      </c>
      <c r="M6130" t="s">
        <v>15</v>
      </c>
    </row>
    <row r="6131" spans="1:13">
      <c r="A6131" t="s">
        <v>851</v>
      </c>
      <c r="B6131" t="s">
        <v>687</v>
      </c>
      <c r="C6131" t="s">
        <v>687</v>
      </c>
      <c r="D6131" t="s">
        <v>3185</v>
      </c>
      <c r="E6131" t="s">
        <v>573</v>
      </c>
      <c r="F6131" t="s">
        <v>40</v>
      </c>
      <c r="G6131">
        <v>2045</v>
      </c>
      <c r="H6131" s="12">
        <v>8887</v>
      </c>
      <c r="I6131" t="s">
        <v>3183</v>
      </c>
      <c r="J6131" t="s">
        <v>15</v>
      </c>
      <c r="K6131" t="s">
        <v>147</v>
      </c>
      <c r="L6131" t="s">
        <v>650</v>
      </c>
      <c r="M6131" t="s">
        <v>15</v>
      </c>
    </row>
    <row r="6132" spans="1:13">
      <c r="A6132" t="s">
        <v>851</v>
      </c>
      <c r="B6132" t="s">
        <v>687</v>
      </c>
      <c r="C6132" t="s">
        <v>687</v>
      </c>
      <c r="D6132" t="s">
        <v>3185</v>
      </c>
      <c r="E6132" t="s">
        <v>573</v>
      </c>
      <c r="F6132" t="s">
        <v>40</v>
      </c>
      <c r="G6132">
        <v>2050</v>
      </c>
      <c r="H6132" s="12">
        <v>9003</v>
      </c>
      <c r="I6132" t="s">
        <v>3183</v>
      </c>
      <c r="J6132" t="s">
        <v>15</v>
      </c>
      <c r="K6132" t="s">
        <v>147</v>
      </c>
      <c r="L6132" t="s">
        <v>650</v>
      </c>
      <c r="M6132" t="s">
        <v>15</v>
      </c>
    </row>
    <row r="6133" spans="1:13">
      <c r="A6133" t="s">
        <v>851</v>
      </c>
      <c r="B6133" t="s">
        <v>686</v>
      </c>
      <c r="C6133" t="s">
        <v>686</v>
      </c>
      <c r="D6133" t="s">
        <v>3185</v>
      </c>
      <c r="E6133" t="s">
        <v>573</v>
      </c>
      <c r="F6133" t="s">
        <v>40</v>
      </c>
      <c r="G6133">
        <v>2010</v>
      </c>
      <c r="H6133" s="12">
        <v>8524</v>
      </c>
      <c r="I6133" t="s">
        <v>3183</v>
      </c>
      <c r="J6133" t="s">
        <v>6</v>
      </c>
      <c r="K6133" t="s">
        <v>147</v>
      </c>
      <c r="L6133" t="s">
        <v>650</v>
      </c>
      <c r="M6133" t="s">
        <v>659</v>
      </c>
    </row>
    <row r="6134" spans="1:13">
      <c r="A6134" t="s">
        <v>851</v>
      </c>
      <c r="B6134" t="s">
        <v>686</v>
      </c>
      <c r="C6134" t="s">
        <v>686</v>
      </c>
      <c r="D6134" t="s">
        <v>3185</v>
      </c>
      <c r="E6134" t="s">
        <v>573</v>
      </c>
      <c r="F6134" t="s">
        <v>40</v>
      </c>
      <c r="G6134">
        <v>2015</v>
      </c>
      <c r="H6134" s="12">
        <v>5944</v>
      </c>
      <c r="I6134" t="s">
        <v>3183</v>
      </c>
      <c r="J6134" t="s">
        <v>6</v>
      </c>
      <c r="K6134" t="s">
        <v>147</v>
      </c>
      <c r="L6134" t="s">
        <v>650</v>
      </c>
      <c r="M6134" t="s">
        <v>659</v>
      </c>
    </row>
    <row r="6135" spans="1:13">
      <c r="A6135" t="s">
        <v>851</v>
      </c>
      <c r="B6135" t="s">
        <v>686</v>
      </c>
      <c r="C6135" t="s">
        <v>686</v>
      </c>
      <c r="D6135" t="s">
        <v>3185</v>
      </c>
      <c r="E6135" t="s">
        <v>573</v>
      </c>
      <c r="F6135" t="s">
        <v>40</v>
      </c>
      <c r="G6135">
        <v>2020</v>
      </c>
      <c r="H6135" s="12">
        <v>6826</v>
      </c>
      <c r="I6135" t="s">
        <v>3183</v>
      </c>
      <c r="J6135" t="s">
        <v>6</v>
      </c>
      <c r="K6135" t="s">
        <v>147</v>
      </c>
      <c r="L6135" t="s">
        <v>650</v>
      </c>
      <c r="M6135" t="s">
        <v>659</v>
      </c>
    </row>
    <row r="6136" spans="1:13">
      <c r="A6136" t="s">
        <v>851</v>
      </c>
      <c r="B6136" t="s">
        <v>686</v>
      </c>
      <c r="C6136" t="s">
        <v>686</v>
      </c>
      <c r="D6136" t="s">
        <v>3185</v>
      </c>
      <c r="E6136" t="s">
        <v>573</v>
      </c>
      <c r="F6136" t="s">
        <v>40</v>
      </c>
      <c r="G6136">
        <v>2030</v>
      </c>
      <c r="H6136" s="12">
        <v>5221</v>
      </c>
      <c r="I6136" t="s">
        <v>3183</v>
      </c>
      <c r="J6136" t="s">
        <v>6</v>
      </c>
      <c r="K6136" t="s">
        <v>147</v>
      </c>
      <c r="L6136" t="s">
        <v>650</v>
      </c>
      <c r="M6136" t="s">
        <v>659</v>
      </c>
    </row>
    <row r="6137" spans="1:13">
      <c r="A6137" t="s">
        <v>851</v>
      </c>
      <c r="B6137" t="s">
        <v>686</v>
      </c>
      <c r="C6137" t="s">
        <v>686</v>
      </c>
      <c r="D6137" t="s">
        <v>3185</v>
      </c>
      <c r="E6137" t="s">
        <v>573</v>
      </c>
      <c r="F6137" t="s">
        <v>40</v>
      </c>
      <c r="G6137">
        <v>2035</v>
      </c>
      <c r="H6137" s="12">
        <v>4731</v>
      </c>
      <c r="I6137" t="s">
        <v>3183</v>
      </c>
      <c r="J6137" t="s">
        <v>6</v>
      </c>
      <c r="K6137" t="s">
        <v>147</v>
      </c>
      <c r="L6137" t="s">
        <v>650</v>
      </c>
      <c r="M6137" t="s">
        <v>659</v>
      </c>
    </row>
    <row r="6138" spans="1:13">
      <c r="A6138" t="s">
        <v>851</v>
      </c>
      <c r="B6138" t="s">
        <v>686</v>
      </c>
      <c r="C6138" t="s">
        <v>686</v>
      </c>
      <c r="D6138" t="s">
        <v>3185</v>
      </c>
      <c r="E6138" t="s">
        <v>573</v>
      </c>
      <c r="F6138" t="s">
        <v>40</v>
      </c>
      <c r="G6138">
        <v>2040</v>
      </c>
      <c r="H6138" s="12">
        <v>4383</v>
      </c>
      <c r="I6138" t="s">
        <v>3183</v>
      </c>
      <c r="J6138" t="s">
        <v>6</v>
      </c>
      <c r="K6138" t="s">
        <v>147</v>
      </c>
      <c r="L6138" t="s">
        <v>650</v>
      </c>
      <c r="M6138" t="s">
        <v>659</v>
      </c>
    </row>
    <row r="6139" spans="1:13">
      <c r="A6139" t="s">
        <v>851</v>
      </c>
      <c r="B6139" t="s">
        <v>686</v>
      </c>
      <c r="C6139" t="s">
        <v>686</v>
      </c>
      <c r="D6139" t="s">
        <v>3185</v>
      </c>
      <c r="E6139" t="s">
        <v>573</v>
      </c>
      <c r="F6139" t="s">
        <v>40</v>
      </c>
      <c r="G6139">
        <v>2045</v>
      </c>
      <c r="H6139" s="12">
        <v>4014</v>
      </c>
      <c r="I6139" t="s">
        <v>3183</v>
      </c>
      <c r="J6139" t="s">
        <v>6</v>
      </c>
      <c r="K6139" t="s">
        <v>147</v>
      </c>
      <c r="L6139" t="s">
        <v>650</v>
      </c>
      <c r="M6139" t="s">
        <v>659</v>
      </c>
    </row>
    <row r="6140" spans="1:13">
      <c r="A6140" t="s">
        <v>851</v>
      </c>
      <c r="B6140" t="s">
        <v>686</v>
      </c>
      <c r="C6140" t="s">
        <v>686</v>
      </c>
      <c r="D6140" t="s">
        <v>3185</v>
      </c>
      <c r="E6140" t="s">
        <v>573</v>
      </c>
      <c r="F6140" t="s">
        <v>40</v>
      </c>
      <c r="G6140">
        <v>2050</v>
      </c>
      <c r="H6140" s="12">
        <v>3696</v>
      </c>
      <c r="I6140" t="s">
        <v>3183</v>
      </c>
      <c r="J6140" t="s">
        <v>6</v>
      </c>
      <c r="K6140" t="s">
        <v>147</v>
      </c>
      <c r="L6140" t="s">
        <v>650</v>
      </c>
      <c r="M6140" t="s">
        <v>659</v>
      </c>
    </row>
    <row r="6141" spans="1:13">
      <c r="A6141" t="s">
        <v>851</v>
      </c>
      <c r="B6141" t="s">
        <v>687</v>
      </c>
      <c r="C6141" t="s">
        <v>687</v>
      </c>
      <c r="D6141" t="s">
        <v>3185</v>
      </c>
      <c r="E6141" t="s">
        <v>573</v>
      </c>
      <c r="F6141" t="s">
        <v>40</v>
      </c>
      <c r="G6141">
        <v>2030</v>
      </c>
      <c r="H6141" s="12">
        <v>4358</v>
      </c>
      <c r="I6141" t="s">
        <v>3183</v>
      </c>
      <c r="J6141" t="s">
        <v>6</v>
      </c>
      <c r="K6141" t="s">
        <v>147</v>
      </c>
      <c r="L6141" t="s">
        <v>650</v>
      </c>
      <c r="M6141" t="s">
        <v>659</v>
      </c>
    </row>
    <row r="6142" spans="1:13">
      <c r="A6142" t="s">
        <v>851</v>
      </c>
      <c r="B6142" t="s">
        <v>687</v>
      </c>
      <c r="C6142" t="s">
        <v>687</v>
      </c>
      <c r="D6142" t="s">
        <v>3185</v>
      </c>
      <c r="E6142" t="s">
        <v>573</v>
      </c>
      <c r="F6142" t="s">
        <v>40</v>
      </c>
      <c r="G6142">
        <v>2035</v>
      </c>
      <c r="H6142" s="12">
        <v>2666</v>
      </c>
      <c r="I6142" t="s">
        <v>3183</v>
      </c>
      <c r="J6142" t="s">
        <v>6</v>
      </c>
      <c r="K6142" t="s">
        <v>147</v>
      </c>
      <c r="L6142" t="s">
        <v>650</v>
      </c>
      <c r="M6142" t="s">
        <v>659</v>
      </c>
    </row>
    <row r="6143" spans="1:13">
      <c r="A6143" t="s">
        <v>851</v>
      </c>
      <c r="B6143" t="s">
        <v>687</v>
      </c>
      <c r="C6143" t="s">
        <v>687</v>
      </c>
      <c r="D6143" t="s">
        <v>3185</v>
      </c>
      <c r="E6143" t="s">
        <v>573</v>
      </c>
      <c r="F6143" t="s">
        <v>40</v>
      </c>
      <c r="G6143">
        <v>2040</v>
      </c>
      <c r="H6143" s="12">
        <v>1717</v>
      </c>
      <c r="I6143" t="s">
        <v>3183</v>
      </c>
      <c r="J6143" t="s">
        <v>6</v>
      </c>
      <c r="K6143" t="s">
        <v>147</v>
      </c>
      <c r="L6143" t="s">
        <v>650</v>
      </c>
      <c r="M6143" t="s">
        <v>659</v>
      </c>
    </row>
    <row r="6144" spans="1:13">
      <c r="A6144" t="s">
        <v>851</v>
      </c>
      <c r="B6144" t="s">
        <v>687</v>
      </c>
      <c r="C6144" t="s">
        <v>687</v>
      </c>
      <c r="D6144" t="s">
        <v>3185</v>
      </c>
      <c r="E6144" t="s">
        <v>573</v>
      </c>
      <c r="F6144" t="s">
        <v>40</v>
      </c>
      <c r="G6144">
        <v>2045</v>
      </c>
      <c r="H6144" s="12">
        <v>1528</v>
      </c>
      <c r="I6144" t="s">
        <v>3183</v>
      </c>
      <c r="J6144" t="s">
        <v>6</v>
      </c>
      <c r="K6144" t="s">
        <v>147</v>
      </c>
      <c r="L6144" t="s">
        <v>650</v>
      </c>
      <c r="M6144" t="s">
        <v>659</v>
      </c>
    </row>
    <row r="6145" spans="1:13">
      <c r="A6145" t="s">
        <v>851</v>
      </c>
      <c r="B6145" t="s">
        <v>687</v>
      </c>
      <c r="C6145" t="s">
        <v>687</v>
      </c>
      <c r="D6145" t="s">
        <v>3185</v>
      </c>
      <c r="E6145" t="s">
        <v>573</v>
      </c>
      <c r="F6145" t="s">
        <v>40</v>
      </c>
      <c r="G6145">
        <v>2050</v>
      </c>
      <c r="H6145" s="12">
        <v>1142</v>
      </c>
      <c r="I6145" t="s">
        <v>3183</v>
      </c>
      <c r="J6145" t="s">
        <v>6</v>
      </c>
      <c r="K6145" t="s">
        <v>147</v>
      </c>
      <c r="L6145" t="s">
        <v>650</v>
      </c>
      <c r="M6145" t="s">
        <v>659</v>
      </c>
    </row>
    <row r="6146" spans="1:13">
      <c r="A6146" t="s">
        <v>851</v>
      </c>
      <c r="B6146" t="s">
        <v>686</v>
      </c>
      <c r="C6146" t="s">
        <v>686</v>
      </c>
      <c r="D6146" t="s">
        <v>3185</v>
      </c>
      <c r="E6146" t="s">
        <v>573</v>
      </c>
      <c r="F6146" t="s">
        <v>40</v>
      </c>
      <c r="G6146">
        <v>2010</v>
      </c>
      <c r="H6146" s="12">
        <v>1135</v>
      </c>
      <c r="I6146" t="s">
        <v>3183</v>
      </c>
      <c r="J6146" t="s">
        <v>394</v>
      </c>
      <c r="K6146" t="s">
        <v>147</v>
      </c>
      <c r="L6146" t="s">
        <v>650</v>
      </c>
      <c r="M6146" t="s">
        <v>16</v>
      </c>
    </row>
    <row r="6147" spans="1:13">
      <c r="A6147" t="s">
        <v>851</v>
      </c>
      <c r="B6147" t="s">
        <v>686</v>
      </c>
      <c r="C6147" t="s">
        <v>686</v>
      </c>
      <c r="D6147" t="s">
        <v>3185</v>
      </c>
      <c r="E6147" t="s">
        <v>573</v>
      </c>
      <c r="F6147" t="s">
        <v>40</v>
      </c>
      <c r="G6147">
        <v>2015</v>
      </c>
      <c r="H6147" s="12">
        <v>805</v>
      </c>
      <c r="I6147" t="s">
        <v>3183</v>
      </c>
      <c r="J6147" t="s">
        <v>394</v>
      </c>
      <c r="K6147" t="s">
        <v>147</v>
      </c>
      <c r="L6147" t="s">
        <v>650</v>
      </c>
      <c r="M6147" t="s">
        <v>16</v>
      </c>
    </row>
    <row r="6148" spans="1:13">
      <c r="A6148" t="s">
        <v>851</v>
      </c>
      <c r="B6148" t="s">
        <v>686</v>
      </c>
      <c r="C6148" t="s">
        <v>686</v>
      </c>
      <c r="D6148" t="s">
        <v>3185</v>
      </c>
      <c r="E6148" t="s">
        <v>573</v>
      </c>
      <c r="F6148" t="s">
        <v>40</v>
      </c>
      <c r="G6148">
        <v>2020</v>
      </c>
      <c r="H6148" s="12">
        <v>579</v>
      </c>
      <c r="I6148" t="s">
        <v>3183</v>
      </c>
      <c r="J6148" t="s">
        <v>394</v>
      </c>
      <c r="K6148" t="s">
        <v>147</v>
      </c>
      <c r="L6148" t="s">
        <v>650</v>
      </c>
      <c r="M6148" t="s">
        <v>16</v>
      </c>
    </row>
    <row r="6149" spans="1:13">
      <c r="A6149" t="s">
        <v>851</v>
      </c>
      <c r="B6149" t="s">
        <v>686</v>
      </c>
      <c r="C6149" t="s">
        <v>686</v>
      </c>
      <c r="D6149" t="s">
        <v>3185</v>
      </c>
      <c r="E6149" t="s">
        <v>573</v>
      </c>
      <c r="F6149" t="s">
        <v>40</v>
      </c>
      <c r="G6149">
        <v>2030</v>
      </c>
      <c r="H6149" s="12">
        <v>268</v>
      </c>
      <c r="I6149" t="s">
        <v>3183</v>
      </c>
      <c r="J6149" t="s">
        <v>394</v>
      </c>
      <c r="K6149" t="s">
        <v>147</v>
      </c>
      <c r="L6149" t="s">
        <v>650</v>
      </c>
      <c r="M6149" t="s">
        <v>16</v>
      </c>
    </row>
    <row r="6150" spans="1:13">
      <c r="A6150" t="s">
        <v>851</v>
      </c>
      <c r="B6150" t="s">
        <v>686</v>
      </c>
      <c r="C6150" t="s">
        <v>686</v>
      </c>
      <c r="D6150" t="s">
        <v>3185</v>
      </c>
      <c r="E6150" t="s">
        <v>573</v>
      </c>
      <c r="F6150" t="s">
        <v>40</v>
      </c>
      <c r="G6150">
        <v>2035</v>
      </c>
      <c r="H6150" s="12">
        <v>211</v>
      </c>
      <c r="I6150" t="s">
        <v>3183</v>
      </c>
      <c r="J6150" t="s">
        <v>394</v>
      </c>
      <c r="K6150" t="s">
        <v>147</v>
      </c>
      <c r="L6150" t="s">
        <v>650</v>
      </c>
      <c r="M6150" t="s">
        <v>16</v>
      </c>
    </row>
    <row r="6151" spans="1:13">
      <c r="A6151" t="s">
        <v>851</v>
      </c>
      <c r="B6151" t="s">
        <v>686</v>
      </c>
      <c r="C6151" t="s">
        <v>686</v>
      </c>
      <c r="D6151" t="s">
        <v>3185</v>
      </c>
      <c r="E6151" t="s">
        <v>573</v>
      </c>
      <c r="F6151" t="s">
        <v>40</v>
      </c>
      <c r="G6151">
        <v>2040</v>
      </c>
      <c r="H6151" s="12">
        <v>136</v>
      </c>
      <c r="I6151" t="s">
        <v>3183</v>
      </c>
      <c r="J6151" t="s">
        <v>394</v>
      </c>
      <c r="K6151" t="s">
        <v>147</v>
      </c>
      <c r="L6151" t="s">
        <v>650</v>
      </c>
      <c r="M6151" t="s">
        <v>16</v>
      </c>
    </row>
    <row r="6152" spans="1:13">
      <c r="A6152" t="s">
        <v>851</v>
      </c>
      <c r="B6152" t="s">
        <v>686</v>
      </c>
      <c r="C6152" t="s">
        <v>686</v>
      </c>
      <c r="D6152" t="s">
        <v>3185</v>
      </c>
      <c r="E6152" t="s">
        <v>573</v>
      </c>
      <c r="F6152" t="s">
        <v>40</v>
      </c>
      <c r="G6152">
        <v>2045</v>
      </c>
      <c r="H6152" s="12">
        <v>92</v>
      </c>
      <c r="I6152" t="s">
        <v>3183</v>
      </c>
      <c r="J6152" t="s">
        <v>394</v>
      </c>
      <c r="K6152" t="s">
        <v>147</v>
      </c>
      <c r="L6152" t="s">
        <v>650</v>
      </c>
      <c r="M6152" t="s">
        <v>16</v>
      </c>
    </row>
    <row r="6153" spans="1:13">
      <c r="A6153" t="s">
        <v>851</v>
      </c>
      <c r="B6153" t="s">
        <v>686</v>
      </c>
      <c r="C6153" t="s">
        <v>686</v>
      </c>
      <c r="D6153" t="s">
        <v>3185</v>
      </c>
      <c r="E6153" t="s">
        <v>573</v>
      </c>
      <c r="F6153" t="s">
        <v>40</v>
      </c>
      <c r="G6153">
        <v>2050</v>
      </c>
      <c r="H6153" s="12">
        <v>65</v>
      </c>
      <c r="I6153" t="s">
        <v>3183</v>
      </c>
      <c r="J6153" t="s">
        <v>394</v>
      </c>
      <c r="K6153" t="s">
        <v>147</v>
      </c>
      <c r="L6153" t="s">
        <v>650</v>
      </c>
      <c r="M6153" t="s">
        <v>16</v>
      </c>
    </row>
    <row r="6154" spans="1:13">
      <c r="A6154" t="s">
        <v>851</v>
      </c>
      <c r="B6154" t="s">
        <v>687</v>
      </c>
      <c r="C6154" t="s">
        <v>687</v>
      </c>
      <c r="D6154" t="s">
        <v>3185</v>
      </c>
      <c r="E6154" t="s">
        <v>573</v>
      </c>
      <c r="F6154" t="s">
        <v>40</v>
      </c>
      <c r="G6154">
        <v>2030</v>
      </c>
      <c r="H6154" s="12">
        <v>188</v>
      </c>
      <c r="I6154" t="s">
        <v>3183</v>
      </c>
      <c r="J6154" t="s">
        <v>394</v>
      </c>
      <c r="K6154" t="s">
        <v>147</v>
      </c>
      <c r="L6154" t="s">
        <v>650</v>
      </c>
      <c r="M6154" t="s">
        <v>16</v>
      </c>
    </row>
    <row r="6155" spans="1:13">
      <c r="A6155" t="s">
        <v>851</v>
      </c>
      <c r="B6155" t="s">
        <v>687</v>
      </c>
      <c r="C6155" t="s">
        <v>687</v>
      </c>
      <c r="D6155" t="s">
        <v>3185</v>
      </c>
      <c r="E6155" t="s">
        <v>573</v>
      </c>
      <c r="F6155" t="s">
        <v>40</v>
      </c>
      <c r="G6155">
        <v>2035</v>
      </c>
      <c r="H6155" s="12">
        <v>33</v>
      </c>
      <c r="I6155" t="s">
        <v>3183</v>
      </c>
      <c r="J6155" t="s">
        <v>394</v>
      </c>
      <c r="K6155" t="s">
        <v>147</v>
      </c>
      <c r="L6155" t="s">
        <v>650</v>
      </c>
      <c r="M6155" t="s">
        <v>16</v>
      </c>
    </row>
    <row r="6156" spans="1:13">
      <c r="A6156" t="s">
        <v>851</v>
      </c>
      <c r="B6156" t="s">
        <v>687</v>
      </c>
      <c r="C6156" t="s">
        <v>687</v>
      </c>
      <c r="D6156" t="s">
        <v>3185</v>
      </c>
      <c r="E6156" t="s">
        <v>573</v>
      </c>
      <c r="F6156" t="s">
        <v>40</v>
      </c>
      <c r="G6156">
        <v>2040</v>
      </c>
      <c r="H6156" s="12">
        <v>16</v>
      </c>
      <c r="I6156" t="s">
        <v>3183</v>
      </c>
      <c r="J6156" t="s">
        <v>394</v>
      </c>
      <c r="K6156" t="s">
        <v>147</v>
      </c>
      <c r="L6156" t="s">
        <v>650</v>
      </c>
      <c r="M6156" t="s">
        <v>16</v>
      </c>
    </row>
    <row r="6157" spans="1:13">
      <c r="A6157" t="s">
        <v>851</v>
      </c>
      <c r="B6157" t="s">
        <v>687</v>
      </c>
      <c r="C6157" t="s">
        <v>687</v>
      </c>
      <c r="D6157" t="s">
        <v>3185</v>
      </c>
      <c r="E6157" t="s">
        <v>573</v>
      </c>
      <c r="F6157" t="s">
        <v>40</v>
      </c>
      <c r="G6157">
        <v>2045</v>
      </c>
      <c r="H6157" s="12">
        <v>10</v>
      </c>
      <c r="I6157" t="s">
        <v>3183</v>
      </c>
      <c r="J6157" t="s">
        <v>394</v>
      </c>
      <c r="K6157" t="s">
        <v>147</v>
      </c>
      <c r="L6157" t="s">
        <v>650</v>
      </c>
      <c r="M6157" t="s">
        <v>16</v>
      </c>
    </row>
    <row r="6158" spans="1:13">
      <c r="A6158" t="s">
        <v>851</v>
      </c>
      <c r="B6158" t="s">
        <v>687</v>
      </c>
      <c r="C6158" t="s">
        <v>687</v>
      </c>
      <c r="D6158" t="s">
        <v>3185</v>
      </c>
      <c r="E6158" t="s">
        <v>573</v>
      </c>
      <c r="F6158" t="s">
        <v>40</v>
      </c>
      <c r="G6158">
        <v>2050</v>
      </c>
      <c r="H6158" s="12">
        <v>6</v>
      </c>
      <c r="I6158" t="s">
        <v>3183</v>
      </c>
      <c r="J6158" t="s">
        <v>394</v>
      </c>
      <c r="K6158" t="s">
        <v>147</v>
      </c>
      <c r="L6158" t="s">
        <v>650</v>
      </c>
      <c r="M6158" t="s">
        <v>16</v>
      </c>
    </row>
    <row r="6159" spans="1:13">
      <c r="A6159" t="s">
        <v>851</v>
      </c>
      <c r="B6159" t="s">
        <v>686</v>
      </c>
      <c r="C6159" t="s">
        <v>686</v>
      </c>
      <c r="D6159" t="s">
        <v>3185</v>
      </c>
      <c r="E6159" t="s">
        <v>573</v>
      </c>
      <c r="F6159" t="s">
        <v>40</v>
      </c>
      <c r="G6159">
        <v>2010</v>
      </c>
      <c r="H6159" s="12">
        <v>11155</v>
      </c>
      <c r="I6159" t="s">
        <v>3183</v>
      </c>
      <c r="J6159" t="s">
        <v>5</v>
      </c>
      <c r="K6159" t="s">
        <v>147</v>
      </c>
      <c r="L6159" t="s">
        <v>650</v>
      </c>
      <c r="M6159" t="s">
        <v>5</v>
      </c>
    </row>
    <row r="6160" spans="1:13">
      <c r="A6160" t="s">
        <v>851</v>
      </c>
      <c r="B6160" t="s">
        <v>686</v>
      </c>
      <c r="C6160" t="s">
        <v>686</v>
      </c>
      <c r="D6160" t="s">
        <v>3185</v>
      </c>
      <c r="E6160" t="s">
        <v>573</v>
      </c>
      <c r="F6160" t="s">
        <v>40</v>
      </c>
      <c r="G6160">
        <v>2015</v>
      </c>
      <c r="H6160" s="12">
        <v>10541</v>
      </c>
      <c r="I6160" t="s">
        <v>3183</v>
      </c>
      <c r="J6160" t="s">
        <v>5</v>
      </c>
      <c r="K6160" t="s">
        <v>147</v>
      </c>
      <c r="L6160" t="s">
        <v>650</v>
      </c>
      <c r="M6160" t="s">
        <v>5</v>
      </c>
    </row>
    <row r="6161" spans="1:13">
      <c r="A6161" t="s">
        <v>851</v>
      </c>
      <c r="B6161" t="s">
        <v>686</v>
      </c>
      <c r="C6161" t="s">
        <v>686</v>
      </c>
      <c r="D6161" t="s">
        <v>3185</v>
      </c>
      <c r="E6161" t="s">
        <v>573</v>
      </c>
      <c r="F6161" t="s">
        <v>40</v>
      </c>
      <c r="G6161">
        <v>2020</v>
      </c>
      <c r="H6161" s="12">
        <v>6283</v>
      </c>
      <c r="I6161" t="s">
        <v>3183</v>
      </c>
      <c r="J6161" t="s">
        <v>5</v>
      </c>
      <c r="K6161" t="s">
        <v>147</v>
      </c>
      <c r="L6161" t="s">
        <v>650</v>
      </c>
      <c r="M6161" t="s">
        <v>5</v>
      </c>
    </row>
    <row r="6162" spans="1:13">
      <c r="A6162" t="s">
        <v>851</v>
      </c>
      <c r="B6162" t="s">
        <v>687</v>
      </c>
      <c r="C6162" t="s">
        <v>687</v>
      </c>
      <c r="D6162" t="s">
        <v>3185</v>
      </c>
      <c r="E6162" t="s">
        <v>660</v>
      </c>
      <c r="F6162" t="s">
        <v>40</v>
      </c>
      <c r="G6162">
        <v>2050</v>
      </c>
      <c r="H6162" s="12">
        <v>12869</v>
      </c>
      <c r="I6162" t="s">
        <v>3183</v>
      </c>
      <c r="J6162" t="s">
        <v>18</v>
      </c>
      <c r="K6162" t="s">
        <v>657</v>
      </c>
      <c r="L6162" t="s">
        <v>650</v>
      </c>
      <c r="M6162" t="s">
        <v>18</v>
      </c>
    </row>
    <row r="6163" spans="1:13">
      <c r="A6163" t="s">
        <v>851</v>
      </c>
      <c r="B6163" t="s">
        <v>686</v>
      </c>
      <c r="C6163" t="s">
        <v>686</v>
      </c>
      <c r="D6163" t="s">
        <v>3185</v>
      </c>
      <c r="E6163" t="s">
        <v>660</v>
      </c>
      <c r="F6163" t="s">
        <v>40</v>
      </c>
      <c r="G6163">
        <v>2010</v>
      </c>
      <c r="H6163" s="12">
        <v>2306</v>
      </c>
      <c r="I6163" t="s">
        <v>3183</v>
      </c>
      <c r="J6163" t="s">
        <v>14</v>
      </c>
      <c r="K6163" t="s">
        <v>657</v>
      </c>
      <c r="L6163" t="s">
        <v>650</v>
      </c>
      <c r="M6163" t="s">
        <v>14</v>
      </c>
    </row>
    <row r="6164" spans="1:13">
      <c r="A6164" t="s">
        <v>851</v>
      </c>
      <c r="B6164" t="s">
        <v>686</v>
      </c>
      <c r="C6164" t="s">
        <v>686</v>
      </c>
      <c r="D6164" t="s">
        <v>3185</v>
      </c>
      <c r="E6164" t="s">
        <v>660</v>
      </c>
      <c r="F6164" t="s">
        <v>40</v>
      </c>
      <c r="G6164">
        <v>2015</v>
      </c>
      <c r="H6164" s="12">
        <v>2267</v>
      </c>
      <c r="I6164" t="s">
        <v>3183</v>
      </c>
      <c r="J6164" t="s">
        <v>14</v>
      </c>
      <c r="K6164" t="s">
        <v>657</v>
      </c>
      <c r="L6164" t="s">
        <v>650</v>
      </c>
      <c r="M6164" t="s">
        <v>14</v>
      </c>
    </row>
    <row r="6165" spans="1:13">
      <c r="A6165" t="s">
        <v>851</v>
      </c>
      <c r="B6165" t="s">
        <v>686</v>
      </c>
      <c r="C6165" t="s">
        <v>686</v>
      </c>
      <c r="D6165" t="s">
        <v>3185</v>
      </c>
      <c r="E6165" t="s">
        <v>660</v>
      </c>
      <c r="F6165" t="s">
        <v>40</v>
      </c>
      <c r="G6165">
        <v>2020</v>
      </c>
      <c r="H6165" s="12">
        <v>2351</v>
      </c>
      <c r="I6165" t="s">
        <v>3183</v>
      </c>
      <c r="J6165" t="s">
        <v>14</v>
      </c>
      <c r="K6165" t="s">
        <v>657</v>
      </c>
      <c r="L6165" t="s">
        <v>650</v>
      </c>
      <c r="M6165" t="s">
        <v>14</v>
      </c>
    </row>
    <row r="6166" spans="1:13">
      <c r="A6166" t="s">
        <v>851</v>
      </c>
      <c r="B6166" t="s">
        <v>686</v>
      </c>
      <c r="C6166" t="s">
        <v>686</v>
      </c>
      <c r="D6166" t="s">
        <v>3185</v>
      </c>
      <c r="E6166" t="s">
        <v>660</v>
      </c>
      <c r="F6166" t="s">
        <v>40</v>
      </c>
      <c r="G6166">
        <v>2030</v>
      </c>
      <c r="H6166" s="12">
        <v>2712</v>
      </c>
      <c r="I6166" t="s">
        <v>3183</v>
      </c>
      <c r="J6166" t="s">
        <v>14</v>
      </c>
      <c r="K6166" t="s">
        <v>657</v>
      </c>
      <c r="L6166" t="s">
        <v>650</v>
      </c>
      <c r="M6166" t="s">
        <v>14</v>
      </c>
    </row>
    <row r="6167" spans="1:13">
      <c r="A6167" t="s">
        <v>851</v>
      </c>
      <c r="B6167" t="s">
        <v>686</v>
      </c>
      <c r="C6167" t="s">
        <v>686</v>
      </c>
      <c r="D6167" t="s">
        <v>3185</v>
      </c>
      <c r="E6167" t="s">
        <v>660</v>
      </c>
      <c r="F6167" t="s">
        <v>40</v>
      </c>
      <c r="G6167">
        <v>2035</v>
      </c>
      <c r="H6167" s="12">
        <v>2857</v>
      </c>
      <c r="I6167" t="s">
        <v>3183</v>
      </c>
      <c r="J6167" t="s">
        <v>14</v>
      </c>
      <c r="K6167" t="s">
        <v>657</v>
      </c>
      <c r="L6167" t="s">
        <v>650</v>
      </c>
      <c r="M6167" t="s">
        <v>14</v>
      </c>
    </row>
    <row r="6168" spans="1:13">
      <c r="A6168" t="s">
        <v>851</v>
      </c>
      <c r="B6168" t="s">
        <v>686</v>
      </c>
      <c r="C6168" t="s">
        <v>686</v>
      </c>
      <c r="D6168" t="s">
        <v>3185</v>
      </c>
      <c r="E6168" t="s">
        <v>660</v>
      </c>
      <c r="F6168" t="s">
        <v>40</v>
      </c>
      <c r="G6168">
        <v>2040</v>
      </c>
      <c r="H6168" s="12">
        <v>2992</v>
      </c>
      <c r="I6168" t="s">
        <v>3183</v>
      </c>
      <c r="J6168" t="s">
        <v>14</v>
      </c>
      <c r="K6168" t="s">
        <v>657</v>
      </c>
      <c r="L6168" t="s">
        <v>650</v>
      </c>
      <c r="M6168" t="s">
        <v>14</v>
      </c>
    </row>
    <row r="6169" spans="1:13">
      <c r="A6169" t="s">
        <v>851</v>
      </c>
      <c r="B6169" t="s">
        <v>686</v>
      </c>
      <c r="C6169" t="s">
        <v>686</v>
      </c>
      <c r="D6169" t="s">
        <v>3185</v>
      </c>
      <c r="E6169" t="s">
        <v>660</v>
      </c>
      <c r="F6169" t="s">
        <v>40</v>
      </c>
      <c r="G6169">
        <v>2045</v>
      </c>
      <c r="H6169" s="12">
        <v>3138</v>
      </c>
      <c r="I6169" t="s">
        <v>3183</v>
      </c>
      <c r="J6169" t="s">
        <v>14</v>
      </c>
      <c r="K6169" t="s">
        <v>657</v>
      </c>
      <c r="L6169" t="s">
        <v>650</v>
      </c>
      <c r="M6169" t="s">
        <v>14</v>
      </c>
    </row>
    <row r="6170" spans="1:13">
      <c r="A6170" t="s">
        <v>851</v>
      </c>
      <c r="B6170" t="s">
        <v>686</v>
      </c>
      <c r="C6170" t="s">
        <v>686</v>
      </c>
      <c r="D6170" t="s">
        <v>3185</v>
      </c>
      <c r="E6170" t="s">
        <v>660</v>
      </c>
      <c r="F6170" t="s">
        <v>40</v>
      </c>
      <c r="G6170">
        <v>2050</v>
      </c>
      <c r="H6170" s="12">
        <v>3287</v>
      </c>
      <c r="I6170" t="s">
        <v>3183</v>
      </c>
      <c r="J6170" t="s">
        <v>14</v>
      </c>
      <c r="K6170" t="s">
        <v>657</v>
      </c>
      <c r="L6170" t="s">
        <v>650</v>
      </c>
      <c r="M6170" t="s">
        <v>14</v>
      </c>
    </row>
    <row r="6171" spans="1:13">
      <c r="A6171" t="s">
        <v>851</v>
      </c>
      <c r="B6171" t="s">
        <v>687</v>
      </c>
      <c r="C6171" t="s">
        <v>687</v>
      </c>
      <c r="D6171" t="s">
        <v>3185</v>
      </c>
      <c r="E6171" t="s">
        <v>660</v>
      </c>
      <c r="F6171" t="s">
        <v>40</v>
      </c>
      <c r="G6171">
        <v>2030</v>
      </c>
      <c r="H6171" s="12">
        <v>2784</v>
      </c>
      <c r="I6171" t="s">
        <v>3183</v>
      </c>
      <c r="J6171" t="s">
        <v>14</v>
      </c>
      <c r="K6171" t="s">
        <v>657</v>
      </c>
      <c r="L6171" t="s">
        <v>650</v>
      </c>
      <c r="M6171" t="s">
        <v>14</v>
      </c>
    </row>
    <row r="6172" spans="1:13">
      <c r="A6172" t="s">
        <v>851</v>
      </c>
      <c r="B6172" t="s">
        <v>687</v>
      </c>
      <c r="C6172" t="s">
        <v>687</v>
      </c>
      <c r="D6172" t="s">
        <v>3185</v>
      </c>
      <c r="E6172" t="s">
        <v>660</v>
      </c>
      <c r="F6172" t="s">
        <v>40</v>
      </c>
      <c r="G6172">
        <v>2035</v>
      </c>
      <c r="H6172" s="12">
        <v>2941</v>
      </c>
      <c r="I6172" t="s">
        <v>3183</v>
      </c>
      <c r="J6172" t="s">
        <v>14</v>
      </c>
      <c r="K6172" t="s">
        <v>657</v>
      </c>
      <c r="L6172" t="s">
        <v>650</v>
      </c>
      <c r="M6172" t="s">
        <v>14</v>
      </c>
    </row>
    <row r="6173" spans="1:13">
      <c r="A6173" t="s">
        <v>851</v>
      </c>
      <c r="B6173" t="s">
        <v>687</v>
      </c>
      <c r="C6173" t="s">
        <v>687</v>
      </c>
      <c r="D6173" t="s">
        <v>3185</v>
      </c>
      <c r="E6173" t="s">
        <v>660</v>
      </c>
      <c r="F6173" t="s">
        <v>40</v>
      </c>
      <c r="G6173">
        <v>2040</v>
      </c>
      <c r="H6173" s="12">
        <v>3080</v>
      </c>
      <c r="I6173" t="s">
        <v>3183</v>
      </c>
      <c r="J6173" t="s">
        <v>14</v>
      </c>
      <c r="K6173" t="s">
        <v>657</v>
      </c>
      <c r="L6173" t="s">
        <v>650</v>
      </c>
      <c r="M6173" t="s">
        <v>14</v>
      </c>
    </row>
    <row r="6174" spans="1:13">
      <c r="A6174" t="s">
        <v>851</v>
      </c>
      <c r="B6174" t="s">
        <v>687</v>
      </c>
      <c r="C6174" t="s">
        <v>687</v>
      </c>
      <c r="D6174" t="s">
        <v>3185</v>
      </c>
      <c r="E6174" t="s">
        <v>660</v>
      </c>
      <c r="F6174" t="s">
        <v>40</v>
      </c>
      <c r="G6174">
        <v>2045</v>
      </c>
      <c r="H6174" s="12">
        <v>3232</v>
      </c>
      <c r="I6174" t="s">
        <v>3183</v>
      </c>
      <c r="J6174" t="s">
        <v>14</v>
      </c>
      <c r="K6174" t="s">
        <v>657</v>
      </c>
      <c r="L6174" t="s">
        <v>650</v>
      </c>
      <c r="M6174" t="s">
        <v>14</v>
      </c>
    </row>
    <row r="6175" spans="1:13">
      <c r="A6175" t="s">
        <v>851</v>
      </c>
      <c r="B6175" t="s">
        <v>687</v>
      </c>
      <c r="C6175" t="s">
        <v>687</v>
      </c>
      <c r="D6175" t="s">
        <v>3185</v>
      </c>
      <c r="E6175" t="s">
        <v>660</v>
      </c>
      <c r="F6175" t="s">
        <v>40</v>
      </c>
      <c r="G6175">
        <v>2050</v>
      </c>
      <c r="H6175" s="12">
        <v>3385</v>
      </c>
      <c r="I6175" t="s">
        <v>3183</v>
      </c>
      <c r="J6175" t="s">
        <v>14</v>
      </c>
      <c r="K6175" t="s">
        <v>657</v>
      </c>
      <c r="L6175" t="s">
        <v>650</v>
      </c>
      <c r="M6175" t="s">
        <v>14</v>
      </c>
    </row>
    <row r="6176" spans="1:13">
      <c r="A6176" t="s">
        <v>851</v>
      </c>
      <c r="B6176" t="s">
        <v>686</v>
      </c>
      <c r="C6176" t="s">
        <v>686</v>
      </c>
      <c r="D6176" t="s">
        <v>3185</v>
      </c>
      <c r="E6176" t="s">
        <v>660</v>
      </c>
      <c r="F6176" t="s">
        <v>40</v>
      </c>
      <c r="G6176">
        <v>2010</v>
      </c>
      <c r="H6176" s="12">
        <v>6508</v>
      </c>
      <c r="I6176" t="s">
        <v>3183</v>
      </c>
      <c r="J6176" t="s">
        <v>41</v>
      </c>
      <c r="K6176" t="s">
        <v>657</v>
      </c>
      <c r="L6176" t="s">
        <v>650</v>
      </c>
      <c r="M6176" t="s">
        <v>662</v>
      </c>
    </row>
    <row r="6177" spans="1:13">
      <c r="A6177" t="s">
        <v>851</v>
      </c>
      <c r="B6177" t="s">
        <v>686</v>
      </c>
      <c r="C6177" t="s">
        <v>686</v>
      </c>
      <c r="D6177" t="s">
        <v>3185</v>
      </c>
      <c r="E6177" t="s">
        <v>660</v>
      </c>
      <c r="F6177" t="s">
        <v>40</v>
      </c>
      <c r="G6177">
        <v>2015</v>
      </c>
      <c r="H6177" s="12">
        <v>7192</v>
      </c>
      <c r="I6177" t="s">
        <v>3183</v>
      </c>
      <c r="J6177" t="s">
        <v>41</v>
      </c>
      <c r="K6177" t="s">
        <v>657</v>
      </c>
      <c r="L6177" t="s">
        <v>650</v>
      </c>
      <c r="M6177" t="s">
        <v>662</v>
      </c>
    </row>
    <row r="6178" spans="1:13">
      <c r="A6178" t="s">
        <v>851</v>
      </c>
      <c r="B6178" t="s">
        <v>686</v>
      </c>
      <c r="C6178" t="s">
        <v>686</v>
      </c>
      <c r="D6178" t="s">
        <v>3185</v>
      </c>
      <c r="E6178" t="s">
        <v>660</v>
      </c>
      <c r="F6178" t="s">
        <v>40</v>
      </c>
      <c r="G6178">
        <v>2020</v>
      </c>
      <c r="H6178" s="12">
        <v>8223</v>
      </c>
      <c r="I6178" t="s">
        <v>3183</v>
      </c>
      <c r="J6178" t="s">
        <v>41</v>
      </c>
      <c r="K6178" t="s">
        <v>657</v>
      </c>
      <c r="L6178" t="s">
        <v>650</v>
      </c>
      <c r="M6178" t="s">
        <v>662</v>
      </c>
    </row>
    <row r="6179" spans="1:13">
      <c r="A6179" t="s">
        <v>851</v>
      </c>
      <c r="B6179" t="s">
        <v>686</v>
      </c>
      <c r="C6179" t="s">
        <v>686</v>
      </c>
      <c r="D6179" t="s">
        <v>3185</v>
      </c>
      <c r="E6179" t="s">
        <v>660</v>
      </c>
      <c r="F6179" t="s">
        <v>40</v>
      </c>
      <c r="G6179">
        <v>2030</v>
      </c>
      <c r="H6179" s="12">
        <v>9892</v>
      </c>
      <c r="I6179" t="s">
        <v>3183</v>
      </c>
      <c r="J6179" t="s">
        <v>41</v>
      </c>
      <c r="K6179" t="s">
        <v>657</v>
      </c>
      <c r="L6179" t="s">
        <v>650</v>
      </c>
      <c r="M6179" t="s">
        <v>662</v>
      </c>
    </row>
    <row r="6180" spans="1:13">
      <c r="A6180" t="s">
        <v>851</v>
      </c>
      <c r="B6180" t="s">
        <v>686</v>
      </c>
      <c r="C6180" t="s">
        <v>686</v>
      </c>
      <c r="D6180" t="s">
        <v>3185</v>
      </c>
      <c r="E6180" t="s">
        <v>660</v>
      </c>
      <c r="F6180" t="s">
        <v>40</v>
      </c>
      <c r="G6180">
        <v>2035</v>
      </c>
      <c r="H6180" s="12">
        <v>10378</v>
      </c>
      <c r="I6180" t="s">
        <v>3183</v>
      </c>
      <c r="J6180" t="s">
        <v>41</v>
      </c>
      <c r="K6180" t="s">
        <v>657</v>
      </c>
      <c r="L6180" t="s">
        <v>650</v>
      </c>
      <c r="M6180" t="s">
        <v>662</v>
      </c>
    </row>
    <row r="6181" spans="1:13">
      <c r="A6181" t="s">
        <v>851</v>
      </c>
      <c r="B6181" t="s">
        <v>686</v>
      </c>
      <c r="C6181" t="s">
        <v>686</v>
      </c>
      <c r="D6181" t="s">
        <v>3185</v>
      </c>
      <c r="E6181" t="s">
        <v>660</v>
      </c>
      <c r="F6181" t="s">
        <v>40</v>
      </c>
      <c r="G6181">
        <v>2040</v>
      </c>
      <c r="H6181" s="12">
        <v>10737</v>
      </c>
      <c r="I6181" t="s">
        <v>3183</v>
      </c>
      <c r="J6181" t="s">
        <v>41</v>
      </c>
      <c r="K6181" t="s">
        <v>657</v>
      </c>
      <c r="L6181" t="s">
        <v>650</v>
      </c>
      <c r="M6181" t="s">
        <v>662</v>
      </c>
    </row>
    <row r="6182" spans="1:13">
      <c r="A6182" t="s">
        <v>851</v>
      </c>
      <c r="B6182" t="s">
        <v>686</v>
      </c>
      <c r="C6182" t="s">
        <v>686</v>
      </c>
      <c r="D6182" t="s">
        <v>3185</v>
      </c>
      <c r="E6182" t="s">
        <v>660</v>
      </c>
      <c r="F6182" t="s">
        <v>40</v>
      </c>
      <c r="G6182">
        <v>2045</v>
      </c>
      <c r="H6182" s="12">
        <v>11202</v>
      </c>
      <c r="I6182" t="s">
        <v>3183</v>
      </c>
      <c r="J6182" t="s">
        <v>41</v>
      </c>
      <c r="K6182" t="s">
        <v>657</v>
      </c>
      <c r="L6182" t="s">
        <v>650</v>
      </c>
      <c r="M6182" t="s">
        <v>662</v>
      </c>
    </row>
    <row r="6183" spans="1:13">
      <c r="A6183" t="s">
        <v>851</v>
      </c>
      <c r="B6183" t="s">
        <v>686</v>
      </c>
      <c r="C6183" t="s">
        <v>686</v>
      </c>
      <c r="D6183" t="s">
        <v>3185</v>
      </c>
      <c r="E6183" t="s">
        <v>660</v>
      </c>
      <c r="F6183" t="s">
        <v>40</v>
      </c>
      <c r="G6183">
        <v>2050</v>
      </c>
      <c r="H6183" s="12">
        <v>11558</v>
      </c>
      <c r="I6183" t="s">
        <v>3183</v>
      </c>
      <c r="J6183" t="s">
        <v>41</v>
      </c>
      <c r="K6183" t="s">
        <v>657</v>
      </c>
      <c r="L6183" t="s">
        <v>650</v>
      </c>
      <c r="M6183" t="s">
        <v>662</v>
      </c>
    </row>
    <row r="6184" spans="1:13">
      <c r="A6184" t="s">
        <v>851</v>
      </c>
      <c r="B6184" t="s">
        <v>687</v>
      </c>
      <c r="C6184" t="s">
        <v>687</v>
      </c>
      <c r="D6184" t="s">
        <v>3185</v>
      </c>
      <c r="E6184" t="s">
        <v>660</v>
      </c>
      <c r="F6184" t="s">
        <v>40</v>
      </c>
      <c r="G6184">
        <v>2030</v>
      </c>
      <c r="H6184" s="12">
        <v>12362</v>
      </c>
      <c r="I6184" t="s">
        <v>3183</v>
      </c>
      <c r="J6184" t="s">
        <v>41</v>
      </c>
      <c r="K6184" t="s">
        <v>657</v>
      </c>
      <c r="L6184" t="s">
        <v>650</v>
      </c>
      <c r="M6184" t="s">
        <v>662</v>
      </c>
    </row>
    <row r="6185" spans="1:13">
      <c r="A6185" t="s">
        <v>851</v>
      </c>
      <c r="B6185" t="s">
        <v>687</v>
      </c>
      <c r="C6185" t="s">
        <v>687</v>
      </c>
      <c r="D6185" t="s">
        <v>3185</v>
      </c>
      <c r="E6185" t="s">
        <v>660</v>
      </c>
      <c r="F6185" t="s">
        <v>40</v>
      </c>
      <c r="G6185">
        <v>2035</v>
      </c>
      <c r="H6185" s="12">
        <v>13395</v>
      </c>
      <c r="I6185" t="s">
        <v>3183</v>
      </c>
      <c r="J6185" t="s">
        <v>41</v>
      </c>
      <c r="K6185" t="s">
        <v>657</v>
      </c>
      <c r="L6185" t="s">
        <v>650</v>
      </c>
      <c r="M6185" t="s">
        <v>662</v>
      </c>
    </row>
    <row r="6186" spans="1:13">
      <c r="A6186" t="s">
        <v>851</v>
      </c>
      <c r="B6186" t="s">
        <v>687</v>
      </c>
      <c r="C6186" t="s">
        <v>687</v>
      </c>
      <c r="D6186" t="s">
        <v>3185</v>
      </c>
      <c r="E6186" t="s">
        <v>660</v>
      </c>
      <c r="F6186" t="s">
        <v>40</v>
      </c>
      <c r="G6186">
        <v>2040</v>
      </c>
      <c r="H6186" s="12">
        <v>14171</v>
      </c>
      <c r="I6186" t="s">
        <v>3183</v>
      </c>
      <c r="J6186" t="s">
        <v>41</v>
      </c>
      <c r="K6186" t="s">
        <v>657</v>
      </c>
      <c r="L6186" t="s">
        <v>650</v>
      </c>
      <c r="M6186" t="s">
        <v>662</v>
      </c>
    </row>
    <row r="6187" spans="1:13">
      <c r="A6187" t="s">
        <v>851</v>
      </c>
      <c r="B6187" t="s">
        <v>687</v>
      </c>
      <c r="C6187" t="s">
        <v>687</v>
      </c>
      <c r="D6187" t="s">
        <v>3185</v>
      </c>
      <c r="E6187" t="s">
        <v>660</v>
      </c>
      <c r="F6187" t="s">
        <v>40</v>
      </c>
      <c r="G6187">
        <v>2045</v>
      </c>
      <c r="H6187" s="12">
        <v>14562</v>
      </c>
      <c r="I6187" t="s">
        <v>3183</v>
      </c>
      <c r="J6187" t="s">
        <v>41</v>
      </c>
      <c r="K6187" t="s">
        <v>657</v>
      </c>
      <c r="L6187" t="s">
        <v>650</v>
      </c>
      <c r="M6187" t="s">
        <v>662</v>
      </c>
    </row>
    <row r="6188" spans="1:13">
      <c r="A6188" t="s">
        <v>851</v>
      </c>
      <c r="B6188" t="s">
        <v>687</v>
      </c>
      <c r="C6188" t="s">
        <v>687</v>
      </c>
      <c r="D6188" t="s">
        <v>3185</v>
      </c>
      <c r="E6188" t="s">
        <v>660</v>
      </c>
      <c r="F6188" t="s">
        <v>40</v>
      </c>
      <c r="G6188">
        <v>2050</v>
      </c>
      <c r="H6188" s="12">
        <v>14497</v>
      </c>
      <c r="I6188" t="s">
        <v>3183</v>
      </c>
      <c r="J6188" t="s">
        <v>41</v>
      </c>
      <c r="K6188" t="s">
        <v>657</v>
      </c>
      <c r="L6188" t="s">
        <v>650</v>
      </c>
      <c r="M6188" t="s">
        <v>662</v>
      </c>
    </row>
    <row r="6189" spans="1:13">
      <c r="A6189" t="s">
        <v>851</v>
      </c>
      <c r="B6189" t="s">
        <v>686</v>
      </c>
      <c r="C6189" t="s">
        <v>686</v>
      </c>
      <c r="D6189" t="s">
        <v>3185</v>
      </c>
      <c r="E6189" t="s">
        <v>660</v>
      </c>
      <c r="F6189" t="s">
        <v>40</v>
      </c>
      <c r="G6189">
        <v>2010</v>
      </c>
      <c r="H6189" s="12">
        <v>0</v>
      </c>
      <c r="I6189" t="s">
        <v>3183</v>
      </c>
      <c r="J6189" t="s">
        <v>41</v>
      </c>
      <c r="K6189" t="s">
        <v>657</v>
      </c>
      <c r="L6189" t="s">
        <v>650</v>
      </c>
      <c r="M6189" t="s">
        <v>661</v>
      </c>
    </row>
    <row r="6190" spans="1:13">
      <c r="A6190" t="s">
        <v>851</v>
      </c>
      <c r="B6190" t="s">
        <v>686</v>
      </c>
      <c r="C6190" t="s">
        <v>686</v>
      </c>
      <c r="D6190" t="s">
        <v>3185</v>
      </c>
      <c r="E6190" t="s">
        <v>660</v>
      </c>
      <c r="F6190" t="s">
        <v>40</v>
      </c>
      <c r="G6190">
        <v>2015</v>
      </c>
      <c r="H6190" s="12">
        <v>0</v>
      </c>
      <c r="I6190" t="s">
        <v>3183</v>
      </c>
      <c r="J6190" t="s">
        <v>41</v>
      </c>
      <c r="K6190" t="s">
        <v>657</v>
      </c>
      <c r="L6190" t="s">
        <v>650</v>
      </c>
      <c r="M6190" t="s">
        <v>661</v>
      </c>
    </row>
    <row r="6191" spans="1:13">
      <c r="A6191" t="s">
        <v>851</v>
      </c>
      <c r="B6191" t="s">
        <v>686</v>
      </c>
      <c r="C6191" t="s">
        <v>686</v>
      </c>
      <c r="D6191" t="s">
        <v>3185</v>
      </c>
      <c r="E6191" t="s">
        <v>660</v>
      </c>
      <c r="F6191" t="s">
        <v>40</v>
      </c>
      <c r="G6191">
        <v>2020</v>
      </c>
      <c r="H6191" s="12">
        <v>0</v>
      </c>
      <c r="I6191" t="s">
        <v>3183</v>
      </c>
      <c r="J6191" t="s">
        <v>41</v>
      </c>
      <c r="K6191" t="s">
        <v>657</v>
      </c>
      <c r="L6191" t="s">
        <v>650</v>
      </c>
      <c r="M6191" t="s">
        <v>661</v>
      </c>
    </row>
    <row r="6192" spans="1:13">
      <c r="A6192" t="s">
        <v>851</v>
      </c>
      <c r="B6192" t="s">
        <v>686</v>
      </c>
      <c r="C6192" t="s">
        <v>686</v>
      </c>
      <c r="D6192" t="s">
        <v>3185</v>
      </c>
      <c r="E6192" t="s">
        <v>660</v>
      </c>
      <c r="F6192" t="s">
        <v>40</v>
      </c>
      <c r="G6192">
        <v>2030</v>
      </c>
      <c r="H6192" s="12">
        <v>0</v>
      </c>
      <c r="I6192" t="s">
        <v>3183</v>
      </c>
      <c r="J6192" t="s">
        <v>41</v>
      </c>
      <c r="K6192" t="s">
        <v>657</v>
      </c>
      <c r="L6192" t="s">
        <v>650</v>
      </c>
      <c r="M6192" t="s">
        <v>661</v>
      </c>
    </row>
    <row r="6193" spans="1:13">
      <c r="A6193" t="s">
        <v>851</v>
      </c>
      <c r="B6193" t="s">
        <v>686</v>
      </c>
      <c r="C6193" t="s">
        <v>686</v>
      </c>
      <c r="D6193" t="s">
        <v>3185</v>
      </c>
      <c r="E6193" t="s">
        <v>660</v>
      </c>
      <c r="F6193" t="s">
        <v>40</v>
      </c>
      <c r="G6193">
        <v>2035</v>
      </c>
      <c r="H6193" s="12">
        <v>0</v>
      </c>
      <c r="I6193" t="s">
        <v>3183</v>
      </c>
      <c r="J6193" t="s">
        <v>41</v>
      </c>
      <c r="K6193" t="s">
        <v>657</v>
      </c>
      <c r="L6193" t="s">
        <v>650</v>
      </c>
      <c r="M6193" t="s">
        <v>661</v>
      </c>
    </row>
    <row r="6194" spans="1:13">
      <c r="A6194" t="s">
        <v>851</v>
      </c>
      <c r="B6194" t="s">
        <v>686</v>
      </c>
      <c r="C6194" t="s">
        <v>686</v>
      </c>
      <c r="D6194" t="s">
        <v>3185</v>
      </c>
      <c r="E6194" t="s">
        <v>660</v>
      </c>
      <c r="F6194" t="s">
        <v>40</v>
      </c>
      <c r="G6194">
        <v>2040</v>
      </c>
      <c r="H6194" s="12">
        <v>0</v>
      </c>
      <c r="I6194" t="s">
        <v>3183</v>
      </c>
      <c r="J6194" t="s">
        <v>41</v>
      </c>
      <c r="K6194" t="s">
        <v>657</v>
      </c>
      <c r="L6194" t="s">
        <v>650</v>
      </c>
      <c r="M6194" t="s">
        <v>661</v>
      </c>
    </row>
    <row r="6195" spans="1:13">
      <c r="A6195" t="s">
        <v>851</v>
      </c>
      <c r="B6195" t="s">
        <v>686</v>
      </c>
      <c r="C6195" t="s">
        <v>686</v>
      </c>
      <c r="D6195" t="s">
        <v>3185</v>
      </c>
      <c r="E6195" t="s">
        <v>660</v>
      </c>
      <c r="F6195" t="s">
        <v>40</v>
      </c>
      <c r="G6195">
        <v>2045</v>
      </c>
      <c r="H6195" s="12">
        <v>0</v>
      </c>
      <c r="I6195" t="s">
        <v>3183</v>
      </c>
      <c r="J6195" t="s">
        <v>41</v>
      </c>
      <c r="K6195" t="s">
        <v>657</v>
      </c>
      <c r="L6195" t="s">
        <v>650</v>
      </c>
      <c r="M6195" t="s">
        <v>661</v>
      </c>
    </row>
    <row r="6196" spans="1:13">
      <c r="A6196" t="s">
        <v>851</v>
      </c>
      <c r="B6196" t="s">
        <v>686</v>
      </c>
      <c r="C6196" t="s">
        <v>686</v>
      </c>
      <c r="D6196" t="s">
        <v>3185</v>
      </c>
      <c r="E6196" t="s">
        <v>660</v>
      </c>
      <c r="F6196" t="s">
        <v>40</v>
      </c>
      <c r="G6196">
        <v>2050</v>
      </c>
      <c r="H6196" s="12">
        <v>0</v>
      </c>
      <c r="I6196" t="s">
        <v>3183</v>
      </c>
      <c r="J6196" t="s">
        <v>41</v>
      </c>
      <c r="K6196" t="s">
        <v>657</v>
      </c>
      <c r="L6196" t="s">
        <v>650</v>
      </c>
      <c r="M6196" t="s">
        <v>661</v>
      </c>
    </row>
    <row r="6197" spans="1:13">
      <c r="A6197" t="s">
        <v>851</v>
      </c>
      <c r="B6197" t="s">
        <v>687</v>
      </c>
      <c r="C6197" t="s">
        <v>687</v>
      </c>
      <c r="D6197" t="s">
        <v>3185</v>
      </c>
      <c r="E6197" t="s">
        <v>660</v>
      </c>
      <c r="F6197" t="s">
        <v>40</v>
      </c>
      <c r="G6197">
        <v>2030</v>
      </c>
      <c r="H6197" s="12">
        <v>0</v>
      </c>
      <c r="I6197" t="s">
        <v>3183</v>
      </c>
      <c r="J6197" t="s">
        <v>41</v>
      </c>
      <c r="K6197" t="s">
        <v>657</v>
      </c>
      <c r="L6197" t="s">
        <v>650</v>
      </c>
      <c r="M6197" t="s">
        <v>661</v>
      </c>
    </row>
    <row r="6198" spans="1:13">
      <c r="A6198" t="s">
        <v>851</v>
      </c>
      <c r="B6198" t="s">
        <v>687</v>
      </c>
      <c r="C6198" t="s">
        <v>687</v>
      </c>
      <c r="D6198" t="s">
        <v>3185</v>
      </c>
      <c r="E6198" t="s">
        <v>660</v>
      </c>
      <c r="F6198" t="s">
        <v>40</v>
      </c>
      <c r="G6198">
        <v>2035</v>
      </c>
      <c r="H6198" s="12">
        <v>0</v>
      </c>
      <c r="I6198" t="s">
        <v>3183</v>
      </c>
      <c r="J6198" t="s">
        <v>41</v>
      </c>
      <c r="K6198" t="s">
        <v>657</v>
      </c>
      <c r="L6198" t="s">
        <v>650</v>
      </c>
      <c r="M6198" t="s">
        <v>661</v>
      </c>
    </row>
    <row r="6199" spans="1:13">
      <c r="A6199" t="s">
        <v>851</v>
      </c>
      <c r="B6199" t="s">
        <v>687</v>
      </c>
      <c r="C6199" t="s">
        <v>687</v>
      </c>
      <c r="D6199" t="s">
        <v>3185</v>
      </c>
      <c r="E6199" t="s">
        <v>660</v>
      </c>
      <c r="F6199" t="s">
        <v>40</v>
      </c>
      <c r="G6199">
        <v>2040</v>
      </c>
      <c r="H6199" s="12">
        <v>0</v>
      </c>
      <c r="I6199" t="s">
        <v>3183</v>
      </c>
      <c r="J6199" t="s">
        <v>41</v>
      </c>
      <c r="K6199" t="s">
        <v>657</v>
      </c>
      <c r="L6199" t="s">
        <v>650</v>
      </c>
      <c r="M6199" t="s">
        <v>661</v>
      </c>
    </row>
    <row r="6200" spans="1:13">
      <c r="A6200" t="s">
        <v>851</v>
      </c>
      <c r="B6200" t="s">
        <v>687</v>
      </c>
      <c r="C6200" t="s">
        <v>687</v>
      </c>
      <c r="D6200" t="s">
        <v>3185</v>
      </c>
      <c r="E6200" t="s">
        <v>660</v>
      </c>
      <c r="F6200" t="s">
        <v>40</v>
      </c>
      <c r="G6200">
        <v>2045</v>
      </c>
      <c r="H6200" s="12">
        <v>0</v>
      </c>
      <c r="I6200" t="s">
        <v>3183</v>
      </c>
      <c r="J6200" t="s">
        <v>41</v>
      </c>
      <c r="K6200" t="s">
        <v>657</v>
      </c>
      <c r="L6200" t="s">
        <v>650</v>
      </c>
      <c r="M6200" t="s">
        <v>661</v>
      </c>
    </row>
    <row r="6201" spans="1:13">
      <c r="A6201" t="s">
        <v>851</v>
      </c>
      <c r="B6201" t="s">
        <v>687</v>
      </c>
      <c r="C6201" t="s">
        <v>687</v>
      </c>
      <c r="D6201" t="s">
        <v>3185</v>
      </c>
      <c r="E6201" t="s">
        <v>660</v>
      </c>
      <c r="F6201" t="s">
        <v>40</v>
      </c>
      <c r="G6201">
        <v>2050</v>
      </c>
      <c r="H6201" s="12">
        <v>0</v>
      </c>
      <c r="I6201" t="s">
        <v>3183</v>
      </c>
      <c r="J6201" t="s">
        <v>41</v>
      </c>
      <c r="K6201" t="s">
        <v>657</v>
      </c>
      <c r="L6201" t="s">
        <v>650</v>
      </c>
      <c r="M6201" t="s">
        <v>661</v>
      </c>
    </row>
    <row r="6202" spans="1:13">
      <c r="A6202" t="s">
        <v>851</v>
      </c>
      <c r="B6202" t="s">
        <v>686</v>
      </c>
      <c r="C6202" t="s">
        <v>686</v>
      </c>
      <c r="D6202" t="s">
        <v>3185</v>
      </c>
      <c r="E6202" t="s">
        <v>660</v>
      </c>
      <c r="F6202" t="s">
        <v>40</v>
      </c>
      <c r="G6202">
        <v>2010</v>
      </c>
      <c r="H6202" s="12">
        <v>11267</v>
      </c>
      <c r="I6202" t="s">
        <v>3183</v>
      </c>
      <c r="J6202" t="s">
        <v>15</v>
      </c>
      <c r="K6202" t="s">
        <v>657</v>
      </c>
      <c r="L6202" t="s">
        <v>650</v>
      </c>
      <c r="M6202" t="s">
        <v>15</v>
      </c>
    </row>
    <row r="6203" spans="1:13">
      <c r="A6203" t="s">
        <v>851</v>
      </c>
      <c r="B6203" t="s">
        <v>686</v>
      </c>
      <c r="C6203" t="s">
        <v>686</v>
      </c>
      <c r="D6203" t="s">
        <v>3185</v>
      </c>
      <c r="E6203" t="s">
        <v>660</v>
      </c>
      <c r="F6203" t="s">
        <v>40</v>
      </c>
      <c r="G6203">
        <v>2015</v>
      </c>
      <c r="H6203" s="12">
        <v>10565</v>
      </c>
      <c r="I6203" t="s">
        <v>3183</v>
      </c>
      <c r="J6203" t="s">
        <v>15</v>
      </c>
      <c r="K6203" t="s">
        <v>657</v>
      </c>
      <c r="L6203" t="s">
        <v>650</v>
      </c>
      <c r="M6203" t="s">
        <v>15</v>
      </c>
    </row>
    <row r="6204" spans="1:13">
      <c r="A6204" t="s">
        <v>851</v>
      </c>
      <c r="B6204" t="s">
        <v>686</v>
      </c>
      <c r="C6204" t="s">
        <v>686</v>
      </c>
      <c r="D6204" t="s">
        <v>3185</v>
      </c>
      <c r="E6204" t="s">
        <v>660</v>
      </c>
      <c r="F6204" t="s">
        <v>40</v>
      </c>
      <c r="G6204">
        <v>2020</v>
      </c>
      <c r="H6204" s="12">
        <v>9113</v>
      </c>
      <c r="I6204" t="s">
        <v>3183</v>
      </c>
      <c r="J6204" t="s">
        <v>15</v>
      </c>
      <c r="K6204" t="s">
        <v>657</v>
      </c>
      <c r="L6204" t="s">
        <v>650</v>
      </c>
      <c r="M6204" t="s">
        <v>15</v>
      </c>
    </row>
    <row r="6205" spans="1:13">
      <c r="A6205" t="s">
        <v>851</v>
      </c>
      <c r="B6205" t="s">
        <v>686</v>
      </c>
      <c r="C6205" t="s">
        <v>686</v>
      </c>
      <c r="D6205" t="s">
        <v>3185</v>
      </c>
      <c r="E6205" t="s">
        <v>660</v>
      </c>
      <c r="F6205" t="s">
        <v>40</v>
      </c>
      <c r="G6205">
        <v>2030</v>
      </c>
      <c r="H6205" s="12">
        <v>9212</v>
      </c>
      <c r="I6205" t="s">
        <v>3183</v>
      </c>
      <c r="J6205" t="s">
        <v>15</v>
      </c>
      <c r="K6205" t="s">
        <v>657</v>
      </c>
      <c r="L6205" t="s">
        <v>650</v>
      </c>
      <c r="M6205" t="s">
        <v>15</v>
      </c>
    </row>
    <row r="6206" spans="1:13">
      <c r="A6206" t="s">
        <v>851</v>
      </c>
      <c r="B6206" t="s">
        <v>686</v>
      </c>
      <c r="C6206" t="s">
        <v>686</v>
      </c>
      <c r="D6206" t="s">
        <v>3185</v>
      </c>
      <c r="E6206" t="s">
        <v>660</v>
      </c>
      <c r="F6206" t="s">
        <v>40</v>
      </c>
      <c r="G6206">
        <v>2035</v>
      </c>
      <c r="H6206" s="12">
        <v>8080</v>
      </c>
      <c r="I6206" t="s">
        <v>3183</v>
      </c>
      <c r="J6206" t="s">
        <v>15</v>
      </c>
      <c r="K6206" t="s">
        <v>657</v>
      </c>
      <c r="L6206" t="s">
        <v>650</v>
      </c>
      <c r="M6206" t="s">
        <v>15</v>
      </c>
    </row>
    <row r="6207" spans="1:13">
      <c r="A6207" t="s">
        <v>851</v>
      </c>
      <c r="B6207" t="s">
        <v>686</v>
      </c>
      <c r="C6207" t="s">
        <v>686</v>
      </c>
      <c r="D6207" t="s">
        <v>3185</v>
      </c>
      <c r="E6207" t="s">
        <v>660</v>
      </c>
      <c r="F6207" t="s">
        <v>40</v>
      </c>
      <c r="G6207">
        <v>2040</v>
      </c>
      <c r="H6207" s="12">
        <v>7849</v>
      </c>
      <c r="I6207" t="s">
        <v>3183</v>
      </c>
      <c r="J6207" t="s">
        <v>15</v>
      </c>
      <c r="K6207" t="s">
        <v>657</v>
      </c>
      <c r="L6207" t="s">
        <v>650</v>
      </c>
      <c r="M6207" t="s">
        <v>15</v>
      </c>
    </row>
    <row r="6208" spans="1:13">
      <c r="A6208" t="s">
        <v>851</v>
      </c>
      <c r="B6208" t="s">
        <v>686</v>
      </c>
      <c r="C6208" t="s">
        <v>686</v>
      </c>
      <c r="D6208" t="s">
        <v>3185</v>
      </c>
      <c r="E6208" t="s">
        <v>660</v>
      </c>
      <c r="F6208" t="s">
        <v>40</v>
      </c>
      <c r="G6208">
        <v>2045</v>
      </c>
      <c r="H6208" s="12">
        <v>7857</v>
      </c>
      <c r="I6208" t="s">
        <v>3183</v>
      </c>
      <c r="J6208" t="s">
        <v>15</v>
      </c>
      <c r="K6208" t="s">
        <v>657</v>
      </c>
      <c r="L6208" t="s">
        <v>650</v>
      </c>
      <c r="M6208" t="s">
        <v>15</v>
      </c>
    </row>
    <row r="6209" spans="1:13">
      <c r="A6209" t="s">
        <v>851</v>
      </c>
      <c r="B6209" t="s">
        <v>686</v>
      </c>
      <c r="C6209" t="s">
        <v>686</v>
      </c>
      <c r="D6209" t="s">
        <v>3185</v>
      </c>
      <c r="E6209" t="s">
        <v>660</v>
      </c>
      <c r="F6209" t="s">
        <v>40</v>
      </c>
      <c r="G6209">
        <v>2050</v>
      </c>
      <c r="H6209" s="12">
        <v>8492</v>
      </c>
      <c r="I6209" t="s">
        <v>3183</v>
      </c>
      <c r="J6209" t="s">
        <v>15</v>
      </c>
      <c r="K6209" t="s">
        <v>657</v>
      </c>
      <c r="L6209" t="s">
        <v>650</v>
      </c>
      <c r="M6209" t="s">
        <v>15</v>
      </c>
    </row>
    <row r="6210" spans="1:13">
      <c r="A6210" t="s">
        <v>851</v>
      </c>
      <c r="B6210" t="s">
        <v>687</v>
      </c>
      <c r="C6210" t="s">
        <v>687</v>
      </c>
      <c r="D6210" t="s">
        <v>3185</v>
      </c>
      <c r="E6210" t="s">
        <v>660</v>
      </c>
      <c r="F6210" t="s">
        <v>40</v>
      </c>
      <c r="G6210">
        <v>2030</v>
      </c>
      <c r="H6210" s="12">
        <v>9777</v>
      </c>
      <c r="I6210" t="s">
        <v>3183</v>
      </c>
      <c r="J6210" t="s">
        <v>15</v>
      </c>
      <c r="K6210" t="s">
        <v>657</v>
      </c>
      <c r="L6210" t="s">
        <v>650</v>
      </c>
      <c r="M6210" t="s">
        <v>15</v>
      </c>
    </row>
    <row r="6211" spans="1:13">
      <c r="A6211" t="s">
        <v>851</v>
      </c>
      <c r="B6211" t="s">
        <v>687</v>
      </c>
      <c r="C6211" t="s">
        <v>687</v>
      </c>
      <c r="D6211" t="s">
        <v>3185</v>
      </c>
      <c r="E6211" t="s">
        <v>660</v>
      </c>
      <c r="F6211" t="s">
        <v>40</v>
      </c>
      <c r="G6211">
        <v>2035</v>
      </c>
      <c r="H6211" s="12">
        <v>8883</v>
      </c>
      <c r="I6211" t="s">
        <v>3183</v>
      </c>
      <c r="J6211" t="s">
        <v>15</v>
      </c>
      <c r="K6211" t="s">
        <v>657</v>
      </c>
      <c r="L6211" t="s">
        <v>650</v>
      </c>
      <c r="M6211" t="s">
        <v>15</v>
      </c>
    </row>
    <row r="6212" spans="1:13">
      <c r="A6212" t="s">
        <v>851</v>
      </c>
      <c r="B6212" t="s">
        <v>687</v>
      </c>
      <c r="C6212" t="s">
        <v>687</v>
      </c>
      <c r="D6212" t="s">
        <v>3185</v>
      </c>
      <c r="E6212" t="s">
        <v>660</v>
      </c>
      <c r="F6212" t="s">
        <v>40</v>
      </c>
      <c r="G6212">
        <v>2040</v>
      </c>
      <c r="H6212" s="12">
        <v>8999</v>
      </c>
      <c r="I6212" t="s">
        <v>3183</v>
      </c>
      <c r="J6212" t="s">
        <v>15</v>
      </c>
      <c r="K6212" t="s">
        <v>657</v>
      </c>
      <c r="L6212" t="s">
        <v>650</v>
      </c>
      <c r="M6212" t="s">
        <v>15</v>
      </c>
    </row>
    <row r="6213" spans="1:13">
      <c r="A6213" t="s">
        <v>851</v>
      </c>
      <c r="B6213" t="s">
        <v>687</v>
      </c>
      <c r="C6213" t="s">
        <v>687</v>
      </c>
      <c r="D6213" t="s">
        <v>3185</v>
      </c>
      <c r="E6213" t="s">
        <v>660</v>
      </c>
      <c r="F6213" t="s">
        <v>40</v>
      </c>
      <c r="G6213">
        <v>2045</v>
      </c>
      <c r="H6213" s="12">
        <v>8887</v>
      </c>
      <c r="I6213" t="s">
        <v>3183</v>
      </c>
      <c r="J6213" t="s">
        <v>15</v>
      </c>
      <c r="K6213" t="s">
        <v>657</v>
      </c>
      <c r="L6213" t="s">
        <v>650</v>
      </c>
      <c r="M6213" t="s">
        <v>15</v>
      </c>
    </row>
    <row r="6214" spans="1:13">
      <c r="A6214" t="s">
        <v>851</v>
      </c>
      <c r="B6214" t="s">
        <v>687</v>
      </c>
      <c r="C6214" t="s">
        <v>687</v>
      </c>
      <c r="D6214" t="s">
        <v>3185</v>
      </c>
      <c r="E6214" t="s">
        <v>660</v>
      </c>
      <c r="F6214" t="s">
        <v>40</v>
      </c>
      <c r="G6214">
        <v>2050</v>
      </c>
      <c r="H6214" s="12">
        <v>9003</v>
      </c>
      <c r="I6214" t="s">
        <v>3183</v>
      </c>
      <c r="J6214" t="s">
        <v>15</v>
      </c>
      <c r="K6214" t="s">
        <v>657</v>
      </c>
      <c r="L6214" t="s">
        <v>650</v>
      </c>
      <c r="M6214" t="s">
        <v>15</v>
      </c>
    </row>
    <row r="6215" spans="1:13">
      <c r="A6215" t="s">
        <v>851</v>
      </c>
      <c r="B6215" t="s">
        <v>686</v>
      </c>
      <c r="C6215" t="s">
        <v>686</v>
      </c>
      <c r="D6215" t="s">
        <v>3185</v>
      </c>
      <c r="E6215" t="s">
        <v>660</v>
      </c>
      <c r="F6215" t="s">
        <v>40</v>
      </c>
      <c r="G6215">
        <v>2010</v>
      </c>
      <c r="H6215" s="12">
        <v>23973</v>
      </c>
      <c r="I6215" t="s">
        <v>3183</v>
      </c>
      <c r="J6215" t="s">
        <v>6</v>
      </c>
      <c r="K6215" t="s">
        <v>657</v>
      </c>
      <c r="L6215" t="s">
        <v>650</v>
      </c>
      <c r="M6215" t="s">
        <v>659</v>
      </c>
    </row>
    <row r="6216" spans="1:13">
      <c r="A6216" t="s">
        <v>851</v>
      </c>
      <c r="B6216" t="s">
        <v>686</v>
      </c>
      <c r="C6216" t="s">
        <v>686</v>
      </c>
      <c r="D6216" t="s">
        <v>3185</v>
      </c>
      <c r="E6216" t="s">
        <v>660</v>
      </c>
      <c r="F6216" t="s">
        <v>40</v>
      </c>
      <c r="G6216">
        <v>2015</v>
      </c>
      <c r="H6216" s="12">
        <v>19244</v>
      </c>
      <c r="I6216" t="s">
        <v>3183</v>
      </c>
      <c r="J6216" t="s">
        <v>6</v>
      </c>
      <c r="K6216" t="s">
        <v>657</v>
      </c>
      <c r="L6216" t="s">
        <v>650</v>
      </c>
      <c r="M6216" t="s">
        <v>659</v>
      </c>
    </row>
    <row r="6217" spans="1:13">
      <c r="A6217" t="s">
        <v>851</v>
      </c>
      <c r="B6217" t="s">
        <v>686</v>
      </c>
      <c r="C6217" t="s">
        <v>686</v>
      </c>
      <c r="D6217" t="s">
        <v>3185</v>
      </c>
      <c r="E6217" t="s">
        <v>660</v>
      </c>
      <c r="F6217" t="s">
        <v>40</v>
      </c>
      <c r="G6217">
        <v>2020</v>
      </c>
      <c r="H6217" s="12">
        <v>20437</v>
      </c>
      <c r="I6217" t="s">
        <v>3183</v>
      </c>
      <c r="J6217" t="s">
        <v>6</v>
      </c>
      <c r="K6217" t="s">
        <v>657</v>
      </c>
      <c r="L6217" t="s">
        <v>650</v>
      </c>
      <c r="M6217" t="s">
        <v>659</v>
      </c>
    </row>
    <row r="6218" spans="1:13">
      <c r="A6218" t="s">
        <v>851</v>
      </c>
      <c r="B6218" t="s">
        <v>686</v>
      </c>
      <c r="C6218" t="s">
        <v>686</v>
      </c>
      <c r="D6218" t="s">
        <v>3185</v>
      </c>
      <c r="E6218" t="s">
        <v>660</v>
      </c>
      <c r="F6218" t="s">
        <v>40</v>
      </c>
      <c r="G6218">
        <v>2010</v>
      </c>
      <c r="H6218" s="12">
        <v>225</v>
      </c>
      <c r="I6218" t="s">
        <v>3183</v>
      </c>
      <c r="J6218" t="s">
        <v>17</v>
      </c>
      <c r="K6218" t="s">
        <v>657</v>
      </c>
      <c r="L6218" t="s">
        <v>650</v>
      </c>
      <c r="M6218" t="s">
        <v>17</v>
      </c>
    </row>
    <row r="6219" spans="1:13">
      <c r="A6219" t="s">
        <v>851</v>
      </c>
      <c r="B6219" t="s">
        <v>686</v>
      </c>
      <c r="C6219" t="s">
        <v>686</v>
      </c>
      <c r="D6219" t="s">
        <v>3185</v>
      </c>
      <c r="E6219" t="s">
        <v>660</v>
      </c>
      <c r="F6219" t="s">
        <v>40</v>
      </c>
      <c r="G6219">
        <v>2015</v>
      </c>
      <c r="H6219" s="12">
        <v>616</v>
      </c>
      <c r="I6219" t="s">
        <v>3183</v>
      </c>
      <c r="J6219" t="s">
        <v>17</v>
      </c>
      <c r="K6219" t="s">
        <v>657</v>
      </c>
      <c r="L6219" t="s">
        <v>650</v>
      </c>
      <c r="M6219" t="s">
        <v>17</v>
      </c>
    </row>
    <row r="6220" spans="1:13">
      <c r="A6220" t="s">
        <v>851</v>
      </c>
      <c r="B6220" t="s">
        <v>686</v>
      </c>
      <c r="C6220" t="s">
        <v>686</v>
      </c>
      <c r="D6220" t="s">
        <v>3185</v>
      </c>
      <c r="E6220" t="s">
        <v>660</v>
      </c>
      <c r="F6220" t="s">
        <v>40</v>
      </c>
      <c r="G6220">
        <v>2020</v>
      </c>
      <c r="H6220" s="12">
        <v>884</v>
      </c>
      <c r="I6220" t="s">
        <v>3183</v>
      </c>
      <c r="J6220" t="s">
        <v>17</v>
      </c>
      <c r="K6220" t="s">
        <v>657</v>
      </c>
      <c r="L6220" t="s">
        <v>650</v>
      </c>
      <c r="M6220" t="s">
        <v>17</v>
      </c>
    </row>
    <row r="6221" spans="1:13">
      <c r="A6221" t="s">
        <v>851</v>
      </c>
      <c r="B6221" t="s">
        <v>686</v>
      </c>
      <c r="C6221" t="s">
        <v>686</v>
      </c>
      <c r="D6221" t="s">
        <v>3185</v>
      </c>
      <c r="E6221" t="s">
        <v>660</v>
      </c>
      <c r="F6221" t="s">
        <v>40</v>
      </c>
      <c r="G6221">
        <v>2030</v>
      </c>
      <c r="H6221" s="12">
        <v>2479</v>
      </c>
      <c r="I6221" t="s">
        <v>3183</v>
      </c>
      <c r="J6221" t="s">
        <v>17</v>
      </c>
      <c r="K6221" t="s">
        <v>657</v>
      </c>
      <c r="L6221" t="s">
        <v>650</v>
      </c>
      <c r="M6221" t="s">
        <v>17</v>
      </c>
    </row>
    <row r="6222" spans="1:13">
      <c r="A6222" t="s">
        <v>851</v>
      </c>
      <c r="B6222" t="s">
        <v>686</v>
      </c>
      <c r="C6222" t="s">
        <v>686</v>
      </c>
      <c r="D6222" t="s">
        <v>3185</v>
      </c>
      <c r="E6222" t="s">
        <v>660</v>
      </c>
      <c r="F6222" t="s">
        <v>40</v>
      </c>
      <c r="G6222">
        <v>2035</v>
      </c>
      <c r="H6222" s="12">
        <v>2988</v>
      </c>
      <c r="I6222" t="s">
        <v>3183</v>
      </c>
      <c r="J6222" t="s">
        <v>17</v>
      </c>
      <c r="K6222" t="s">
        <v>657</v>
      </c>
      <c r="L6222" t="s">
        <v>650</v>
      </c>
      <c r="M6222" t="s">
        <v>17</v>
      </c>
    </row>
    <row r="6223" spans="1:13">
      <c r="A6223" t="s">
        <v>851</v>
      </c>
      <c r="B6223" t="s">
        <v>686</v>
      </c>
      <c r="C6223" t="s">
        <v>686</v>
      </c>
      <c r="D6223" t="s">
        <v>3185</v>
      </c>
      <c r="E6223" t="s">
        <v>660</v>
      </c>
      <c r="F6223" t="s">
        <v>40</v>
      </c>
      <c r="G6223">
        <v>2040</v>
      </c>
      <c r="H6223" s="12">
        <v>3280</v>
      </c>
      <c r="I6223" t="s">
        <v>3183</v>
      </c>
      <c r="J6223" t="s">
        <v>17</v>
      </c>
      <c r="K6223" t="s">
        <v>657</v>
      </c>
      <c r="L6223" t="s">
        <v>650</v>
      </c>
      <c r="M6223" t="s">
        <v>17</v>
      </c>
    </row>
    <row r="6224" spans="1:13">
      <c r="A6224" t="s">
        <v>851</v>
      </c>
      <c r="B6224" t="s">
        <v>686</v>
      </c>
      <c r="C6224" t="s">
        <v>686</v>
      </c>
      <c r="D6224" t="s">
        <v>3185</v>
      </c>
      <c r="E6224" t="s">
        <v>660</v>
      </c>
      <c r="F6224" t="s">
        <v>40</v>
      </c>
      <c r="G6224">
        <v>2045</v>
      </c>
      <c r="H6224" s="12">
        <v>3547</v>
      </c>
      <c r="I6224" t="s">
        <v>3183</v>
      </c>
      <c r="J6224" t="s">
        <v>17</v>
      </c>
      <c r="K6224" t="s">
        <v>657</v>
      </c>
      <c r="L6224" t="s">
        <v>650</v>
      </c>
      <c r="M6224" t="s">
        <v>17</v>
      </c>
    </row>
    <row r="6225" spans="1:13">
      <c r="A6225" t="s">
        <v>851</v>
      </c>
      <c r="B6225" t="s">
        <v>686</v>
      </c>
      <c r="C6225" t="s">
        <v>686</v>
      </c>
      <c r="D6225" t="s">
        <v>3185</v>
      </c>
      <c r="E6225" t="s">
        <v>660</v>
      </c>
      <c r="F6225" t="s">
        <v>40</v>
      </c>
      <c r="G6225">
        <v>2050</v>
      </c>
      <c r="H6225" s="12">
        <v>3789</v>
      </c>
      <c r="I6225" t="s">
        <v>3183</v>
      </c>
      <c r="J6225" t="s">
        <v>17</v>
      </c>
      <c r="K6225" t="s">
        <v>657</v>
      </c>
      <c r="L6225" t="s">
        <v>650</v>
      </c>
      <c r="M6225" t="s">
        <v>17</v>
      </c>
    </row>
    <row r="6226" spans="1:13">
      <c r="A6226" t="s">
        <v>851</v>
      </c>
      <c r="B6226" t="s">
        <v>687</v>
      </c>
      <c r="C6226" t="s">
        <v>687</v>
      </c>
      <c r="D6226" t="s">
        <v>3185</v>
      </c>
      <c r="E6226" t="s">
        <v>660</v>
      </c>
      <c r="F6226" t="s">
        <v>40</v>
      </c>
      <c r="G6226">
        <v>2030</v>
      </c>
      <c r="H6226" s="12">
        <v>3158</v>
      </c>
      <c r="I6226" t="s">
        <v>3183</v>
      </c>
      <c r="J6226" t="s">
        <v>17</v>
      </c>
      <c r="K6226" t="s">
        <v>657</v>
      </c>
      <c r="L6226" t="s">
        <v>650</v>
      </c>
      <c r="M6226" t="s">
        <v>17</v>
      </c>
    </row>
    <row r="6227" spans="1:13">
      <c r="A6227" t="s">
        <v>851</v>
      </c>
      <c r="B6227" t="s">
        <v>687</v>
      </c>
      <c r="C6227" t="s">
        <v>687</v>
      </c>
      <c r="D6227" t="s">
        <v>3185</v>
      </c>
      <c r="E6227" t="s">
        <v>660</v>
      </c>
      <c r="F6227" t="s">
        <v>40</v>
      </c>
      <c r="G6227">
        <v>2035</v>
      </c>
      <c r="H6227" s="12">
        <v>4226</v>
      </c>
      <c r="I6227" t="s">
        <v>3183</v>
      </c>
      <c r="J6227" t="s">
        <v>17</v>
      </c>
      <c r="K6227" t="s">
        <v>657</v>
      </c>
      <c r="L6227" t="s">
        <v>650</v>
      </c>
      <c r="M6227" t="s">
        <v>17</v>
      </c>
    </row>
    <row r="6228" spans="1:13">
      <c r="A6228" t="s">
        <v>851</v>
      </c>
      <c r="B6228" t="s">
        <v>687</v>
      </c>
      <c r="C6228" t="s">
        <v>687</v>
      </c>
      <c r="D6228" t="s">
        <v>3185</v>
      </c>
      <c r="E6228" t="s">
        <v>660</v>
      </c>
      <c r="F6228" t="s">
        <v>40</v>
      </c>
      <c r="G6228">
        <v>2040</v>
      </c>
      <c r="H6228" s="12">
        <v>4908</v>
      </c>
      <c r="I6228" t="s">
        <v>3183</v>
      </c>
      <c r="J6228" t="s">
        <v>17</v>
      </c>
      <c r="K6228" t="s">
        <v>657</v>
      </c>
      <c r="L6228" t="s">
        <v>650</v>
      </c>
      <c r="M6228" t="s">
        <v>17</v>
      </c>
    </row>
    <row r="6229" spans="1:13">
      <c r="A6229" t="s">
        <v>851</v>
      </c>
      <c r="B6229" t="s">
        <v>687</v>
      </c>
      <c r="C6229" t="s">
        <v>687</v>
      </c>
      <c r="D6229" t="s">
        <v>3185</v>
      </c>
      <c r="E6229" t="s">
        <v>660</v>
      </c>
      <c r="F6229" t="s">
        <v>40</v>
      </c>
      <c r="G6229">
        <v>2045</v>
      </c>
      <c r="H6229" s="12">
        <v>5474</v>
      </c>
      <c r="I6229" t="s">
        <v>3183</v>
      </c>
      <c r="J6229" t="s">
        <v>17</v>
      </c>
      <c r="K6229" t="s">
        <v>657</v>
      </c>
      <c r="L6229" t="s">
        <v>650</v>
      </c>
      <c r="M6229" t="s">
        <v>17</v>
      </c>
    </row>
    <row r="6230" spans="1:13">
      <c r="A6230" t="s">
        <v>851</v>
      </c>
      <c r="B6230" t="s">
        <v>687</v>
      </c>
      <c r="C6230" t="s">
        <v>687</v>
      </c>
      <c r="D6230" t="s">
        <v>3185</v>
      </c>
      <c r="E6230" t="s">
        <v>660</v>
      </c>
      <c r="F6230" t="s">
        <v>40</v>
      </c>
      <c r="G6230">
        <v>2050</v>
      </c>
      <c r="H6230" s="12">
        <v>5851</v>
      </c>
      <c r="I6230" t="s">
        <v>3183</v>
      </c>
      <c r="J6230" t="s">
        <v>17</v>
      </c>
      <c r="K6230" t="s">
        <v>657</v>
      </c>
      <c r="L6230" t="s">
        <v>650</v>
      </c>
      <c r="M6230" t="s">
        <v>17</v>
      </c>
    </row>
    <row r="6231" spans="1:13">
      <c r="A6231" t="s">
        <v>851</v>
      </c>
      <c r="B6231" t="s">
        <v>686</v>
      </c>
      <c r="C6231" t="s">
        <v>686</v>
      </c>
      <c r="D6231" t="s">
        <v>3185</v>
      </c>
      <c r="E6231" t="s">
        <v>660</v>
      </c>
      <c r="F6231" t="s">
        <v>40</v>
      </c>
      <c r="G6231">
        <v>2010</v>
      </c>
      <c r="H6231" s="12">
        <v>554</v>
      </c>
      <c r="I6231" t="s">
        <v>3183</v>
      </c>
      <c r="J6231" t="s">
        <v>18</v>
      </c>
      <c r="K6231" t="s">
        <v>657</v>
      </c>
      <c r="L6231" t="s">
        <v>650</v>
      </c>
      <c r="M6231" t="s">
        <v>18</v>
      </c>
    </row>
    <row r="6232" spans="1:13">
      <c r="A6232" t="s">
        <v>851</v>
      </c>
      <c r="B6232" t="s">
        <v>686</v>
      </c>
      <c r="C6232" t="s">
        <v>686</v>
      </c>
      <c r="D6232" t="s">
        <v>3185</v>
      </c>
      <c r="E6232" t="s">
        <v>660</v>
      </c>
      <c r="F6232" t="s">
        <v>40</v>
      </c>
      <c r="G6232">
        <v>2015</v>
      </c>
      <c r="H6232" s="12">
        <v>1148</v>
      </c>
      <c r="I6232" t="s">
        <v>3183</v>
      </c>
      <c r="J6232" t="s">
        <v>18</v>
      </c>
      <c r="K6232" t="s">
        <v>657</v>
      </c>
      <c r="L6232" t="s">
        <v>650</v>
      </c>
      <c r="M6232" t="s">
        <v>18</v>
      </c>
    </row>
    <row r="6233" spans="1:13">
      <c r="A6233" t="s">
        <v>851</v>
      </c>
      <c r="B6233" t="s">
        <v>686</v>
      </c>
      <c r="C6233" t="s">
        <v>686</v>
      </c>
      <c r="D6233" t="s">
        <v>3185</v>
      </c>
      <c r="E6233" t="s">
        <v>660</v>
      </c>
      <c r="F6233" t="s">
        <v>40</v>
      </c>
      <c r="G6233">
        <v>2020</v>
      </c>
      <c r="H6233" s="12">
        <v>1847</v>
      </c>
      <c r="I6233" t="s">
        <v>3183</v>
      </c>
      <c r="J6233" t="s">
        <v>18</v>
      </c>
      <c r="K6233" t="s">
        <v>657</v>
      </c>
      <c r="L6233" t="s">
        <v>650</v>
      </c>
      <c r="M6233" t="s">
        <v>18</v>
      </c>
    </row>
    <row r="6234" spans="1:13">
      <c r="A6234" t="s">
        <v>851</v>
      </c>
      <c r="B6234" t="s">
        <v>686</v>
      </c>
      <c r="C6234" t="s">
        <v>686</v>
      </c>
      <c r="D6234" t="s">
        <v>3185</v>
      </c>
      <c r="E6234" t="s">
        <v>660</v>
      </c>
      <c r="F6234" t="s">
        <v>40</v>
      </c>
      <c r="G6234">
        <v>2030</v>
      </c>
      <c r="H6234" s="12">
        <v>4305</v>
      </c>
      <c r="I6234" t="s">
        <v>3183</v>
      </c>
      <c r="J6234" t="s">
        <v>18</v>
      </c>
      <c r="K6234" t="s">
        <v>657</v>
      </c>
      <c r="L6234" t="s">
        <v>650</v>
      </c>
      <c r="M6234" t="s">
        <v>18</v>
      </c>
    </row>
    <row r="6235" spans="1:13">
      <c r="A6235" t="s">
        <v>851</v>
      </c>
      <c r="B6235" t="s">
        <v>686</v>
      </c>
      <c r="C6235" t="s">
        <v>686</v>
      </c>
      <c r="D6235" t="s">
        <v>3185</v>
      </c>
      <c r="E6235" t="s">
        <v>660</v>
      </c>
      <c r="F6235" t="s">
        <v>40</v>
      </c>
      <c r="G6235">
        <v>2035</v>
      </c>
      <c r="H6235" s="12">
        <v>5689</v>
      </c>
      <c r="I6235" t="s">
        <v>3183</v>
      </c>
      <c r="J6235" t="s">
        <v>18</v>
      </c>
      <c r="K6235" t="s">
        <v>657</v>
      </c>
      <c r="L6235" t="s">
        <v>650</v>
      </c>
      <c r="M6235" t="s">
        <v>18</v>
      </c>
    </row>
    <row r="6236" spans="1:13">
      <c r="A6236" t="s">
        <v>851</v>
      </c>
      <c r="B6236" t="s">
        <v>686</v>
      </c>
      <c r="C6236" t="s">
        <v>686</v>
      </c>
      <c r="D6236" t="s">
        <v>3185</v>
      </c>
      <c r="E6236" t="s">
        <v>660</v>
      </c>
      <c r="F6236" t="s">
        <v>40</v>
      </c>
      <c r="G6236">
        <v>2040</v>
      </c>
      <c r="H6236" s="12">
        <v>6503</v>
      </c>
      <c r="I6236" t="s">
        <v>3183</v>
      </c>
      <c r="J6236" t="s">
        <v>18</v>
      </c>
      <c r="K6236" t="s">
        <v>657</v>
      </c>
      <c r="L6236" t="s">
        <v>650</v>
      </c>
      <c r="M6236" t="s">
        <v>18</v>
      </c>
    </row>
    <row r="6237" spans="1:13">
      <c r="A6237" t="s">
        <v>851</v>
      </c>
      <c r="B6237" t="s">
        <v>686</v>
      </c>
      <c r="C6237" t="s">
        <v>686</v>
      </c>
      <c r="D6237" t="s">
        <v>3185</v>
      </c>
      <c r="E6237" t="s">
        <v>660</v>
      </c>
      <c r="F6237" t="s">
        <v>40</v>
      </c>
      <c r="G6237">
        <v>2045</v>
      </c>
      <c r="H6237" s="12">
        <v>7067</v>
      </c>
      <c r="I6237" t="s">
        <v>3183</v>
      </c>
      <c r="J6237" t="s">
        <v>18</v>
      </c>
      <c r="K6237" t="s">
        <v>657</v>
      </c>
      <c r="L6237" t="s">
        <v>650</v>
      </c>
      <c r="M6237" t="s">
        <v>18</v>
      </c>
    </row>
    <row r="6238" spans="1:13">
      <c r="A6238" t="s">
        <v>851</v>
      </c>
      <c r="B6238" t="s">
        <v>686</v>
      </c>
      <c r="C6238" t="s">
        <v>686</v>
      </c>
      <c r="D6238" t="s">
        <v>3185</v>
      </c>
      <c r="E6238" t="s">
        <v>660</v>
      </c>
      <c r="F6238" t="s">
        <v>40</v>
      </c>
      <c r="G6238">
        <v>2050</v>
      </c>
      <c r="H6238" s="12">
        <v>7492</v>
      </c>
      <c r="I6238" t="s">
        <v>3183</v>
      </c>
      <c r="J6238" t="s">
        <v>18</v>
      </c>
      <c r="K6238" t="s">
        <v>657</v>
      </c>
      <c r="L6238" t="s">
        <v>650</v>
      </c>
      <c r="M6238" t="s">
        <v>18</v>
      </c>
    </row>
    <row r="6239" spans="1:13">
      <c r="A6239" t="s">
        <v>851</v>
      </c>
      <c r="B6239" t="s">
        <v>687</v>
      </c>
      <c r="C6239" t="s">
        <v>687</v>
      </c>
      <c r="D6239" t="s">
        <v>3185</v>
      </c>
      <c r="E6239" t="s">
        <v>660</v>
      </c>
      <c r="F6239" t="s">
        <v>40</v>
      </c>
      <c r="G6239">
        <v>2030</v>
      </c>
      <c r="H6239" s="12">
        <v>5852</v>
      </c>
      <c r="I6239" t="s">
        <v>3183</v>
      </c>
      <c r="J6239" t="s">
        <v>18</v>
      </c>
      <c r="K6239" t="s">
        <v>657</v>
      </c>
      <c r="L6239" t="s">
        <v>650</v>
      </c>
      <c r="M6239" t="s">
        <v>18</v>
      </c>
    </row>
    <row r="6240" spans="1:13">
      <c r="A6240" t="s">
        <v>851</v>
      </c>
      <c r="B6240" t="s">
        <v>687</v>
      </c>
      <c r="C6240" t="s">
        <v>687</v>
      </c>
      <c r="D6240" t="s">
        <v>3185</v>
      </c>
      <c r="E6240" t="s">
        <v>660</v>
      </c>
      <c r="F6240" t="s">
        <v>40</v>
      </c>
      <c r="G6240">
        <v>2035</v>
      </c>
      <c r="H6240" s="12">
        <v>8761</v>
      </c>
      <c r="I6240" t="s">
        <v>3183</v>
      </c>
      <c r="J6240" t="s">
        <v>18</v>
      </c>
      <c r="K6240" t="s">
        <v>657</v>
      </c>
      <c r="L6240" t="s">
        <v>650</v>
      </c>
      <c r="M6240" t="s">
        <v>18</v>
      </c>
    </row>
    <row r="6241" spans="1:13">
      <c r="A6241" t="s">
        <v>851</v>
      </c>
      <c r="B6241" t="s">
        <v>687</v>
      </c>
      <c r="C6241" t="s">
        <v>687</v>
      </c>
      <c r="D6241" t="s">
        <v>3185</v>
      </c>
      <c r="E6241" t="s">
        <v>660</v>
      </c>
      <c r="F6241" t="s">
        <v>40</v>
      </c>
      <c r="G6241">
        <v>2040</v>
      </c>
      <c r="H6241" s="12">
        <v>10735</v>
      </c>
      <c r="I6241" t="s">
        <v>3183</v>
      </c>
      <c r="J6241" t="s">
        <v>18</v>
      </c>
      <c r="K6241" t="s">
        <v>657</v>
      </c>
      <c r="L6241" t="s">
        <v>650</v>
      </c>
      <c r="M6241" t="s">
        <v>18</v>
      </c>
    </row>
    <row r="6242" spans="1:13">
      <c r="A6242" t="s">
        <v>851</v>
      </c>
      <c r="B6242" t="s">
        <v>687</v>
      </c>
      <c r="C6242" t="s">
        <v>687</v>
      </c>
      <c r="D6242" t="s">
        <v>3185</v>
      </c>
      <c r="E6242" t="s">
        <v>660</v>
      </c>
      <c r="F6242" t="s">
        <v>40</v>
      </c>
      <c r="G6242">
        <v>2045</v>
      </c>
      <c r="H6242" s="12">
        <v>11937</v>
      </c>
      <c r="I6242" t="s">
        <v>3183</v>
      </c>
      <c r="J6242" t="s">
        <v>18</v>
      </c>
      <c r="K6242" t="s">
        <v>657</v>
      </c>
      <c r="L6242" t="s">
        <v>650</v>
      </c>
      <c r="M6242" t="s">
        <v>18</v>
      </c>
    </row>
    <row r="6243" spans="1:13">
      <c r="A6243" t="s">
        <v>851</v>
      </c>
      <c r="B6243" t="s">
        <v>686</v>
      </c>
      <c r="C6243" t="s">
        <v>686</v>
      </c>
      <c r="D6243" t="s">
        <v>236</v>
      </c>
      <c r="E6243" t="s">
        <v>242</v>
      </c>
      <c r="F6243" t="s">
        <v>663</v>
      </c>
      <c r="G6243">
        <v>2030</v>
      </c>
      <c r="H6243" s="12">
        <v>2.25</v>
      </c>
      <c r="I6243" t="s">
        <v>3183</v>
      </c>
      <c r="J6243" t="s">
        <v>394</v>
      </c>
      <c r="K6243" t="s">
        <v>147</v>
      </c>
      <c r="L6243" t="s">
        <v>3184</v>
      </c>
      <c r="M6243" t="s">
        <v>16</v>
      </c>
    </row>
    <row r="6244" spans="1:13">
      <c r="A6244" t="s">
        <v>851</v>
      </c>
      <c r="B6244" t="s">
        <v>686</v>
      </c>
      <c r="C6244" t="s">
        <v>686</v>
      </c>
      <c r="D6244" t="s">
        <v>236</v>
      </c>
      <c r="E6244" t="s">
        <v>242</v>
      </c>
      <c r="F6244" t="s">
        <v>663</v>
      </c>
      <c r="G6244">
        <v>2035</v>
      </c>
      <c r="H6244" s="12">
        <v>2.1800000000000002</v>
      </c>
      <c r="I6244" t="s">
        <v>3183</v>
      </c>
      <c r="J6244" t="s">
        <v>394</v>
      </c>
      <c r="K6244" t="s">
        <v>147</v>
      </c>
      <c r="L6244" t="s">
        <v>3184</v>
      </c>
      <c r="M6244" t="s">
        <v>16</v>
      </c>
    </row>
    <row r="6245" spans="1:13">
      <c r="A6245" t="s">
        <v>851</v>
      </c>
      <c r="B6245" t="s">
        <v>686</v>
      </c>
      <c r="C6245" t="s">
        <v>686</v>
      </c>
      <c r="D6245" t="s">
        <v>236</v>
      </c>
      <c r="E6245" t="s">
        <v>242</v>
      </c>
      <c r="F6245" t="s">
        <v>663</v>
      </c>
      <c r="G6245">
        <v>2040</v>
      </c>
      <c r="H6245" s="12">
        <v>2.11</v>
      </c>
      <c r="I6245" t="s">
        <v>3183</v>
      </c>
      <c r="J6245" t="s">
        <v>394</v>
      </c>
      <c r="K6245" t="s">
        <v>147</v>
      </c>
      <c r="L6245" t="s">
        <v>3184</v>
      </c>
      <c r="M6245" t="s">
        <v>16</v>
      </c>
    </row>
    <row r="6246" spans="1:13">
      <c r="A6246" t="s">
        <v>851</v>
      </c>
      <c r="B6246" t="s">
        <v>686</v>
      </c>
      <c r="C6246" t="s">
        <v>686</v>
      </c>
      <c r="D6246" t="s">
        <v>236</v>
      </c>
      <c r="E6246" t="s">
        <v>242</v>
      </c>
      <c r="F6246" t="s">
        <v>663</v>
      </c>
      <c r="G6246">
        <v>2045</v>
      </c>
      <c r="H6246" s="12">
        <v>1.94</v>
      </c>
      <c r="I6246" t="s">
        <v>3183</v>
      </c>
      <c r="J6246" t="s">
        <v>394</v>
      </c>
      <c r="K6246" t="s">
        <v>147</v>
      </c>
      <c r="L6246" t="s">
        <v>3184</v>
      </c>
      <c r="M6246" t="s">
        <v>16</v>
      </c>
    </row>
    <row r="6247" spans="1:13">
      <c r="A6247" t="s">
        <v>851</v>
      </c>
      <c r="B6247" t="s">
        <v>686</v>
      </c>
      <c r="C6247" t="s">
        <v>686</v>
      </c>
      <c r="D6247" t="s">
        <v>236</v>
      </c>
      <c r="E6247" t="s">
        <v>242</v>
      </c>
      <c r="F6247" t="s">
        <v>663</v>
      </c>
      <c r="G6247">
        <v>2050</v>
      </c>
      <c r="H6247" s="12">
        <v>1.78</v>
      </c>
      <c r="I6247" t="s">
        <v>3183</v>
      </c>
      <c r="J6247" t="s">
        <v>394</v>
      </c>
      <c r="K6247" t="s">
        <v>147</v>
      </c>
      <c r="L6247" t="s">
        <v>3184</v>
      </c>
      <c r="M6247" t="s">
        <v>16</v>
      </c>
    </row>
    <row r="6248" spans="1:13">
      <c r="A6248" t="s">
        <v>851</v>
      </c>
      <c r="B6248" t="s">
        <v>687</v>
      </c>
      <c r="C6248" t="s">
        <v>687</v>
      </c>
      <c r="D6248" t="s">
        <v>236</v>
      </c>
      <c r="E6248" t="s">
        <v>242</v>
      </c>
      <c r="F6248" t="s">
        <v>663</v>
      </c>
      <c r="G6248">
        <v>2030</v>
      </c>
      <c r="H6248" s="12">
        <v>2.25</v>
      </c>
      <c r="I6248" t="s">
        <v>3183</v>
      </c>
      <c r="J6248" t="s">
        <v>394</v>
      </c>
      <c r="K6248" t="s">
        <v>147</v>
      </c>
      <c r="L6248" t="s">
        <v>3184</v>
      </c>
      <c r="M6248" t="s">
        <v>16</v>
      </c>
    </row>
    <row r="6249" spans="1:13">
      <c r="A6249" t="s">
        <v>851</v>
      </c>
      <c r="B6249" t="s">
        <v>687</v>
      </c>
      <c r="C6249" t="s">
        <v>687</v>
      </c>
      <c r="D6249" t="s">
        <v>236</v>
      </c>
      <c r="E6249" t="s">
        <v>242</v>
      </c>
      <c r="F6249" t="s">
        <v>663</v>
      </c>
      <c r="G6249">
        <v>2035</v>
      </c>
      <c r="H6249" s="12">
        <v>2.1800000000000002</v>
      </c>
      <c r="I6249" t="s">
        <v>3183</v>
      </c>
      <c r="J6249" t="s">
        <v>394</v>
      </c>
      <c r="K6249" t="s">
        <v>147</v>
      </c>
      <c r="L6249" t="s">
        <v>3184</v>
      </c>
      <c r="M6249" t="s">
        <v>16</v>
      </c>
    </row>
    <row r="6250" spans="1:13">
      <c r="A6250" t="s">
        <v>851</v>
      </c>
      <c r="B6250" t="s">
        <v>687</v>
      </c>
      <c r="C6250" t="s">
        <v>687</v>
      </c>
      <c r="D6250" t="s">
        <v>236</v>
      </c>
      <c r="E6250" t="s">
        <v>242</v>
      </c>
      <c r="F6250" t="s">
        <v>663</v>
      </c>
      <c r="G6250">
        <v>2040</v>
      </c>
      <c r="H6250" s="12">
        <v>2.11</v>
      </c>
      <c r="I6250" t="s">
        <v>3183</v>
      </c>
      <c r="J6250" t="s">
        <v>394</v>
      </c>
      <c r="K6250" t="s">
        <v>147</v>
      </c>
      <c r="L6250" t="s">
        <v>3184</v>
      </c>
      <c r="M6250" t="s">
        <v>16</v>
      </c>
    </row>
    <row r="6251" spans="1:13">
      <c r="A6251" t="s">
        <v>851</v>
      </c>
      <c r="B6251" t="s">
        <v>687</v>
      </c>
      <c r="C6251" t="s">
        <v>687</v>
      </c>
      <c r="D6251" t="s">
        <v>236</v>
      </c>
      <c r="E6251" t="s">
        <v>242</v>
      </c>
      <c r="F6251" t="s">
        <v>663</v>
      </c>
      <c r="G6251">
        <v>2045</v>
      </c>
      <c r="H6251" s="12">
        <v>1.95</v>
      </c>
      <c r="I6251" t="s">
        <v>3183</v>
      </c>
      <c r="J6251" t="s">
        <v>394</v>
      </c>
      <c r="K6251" t="s">
        <v>147</v>
      </c>
      <c r="L6251" t="s">
        <v>3184</v>
      </c>
      <c r="M6251" t="s">
        <v>16</v>
      </c>
    </row>
    <row r="6252" spans="1:13">
      <c r="A6252" t="s">
        <v>851</v>
      </c>
      <c r="B6252" t="s">
        <v>687</v>
      </c>
      <c r="C6252" t="s">
        <v>687</v>
      </c>
      <c r="D6252" t="s">
        <v>236</v>
      </c>
      <c r="E6252" t="s">
        <v>242</v>
      </c>
      <c r="F6252" t="s">
        <v>663</v>
      </c>
      <c r="G6252">
        <v>2050</v>
      </c>
      <c r="H6252" s="12">
        <v>1.77</v>
      </c>
      <c r="I6252" t="s">
        <v>3183</v>
      </c>
      <c r="J6252" t="s">
        <v>394</v>
      </c>
      <c r="K6252" t="s">
        <v>147</v>
      </c>
      <c r="L6252" t="s">
        <v>3184</v>
      </c>
      <c r="M6252" t="s">
        <v>16</v>
      </c>
    </row>
    <row r="6253" spans="1:13">
      <c r="A6253" t="s">
        <v>851</v>
      </c>
      <c r="B6253" t="s">
        <v>686</v>
      </c>
      <c r="C6253" t="s">
        <v>686</v>
      </c>
      <c r="D6253" t="s">
        <v>236</v>
      </c>
      <c r="E6253" t="s">
        <v>242</v>
      </c>
      <c r="F6253" t="s">
        <v>663</v>
      </c>
      <c r="G6253">
        <v>2010</v>
      </c>
      <c r="H6253" s="12">
        <v>16.43</v>
      </c>
      <c r="I6253" t="s">
        <v>3183</v>
      </c>
      <c r="J6253" t="s">
        <v>6</v>
      </c>
      <c r="K6253" t="s">
        <v>147</v>
      </c>
      <c r="L6253" t="s">
        <v>3184</v>
      </c>
      <c r="M6253" t="s">
        <v>659</v>
      </c>
    </row>
    <row r="6254" spans="1:13">
      <c r="A6254" t="s">
        <v>851</v>
      </c>
      <c r="B6254" t="s">
        <v>686</v>
      </c>
      <c r="C6254" t="s">
        <v>686</v>
      </c>
      <c r="D6254" t="s">
        <v>236</v>
      </c>
      <c r="E6254" t="s">
        <v>242</v>
      </c>
      <c r="F6254" t="s">
        <v>663</v>
      </c>
      <c r="G6254">
        <v>2015</v>
      </c>
      <c r="H6254" s="12">
        <v>38.549999999999997</v>
      </c>
      <c r="I6254" t="s">
        <v>3183</v>
      </c>
      <c r="J6254" t="s">
        <v>6</v>
      </c>
      <c r="K6254" t="s">
        <v>147</v>
      </c>
      <c r="L6254" t="s">
        <v>3184</v>
      </c>
      <c r="M6254" t="s">
        <v>659</v>
      </c>
    </row>
    <row r="6255" spans="1:13">
      <c r="A6255" t="s">
        <v>851</v>
      </c>
      <c r="B6255" t="s">
        <v>686</v>
      </c>
      <c r="C6255" t="s">
        <v>686</v>
      </c>
      <c r="D6255" t="s">
        <v>236</v>
      </c>
      <c r="E6255" t="s">
        <v>242</v>
      </c>
      <c r="F6255" t="s">
        <v>663</v>
      </c>
      <c r="G6255">
        <v>2020</v>
      </c>
      <c r="H6255" s="12">
        <v>25.4</v>
      </c>
      <c r="I6255" t="s">
        <v>3183</v>
      </c>
      <c r="J6255" t="s">
        <v>6</v>
      </c>
      <c r="K6255" t="s">
        <v>147</v>
      </c>
      <c r="L6255" t="s">
        <v>3184</v>
      </c>
      <c r="M6255" t="s">
        <v>659</v>
      </c>
    </row>
    <row r="6256" spans="1:13">
      <c r="A6256" t="s">
        <v>851</v>
      </c>
      <c r="B6256" t="s">
        <v>686</v>
      </c>
      <c r="C6256" t="s">
        <v>686</v>
      </c>
      <c r="D6256" t="s">
        <v>236</v>
      </c>
      <c r="E6256" t="s">
        <v>242</v>
      </c>
      <c r="F6256" t="s">
        <v>663</v>
      </c>
      <c r="G6256">
        <v>2030</v>
      </c>
      <c r="H6256" s="12">
        <v>11.15</v>
      </c>
      <c r="I6256" t="s">
        <v>3183</v>
      </c>
      <c r="J6256" t="s">
        <v>6</v>
      </c>
      <c r="K6256" t="s">
        <v>147</v>
      </c>
      <c r="L6256" t="s">
        <v>3184</v>
      </c>
      <c r="M6256" t="s">
        <v>659</v>
      </c>
    </row>
    <row r="6257" spans="1:13">
      <c r="A6257" t="s">
        <v>851</v>
      </c>
      <c r="B6257" t="s">
        <v>686</v>
      </c>
      <c r="C6257" t="s">
        <v>686</v>
      </c>
      <c r="D6257" t="s">
        <v>236</v>
      </c>
      <c r="E6257" t="s">
        <v>242</v>
      </c>
      <c r="F6257" t="s">
        <v>663</v>
      </c>
      <c r="G6257">
        <v>2035</v>
      </c>
      <c r="H6257" s="12">
        <v>11.3</v>
      </c>
      <c r="I6257" t="s">
        <v>3183</v>
      </c>
      <c r="J6257" t="s">
        <v>6</v>
      </c>
      <c r="K6257" t="s">
        <v>147</v>
      </c>
      <c r="L6257" t="s">
        <v>3184</v>
      </c>
      <c r="M6257" t="s">
        <v>659</v>
      </c>
    </row>
    <row r="6258" spans="1:13">
      <c r="A6258" t="s">
        <v>851</v>
      </c>
      <c r="B6258" t="s">
        <v>686</v>
      </c>
      <c r="C6258" t="s">
        <v>686</v>
      </c>
      <c r="D6258" t="s">
        <v>236</v>
      </c>
      <c r="E6258" t="s">
        <v>242</v>
      </c>
      <c r="F6258" t="s">
        <v>663</v>
      </c>
      <c r="G6258">
        <v>2040</v>
      </c>
      <c r="H6258" s="12">
        <v>11.28</v>
      </c>
      <c r="I6258" t="s">
        <v>3183</v>
      </c>
      <c r="J6258" t="s">
        <v>6</v>
      </c>
      <c r="K6258" t="s">
        <v>147</v>
      </c>
      <c r="L6258" t="s">
        <v>3184</v>
      </c>
      <c r="M6258" t="s">
        <v>659</v>
      </c>
    </row>
    <row r="6259" spans="1:13">
      <c r="A6259" t="s">
        <v>851</v>
      </c>
      <c r="B6259" t="s">
        <v>686</v>
      </c>
      <c r="C6259" t="s">
        <v>686</v>
      </c>
      <c r="D6259" t="s">
        <v>236</v>
      </c>
      <c r="E6259" t="s">
        <v>242</v>
      </c>
      <c r="F6259" t="s">
        <v>663</v>
      </c>
      <c r="G6259">
        <v>2045</v>
      </c>
      <c r="H6259" s="12">
        <v>10.9</v>
      </c>
      <c r="I6259" t="s">
        <v>3183</v>
      </c>
      <c r="J6259" t="s">
        <v>6</v>
      </c>
      <c r="K6259" t="s">
        <v>147</v>
      </c>
      <c r="L6259" t="s">
        <v>3184</v>
      </c>
      <c r="M6259" t="s">
        <v>659</v>
      </c>
    </row>
    <row r="6260" spans="1:13">
      <c r="A6260" t="s">
        <v>851</v>
      </c>
      <c r="B6260" t="s">
        <v>686</v>
      </c>
      <c r="C6260" t="s">
        <v>686</v>
      </c>
      <c r="D6260" t="s">
        <v>236</v>
      </c>
      <c r="E6260" t="s">
        <v>242</v>
      </c>
      <c r="F6260" t="s">
        <v>663</v>
      </c>
      <c r="G6260">
        <v>2050</v>
      </c>
      <c r="H6260" s="12">
        <v>11.5</v>
      </c>
      <c r="I6260" t="s">
        <v>3183</v>
      </c>
      <c r="J6260" t="s">
        <v>6</v>
      </c>
      <c r="K6260" t="s">
        <v>147</v>
      </c>
      <c r="L6260" t="s">
        <v>3184</v>
      </c>
      <c r="M6260" t="s">
        <v>659</v>
      </c>
    </row>
    <row r="6261" spans="1:13">
      <c r="A6261" t="s">
        <v>851</v>
      </c>
      <c r="B6261" t="s">
        <v>687</v>
      </c>
      <c r="C6261" t="s">
        <v>687</v>
      </c>
      <c r="D6261" t="s">
        <v>236</v>
      </c>
      <c r="E6261" t="s">
        <v>242</v>
      </c>
      <c r="F6261" t="s">
        <v>663</v>
      </c>
      <c r="G6261">
        <v>2030</v>
      </c>
      <c r="H6261" s="12">
        <v>8.58</v>
      </c>
      <c r="I6261" t="s">
        <v>3183</v>
      </c>
      <c r="J6261" t="s">
        <v>6</v>
      </c>
      <c r="K6261" t="s">
        <v>147</v>
      </c>
      <c r="L6261" t="s">
        <v>3184</v>
      </c>
      <c r="M6261" t="s">
        <v>659</v>
      </c>
    </row>
    <row r="6262" spans="1:13">
      <c r="A6262" t="s">
        <v>851</v>
      </c>
      <c r="B6262" t="s">
        <v>687</v>
      </c>
      <c r="C6262" t="s">
        <v>687</v>
      </c>
      <c r="D6262" t="s">
        <v>236</v>
      </c>
      <c r="E6262" t="s">
        <v>242</v>
      </c>
      <c r="F6262" t="s">
        <v>663</v>
      </c>
      <c r="G6262">
        <v>2035</v>
      </c>
      <c r="H6262" s="12">
        <v>7.23</v>
      </c>
      <c r="I6262" t="s">
        <v>3183</v>
      </c>
      <c r="J6262" t="s">
        <v>6</v>
      </c>
      <c r="K6262" t="s">
        <v>147</v>
      </c>
      <c r="L6262" t="s">
        <v>3184</v>
      </c>
      <c r="M6262" t="s">
        <v>659</v>
      </c>
    </row>
    <row r="6263" spans="1:13">
      <c r="A6263" t="s">
        <v>851</v>
      </c>
      <c r="B6263" t="s">
        <v>687</v>
      </c>
      <c r="C6263" t="s">
        <v>687</v>
      </c>
      <c r="D6263" t="s">
        <v>236</v>
      </c>
      <c r="E6263" t="s">
        <v>242</v>
      </c>
      <c r="F6263" t="s">
        <v>663</v>
      </c>
      <c r="G6263">
        <v>2040</v>
      </c>
      <c r="H6263" s="12">
        <v>5.89</v>
      </c>
      <c r="I6263" t="s">
        <v>3183</v>
      </c>
      <c r="J6263" t="s">
        <v>6</v>
      </c>
      <c r="K6263" t="s">
        <v>147</v>
      </c>
      <c r="L6263" t="s">
        <v>3184</v>
      </c>
      <c r="M6263" t="s">
        <v>659</v>
      </c>
    </row>
    <row r="6264" spans="1:13">
      <c r="A6264" t="s">
        <v>851</v>
      </c>
      <c r="B6264" t="s">
        <v>687</v>
      </c>
      <c r="C6264" t="s">
        <v>687</v>
      </c>
      <c r="D6264" t="s">
        <v>236</v>
      </c>
      <c r="E6264" t="s">
        <v>242</v>
      </c>
      <c r="F6264" t="s">
        <v>663</v>
      </c>
      <c r="G6264">
        <v>2045</v>
      </c>
      <c r="H6264" s="12">
        <v>5.64</v>
      </c>
      <c r="I6264" t="s">
        <v>3183</v>
      </c>
      <c r="J6264" t="s">
        <v>6</v>
      </c>
      <c r="K6264" t="s">
        <v>147</v>
      </c>
      <c r="L6264" t="s">
        <v>3184</v>
      </c>
      <c r="M6264" t="s">
        <v>659</v>
      </c>
    </row>
    <row r="6265" spans="1:13">
      <c r="A6265" t="s">
        <v>851</v>
      </c>
      <c r="B6265" t="s">
        <v>687</v>
      </c>
      <c r="C6265" t="s">
        <v>687</v>
      </c>
      <c r="D6265" t="s">
        <v>236</v>
      </c>
      <c r="E6265" t="s">
        <v>242</v>
      </c>
      <c r="F6265" t="s">
        <v>663</v>
      </c>
      <c r="G6265">
        <v>2050</v>
      </c>
      <c r="H6265" s="12">
        <v>4.04</v>
      </c>
      <c r="I6265" t="s">
        <v>3183</v>
      </c>
      <c r="J6265" t="s">
        <v>6</v>
      </c>
      <c r="K6265" t="s">
        <v>147</v>
      </c>
      <c r="L6265" t="s">
        <v>3184</v>
      </c>
      <c r="M6265" t="s">
        <v>659</v>
      </c>
    </row>
    <row r="6266" spans="1:13">
      <c r="A6266" t="s">
        <v>851</v>
      </c>
      <c r="B6266" t="s">
        <v>686</v>
      </c>
      <c r="C6266" t="s">
        <v>686</v>
      </c>
      <c r="D6266" t="s">
        <v>236</v>
      </c>
      <c r="E6266" t="s">
        <v>242</v>
      </c>
      <c r="F6266" t="s">
        <v>663</v>
      </c>
      <c r="G6266">
        <v>2010</v>
      </c>
      <c r="H6266" s="12">
        <v>36.159999999999997</v>
      </c>
      <c r="I6266" t="s">
        <v>3183</v>
      </c>
      <c r="J6266" t="s">
        <v>5</v>
      </c>
      <c r="K6266" t="s">
        <v>664</v>
      </c>
      <c r="L6266" t="s">
        <v>3184</v>
      </c>
      <c r="M6266" t="s">
        <v>5</v>
      </c>
    </row>
    <row r="6267" spans="1:13">
      <c r="A6267" t="s">
        <v>851</v>
      </c>
      <c r="B6267" t="s">
        <v>686</v>
      </c>
      <c r="C6267" t="s">
        <v>686</v>
      </c>
      <c r="D6267" t="s">
        <v>236</v>
      </c>
      <c r="E6267" t="s">
        <v>242</v>
      </c>
      <c r="F6267" t="s">
        <v>663</v>
      </c>
      <c r="G6267">
        <v>2015</v>
      </c>
      <c r="H6267" s="12">
        <v>33.47</v>
      </c>
      <c r="I6267" t="s">
        <v>3183</v>
      </c>
      <c r="J6267" t="s">
        <v>5</v>
      </c>
      <c r="K6267" t="s">
        <v>664</v>
      </c>
      <c r="L6267" t="s">
        <v>3184</v>
      </c>
      <c r="M6267" t="s">
        <v>5</v>
      </c>
    </row>
    <row r="6268" spans="1:13">
      <c r="A6268" t="s">
        <v>851</v>
      </c>
      <c r="B6268" t="s">
        <v>686</v>
      </c>
      <c r="C6268" t="s">
        <v>686</v>
      </c>
      <c r="D6268" t="s">
        <v>236</v>
      </c>
      <c r="E6268" t="s">
        <v>242</v>
      </c>
      <c r="F6268" t="s">
        <v>663</v>
      </c>
      <c r="G6268">
        <v>2020</v>
      </c>
      <c r="H6268" s="12">
        <v>31.5</v>
      </c>
      <c r="I6268" t="s">
        <v>3183</v>
      </c>
      <c r="J6268" t="s">
        <v>5</v>
      </c>
      <c r="K6268" t="s">
        <v>664</v>
      </c>
      <c r="L6268" t="s">
        <v>3184</v>
      </c>
      <c r="M6268" t="s">
        <v>5</v>
      </c>
    </row>
    <row r="6269" spans="1:13">
      <c r="A6269" t="s">
        <v>851</v>
      </c>
      <c r="B6269" t="s">
        <v>686</v>
      </c>
      <c r="C6269" t="s">
        <v>686</v>
      </c>
      <c r="D6269" t="s">
        <v>236</v>
      </c>
      <c r="E6269" t="s">
        <v>242</v>
      </c>
      <c r="F6269" t="s">
        <v>663</v>
      </c>
      <c r="G6269">
        <v>2030</v>
      </c>
      <c r="H6269" s="12">
        <v>40.54</v>
      </c>
      <c r="I6269" t="s">
        <v>3183</v>
      </c>
      <c r="J6269" t="s">
        <v>5</v>
      </c>
      <c r="K6269" t="s">
        <v>664</v>
      </c>
      <c r="L6269" t="s">
        <v>3184</v>
      </c>
      <c r="M6269" t="s">
        <v>5</v>
      </c>
    </row>
    <row r="6270" spans="1:13">
      <c r="A6270" t="s">
        <v>851</v>
      </c>
      <c r="B6270" t="s">
        <v>686</v>
      </c>
      <c r="C6270" t="s">
        <v>686</v>
      </c>
      <c r="D6270" t="s">
        <v>236</v>
      </c>
      <c r="E6270" t="s">
        <v>242</v>
      </c>
      <c r="F6270" t="s">
        <v>663</v>
      </c>
      <c r="G6270">
        <v>2035</v>
      </c>
      <c r="H6270" s="12">
        <v>44.67</v>
      </c>
      <c r="I6270" t="s">
        <v>3183</v>
      </c>
      <c r="J6270" t="s">
        <v>5</v>
      </c>
      <c r="K6270" t="s">
        <v>664</v>
      </c>
      <c r="L6270" t="s">
        <v>3184</v>
      </c>
      <c r="M6270" t="s">
        <v>5</v>
      </c>
    </row>
    <row r="6271" spans="1:13">
      <c r="A6271" t="s">
        <v>851</v>
      </c>
      <c r="B6271" t="s">
        <v>686</v>
      </c>
      <c r="C6271" t="s">
        <v>686</v>
      </c>
      <c r="D6271" t="s">
        <v>236</v>
      </c>
      <c r="E6271" t="s">
        <v>242</v>
      </c>
      <c r="F6271" t="s">
        <v>663</v>
      </c>
      <c r="G6271">
        <v>2040</v>
      </c>
      <c r="H6271" s="12">
        <v>47.87</v>
      </c>
      <c r="I6271" t="s">
        <v>3183</v>
      </c>
      <c r="J6271" t="s">
        <v>5</v>
      </c>
      <c r="K6271" t="s">
        <v>664</v>
      </c>
      <c r="L6271" t="s">
        <v>3184</v>
      </c>
      <c r="M6271" t="s">
        <v>5</v>
      </c>
    </row>
    <row r="6272" spans="1:13">
      <c r="A6272" t="s">
        <v>851</v>
      </c>
      <c r="B6272" t="s">
        <v>686</v>
      </c>
      <c r="C6272" t="s">
        <v>686</v>
      </c>
      <c r="D6272" t="s">
        <v>236</v>
      </c>
      <c r="E6272" t="s">
        <v>242</v>
      </c>
      <c r="F6272" t="s">
        <v>663</v>
      </c>
      <c r="G6272">
        <v>2045</v>
      </c>
      <c r="H6272" s="12">
        <v>50.22</v>
      </c>
      <c r="I6272" t="s">
        <v>3183</v>
      </c>
      <c r="J6272" t="s">
        <v>5</v>
      </c>
      <c r="K6272" t="s">
        <v>664</v>
      </c>
      <c r="L6272" t="s">
        <v>3184</v>
      </c>
      <c r="M6272" t="s">
        <v>5</v>
      </c>
    </row>
    <row r="6273" spans="1:13">
      <c r="A6273" t="s">
        <v>851</v>
      </c>
      <c r="B6273" t="s">
        <v>686</v>
      </c>
      <c r="C6273" t="s">
        <v>686</v>
      </c>
      <c r="D6273" t="s">
        <v>236</v>
      </c>
      <c r="E6273" t="s">
        <v>242</v>
      </c>
      <c r="F6273" t="s">
        <v>663</v>
      </c>
      <c r="G6273">
        <v>2050</v>
      </c>
      <c r="H6273" s="12">
        <v>52.45</v>
      </c>
      <c r="I6273" t="s">
        <v>3183</v>
      </c>
      <c r="J6273" t="s">
        <v>5</v>
      </c>
      <c r="K6273" t="s">
        <v>664</v>
      </c>
      <c r="L6273" t="s">
        <v>3184</v>
      </c>
      <c r="M6273" t="s">
        <v>5</v>
      </c>
    </row>
    <row r="6274" spans="1:13">
      <c r="A6274" t="s">
        <v>851</v>
      </c>
      <c r="B6274" t="s">
        <v>687</v>
      </c>
      <c r="C6274" t="s">
        <v>687</v>
      </c>
      <c r="D6274" t="s">
        <v>236</v>
      </c>
      <c r="E6274" t="s">
        <v>242</v>
      </c>
      <c r="F6274" t="s">
        <v>663</v>
      </c>
      <c r="G6274">
        <v>2030</v>
      </c>
      <c r="H6274" s="12">
        <v>31.05</v>
      </c>
      <c r="I6274" t="s">
        <v>3183</v>
      </c>
      <c r="J6274" t="s">
        <v>5</v>
      </c>
      <c r="K6274" t="s">
        <v>664</v>
      </c>
      <c r="L6274" t="s">
        <v>3184</v>
      </c>
      <c r="M6274" t="s">
        <v>5</v>
      </c>
    </row>
    <row r="6275" spans="1:13">
      <c r="A6275" t="s">
        <v>851</v>
      </c>
      <c r="B6275" t="s">
        <v>687</v>
      </c>
      <c r="C6275" t="s">
        <v>687</v>
      </c>
      <c r="D6275" t="s">
        <v>236</v>
      </c>
      <c r="E6275" t="s">
        <v>242</v>
      </c>
      <c r="F6275" t="s">
        <v>663</v>
      </c>
      <c r="G6275">
        <v>2035</v>
      </c>
      <c r="H6275" s="12">
        <v>27.19</v>
      </c>
      <c r="I6275" t="s">
        <v>3183</v>
      </c>
      <c r="J6275" t="s">
        <v>5</v>
      </c>
      <c r="K6275" t="s">
        <v>664</v>
      </c>
      <c r="L6275" t="s">
        <v>3184</v>
      </c>
      <c r="M6275" t="s">
        <v>5</v>
      </c>
    </row>
    <row r="6276" spans="1:13">
      <c r="A6276" t="s">
        <v>851</v>
      </c>
      <c r="B6276" t="s">
        <v>687</v>
      </c>
      <c r="C6276" t="s">
        <v>687</v>
      </c>
      <c r="D6276" t="s">
        <v>236</v>
      </c>
      <c r="E6276" t="s">
        <v>242</v>
      </c>
      <c r="F6276" t="s">
        <v>663</v>
      </c>
      <c r="G6276">
        <v>2040</v>
      </c>
      <c r="H6276" s="12">
        <v>23.21</v>
      </c>
      <c r="I6276" t="s">
        <v>3183</v>
      </c>
      <c r="J6276" t="s">
        <v>5</v>
      </c>
      <c r="K6276" t="s">
        <v>664</v>
      </c>
      <c r="L6276" t="s">
        <v>3184</v>
      </c>
      <c r="M6276" t="s">
        <v>5</v>
      </c>
    </row>
    <row r="6277" spans="1:13">
      <c r="A6277" t="s">
        <v>851</v>
      </c>
      <c r="B6277" t="s">
        <v>687</v>
      </c>
      <c r="C6277" t="s">
        <v>687</v>
      </c>
      <c r="D6277" t="s">
        <v>236</v>
      </c>
      <c r="E6277" t="s">
        <v>242</v>
      </c>
      <c r="F6277" t="s">
        <v>663</v>
      </c>
      <c r="G6277">
        <v>2045</v>
      </c>
      <c r="H6277" s="12">
        <v>18.190000000000001</v>
      </c>
      <c r="I6277" t="s">
        <v>3183</v>
      </c>
      <c r="J6277" t="s">
        <v>5</v>
      </c>
      <c r="K6277" t="s">
        <v>664</v>
      </c>
      <c r="L6277" t="s">
        <v>3184</v>
      </c>
      <c r="M6277" t="s">
        <v>5</v>
      </c>
    </row>
    <row r="6278" spans="1:13">
      <c r="A6278" t="s">
        <v>851</v>
      </c>
      <c r="B6278" t="s">
        <v>687</v>
      </c>
      <c r="C6278" t="s">
        <v>687</v>
      </c>
      <c r="D6278" t="s">
        <v>236</v>
      </c>
      <c r="E6278" t="s">
        <v>242</v>
      </c>
      <c r="F6278" t="s">
        <v>663</v>
      </c>
      <c r="G6278">
        <v>2050</v>
      </c>
      <c r="H6278" s="12">
        <v>14.54</v>
      </c>
      <c r="I6278" t="s">
        <v>3183</v>
      </c>
      <c r="J6278" t="s">
        <v>5</v>
      </c>
      <c r="K6278" t="s">
        <v>664</v>
      </c>
      <c r="L6278" t="s">
        <v>3184</v>
      </c>
      <c r="M6278" t="s">
        <v>5</v>
      </c>
    </row>
    <row r="6279" spans="1:13">
      <c r="A6279" t="s">
        <v>851</v>
      </c>
      <c r="B6279" t="s">
        <v>686</v>
      </c>
      <c r="C6279" t="s">
        <v>686</v>
      </c>
      <c r="D6279" t="s">
        <v>236</v>
      </c>
      <c r="E6279" t="s">
        <v>242</v>
      </c>
      <c r="F6279" t="s">
        <v>663</v>
      </c>
      <c r="G6279">
        <v>2010</v>
      </c>
      <c r="H6279" s="12">
        <v>240.09</v>
      </c>
      <c r="I6279" t="s">
        <v>3183</v>
      </c>
      <c r="J6279" t="s">
        <v>394</v>
      </c>
      <c r="K6279" t="s">
        <v>664</v>
      </c>
      <c r="L6279" t="s">
        <v>3184</v>
      </c>
      <c r="M6279" t="s">
        <v>16</v>
      </c>
    </row>
    <row r="6280" spans="1:13">
      <c r="A6280" t="s">
        <v>851</v>
      </c>
      <c r="B6280" t="s">
        <v>686</v>
      </c>
      <c r="C6280" t="s">
        <v>686</v>
      </c>
      <c r="D6280" t="s">
        <v>236</v>
      </c>
      <c r="E6280" t="s">
        <v>242</v>
      </c>
      <c r="F6280" t="s">
        <v>663</v>
      </c>
      <c r="G6280">
        <v>2015</v>
      </c>
      <c r="H6280" s="12">
        <v>271.31</v>
      </c>
      <c r="I6280" t="s">
        <v>3183</v>
      </c>
      <c r="J6280" t="s">
        <v>394</v>
      </c>
      <c r="K6280" t="s">
        <v>664</v>
      </c>
      <c r="L6280" t="s">
        <v>3184</v>
      </c>
      <c r="M6280" t="s">
        <v>16</v>
      </c>
    </row>
    <row r="6281" spans="1:13">
      <c r="A6281" t="s">
        <v>851</v>
      </c>
      <c r="B6281" t="s">
        <v>686</v>
      </c>
      <c r="C6281" t="s">
        <v>686</v>
      </c>
      <c r="D6281" t="s">
        <v>236</v>
      </c>
      <c r="E6281" t="s">
        <v>242</v>
      </c>
      <c r="F6281" t="s">
        <v>663</v>
      </c>
      <c r="G6281">
        <v>2020</v>
      </c>
      <c r="H6281" s="12">
        <v>246.66</v>
      </c>
      <c r="I6281" t="s">
        <v>3183</v>
      </c>
      <c r="J6281" t="s">
        <v>394</v>
      </c>
      <c r="K6281" t="s">
        <v>664</v>
      </c>
      <c r="L6281" t="s">
        <v>3184</v>
      </c>
      <c r="M6281" t="s">
        <v>16</v>
      </c>
    </row>
    <row r="6282" spans="1:13">
      <c r="A6282" t="s">
        <v>851</v>
      </c>
      <c r="B6282" t="s">
        <v>686</v>
      </c>
      <c r="C6282" t="s">
        <v>686</v>
      </c>
      <c r="D6282" t="s">
        <v>236</v>
      </c>
      <c r="E6282" t="s">
        <v>242</v>
      </c>
      <c r="F6282" t="s">
        <v>663</v>
      </c>
      <c r="G6282">
        <v>2030</v>
      </c>
      <c r="H6282" s="12">
        <v>276.16000000000003</v>
      </c>
      <c r="I6282" t="s">
        <v>3183</v>
      </c>
      <c r="J6282" t="s">
        <v>394</v>
      </c>
      <c r="K6282" t="s">
        <v>664</v>
      </c>
      <c r="L6282" t="s">
        <v>3184</v>
      </c>
      <c r="M6282" t="s">
        <v>16</v>
      </c>
    </row>
    <row r="6283" spans="1:13">
      <c r="A6283" t="s">
        <v>851</v>
      </c>
      <c r="B6283" t="s">
        <v>686</v>
      </c>
      <c r="C6283" t="s">
        <v>686</v>
      </c>
      <c r="D6283" t="s">
        <v>236</v>
      </c>
      <c r="E6283" t="s">
        <v>242</v>
      </c>
      <c r="F6283" t="s">
        <v>663</v>
      </c>
      <c r="G6283">
        <v>2035</v>
      </c>
      <c r="H6283" s="12">
        <v>292.37</v>
      </c>
      <c r="I6283" t="s">
        <v>3183</v>
      </c>
      <c r="J6283" t="s">
        <v>394</v>
      </c>
      <c r="K6283" t="s">
        <v>664</v>
      </c>
      <c r="L6283" t="s">
        <v>3184</v>
      </c>
      <c r="M6283" t="s">
        <v>16</v>
      </c>
    </row>
    <row r="6284" spans="1:13">
      <c r="A6284" t="s">
        <v>851</v>
      </c>
      <c r="B6284" t="s">
        <v>686</v>
      </c>
      <c r="C6284" t="s">
        <v>686</v>
      </c>
      <c r="D6284" t="s">
        <v>236</v>
      </c>
      <c r="E6284" t="s">
        <v>242</v>
      </c>
      <c r="F6284" t="s">
        <v>663</v>
      </c>
      <c r="G6284">
        <v>2040</v>
      </c>
      <c r="H6284" s="12">
        <v>298.26</v>
      </c>
      <c r="I6284" t="s">
        <v>3183</v>
      </c>
      <c r="J6284" t="s">
        <v>394</v>
      </c>
      <c r="K6284" t="s">
        <v>664</v>
      </c>
      <c r="L6284" t="s">
        <v>3184</v>
      </c>
      <c r="M6284" t="s">
        <v>16</v>
      </c>
    </row>
    <row r="6285" spans="1:13">
      <c r="A6285" t="s">
        <v>851</v>
      </c>
      <c r="B6285" t="s">
        <v>686</v>
      </c>
      <c r="C6285" t="s">
        <v>686</v>
      </c>
      <c r="D6285" t="s">
        <v>236</v>
      </c>
      <c r="E6285" t="s">
        <v>242</v>
      </c>
      <c r="F6285" t="s">
        <v>663</v>
      </c>
      <c r="G6285">
        <v>2045</v>
      </c>
      <c r="H6285" s="12">
        <v>295.93</v>
      </c>
      <c r="I6285" t="s">
        <v>3183</v>
      </c>
      <c r="J6285" t="s">
        <v>394</v>
      </c>
      <c r="K6285" t="s">
        <v>664</v>
      </c>
      <c r="L6285" t="s">
        <v>3184</v>
      </c>
      <c r="M6285" t="s">
        <v>16</v>
      </c>
    </row>
    <row r="6286" spans="1:13">
      <c r="A6286" t="s">
        <v>851</v>
      </c>
      <c r="B6286" t="s">
        <v>686</v>
      </c>
      <c r="C6286" t="s">
        <v>686</v>
      </c>
      <c r="D6286" t="s">
        <v>236</v>
      </c>
      <c r="E6286" t="s">
        <v>242</v>
      </c>
      <c r="F6286" t="s">
        <v>663</v>
      </c>
      <c r="G6286">
        <v>2050</v>
      </c>
      <c r="H6286" s="12">
        <v>287.37</v>
      </c>
      <c r="I6286" t="s">
        <v>3183</v>
      </c>
      <c r="J6286" t="s">
        <v>394</v>
      </c>
      <c r="K6286" t="s">
        <v>664</v>
      </c>
      <c r="L6286" t="s">
        <v>3184</v>
      </c>
      <c r="M6286" t="s">
        <v>16</v>
      </c>
    </row>
    <row r="6287" spans="1:13">
      <c r="A6287" t="s">
        <v>851</v>
      </c>
      <c r="B6287" t="s">
        <v>687</v>
      </c>
      <c r="C6287" t="s">
        <v>687</v>
      </c>
      <c r="D6287" t="s">
        <v>236</v>
      </c>
      <c r="E6287" t="s">
        <v>242</v>
      </c>
      <c r="F6287" t="s">
        <v>663</v>
      </c>
      <c r="G6287">
        <v>2030</v>
      </c>
      <c r="H6287" s="12">
        <v>226.44</v>
      </c>
      <c r="I6287" t="s">
        <v>3183</v>
      </c>
      <c r="J6287" t="s">
        <v>394</v>
      </c>
      <c r="K6287" t="s">
        <v>664</v>
      </c>
      <c r="L6287" t="s">
        <v>3184</v>
      </c>
      <c r="M6287" t="s">
        <v>16</v>
      </c>
    </row>
    <row r="6288" spans="1:13">
      <c r="A6288" t="s">
        <v>851</v>
      </c>
      <c r="B6288" t="s">
        <v>687</v>
      </c>
      <c r="C6288" t="s">
        <v>687</v>
      </c>
      <c r="D6288" t="s">
        <v>236</v>
      </c>
      <c r="E6288" t="s">
        <v>242</v>
      </c>
      <c r="F6288" t="s">
        <v>663</v>
      </c>
      <c r="G6288">
        <v>2035</v>
      </c>
      <c r="H6288" s="12">
        <v>189.55</v>
      </c>
      <c r="I6288" t="s">
        <v>3183</v>
      </c>
      <c r="J6288" t="s">
        <v>394</v>
      </c>
      <c r="K6288" t="s">
        <v>664</v>
      </c>
      <c r="L6288" t="s">
        <v>3184</v>
      </c>
      <c r="M6288" t="s">
        <v>16</v>
      </c>
    </row>
    <row r="6289" spans="1:13">
      <c r="A6289" t="s">
        <v>851</v>
      </c>
      <c r="B6289" t="s">
        <v>687</v>
      </c>
      <c r="C6289" t="s">
        <v>687</v>
      </c>
      <c r="D6289" t="s">
        <v>236</v>
      </c>
      <c r="E6289" t="s">
        <v>242</v>
      </c>
      <c r="F6289" t="s">
        <v>663</v>
      </c>
      <c r="G6289">
        <v>2040</v>
      </c>
      <c r="H6289" s="12">
        <v>153.16</v>
      </c>
      <c r="I6289" t="s">
        <v>3183</v>
      </c>
      <c r="J6289" t="s">
        <v>394</v>
      </c>
      <c r="K6289" t="s">
        <v>664</v>
      </c>
      <c r="L6289" t="s">
        <v>3184</v>
      </c>
      <c r="M6289" t="s">
        <v>16</v>
      </c>
    </row>
    <row r="6290" spans="1:13">
      <c r="A6290" t="s">
        <v>851</v>
      </c>
      <c r="B6290" t="s">
        <v>687</v>
      </c>
      <c r="C6290" t="s">
        <v>687</v>
      </c>
      <c r="D6290" t="s">
        <v>236</v>
      </c>
      <c r="E6290" t="s">
        <v>242</v>
      </c>
      <c r="F6290" t="s">
        <v>663</v>
      </c>
      <c r="G6290">
        <v>2045</v>
      </c>
      <c r="H6290" s="12">
        <v>128.85</v>
      </c>
      <c r="I6290" t="s">
        <v>3183</v>
      </c>
      <c r="J6290" t="s">
        <v>394</v>
      </c>
      <c r="K6290" t="s">
        <v>664</v>
      </c>
      <c r="L6290" t="s">
        <v>3184</v>
      </c>
      <c r="M6290" t="s">
        <v>16</v>
      </c>
    </row>
    <row r="6291" spans="1:13">
      <c r="A6291" t="s">
        <v>851</v>
      </c>
      <c r="B6291" t="s">
        <v>687</v>
      </c>
      <c r="C6291" t="s">
        <v>687</v>
      </c>
      <c r="D6291" t="s">
        <v>236</v>
      </c>
      <c r="E6291" t="s">
        <v>242</v>
      </c>
      <c r="F6291" t="s">
        <v>663</v>
      </c>
      <c r="G6291">
        <v>2050</v>
      </c>
      <c r="H6291" s="12">
        <v>104.32</v>
      </c>
      <c r="I6291" t="s">
        <v>3183</v>
      </c>
      <c r="J6291" t="s">
        <v>394</v>
      </c>
      <c r="K6291" t="s">
        <v>664</v>
      </c>
      <c r="L6291" t="s">
        <v>3184</v>
      </c>
      <c r="M6291" t="s">
        <v>16</v>
      </c>
    </row>
    <row r="6292" spans="1:13">
      <c r="A6292" t="s">
        <v>851</v>
      </c>
      <c r="B6292" t="s">
        <v>686</v>
      </c>
      <c r="C6292" t="s">
        <v>686</v>
      </c>
      <c r="D6292" t="s">
        <v>236</v>
      </c>
      <c r="E6292" t="s">
        <v>242</v>
      </c>
      <c r="F6292" t="s">
        <v>663</v>
      </c>
      <c r="G6292">
        <v>2010</v>
      </c>
      <c r="H6292" s="12">
        <v>28.27</v>
      </c>
      <c r="I6292" t="s">
        <v>3183</v>
      </c>
      <c r="J6292" t="s">
        <v>6</v>
      </c>
      <c r="K6292" t="s">
        <v>664</v>
      </c>
      <c r="L6292" t="s">
        <v>3184</v>
      </c>
      <c r="M6292" t="s">
        <v>659</v>
      </c>
    </row>
    <row r="6293" spans="1:13">
      <c r="A6293" t="s">
        <v>851</v>
      </c>
      <c r="B6293" t="s">
        <v>686</v>
      </c>
      <c r="C6293" t="s">
        <v>686</v>
      </c>
      <c r="D6293" t="s">
        <v>236</v>
      </c>
      <c r="E6293" t="s">
        <v>242</v>
      </c>
      <c r="F6293" t="s">
        <v>663</v>
      </c>
      <c r="G6293">
        <v>2015</v>
      </c>
      <c r="H6293" s="12">
        <v>29.94</v>
      </c>
      <c r="I6293" t="s">
        <v>3183</v>
      </c>
      <c r="J6293" t="s">
        <v>6</v>
      </c>
      <c r="K6293" t="s">
        <v>664</v>
      </c>
      <c r="L6293" t="s">
        <v>3184</v>
      </c>
      <c r="M6293" t="s">
        <v>659</v>
      </c>
    </row>
    <row r="6294" spans="1:13">
      <c r="A6294" t="s">
        <v>851</v>
      </c>
      <c r="B6294" t="s">
        <v>686</v>
      </c>
      <c r="C6294" t="s">
        <v>686</v>
      </c>
      <c r="D6294" t="s">
        <v>236</v>
      </c>
      <c r="E6294" t="s">
        <v>242</v>
      </c>
      <c r="F6294" t="s">
        <v>663</v>
      </c>
      <c r="G6294">
        <v>2020</v>
      </c>
      <c r="H6294" s="12">
        <v>24.77</v>
      </c>
      <c r="I6294" t="s">
        <v>3183</v>
      </c>
      <c r="J6294" t="s">
        <v>6</v>
      </c>
      <c r="K6294" t="s">
        <v>664</v>
      </c>
      <c r="L6294" t="s">
        <v>3184</v>
      </c>
      <c r="M6294" t="s">
        <v>659</v>
      </c>
    </row>
    <row r="6295" spans="1:13">
      <c r="A6295" t="s">
        <v>851</v>
      </c>
      <c r="B6295" t="s">
        <v>686</v>
      </c>
      <c r="C6295" t="s">
        <v>686</v>
      </c>
      <c r="D6295" t="s">
        <v>236</v>
      </c>
      <c r="E6295" t="s">
        <v>242</v>
      </c>
      <c r="F6295" t="s">
        <v>663</v>
      </c>
      <c r="G6295">
        <v>2030</v>
      </c>
      <c r="H6295" s="12">
        <v>31.96</v>
      </c>
      <c r="I6295" t="s">
        <v>3183</v>
      </c>
      <c r="J6295" t="s">
        <v>6</v>
      </c>
      <c r="K6295" t="s">
        <v>664</v>
      </c>
      <c r="L6295" t="s">
        <v>3184</v>
      </c>
      <c r="M6295" t="s">
        <v>659</v>
      </c>
    </row>
    <row r="6296" spans="1:13">
      <c r="A6296" t="s">
        <v>851</v>
      </c>
      <c r="B6296" t="s">
        <v>686</v>
      </c>
      <c r="C6296" t="s">
        <v>686</v>
      </c>
      <c r="D6296" t="s">
        <v>236</v>
      </c>
      <c r="E6296" t="s">
        <v>242</v>
      </c>
      <c r="F6296" t="s">
        <v>663</v>
      </c>
      <c r="G6296">
        <v>2035</v>
      </c>
      <c r="H6296" s="12">
        <v>34.17</v>
      </c>
      <c r="I6296" t="s">
        <v>3183</v>
      </c>
      <c r="J6296" t="s">
        <v>6</v>
      </c>
      <c r="K6296" t="s">
        <v>664</v>
      </c>
      <c r="L6296" t="s">
        <v>3184</v>
      </c>
      <c r="M6296" t="s">
        <v>659</v>
      </c>
    </row>
    <row r="6297" spans="1:13">
      <c r="A6297" t="s">
        <v>851</v>
      </c>
      <c r="B6297" t="s">
        <v>686</v>
      </c>
      <c r="C6297" t="s">
        <v>686</v>
      </c>
      <c r="D6297" t="s">
        <v>236</v>
      </c>
      <c r="E6297" t="s">
        <v>242</v>
      </c>
      <c r="F6297" t="s">
        <v>663</v>
      </c>
      <c r="G6297">
        <v>2040</v>
      </c>
      <c r="H6297" s="12">
        <v>34.69</v>
      </c>
      <c r="I6297" t="s">
        <v>3183</v>
      </c>
      <c r="J6297" t="s">
        <v>6</v>
      </c>
      <c r="K6297" t="s">
        <v>664</v>
      </c>
      <c r="L6297" t="s">
        <v>3184</v>
      </c>
      <c r="M6297" t="s">
        <v>659</v>
      </c>
    </row>
    <row r="6298" spans="1:13">
      <c r="A6298" t="s">
        <v>851</v>
      </c>
      <c r="B6298" t="s">
        <v>686</v>
      </c>
      <c r="C6298" t="s">
        <v>686</v>
      </c>
      <c r="D6298" t="s">
        <v>236</v>
      </c>
      <c r="E6298" t="s">
        <v>242</v>
      </c>
      <c r="F6298" t="s">
        <v>663</v>
      </c>
      <c r="G6298">
        <v>2045</v>
      </c>
      <c r="H6298" s="12">
        <v>34.1</v>
      </c>
      <c r="I6298" t="s">
        <v>3183</v>
      </c>
      <c r="J6298" t="s">
        <v>6</v>
      </c>
      <c r="K6298" t="s">
        <v>664</v>
      </c>
      <c r="L6298" t="s">
        <v>3184</v>
      </c>
      <c r="M6298" t="s">
        <v>659</v>
      </c>
    </row>
    <row r="6299" spans="1:13">
      <c r="A6299" t="s">
        <v>851</v>
      </c>
      <c r="B6299" t="s">
        <v>686</v>
      </c>
      <c r="C6299" t="s">
        <v>686</v>
      </c>
      <c r="D6299" t="s">
        <v>236</v>
      </c>
      <c r="E6299" t="s">
        <v>242</v>
      </c>
      <c r="F6299" t="s">
        <v>663</v>
      </c>
      <c r="G6299">
        <v>2050</v>
      </c>
      <c r="H6299" s="12">
        <v>32.35</v>
      </c>
      <c r="I6299" t="s">
        <v>3183</v>
      </c>
      <c r="J6299" t="s">
        <v>6</v>
      </c>
      <c r="K6299" t="s">
        <v>664</v>
      </c>
      <c r="L6299" t="s">
        <v>3184</v>
      </c>
      <c r="M6299" t="s">
        <v>659</v>
      </c>
    </row>
    <row r="6300" spans="1:13">
      <c r="A6300" t="s">
        <v>851</v>
      </c>
      <c r="B6300" t="s">
        <v>687</v>
      </c>
      <c r="C6300" t="s">
        <v>687</v>
      </c>
      <c r="D6300" t="s">
        <v>236</v>
      </c>
      <c r="E6300" t="s">
        <v>242</v>
      </c>
      <c r="F6300" t="s">
        <v>663</v>
      </c>
      <c r="G6300">
        <v>2030</v>
      </c>
      <c r="H6300" s="12">
        <v>24.23</v>
      </c>
      <c r="I6300" t="s">
        <v>3183</v>
      </c>
      <c r="J6300" t="s">
        <v>6</v>
      </c>
      <c r="K6300" t="s">
        <v>664</v>
      </c>
      <c r="L6300" t="s">
        <v>3184</v>
      </c>
      <c r="M6300" t="s">
        <v>659</v>
      </c>
    </row>
    <row r="6301" spans="1:13">
      <c r="A6301" t="s">
        <v>851</v>
      </c>
      <c r="B6301" t="s">
        <v>687</v>
      </c>
      <c r="C6301" t="s">
        <v>687</v>
      </c>
      <c r="D6301" t="s">
        <v>236</v>
      </c>
      <c r="E6301" t="s">
        <v>242</v>
      </c>
      <c r="F6301" t="s">
        <v>663</v>
      </c>
      <c r="G6301">
        <v>2035</v>
      </c>
      <c r="H6301" s="12">
        <v>21.05</v>
      </c>
      <c r="I6301" t="s">
        <v>3183</v>
      </c>
      <c r="J6301" t="s">
        <v>6</v>
      </c>
      <c r="K6301" t="s">
        <v>664</v>
      </c>
      <c r="L6301" t="s">
        <v>3184</v>
      </c>
      <c r="M6301" t="s">
        <v>659</v>
      </c>
    </row>
    <row r="6302" spans="1:13">
      <c r="A6302" t="s">
        <v>851</v>
      </c>
      <c r="B6302" t="s">
        <v>687</v>
      </c>
      <c r="C6302" t="s">
        <v>687</v>
      </c>
      <c r="D6302" t="s">
        <v>236</v>
      </c>
      <c r="E6302" t="s">
        <v>242</v>
      </c>
      <c r="F6302" t="s">
        <v>663</v>
      </c>
      <c r="G6302">
        <v>2040</v>
      </c>
      <c r="H6302" s="12">
        <v>17.690000000000001</v>
      </c>
      <c r="I6302" t="s">
        <v>3183</v>
      </c>
      <c r="J6302" t="s">
        <v>6</v>
      </c>
      <c r="K6302" t="s">
        <v>664</v>
      </c>
      <c r="L6302" t="s">
        <v>3184</v>
      </c>
      <c r="M6302" t="s">
        <v>659</v>
      </c>
    </row>
    <row r="6303" spans="1:13">
      <c r="A6303" t="s">
        <v>851</v>
      </c>
      <c r="B6303" t="s">
        <v>687</v>
      </c>
      <c r="C6303" t="s">
        <v>687</v>
      </c>
      <c r="D6303" t="s">
        <v>236</v>
      </c>
      <c r="E6303" t="s">
        <v>242</v>
      </c>
      <c r="F6303" t="s">
        <v>663</v>
      </c>
      <c r="G6303">
        <v>2045</v>
      </c>
      <c r="H6303" s="12">
        <v>14.02</v>
      </c>
      <c r="I6303" t="s">
        <v>3183</v>
      </c>
      <c r="J6303" t="s">
        <v>6</v>
      </c>
      <c r="K6303" t="s">
        <v>664</v>
      </c>
      <c r="L6303" t="s">
        <v>3184</v>
      </c>
      <c r="M6303" t="s">
        <v>659</v>
      </c>
    </row>
    <row r="6304" spans="1:13">
      <c r="A6304" t="s">
        <v>851</v>
      </c>
      <c r="B6304" t="s">
        <v>687</v>
      </c>
      <c r="C6304" t="s">
        <v>687</v>
      </c>
      <c r="D6304" t="s">
        <v>236</v>
      </c>
      <c r="E6304" t="s">
        <v>242</v>
      </c>
      <c r="F6304" t="s">
        <v>663</v>
      </c>
      <c r="G6304">
        <v>2050</v>
      </c>
      <c r="H6304" s="12">
        <v>10.79</v>
      </c>
      <c r="I6304" t="s">
        <v>3183</v>
      </c>
      <c r="J6304" t="s">
        <v>6</v>
      </c>
      <c r="K6304" t="s">
        <v>664</v>
      </c>
      <c r="L6304" t="s">
        <v>3184</v>
      </c>
      <c r="M6304" t="s">
        <v>659</v>
      </c>
    </row>
    <row r="6305" spans="1:13">
      <c r="A6305" t="s">
        <v>851</v>
      </c>
      <c r="B6305" t="s">
        <v>687</v>
      </c>
      <c r="C6305" t="s">
        <v>687</v>
      </c>
      <c r="D6305" t="s">
        <v>236</v>
      </c>
      <c r="E6305" t="s">
        <v>656</v>
      </c>
      <c r="F6305" t="s">
        <v>31</v>
      </c>
      <c r="G6305">
        <v>2050</v>
      </c>
      <c r="H6305" s="12">
        <v>35.950000000000003</v>
      </c>
      <c r="I6305" t="s">
        <v>3183</v>
      </c>
      <c r="J6305" t="s">
        <v>484</v>
      </c>
      <c r="K6305" t="s">
        <v>147</v>
      </c>
      <c r="L6305" t="s">
        <v>3184</v>
      </c>
      <c r="M6305" t="s">
        <v>667</v>
      </c>
    </row>
    <row r="6306" spans="1:13">
      <c r="A6306" t="s">
        <v>851</v>
      </c>
      <c r="B6306" t="s">
        <v>686</v>
      </c>
      <c r="C6306" t="s">
        <v>686</v>
      </c>
      <c r="D6306" t="s">
        <v>236</v>
      </c>
      <c r="E6306" t="s">
        <v>242</v>
      </c>
      <c r="F6306" t="s">
        <v>663</v>
      </c>
      <c r="G6306">
        <v>2010</v>
      </c>
      <c r="H6306" s="12">
        <v>17.87</v>
      </c>
      <c r="I6306" t="s">
        <v>3183</v>
      </c>
      <c r="J6306" t="s">
        <v>5</v>
      </c>
      <c r="K6306" t="s">
        <v>147</v>
      </c>
      <c r="L6306" t="s">
        <v>3184</v>
      </c>
      <c r="M6306" t="s">
        <v>5</v>
      </c>
    </row>
    <row r="6307" spans="1:13">
      <c r="A6307" t="s">
        <v>851</v>
      </c>
      <c r="B6307" t="s">
        <v>686</v>
      </c>
      <c r="C6307" t="s">
        <v>686</v>
      </c>
      <c r="D6307" t="s">
        <v>236</v>
      </c>
      <c r="E6307" t="s">
        <v>242</v>
      </c>
      <c r="F6307" t="s">
        <v>663</v>
      </c>
      <c r="G6307">
        <v>2015</v>
      </c>
      <c r="H6307" s="12">
        <v>34.4</v>
      </c>
      <c r="I6307" t="s">
        <v>3183</v>
      </c>
      <c r="J6307" t="s">
        <v>5</v>
      </c>
      <c r="K6307" t="s">
        <v>147</v>
      </c>
      <c r="L6307" t="s">
        <v>3184</v>
      </c>
      <c r="M6307" t="s">
        <v>5</v>
      </c>
    </row>
    <row r="6308" spans="1:13">
      <c r="A6308" t="s">
        <v>851</v>
      </c>
      <c r="B6308" t="s">
        <v>686</v>
      </c>
      <c r="C6308" t="s">
        <v>686</v>
      </c>
      <c r="D6308" t="s">
        <v>236</v>
      </c>
      <c r="E6308" t="s">
        <v>242</v>
      </c>
      <c r="F6308" t="s">
        <v>663</v>
      </c>
      <c r="G6308">
        <v>2020</v>
      </c>
      <c r="H6308" s="12">
        <v>23.78</v>
      </c>
      <c r="I6308" t="s">
        <v>3183</v>
      </c>
      <c r="J6308" t="s">
        <v>5</v>
      </c>
      <c r="K6308" t="s">
        <v>147</v>
      </c>
      <c r="L6308" t="s">
        <v>3184</v>
      </c>
      <c r="M6308" t="s">
        <v>5</v>
      </c>
    </row>
    <row r="6309" spans="1:13">
      <c r="A6309" t="s">
        <v>851</v>
      </c>
      <c r="B6309" t="s">
        <v>686</v>
      </c>
      <c r="C6309" t="s">
        <v>686</v>
      </c>
      <c r="D6309" t="s">
        <v>236</v>
      </c>
      <c r="E6309" t="s">
        <v>242</v>
      </c>
      <c r="F6309" t="s">
        <v>663</v>
      </c>
      <c r="G6309">
        <v>2030</v>
      </c>
      <c r="H6309" s="12">
        <v>13.66</v>
      </c>
      <c r="I6309" t="s">
        <v>3183</v>
      </c>
      <c r="J6309" t="s">
        <v>5</v>
      </c>
      <c r="K6309" t="s">
        <v>147</v>
      </c>
      <c r="L6309" t="s">
        <v>3184</v>
      </c>
      <c r="M6309" t="s">
        <v>5</v>
      </c>
    </row>
    <row r="6310" spans="1:13">
      <c r="A6310" t="s">
        <v>851</v>
      </c>
      <c r="B6310" t="s">
        <v>686</v>
      </c>
      <c r="C6310" t="s">
        <v>686</v>
      </c>
      <c r="D6310" t="s">
        <v>236</v>
      </c>
      <c r="E6310" t="s">
        <v>242</v>
      </c>
      <c r="F6310" t="s">
        <v>663</v>
      </c>
      <c r="G6310">
        <v>2035</v>
      </c>
      <c r="H6310" s="12">
        <v>12.98</v>
      </c>
      <c r="I6310" t="s">
        <v>3183</v>
      </c>
      <c r="J6310" t="s">
        <v>5</v>
      </c>
      <c r="K6310" t="s">
        <v>147</v>
      </c>
      <c r="L6310" t="s">
        <v>3184</v>
      </c>
      <c r="M6310" t="s">
        <v>5</v>
      </c>
    </row>
    <row r="6311" spans="1:13">
      <c r="A6311" t="s">
        <v>851</v>
      </c>
      <c r="B6311" t="s">
        <v>686</v>
      </c>
      <c r="C6311" t="s">
        <v>686</v>
      </c>
      <c r="D6311" t="s">
        <v>236</v>
      </c>
      <c r="E6311" t="s">
        <v>242</v>
      </c>
      <c r="F6311" t="s">
        <v>663</v>
      </c>
      <c r="G6311">
        <v>2040</v>
      </c>
      <c r="H6311" s="12">
        <v>12.34</v>
      </c>
      <c r="I6311" t="s">
        <v>3183</v>
      </c>
      <c r="J6311" t="s">
        <v>5</v>
      </c>
      <c r="K6311" t="s">
        <v>147</v>
      </c>
      <c r="L6311" t="s">
        <v>3184</v>
      </c>
      <c r="M6311" t="s">
        <v>5</v>
      </c>
    </row>
    <row r="6312" spans="1:13">
      <c r="A6312" t="s">
        <v>851</v>
      </c>
      <c r="B6312" t="s">
        <v>686</v>
      </c>
      <c r="C6312" t="s">
        <v>686</v>
      </c>
      <c r="D6312" t="s">
        <v>236</v>
      </c>
      <c r="E6312" t="s">
        <v>242</v>
      </c>
      <c r="F6312" t="s">
        <v>663</v>
      </c>
      <c r="G6312">
        <v>2045</v>
      </c>
      <c r="H6312" s="12">
        <v>12.02</v>
      </c>
      <c r="I6312" t="s">
        <v>3183</v>
      </c>
      <c r="J6312" t="s">
        <v>5</v>
      </c>
      <c r="K6312" t="s">
        <v>147</v>
      </c>
      <c r="L6312" t="s">
        <v>3184</v>
      </c>
      <c r="M6312" t="s">
        <v>5</v>
      </c>
    </row>
    <row r="6313" spans="1:13">
      <c r="A6313" t="s">
        <v>851</v>
      </c>
      <c r="B6313" t="s">
        <v>686</v>
      </c>
      <c r="C6313" t="s">
        <v>686</v>
      </c>
      <c r="D6313" t="s">
        <v>236</v>
      </c>
      <c r="E6313" t="s">
        <v>242</v>
      </c>
      <c r="F6313" t="s">
        <v>663</v>
      </c>
      <c r="G6313">
        <v>2050</v>
      </c>
      <c r="H6313" s="12">
        <v>10.59</v>
      </c>
      <c r="I6313" t="s">
        <v>3183</v>
      </c>
      <c r="J6313" t="s">
        <v>5</v>
      </c>
      <c r="K6313" t="s">
        <v>147</v>
      </c>
      <c r="L6313" t="s">
        <v>3184</v>
      </c>
      <c r="M6313" t="s">
        <v>5</v>
      </c>
    </row>
    <row r="6314" spans="1:13">
      <c r="A6314" t="s">
        <v>851</v>
      </c>
      <c r="B6314" t="s">
        <v>687</v>
      </c>
      <c r="C6314" t="s">
        <v>687</v>
      </c>
      <c r="D6314" t="s">
        <v>236</v>
      </c>
      <c r="E6314" t="s">
        <v>242</v>
      </c>
      <c r="F6314" t="s">
        <v>663</v>
      </c>
      <c r="G6314">
        <v>2030</v>
      </c>
      <c r="H6314" s="12">
        <v>1.76</v>
      </c>
      <c r="I6314" t="s">
        <v>3183</v>
      </c>
      <c r="J6314" t="s">
        <v>5</v>
      </c>
      <c r="K6314" t="s">
        <v>147</v>
      </c>
      <c r="L6314" t="s">
        <v>3184</v>
      </c>
      <c r="M6314" t="s">
        <v>5</v>
      </c>
    </row>
    <row r="6315" spans="1:13">
      <c r="A6315" t="s">
        <v>851</v>
      </c>
      <c r="B6315" t="s">
        <v>687</v>
      </c>
      <c r="C6315" t="s">
        <v>687</v>
      </c>
      <c r="D6315" t="s">
        <v>236</v>
      </c>
      <c r="E6315" t="s">
        <v>242</v>
      </c>
      <c r="F6315" t="s">
        <v>663</v>
      </c>
      <c r="G6315">
        <v>2035</v>
      </c>
      <c r="H6315" s="12">
        <v>0</v>
      </c>
      <c r="I6315" t="s">
        <v>3183</v>
      </c>
      <c r="J6315" t="s">
        <v>5</v>
      </c>
      <c r="K6315" t="s">
        <v>147</v>
      </c>
      <c r="L6315" t="s">
        <v>3184</v>
      </c>
      <c r="M6315" t="s">
        <v>5</v>
      </c>
    </row>
    <row r="6316" spans="1:13">
      <c r="A6316" t="s">
        <v>851</v>
      </c>
      <c r="B6316" t="s">
        <v>687</v>
      </c>
      <c r="C6316" t="s">
        <v>687</v>
      </c>
      <c r="D6316" t="s">
        <v>236</v>
      </c>
      <c r="E6316" t="s">
        <v>242</v>
      </c>
      <c r="F6316" t="s">
        <v>663</v>
      </c>
      <c r="G6316">
        <v>2040</v>
      </c>
      <c r="H6316" s="12">
        <v>0</v>
      </c>
      <c r="I6316" t="s">
        <v>3183</v>
      </c>
      <c r="J6316" t="s">
        <v>5</v>
      </c>
      <c r="K6316" t="s">
        <v>147</v>
      </c>
      <c r="L6316" t="s">
        <v>3184</v>
      </c>
      <c r="M6316" t="s">
        <v>5</v>
      </c>
    </row>
    <row r="6317" spans="1:13">
      <c r="A6317" t="s">
        <v>851</v>
      </c>
      <c r="B6317" t="s">
        <v>687</v>
      </c>
      <c r="C6317" t="s">
        <v>687</v>
      </c>
      <c r="D6317" t="s">
        <v>236</v>
      </c>
      <c r="E6317" t="s">
        <v>242</v>
      </c>
      <c r="F6317" t="s">
        <v>663</v>
      </c>
      <c r="G6317">
        <v>2045</v>
      </c>
      <c r="H6317" s="12">
        <v>0</v>
      </c>
      <c r="I6317" t="s">
        <v>3183</v>
      </c>
      <c r="J6317" t="s">
        <v>5</v>
      </c>
      <c r="K6317" t="s">
        <v>147</v>
      </c>
      <c r="L6317" t="s">
        <v>3184</v>
      </c>
      <c r="M6317" t="s">
        <v>5</v>
      </c>
    </row>
    <row r="6318" spans="1:13">
      <c r="A6318" t="s">
        <v>851</v>
      </c>
      <c r="B6318" t="s">
        <v>687</v>
      </c>
      <c r="C6318" t="s">
        <v>687</v>
      </c>
      <c r="D6318" t="s">
        <v>236</v>
      </c>
      <c r="E6318" t="s">
        <v>242</v>
      </c>
      <c r="F6318" t="s">
        <v>663</v>
      </c>
      <c r="G6318">
        <v>2050</v>
      </c>
      <c r="H6318" s="12">
        <v>0</v>
      </c>
      <c r="I6318" t="s">
        <v>3183</v>
      </c>
      <c r="J6318" t="s">
        <v>5</v>
      </c>
      <c r="K6318" t="s">
        <v>147</v>
      </c>
      <c r="L6318" t="s">
        <v>3184</v>
      </c>
      <c r="M6318" t="s">
        <v>5</v>
      </c>
    </row>
    <row r="6319" spans="1:13">
      <c r="A6319" t="s">
        <v>851</v>
      </c>
      <c r="B6319" t="s">
        <v>686</v>
      </c>
      <c r="C6319" t="s">
        <v>686</v>
      </c>
      <c r="D6319" t="s">
        <v>236</v>
      </c>
      <c r="E6319" t="s">
        <v>242</v>
      </c>
      <c r="F6319" t="s">
        <v>663</v>
      </c>
      <c r="G6319">
        <v>2010</v>
      </c>
      <c r="H6319" s="12">
        <v>11.53</v>
      </c>
      <c r="I6319" t="s">
        <v>3183</v>
      </c>
      <c r="J6319" t="s">
        <v>394</v>
      </c>
      <c r="K6319" t="s">
        <v>147</v>
      </c>
      <c r="L6319" t="s">
        <v>3184</v>
      </c>
      <c r="M6319" t="s">
        <v>16</v>
      </c>
    </row>
    <row r="6320" spans="1:13">
      <c r="A6320" t="s">
        <v>851</v>
      </c>
      <c r="B6320" t="s">
        <v>686</v>
      </c>
      <c r="C6320" t="s">
        <v>686</v>
      </c>
      <c r="D6320" t="s">
        <v>236</v>
      </c>
      <c r="E6320" t="s">
        <v>242</v>
      </c>
      <c r="F6320" t="s">
        <v>663</v>
      </c>
      <c r="G6320">
        <v>2015</v>
      </c>
      <c r="H6320" s="12">
        <v>19.66</v>
      </c>
      <c r="I6320" t="s">
        <v>3183</v>
      </c>
      <c r="J6320" t="s">
        <v>394</v>
      </c>
      <c r="K6320" t="s">
        <v>147</v>
      </c>
      <c r="L6320" t="s">
        <v>3184</v>
      </c>
      <c r="M6320" t="s">
        <v>16</v>
      </c>
    </row>
    <row r="6321" spans="1:13">
      <c r="A6321" t="s">
        <v>851</v>
      </c>
      <c r="B6321" t="s">
        <v>686</v>
      </c>
      <c r="C6321" t="s">
        <v>686</v>
      </c>
      <c r="D6321" t="s">
        <v>236</v>
      </c>
      <c r="E6321" t="s">
        <v>242</v>
      </c>
      <c r="F6321" t="s">
        <v>663</v>
      </c>
      <c r="G6321">
        <v>2020</v>
      </c>
      <c r="H6321" s="12">
        <v>6.99</v>
      </c>
      <c r="I6321" t="s">
        <v>3183</v>
      </c>
      <c r="J6321" t="s">
        <v>394</v>
      </c>
      <c r="K6321" t="s">
        <v>147</v>
      </c>
      <c r="L6321" t="s">
        <v>3184</v>
      </c>
      <c r="M6321" t="s">
        <v>16</v>
      </c>
    </row>
    <row r="6322" spans="1:13">
      <c r="A6322" t="s">
        <v>851</v>
      </c>
      <c r="B6322" t="s">
        <v>686</v>
      </c>
      <c r="C6322" t="s">
        <v>686</v>
      </c>
      <c r="D6322" t="s">
        <v>236</v>
      </c>
      <c r="E6322" t="s">
        <v>656</v>
      </c>
      <c r="F6322" t="s">
        <v>31</v>
      </c>
      <c r="G6322">
        <v>2030</v>
      </c>
      <c r="H6322" s="12">
        <v>19.07</v>
      </c>
      <c r="I6322" t="s">
        <v>3183</v>
      </c>
      <c r="J6322" t="s">
        <v>41</v>
      </c>
      <c r="K6322" t="s">
        <v>147</v>
      </c>
      <c r="L6322" t="s">
        <v>3184</v>
      </c>
      <c r="M6322" t="s">
        <v>669</v>
      </c>
    </row>
    <row r="6323" spans="1:13">
      <c r="A6323" t="s">
        <v>851</v>
      </c>
      <c r="B6323" t="s">
        <v>686</v>
      </c>
      <c r="C6323" t="s">
        <v>686</v>
      </c>
      <c r="D6323" t="s">
        <v>236</v>
      </c>
      <c r="E6323" t="s">
        <v>656</v>
      </c>
      <c r="F6323" t="s">
        <v>31</v>
      </c>
      <c r="G6323">
        <v>2035</v>
      </c>
      <c r="H6323" s="12">
        <v>20.059999999999999</v>
      </c>
      <c r="I6323" t="s">
        <v>3183</v>
      </c>
      <c r="J6323" t="s">
        <v>41</v>
      </c>
      <c r="K6323" t="s">
        <v>147</v>
      </c>
      <c r="L6323" t="s">
        <v>3184</v>
      </c>
      <c r="M6323" t="s">
        <v>669</v>
      </c>
    </row>
    <row r="6324" spans="1:13">
      <c r="A6324" t="s">
        <v>851</v>
      </c>
      <c r="B6324" t="s">
        <v>686</v>
      </c>
      <c r="C6324" t="s">
        <v>686</v>
      </c>
      <c r="D6324" t="s">
        <v>236</v>
      </c>
      <c r="E6324" t="s">
        <v>656</v>
      </c>
      <c r="F6324" t="s">
        <v>31</v>
      </c>
      <c r="G6324">
        <v>2040</v>
      </c>
      <c r="H6324" s="12">
        <v>21.37</v>
      </c>
      <c r="I6324" t="s">
        <v>3183</v>
      </c>
      <c r="J6324" t="s">
        <v>41</v>
      </c>
      <c r="K6324" t="s">
        <v>147</v>
      </c>
      <c r="L6324" t="s">
        <v>3184</v>
      </c>
      <c r="M6324" t="s">
        <v>669</v>
      </c>
    </row>
    <row r="6325" spans="1:13">
      <c r="A6325" t="s">
        <v>851</v>
      </c>
      <c r="B6325" t="s">
        <v>686</v>
      </c>
      <c r="C6325" t="s">
        <v>686</v>
      </c>
      <c r="D6325" t="s">
        <v>236</v>
      </c>
      <c r="E6325" t="s">
        <v>656</v>
      </c>
      <c r="F6325" t="s">
        <v>31</v>
      </c>
      <c r="G6325">
        <v>2045</v>
      </c>
      <c r="H6325" s="12">
        <v>23.77</v>
      </c>
      <c r="I6325" t="s">
        <v>3183</v>
      </c>
      <c r="J6325" t="s">
        <v>41</v>
      </c>
      <c r="K6325" t="s">
        <v>147</v>
      </c>
      <c r="L6325" t="s">
        <v>3184</v>
      </c>
      <c r="M6325" t="s">
        <v>669</v>
      </c>
    </row>
    <row r="6326" spans="1:13">
      <c r="A6326" t="s">
        <v>851</v>
      </c>
      <c r="B6326" t="s">
        <v>686</v>
      </c>
      <c r="C6326" t="s">
        <v>686</v>
      </c>
      <c r="D6326" t="s">
        <v>236</v>
      </c>
      <c r="E6326" t="s">
        <v>656</v>
      </c>
      <c r="F6326" t="s">
        <v>31</v>
      </c>
      <c r="G6326">
        <v>2050</v>
      </c>
      <c r="H6326" s="12">
        <v>26.28</v>
      </c>
      <c r="I6326" t="s">
        <v>3183</v>
      </c>
      <c r="J6326" t="s">
        <v>41</v>
      </c>
      <c r="K6326" t="s">
        <v>147</v>
      </c>
      <c r="L6326" t="s">
        <v>3184</v>
      </c>
      <c r="M6326" t="s">
        <v>669</v>
      </c>
    </row>
    <row r="6327" spans="1:13">
      <c r="A6327" t="s">
        <v>851</v>
      </c>
      <c r="B6327" t="s">
        <v>687</v>
      </c>
      <c r="C6327" t="s">
        <v>687</v>
      </c>
      <c r="D6327" t="s">
        <v>236</v>
      </c>
      <c r="E6327" t="s">
        <v>656</v>
      </c>
      <c r="F6327" t="s">
        <v>31</v>
      </c>
      <c r="G6327">
        <v>2030</v>
      </c>
      <c r="H6327" s="12">
        <v>29.66</v>
      </c>
      <c r="I6327" t="s">
        <v>3183</v>
      </c>
      <c r="J6327" t="s">
        <v>41</v>
      </c>
      <c r="K6327" t="s">
        <v>147</v>
      </c>
      <c r="L6327" t="s">
        <v>3184</v>
      </c>
      <c r="M6327" t="s">
        <v>669</v>
      </c>
    </row>
    <row r="6328" spans="1:13">
      <c r="A6328" t="s">
        <v>851</v>
      </c>
      <c r="B6328" t="s">
        <v>687</v>
      </c>
      <c r="C6328" t="s">
        <v>687</v>
      </c>
      <c r="D6328" t="s">
        <v>236</v>
      </c>
      <c r="E6328" t="s">
        <v>656</v>
      </c>
      <c r="F6328" t="s">
        <v>31</v>
      </c>
      <c r="G6328">
        <v>2035</v>
      </c>
      <c r="H6328" s="12">
        <v>32.369999999999997</v>
      </c>
      <c r="I6328" t="s">
        <v>3183</v>
      </c>
      <c r="J6328" t="s">
        <v>41</v>
      </c>
      <c r="K6328" t="s">
        <v>147</v>
      </c>
      <c r="L6328" t="s">
        <v>3184</v>
      </c>
      <c r="M6328" t="s">
        <v>669</v>
      </c>
    </row>
    <row r="6329" spans="1:13">
      <c r="A6329" t="s">
        <v>851</v>
      </c>
      <c r="B6329" t="s">
        <v>687</v>
      </c>
      <c r="C6329" t="s">
        <v>687</v>
      </c>
      <c r="D6329" t="s">
        <v>236</v>
      </c>
      <c r="E6329" t="s">
        <v>656</v>
      </c>
      <c r="F6329" t="s">
        <v>31</v>
      </c>
      <c r="G6329">
        <v>2040</v>
      </c>
      <c r="H6329" s="12">
        <v>35.049999999999997</v>
      </c>
      <c r="I6329" t="s">
        <v>3183</v>
      </c>
      <c r="J6329" t="s">
        <v>41</v>
      </c>
      <c r="K6329" t="s">
        <v>147</v>
      </c>
      <c r="L6329" t="s">
        <v>3184</v>
      </c>
      <c r="M6329" t="s">
        <v>669</v>
      </c>
    </row>
    <row r="6330" spans="1:13">
      <c r="A6330" t="s">
        <v>851</v>
      </c>
      <c r="B6330" t="s">
        <v>687</v>
      </c>
      <c r="C6330" t="s">
        <v>687</v>
      </c>
      <c r="D6330" t="s">
        <v>236</v>
      </c>
      <c r="E6330" t="s">
        <v>656</v>
      </c>
      <c r="F6330" t="s">
        <v>31</v>
      </c>
      <c r="G6330">
        <v>2045</v>
      </c>
      <c r="H6330" s="12">
        <v>38.89</v>
      </c>
      <c r="I6330" t="s">
        <v>3183</v>
      </c>
      <c r="J6330" t="s">
        <v>41</v>
      </c>
      <c r="K6330" t="s">
        <v>147</v>
      </c>
      <c r="L6330" t="s">
        <v>3184</v>
      </c>
      <c r="M6330" t="s">
        <v>669</v>
      </c>
    </row>
    <row r="6331" spans="1:13">
      <c r="A6331" t="s">
        <v>851</v>
      </c>
      <c r="B6331" t="s">
        <v>687</v>
      </c>
      <c r="C6331" t="s">
        <v>687</v>
      </c>
      <c r="D6331" t="s">
        <v>236</v>
      </c>
      <c r="E6331" t="s">
        <v>656</v>
      </c>
      <c r="F6331" t="s">
        <v>31</v>
      </c>
      <c r="G6331">
        <v>2050</v>
      </c>
      <c r="H6331" s="12">
        <v>44.82</v>
      </c>
      <c r="I6331" t="s">
        <v>3183</v>
      </c>
      <c r="J6331" t="s">
        <v>41</v>
      </c>
      <c r="K6331" t="s">
        <v>147</v>
      </c>
      <c r="L6331" t="s">
        <v>3184</v>
      </c>
      <c r="M6331" t="s">
        <v>669</v>
      </c>
    </row>
    <row r="6332" spans="1:13">
      <c r="A6332" t="s">
        <v>851</v>
      </c>
      <c r="B6332" t="s">
        <v>686</v>
      </c>
      <c r="C6332" t="s">
        <v>686</v>
      </c>
      <c r="D6332" t="s">
        <v>236</v>
      </c>
      <c r="E6332" t="s">
        <v>656</v>
      </c>
      <c r="F6332" t="s">
        <v>31</v>
      </c>
      <c r="G6332">
        <v>2010</v>
      </c>
      <c r="H6332" s="12">
        <v>1.99</v>
      </c>
      <c r="I6332" t="s">
        <v>3183</v>
      </c>
      <c r="J6332" t="s">
        <v>15</v>
      </c>
      <c r="K6332" t="s">
        <v>147</v>
      </c>
      <c r="L6332" t="s">
        <v>3184</v>
      </c>
      <c r="M6332" t="s">
        <v>15</v>
      </c>
    </row>
    <row r="6333" spans="1:13">
      <c r="A6333" t="s">
        <v>851</v>
      </c>
      <c r="B6333" t="s">
        <v>686</v>
      </c>
      <c r="C6333" t="s">
        <v>686</v>
      </c>
      <c r="D6333" t="s">
        <v>236</v>
      </c>
      <c r="E6333" t="s">
        <v>656</v>
      </c>
      <c r="F6333" t="s">
        <v>31</v>
      </c>
      <c r="G6333">
        <v>2015</v>
      </c>
      <c r="H6333" s="12">
        <v>1.99</v>
      </c>
      <c r="I6333" t="s">
        <v>3183</v>
      </c>
      <c r="J6333" t="s">
        <v>15</v>
      </c>
      <c r="K6333" t="s">
        <v>147</v>
      </c>
      <c r="L6333" t="s">
        <v>3184</v>
      </c>
      <c r="M6333" t="s">
        <v>15</v>
      </c>
    </row>
    <row r="6334" spans="1:13">
      <c r="A6334" t="s">
        <v>851</v>
      </c>
      <c r="B6334" t="s">
        <v>686</v>
      </c>
      <c r="C6334" t="s">
        <v>686</v>
      </c>
      <c r="D6334" t="s">
        <v>236</v>
      </c>
      <c r="E6334" t="s">
        <v>656</v>
      </c>
      <c r="F6334" t="s">
        <v>31</v>
      </c>
      <c r="G6334">
        <v>2020</v>
      </c>
      <c r="H6334" s="12">
        <v>1.99</v>
      </c>
      <c r="I6334" t="s">
        <v>3183</v>
      </c>
      <c r="J6334" t="s">
        <v>15</v>
      </c>
      <c r="K6334" t="s">
        <v>147</v>
      </c>
      <c r="L6334" t="s">
        <v>3184</v>
      </c>
      <c r="M6334" t="s">
        <v>15</v>
      </c>
    </row>
    <row r="6335" spans="1:13">
      <c r="A6335" t="s">
        <v>851</v>
      </c>
      <c r="B6335" t="s">
        <v>686</v>
      </c>
      <c r="C6335" t="s">
        <v>686</v>
      </c>
      <c r="D6335" t="s">
        <v>236</v>
      </c>
      <c r="E6335" t="s">
        <v>656</v>
      </c>
      <c r="F6335" t="s">
        <v>31</v>
      </c>
      <c r="G6335">
        <v>2030</v>
      </c>
      <c r="H6335" s="12">
        <v>3.4</v>
      </c>
      <c r="I6335" t="s">
        <v>3183</v>
      </c>
      <c r="J6335" t="s">
        <v>15</v>
      </c>
      <c r="K6335" t="s">
        <v>147</v>
      </c>
      <c r="L6335" t="s">
        <v>3184</v>
      </c>
      <c r="M6335" t="s">
        <v>15</v>
      </c>
    </row>
    <row r="6336" spans="1:13">
      <c r="A6336" t="s">
        <v>851</v>
      </c>
      <c r="B6336" t="s">
        <v>686</v>
      </c>
      <c r="C6336" t="s">
        <v>686</v>
      </c>
      <c r="D6336" t="s">
        <v>236</v>
      </c>
      <c r="E6336" t="s">
        <v>656</v>
      </c>
      <c r="F6336" t="s">
        <v>31</v>
      </c>
      <c r="G6336">
        <v>2035</v>
      </c>
      <c r="H6336" s="12">
        <v>5.42</v>
      </c>
      <c r="I6336" t="s">
        <v>3183</v>
      </c>
      <c r="J6336" t="s">
        <v>15</v>
      </c>
      <c r="K6336" t="s">
        <v>147</v>
      </c>
      <c r="L6336" t="s">
        <v>3184</v>
      </c>
      <c r="M6336" t="s">
        <v>15</v>
      </c>
    </row>
    <row r="6337" spans="1:13">
      <c r="A6337" t="s">
        <v>851</v>
      </c>
      <c r="B6337" t="s">
        <v>686</v>
      </c>
      <c r="C6337" t="s">
        <v>686</v>
      </c>
      <c r="D6337" t="s">
        <v>236</v>
      </c>
      <c r="E6337" t="s">
        <v>656</v>
      </c>
      <c r="F6337" t="s">
        <v>31</v>
      </c>
      <c r="G6337">
        <v>2040</v>
      </c>
      <c r="H6337" s="12">
        <v>6.09</v>
      </c>
      <c r="I6337" t="s">
        <v>3183</v>
      </c>
      <c r="J6337" t="s">
        <v>15</v>
      </c>
      <c r="K6337" t="s">
        <v>147</v>
      </c>
      <c r="L6337" t="s">
        <v>3184</v>
      </c>
      <c r="M6337" t="s">
        <v>15</v>
      </c>
    </row>
    <row r="6338" spans="1:13">
      <c r="A6338" t="s">
        <v>851</v>
      </c>
      <c r="B6338" t="s">
        <v>686</v>
      </c>
      <c r="C6338" t="s">
        <v>686</v>
      </c>
      <c r="D6338" t="s">
        <v>236</v>
      </c>
      <c r="E6338" t="s">
        <v>656</v>
      </c>
      <c r="F6338" t="s">
        <v>31</v>
      </c>
      <c r="G6338">
        <v>2045</v>
      </c>
      <c r="H6338" s="12">
        <v>6.09</v>
      </c>
      <c r="I6338" t="s">
        <v>3183</v>
      </c>
      <c r="J6338" t="s">
        <v>15</v>
      </c>
      <c r="K6338" t="s">
        <v>147</v>
      </c>
      <c r="L6338" t="s">
        <v>3184</v>
      </c>
      <c r="M6338" t="s">
        <v>15</v>
      </c>
    </row>
    <row r="6339" spans="1:13">
      <c r="A6339" t="s">
        <v>851</v>
      </c>
      <c r="B6339" t="s">
        <v>686</v>
      </c>
      <c r="C6339" t="s">
        <v>686</v>
      </c>
      <c r="D6339" t="s">
        <v>236</v>
      </c>
      <c r="E6339" t="s">
        <v>656</v>
      </c>
      <c r="F6339" t="s">
        <v>31</v>
      </c>
      <c r="G6339">
        <v>2050</v>
      </c>
      <c r="H6339" s="12">
        <v>6.09</v>
      </c>
      <c r="I6339" t="s">
        <v>3183</v>
      </c>
      <c r="J6339" t="s">
        <v>15</v>
      </c>
      <c r="K6339" t="s">
        <v>147</v>
      </c>
      <c r="L6339" t="s">
        <v>3184</v>
      </c>
      <c r="M6339" t="s">
        <v>15</v>
      </c>
    </row>
    <row r="6340" spans="1:13">
      <c r="A6340" t="s">
        <v>851</v>
      </c>
      <c r="B6340" t="s">
        <v>687</v>
      </c>
      <c r="C6340" t="s">
        <v>687</v>
      </c>
      <c r="D6340" t="s">
        <v>236</v>
      </c>
      <c r="E6340" t="s">
        <v>656</v>
      </c>
      <c r="F6340" t="s">
        <v>31</v>
      </c>
      <c r="G6340">
        <v>2030</v>
      </c>
      <c r="H6340" s="12">
        <v>3.4</v>
      </c>
      <c r="I6340" t="s">
        <v>3183</v>
      </c>
      <c r="J6340" t="s">
        <v>15</v>
      </c>
      <c r="K6340" t="s">
        <v>147</v>
      </c>
      <c r="L6340" t="s">
        <v>3184</v>
      </c>
      <c r="M6340" t="s">
        <v>15</v>
      </c>
    </row>
    <row r="6341" spans="1:13">
      <c r="A6341" t="s">
        <v>851</v>
      </c>
      <c r="B6341" t="s">
        <v>687</v>
      </c>
      <c r="C6341" t="s">
        <v>687</v>
      </c>
      <c r="D6341" t="s">
        <v>236</v>
      </c>
      <c r="E6341" t="s">
        <v>656</v>
      </c>
      <c r="F6341" t="s">
        <v>31</v>
      </c>
      <c r="G6341">
        <v>2035</v>
      </c>
      <c r="H6341" s="12">
        <v>5.42</v>
      </c>
      <c r="I6341" t="s">
        <v>3183</v>
      </c>
      <c r="J6341" t="s">
        <v>15</v>
      </c>
      <c r="K6341" t="s">
        <v>147</v>
      </c>
      <c r="L6341" t="s">
        <v>3184</v>
      </c>
      <c r="M6341" t="s">
        <v>15</v>
      </c>
    </row>
    <row r="6342" spans="1:13">
      <c r="A6342" t="s">
        <v>851</v>
      </c>
      <c r="B6342" t="s">
        <v>687</v>
      </c>
      <c r="C6342" t="s">
        <v>687</v>
      </c>
      <c r="D6342" t="s">
        <v>236</v>
      </c>
      <c r="E6342" t="s">
        <v>656</v>
      </c>
      <c r="F6342" t="s">
        <v>31</v>
      </c>
      <c r="G6342">
        <v>2040</v>
      </c>
      <c r="H6342" s="12">
        <v>6.09</v>
      </c>
      <c r="I6342" t="s">
        <v>3183</v>
      </c>
      <c r="J6342" t="s">
        <v>15</v>
      </c>
      <c r="K6342" t="s">
        <v>147</v>
      </c>
      <c r="L6342" t="s">
        <v>3184</v>
      </c>
      <c r="M6342" t="s">
        <v>15</v>
      </c>
    </row>
    <row r="6343" spans="1:13">
      <c r="A6343" t="s">
        <v>851</v>
      </c>
      <c r="B6343" t="s">
        <v>687</v>
      </c>
      <c r="C6343" t="s">
        <v>687</v>
      </c>
      <c r="D6343" t="s">
        <v>236</v>
      </c>
      <c r="E6343" t="s">
        <v>656</v>
      </c>
      <c r="F6343" t="s">
        <v>31</v>
      </c>
      <c r="G6343">
        <v>2045</v>
      </c>
      <c r="H6343" s="12">
        <v>6.09</v>
      </c>
      <c r="I6343" t="s">
        <v>3183</v>
      </c>
      <c r="J6343" t="s">
        <v>15</v>
      </c>
      <c r="K6343" t="s">
        <v>147</v>
      </c>
      <c r="L6343" t="s">
        <v>3184</v>
      </c>
      <c r="M6343" t="s">
        <v>15</v>
      </c>
    </row>
    <row r="6344" spans="1:13">
      <c r="A6344" t="s">
        <v>851</v>
      </c>
      <c r="B6344" t="s">
        <v>687</v>
      </c>
      <c r="C6344" t="s">
        <v>687</v>
      </c>
      <c r="D6344" t="s">
        <v>236</v>
      </c>
      <c r="E6344" t="s">
        <v>656</v>
      </c>
      <c r="F6344" t="s">
        <v>31</v>
      </c>
      <c r="G6344">
        <v>2050</v>
      </c>
      <c r="H6344" s="12">
        <v>6.09</v>
      </c>
      <c r="I6344" t="s">
        <v>3183</v>
      </c>
      <c r="J6344" t="s">
        <v>15</v>
      </c>
      <c r="K6344" t="s">
        <v>147</v>
      </c>
      <c r="L6344" t="s">
        <v>3184</v>
      </c>
      <c r="M6344" t="s">
        <v>15</v>
      </c>
    </row>
    <row r="6345" spans="1:13">
      <c r="A6345" t="s">
        <v>851</v>
      </c>
      <c r="B6345" t="s">
        <v>686</v>
      </c>
      <c r="C6345" t="s">
        <v>686</v>
      </c>
      <c r="D6345" t="s">
        <v>236</v>
      </c>
      <c r="E6345" t="s">
        <v>656</v>
      </c>
      <c r="F6345" t="s">
        <v>31</v>
      </c>
      <c r="G6345">
        <v>2010</v>
      </c>
      <c r="H6345" s="12">
        <v>0</v>
      </c>
      <c r="I6345" t="s">
        <v>3183</v>
      </c>
      <c r="J6345" t="s">
        <v>8</v>
      </c>
      <c r="K6345" t="s">
        <v>147</v>
      </c>
      <c r="L6345" t="s">
        <v>3184</v>
      </c>
      <c r="M6345" t="s">
        <v>670</v>
      </c>
    </row>
    <row r="6346" spans="1:13">
      <c r="A6346" t="s">
        <v>851</v>
      </c>
      <c r="B6346" t="s">
        <v>686</v>
      </c>
      <c r="C6346" t="s">
        <v>686</v>
      </c>
      <c r="D6346" t="s">
        <v>236</v>
      </c>
      <c r="E6346" t="s">
        <v>656</v>
      </c>
      <c r="F6346" t="s">
        <v>31</v>
      </c>
      <c r="G6346">
        <v>2010</v>
      </c>
      <c r="H6346" s="12">
        <v>2.66</v>
      </c>
      <c r="I6346" t="s">
        <v>3183</v>
      </c>
      <c r="J6346" t="s">
        <v>5</v>
      </c>
      <c r="K6346" t="s">
        <v>147</v>
      </c>
      <c r="L6346" t="s">
        <v>3184</v>
      </c>
      <c r="M6346" t="s">
        <v>665</v>
      </c>
    </row>
    <row r="6347" spans="1:13">
      <c r="A6347" t="s">
        <v>851</v>
      </c>
      <c r="B6347" t="s">
        <v>686</v>
      </c>
      <c r="C6347" t="s">
        <v>686</v>
      </c>
      <c r="D6347" t="s">
        <v>236</v>
      </c>
      <c r="E6347" t="s">
        <v>656</v>
      </c>
      <c r="F6347" t="s">
        <v>31</v>
      </c>
      <c r="G6347">
        <v>2015</v>
      </c>
      <c r="H6347" s="12">
        <v>4.43</v>
      </c>
      <c r="I6347" t="s">
        <v>3183</v>
      </c>
      <c r="J6347" t="s">
        <v>5</v>
      </c>
      <c r="K6347" t="s">
        <v>147</v>
      </c>
      <c r="L6347" t="s">
        <v>3184</v>
      </c>
      <c r="M6347" t="s">
        <v>665</v>
      </c>
    </row>
    <row r="6348" spans="1:13">
      <c r="A6348" t="s">
        <v>851</v>
      </c>
      <c r="B6348" t="s">
        <v>686</v>
      </c>
      <c r="C6348" t="s">
        <v>686</v>
      </c>
      <c r="D6348" t="s">
        <v>236</v>
      </c>
      <c r="E6348" t="s">
        <v>656</v>
      </c>
      <c r="F6348" t="s">
        <v>31</v>
      </c>
      <c r="G6348">
        <v>2020</v>
      </c>
      <c r="H6348" s="12">
        <v>4.1399999999999997</v>
      </c>
      <c r="I6348" t="s">
        <v>3183</v>
      </c>
      <c r="J6348" t="s">
        <v>5</v>
      </c>
      <c r="K6348" t="s">
        <v>147</v>
      </c>
      <c r="L6348" t="s">
        <v>3184</v>
      </c>
      <c r="M6348" t="s">
        <v>665</v>
      </c>
    </row>
    <row r="6349" spans="1:13">
      <c r="A6349" t="s">
        <v>851</v>
      </c>
      <c r="B6349" t="s">
        <v>686</v>
      </c>
      <c r="C6349" t="s">
        <v>686</v>
      </c>
      <c r="D6349" t="s">
        <v>236</v>
      </c>
      <c r="E6349" t="s">
        <v>656</v>
      </c>
      <c r="F6349" t="s">
        <v>31</v>
      </c>
      <c r="G6349">
        <v>2030</v>
      </c>
      <c r="H6349" s="12">
        <v>3.97</v>
      </c>
      <c r="I6349" t="s">
        <v>3183</v>
      </c>
      <c r="J6349" t="s">
        <v>5</v>
      </c>
      <c r="K6349" t="s">
        <v>147</v>
      </c>
      <c r="L6349" t="s">
        <v>3184</v>
      </c>
      <c r="M6349" t="s">
        <v>665</v>
      </c>
    </row>
    <row r="6350" spans="1:13">
      <c r="A6350" t="s">
        <v>851</v>
      </c>
      <c r="B6350" t="s">
        <v>686</v>
      </c>
      <c r="C6350" t="s">
        <v>686</v>
      </c>
      <c r="D6350" t="s">
        <v>236</v>
      </c>
      <c r="E6350" t="s">
        <v>656</v>
      </c>
      <c r="F6350" t="s">
        <v>31</v>
      </c>
      <c r="G6350">
        <v>2035</v>
      </c>
      <c r="H6350" s="12">
        <v>3.78</v>
      </c>
      <c r="I6350" t="s">
        <v>3183</v>
      </c>
      <c r="J6350" t="s">
        <v>5</v>
      </c>
      <c r="K6350" t="s">
        <v>147</v>
      </c>
      <c r="L6350" t="s">
        <v>3184</v>
      </c>
      <c r="M6350" t="s">
        <v>665</v>
      </c>
    </row>
    <row r="6351" spans="1:13">
      <c r="A6351" t="s">
        <v>851</v>
      </c>
      <c r="B6351" t="s">
        <v>686</v>
      </c>
      <c r="C6351" t="s">
        <v>686</v>
      </c>
      <c r="D6351" t="s">
        <v>236</v>
      </c>
      <c r="E6351" t="s">
        <v>656</v>
      </c>
      <c r="F6351" t="s">
        <v>31</v>
      </c>
      <c r="G6351">
        <v>2040</v>
      </c>
      <c r="H6351" s="12">
        <v>3.6</v>
      </c>
      <c r="I6351" t="s">
        <v>3183</v>
      </c>
      <c r="J6351" t="s">
        <v>5</v>
      </c>
      <c r="K6351" t="s">
        <v>147</v>
      </c>
      <c r="L6351" t="s">
        <v>3184</v>
      </c>
      <c r="M6351" t="s">
        <v>665</v>
      </c>
    </row>
    <row r="6352" spans="1:13">
      <c r="A6352" t="s">
        <v>851</v>
      </c>
      <c r="B6352" t="s">
        <v>686</v>
      </c>
      <c r="C6352" t="s">
        <v>686</v>
      </c>
      <c r="D6352" t="s">
        <v>236</v>
      </c>
      <c r="E6352" t="s">
        <v>656</v>
      </c>
      <c r="F6352" t="s">
        <v>31</v>
      </c>
      <c r="G6352">
        <v>2045</v>
      </c>
      <c r="H6352" s="12">
        <v>3.5</v>
      </c>
      <c r="I6352" t="s">
        <v>3183</v>
      </c>
      <c r="J6352" t="s">
        <v>5</v>
      </c>
      <c r="K6352" t="s">
        <v>147</v>
      </c>
      <c r="L6352" t="s">
        <v>3184</v>
      </c>
      <c r="M6352" t="s">
        <v>665</v>
      </c>
    </row>
    <row r="6353" spans="1:13">
      <c r="A6353" t="s">
        <v>851</v>
      </c>
      <c r="B6353" t="s">
        <v>686</v>
      </c>
      <c r="C6353" t="s">
        <v>686</v>
      </c>
      <c r="D6353" t="s">
        <v>236</v>
      </c>
      <c r="E6353" t="s">
        <v>656</v>
      </c>
      <c r="F6353" t="s">
        <v>31</v>
      </c>
      <c r="G6353">
        <v>2050</v>
      </c>
      <c r="H6353" s="12">
        <v>3.1</v>
      </c>
      <c r="I6353" t="s">
        <v>3183</v>
      </c>
      <c r="J6353" t="s">
        <v>5</v>
      </c>
      <c r="K6353" t="s">
        <v>147</v>
      </c>
      <c r="L6353" t="s">
        <v>3184</v>
      </c>
      <c r="M6353" t="s">
        <v>665</v>
      </c>
    </row>
    <row r="6354" spans="1:13">
      <c r="A6354" t="s">
        <v>851</v>
      </c>
      <c r="B6354" t="s">
        <v>687</v>
      </c>
      <c r="C6354" t="s">
        <v>687</v>
      </c>
      <c r="D6354" t="s">
        <v>236</v>
      </c>
      <c r="E6354" t="s">
        <v>656</v>
      </c>
      <c r="F6354" t="s">
        <v>31</v>
      </c>
      <c r="G6354">
        <v>2030</v>
      </c>
      <c r="H6354" s="12">
        <v>1.54</v>
      </c>
      <c r="I6354" t="s">
        <v>3183</v>
      </c>
      <c r="J6354" t="s">
        <v>5</v>
      </c>
      <c r="K6354" t="s">
        <v>147</v>
      </c>
      <c r="L6354" t="s">
        <v>3184</v>
      </c>
      <c r="M6354" t="s">
        <v>665</v>
      </c>
    </row>
    <row r="6355" spans="1:13">
      <c r="A6355" t="s">
        <v>851</v>
      </c>
      <c r="B6355" t="s">
        <v>687</v>
      </c>
      <c r="C6355" t="s">
        <v>687</v>
      </c>
      <c r="D6355" t="s">
        <v>236</v>
      </c>
      <c r="E6355" t="s">
        <v>656</v>
      </c>
      <c r="F6355" t="s">
        <v>31</v>
      </c>
      <c r="G6355">
        <v>2035</v>
      </c>
      <c r="H6355" s="12">
        <v>0.54</v>
      </c>
      <c r="I6355" t="s">
        <v>3183</v>
      </c>
      <c r="J6355" t="s">
        <v>5</v>
      </c>
      <c r="K6355" t="s">
        <v>147</v>
      </c>
      <c r="L6355" t="s">
        <v>3184</v>
      </c>
      <c r="M6355" t="s">
        <v>665</v>
      </c>
    </row>
    <row r="6356" spans="1:13">
      <c r="A6356" t="s">
        <v>851</v>
      </c>
      <c r="B6356" t="s">
        <v>687</v>
      </c>
      <c r="C6356" t="s">
        <v>687</v>
      </c>
      <c r="D6356" t="s">
        <v>236</v>
      </c>
      <c r="E6356" t="s">
        <v>656</v>
      </c>
      <c r="F6356" t="s">
        <v>31</v>
      </c>
      <c r="G6356">
        <v>2040</v>
      </c>
      <c r="H6356" s="12">
        <v>0.18</v>
      </c>
      <c r="I6356" t="s">
        <v>3183</v>
      </c>
      <c r="J6356" t="s">
        <v>5</v>
      </c>
      <c r="K6356" t="s">
        <v>147</v>
      </c>
      <c r="L6356" t="s">
        <v>3184</v>
      </c>
      <c r="M6356" t="s">
        <v>665</v>
      </c>
    </row>
    <row r="6357" spans="1:13">
      <c r="A6357" t="s">
        <v>851</v>
      </c>
      <c r="B6357" t="s">
        <v>687</v>
      </c>
      <c r="C6357" t="s">
        <v>687</v>
      </c>
      <c r="D6357" t="s">
        <v>236</v>
      </c>
      <c r="E6357" t="s">
        <v>656</v>
      </c>
      <c r="F6357" t="s">
        <v>31</v>
      </c>
      <c r="G6357">
        <v>2045</v>
      </c>
      <c r="H6357" s="12">
        <v>0.06</v>
      </c>
      <c r="I6357" t="s">
        <v>3183</v>
      </c>
      <c r="J6357" t="s">
        <v>5</v>
      </c>
      <c r="K6357" t="s">
        <v>147</v>
      </c>
      <c r="L6357" t="s">
        <v>3184</v>
      </c>
      <c r="M6357" t="s">
        <v>665</v>
      </c>
    </row>
    <row r="6358" spans="1:13">
      <c r="A6358" t="s">
        <v>851</v>
      </c>
      <c r="B6358" t="s">
        <v>687</v>
      </c>
      <c r="C6358" t="s">
        <v>687</v>
      </c>
      <c r="D6358" t="s">
        <v>236</v>
      </c>
      <c r="E6358" t="s">
        <v>656</v>
      </c>
      <c r="F6358" t="s">
        <v>31</v>
      </c>
      <c r="G6358">
        <v>2050</v>
      </c>
      <c r="H6358" s="12">
        <v>0.02</v>
      </c>
      <c r="I6358" t="s">
        <v>3183</v>
      </c>
      <c r="J6358" t="s">
        <v>5</v>
      </c>
      <c r="K6358" t="s">
        <v>147</v>
      </c>
      <c r="L6358" t="s">
        <v>3184</v>
      </c>
      <c r="M6358" t="s">
        <v>665</v>
      </c>
    </row>
    <row r="6359" spans="1:13">
      <c r="A6359" t="s">
        <v>851</v>
      </c>
      <c r="B6359" t="s">
        <v>686</v>
      </c>
      <c r="C6359" t="s">
        <v>686</v>
      </c>
      <c r="D6359" t="s">
        <v>236</v>
      </c>
      <c r="E6359" t="s">
        <v>656</v>
      </c>
      <c r="F6359" t="s">
        <v>31</v>
      </c>
      <c r="G6359">
        <v>2010</v>
      </c>
      <c r="H6359" s="12">
        <v>10.62</v>
      </c>
      <c r="I6359" t="s">
        <v>3183</v>
      </c>
      <c r="J6359" t="s">
        <v>6</v>
      </c>
      <c r="K6359" t="s">
        <v>147</v>
      </c>
      <c r="L6359" t="s">
        <v>3184</v>
      </c>
      <c r="M6359" t="s">
        <v>666</v>
      </c>
    </row>
    <row r="6360" spans="1:13">
      <c r="A6360" t="s">
        <v>851</v>
      </c>
      <c r="B6360" t="s">
        <v>686</v>
      </c>
      <c r="C6360" t="s">
        <v>686</v>
      </c>
      <c r="D6360" t="s">
        <v>236</v>
      </c>
      <c r="E6360" t="s">
        <v>656</v>
      </c>
      <c r="F6360" t="s">
        <v>31</v>
      </c>
      <c r="G6360">
        <v>2015</v>
      </c>
      <c r="H6360" s="12">
        <v>12.42</v>
      </c>
      <c r="I6360" t="s">
        <v>3183</v>
      </c>
      <c r="J6360" t="s">
        <v>6</v>
      </c>
      <c r="K6360" t="s">
        <v>147</v>
      </c>
      <c r="L6360" t="s">
        <v>3184</v>
      </c>
      <c r="M6360" t="s">
        <v>666</v>
      </c>
    </row>
    <row r="6361" spans="1:13">
      <c r="A6361" t="s">
        <v>851</v>
      </c>
      <c r="B6361" t="s">
        <v>686</v>
      </c>
      <c r="C6361" t="s">
        <v>686</v>
      </c>
      <c r="D6361" t="s">
        <v>236</v>
      </c>
      <c r="E6361" t="s">
        <v>656</v>
      </c>
      <c r="F6361" t="s">
        <v>31</v>
      </c>
      <c r="G6361">
        <v>2020</v>
      </c>
      <c r="H6361" s="12">
        <v>14.29</v>
      </c>
      <c r="I6361" t="s">
        <v>3183</v>
      </c>
      <c r="J6361" t="s">
        <v>6</v>
      </c>
      <c r="K6361" t="s">
        <v>147</v>
      </c>
      <c r="L6361" t="s">
        <v>3184</v>
      </c>
      <c r="M6361" t="s">
        <v>666</v>
      </c>
    </row>
    <row r="6362" spans="1:13">
      <c r="A6362" t="s">
        <v>851</v>
      </c>
      <c r="B6362" t="s">
        <v>686</v>
      </c>
      <c r="C6362" t="s">
        <v>686</v>
      </c>
      <c r="D6362" t="s">
        <v>236</v>
      </c>
      <c r="E6362" t="s">
        <v>656</v>
      </c>
      <c r="F6362" t="s">
        <v>31</v>
      </c>
      <c r="G6362">
        <v>2030</v>
      </c>
      <c r="H6362" s="12">
        <v>18.84</v>
      </c>
      <c r="I6362" t="s">
        <v>3183</v>
      </c>
      <c r="J6362" t="s">
        <v>6</v>
      </c>
      <c r="K6362" t="s">
        <v>147</v>
      </c>
      <c r="L6362" t="s">
        <v>3184</v>
      </c>
      <c r="M6362" t="s">
        <v>666</v>
      </c>
    </row>
    <row r="6363" spans="1:13">
      <c r="A6363" t="s">
        <v>851</v>
      </c>
      <c r="B6363" t="s">
        <v>686</v>
      </c>
      <c r="C6363" t="s">
        <v>686</v>
      </c>
      <c r="D6363" t="s">
        <v>236</v>
      </c>
      <c r="E6363" t="s">
        <v>656</v>
      </c>
      <c r="F6363" t="s">
        <v>31</v>
      </c>
      <c r="G6363">
        <v>2035</v>
      </c>
      <c r="H6363" s="12">
        <v>19.100000000000001</v>
      </c>
      <c r="I6363" t="s">
        <v>3183</v>
      </c>
      <c r="J6363" t="s">
        <v>6</v>
      </c>
      <c r="K6363" t="s">
        <v>147</v>
      </c>
      <c r="L6363" t="s">
        <v>3184</v>
      </c>
      <c r="M6363" t="s">
        <v>666</v>
      </c>
    </row>
    <row r="6364" spans="1:13">
      <c r="A6364" t="s">
        <v>851</v>
      </c>
      <c r="B6364" t="s">
        <v>686</v>
      </c>
      <c r="C6364" t="s">
        <v>686</v>
      </c>
      <c r="D6364" t="s">
        <v>236</v>
      </c>
      <c r="E6364" t="s">
        <v>656</v>
      </c>
      <c r="F6364" t="s">
        <v>31</v>
      </c>
      <c r="G6364">
        <v>2040</v>
      </c>
      <c r="H6364" s="12">
        <v>19.03</v>
      </c>
      <c r="I6364" t="s">
        <v>3183</v>
      </c>
      <c r="J6364" t="s">
        <v>6</v>
      </c>
      <c r="K6364" t="s">
        <v>147</v>
      </c>
      <c r="L6364" t="s">
        <v>3184</v>
      </c>
      <c r="M6364" t="s">
        <v>666</v>
      </c>
    </row>
    <row r="6365" spans="1:13">
      <c r="A6365" t="s">
        <v>851</v>
      </c>
      <c r="B6365" t="s">
        <v>686</v>
      </c>
      <c r="C6365" t="s">
        <v>686</v>
      </c>
      <c r="D6365" t="s">
        <v>236</v>
      </c>
      <c r="E6365" t="s">
        <v>656</v>
      </c>
      <c r="F6365" t="s">
        <v>31</v>
      </c>
      <c r="G6365">
        <v>2045</v>
      </c>
      <c r="H6365" s="12">
        <v>18.39</v>
      </c>
      <c r="I6365" t="s">
        <v>3183</v>
      </c>
      <c r="J6365" t="s">
        <v>6</v>
      </c>
      <c r="K6365" t="s">
        <v>147</v>
      </c>
      <c r="L6365" t="s">
        <v>3184</v>
      </c>
      <c r="M6365" t="s">
        <v>666</v>
      </c>
    </row>
    <row r="6366" spans="1:13">
      <c r="A6366" t="s">
        <v>851</v>
      </c>
      <c r="B6366" t="s">
        <v>686</v>
      </c>
      <c r="C6366" t="s">
        <v>686</v>
      </c>
      <c r="D6366" t="s">
        <v>236</v>
      </c>
      <c r="E6366" t="s">
        <v>656</v>
      </c>
      <c r="F6366" t="s">
        <v>31</v>
      </c>
      <c r="G6366">
        <v>2050</v>
      </c>
      <c r="H6366" s="12">
        <v>20.190000000000001</v>
      </c>
      <c r="I6366" t="s">
        <v>3183</v>
      </c>
      <c r="J6366" t="s">
        <v>6</v>
      </c>
      <c r="K6366" t="s">
        <v>147</v>
      </c>
      <c r="L6366" t="s">
        <v>3184</v>
      </c>
      <c r="M6366" t="s">
        <v>666</v>
      </c>
    </row>
    <row r="6367" spans="1:13">
      <c r="A6367" t="s">
        <v>851</v>
      </c>
      <c r="B6367" t="s">
        <v>687</v>
      </c>
      <c r="C6367" t="s">
        <v>687</v>
      </c>
      <c r="D6367" t="s">
        <v>236</v>
      </c>
      <c r="E6367" t="s">
        <v>656</v>
      </c>
      <c r="F6367" t="s">
        <v>31</v>
      </c>
      <c r="G6367">
        <v>2030</v>
      </c>
      <c r="H6367" s="12">
        <v>9.61</v>
      </c>
      <c r="I6367" t="s">
        <v>3183</v>
      </c>
      <c r="J6367" t="s">
        <v>6</v>
      </c>
      <c r="K6367" t="s">
        <v>147</v>
      </c>
      <c r="L6367" t="s">
        <v>3184</v>
      </c>
      <c r="M6367" t="s">
        <v>666</v>
      </c>
    </row>
    <row r="6368" spans="1:13">
      <c r="A6368" t="s">
        <v>851</v>
      </c>
      <c r="B6368" t="s">
        <v>687</v>
      </c>
      <c r="C6368" t="s">
        <v>687</v>
      </c>
      <c r="D6368" t="s">
        <v>236</v>
      </c>
      <c r="E6368" t="s">
        <v>656</v>
      </c>
      <c r="F6368" t="s">
        <v>31</v>
      </c>
      <c r="G6368">
        <v>2035</v>
      </c>
      <c r="H6368" s="12">
        <v>8.14</v>
      </c>
      <c r="I6368" t="s">
        <v>3183</v>
      </c>
      <c r="J6368" t="s">
        <v>6</v>
      </c>
      <c r="K6368" t="s">
        <v>147</v>
      </c>
      <c r="L6368" t="s">
        <v>3184</v>
      </c>
      <c r="M6368" t="s">
        <v>666</v>
      </c>
    </row>
    <row r="6369" spans="1:13">
      <c r="A6369" t="s">
        <v>851</v>
      </c>
      <c r="B6369" t="s">
        <v>687</v>
      </c>
      <c r="C6369" t="s">
        <v>687</v>
      </c>
      <c r="D6369" t="s">
        <v>236</v>
      </c>
      <c r="E6369" t="s">
        <v>656</v>
      </c>
      <c r="F6369" t="s">
        <v>31</v>
      </c>
      <c r="G6369">
        <v>2040</v>
      </c>
      <c r="H6369" s="12">
        <v>6.68</v>
      </c>
      <c r="I6369" t="s">
        <v>3183</v>
      </c>
      <c r="J6369" t="s">
        <v>6</v>
      </c>
      <c r="K6369" t="s">
        <v>147</v>
      </c>
      <c r="L6369" t="s">
        <v>3184</v>
      </c>
      <c r="M6369" t="s">
        <v>666</v>
      </c>
    </row>
    <row r="6370" spans="1:13">
      <c r="A6370" t="s">
        <v>851</v>
      </c>
      <c r="B6370" t="s">
        <v>687</v>
      </c>
      <c r="C6370" t="s">
        <v>687</v>
      </c>
      <c r="D6370" t="s">
        <v>236</v>
      </c>
      <c r="E6370" t="s">
        <v>656</v>
      </c>
      <c r="F6370" t="s">
        <v>31</v>
      </c>
      <c r="G6370">
        <v>2045</v>
      </c>
      <c r="H6370" s="12">
        <v>5.8</v>
      </c>
      <c r="I6370" t="s">
        <v>3183</v>
      </c>
      <c r="J6370" t="s">
        <v>6</v>
      </c>
      <c r="K6370" t="s">
        <v>147</v>
      </c>
      <c r="L6370" t="s">
        <v>3184</v>
      </c>
      <c r="M6370" t="s">
        <v>666</v>
      </c>
    </row>
    <row r="6371" spans="1:13">
      <c r="A6371" t="s">
        <v>851</v>
      </c>
      <c r="B6371" t="s">
        <v>687</v>
      </c>
      <c r="C6371" t="s">
        <v>687</v>
      </c>
      <c r="D6371" t="s">
        <v>236</v>
      </c>
      <c r="E6371" t="s">
        <v>656</v>
      </c>
      <c r="F6371" t="s">
        <v>31</v>
      </c>
      <c r="G6371">
        <v>2050</v>
      </c>
      <c r="H6371" s="12">
        <v>3.54</v>
      </c>
      <c r="I6371" t="s">
        <v>3183</v>
      </c>
      <c r="J6371" t="s">
        <v>6</v>
      </c>
      <c r="K6371" t="s">
        <v>147</v>
      </c>
      <c r="L6371" t="s">
        <v>3184</v>
      </c>
      <c r="M6371" t="s">
        <v>666</v>
      </c>
    </row>
    <row r="6372" spans="1:13">
      <c r="A6372" t="s">
        <v>851</v>
      </c>
      <c r="B6372" t="s">
        <v>686</v>
      </c>
      <c r="C6372" t="s">
        <v>686</v>
      </c>
      <c r="D6372" t="s">
        <v>236</v>
      </c>
      <c r="E6372" t="s">
        <v>656</v>
      </c>
      <c r="F6372" t="s">
        <v>31</v>
      </c>
      <c r="G6372">
        <v>2010</v>
      </c>
      <c r="H6372" s="12">
        <v>7.41</v>
      </c>
      <c r="I6372" t="s">
        <v>3183</v>
      </c>
      <c r="J6372" t="s">
        <v>394</v>
      </c>
      <c r="K6372" t="s">
        <v>147</v>
      </c>
      <c r="L6372" t="s">
        <v>3184</v>
      </c>
      <c r="M6372" t="s">
        <v>16</v>
      </c>
    </row>
    <row r="6373" spans="1:13">
      <c r="A6373" t="s">
        <v>851</v>
      </c>
      <c r="B6373" t="s">
        <v>686</v>
      </c>
      <c r="C6373" t="s">
        <v>686</v>
      </c>
      <c r="D6373" t="s">
        <v>236</v>
      </c>
      <c r="E6373" t="s">
        <v>656</v>
      </c>
      <c r="F6373" t="s">
        <v>31</v>
      </c>
      <c r="G6373">
        <v>2015</v>
      </c>
      <c r="H6373" s="12">
        <v>8.08</v>
      </c>
      <c r="I6373" t="s">
        <v>3183</v>
      </c>
      <c r="J6373" t="s">
        <v>394</v>
      </c>
      <c r="K6373" t="s">
        <v>147</v>
      </c>
      <c r="L6373" t="s">
        <v>3184</v>
      </c>
      <c r="M6373" t="s">
        <v>16</v>
      </c>
    </row>
    <row r="6374" spans="1:13">
      <c r="A6374" t="s">
        <v>851</v>
      </c>
      <c r="B6374" t="s">
        <v>686</v>
      </c>
      <c r="C6374" t="s">
        <v>686</v>
      </c>
      <c r="D6374" t="s">
        <v>236</v>
      </c>
      <c r="E6374" t="s">
        <v>656</v>
      </c>
      <c r="F6374" t="s">
        <v>31</v>
      </c>
      <c r="G6374">
        <v>2020</v>
      </c>
      <c r="H6374" s="12">
        <v>8.16</v>
      </c>
      <c r="I6374" t="s">
        <v>3183</v>
      </c>
      <c r="J6374" t="s">
        <v>394</v>
      </c>
      <c r="K6374" t="s">
        <v>147</v>
      </c>
      <c r="L6374" t="s">
        <v>3184</v>
      </c>
      <c r="M6374" t="s">
        <v>16</v>
      </c>
    </row>
    <row r="6375" spans="1:13">
      <c r="A6375" t="s">
        <v>851</v>
      </c>
      <c r="B6375" t="s">
        <v>686</v>
      </c>
      <c r="C6375" t="s">
        <v>686</v>
      </c>
      <c r="D6375" t="s">
        <v>236</v>
      </c>
      <c r="E6375" t="s">
        <v>656</v>
      </c>
      <c r="F6375" t="s">
        <v>31</v>
      </c>
      <c r="G6375">
        <v>2030</v>
      </c>
      <c r="H6375" s="12">
        <v>7.7</v>
      </c>
      <c r="I6375" t="s">
        <v>3183</v>
      </c>
      <c r="J6375" t="s">
        <v>394</v>
      </c>
      <c r="K6375" t="s">
        <v>147</v>
      </c>
      <c r="L6375" t="s">
        <v>3184</v>
      </c>
      <c r="M6375" t="s">
        <v>16</v>
      </c>
    </row>
    <row r="6376" spans="1:13">
      <c r="A6376" t="s">
        <v>851</v>
      </c>
      <c r="B6376" t="s">
        <v>686</v>
      </c>
      <c r="C6376" t="s">
        <v>686</v>
      </c>
      <c r="D6376" t="s">
        <v>236</v>
      </c>
      <c r="E6376" t="s">
        <v>656</v>
      </c>
      <c r="F6376" t="s">
        <v>31</v>
      </c>
      <c r="G6376">
        <v>2035</v>
      </c>
      <c r="H6376" s="12">
        <v>7.45</v>
      </c>
      <c r="I6376" t="s">
        <v>3183</v>
      </c>
      <c r="J6376" t="s">
        <v>394</v>
      </c>
      <c r="K6376" t="s">
        <v>147</v>
      </c>
      <c r="L6376" t="s">
        <v>3184</v>
      </c>
      <c r="M6376" t="s">
        <v>16</v>
      </c>
    </row>
    <row r="6377" spans="1:13">
      <c r="A6377" t="s">
        <v>851</v>
      </c>
      <c r="B6377" t="s">
        <v>686</v>
      </c>
      <c r="C6377" t="s">
        <v>686</v>
      </c>
      <c r="D6377" t="s">
        <v>236</v>
      </c>
      <c r="E6377" t="s">
        <v>656</v>
      </c>
      <c r="F6377" t="s">
        <v>31</v>
      </c>
      <c r="G6377">
        <v>2040</v>
      </c>
      <c r="H6377" s="12">
        <v>7.21</v>
      </c>
      <c r="I6377" t="s">
        <v>3183</v>
      </c>
      <c r="J6377" t="s">
        <v>394</v>
      </c>
      <c r="K6377" t="s">
        <v>147</v>
      </c>
      <c r="L6377" t="s">
        <v>3184</v>
      </c>
      <c r="M6377" t="s">
        <v>16</v>
      </c>
    </row>
    <row r="6378" spans="1:13">
      <c r="A6378" t="s">
        <v>851</v>
      </c>
      <c r="B6378" t="s">
        <v>686</v>
      </c>
      <c r="C6378" t="s">
        <v>686</v>
      </c>
      <c r="D6378" t="s">
        <v>236</v>
      </c>
      <c r="E6378" t="s">
        <v>656</v>
      </c>
      <c r="F6378" t="s">
        <v>31</v>
      </c>
      <c r="G6378">
        <v>2045</v>
      </c>
      <c r="H6378" s="12">
        <v>6.66</v>
      </c>
      <c r="I6378" t="s">
        <v>3183</v>
      </c>
      <c r="J6378" t="s">
        <v>394</v>
      </c>
      <c r="K6378" t="s">
        <v>147</v>
      </c>
      <c r="L6378" t="s">
        <v>3184</v>
      </c>
      <c r="M6378" t="s">
        <v>16</v>
      </c>
    </row>
    <row r="6379" spans="1:13">
      <c r="A6379" t="s">
        <v>851</v>
      </c>
      <c r="B6379" t="s">
        <v>686</v>
      </c>
      <c r="C6379" t="s">
        <v>686</v>
      </c>
      <c r="D6379" t="s">
        <v>236</v>
      </c>
      <c r="E6379" t="s">
        <v>656</v>
      </c>
      <c r="F6379" t="s">
        <v>31</v>
      </c>
      <c r="G6379">
        <v>2050</v>
      </c>
      <c r="H6379" s="12">
        <v>6.17</v>
      </c>
      <c r="I6379" t="s">
        <v>3183</v>
      </c>
      <c r="J6379" t="s">
        <v>394</v>
      </c>
      <c r="K6379" t="s">
        <v>147</v>
      </c>
      <c r="L6379" t="s">
        <v>3184</v>
      </c>
      <c r="M6379" t="s">
        <v>16</v>
      </c>
    </row>
    <row r="6380" spans="1:13">
      <c r="A6380" t="s">
        <v>851</v>
      </c>
      <c r="B6380" t="s">
        <v>687</v>
      </c>
      <c r="C6380" t="s">
        <v>687</v>
      </c>
      <c r="D6380" t="s">
        <v>236</v>
      </c>
      <c r="E6380" t="s">
        <v>656</v>
      </c>
      <c r="F6380" t="s">
        <v>31</v>
      </c>
      <c r="G6380">
        <v>2030</v>
      </c>
      <c r="H6380" s="12">
        <v>7.7</v>
      </c>
      <c r="I6380" t="s">
        <v>3183</v>
      </c>
      <c r="J6380" t="s">
        <v>394</v>
      </c>
      <c r="K6380" t="s">
        <v>147</v>
      </c>
      <c r="L6380" t="s">
        <v>3184</v>
      </c>
      <c r="M6380" t="s">
        <v>16</v>
      </c>
    </row>
    <row r="6381" spans="1:13">
      <c r="A6381" t="s">
        <v>851</v>
      </c>
      <c r="B6381" t="s">
        <v>687</v>
      </c>
      <c r="C6381" t="s">
        <v>687</v>
      </c>
      <c r="D6381" t="s">
        <v>236</v>
      </c>
      <c r="E6381" t="s">
        <v>656</v>
      </c>
      <c r="F6381" t="s">
        <v>31</v>
      </c>
      <c r="G6381">
        <v>2035</v>
      </c>
      <c r="H6381" s="12">
        <v>7.45</v>
      </c>
      <c r="I6381" t="s">
        <v>3183</v>
      </c>
      <c r="J6381" t="s">
        <v>394</v>
      </c>
      <c r="K6381" t="s">
        <v>147</v>
      </c>
      <c r="L6381" t="s">
        <v>3184</v>
      </c>
      <c r="M6381" t="s">
        <v>16</v>
      </c>
    </row>
    <row r="6382" spans="1:13">
      <c r="A6382" t="s">
        <v>851</v>
      </c>
      <c r="B6382" t="s">
        <v>687</v>
      </c>
      <c r="C6382" t="s">
        <v>687</v>
      </c>
      <c r="D6382" t="s">
        <v>236</v>
      </c>
      <c r="E6382" t="s">
        <v>656</v>
      </c>
      <c r="F6382" t="s">
        <v>31</v>
      </c>
      <c r="G6382">
        <v>2040</v>
      </c>
      <c r="H6382" s="12">
        <v>7.21</v>
      </c>
      <c r="I6382" t="s">
        <v>3183</v>
      </c>
      <c r="J6382" t="s">
        <v>394</v>
      </c>
      <c r="K6382" t="s">
        <v>147</v>
      </c>
      <c r="L6382" t="s">
        <v>3184</v>
      </c>
      <c r="M6382" t="s">
        <v>16</v>
      </c>
    </row>
    <row r="6383" spans="1:13">
      <c r="A6383" t="s">
        <v>851</v>
      </c>
      <c r="B6383" t="s">
        <v>687</v>
      </c>
      <c r="C6383" t="s">
        <v>687</v>
      </c>
      <c r="D6383" t="s">
        <v>236</v>
      </c>
      <c r="E6383" t="s">
        <v>656</v>
      </c>
      <c r="F6383" t="s">
        <v>31</v>
      </c>
      <c r="G6383">
        <v>2045</v>
      </c>
      <c r="H6383" s="12">
        <v>6.71</v>
      </c>
      <c r="I6383" t="s">
        <v>3183</v>
      </c>
      <c r="J6383" t="s">
        <v>394</v>
      </c>
      <c r="K6383" t="s">
        <v>147</v>
      </c>
      <c r="L6383" t="s">
        <v>3184</v>
      </c>
      <c r="M6383" t="s">
        <v>16</v>
      </c>
    </row>
    <row r="6384" spans="1:13">
      <c r="A6384" t="s">
        <v>851</v>
      </c>
      <c r="B6384" t="s">
        <v>687</v>
      </c>
      <c r="C6384" t="s">
        <v>687</v>
      </c>
      <c r="D6384" t="s">
        <v>236</v>
      </c>
      <c r="E6384" t="s">
        <v>656</v>
      </c>
      <c r="F6384" t="s">
        <v>31</v>
      </c>
      <c r="G6384">
        <v>2050</v>
      </c>
      <c r="H6384" s="12">
        <v>6.11</v>
      </c>
      <c r="I6384" t="s">
        <v>3183</v>
      </c>
      <c r="J6384" t="s">
        <v>394</v>
      </c>
      <c r="K6384" t="s">
        <v>147</v>
      </c>
      <c r="L6384" t="s">
        <v>3184</v>
      </c>
      <c r="M6384" t="s">
        <v>16</v>
      </c>
    </row>
    <row r="6385" spans="1:13">
      <c r="A6385" t="s">
        <v>851</v>
      </c>
      <c r="B6385" t="s">
        <v>686</v>
      </c>
      <c r="C6385" t="s">
        <v>686</v>
      </c>
      <c r="D6385" t="s">
        <v>236</v>
      </c>
      <c r="E6385" t="s">
        <v>656</v>
      </c>
      <c r="F6385" t="s">
        <v>31</v>
      </c>
      <c r="G6385">
        <v>2010</v>
      </c>
      <c r="H6385" s="12">
        <v>0</v>
      </c>
      <c r="I6385" t="s">
        <v>3183</v>
      </c>
      <c r="J6385" t="s">
        <v>484</v>
      </c>
      <c r="K6385" t="s">
        <v>147</v>
      </c>
      <c r="L6385" t="s">
        <v>3184</v>
      </c>
      <c r="M6385" t="s">
        <v>667</v>
      </c>
    </row>
    <row r="6386" spans="1:13">
      <c r="A6386" t="s">
        <v>851</v>
      </c>
      <c r="B6386" t="s">
        <v>686</v>
      </c>
      <c r="C6386" t="s">
        <v>686</v>
      </c>
      <c r="D6386" t="s">
        <v>236</v>
      </c>
      <c r="E6386" t="s">
        <v>656</v>
      </c>
      <c r="F6386" t="s">
        <v>31</v>
      </c>
      <c r="G6386">
        <v>2015</v>
      </c>
      <c r="H6386" s="12">
        <v>0</v>
      </c>
      <c r="I6386" t="s">
        <v>3183</v>
      </c>
      <c r="J6386" t="s">
        <v>484</v>
      </c>
      <c r="K6386" t="s">
        <v>147</v>
      </c>
      <c r="L6386" t="s">
        <v>3184</v>
      </c>
      <c r="M6386" t="s">
        <v>667</v>
      </c>
    </row>
    <row r="6387" spans="1:13">
      <c r="A6387" t="s">
        <v>851</v>
      </c>
      <c r="B6387" t="s">
        <v>686</v>
      </c>
      <c r="C6387" t="s">
        <v>686</v>
      </c>
      <c r="D6387" t="s">
        <v>236</v>
      </c>
      <c r="E6387" t="s">
        <v>656</v>
      </c>
      <c r="F6387" t="s">
        <v>31</v>
      </c>
      <c r="G6387">
        <v>2020</v>
      </c>
      <c r="H6387" s="12">
        <v>0.01</v>
      </c>
      <c r="I6387" t="s">
        <v>3183</v>
      </c>
      <c r="J6387" t="s">
        <v>484</v>
      </c>
      <c r="K6387" t="s">
        <v>147</v>
      </c>
      <c r="L6387" t="s">
        <v>3184</v>
      </c>
      <c r="M6387" t="s">
        <v>667</v>
      </c>
    </row>
    <row r="6388" spans="1:13">
      <c r="A6388" t="s">
        <v>851</v>
      </c>
      <c r="B6388" t="s">
        <v>686</v>
      </c>
      <c r="C6388" t="s">
        <v>686</v>
      </c>
      <c r="D6388" t="s">
        <v>236</v>
      </c>
      <c r="E6388" t="s">
        <v>656</v>
      </c>
      <c r="F6388" t="s">
        <v>31</v>
      </c>
      <c r="G6388">
        <v>2030</v>
      </c>
      <c r="H6388" s="12">
        <v>1.53</v>
      </c>
      <c r="I6388" t="s">
        <v>3183</v>
      </c>
      <c r="J6388" t="s">
        <v>484</v>
      </c>
      <c r="K6388" t="s">
        <v>147</v>
      </c>
      <c r="L6388" t="s">
        <v>3184</v>
      </c>
      <c r="M6388" t="s">
        <v>667</v>
      </c>
    </row>
    <row r="6389" spans="1:13">
      <c r="A6389" t="s">
        <v>851</v>
      </c>
      <c r="B6389" t="s">
        <v>686</v>
      </c>
      <c r="C6389" t="s">
        <v>686</v>
      </c>
      <c r="D6389" t="s">
        <v>236</v>
      </c>
      <c r="E6389" t="s">
        <v>656</v>
      </c>
      <c r="F6389" t="s">
        <v>31</v>
      </c>
      <c r="G6389">
        <v>2035</v>
      </c>
      <c r="H6389" s="12">
        <v>2.79</v>
      </c>
      <c r="I6389" t="s">
        <v>3183</v>
      </c>
      <c r="J6389" t="s">
        <v>484</v>
      </c>
      <c r="K6389" t="s">
        <v>147</v>
      </c>
      <c r="L6389" t="s">
        <v>3184</v>
      </c>
      <c r="M6389" t="s">
        <v>667</v>
      </c>
    </row>
    <row r="6390" spans="1:13">
      <c r="A6390" t="s">
        <v>851</v>
      </c>
      <c r="B6390" t="s">
        <v>686</v>
      </c>
      <c r="C6390" t="s">
        <v>686</v>
      </c>
      <c r="D6390" t="s">
        <v>236</v>
      </c>
      <c r="E6390" t="s">
        <v>656</v>
      </c>
      <c r="F6390" t="s">
        <v>31</v>
      </c>
      <c r="G6390">
        <v>2040</v>
      </c>
      <c r="H6390" s="12">
        <v>4.0599999999999996</v>
      </c>
      <c r="I6390" t="s">
        <v>3183</v>
      </c>
      <c r="J6390" t="s">
        <v>484</v>
      </c>
      <c r="K6390" t="s">
        <v>147</v>
      </c>
      <c r="L6390" t="s">
        <v>3184</v>
      </c>
      <c r="M6390" t="s">
        <v>667</v>
      </c>
    </row>
    <row r="6391" spans="1:13">
      <c r="A6391" t="s">
        <v>851</v>
      </c>
      <c r="B6391" t="s">
        <v>686</v>
      </c>
      <c r="C6391" t="s">
        <v>686</v>
      </c>
      <c r="D6391" t="s">
        <v>236</v>
      </c>
      <c r="E6391" t="s">
        <v>656</v>
      </c>
      <c r="F6391" t="s">
        <v>31</v>
      </c>
      <c r="G6391">
        <v>2045</v>
      </c>
      <c r="H6391" s="12">
        <v>5.63</v>
      </c>
      <c r="I6391" t="s">
        <v>3183</v>
      </c>
      <c r="J6391" t="s">
        <v>484</v>
      </c>
      <c r="K6391" t="s">
        <v>147</v>
      </c>
      <c r="L6391" t="s">
        <v>3184</v>
      </c>
      <c r="M6391" t="s">
        <v>667</v>
      </c>
    </row>
    <row r="6392" spans="1:13">
      <c r="A6392" t="s">
        <v>851</v>
      </c>
      <c r="B6392" t="s">
        <v>686</v>
      </c>
      <c r="C6392" t="s">
        <v>686</v>
      </c>
      <c r="D6392" t="s">
        <v>236</v>
      </c>
      <c r="E6392" t="s">
        <v>656</v>
      </c>
      <c r="F6392" t="s">
        <v>31</v>
      </c>
      <c r="G6392">
        <v>2050</v>
      </c>
      <c r="H6392" s="12">
        <v>14.5</v>
      </c>
      <c r="I6392" t="s">
        <v>3183</v>
      </c>
      <c r="J6392" t="s">
        <v>484</v>
      </c>
      <c r="K6392" t="s">
        <v>147</v>
      </c>
      <c r="L6392" t="s">
        <v>3184</v>
      </c>
      <c r="M6392" t="s">
        <v>667</v>
      </c>
    </row>
    <row r="6393" spans="1:13">
      <c r="A6393" t="s">
        <v>851</v>
      </c>
      <c r="B6393" t="s">
        <v>687</v>
      </c>
      <c r="C6393" t="s">
        <v>687</v>
      </c>
      <c r="D6393" t="s">
        <v>236</v>
      </c>
      <c r="E6393" t="s">
        <v>656</v>
      </c>
      <c r="F6393" t="s">
        <v>31</v>
      </c>
      <c r="G6393">
        <v>2030</v>
      </c>
      <c r="H6393" s="12">
        <v>3.18</v>
      </c>
      <c r="I6393" t="s">
        <v>3183</v>
      </c>
      <c r="J6393" t="s">
        <v>484</v>
      </c>
      <c r="K6393" t="s">
        <v>147</v>
      </c>
      <c r="L6393" t="s">
        <v>3184</v>
      </c>
      <c r="M6393" t="s">
        <v>667</v>
      </c>
    </row>
    <row r="6394" spans="1:13">
      <c r="A6394" t="s">
        <v>851</v>
      </c>
      <c r="B6394" t="s">
        <v>687</v>
      </c>
      <c r="C6394" t="s">
        <v>687</v>
      </c>
      <c r="D6394" t="s">
        <v>236</v>
      </c>
      <c r="E6394" t="s">
        <v>656</v>
      </c>
      <c r="F6394" t="s">
        <v>31</v>
      </c>
      <c r="G6394">
        <v>2035</v>
      </c>
      <c r="H6394" s="12">
        <v>5.89</v>
      </c>
      <c r="I6394" t="s">
        <v>3183</v>
      </c>
      <c r="J6394" t="s">
        <v>484</v>
      </c>
      <c r="K6394" t="s">
        <v>147</v>
      </c>
      <c r="L6394" t="s">
        <v>3184</v>
      </c>
      <c r="M6394" t="s">
        <v>667</v>
      </c>
    </row>
    <row r="6395" spans="1:13">
      <c r="A6395" t="s">
        <v>851</v>
      </c>
      <c r="B6395" t="s">
        <v>687</v>
      </c>
      <c r="C6395" t="s">
        <v>687</v>
      </c>
      <c r="D6395" t="s">
        <v>236</v>
      </c>
      <c r="E6395" t="s">
        <v>656</v>
      </c>
      <c r="F6395" t="s">
        <v>31</v>
      </c>
      <c r="G6395">
        <v>2040</v>
      </c>
      <c r="H6395" s="12">
        <v>9.67</v>
      </c>
      <c r="I6395" t="s">
        <v>3183</v>
      </c>
      <c r="J6395" t="s">
        <v>484</v>
      </c>
      <c r="K6395" t="s">
        <v>147</v>
      </c>
      <c r="L6395" t="s">
        <v>3184</v>
      </c>
      <c r="M6395" t="s">
        <v>667</v>
      </c>
    </row>
    <row r="6396" spans="1:13">
      <c r="A6396" t="s">
        <v>851</v>
      </c>
      <c r="B6396" t="s">
        <v>687</v>
      </c>
      <c r="C6396" t="s">
        <v>687</v>
      </c>
      <c r="D6396" t="s">
        <v>236</v>
      </c>
      <c r="E6396" t="s">
        <v>656</v>
      </c>
      <c r="F6396" t="s">
        <v>31</v>
      </c>
      <c r="G6396">
        <v>2045</v>
      </c>
      <c r="H6396" s="12">
        <v>17.82</v>
      </c>
      <c r="I6396" t="s">
        <v>3183</v>
      </c>
      <c r="J6396" t="s">
        <v>484</v>
      </c>
      <c r="K6396" t="s">
        <v>147</v>
      </c>
      <c r="L6396" t="s">
        <v>3184</v>
      </c>
      <c r="M6396" t="s">
        <v>667</v>
      </c>
    </row>
    <row r="6397" spans="1:13">
      <c r="A6397" t="s">
        <v>851</v>
      </c>
      <c r="B6397" t="s">
        <v>686</v>
      </c>
      <c r="C6397" t="s">
        <v>686</v>
      </c>
      <c r="D6397" t="s">
        <v>236</v>
      </c>
      <c r="E6397" t="s">
        <v>461</v>
      </c>
      <c r="F6397" t="s">
        <v>668</v>
      </c>
      <c r="G6397">
        <v>2010</v>
      </c>
      <c r="H6397" s="12">
        <v>36.47</v>
      </c>
      <c r="I6397" t="s">
        <v>3183</v>
      </c>
      <c r="J6397" t="s">
        <v>6</v>
      </c>
      <c r="K6397" t="s">
        <v>147</v>
      </c>
      <c r="L6397" t="s">
        <v>3184</v>
      </c>
      <c r="M6397" t="s">
        <v>666</v>
      </c>
    </row>
    <row r="6398" spans="1:13">
      <c r="A6398" t="s">
        <v>851</v>
      </c>
      <c r="B6398" t="s">
        <v>686</v>
      </c>
      <c r="C6398" t="s">
        <v>686</v>
      </c>
      <c r="D6398" t="s">
        <v>236</v>
      </c>
      <c r="E6398" t="s">
        <v>461</v>
      </c>
      <c r="F6398" t="s">
        <v>668</v>
      </c>
      <c r="G6398">
        <v>2015</v>
      </c>
      <c r="H6398" s="12">
        <v>79.28</v>
      </c>
      <c r="I6398" t="s">
        <v>3183</v>
      </c>
      <c r="J6398" t="s">
        <v>6</v>
      </c>
      <c r="K6398" t="s">
        <v>147</v>
      </c>
      <c r="L6398" t="s">
        <v>3184</v>
      </c>
      <c r="M6398" t="s">
        <v>666</v>
      </c>
    </row>
    <row r="6399" spans="1:13">
      <c r="A6399" t="s">
        <v>851</v>
      </c>
      <c r="B6399" t="s">
        <v>686</v>
      </c>
      <c r="C6399" t="s">
        <v>686</v>
      </c>
      <c r="D6399" t="s">
        <v>236</v>
      </c>
      <c r="E6399" t="s">
        <v>461</v>
      </c>
      <c r="F6399" t="s">
        <v>668</v>
      </c>
      <c r="G6399">
        <v>2020</v>
      </c>
      <c r="H6399" s="12">
        <v>53.25</v>
      </c>
      <c r="I6399" t="s">
        <v>3183</v>
      </c>
      <c r="J6399" t="s">
        <v>6</v>
      </c>
      <c r="K6399" t="s">
        <v>147</v>
      </c>
      <c r="L6399" t="s">
        <v>3184</v>
      </c>
      <c r="M6399" t="s">
        <v>666</v>
      </c>
    </row>
    <row r="6400" spans="1:13">
      <c r="A6400" t="s">
        <v>851</v>
      </c>
      <c r="B6400" t="s">
        <v>686</v>
      </c>
      <c r="C6400" t="s">
        <v>686</v>
      </c>
      <c r="D6400" t="s">
        <v>236</v>
      </c>
      <c r="E6400" t="s">
        <v>461</v>
      </c>
      <c r="F6400" t="s">
        <v>668</v>
      </c>
      <c r="G6400">
        <v>2030</v>
      </c>
      <c r="H6400" s="12">
        <v>27.17</v>
      </c>
      <c r="I6400" t="s">
        <v>3183</v>
      </c>
      <c r="J6400" t="s">
        <v>6</v>
      </c>
      <c r="K6400" t="s">
        <v>147</v>
      </c>
      <c r="L6400" t="s">
        <v>3184</v>
      </c>
      <c r="M6400" t="s">
        <v>666</v>
      </c>
    </row>
    <row r="6401" spans="1:13">
      <c r="A6401" t="s">
        <v>851</v>
      </c>
      <c r="B6401" t="s">
        <v>686</v>
      </c>
      <c r="C6401" t="s">
        <v>686</v>
      </c>
      <c r="D6401" t="s">
        <v>236</v>
      </c>
      <c r="E6401" t="s">
        <v>461</v>
      </c>
      <c r="F6401" t="s">
        <v>668</v>
      </c>
      <c r="G6401">
        <v>2035</v>
      </c>
      <c r="H6401" s="12">
        <v>27.66</v>
      </c>
      <c r="I6401" t="s">
        <v>3183</v>
      </c>
      <c r="J6401" t="s">
        <v>6</v>
      </c>
      <c r="K6401" t="s">
        <v>147</v>
      </c>
      <c r="L6401" t="s">
        <v>3184</v>
      </c>
      <c r="M6401" t="s">
        <v>666</v>
      </c>
    </row>
    <row r="6402" spans="1:13">
      <c r="A6402" t="s">
        <v>851</v>
      </c>
      <c r="B6402" t="s">
        <v>686</v>
      </c>
      <c r="C6402" t="s">
        <v>686</v>
      </c>
      <c r="D6402" t="s">
        <v>236</v>
      </c>
      <c r="E6402" t="s">
        <v>461</v>
      </c>
      <c r="F6402" t="s">
        <v>668</v>
      </c>
      <c r="G6402">
        <v>2040</v>
      </c>
      <c r="H6402" s="12">
        <v>27.63</v>
      </c>
      <c r="I6402" t="s">
        <v>3183</v>
      </c>
      <c r="J6402" t="s">
        <v>6</v>
      </c>
      <c r="K6402" t="s">
        <v>147</v>
      </c>
      <c r="L6402" t="s">
        <v>3184</v>
      </c>
      <c r="M6402" t="s">
        <v>666</v>
      </c>
    </row>
    <row r="6403" spans="1:13">
      <c r="A6403" t="s">
        <v>851</v>
      </c>
      <c r="B6403" t="s">
        <v>686</v>
      </c>
      <c r="C6403" t="s">
        <v>686</v>
      </c>
      <c r="D6403" t="s">
        <v>236</v>
      </c>
      <c r="E6403" t="s">
        <v>461</v>
      </c>
      <c r="F6403" t="s">
        <v>668</v>
      </c>
      <c r="G6403">
        <v>2045</v>
      </c>
      <c r="H6403" s="12">
        <v>26.8</v>
      </c>
      <c r="I6403" t="s">
        <v>3183</v>
      </c>
      <c r="J6403" t="s">
        <v>6</v>
      </c>
      <c r="K6403" t="s">
        <v>147</v>
      </c>
      <c r="L6403" t="s">
        <v>3184</v>
      </c>
      <c r="M6403" t="s">
        <v>666</v>
      </c>
    </row>
    <row r="6404" spans="1:13">
      <c r="A6404" t="s">
        <v>851</v>
      </c>
      <c r="B6404" t="s">
        <v>686</v>
      </c>
      <c r="C6404" t="s">
        <v>686</v>
      </c>
      <c r="D6404" t="s">
        <v>236</v>
      </c>
      <c r="E6404" t="s">
        <v>461</v>
      </c>
      <c r="F6404" t="s">
        <v>668</v>
      </c>
      <c r="G6404">
        <v>2050</v>
      </c>
      <c r="H6404" s="12">
        <v>29.85</v>
      </c>
      <c r="I6404" t="s">
        <v>3183</v>
      </c>
      <c r="J6404" t="s">
        <v>6</v>
      </c>
      <c r="K6404" t="s">
        <v>147</v>
      </c>
      <c r="L6404" t="s">
        <v>3184</v>
      </c>
      <c r="M6404" t="s">
        <v>666</v>
      </c>
    </row>
    <row r="6405" spans="1:13">
      <c r="A6405" t="s">
        <v>851</v>
      </c>
      <c r="B6405" t="s">
        <v>687</v>
      </c>
      <c r="C6405" t="s">
        <v>687</v>
      </c>
      <c r="D6405" t="s">
        <v>236</v>
      </c>
      <c r="E6405" t="s">
        <v>461</v>
      </c>
      <c r="F6405" t="s">
        <v>668</v>
      </c>
      <c r="G6405">
        <v>2030</v>
      </c>
      <c r="H6405" s="12">
        <v>20.85</v>
      </c>
      <c r="I6405" t="s">
        <v>3183</v>
      </c>
      <c r="J6405" t="s">
        <v>6</v>
      </c>
      <c r="K6405" t="s">
        <v>147</v>
      </c>
      <c r="L6405" t="s">
        <v>3184</v>
      </c>
      <c r="M6405" t="s">
        <v>666</v>
      </c>
    </row>
    <row r="6406" spans="1:13">
      <c r="A6406" t="s">
        <v>851</v>
      </c>
      <c r="B6406" t="s">
        <v>687</v>
      </c>
      <c r="C6406" t="s">
        <v>687</v>
      </c>
      <c r="D6406" t="s">
        <v>236</v>
      </c>
      <c r="E6406" t="s">
        <v>461</v>
      </c>
      <c r="F6406" t="s">
        <v>668</v>
      </c>
      <c r="G6406">
        <v>2035</v>
      </c>
      <c r="H6406" s="12">
        <v>17.649999999999999</v>
      </c>
      <c r="I6406" t="s">
        <v>3183</v>
      </c>
      <c r="J6406" t="s">
        <v>6</v>
      </c>
      <c r="K6406" t="s">
        <v>147</v>
      </c>
      <c r="L6406" t="s">
        <v>3184</v>
      </c>
      <c r="M6406" t="s">
        <v>666</v>
      </c>
    </row>
    <row r="6407" spans="1:13">
      <c r="A6407" t="s">
        <v>851</v>
      </c>
      <c r="B6407" t="s">
        <v>687</v>
      </c>
      <c r="C6407" t="s">
        <v>687</v>
      </c>
      <c r="D6407" t="s">
        <v>236</v>
      </c>
      <c r="E6407" t="s">
        <v>461</v>
      </c>
      <c r="F6407" t="s">
        <v>668</v>
      </c>
      <c r="G6407">
        <v>2040</v>
      </c>
      <c r="H6407" s="12">
        <v>14.39</v>
      </c>
      <c r="I6407" t="s">
        <v>3183</v>
      </c>
      <c r="J6407" t="s">
        <v>6</v>
      </c>
      <c r="K6407" t="s">
        <v>147</v>
      </c>
      <c r="L6407" t="s">
        <v>3184</v>
      </c>
      <c r="M6407" t="s">
        <v>666</v>
      </c>
    </row>
    <row r="6408" spans="1:13">
      <c r="A6408" t="s">
        <v>851</v>
      </c>
      <c r="B6408" t="s">
        <v>687</v>
      </c>
      <c r="C6408" t="s">
        <v>687</v>
      </c>
      <c r="D6408" t="s">
        <v>236</v>
      </c>
      <c r="E6408" t="s">
        <v>461</v>
      </c>
      <c r="F6408" t="s">
        <v>668</v>
      </c>
      <c r="G6408">
        <v>2045</v>
      </c>
      <c r="H6408" s="12">
        <v>14.05</v>
      </c>
      <c r="I6408" t="s">
        <v>3183</v>
      </c>
      <c r="J6408" t="s">
        <v>6</v>
      </c>
      <c r="K6408" t="s">
        <v>147</v>
      </c>
      <c r="L6408" t="s">
        <v>3184</v>
      </c>
      <c r="M6408" t="s">
        <v>666</v>
      </c>
    </row>
    <row r="6409" spans="1:13">
      <c r="A6409" t="s">
        <v>851</v>
      </c>
      <c r="B6409" t="s">
        <v>687</v>
      </c>
      <c r="C6409" t="s">
        <v>687</v>
      </c>
      <c r="D6409" t="s">
        <v>236</v>
      </c>
      <c r="E6409" t="s">
        <v>461</v>
      </c>
      <c r="F6409" t="s">
        <v>668</v>
      </c>
      <c r="G6409">
        <v>2050</v>
      </c>
      <c r="H6409" s="12">
        <v>10.27</v>
      </c>
      <c r="I6409" t="s">
        <v>3183</v>
      </c>
      <c r="J6409" t="s">
        <v>6</v>
      </c>
      <c r="K6409" t="s">
        <v>147</v>
      </c>
      <c r="L6409" t="s">
        <v>3184</v>
      </c>
      <c r="M6409" t="s">
        <v>666</v>
      </c>
    </row>
    <row r="6410" spans="1:13">
      <c r="A6410" t="s">
        <v>851</v>
      </c>
      <c r="B6410" t="s">
        <v>686</v>
      </c>
      <c r="C6410" t="s">
        <v>686</v>
      </c>
      <c r="D6410" t="s">
        <v>236</v>
      </c>
      <c r="E6410" t="s">
        <v>461</v>
      </c>
      <c r="F6410" t="s">
        <v>668</v>
      </c>
      <c r="G6410">
        <v>2010</v>
      </c>
      <c r="H6410" s="12">
        <v>16.07</v>
      </c>
      <c r="I6410" t="s">
        <v>3183</v>
      </c>
      <c r="J6410" t="s">
        <v>394</v>
      </c>
      <c r="K6410" t="s">
        <v>147</v>
      </c>
      <c r="L6410" t="s">
        <v>3184</v>
      </c>
      <c r="M6410" t="s">
        <v>16</v>
      </c>
    </row>
    <row r="6411" spans="1:13">
      <c r="A6411" t="s">
        <v>851</v>
      </c>
      <c r="B6411" t="s">
        <v>686</v>
      </c>
      <c r="C6411" t="s">
        <v>686</v>
      </c>
      <c r="D6411" t="s">
        <v>236</v>
      </c>
      <c r="E6411" t="s">
        <v>461</v>
      </c>
      <c r="F6411" t="s">
        <v>668</v>
      </c>
      <c r="G6411">
        <v>2015</v>
      </c>
      <c r="H6411" s="12">
        <v>28.7</v>
      </c>
      <c r="I6411" t="s">
        <v>3183</v>
      </c>
      <c r="J6411" t="s">
        <v>394</v>
      </c>
      <c r="K6411" t="s">
        <v>147</v>
      </c>
      <c r="L6411" t="s">
        <v>3184</v>
      </c>
      <c r="M6411" t="s">
        <v>16</v>
      </c>
    </row>
    <row r="6412" spans="1:13">
      <c r="A6412" t="s">
        <v>851</v>
      </c>
      <c r="B6412" t="s">
        <v>686</v>
      </c>
      <c r="C6412" t="s">
        <v>686</v>
      </c>
      <c r="D6412" t="s">
        <v>236</v>
      </c>
      <c r="E6412" t="s">
        <v>461</v>
      </c>
      <c r="F6412" t="s">
        <v>668</v>
      </c>
      <c r="G6412">
        <v>2020</v>
      </c>
      <c r="H6412" s="12">
        <v>10.74</v>
      </c>
      <c r="I6412" t="s">
        <v>3183</v>
      </c>
      <c r="J6412" t="s">
        <v>394</v>
      </c>
      <c r="K6412" t="s">
        <v>147</v>
      </c>
      <c r="L6412" t="s">
        <v>3184</v>
      </c>
      <c r="M6412" t="s">
        <v>16</v>
      </c>
    </row>
    <row r="6413" spans="1:13">
      <c r="A6413" t="s">
        <v>851</v>
      </c>
      <c r="B6413" t="s">
        <v>686</v>
      </c>
      <c r="C6413" t="s">
        <v>686</v>
      </c>
      <c r="D6413" t="s">
        <v>236</v>
      </c>
      <c r="E6413" t="s">
        <v>656</v>
      </c>
      <c r="F6413" t="s">
        <v>31</v>
      </c>
      <c r="G6413">
        <v>2010</v>
      </c>
      <c r="H6413" s="12">
        <v>0</v>
      </c>
      <c r="I6413" t="s">
        <v>3183</v>
      </c>
      <c r="J6413" t="s">
        <v>17</v>
      </c>
      <c r="K6413" t="s">
        <v>147</v>
      </c>
      <c r="L6413" t="s">
        <v>3184</v>
      </c>
      <c r="M6413" t="s">
        <v>671</v>
      </c>
    </row>
    <row r="6414" spans="1:13">
      <c r="A6414" t="s">
        <v>851</v>
      </c>
      <c r="B6414" t="s">
        <v>686</v>
      </c>
      <c r="C6414" t="s">
        <v>686</v>
      </c>
      <c r="D6414" t="s">
        <v>236</v>
      </c>
      <c r="E6414" t="s">
        <v>656</v>
      </c>
      <c r="F6414" t="s">
        <v>31</v>
      </c>
      <c r="G6414">
        <v>2015</v>
      </c>
      <c r="H6414" s="12">
        <v>0.05</v>
      </c>
      <c r="I6414" t="s">
        <v>3183</v>
      </c>
      <c r="J6414" t="s">
        <v>17</v>
      </c>
      <c r="K6414" t="s">
        <v>147</v>
      </c>
      <c r="L6414" t="s">
        <v>3184</v>
      </c>
      <c r="M6414" t="s">
        <v>671</v>
      </c>
    </row>
    <row r="6415" spans="1:13">
      <c r="A6415" t="s">
        <v>851</v>
      </c>
      <c r="B6415" t="s">
        <v>686</v>
      </c>
      <c r="C6415" t="s">
        <v>686</v>
      </c>
      <c r="D6415" t="s">
        <v>236</v>
      </c>
      <c r="E6415" t="s">
        <v>656</v>
      </c>
      <c r="F6415" t="s">
        <v>31</v>
      </c>
      <c r="G6415">
        <v>2020</v>
      </c>
      <c r="H6415" s="12">
        <v>7.88</v>
      </c>
      <c r="I6415" t="s">
        <v>3183</v>
      </c>
      <c r="J6415" t="s">
        <v>17</v>
      </c>
      <c r="K6415" t="s">
        <v>147</v>
      </c>
      <c r="L6415" t="s">
        <v>3184</v>
      </c>
      <c r="M6415" t="s">
        <v>671</v>
      </c>
    </row>
    <row r="6416" spans="1:13">
      <c r="A6416" t="s">
        <v>851</v>
      </c>
      <c r="B6416" t="s">
        <v>686</v>
      </c>
      <c r="C6416" t="s">
        <v>686</v>
      </c>
      <c r="D6416" t="s">
        <v>236</v>
      </c>
      <c r="E6416" t="s">
        <v>656</v>
      </c>
      <c r="F6416" t="s">
        <v>31</v>
      </c>
      <c r="G6416">
        <v>2030</v>
      </c>
      <c r="H6416" s="12">
        <v>79</v>
      </c>
      <c r="I6416" t="s">
        <v>3183</v>
      </c>
      <c r="J6416" t="s">
        <v>17</v>
      </c>
      <c r="K6416" t="s">
        <v>147</v>
      </c>
      <c r="L6416" t="s">
        <v>3184</v>
      </c>
      <c r="M6416" t="s">
        <v>671</v>
      </c>
    </row>
    <row r="6417" spans="1:13">
      <c r="A6417" t="s">
        <v>851</v>
      </c>
      <c r="B6417" t="s">
        <v>686</v>
      </c>
      <c r="C6417" t="s">
        <v>686</v>
      </c>
      <c r="D6417" t="s">
        <v>236</v>
      </c>
      <c r="E6417" t="s">
        <v>656</v>
      </c>
      <c r="F6417" t="s">
        <v>31</v>
      </c>
      <c r="G6417">
        <v>2035</v>
      </c>
      <c r="H6417" s="12">
        <v>104.33</v>
      </c>
      <c r="I6417" t="s">
        <v>3183</v>
      </c>
      <c r="J6417" t="s">
        <v>17</v>
      </c>
      <c r="K6417" t="s">
        <v>147</v>
      </c>
      <c r="L6417" t="s">
        <v>3184</v>
      </c>
      <c r="M6417" t="s">
        <v>671</v>
      </c>
    </row>
    <row r="6418" spans="1:13">
      <c r="A6418" t="s">
        <v>851</v>
      </c>
      <c r="B6418" t="s">
        <v>686</v>
      </c>
      <c r="C6418" t="s">
        <v>686</v>
      </c>
      <c r="D6418" t="s">
        <v>236</v>
      </c>
      <c r="E6418" t="s">
        <v>656</v>
      </c>
      <c r="F6418" t="s">
        <v>31</v>
      </c>
      <c r="G6418">
        <v>2040</v>
      </c>
      <c r="H6418" s="12">
        <v>129.91</v>
      </c>
      <c r="I6418" t="s">
        <v>3183</v>
      </c>
      <c r="J6418" t="s">
        <v>17</v>
      </c>
      <c r="K6418" t="s">
        <v>147</v>
      </c>
      <c r="L6418" t="s">
        <v>3184</v>
      </c>
      <c r="M6418" t="s">
        <v>671</v>
      </c>
    </row>
    <row r="6419" spans="1:13">
      <c r="A6419" t="s">
        <v>851</v>
      </c>
      <c r="B6419" t="s">
        <v>686</v>
      </c>
      <c r="C6419" t="s">
        <v>686</v>
      </c>
      <c r="D6419" t="s">
        <v>236</v>
      </c>
      <c r="E6419" t="s">
        <v>656</v>
      </c>
      <c r="F6419" t="s">
        <v>31</v>
      </c>
      <c r="G6419">
        <v>2045</v>
      </c>
      <c r="H6419" s="12">
        <v>161.83000000000001</v>
      </c>
      <c r="I6419" t="s">
        <v>3183</v>
      </c>
      <c r="J6419" t="s">
        <v>17</v>
      </c>
      <c r="K6419" t="s">
        <v>147</v>
      </c>
      <c r="L6419" t="s">
        <v>3184</v>
      </c>
      <c r="M6419" t="s">
        <v>671</v>
      </c>
    </row>
    <row r="6420" spans="1:13">
      <c r="A6420" t="s">
        <v>851</v>
      </c>
      <c r="B6420" t="s">
        <v>686</v>
      </c>
      <c r="C6420" t="s">
        <v>686</v>
      </c>
      <c r="D6420" t="s">
        <v>236</v>
      </c>
      <c r="E6420" t="s">
        <v>656</v>
      </c>
      <c r="F6420" t="s">
        <v>31</v>
      </c>
      <c r="G6420">
        <v>2050</v>
      </c>
      <c r="H6420" s="12">
        <v>197.54</v>
      </c>
      <c r="I6420" t="s">
        <v>3183</v>
      </c>
      <c r="J6420" t="s">
        <v>17</v>
      </c>
      <c r="K6420" t="s">
        <v>147</v>
      </c>
      <c r="L6420" t="s">
        <v>3184</v>
      </c>
      <c r="M6420" t="s">
        <v>671</v>
      </c>
    </row>
    <row r="6421" spans="1:13">
      <c r="A6421" t="s">
        <v>851</v>
      </c>
      <c r="B6421" t="s">
        <v>687</v>
      </c>
      <c r="C6421" t="s">
        <v>687</v>
      </c>
      <c r="D6421" t="s">
        <v>236</v>
      </c>
      <c r="E6421" t="s">
        <v>656</v>
      </c>
      <c r="F6421" t="s">
        <v>31</v>
      </c>
      <c r="G6421">
        <v>2030</v>
      </c>
      <c r="H6421" s="12">
        <v>88.31</v>
      </c>
      <c r="I6421" t="s">
        <v>3183</v>
      </c>
      <c r="J6421" t="s">
        <v>17</v>
      </c>
      <c r="K6421" t="s">
        <v>147</v>
      </c>
      <c r="L6421" t="s">
        <v>3184</v>
      </c>
      <c r="M6421" t="s">
        <v>671</v>
      </c>
    </row>
    <row r="6422" spans="1:13">
      <c r="A6422" t="s">
        <v>851</v>
      </c>
      <c r="B6422" t="s">
        <v>687</v>
      </c>
      <c r="C6422" t="s">
        <v>687</v>
      </c>
      <c r="D6422" t="s">
        <v>236</v>
      </c>
      <c r="E6422" t="s">
        <v>656</v>
      </c>
      <c r="F6422" t="s">
        <v>31</v>
      </c>
      <c r="G6422">
        <v>2035</v>
      </c>
      <c r="H6422" s="12">
        <v>119.61</v>
      </c>
      <c r="I6422" t="s">
        <v>3183</v>
      </c>
      <c r="J6422" t="s">
        <v>17</v>
      </c>
      <c r="K6422" t="s">
        <v>147</v>
      </c>
      <c r="L6422" t="s">
        <v>3184</v>
      </c>
      <c r="M6422" t="s">
        <v>671</v>
      </c>
    </row>
    <row r="6423" spans="1:13">
      <c r="A6423" t="s">
        <v>851</v>
      </c>
      <c r="B6423" t="s">
        <v>687</v>
      </c>
      <c r="C6423" t="s">
        <v>687</v>
      </c>
      <c r="D6423" t="s">
        <v>236</v>
      </c>
      <c r="E6423" t="s">
        <v>656</v>
      </c>
      <c r="F6423" t="s">
        <v>31</v>
      </c>
      <c r="G6423">
        <v>2040</v>
      </c>
      <c r="H6423" s="12">
        <v>153.29</v>
      </c>
      <c r="I6423" t="s">
        <v>3183</v>
      </c>
      <c r="J6423" t="s">
        <v>17</v>
      </c>
      <c r="K6423" t="s">
        <v>147</v>
      </c>
      <c r="L6423" t="s">
        <v>3184</v>
      </c>
      <c r="M6423" t="s">
        <v>671</v>
      </c>
    </row>
    <row r="6424" spans="1:13">
      <c r="A6424" t="s">
        <v>851</v>
      </c>
      <c r="B6424" t="s">
        <v>687</v>
      </c>
      <c r="C6424" t="s">
        <v>687</v>
      </c>
      <c r="D6424" t="s">
        <v>236</v>
      </c>
      <c r="E6424" t="s">
        <v>656</v>
      </c>
      <c r="F6424" t="s">
        <v>31</v>
      </c>
      <c r="G6424">
        <v>2045</v>
      </c>
      <c r="H6424" s="12">
        <v>197.6</v>
      </c>
      <c r="I6424" t="s">
        <v>3183</v>
      </c>
      <c r="J6424" t="s">
        <v>17</v>
      </c>
      <c r="K6424" t="s">
        <v>147</v>
      </c>
      <c r="L6424" t="s">
        <v>3184</v>
      </c>
      <c r="M6424" t="s">
        <v>671</v>
      </c>
    </row>
    <row r="6425" spans="1:13">
      <c r="A6425" t="s">
        <v>851</v>
      </c>
      <c r="B6425" t="s">
        <v>687</v>
      </c>
      <c r="C6425" t="s">
        <v>687</v>
      </c>
      <c r="D6425" t="s">
        <v>236</v>
      </c>
      <c r="E6425" t="s">
        <v>656</v>
      </c>
      <c r="F6425" t="s">
        <v>31</v>
      </c>
      <c r="G6425">
        <v>2050</v>
      </c>
      <c r="H6425" s="12">
        <v>248.69</v>
      </c>
      <c r="I6425" t="s">
        <v>3183</v>
      </c>
      <c r="J6425" t="s">
        <v>17</v>
      </c>
      <c r="K6425" t="s">
        <v>147</v>
      </c>
      <c r="L6425" t="s">
        <v>3184</v>
      </c>
      <c r="M6425" t="s">
        <v>671</v>
      </c>
    </row>
    <row r="6426" spans="1:13">
      <c r="A6426" t="s">
        <v>851</v>
      </c>
      <c r="B6426" t="s">
        <v>686</v>
      </c>
      <c r="C6426" t="s">
        <v>686</v>
      </c>
      <c r="D6426" t="s">
        <v>236</v>
      </c>
      <c r="E6426" t="s">
        <v>656</v>
      </c>
      <c r="F6426" t="s">
        <v>31</v>
      </c>
      <c r="G6426">
        <v>2010</v>
      </c>
      <c r="H6426" s="12">
        <v>0.93</v>
      </c>
      <c r="I6426" t="s">
        <v>3183</v>
      </c>
      <c r="J6426" t="s">
        <v>18</v>
      </c>
      <c r="K6426" t="s">
        <v>147</v>
      </c>
      <c r="L6426" t="s">
        <v>3184</v>
      </c>
      <c r="M6426" t="s">
        <v>18</v>
      </c>
    </row>
    <row r="6427" spans="1:13">
      <c r="A6427" t="s">
        <v>851</v>
      </c>
      <c r="B6427" t="s">
        <v>686</v>
      </c>
      <c r="C6427" t="s">
        <v>686</v>
      </c>
      <c r="D6427" t="s">
        <v>236</v>
      </c>
      <c r="E6427" t="s">
        <v>656</v>
      </c>
      <c r="F6427" t="s">
        <v>31</v>
      </c>
      <c r="G6427">
        <v>2015</v>
      </c>
      <c r="H6427" s="12">
        <v>7.63</v>
      </c>
      <c r="I6427" t="s">
        <v>3183</v>
      </c>
      <c r="J6427" t="s">
        <v>18</v>
      </c>
      <c r="K6427" t="s">
        <v>147</v>
      </c>
      <c r="L6427" t="s">
        <v>3184</v>
      </c>
      <c r="M6427" t="s">
        <v>18</v>
      </c>
    </row>
    <row r="6428" spans="1:13">
      <c r="A6428" t="s">
        <v>851</v>
      </c>
      <c r="B6428" t="s">
        <v>686</v>
      </c>
      <c r="C6428" t="s">
        <v>686</v>
      </c>
      <c r="D6428" t="s">
        <v>236</v>
      </c>
      <c r="E6428" t="s">
        <v>656</v>
      </c>
      <c r="F6428" t="s">
        <v>31</v>
      </c>
      <c r="G6428">
        <v>2020</v>
      </c>
      <c r="H6428" s="12">
        <v>17.11</v>
      </c>
      <c r="I6428" t="s">
        <v>3183</v>
      </c>
      <c r="J6428" t="s">
        <v>18</v>
      </c>
      <c r="K6428" t="s">
        <v>147</v>
      </c>
      <c r="L6428" t="s">
        <v>3184</v>
      </c>
      <c r="M6428" t="s">
        <v>18</v>
      </c>
    </row>
    <row r="6429" spans="1:13">
      <c r="A6429" t="s">
        <v>851</v>
      </c>
      <c r="B6429" t="s">
        <v>686</v>
      </c>
      <c r="C6429" t="s">
        <v>686</v>
      </c>
      <c r="D6429" t="s">
        <v>236</v>
      </c>
      <c r="E6429" t="s">
        <v>656</v>
      </c>
      <c r="F6429" t="s">
        <v>31</v>
      </c>
      <c r="G6429">
        <v>2030</v>
      </c>
      <c r="H6429" s="12">
        <v>37.270000000000003</v>
      </c>
      <c r="I6429" t="s">
        <v>3183</v>
      </c>
      <c r="J6429" t="s">
        <v>18</v>
      </c>
      <c r="K6429" t="s">
        <v>147</v>
      </c>
      <c r="L6429" t="s">
        <v>3184</v>
      </c>
      <c r="M6429" t="s">
        <v>18</v>
      </c>
    </row>
    <row r="6430" spans="1:13">
      <c r="A6430" t="s">
        <v>851</v>
      </c>
      <c r="B6430" t="s">
        <v>686</v>
      </c>
      <c r="C6430" t="s">
        <v>686</v>
      </c>
      <c r="D6430" t="s">
        <v>236</v>
      </c>
      <c r="E6430" t="s">
        <v>656</v>
      </c>
      <c r="F6430" t="s">
        <v>31</v>
      </c>
      <c r="G6430">
        <v>2035</v>
      </c>
      <c r="H6430" s="12">
        <v>42.82</v>
      </c>
      <c r="I6430" t="s">
        <v>3183</v>
      </c>
      <c r="J6430" t="s">
        <v>18</v>
      </c>
      <c r="K6430" t="s">
        <v>147</v>
      </c>
      <c r="L6430" t="s">
        <v>3184</v>
      </c>
      <c r="M6430" t="s">
        <v>18</v>
      </c>
    </row>
    <row r="6431" spans="1:13">
      <c r="A6431" t="s">
        <v>851</v>
      </c>
      <c r="B6431" t="s">
        <v>686</v>
      </c>
      <c r="C6431" t="s">
        <v>686</v>
      </c>
      <c r="D6431" t="s">
        <v>236</v>
      </c>
      <c r="E6431" t="s">
        <v>656</v>
      </c>
      <c r="F6431" t="s">
        <v>31</v>
      </c>
      <c r="G6431">
        <v>2040</v>
      </c>
      <c r="H6431" s="12">
        <v>48.9</v>
      </c>
      <c r="I6431" t="s">
        <v>3183</v>
      </c>
      <c r="J6431" t="s">
        <v>18</v>
      </c>
      <c r="K6431" t="s">
        <v>147</v>
      </c>
      <c r="L6431" t="s">
        <v>3184</v>
      </c>
      <c r="M6431" t="s">
        <v>18</v>
      </c>
    </row>
    <row r="6432" spans="1:13">
      <c r="A6432" t="s">
        <v>851</v>
      </c>
      <c r="B6432" t="s">
        <v>686</v>
      </c>
      <c r="C6432" t="s">
        <v>686</v>
      </c>
      <c r="D6432" t="s">
        <v>236</v>
      </c>
      <c r="E6432" t="s">
        <v>656</v>
      </c>
      <c r="F6432" t="s">
        <v>31</v>
      </c>
      <c r="G6432">
        <v>2045</v>
      </c>
      <c r="H6432" s="12">
        <v>56.95</v>
      </c>
      <c r="I6432" t="s">
        <v>3183</v>
      </c>
      <c r="J6432" t="s">
        <v>18</v>
      </c>
      <c r="K6432" t="s">
        <v>147</v>
      </c>
      <c r="L6432" t="s">
        <v>3184</v>
      </c>
      <c r="M6432" t="s">
        <v>18</v>
      </c>
    </row>
    <row r="6433" spans="1:13">
      <c r="A6433" t="s">
        <v>851</v>
      </c>
      <c r="B6433" t="s">
        <v>686</v>
      </c>
      <c r="C6433" t="s">
        <v>686</v>
      </c>
      <c r="D6433" t="s">
        <v>236</v>
      </c>
      <c r="E6433" t="s">
        <v>656</v>
      </c>
      <c r="F6433" t="s">
        <v>31</v>
      </c>
      <c r="G6433">
        <v>2050</v>
      </c>
      <c r="H6433" s="12">
        <v>66.72</v>
      </c>
      <c r="I6433" t="s">
        <v>3183</v>
      </c>
      <c r="J6433" t="s">
        <v>18</v>
      </c>
      <c r="K6433" t="s">
        <v>147</v>
      </c>
      <c r="L6433" t="s">
        <v>3184</v>
      </c>
      <c r="M6433" t="s">
        <v>18</v>
      </c>
    </row>
    <row r="6434" spans="1:13">
      <c r="A6434" t="s">
        <v>851</v>
      </c>
      <c r="B6434" t="s">
        <v>687</v>
      </c>
      <c r="C6434" t="s">
        <v>687</v>
      </c>
      <c r="D6434" t="s">
        <v>236</v>
      </c>
      <c r="E6434" t="s">
        <v>656</v>
      </c>
      <c r="F6434" t="s">
        <v>31</v>
      </c>
      <c r="G6434">
        <v>2030</v>
      </c>
      <c r="H6434" s="12">
        <v>41.51</v>
      </c>
      <c r="I6434" t="s">
        <v>3183</v>
      </c>
      <c r="J6434" t="s">
        <v>18</v>
      </c>
      <c r="K6434" t="s">
        <v>147</v>
      </c>
      <c r="L6434" t="s">
        <v>3184</v>
      </c>
      <c r="M6434" t="s">
        <v>18</v>
      </c>
    </row>
    <row r="6435" spans="1:13">
      <c r="A6435" t="s">
        <v>851</v>
      </c>
      <c r="B6435" t="s">
        <v>687</v>
      </c>
      <c r="C6435" t="s">
        <v>687</v>
      </c>
      <c r="D6435" t="s">
        <v>236</v>
      </c>
      <c r="E6435" t="s">
        <v>656</v>
      </c>
      <c r="F6435" t="s">
        <v>31</v>
      </c>
      <c r="G6435">
        <v>2035</v>
      </c>
      <c r="H6435" s="12">
        <v>47.75</v>
      </c>
      <c r="I6435" t="s">
        <v>3183</v>
      </c>
      <c r="J6435" t="s">
        <v>18</v>
      </c>
      <c r="K6435" t="s">
        <v>147</v>
      </c>
      <c r="L6435" t="s">
        <v>3184</v>
      </c>
      <c r="M6435" t="s">
        <v>18</v>
      </c>
    </row>
    <row r="6436" spans="1:13">
      <c r="A6436" t="s">
        <v>851</v>
      </c>
      <c r="B6436" t="s">
        <v>687</v>
      </c>
      <c r="C6436" t="s">
        <v>687</v>
      </c>
      <c r="D6436" t="s">
        <v>236</v>
      </c>
      <c r="E6436" t="s">
        <v>656</v>
      </c>
      <c r="F6436" t="s">
        <v>31</v>
      </c>
      <c r="G6436">
        <v>2040</v>
      </c>
      <c r="H6436" s="12">
        <v>54.25</v>
      </c>
      <c r="I6436" t="s">
        <v>3183</v>
      </c>
      <c r="J6436" t="s">
        <v>18</v>
      </c>
      <c r="K6436" t="s">
        <v>147</v>
      </c>
      <c r="L6436" t="s">
        <v>3184</v>
      </c>
      <c r="M6436" t="s">
        <v>18</v>
      </c>
    </row>
    <row r="6437" spans="1:13">
      <c r="A6437" t="s">
        <v>851</v>
      </c>
      <c r="B6437" t="s">
        <v>687</v>
      </c>
      <c r="C6437" t="s">
        <v>687</v>
      </c>
      <c r="D6437" t="s">
        <v>236</v>
      </c>
      <c r="E6437" t="s">
        <v>656</v>
      </c>
      <c r="F6437" t="s">
        <v>31</v>
      </c>
      <c r="G6437">
        <v>2045</v>
      </c>
      <c r="H6437" s="12">
        <v>62.64</v>
      </c>
      <c r="I6437" t="s">
        <v>3183</v>
      </c>
      <c r="J6437" t="s">
        <v>18</v>
      </c>
      <c r="K6437" t="s">
        <v>147</v>
      </c>
      <c r="L6437" t="s">
        <v>3184</v>
      </c>
      <c r="M6437" t="s">
        <v>18</v>
      </c>
    </row>
    <row r="6438" spans="1:13">
      <c r="A6438" t="s">
        <v>851</v>
      </c>
      <c r="B6438" t="s">
        <v>687</v>
      </c>
      <c r="C6438" t="s">
        <v>687</v>
      </c>
      <c r="D6438" t="s">
        <v>236</v>
      </c>
      <c r="E6438" t="s">
        <v>656</v>
      </c>
      <c r="F6438" t="s">
        <v>31</v>
      </c>
      <c r="G6438">
        <v>2050</v>
      </c>
      <c r="H6438" s="12">
        <v>74.87</v>
      </c>
      <c r="I6438" t="s">
        <v>3183</v>
      </c>
      <c r="J6438" t="s">
        <v>18</v>
      </c>
      <c r="K6438" t="s">
        <v>147</v>
      </c>
      <c r="L6438" t="s">
        <v>3184</v>
      </c>
      <c r="M6438" t="s">
        <v>18</v>
      </c>
    </row>
    <row r="6439" spans="1:13">
      <c r="A6439" t="s">
        <v>851</v>
      </c>
      <c r="B6439" t="s">
        <v>686</v>
      </c>
      <c r="C6439" t="s">
        <v>686</v>
      </c>
      <c r="D6439" t="s">
        <v>236</v>
      </c>
      <c r="E6439" t="s">
        <v>656</v>
      </c>
      <c r="F6439" t="s">
        <v>31</v>
      </c>
      <c r="G6439">
        <v>2010</v>
      </c>
      <c r="H6439" s="12">
        <v>80.7</v>
      </c>
      <c r="I6439" t="s">
        <v>3183</v>
      </c>
      <c r="J6439" t="s">
        <v>14</v>
      </c>
      <c r="K6439" t="s">
        <v>147</v>
      </c>
      <c r="L6439" t="s">
        <v>3184</v>
      </c>
      <c r="M6439" t="s">
        <v>14</v>
      </c>
    </row>
    <row r="6440" spans="1:13">
      <c r="A6440" t="s">
        <v>851</v>
      </c>
      <c r="B6440" t="s">
        <v>686</v>
      </c>
      <c r="C6440" t="s">
        <v>686</v>
      </c>
      <c r="D6440" t="s">
        <v>236</v>
      </c>
      <c r="E6440" t="s">
        <v>656</v>
      </c>
      <c r="F6440" t="s">
        <v>31</v>
      </c>
      <c r="G6440">
        <v>2015</v>
      </c>
      <c r="H6440" s="12">
        <v>91.65</v>
      </c>
      <c r="I6440" t="s">
        <v>3183</v>
      </c>
      <c r="J6440" t="s">
        <v>14</v>
      </c>
      <c r="K6440" t="s">
        <v>147</v>
      </c>
      <c r="L6440" t="s">
        <v>3184</v>
      </c>
      <c r="M6440" t="s">
        <v>14</v>
      </c>
    </row>
    <row r="6441" spans="1:13">
      <c r="A6441" t="s">
        <v>851</v>
      </c>
      <c r="B6441" t="s">
        <v>686</v>
      </c>
      <c r="C6441" t="s">
        <v>686</v>
      </c>
      <c r="D6441" t="s">
        <v>236</v>
      </c>
      <c r="E6441" t="s">
        <v>656</v>
      </c>
      <c r="F6441" t="s">
        <v>31</v>
      </c>
      <c r="G6441">
        <v>2020</v>
      </c>
      <c r="H6441" s="12">
        <v>110.41</v>
      </c>
      <c r="I6441" t="s">
        <v>3183</v>
      </c>
      <c r="J6441" t="s">
        <v>14</v>
      </c>
      <c r="K6441" t="s">
        <v>147</v>
      </c>
      <c r="L6441" t="s">
        <v>3184</v>
      </c>
      <c r="M6441" t="s">
        <v>14</v>
      </c>
    </row>
    <row r="6442" spans="1:13">
      <c r="A6442" t="s">
        <v>851</v>
      </c>
      <c r="B6442" t="s">
        <v>686</v>
      </c>
      <c r="C6442" t="s">
        <v>686</v>
      </c>
      <c r="D6442" t="s">
        <v>236</v>
      </c>
      <c r="E6442" t="s">
        <v>656</v>
      </c>
      <c r="F6442" t="s">
        <v>31</v>
      </c>
      <c r="G6442">
        <v>2030</v>
      </c>
      <c r="H6442" s="12">
        <v>112.37</v>
      </c>
      <c r="I6442" t="s">
        <v>3183</v>
      </c>
      <c r="J6442" t="s">
        <v>14</v>
      </c>
      <c r="K6442" t="s">
        <v>147</v>
      </c>
      <c r="L6442" t="s">
        <v>3184</v>
      </c>
      <c r="M6442" t="s">
        <v>14</v>
      </c>
    </row>
    <row r="6443" spans="1:13">
      <c r="A6443" t="s">
        <v>851</v>
      </c>
      <c r="B6443" t="s">
        <v>686</v>
      </c>
      <c r="C6443" t="s">
        <v>686</v>
      </c>
      <c r="D6443" t="s">
        <v>236</v>
      </c>
      <c r="E6443" t="s">
        <v>656</v>
      </c>
      <c r="F6443" t="s">
        <v>31</v>
      </c>
      <c r="G6443">
        <v>2035</v>
      </c>
      <c r="H6443" s="12">
        <v>113.06</v>
      </c>
      <c r="I6443" t="s">
        <v>3183</v>
      </c>
      <c r="J6443" t="s">
        <v>14</v>
      </c>
      <c r="K6443" t="s">
        <v>147</v>
      </c>
      <c r="L6443" t="s">
        <v>3184</v>
      </c>
      <c r="M6443" t="s">
        <v>14</v>
      </c>
    </row>
    <row r="6444" spans="1:13">
      <c r="A6444" t="s">
        <v>851</v>
      </c>
      <c r="B6444" t="s">
        <v>686</v>
      </c>
      <c r="C6444" t="s">
        <v>686</v>
      </c>
      <c r="D6444" t="s">
        <v>236</v>
      </c>
      <c r="E6444" t="s">
        <v>656</v>
      </c>
      <c r="F6444" t="s">
        <v>31</v>
      </c>
      <c r="G6444">
        <v>2040</v>
      </c>
      <c r="H6444" s="12">
        <v>113.75</v>
      </c>
      <c r="I6444" t="s">
        <v>3183</v>
      </c>
      <c r="J6444" t="s">
        <v>14</v>
      </c>
      <c r="K6444" t="s">
        <v>147</v>
      </c>
      <c r="L6444" t="s">
        <v>3184</v>
      </c>
      <c r="M6444" t="s">
        <v>14</v>
      </c>
    </row>
    <row r="6445" spans="1:13">
      <c r="A6445" t="s">
        <v>851</v>
      </c>
      <c r="B6445" t="s">
        <v>686</v>
      </c>
      <c r="C6445" t="s">
        <v>686</v>
      </c>
      <c r="D6445" t="s">
        <v>236</v>
      </c>
      <c r="E6445" t="s">
        <v>656</v>
      </c>
      <c r="F6445" t="s">
        <v>31</v>
      </c>
      <c r="G6445">
        <v>2045</v>
      </c>
      <c r="H6445" s="12">
        <v>114.43</v>
      </c>
      <c r="I6445" t="s">
        <v>3183</v>
      </c>
      <c r="J6445" t="s">
        <v>14</v>
      </c>
      <c r="K6445" t="s">
        <v>147</v>
      </c>
      <c r="L6445" t="s">
        <v>3184</v>
      </c>
      <c r="M6445" t="s">
        <v>14</v>
      </c>
    </row>
    <row r="6446" spans="1:13">
      <c r="A6446" t="s">
        <v>851</v>
      </c>
      <c r="B6446" t="s">
        <v>686</v>
      </c>
      <c r="C6446" t="s">
        <v>686</v>
      </c>
      <c r="D6446" t="s">
        <v>236</v>
      </c>
      <c r="E6446" t="s">
        <v>656</v>
      </c>
      <c r="F6446" t="s">
        <v>31</v>
      </c>
      <c r="G6446">
        <v>2050</v>
      </c>
      <c r="H6446" s="12">
        <v>115.31</v>
      </c>
      <c r="I6446" t="s">
        <v>3183</v>
      </c>
      <c r="J6446" t="s">
        <v>14</v>
      </c>
      <c r="K6446" t="s">
        <v>147</v>
      </c>
      <c r="L6446" t="s">
        <v>3184</v>
      </c>
      <c r="M6446" t="s">
        <v>14</v>
      </c>
    </row>
    <row r="6447" spans="1:13">
      <c r="A6447" t="s">
        <v>851</v>
      </c>
      <c r="B6447" t="s">
        <v>687</v>
      </c>
      <c r="C6447" t="s">
        <v>687</v>
      </c>
      <c r="D6447" t="s">
        <v>236</v>
      </c>
      <c r="E6447" t="s">
        <v>656</v>
      </c>
      <c r="F6447" t="s">
        <v>31</v>
      </c>
      <c r="G6447">
        <v>2030</v>
      </c>
      <c r="H6447" s="12">
        <v>112.87</v>
      </c>
      <c r="I6447" t="s">
        <v>3183</v>
      </c>
      <c r="J6447" t="s">
        <v>14</v>
      </c>
      <c r="K6447" t="s">
        <v>147</v>
      </c>
      <c r="L6447" t="s">
        <v>3184</v>
      </c>
      <c r="M6447" t="s">
        <v>14</v>
      </c>
    </row>
    <row r="6448" spans="1:13">
      <c r="A6448" t="s">
        <v>851</v>
      </c>
      <c r="B6448" t="s">
        <v>687</v>
      </c>
      <c r="C6448" t="s">
        <v>687</v>
      </c>
      <c r="D6448" t="s">
        <v>236</v>
      </c>
      <c r="E6448" t="s">
        <v>656</v>
      </c>
      <c r="F6448" t="s">
        <v>31</v>
      </c>
      <c r="G6448">
        <v>2035</v>
      </c>
      <c r="H6448" s="12">
        <v>114.58</v>
      </c>
      <c r="I6448" t="s">
        <v>3183</v>
      </c>
      <c r="J6448" t="s">
        <v>14</v>
      </c>
      <c r="K6448" t="s">
        <v>147</v>
      </c>
      <c r="L6448" t="s">
        <v>3184</v>
      </c>
      <c r="M6448" t="s">
        <v>14</v>
      </c>
    </row>
    <row r="6449" spans="1:13">
      <c r="A6449" t="s">
        <v>851</v>
      </c>
      <c r="B6449" t="s">
        <v>687</v>
      </c>
      <c r="C6449" t="s">
        <v>687</v>
      </c>
      <c r="D6449" t="s">
        <v>236</v>
      </c>
      <c r="E6449" t="s">
        <v>656</v>
      </c>
      <c r="F6449" t="s">
        <v>31</v>
      </c>
      <c r="G6449">
        <v>2040</v>
      </c>
      <c r="H6449" s="12">
        <v>117.74</v>
      </c>
      <c r="I6449" t="s">
        <v>3183</v>
      </c>
      <c r="J6449" t="s">
        <v>14</v>
      </c>
      <c r="K6449" t="s">
        <v>147</v>
      </c>
      <c r="L6449" t="s">
        <v>3184</v>
      </c>
      <c r="M6449" t="s">
        <v>14</v>
      </c>
    </row>
    <row r="6450" spans="1:13">
      <c r="A6450" t="s">
        <v>851</v>
      </c>
      <c r="B6450" t="s">
        <v>687</v>
      </c>
      <c r="C6450" t="s">
        <v>687</v>
      </c>
      <c r="D6450" t="s">
        <v>236</v>
      </c>
      <c r="E6450" t="s">
        <v>656</v>
      </c>
      <c r="F6450" t="s">
        <v>31</v>
      </c>
      <c r="G6450">
        <v>2045</v>
      </c>
      <c r="H6450" s="12">
        <v>121.09</v>
      </c>
      <c r="I6450" t="s">
        <v>3183</v>
      </c>
      <c r="J6450" t="s">
        <v>14</v>
      </c>
      <c r="K6450" t="s">
        <v>147</v>
      </c>
      <c r="L6450" t="s">
        <v>3184</v>
      </c>
      <c r="M6450" t="s">
        <v>14</v>
      </c>
    </row>
    <row r="6451" spans="1:13">
      <c r="A6451" t="s">
        <v>851</v>
      </c>
      <c r="B6451" t="s">
        <v>687</v>
      </c>
      <c r="C6451" t="s">
        <v>687</v>
      </c>
      <c r="D6451" t="s">
        <v>236</v>
      </c>
      <c r="E6451" t="s">
        <v>656</v>
      </c>
      <c r="F6451" t="s">
        <v>31</v>
      </c>
      <c r="G6451">
        <v>2050</v>
      </c>
      <c r="H6451" s="12">
        <v>124.19</v>
      </c>
      <c r="I6451" t="s">
        <v>3183</v>
      </c>
      <c r="J6451" t="s">
        <v>14</v>
      </c>
      <c r="K6451" t="s">
        <v>147</v>
      </c>
      <c r="L6451" t="s">
        <v>3184</v>
      </c>
      <c r="M6451" t="s">
        <v>14</v>
      </c>
    </row>
    <row r="6452" spans="1:13">
      <c r="A6452" t="s">
        <v>851</v>
      </c>
      <c r="B6452" t="s">
        <v>686</v>
      </c>
      <c r="C6452" t="s">
        <v>686</v>
      </c>
      <c r="D6452" t="s">
        <v>236</v>
      </c>
      <c r="E6452" t="s">
        <v>656</v>
      </c>
      <c r="F6452" t="s">
        <v>31</v>
      </c>
      <c r="G6452">
        <v>2010</v>
      </c>
      <c r="H6452" s="12">
        <v>8.36</v>
      </c>
      <c r="I6452" t="s">
        <v>3183</v>
      </c>
      <c r="J6452" t="s">
        <v>41</v>
      </c>
      <c r="K6452" t="s">
        <v>147</v>
      </c>
      <c r="L6452" t="s">
        <v>3184</v>
      </c>
      <c r="M6452" t="s">
        <v>669</v>
      </c>
    </row>
    <row r="6453" spans="1:13">
      <c r="A6453" t="s">
        <v>851</v>
      </c>
      <c r="B6453" t="s">
        <v>686</v>
      </c>
      <c r="C6453" t="s">
        <v>686</v>
      </c>
      <c r="D6453" t="s">
        <v>236</v>
      </c>
      <c r="E6453" t="s">
        <v>656</v>
      </c>
      <c r="F6453" t="s">
        <v>31</v>
      </c>
      <c r="G6453">
        <v>2015</v>
      </c>
      <c r="H6453" s="12">
        <v>14.12</v>
      </c>
      <c r="I6453" t="s">
        <v>3183</v>
      </c>
      <c r="J6453" t="s">
        <v>41</v>
      </c>
      <c r="K6453" t="s">
        <v>147</v>
      </c>
      <c r="L6453" t="s">
        <v>3184</v>
      </c>
      <c r="M6453" t="s">
        <v>669</v>
      </c>
    </row>
    <row r="6454" spans="1:13">
      <c r="A6454" t="s">
        <v>851</v>
      </c>
      <c r="B6454" t="s">
        <v>686</v>
      </c>
      <c r="C6454" t="s">
        <v>686</v>
      </c>
      <c r="D6454" t="s">
        <v>236</v>
      </c>
      <c r="E6454" t="s">
        <v>656</v>
      </c>
      <c r="F6454" t="s">
        <v>31</v>
      </c>
      <c r="G6454">
        <v>2020</v>
      </c>
      <c r="H6454" s="12">
        <v>16.170000000000002</v>
      </c>
      <c r="I6454" t="s">
        <v>3183</v>
      </c>
      <c r="J6454" t="s">
        <v>41</v>
      </c>
      <c r="K6454" t="s">
        <v>147</v>
      </c>
      <c r="L6454" t="s">
        <v>3184</v>
      </c>
      <c r="M6454" t="s">
        <v>669</v>
      </c>
    </row>
    <row r="6455" spans="1:13">
      <c r="A6455" t="s">
        <v>851</v>
      </c>
      <c r="B6455" t="s">
        <v>686</v>
      </c>
      <c r="C6455" t="s">
        <v>686</v>
      </c>
      <c r="D6455" t="s">
        <v>236</v>
      </c>
      <c r="E6455" t="s">
        <v>656</v>
      </c>
      <c r="F6455" t="s">
        <v>31</v>
      </c>
      <c r="G6455">
        <v>2015</v>
      </c>
      <c r="H6455" s="12">
        <v>0</v>
      </c>
      <c r="I6455" t="s">
        <v>3183</v>
      </c>
      <c r="J6455" t="s">
        <v>8</v>
      </c>
      <c r="K6455" t="s">
        <v>147</v>
      </c>
      <c r="L6455" t="s">
        <v>3184</v>
      </c>
      <c r="M6455" t="s">
        <v>670</v>
      </c>
    </row>
    <row r="6456" spans="1:13">
      <c r="A6456" t="s">
        <v>851</v>
      </c>
      <c r="B6456" t="s">
        <v>686</v>
      </c>
      <c r="C6456" t="s">
        <v>686</v>
      </c>
      <c r="D6456" t="s">
        <v>236</v>
      </c>
      <c r="E6456" t="s">
        <v>656</v>
      </c>
      <c r="F6456" t="s">
        <v>31</v>
      </c>
      <c r="G6456">
        <v>2020</v>
      </c>
      <c r="H6456" s="12">
        <v>0</v>
      </c>
      <c r="I6456" t="s">
        <v>3183</v>
      </c>
      <c r="J6456" t="s">
        <v>8</v>
      </c>
      <c r="K6456" t="s">
        <v>147</v>
      </c>
      <c r="L6456" t="s">
        <v>3184</v>
      </c>
      <c r="M6456" t="s">
        <v>670</v>
      </c>
    </row>
    <row r="6457" spans="1:13">
      <c r="A6457" t="s">
        <v>851</v>
      </c>
      <c r="B6457" t="s">
        <v>686</v>
      </c>
      <c r="C6457" t="s">
        <v>686</v>
      </c>
      <c r="D6457" t="s">
        <v>236</v>
      </c>
      <c r="E6457" t="s">
        <v>656</v>
      </c>
      <c r="F6457" t="s">
        <v>31</v>
      </c>
      <c r="G6457">
        <v>2030</v>
      </c>
      <c r="H6457" s="12">
        <v>0</v>
      </c>
      <c r="I6457" t="s">
        <v>3183</v>
      </c>
      <c r="J6457" t="s">
        <v>8</v>
      </c>
      <c r="K6457" t="s">
        <v>147</v>
      </c>
      <c r="L6457" t="s">
        <v>3184</v>
      </c>
      <c r="M6457" t="s">
        <v>670</v>
      </c>
    </row>
    <row r="6458" spans="1:13">
      <c r="A6458" t="s">
        <v>851</v>
      </c>
      <c r="B6458" t="s">
        <v>686</v>
      </c>
      <c r="C6458" t="s">
        <v>686</v>
      </c>
      <c r="D6458" t="s">
        <v>236</v>
      </c>
      <c r="E6458" t="s">
        <v>656</v>
      </c>
      <c r="F6458" t="s">
        <v>31</v>
      </c>
      <c r="G6458">
        <v>2035</v>
      </c>
      <c r="H6458" s="12">
        <v>0</v>
      </c>
      <c r="I6458" t="s">
        <v>3183</v>
      </c>
      <c r="J6458" t="s">
        <v>8</v>
      </c>
      <c r="K6458" t="s">
        <v>147</v>
      </c>
      <c r="L6458" t="s">
        <v>3184</v>
      </c>
      <c r="M6458" t="s">
        <v>670</v>
      </c>
    </row>
    <row r="6459" spans="1:13">
      <c r="A6459" t="s">
        <v>851</v>
      </c>
      <c r="B6459" t="s">
        <v>686</v>
      </c>
      <c r="C6459" t="s">
        <v>686</v>
      </c>
      <c r="D6459" t="s">
        <v>236</v>
      </c>
      <c r="E6459" t="s">
        <v>656</v>
      </c>
      <c r="F6459" t="s">
        <v>31</v>
      </c>
      <c r="G6459">
        <v>2040</v>
      </c>
      <c r="H6459" s="12">
        <v>0</v>
      </c>
      <c r="I6459" t="s">
        <v>3183</v>
      </c>
      <c r="J6459" t="s">
        <v>8</v>
      </c>
      <c r="K6459" t="s">
        <v>147</v>
      </c>
      <c r="L6459" t="s">
        <v>3184</v>
      </c>
      <c r="M6459" t="s">
        <v>670</v>
      </c>
    </row>
    <row r="6460" spans="1:13">
      <c r="A6460" t="s">
        <v>851</v>
      </c>
      <c r="B6460" t="s">
        <v>686</v>
      </c>
      <c r="C6460" t="s">
        <v>686</v>
      </c>
      <c r="D6460" t="s">
        <v>236</v>
      </c>
      <c r="E6460" t="s">
        <v>656</v>
      </c>
      <c r="F6460" t="s">
        <v>31</v>
      </c>
      <c r="G6460">
        <v>2045</v>
      </c>
      <c r="H6460" s="12">
        <v>0</v>
      </c>
      <c r="I6460" t="s">
        <v>3183</v>
      </c>
      <c r="J6460" t="s">
        <v>8</v>
      </c>
      <c r="K6460" t="s">
        <v>147</v>
      </c>
      <c r="L6460" t="s">
        <v>3184</v>
      </c>
      <c r="M6460" t="s">
        <v>670</v>
      </c>
    </row>
    <row r="6461" spans="1:13">
      <c r="A6461" t="s">
        <v>851</v>
      </c>
      <c r="B6461" t="s">
        <v>686</v>
      </c>
      <c r="C6461" t="s">
        <v>686</v>
      </c>
      <c r="D6461" t="s">
        <v>236</v>
      </c>
      <c r="E6461" t="s">
        <v>656</v>
      </c>
      <c r="F6461" t="s">
        <v>31</v>
      </c>
      <c r="G6461">
        <v>2050</v>
      </c>
      <c r="H6461" s="12">
        <v>0</v>
      </c>
      <c r="I6461" t="s">
        <v>3183</v>
      </c>
      <c r="J6461" t="s">
        <v>8</v>
      </c>
      <c r="K6461" t="s">
        <v>147</v>
      </c>
      <c r="L6461" t="s">
        <v>3184</v>
      </c>
      <c r="M6461" t="s">
        <v>670</v>
      </c>
    </row>
    <row r="6462" spans="1:13">
      <c r="A6462" t="s">
        <v>851</v>
      </c>
      <c r="B6462" t="s">
        <v>687</v>
      </c>
      <c r="C6462" t="s">
        <v>687</v>
      </c>
      <c r="D6462" t="s">
        <v>236</v>
      </c>
      <c r="E6462" t="s">
        <v>656</v>
      </c>
      <c r="F6462" t="s">
        <v>31</v>
      </c>
      <c r="G6462">
        <v>2030</v>
      </c>
      <c r="H6462" s="12">
        <v>0</v>
      </c>
      <c r="I6462" t="s">
        <v>3183</v>
      </c>
      <c r="J6462" t="s">
        <v>8</v>
      </c>
      <c r="K6462" t="s">
        <v>147</v>
      </c>
      <c r="L6462" t="s">
        <v>3184</v>
      </c>
      <c r="M6462" t="s">
        <v>670</v>
      </c>
    </row>
    <row r="6463" spans="1:13">
      <c r="A6463" t="s">
        <v>851</v>
      </c>
      <c r="B6463" t="s">
        <v>687</v>
      </c>
      <c r="C6463" t="s">
        <v>687</v>
      </c>
      <c r="D6463" t="s">
        <v>236</v>
      </c>
      <c r="E6463" t="s">
        <v>656</v>
      </c>
      <c r="F6463" t="s">
        <v>31</v>
      </c>
      <c r="G6463">
        <v>2035</v>
      </c>
      <c r="H6463" s="12">
        <v>0.32</v>
      </c>
      <c r="I6463" t="s">
        <v>3183</v>
      </c>
      <c r="J6463" t="s">
        <v>8</v>
      </c>
      <c r="K6463" t="s">
        <v>147</v>
      </c>
      <c r="L6463" t="s">
        <v>3184</v>
      </c>
      <c r="M6463" t="s">
        <v>670</v>
      </c>
    </row>
    <row r="6464" spans="1:13">
      <c r="A6464" t="s">
        <v>851</v>
      </c>
      <c r="B6464" t="s">
        <v>687</v>
      </c>
      <c r="C6464" t="s">
        <v>687</v>
      </c>
      <c r="D6464" t="s">
        <v>236</v>
      </c>
      <c r="E6464" t="s">
        <v>656</v>
      </c>
      <c r="F6464" t="s">
        <v>31</v>
      </c>
      <c r="G6464">
        <v>2040</v>
      </c>
      <c r="H6464" s="12">
        <v>0.7</v>
      </c>
      <c r="I6464" t="s">
        <v>3183</v>
      </c>
      <c r="J6464" t="s">
        <v>8</v>
      </c>
      <c r="K6464" t="s">
        <v>147</v>
      </c>
      <c r="L6464" t="s">
        <v>3184</v>
      </c>
      <c r="M6464" t="s">
        <v>670</v>
      </c>
    </row>
    <row r="6465" spans="1:13">
      <c r="A6465" t="s">
        <v>851</v>
      </c>
      <c r="B6465" t="s">
        <v>687</v>
      </c>
      <c r="C6465" t="s">
        <v>687</v>
      </c>
      <c r="D6465" t="s">
        <v>236</v>
      </c>
      <c r="E6465" t="s">
        <v>656</v>
      </c>
      <c r="F6465" t="s">
        <v>31</v>
      </c>
      <c r="G6465">
        <v>2045</v>
      </c>
      <c r="H6465" s="12">
        <v>1.1000000000000001</v>
      </c>
      <c r="I6465" t="s">
        <v>3183</v>
      </c>
      <c r="J6465" t="s">
        <v>8</v>
      </c>
      <c r="K6465" t="s">
        <v>147</v>
      </c>
      <c r="L6465" t="s">
        <v>3184</v>
      </c>
      <c r="M6465" t="s">
        <v>670</v>
      </c>
    </row>
    <row r="6466" spans="1:13">
      <c r="A6466" t="s">
        <v>851</v>
      </c>
      <c r="B6466" t="s">
        <v>687</v>
      </c>
      <c r="C6466" t="s">
        <v>687</v>
      </c>
      <c r="D6466" t="s">
        <v>236</v>
      </c>
      <c r="E6466" t="s">
        <v>656</v>
      </c>
      <c r="F6466" t="s">
        <v>31</v>
      </c>
      <c r="G6466">
        <v>2050</v>
      </c>
      <c r="H6466" s="12">
        <v>1.27</v>
      </c>
      <c r="I6466" t="s">
        <v>3183</v>
      </c>
      <c r="J6466" t="s">
        <v>8</v>
      </c>
      <c r="K6466" t="s">
        <v>147</v>
      </c>
      <c r="L6466" t="s">
        <v>3184</v>
      </c>
      <c r="M6466" t="s">
        <v>670</v>
      </c>
    </row>
    <row r="6467" spans="1:13">
      <c r="A6467" t="s">
        <v>851</v>
      </c>
      <c r="B6467" t="s">
        <v>687</v>
      </c>
      <c r="C6467" t="s">
        <v>687</v>
      </c>
      <c r="D6467" t="s">
        <v>236</v>
      </c>
      <c r="E6467" t="s">
        <v>461</v>
      </c>
      <c r="F6467" t="s">
        <v>668</v>
      </c>
      <c r="G6467">
        <v>2050</v>
      </c>
      <c r="H6467" s="12">
        <v>148.01</v>
      </c>
      <c r="I6467" t="s">
        <v>3183</v>
      </c>
      <c r="J6467" t="s">
        <v>41</v>
      </c>
      <c r="K6467" t="s">
        <v>147</v>
      </c>
      <c r="L6467" t="s">
        <v>3184</v>
      </c>
      <c r="M6467" t="s">
        <v>669</v>
      </c>
    </row>
    <row r="6468" spans="1:13">
      <c r="A6468" t="s">
        <v>851</v>
      </c>
      <c r="B6468" t="s">
        <v>686</v>
      </c>
      <c r="C6468" t="s">
        <v>686</v>
      </c>
      <c r="D6468" t="s">
        <v>236</v>
      </c>
      <c r="E6468" t="s">
        <v>461</v>
      </c>
      <c r="F6468" t="s">
        <v>668</v>
      </c>
      <c r="G6468">
        <v>2010</v>
      </c>
      <c r="H6468" s="12">
        <v>14.52</v>
      </c>
      <c r="I6468" t="s">
        <v>3183</v>
      </c>
      <c r="J6468" t="s">
        <v>15</v>
      </c>
      <c r="K6468" t="s">
        <v>147</v>
      </c>
      <c r="L6468" t="s">
        <v>3184</v>
      </c>
      <c r="M6468" t="s">
        <v>15</v>
      </c>
    </row>
    <row r="6469" spans="1:13">
      <c r="A6469" t="s">
        <v>851</v>
      </c>
      <c r="B6469" t="s">
        <v>686</v>
      </c>
      <c r="C6469" t="s">
        <v>686</v>
      </c>
      <c r="D6469" t="s">
        <v>236</v>
      </c>
      <c r="E6469" t="s">
        <v>461</v>
      </c>
      <c r="F6469" t="s">
        <v>668</v>
      </c>
      <c r="G6469">
        <v>2015</v>
      </c>
      <c r="H6469" s="12">
        <v>14.73</v>
      </c>
      <c r="I6469" t="s">
        <v>3183</v>
      </c>
      <c r="J6469" t="s">
        <v>15</v>
      </c>
      <c r="K6469" t="s">
        <v>147</v>
      </c>
      <c r="L6469" t="s">
        <v>3184</v>
      </c>
      <c r="M6469" t="s">
        <v>15</v>
      </c>
    </row>
    <row r="6470" spans="1:13">
      <c r="A6470" t="s">
        <v>851</v>
      </c>
      <c r="B6470" t="s">
        <v>686</v>
      </c>
      <c r="C6470" t="s">
        <v>686</v>
      </c>
      <c r="D6470" t="s">
        <v>236</v>
      </c>
      <c r="E6470" t="s">
        <v>461</v>
      </c>
      <c r="F6470" t="s">
        <v>668</v>
      </c>
      <c r="G6470">
        <v>2020</v>
      </c>
      <c r="H6470" s="12">
        <v>14.05</v>
      </c>
      <c r="I6470" t="s">
        <v>3183</v>
      </c>
      <c r="J6470" t="s">
        <v>15</v>
      </c>
      <c r="K6470" t="s">
        <v>147</v>
      </c>
      <c r="L6470" t="s">
        <v>3184</v>
      </c>
      <c r="M6470" t="s">
        <v>15</v>
      </c>
    </row>
    <row r="6471" spans="1:13">
      <c r="A6471" t="s">
        <v>851</v>
      </c>
      <c r="B6471" t="s">
        <v>686</v>
      </c>
      <c r="C6471" t="s">
        <v>686</v>
      </c>
      <c r="D6471" t="s">
        <v>236</v>
      </c>
      <c r="E6471" t="s">
        <v>461</v>
      </c>
      <c r="F6471" t="s">
        <v>668</v>
      </c>
      <c r="G6471">
        <v>2030</v>
      </c>
      <c r="H6471" s="12">
        <v>20.82</v>
      </c>
      <c r="I6471" t="s">
        <v>3183</v>
      </c>
      <c r="J6471" t="s">
        <v>15</v>
      </c>
      <c r="K6471" t="s">
        <v>147</v>
      </c>
      <c r="L6471" t="s">
        <v>3184</v>
      </c>
      <c r="M6471" t="s">
        <v>15</v>
      </c>
    </row>
    <row r="6472" spans="1:13">
      <c r="A6472" t="s">
        <v>851</v>
      </c>
      <c r="B6472" t="s">
        <v>686</v>
      </c>
      <c r="C6472" t="s">
        <v>686</v>
      </c>
      <c r="D6472" t="s">
        <v>236</v>
      </c>
      <c r="E6472" t="s">
        <v>461</v>
      </c>
      <c r="F6472" t="s">
        <v>668</v>
      </c>
      <c r="G6472">
        <v>2035</v>
      </c>
      <c r="H6472" s="12">
        <v>33.770000000000003</v>
      </c>
      <c r="I6472" t="s">
        <v>3183</v>
      </c>
      <c r="J6472" t="s">
        <v>15</v>
      </c>
      <c r="K6472" t="s">
        <v>147</v>
      </c>
      <c r="L6472" t="s">
        <v>3184</v>
      </c>
      <c r="M6472" t="s">
        <v>15</v>
      </c>
    </row>
    <row r="6473" spans="1:13">
      <c r="A6473" t="s">
        <v>851</v>
      </c>
      <c r="B6473" t="s">
        <v>686</v>
      </c>
      <c r="C6473" t="s">
        <v>686</v>
      </c>
      <c r="D6473" t="s">
        <v>236</v>
      </c>
      <c r="E6473" t="s">
        <v>461</v>
      </c>
      <c r="F6473" t="s">
        <v>668</v>
      </c>
      <c r="G6473">
        <v>2040</v>
      </c>
      <c r="H6473" s="12">
        <v>44.32</v>
      </c>
      <c r="I6473" t="s">
        <v>3183</v>
      </c>
      <c r="J6473" t="s">
        <v>15</v>
      </c>
      <c r="K6473" t="s">
        <v>147</v>
      </c>
      <c r="L6473" t="s">
        <v>3184</v>
      </c>
      <c r="M6473" t="s">
        <v>15</v>
      </c>
    </row>
    <row r="6474" spans="1:13">
      <c r="A6474" t="s">
        <v>851</v>
      </c>
      <c r="B6474" t="s">
        <v>686</v>
      </c>
      <c r="C6474" t="s">
        <v>686</v>
      </c>
      <c r="D6474" t="s">
        <v>236</v>
      </c>
      <c r="E6474" t="s">
        <v>461</v>
      </c>
      <c r="F6474" t="s">
        <v>668</v>
      </c>
      <c r="G6474">
        <v>2045</v>
      </c>
      <c r="H6474" s="12">
        <v>39.909999999999997</v>
      </c>
      <c r="I6474" t="s">
        <v>3183</v>
      </c>
      <c r="J6474" t="s">
        <v>15</v>
      </c>
      <c r="K6474" t="s">
        <v>147</v>
      </c>
      <c r="L6474" t="s">
        <v>3184</v>
      </c>
      <c r="M6474" t="s">
        <v>15</v>
      </c>
    </row>
    <row r="6475" spans="1:13">
      <c r="A6475" t="s">
        <v>851</v>
      </c>
      <c r="B6475" t="s">
        <v>686</v>
      </c>
      <c r="C6475" t="s">
        <v>686</v>
      </c>
      <c r="D6475" t="s">
        <v>236</v>
      </c>
      <c r="E6475" t="s">
        <v>461</v>
      </c>
      <c r="F6475" t="s">
        <v>668</v>
      </c>
      <c r="G6475">
        <v>2050</v>
      </c>
      <c r="H6475" s="12">
        <v>34.1</v>
      </c>
      <c r="I6475" t="s">
        <v>3183</v>
      </c>
      <c r="J6475" t="s">
        <v>15</v>
      </c>
      <c r="K6475" t="s">
        <v>147</v>
      </c>
      <c r="L6475" t="s">
        <v>3184</v>
      </c>
      <c r="M6475" t="s">
        <v>15</v>
      </c>
    </row>
    <row r="6476" spans="1:13">
      <c r="A6476" t="s">
        <v>851</v>
      </c>
      <c r="B6476" t="s">
        <v>687</v>
      </c>
      <c r="C6476" t="s">
        <v>687</v>
      </c>
      <c r="D6476" t="s">
        <v>236</v>
      </c>
      <c r="E6476" t="s">
        <v>461</v>
      </c>
      <c r="F6476" t="s">
        <v>668</v>
      </c>
      <c r="G6476">
        <v>2030</v>
      </c>
      <c r="H6476" s="12">
        <v>23.79</v>
      </c>
      <c r="I6476" t="s">
        <v>3183</v>
      </c>
      <c r="J6476" t="s">
        <v>15</v>
      </c>
      <c r="K6476" t="s">
        <v>147</v>
      </c>
      <c r="L6476" t="s">
        <v>3184</v>
      </c>
      <c r="M6476" t="s">
        <v>15</v>
      </c>
    </row>
    <row r="6477" spans="1:13">
      <c r="A6477" t="s">
        <v>851</v>
      </c>
      <c r="B6477" t="s">
        <v>687</v>
      </c>
      <c r="C6477" t="s">
        <v>687</v>
      </c>
      <c r="D6477" t="s">
        <v>236</v>
      </c>
      <c r="E6477" t="s">
        <v>461</v>
      </c>
      <c r="F6477" t="s">
        <v>668</v>
      </c>
      <c r="G6477">
        <v>2035</v>
      </c>
      <c r="H6477" s="12">
        <v>35.619999999999997</v>
      </c>
      <c r="I6477" t="s">
        <v>3183</v>
      </c>
      <c r="J6477" t="s">
        <v>15</v>
      </c>
      <c r="K6477" t="s">
        <v>147</v>
      </c>
      <c r="L6477" t="s">
        <v>3184</v>
      </c>
      <c r="M6477" t="s">
        <v>15</v>
      </c>
    </row>
    <row r="6478" spans="1:13">
      <c r="A6478" t="s">
        <v>851</v>
      </c>
      <c r="B6478" t="s">
        <v>687</v>
      </c>
      <c r="C6478" t="s">
        <v>687</v>
      </c>
      <c r="D6478" t="s">
        <v>236</v>
      </c>
      <c r="E6478" t="s">
        <v>461</v>
      </c>
      <c r="F6478" t="s">
        <v>668</v>
      </c>
      <c r="G6478">
        <v>2040</v>
      </c>
      <c r="H6478" s="12">
        <v>42.71</v>
      </c>
      <c r="I6478" t="s">
        <v>3183</v>
      </c>
      <c r="J6478" t="s">
        <v>15</v>
      </c>
      <c r="K6478" t="s">
        <v>147</v>
      </c>
      <c r="L6478" t="s">
        <v>3184</v>
      </c>
      <c r="M6478" t="s">
        <v>15</v>
      </c>
    </row>
    <row r="6479" spans="1:13">
      <c r="A6479" t="s">
        <v>851</v>
      </c>
      <c r="B6479" t="s">
        <v>687</v>
      </c>
      <c r="C6479" t="s">
        <v>687</v>
      </c>
      <c r="D6479" t="s">
        <v>236</v>
      </c>
      <c r="E6479" t="s">
        <v>461</v>
      </c>
      <c r="F6479" t="s">
        <v>668</v>
      </c>
      <c r="G6479">
        <v>2045</v>
      </c>
      <c r="H6479" s="12">
        <v>44.69</v>
      </c>
      <c r="I6479" t="s">
        <v>3183</v>
      </c>
      <c r="J6479" t="s">
        <v>15</v>
      </c>
      <c r="K6479" t="s">
        <v>147</v>
      </c>
      <c r="L6479" t="s">
        <v>3184</v>
      </c>
      <c r="M6479" t="s">
        <v>15</v>
      </c>
    </row>
    <row r="6480" spans="1:13">
      <c r="A6480" t="s">
        <v>851</v>
      </c>
      <c r="B6480" t="s">
        <v>687</v>
      </c>
      <c r="C6480" t="s">
        <v>687</v>
      </c>
      <c r="D6480" t="s">
        <v>236</v>
      </c>
      <c r="E6480" t="s">
        <v>461</v>
      </c>
      <c r="F6480" t="s">
        <v>668</v>
      </c>
      <c r="G6480">
        <v>2050</v>
      </c>
      <c r="H6480" s="12">
        <v>38.79</v>
      </c>
      <c r="I6480" t="s">
        <v>3183</v>
      </c>
      <c r="J6480" t="s">
        <v>15</v>
      </c>
      <c r="K6480" t="s">
        <v>147</v>
      </c>
      <c r="L6480" t="s">
        <v>3184</v>
      </c>
      <c r="M6480" t="s">
        <v>15</v>
      </c>
    </row>
    <row r="6481" spans="1:13">
      <c r="A6481" t="s">
        <v>851</v>
      </c>
      <c r="B6481" t="s">
        <v>686</v>
      </c>
      <c r="C6481" t="s">
        <v>686</v>
      </c>
      <c r="D6481" t="s">
        <v>236</v>
      </c>
      <c r="E6481" t="s">
        <v>461</v>
      </c>
      <c r="F6481" t="s">
        <v>668</v>
      </c>
      <c r="G6481">
        <v>2010</v>
      </c>
      <c r="H6481" s="12">
        <v>0</v>
      </c>
      <c r="I6481" t="s">
        <v>3183</v>
      </c>
      <c r="J6481" t="s">
        <v>8</v>
      </c>
      <c r="K6481" t="s">
        <v>147</v>
      </c>
      <c r="L6481" t="s">
        <v>3184</v>
      </c>
      <c r="M6481" t="s">
        <v>670</v>
      </c>
    </row>
    <row r="6482" spans="1:13">
      <c r="A6482" t="s">
        <v>851</v>
      </c>
      <c r="B6482" t="s">
        <v>686</v>
      </c>
      <c r="C6482" t="s">
        <v>686</v>
      </c>
      <c r="D6482" t="s">
        <v>236</v>
      </c>
      <c r="E6482" t="s">
        <v>461</v>
      </c>
      <c r="F6482" t="s">
        <v>668</v>
      </c>
      <c r="G6482">
        <v>2015</v>
      </c>
      <c r="H6482" s="12">
        <v>0</v>
      </c>
      <c r="I6482" t="s">
        <v>3183</v>
      </c>
      <c r="J6482" t="s">
        <v>8</v>
      </c>
      <c r="K6482" t="s">
        <v>147</v>
      </c>
      <c r="L6482" t="s">
        <v>3184</v>
      </c>
      <c r="M6482" t="s">
        <v>670</v>
      </c>
    </row>
    <row r="6483" spans="1:13">
      <c r="A6483" t="s">
        <v>851</v>
      </c>
      <c r="B6483" t="s">
        <v>686</v>
      </c>
      <c r="C6483" t="s">
        <v>686</v>
      </c>
      <c r="D6483" t="s">
        <v>236</v>
      </c>
      <c r="E6483" t="s">
        <v>461</v>
      </c>
      <c r="F6483" t="s">
        <v>668</v>
      </c>
      <c r="G6483">
        <v>2020</v>
      </c>
      <c r="H6483" s="12">
        <v>0</v>
      </c>
      <c r="I6483" t="s">
        <v>3183</v>
      </c>
      <c r="J6483" t="s">
        <v>8</v>
      </c>
      <c r="K6483" t="s">
        <v>147</v>
      </c>
      <c r="L6483" t="s">
        <v>3184</v>
      </c>
      <c r="M6483" t="s">
        <v>670</v>
      </c>
    </row>
    <row r="6484" spans="1:13">
      <c r="A6484" t="s">
        <v>851</v>
      </c>
      <c r="B6484" t="s">
        <v>686</v>
      </c>
      <c r="C6484" t="s">
        <v>686</v>
      </c>
      <c r="D6484" t="s">
        <v>236</v>
      </c>
      <c r="E6484" t="s">
        <v>461</v>
      </c>
      <c r="F6484" t="s">
        <v>668</v>
      </c>
      <c r="G6484">
        <v>2030</v>
      </c>
      <c r="H6484" s="12">
        <v>0</v>
      </c>
      <c r="I6484" t="s">
        <v>3183</v>
      </c>
      <c r="J6484" t="s">
        <v>8</v>
      </c>
      <c r="K6484" t="s">
        <v>147</v>
      </c>
      <c r="L6484" t="s">
        <v>3184</v>
      </c>
      <c r="M6484" t="s">
        <v>670</v>
      </c>
    </row>
    <row r="6485" spans="1:13">
      <c r="A6485" t="s">
        <v>851</v>
      </c>
      <c r="B6485" t="s">
        <v>686</v>
      </c>
      <c r="C6485" t="s">
        <v>686</v>
      </c>
      <c r="D6485" t="s">
        <v>236</v>
      </c>
      <c r="E6485" t="s">
        <v>461</v>
      </c>
      <c r="F6485" t="s">
        <v>668</v>
      </c>
      <c r="G6485">
        <v>2035</v>
      </c>
      <c r="H6485" s="12">
        <v>0</v>
      </c>
      <c r="I6485" t="s">
        <v>3183</v>
      </c>
      <c r="J6485" t="s">
        <v>8</v>
      </c>
      <c r="K6485" t="s">
        <v>147</v>
      </c>
      <c r="L6485" t="s">
        <v>3184</v>
      </c>
      <c r="M6485" t="s">
        <v>670</v>
      </c>
    </row>
    <row r="6486" spans="1:13">
      <c r="A6486" t="s">
        <v>851</v>
      </c>
      <c r="B6486" t="s">
        <v>686</v>
      </c>
      <c r="C6486" t="s">
        <v>686</v>
      </c>
      <c r="D6486" t="s">
        <v>236</v>
      </c>
      <c r="E6486" t="s">
        <v>461</v>
      </c>
      <c r="F6486" t="s">
        <v>668</v>
      </c>
      <c r="G6486">
        <v>2040</v>
      </c>
      <c r="H6486" s="12">
        <v>0</v>
      </c>
      <c r="I6486" t="s">
        <v>3183</v>
      </c>
      <c r="J6486" t="s">
        <v>8</v>
      </c>
      <c r="K6486" t="s">
        <v>147</v>
      </c>
      <c r="L6486" t="s">
        <v>3184</v>
      </c>
      <c r="M6486" t="s">
        <v>670</v>
      </c>
    </row>
    <row r="6487" spans="1:13">
      <c r="A6487" t="s">
        <v>851</v>
      </c>
      <c r="B6487" t="s">
        <v>686</v>
      </c>
      <c r="C6487" t="s">
        <v>686</v>
      </c>
      <c r="D6487" t="s">
        <v>236</v>
      </c>
      <c r="E6487" t="s">
        <v>461</v>
      </c>
      <c r="F6487" t="s">
        <v>668</v>
      </c>
      <c r="G6487">
        <v>2045</v>
      </c>
      <c r="H6487" s="12">
        <v>0</v>
      </c>
      <c r="I6487" t="s">
        <v>3183</v>
      </c>
      <c r="J6487" t="s">
        <v>8</v>
      </c>
      <c r="K6487" t="s">
        <v>147</v>
      </c>
      <c r="L6487" t="s">
        <v>3184</v>
      </c>
      <c r="M6487" t="s">
        <v>670</v>
      </c>
    </row>
    <row r="6488" spans="1:13">
      <c r="A6488" t="s">
        <v>851</v>
      </c>
      <c r="B6488" t="s">
        <v>686</v>
      </c>
      <c r="C6488" t="s">
        <v>686</v>
      </c>
      <c r="D6488" t="s">
        <v>236</v>
      </c>
      <c r="E6488" t="s">
        <v>461</v>
      </c>
      <c r="F6488" t="s">
        <v>668</v>
      </c>
      <c r="G6488">
        <v>2050</v>
      </c>
      <c r="H6488" s="12">
        <v>0</v>
      </c>
      <c r="I6488" t="s">
        <v>3183</v>
      </c>
      <c r="J6488" t="s">
        <v>8</v>
      </c>
      <c r="K6488" t="s">
        <v>147</v>
      </c>
      <c r="L6488" t="s">
        <v>3184</v>
      </c>
      <c r="M6488" t="s">
        <v>670</v>
      </c>
    </row>
    <row r="6489" spans="1:13">
      <c r="A6489" t="s">
        <v>851</v>
      </c>
      <c r="B6489" t="s">
        <v>687</v>
      </c>
      <c r="C6489" t="s">
        <v>687</v>
      </c>
      <c r="D6489" t="s">
        <v>236</v>
      </c>
      <c r="E6489" t="s">
        <v>461</v>
      </c>
      <c r="F6489" t="s">
        <v>668</v>
      </c>
      <c r="G6489">
        <v>2030</v>
      </c>
      <c r="H6489" s="12">
        <v>0</v>
      </c>
      <c r="I6489" t="s">
        <v>3183</v>
      </c>
      <c r="J6489" t="s">
        <v>8</v>
      </c>
      <c r="K6489" t="s">
        <v>147</v>
      </c>
      <c r="L6489" t="s">
        <v>3184</v>
      </c>
      <c r="M6489" t="s">
        <v>670</v>
      </c>
    </row>
    <row r="6490" spans="1:13">
      <c r="A6490" t="s">
        <v>851</v>
      </c>
      <c r="B6490" t="s">
        <v>687</v>
      </c>
      <c r="C6490" t="s">
        <v>687</v>
      </c>
      <c r="D6490" t="s">
        <v>236</v>
      </c>
      <c r="E6490" t="s">
        <v>461</v>
      </c>
      <c r="F6490" t="s">
        <v>668</v>
      </c>
      <c r="G6490">
        <v>2035</v>
      </c>
      <c r="H6490" s="12">
        <v>0.77</v>
      </c>
      <c r="I6490" t="s">
        <v>3183</v>
      </c>
      <c r="J6490" t="s">
        <v>8</v>
      </c>
      <c r="K6490" t="s">
        <v>147</v>
      </c>
      <c r="L6490" t="s">
        <v>3184</v>
      </c>
      <c r="M6490" t="s">
        <v>670</v>
      </c>
    </row>
    <row r="6491" spans="1:13">
      <c r="A6491" t="s">
        <v>851</v>
      </c>
      <c r="B6491" t="s">
        <v>687</v>
      </c>
      <c r="C6491" t="s">
        <v>687</v>
      </c>
      <c r="D6491" t="s">
        <v>236</v>
      </c>
      <c r="E6491" t="s">
        <v>461</v>
      </c>
      <c r="F6491" t="s">
        <v>668</v>
      </c>
      <c r="G6491">
        <v>2040</v>
      </c>
      <c r="H6491" s="12">
        <v>1.71</v>
      </c>
      <c r="I6491" t="s">
        <v>3183</v>
      </c>
      <c r="J6491" t="s">
        <v>8</v>
      </c>
      <c r="K6491" t="s">
        <v>147</v>
      </c>
      <c r="L6491" t="s">
        <v>3184</v>
      </c>
      <c r="M6491" t="s">
        <v>670</v>
      </c>
    </row>
    <row r="6492" spans="1:13">
      <c r="A6492" t="s">
        <v>851</v>
      </c>
      <c r="B6492" t="s">
        <v>687</v>
      </c>
      <c r="C6492" t="s">
        <v>687</v>
      </c>
      <c r="D6492" t="s">
        <v>236</v>
      </c>
      <c r="E6492" t="s">
        <v>461</v>
      </c>
      <c r="F6492" t="s">
        <v>668</v>
      </c>
      <c r="G6492">
        <v>2045</v>
      </c>
      <c r="H6492" s="12">
        <v>3.1</v>
      </c>
      <c r="I6492" t="s">
        <v>3183</v>
      </c>
      <c r="J6492" t="s">
        <v>8</v>
      </c>
      <c r="K6492" t="s">
        <v>147</v>
      </c>
      <c r="L6492" t="s">
        <v>3184</v>
      </c>
      <c r="M6492" t="s">
        <v>670</v>
      </c>
    </row>
    <row r="6493" spans="1:13">
      <c r="A6493" t="s">
        <v>851</v>
      </c>
      <c r="B6493" t="s">
        <v>687</v>
      </c>
      <c r="C6493" t="s">
        <v>687</v>
      </c>
      <c r="D6493" t="s">
        <v>236</v>
      </c>
      <c r="E6493" t="s">
        <v>461</v>
      </c>
      <c r="F6493" t="s">
        <v>668</v>
      </c>
      <c r="G6493">
        <v>2050</v>
      </c>
      <c r="H6493" s="12">
        <v>5.4</v>
      </c>
      <c r="I6493" t="s">
        <v>3183</v>
      </c>
      <c r="J6493" t="s">
        <v>8</v>
      </c>
      <c r="K6493" t="s">
        <v>147</v>
      </c>
      <c r="L6493" t="s">
        <v>3184</v>
      </c>
      <c r="M6493" t="s">
        <v>670</v>
      </c>
    </row>
    <row r="6494" spans="1:13">
      <c r="A6494" t="s">
        <v>851</v>
      </c>
      <c r="B6494" t="s">
        <v>686</v>
      </c>
      <c r="C6494" t="s">
        <v>686</v>
      </c>
      <c r="D6494" t="s">
        <v>236</v>
      </c>
      <c r="E6494" t="s">
        <v>461</v>
      </c>
      <c r="F6494" t="s">
        <v>668</v>
      </c>
      <c r="G6494">
        <v>2010</v>
      </c>
      <c r="H6494" s="12">
        <v>11.34</v>
      </c>
      <c r="I6494" t="s">
        <v>3183</v>
      </c>
      <c r="J6494" t="s">
        <v>5</v>
      </c>
      <c r="K6494" t="s">
        <v>147</v>
      </c>
      <c r="L6494" t="s">
        <v>3184</v>
      </c>
      <c r="M6494" t="s">
        <v>665</v>
      </c>
    </row>
    <row r="6495" spans="1:13">
      <c r="A6495" t="s">
        <v>851</v>
      </c>
      <c r="B6495" t="s">
        <v>686</v>
      </c>
      <c r="C6495" t="s">
        <v>686</v>
      </c>
      <c r="D6495" t="s">
        <v>236</v>
      </c>
      <c r="E6495" t="s">
        <v>461</v>
      </c>
      <c r="F6495" t="s">
        <v>668</v>
      </c>
      <c r="G6495">
        <v>2015</v>
      </c>
      <c r="H6495" s="12">
        <v>27.05</v>
      </c>
      <c r="I6495" t="s">
        <v>3183</v>
      </c>
      <c r="J6495" t="s">
        <v>5</v>
      </c>
      <c r="K6495" t="s">
        <v>147</v>
      </c>
      <c r="L6495" t="s">
        <v>3184</v>
      </c>
      <c r="M6495" t="s">
        <v>665</v>
      </c>
    </row>
    <row r="6496" spans="1:13">
      <c r="A6496" t="s">
        <v>851</v>
      </c>
      <c r="B6496" t="s">
        <v>686</v>
      </c>
      <c r="C6496" t="s">
        <v>686</v>
      </c>
      <c r="D6496" t="s">
        <v>236</v>
      </c>
      <c r="E6496" t="s">
        <v>461</v>
      </c>
      <c r="F6496" t="s">
        <v>668</v>
      </c>
      <c r="G6496">
        <v>2020</v>
      </c>
      <c r="H6496" s="12">
        <v>17.54</v>
      </c>
      <c r="I6496" t="s">
        <v>3183</v>
      </c>
      <c r="J6496" t="s">
        <v>5</v>
      </c>
      <c r="K6496" t="s">
        <v>147</v>
      </c>
      <c r="L6496" t="s">
        <v>3184</v>
      </c>
      <c r="M6496" t="s">
        <v>665</v>
      </c>
    </row>
    <row r="6497" spans="1:13">
      <c r="A6497" t="s">
        <v>851</v>
      </c>
      <c r="B6497" t="s">
        <v>686</v>
      </c>
      <c r="C6497" t="s">
        <v>686</v>
      </c>
      <c r="D6497" t="s">
        <v>236</v>
      </c>
      <c r="E6497" t="s">
        <v>461</v>
      </c>
      <c r="F6497" t="s">
        <v>668</v>
      </c>
      <c r="G6497">
        <v>2030</v>
      </c>
      <c r="H6497" s="12">
        <v>10.44</v>
      </c>
      <c r="I6497" t="s">
        <v>3183</v>
      </c>
      <c r="J6497" t="s">
        <v>5</v>
      </c>
      <c r="K6497" t="s">
        <v>147</v>
      </c>
      <c r="L6497" t="s">
        <v>3184</v>
      </c>
      <c r="M6497" t="s">
        <v>665</v>
      </c>
    </row>
    <row r="6498" spans="1:13">
      <c r="A6498" t="s">
        <v>851</v>
      </c>
      <c r="B6498" t="s">
        <v>686</v>
      </c>
      <c r="C6498" t="s">
        <v>686</v>
      </c>
      <c r="D6498" t="s">
        <v>236</v>
      </c>
      <c r="E6498" t="s">
        <v>461</v>
      </c>
      <c r="F6498" t="s">
        <v>668</v>
      </c>
      <c r="G6498">
        <v>2035</v>
      </c>
      <c r="H6498" s="12">
        <v>9.93</v>
      </c>
      <c r="I6498" t="s">
        <v>3183</v>
      </c>
      <c r="J6498" t="s">
        <v>5</v>
      </c>
      <c r="K6498" t="s">
        <v>147</v>
      </c>
      <c r="L6498" t="s">
        <v>3184</v>
      </c>
      <c r="M6498" t="s">
        <v>665</v>
      </c>
    </row>
    <row r="6499" spans="1:13">
      <c r="A6499" t="s">
        <v>851</v>
      </c>
      <c r="B6499" t="s">
        <v>686</v>
      </c>
      <c r="C6499" t="s">
        <v>686</v>
      </c>
      <c r="D6499" t="s">
        <v>236</v>
      </c>
      <c r="E6499" t="s">
        <v>461</v>
      </c>
      <c r="F6499" t="s">
        <v>668</v>
      </c>
      <c r="G6499">
        <v>2040</v>
      </c>
      <c r="H6499" s="12">
        <v>9.4600000000000009</v>
      </c>
      <c r="I6499" t="s">
        <v>3183</v>
      </c>
      <c r="J6499" t="s">
        <v>5</v>
      </c>
      <c r="K6499" t="s">
        <v>147</v>
      </c>
      <c r="L6499" t="s">
        <v>3184</v>
      </c>
      <c r="M6499" t="s">
        <v>665</v>
      </c>
    </row>
    <row r="6500" spans="1:13">
      <c r="A6500" t="s">
        <v>851</v>
      </c>
      <c r="B6500" t="s">
        <v>686</v>
      </c>
      <c r="C6500" t="s">
        <v>686</v>
      </c>
      <c r="D6500" t="s">
        <v>236</v>
      </c>
      <c r="E6500" t="s">
        <v>461</v>
      </c>
      <c r="F6500" t="s">
        <v>668</v>
      </c>
      <c r="G6500">
        <v>2045</v>
      </c>
      <c r="H6500" s="12">
        <v>9.1999999999999993</v>
      </c>
      <c r="I6500" t="s">
        <v>3183</v>
      </c>
      <c r="J6500" t="s">
        <v>5</v>
      </c>
      <c r="K6500" t="s">
        <v>147</v>
      </c>
      <c r="L6500" t="s">
        <v>3184</v>
      </c>
      <c r="M6500" t="s">
        <v>665</v>
      </c>
    </row>
    <row r="6501" spans="1:13">
      <c r="A6501" t="s">
        <v>851</v>
      </c>
      <c r="B6501" t="s">
        <v>686</v>
      </c>
      <c r="C6501" t="s">
        <v>686</v>
      </c>
      <c r="D6501" t="s">
        <v>236</v>
      </c>
      <c r="E6501" t="s">
        <v>461</v>
      </c>
      <c r="F6501" t="s">
        <v>668</v>
      </c>
      <c r="G6501">
        <v>2050</v>
      </c>
      <c r="H6501" s="12">
        <v>8.14</v>
      </c>
      <c r="I6501" t="s">
        <v>3183</v>
      </c>
      <c r="J6501" t="s">
        <v>5</v>
      </c>
      <c r="K6501" t="s">
        <v>147</v>
      </c>
      <c r="L6501" t="s">
        <v>3184</v>
      </c>
      <c r="M6501" t="s">
        <v>665</v>
      </c>
    </row>
    <row r="6502" spans="1:13">
      <c r="A6502" t="s">
        <v>851</v>
      </c>
      <c r="B6502" t="s">
        <v>687</v>
      </c>
      <c r="C6502" t="s">
        <v>687</v>
      </c>
      <c r="D6502" t="s">
        <v>236</v>
      </c>
      <c r="E6502" t="s">
        <v>461</v>
      </c>
      <c r="F6502" t="s">
        <v>668</v>
      </c>
      <c r="G6502">
        <v>2030</v>
      </c>
      <c r="H6502" s="12">
        <v>1.35</v>
      </c>
      <c r="I6502" t="s">
        <v>3183</v>
      </c>
      <c r="J6502" t="s">
        <v>5</v>
      </c>
      <c r="K6502" t="s">
        <v>147</v>
      </c>
      <c r="L6502" t="s">
        <v>3184</v>
      </c>
      <c r="M6502" t="s">
        <v>665</v>
      </c>
    </row>
    <row r="6503" spans="1:13">
      <c r="A6503" t="s">
        <v>851</v>
      </c>
      <c r="B6503" t="s">
        <v>687</v>
      </c>
      <c r="C6503" t="s">
        <v>687</v>
      </c>
      <c r="D6503" t="s">
        <v>236</v>
      </c>
      <c r="E6503" t="s">
        <v>461</v>
      </c>
      <c r="F6503" t="s">
        <v>668</v>
      </c>
      <c r="G6503">
        <v>2035</v>
      </c>
      <c r="H6503" s="12">
        <v>0</v>
      </c>
      <c r="I6503" t="s">
        <v>3183</v>
      </c>
      <c r="J6503" t="s">
        <v>5</v>
      </c>
      <c r="K6503" t="s">
        <v>147</v>
      </c>
      <c r="L6503" t="s">
        <v>3184</v>
      </c>
      <c r="M6503" t="s">
        <v>665</v>
      </c>
    </row>
    <row r="6504" spans="1:13">
      <c r="A6504" t="s">
        <v>851</v>
      </c>
      <c r="B6504" t="s">
        <v>687</v>
      </c>
      <c r="C6504" t="s">
        <v>687</v>
      </c>
      <c r="D6504" t="s">
        <v>236</v>
      </c>
      <c r="E6504" t="s">
        <v>461</v>
      </c>
      <c r="F6504" t="s">
        <v>668</v>
      </c>
      <c r="G6504">
        <v>2040</v>
      </c>
      <c r="H6504" s="12">
        <v>0</v>
      </c>
      <c r="I6504" t="s">
        <v>3183</v>
      </c>
      <c r="J6504" t="s">
        <v>5</v>
      </c>
      <c r="K6504" t="s">
        <v>147</v>
      </c>
      <c r="L6504" t="s">
        <v>3184</v>
      </c>
      <c r="M6504" t="s">
        <v>665</v>
      </c>
    </row>
    <row r="6505" spans="1:13">
      <c r="A6505" t="s">
        <v>851</v>
      </c>
      <c r="B6505" t="s">
        <v>687</v>
      </c>
      <c r="C6505" t="s">
        <v>687</v>
      </c>
      <c r="D6505" t="s">
        <v>236</v>
      </c>
      <c r="E6505" t="s">
        <v>461</v>
      </c>
      <c r="F6505" t="s">
        <v>668</v>
      </c>
      <c r="G6505">
        <v>2045</v>
      </c>
      <c r="H6505" s="12">
        <v>0</v>
      </c>
      <c r="I6505" t="s">
        <v>3183</v>
      </c>
      <c r="J6505" t="s">
        <v>5</v>
      </c>
      <c r="K6505" t="s">
        <v>147</v>
      </c>
      <c r="L6505" t="s">
        <v>3184</v>
      </c>
      <c r="M6505" t="s">
        <v>665</v>
      </c>
    </row>
    <row r="6506" spans="1:13">
      <c r="A6506" t="s">
        <v>851</v>
      </c>
      <c r="B6506" t="s">
        <v>687</v>
      </c>
      <c r="C6506" t="s">
        <v>687</v>
      </c>
      <c r="D6506" t="s">
        <v>236</v>
      </c>
      <c r="E6506" t="s">
        <v>461</v>
      </c>
      <c r="F6506" t="s">
        <v>668</v>
      </c>
      <c r="G6506">
        <v>2050</v>
      </c>
      <c r="H6506" s="12">
        <v>0</v>
      </c>
      <c r="I6506" t="s">
        <v>3183</v>
      </c>
      <c r="J6506" t="s">
        <v>5</v>
      </c>
      <c r="K6506" t="s">
        <v>147</v>
      </c>
      <c r="L6506" t="s">
        <v>3184</v>
      </c>
      <c r="M6506" t="s">
        <v>665</v>
      </c>
    </row>
    <row r="6507" spans="1:13">
      <c r="A6507" t="s">
        <v>851</v>
      </c>
      <c r="B6507" t="s">
        <v>686</v>
      </c>
      <c r="C6507" t="s">
        <v>686</v>
      </c>
      <c r="D6507" t="s">
        <v>236</v>
      </c>
      <c r="E6507" t="s">
        <v>461</v>
      </c>
      <c r="F6507" t="s">
        <v>668</v>
      </c>
      <c r="G6507">
        <v>2030</v>
      </c>
      <c r="H6507" s="12">
        <v>3.37</v>
      </c>
      <c r="I6507" t="s">
        <v>3183</v>
      </c>
      <c r="J6507" t="s">
        <v>394</v>
      </c>
      <c r="K6507" t="s">
        <v>147</v>
      </c>
      <c r="L6507" t="s">
        <v>3184</v>
      </c>
      <c r="M6507" t="s">
        <v>16</v>
      </c>
    </row>
    <row r="6508" spans="1:13">
      <c r="A6508" t="s">
        <v>851</v>
      </c>
      <c r="B6508" t="s">
        <v>686</v>
      </c>
      <c r="C6508" t="s">
        <v>686</v>
      </c>
      <c r="D6508" t="s">
        <v>236</v>
      </c>
      <c r="E6508" t="s">
        <v>461</v>
      </c>
      <c r="F6508" t="s">
        <v>668</v>
      </c>
      <c r="G6508">
        <v>2035</v>
      </c>
      <c r="H6508" s="12">
        <v>3.26</v>
      </c>
      <c r="I6508" t="s">
        <v>3183</v>
      </c>
      <c r="J6508" t="s">
        <v>394</v>
      </c>
      <c r="K6508" t="s">
        <v>147</v>
      </c>
      <c r="L6508" t="s">
        <v>3184</v>
      </c>
      <c r="M6508" t="s">
        <v>16</v>
      </c>
    </row>
    <row r="6509" spans="1:13">
      <c r="A6509" t="s">
        <v>851</v>
      </c>
      <c r="B6509" t="s">
        <v>686</v>
      </c>
      <c r="C6509" t="s">
        <v>686</v>
      </c>
      <c r="D6509" t="s">
        <v>236</v>
      </c>
      <c r="E6509" t="s">
        <v>461</v>
      </c>
      <c r="F6509" t="s">
        <v>668</v>
      </c>
      <c r="G6509">
        <v>2040</v>
      </c>
      <c r="H6509" s="12">
        <v>3.16</v>
      </c>
      <c r="I6509" t="s">
        <v>3183</v>
      </c>
      <c r="J6509" t="s">
        <v>394</v>
      </c>
      <c r="K6509" t="s">
        <v>147</v>
      </c>
      <c r="L6509" t="s">
        <v>3184</v>
      </c>
      <c r="M6509" t="s">
        <v>16</v>
      </c>
    </row>
    <row r="6510" spans="1:13">
      <c r="A6510" t="s">
        <v>851</v>
      </c>
      <c r="B6510" t="s">
        <v>686</v>
      </c>
      <c r="C6510" t="s">
        <v>686</v>
      </c>
      <c r="D6510" t="s">
        <v>236</v>
      </c>
      <c r="E6510" t="s">
        <v>461</v>
      </c>
      <c r="F6510" t="s">
        <v>668</v>
      </c>
      <c r="G6510">
        <v>2045</v>
      </c>
      <c r="H6510" s="12">
        <v>2.92</v>
      </c>
      <c r="I6510" t="s">
        <v>3183</v>
      </c>
      <c r="J6510" t="s">
        <v>394</v>
      </c>
      <c r="K6510" t="s">
        <v>147</v>
      </c>
      <c r="L6510" t="s">
        <v>3184</v>
      </c>
      <c r="M6510" t="s">
        <v>16</v>
      </c>
    </row>
    <row r="6511" spans="1:13">
      <c r="A6511" t="s">
        <v>851</v>
      </c>
      <c r="B6511" t="s">
        <v>686</v>
      </c>
      <c r="C6511" t="s">
        <v>686</v>
      </c>
      <c r="D6511" t="s">
        <v>236</v>
      </c>
      <c r="E6511" t="s">
        <v>461</v>
      </c>
      <c r="F6511" t="s">
        <v>668</v>
      </c>
      <c r="G6511">
        <v>2050</v>
      </c>
      <c r="H6511" s="12">
        <v>2.7</v>
      </c>
      <c r="I6511" t="s">
        <v>3183</v>
      </c>
      <c r="J6511" t="s">
        <v>394</v>
      </c>
      <c r="K6511" t="s">
        <v>147</v>
      </c>
      <c r="L6511" t="s">
        <v>3184</v>
      </c>
      <c r="M6511" t="s">
        <v>16</v>
      </c>
    </row>
    <row r="6512" spans="1:13">
      <c r="A6512" t="s">
        <v>851</v>
      </c>
      <c r="B6512" t="s">
        <v>687</v>
      </c>
      <c r="C6512" t="s">
        <v>687</v>
      </c>
      <c r="D6512" t="s">
        <v>236</v>
      </c>
      <c r="E6512" t="s">
        <v>461</v>
      </c>
      <c r="F6512" t="s">
        <v>668</v>
      </c>
      <c r="G6512">
        <v>2030</v>
      </c>
      <c r="H6512" s="12">
        <v>3.37</v>
      </c>
      <c r="I6512" t="s">
        <v>3183</v>
      </c>
      <c r="J6512" t="s">
        <v>394</v>
      </c>
      <c r="K6512" t="s">
        <v>147</v>
      </c>
      <c r="L6512" t="s">
        <v>3184</v>
      </c>
      <c r="M6512" t="s">
        <v>16</v>
      </c>
    </row>
    <row r="6513" spans="1:13">
      <c r="A6513" t="s">
        <v>851</v>
      </c>
      <c r="B6513" t="s">
        <v>687</v>
      </c>
      <c r="C6513" t="s">
        <v>687</v>
      </c>
      <c r="D6513" t="s">
        <v>236</v>
      </c>
      <c r="E6513" t="s">
        <v>461</v>
      </c>
      <c r="F6513" t="s">
        <v>668</v>
      </c>
      <c r="G6513">
        <v>2035</v>
      </c>
      <c r="H6513" s="12">
        <v>3.26</v>
      </c>
      <c r="I6513" t="s">
        <v>3183</v>
      </c>
      <c r="J6513" t="s">
        <v>394</v>
      </c>
      <c r="K6513" t="s">
        <v>147</v>
      </c>
      <c r="L6513" t="s">
        <v>3184</v>
      </c>
      <c r="M6513" t="s">
        <v>16</v>
      </c>
    </row>
    <row r="6514" spans="1:13">
      <c r="A6514" t="s">
        <v>851</v>
      </c>
      <c r="B6514" t="s">
        <v>687</v>
      </c>
      <c r="C6514" t="s">
        <v>687</v>
      </c>
      <c r="D6514" t="s">
        <v>236</v>
      </c>
      <c r="E6514" t="s">
        <v>461</v>
      </c>
      <c r="F6514" t="s">
        <v>668</v>
      </c>
      <c r="G6514">
        <v>2040</v>
      </c>
      <c r="H6514" s="12">
        <v>3.16</v>
      </c>
      <c r="I6514" t="s">
        <v>3183</v>
      </c>
      <c r="J6514" t="s">
        <v>394</v>
      </c>
      <c r="K6514" t="s">
        <v>147</v>
      </c>
      <c r="L6514" t="s">
        <v>3184</v>
      </c>
      <c r="M6514" t="s">
        <v>16</v>
      </c>
    </row>
    <row r="6515" spans="1:13">
      <c r="A6515" t="s">
        <v>851</v>
      </c>
      <c r="B6515" t="s">
        <v>687</v>
      </c>
      <c r="C6515" t="s">
        <v>687</v>
      </c>
      <c r="D6515" t="s">
        <v>236</v>
      </c>
      <c r="E6515" t="s">
        <v>461</v>
      </c>
      <c r="F6515" t="s">
        <v>668</v>
      </c>
      <c r="G6515">
        <v>2045</v>
      </c>
      <c r="H6515" s="12">
        <v>2.94</v>
      </c>
      <c r="I6515" t="s">
        <v>3183</v>
      </c>
      <c r="J6515" t="s">
        <v>394</v>
      </c>
      <c r="K6515" t="s">
        <v>147</v>
      </c>
      <c r="L6515" t="s">
        <v>3184</v>
      </c>
      <c r="M6515" t="s">
        <v>16</v>
      </c>
    </row>
    <row r="6516" spans="1:13">
      <c r="A6516" t="s">
        <v>851</v>
      </c>
      <c r="B6516" t="s">
        <v>687</v>
      </c>
      <c r="C6516" t="s">
        <v>687</v>
      </c>
      <c r="D6516" t="s">
        <v>236</v>
      </c>
      <c r="E6516" t="s">
        <v>461</v>
      </c>
      <c r="F6516" t="s">
        <v>668</v>
      </c>
      <c r="G6516">
        <v>2050</v>
      </c>
      <c r="H6516" s="12">
        <v>2.68</v>
      </c>
      <c r="I6516" t="s">
        <v>3183</v>
      </c>
      <c r="J6516" t="s">
        <v>394</v>
      </c>
      <c r="K6516" t="s">
        <v>147</v>
      </c>
      <c r="L6516" t="s">
        <v>3184</v>
      </c>
      <c r="M6516" t="s">
        <v>16</v>
      </c>
    </row>
    <row r="6517" spans="1:13">
      <c r="A6517" t="s">
        <v>851</v>
      </c>
      <c r="B6517" t="s">
        <v>686</v>
      </c>
      <c r="C6517" t="s">
        <v>686</v>
      </c>
      <c r="D6517" t="s">
        <v>236</v>
      </c>
      <c r="E6517" t="s">
        <v>646</v>
      </c>
      <c r="F6517" t="s">
        <v>40</v>
      </c>
      <c r="G6517">
        <v>2010</v>
      </c>
      <c r="H6517" s="12">
        <v>0</v>
      </c>
      <c r="I6517" t="s">
        <v>3183</v>
      </c>
      <c r="J6517" t="s">
        <v>5</v>
      </c>
      <c r="K6517" t="s">
        <v>658</v>
      </c>
      <c r="L6517" t="s">
        <v>3184</v>
      </c>
      <c r="M6517" t="s">
        <v>5</v>
      </c>
    </row>
    <row r="6518" spans="1:13">
      <c r="A6518" t="s">
        <v>851</v>
      </c>
      <c r="B6518" t="s">
        <v>686</v>
      </c>
      <c r="C6518" t="s">
        <v>686</v>
      </c>
      <c r="D6518" t="s">
        <v>236</v>
      </c>
      <c r="E6518" t="s">
        <v>646</v>
      </c>
      <c r="F6518" t="s">
        <v>40</v>
      </c>
      <c r="G6518">
        <v>2015</v>
      </c>
      <c r="H6518" s="12">
        <v>0</v>
      </c>
      <c r="I6518" t="s">
        <v>3183</v>
      </c>
      <c r="J6518" t="s">
        <v>5</v>
      </c>
      <c r="K6518" t="s">
        <v>658</v>
      </c>
      <c r="L6518" t="s">
        <v>3184</v>
      </c>
      <c r="M6518" t="s">
        <v>5</v>
      </c>
    </row>
    <row r="6519" spans="1:13">
      <c r="A6519" t="s">
        <v>851</v>
      </c>
      <c r="B6519" t="s">
        <v>686</v>
      </c>
      <c r="C6519" t="s">
        <v>686</v>
      </c>
      <c r="D6519" t="s">
        <v>236</v>
      </c>
      <c r="E6519" t="s">
        <v>646</v>
      </c>
      <c r="F6519" t="s">
        <v>40</v>
      </c>
      <c r="G6519">
        <v>2020</v>
      </c>
      <c r="H6519" s="12">
        <v>0</v>
      </c>
      <c r="I6519" t="s">
        <v>3183</v>
      </c>
      <c r="J6519" t="s">
        <v>5</v>
      </c>
      <c r="K6519" t="s">
        <v>658</v>
      </c>
      <c r="L6519" t="s">
        <v>3184</v>
      </c>
      <c r="M6519" t="s">
        <v>5</v>
      </c>
    </row>
    <row r="6520" spans="1:13">
      <c r="A6520" t="s">
        <v>851</v>
      </c>
      <c r="B6520" t="s">
        <v>686</v>
      </c>
      <c r="C6520" t="s">
        <v>686</v>
      </c>
      <c r="D6520" t="s">
        <v>236</v>
      </c>
      <c r="E6520" t="s">
        <v>646</v>
      </c>
      <c r="F6520" t="s">
        <v>40</v>
      </c>
      <c r="G6520">
        <v>2030</v>
      </c>
      <c r="H6520" s="12">
        <v>0</v>
      </c>
      <c r="I6520" t="s">
        <v>3183</v>
      </c>
      <c r="J6520" t="s">
        <v>5</v>
      </c>
      <c r="K6520" t="s">
        <v>658</v>
      </c>
      <c r="L6520" t="s">
        <v>3184</v>
      </c>
      <c r="M6520" t="s">
        <v>5</v>
      </c>
    </row>
    <row r="6521" spans="1:13">
      <c r="A6521" t="s">
        <v>851</v>
      </c>
      <c r="B6521" t="s">
        <v>686</v>
      </c>
      <c r="C6521" t="s">
        <v>686</v>
      </c>
      <c r="D6521" t="s">
        <v>236</v>
      </c>
      <c r="E6521" t="s">
        <v>646</v>
      </c>
      <c r="F6521" t="s">
        <v>40</v>
      </c>
      <c r="G6521">
        <v>2035</v>
      </c>
      <c r="H6521" s="12">
        <v>0</v>
      </c>
      <c r="I6521" t="s">
        <v>3183</v>
      </c>
      <c r="J6521" t="s">
        <v>5</v>
      </c>
      <c r="K6521" t="s">
        <v>658</v>
      </c>
      <c r="L6521" t="s">
        <v>3184</v>
      </c>
      <c r="M6521" t="s">
        <v>5</v>
      </c>
    </row>
    <row r="6522" spans="1:13">
      <c r="A6522" t="s">
        <v>851</v>
      </c>
      <c r="B6522" t="s">
        <v>686</v>
      </c>
      <c r="C6522" t="s">
        <v>686</v>
      </c>
      <c r="D6522" t="s">
        <v>236</v>
      </c>
      <c r="E6522" t="s">
        <v>646</v>
      </c>
      <c r="F6522" t="s">
        <v>40</v>
      </c>
      <c r="G6522">
        <v>2040</v>
      </c>
      <c r="H6522" s="12">
        <v>0</v>
      </c>
      <c r="I6522" t="s">
        <v>3183</v>
      </c>
      <c r="J6522" t="s">
        <v>5</v>
      </c>
      <c r="K6522" t="s">
        <v>658</v>
      </c>
      <c r="L6522" t="s">
        <v>3184</v>
      </c>
      <c r="M6522" t="s">
        <v>5</v>
      </c>
    </row>
    <row r="6523" spans="1:13">
      <c r="A6523" t="s">
        <v>851</v>
      </c>
      <c r="B6523" t="s">
        <v>686</v>
      </c>
      <c r="C6523" t="s">
        <v>686</v>
      </c>
      <c r="D6523" t="s">
        <v>236</v>
      </c>
      <c r="E6523" t="s">
        <v>646</v>
      </c>
      <c r="F6523" t="s">
        <v>40</v>
      </c>
      <c r="G6523">
        <v>2045</v>
      </c>
      <c r="H6523" s="12">
        <v>0</v>
      </c>
      <c r="I6523" t="s">
        <v>3183</v>
      </c>
      <c r="J6523" t="s">
        <v>5</v>
      </c>
      <c r="K6523" t="s">
        <v>658</v>
      </c>
      <c r="L6523" t="s">
        <v>3184</v>
      </c>
      <c r="M6523" t="s">
        <v>5</v>
      </c>
    </row>
    <row r="6524" spans="1:13">
      <c r="A6524" t="s">
        <v>851</v>
      </c>
      <c r="B6524" t="s">
        <v>686</v>
      </c>
      <c r="C6524" t="s">
        <v>686</v>
      </c>
      <c r="D6524" t="s">
        <v>236</v>
      </c>
      <c r="E6524" t="s">
        <v>646</v>
      </c>
      <c r="F6524" t="s">
        <v>40</v>
      </c>
      <c r="G6524">
        <v>2050</v>
      </c>
      <c r="H6524" s="12">
        <v>0</v>
      </c>
      <c r="I6524" t="s">
        <v>3183</v>
      </c>
      <c r="J6524" t="s">
        <v>5</v>
      </c>
      <c r="K6524" t="s">
        <v>658</v>
      </c>
      <c r="L6524" t="s">
        <v>3184</v>
      </c>
      <c r="M6524" t="s">
        <v>5</v>
      </c>
    </row>
    <row r="6525" spans="1:13">
      <c r="A6525" t="s">
        <v>851</v>
      </c>
      <c r="B6525" t="s">
        <v>687</v>
      </c>
      <c r="C6525" t="s">
        <v>687</v>
      </c>
      <c r="D6525" t="s">
        <v>236</v>
      </c>
      <c r="E6525" t="s">
        <v>646</v>
      </c>
      <c r="F6525" t="s">
        <v>40</v>
      </c>
      <c r="G6525">
        <v>2030</v>
      </c>
      <c r="H6525" s="12">
        <v>0</v>
      </c>
      <c r="I6525" t="s">
        <v>3183</v>
      </c>
      <c r="J6525" t="s">
        <v>5</v>
      </c>
      <c r="K6525" t="s">
        <v>658</v>
      </c>
      <c r="L6525" t="s">
        <v>3184</v>
      </c>
      <c r="M6525" t="s">
        <v>5</v>
      </c>
    </row>
    <row r="6526" spans="1:13">
      <c r="A6526" t="s">
        <v>851</v>
      </c>
      <c r="B6526" t="s">
        <v>687</v>
      </c>
      <c r="C6526" t="s">
        <v>687</v>
      </c>
      <c r="D6526" t="s">
        <v>236</v>
      </c>
      <c r="E6526" t="s">
        <v>646</v>
      </c>
      <c r="F6526" t="s">
        <v>40</v>
      </c>
      <c r="G6526">
        <v>2035</v>
      </c>
      <c r="H6526" s="12">
        <v>0</v>
      </c>
      <c r="I6526" t="s">
        <v>3183</v>
      </c>
      <c r="J6526" t="s">
        <v>5</v>
      </c>
      <c r="K6526" t="s">
        <v>658</v>
      </c>
      <c r="L6526" t="s">
        <v>3184</v>
      </c>
      <c r="M6526" t="s">
        <v>5</v>
      </c>
    </row>
    <row r="6527" spans="1:13">
      <c r="A6527" t="s">
        <v>851</v>
      </c>
      <c r="B6527" t="s">
        <v>687</v>
      </c>
      <c r="C6527" t="s">
        <v>687</v>
      </c>
      <c r="D6527" t="s">
        <v>236</v>
      </c>
      <c r="E6527" t="s">
        <v>646</v>
      </c>
      <c r="F6527" t="s">
        <v>40</v>
      </c>
      <c r="G6527">
        <v>2040</v>
      </c>
      <c r="H6527" s="12">
        <v>0</v>
      </c>
      <c r="I6527" t="s">
        <v>3183</v>
      </c>
      <c r="J6527" t="s">
        <v>5</v>
      </c>
      <c r="K6527" t="s">
        <v>658</v>
      </c>
      <c r="L6527" t="s">
        <v>3184</v>
      </c>
      <c r="M6527" t="s">
        <v>5</v>
      </c>
    </row>
    <row r="6528" spans="1:13">
      <c r="A6528" t="s">
        <v>851</v>
      </c>
      <c r="B6528" t="s">
        <v>687</v>
      </c>
      <c r="C6528" t="s">
        <v>687</v>
      </c>
      <c r="D6528" t="s">
        <v>236</v>
      </c>
      <c r="E6528" t="s">
        <v>646</v>
      </c>
      <c r="F6528" t="s">
        <v>40</v>
      </c>
      <c r="G6528">
        <v>2045</v>
      </c>
      <c r="H6528" s="12">
        <v>0</v>
      </c>
      <c r="I6528" t="s">
        <v>3183</v>
      </c>
      <c r="J6528" t="s">
        <v>5</v>
      </c>
      <c r="K6528" t="s">
        <v>658</v>
      </c>
      <c r="L6528" t="s">
        <v>3184</v>
      </c>
      <c r="M6528" t="s">
        <v>5</v>
      </c>
    </row>
    <row r="6529" spans="1:13">
      <c r="A6529" t="s">
        <v>851</v>
      </c>
      <c r="B6529" t="s">
        <v>687</v>
      </c>
      <c r="C6529" t="s">
        <v>687</v>
      </c>
      <c r="D6529" t="s">
        <v>236</v>
      </c>
      <c r="E6529" t="s">
        <v>646</v>
      </c>
      <c r="F6529" t="s">
        <v>40</v>
      </c>
      <c r="G6529">
        <v>2050</v>
      </c>
      <c r="H6529" s="12">
        <v>0</v>
      </c>
      <c r="I6529" t="s">
        <v>3183</v>
      </c>
      <c r="J6529" t="s">
        <v>5</v>
      </c>
      <c r="K6529" t="s">
        <v>658</v>
      </c>
      <c r="L6529" t="s">
        <v>3184</v>
      </c>
      <c r="M6529" t="s">
        <v>5</v>
      </c>
    </row>
    <row r="6530" spans="1:13">
      <c r="A6530" t="s">
        <v>851</v>
      </c>
      <c r="B6530" t="s">
        <v>686</v>
      </c>
      <c r="C6530" t="s">
        <v>686</v>
      </c>
      <c r="D6530" t="s">
        <v>236</v>
      </c>
      <c r="E6530" t="s">
        <v>461</v>
      </c>
      <c r="F6530" t="s">
        <v>668</v>
      </c>
      <c r="G6530">
        <v>2010</v>
      </c>
      <c r="H6530" s="12">
        <v>0</v>
      </c>
      <c r="I6530" t="s">
        <v>3183</v>
      </c>
      <c r="J6530" t="s">
        <v>17</v>
      </c>
      <c r="K6530" t="s">
        <v>147</v>
      </c>
      <c r="L6530" t="s">
        <v>3184</v>
      </c>
      <c r="M6530" t="s">
        <v>671</v>
      </c>
    </row>
    <row r="6531" spans="1:13">
      <c r="A6531" t="s">
        <v>851</v>
      </c>
      <c r="B6531" t="s">
        <v>686</v>
      </c>
      <c r="C6531" t="s">
        <v>686</v>
      </c>
      <c r="D6531" t="s">
        <v>236</v>
      </c>
      <c r="E6531" t="s">
        <v>461</v>
      </c>
      <c r="F6531" t="s">
        <v>668</v>
      </c>
      <c r="G6531">
        <v>2015</v>
      </c>
      <c r="H6531" s="12">
        <v>0.06</v>
      </c>
      <c r="I6531" t="s">
        <v>3183</v>
      </c>
      <c r="J6531" t="s">
        <v>17</v>
      </c>
      <c r="K6531" t="s">
        <v>147</v>
      </c>
      <c r="L6531" t="s">
        <v>3184</v>
      </c>
      <c r="M6531" t="s">
        <v>671</v>
      </c>
    </row>
    <row r="6532" spans="1:13">
      <c r="A6532" t="s">
        <v>851</v>
      </c>
      <c r="B6532" t="s">
        <v>686</v>
      </c>
      <c r="C6532" t="s">
        <v>686</v>
      </c>
      <c r="D6532" t="s">
        <v>236</v>
      </c>
      <c r="E6532" t="s">
        <v>461</v>
      </c>
      <c r="F6532" t="s">
        <v>668</v>
      </c>
      <c r="G6532">
        <v>2020</v>
      </c>
      <c r="H6532" s="12">
        <v>10.75</v>
      </c>
      <c r="I6532" t="s">
        <v>3183</v>
      </c>
      <c r="J6532" t="s">
        <v>17</v>
      </c>
      <c r="K6532" t="s">
        <v>147</v>
      </c>
      <c r="L6532" t="s">
        <v>3184</v>
      </c>
      <c r="M6532" t="s">
        <v>671</v>
      </c>
    </row>
    <row r="6533" spans="1:13">
      <c r="A6533" t="s">
        <v>851</v>
      </c>
      <c r="B6533" t="s">
        <v>686</v>
      </c>
      <c r="C6533" t="s">
        <v>686</v>
      </c>
      <c r="D6533" t="s">
        <v>236</v>
      </c>
      <c r="E6533" t="s">
        <v>461</v>
      </c>
      <c r="F6533" t="s">
        <v>668</v>
      </c>
      <c r="G6533">
        <v>2030</v>
      </c>
      <c r="H6533" s="12">
        <v>118.86</v>
      </c>
      <c r="I6533" t="s">
        <v>3183</v>
      </c>
      <c r="J6533" t="s">
        <v>17</v>
      </c>
      <c r="K6533" t="s">
        <v>147</v>
      </c>
      <c r="L6533" t="s">
        <v>3184</v>
      </c>
      <c r="M6533" t="s">
        <v>671</v>
      </c>
    </row>
    <row r="6534" spans="1:13">
      <c r="A6534" t="s">
        <v>851</v>
      </c>
      <c r="B6534" t="s">
        <v>686</v>
      </c>
      <c r="C6534" t="s">
        <v>686</v>
      </c>
      <c r="D6534" t="s">
        <v>236</v>
      </c>
      <c r="E6534" t="s">
        <v>461</v>
      </c>
      <c r="F6534" t="s">
        <v>668</v>
      </c>
      <c r="G6534">
        <v>2035</v>
      </c>
      <c r="H6534" s="12">
        <v>162.94</v>
      </c>
      <c r="I6534" t="s">
        <v>3183</v>
      </c>
      <c r="J6534" t="s">
        <v>17</v>
      </c>
      <c r="K6534" t="s">
        <v>147</v>
      </c>
      <c r="L6534" t="s">
        <v>3184</v>
      </c>
      <c r="M6534" t="s">
        <v>671</v>
      </c>
    </row>
    <row r="6535" spans="1:13">
      <c r="A6535" t="s">
        <v>851</v>
      </c>
      <c r="B6535" t="s">
        <v>686</v>
      </c>
      <c r="C6535" t="s">
        <v>686</v>
      </c>
      <c r="D6535" t="s">
        <v>236</v>
      </c>
      <c r="E6535" t="s">
        <v>461</v>
      </c>
      <c r="F6535" t="s">
        <v>668</v>
      </c>
      <c r="G6535">
        <v>2040</v>
      </c>
      <c r="H6535" s="12">
        <v>208.3</v>
      </c>
      <c r="I6535" t="s">
        <v>3183</v>
      </c>
      <c r="J6535" t="s">
        <v>17</v>
      </c>
      <c r="K6535" t="s">
        <v>147</v>
      </c>
      <c r="L6535" t="s">
        <v>3184</v>
      </c>
      <c r="M6535" t="s">
        <v>671</v>
      </c>
    </row>
    <row r="6536" spans="1:13">
      <c r="A6536" t="s">
        <v>851</v>
      </c>
      <c r="B6536" t="s">
        <v>686</v>
      </c>
      <c r="C6536" t="s">
        <v>686</v>
      </c>
      <c r="D6536" t="s">
        <v>236</v>
      </c>
      <c r="E6536" t="s">
        <v>461</v>
      </c>
      <c r="F6536" t="s">
        <v>668</v>
      </c>
      <c r="G6536">
        <v>2045</v>
      </c>
      <c r="H6536" s="12">
        <v>270.23</v>
      </c>
      <c r="I6536" t="s">
        <v>3183</v>
      </c>
      <c r="J6536" t="s">
        <v>17</v>
      </c>
      <c r="K6536" t="s">
        <v>147</v>
      </c>
      <c r="L6536" t="s">
        <v>3184</v>
      </c>
      <c r="M6536" t="s">
        <v>671</v>
      </c>
    </row>
    <row r="6537" spans="1:13">
      <c r="A6537" t="s">
        <v>851</v>
      </c>
      <c r="B6537" t="s">
        <v>686</v>
      </c>
      <c r="C6537" t="s">
        <v>686</v>
      </c>
      <c r="D6537" t="s">
        <v>236</v>
      </c>
      <c r="E6537" t="s">
        <v>461</v>
      </c>
      <c r="F6537" t="s">
        <v>668</v>
      </c>
      <c r="G6537">
        <v>2050</v>
      </c>
      <c r="H6537" s="12">
        <v>340.06</v>
      </c>
      <c r="I6537" t="s">
        <v>3183</v>
      </c>
      <c r="J6537" t="s">
        <v>17</v>
      </c>
      <c r="K6537" t="s">
        <v>147</v>
      </c>
      <c r="L6537" t="s">
        <v>3184</v>
      </c>
      <c r="M6537" t="s">
        <v>671</v>
      </c>
    </row>
    <row r="6538" spans="1:13">
      <c r="A6538" t="s">
        <v>851</v>
      </c>
      <c r="B6538" t="s">
        <v>687</v>
      </c>
      <c r="C6538" t="s">
        <v>687</v>
      </c>
      <c r="D6538" t="s">
        <v>236</v>
      </c>
      <c r="E6538" t="s">
        <v>461</v>
      </c>
      <c r="F6538" t="s">
        <v>668</v>
      </c>
      <c r="G6538">
        <v>2030</v>
      </c>
      <c r="H6538" s="12">
        <v>136.96</v>
      </c>
      <c r="I6538" t="s">
        <v>3183</v>
      </c>
      <c r="J6538" t="s">
        <v>17</v>
      </c>
      <c r="K6538" t="s">
        <v>147</v>
      </c>
      <c r="L6538" t="s">
        <v>3184</v>
      </c>
      <c r="M6538" t="s">
        <v>671</v>
      </c>
    </row>
    <row r="6539" spans="1:13">
      <c r="A6539" t="s">
        <v>851</v>
      </c>
      <c r="B6539" t="s">
        <v>687</v>
      </c>
      <c r="C6539" t="s">
        <v>687</v>
      </c>
      <c r="D6539" t="s">
        <v>236</v>
      </c>
      <c r="E6539" t="s">
        <v>461</v>
      </c>
      <c r="F6539" t="s">
        <v>668</v>
      </c>
      <c r="G6539">
        <v>2035</v>
      </c>
      <c r="H6539" s="12">
        <v>193.27</v>
      </c>
      <c r="I6539" t="s">
        <v>3183</v>
      </c>
      <c r="J6539" t="s">
        <v>17</v>
      </c>
      <c r="K6539" t="s">
        <v>147</v>
      </c>
      <c r="L6539" t="s">
        <v>3184</v>
      </c>
      <c r="M6539" t="s">
        <v>671</v>
      </c>
    </row>
    <row r="6540" spans="1:13">
      <c r="A6540" t="s">
        <v>851</v>
      </c>
      <c r="B6540" t="s">
        <v>687</v>
      </c>
      <c r="C6540" t="s">
        <v>687</v>
      </c>
      <c r="D6540" t="s">
        <v>236</v>
      </c>
      <c r="E6540" t="s">
        <v>461</v>
      </c>
      <c r="F6540" t="s">
        <v>668</v>
      </c>
      <c r="G6540">
        <v>2040</v>
      </c>
      <c r="H6540" s="12">
        <v>256.12</v>
      </c>
      <c r="I6540" t="s">
        <v>3183</v>
      </c>
      <c r="J6540" t="s">
        <v>17</v>
      </c>
      <c r="K6540" t="s">
        <v>147</v>
      </c>
      <c r="L6540" t="s">
        <v>3184</v>
      </c>
      <c r="M6540" t="s">
        <v>671</v>
      </c>
    </row>
    <row r="6541" spans="1:13">
      <c r="A6541" t="s">
        <v>851</v>
      </c>
      <c r="B6541" t="s">
        <v>687</v>
      </c>
      <c r="C6541" t="s">
        <v>687</v>
      </c>
      <c r="D6541" t="s">
        <v>236</v>
      </c>
      <c r="E6541" t="s">
        <v>461</v>
      </c>
      <c r="F6541" t="s">
        <v>668</v>
      </c>
      <c r="G6541">
        <v>2045</v>
      </c>
      <c r="H6541" s="12">
        <v>343.62</v>
      </c>
      <c r="I6541" t="s">
        <v>3183</v>
      </c>
      <c r="J6541" t="s">
        <v>17</v>
      </c>
      <c r="K6541" t="s">
        <v>147</v>
      </c>
      <c r="L6541" t="s">
        <v>3184</v>
      </c>
      <c r="M6541" t="s">
        <v>671</v>
      </c>
    </row>
    <row r="6542" spans="1:13">
      <c r="A6542" t="s">
        <v>851</v>
      </c>
      <c r="B6542" t="s">
        <v>687</v>
      </c>
      <c r="C6542" t="s">
        <v>687</v>
      </c>
      <c r="D6542" t="s">
        <v>236</v>
      </c>
      <c r="E6542" t="s">
        <v>461</v>
      </c>
      <c r="F6542" t="s">
        <v>668</v>
      </c>
      <c r="G6542">
        <v>2050</v>
      </c>
      <c r="H6542" s="12">
        <v>445.98</v>
      </c>
      <c r="I6542" t="s">
        <v>3183</v>
      </c>
      <c r="J6542" t="s">
        <v>17</v>
      </c>
      <c r="K6542" t="s">
        <v>147</v>
      </c>
      <c r="L6542" t="s">
        <v>3184</v>
      </c>
      <c r="M6542" t="s">
        <v>671</v>
      </c>
    </row>
    <row r="6543" spans="1:13">
      <c r="A6543" t="s">
        <v>851</v>
      </c>
      <c r="B6543" t="s">
        <v>686</v>
      </c>
      <c r="C6543" t="s">
        <v>686</v>
      </c>
      <c r="D6543" t="s">
        <v>236</v>
      </c>
      <c r="E6543" t="s">
        <v>461</v>
      </c>
      <c r="F6543" t="s">
        <v>668</v>
      </c>
      <c r="G6543">
        <v>2010</v>
      </c>
      <c r="H6543" s="12">
        <v>2.1800000000000002</v>
      </c>
      <c r="I6543" t="s">
        <v>3183</v>
      </c>
      <c r="J6543" t="s">
        <v>18</v>
      </c>
      <c r="K6543" t="s">
        <v>147</v>
      </c>
      <c r="L6543" t="s">
        <v>3184</v>
      </c>
      <c r="M6543" t="s">
        <v>18</v>
      </c>
    </row>
    <row r="6544" spans="1:13">
      <c r="A6544" t="s">
        <v>851</v>
      </c>
      <c r="B6544" t="s">
        <v>686</v>
      </c>
      <c r="C6544" t="s">
        <v>686</v>
      </c>
      <c r="D6544" t="s">
        <v>236</v>
      </c>
      <c r="E6544" t="s">
        <v>461</v>
      </c>
      <c r="F6544" t="s">
        <v>668</v>
      </c>
      <c r="G6544">
        <v>2015</v>
      </c>
      <c r="H6544" s="12">
        <v>21.63</v>
      </c>
      <c r="I6544" t="s">
        <v>3183</v>
      </c>
      <c r="J6544" t="s">
        <v>18</v>
      </c>
      <c r="K6544" t="s">
        <v>147</v>
      </c>
      <c r="L6544" t="s">
        <v>3184</v>
      </c>
      <c r="M6544" t="s">
        <v>18</v>
      </c>
    </row>
    <row r="6545" spans="1:13">
      <c r="A6545" t="s">
        <v>851</v>
      </c>
      <c r="B6545" t="s">
        <v>686</v>
      </c>
      <c r="C6545" t="s">
        <v>686</v>
      </c>
      <c r="D6545" t="s">
        <v>236</v>
      </c>
      <c r="E6545" t="s">
        <v>461</v>
      </c>
      <c r="F6545" t="s">
        <v>668</v>
      </c>
      <c r="G6545">
        <v>2020</v>
      </c>
      <c r="H6545" s="12">
        <v>57.05</v>
      </c>
      <c r="I6545" t="s">
        <v>3183</v>
      </c>
      <c r="J6545" t="s">
        <v>18</v>
      </c>
      <c r="K6545" t="s">
        <v>147</v>
      </c>
      <c r="L6545" t="s">
        <v>3184</v>
      </c>
      <c r="M6545" t="s">
        <v>18</v>
      </c>
    </row>
    <row r="6546" spans="1:13">
      <c r="A6546" t="s">
        <v>851</v>
      </c>
      <c r="B6546" t="s">
        <v>686</v>
      </c>
      <c r="C6546" t="s">
        <v>686</v>
      </c>
      <c r="D6546" t="s">
        <v>236</v>
      </c>
      <c r="E6546" t="s">
        <v>461</v>
      </c>
      <c r="F6546" t="s">
        <v>668</v>
      </c>
      <c r="G6546">
        <v>2030</v>
      </c>
      <c r="H6546" s="12">
        <v>137</v>
      </c>
      <c r="I6546" t="s">
        <v>3183</v>
      </c>
      <c r="J6546" t="s">
        <v>18</v>
      </c>
      <c r="K6546" t="s">
        <v>147</v>
      </c>
      <c r="L6546" t="s">
        <v>3184</v>
      </c>
      <c r="M6546" t="s">
        <v>18</v>
      </c>
    </row>
    <row r="6547" spans="1:13">
      <c r="A6547" t="s">
        <v>851</v>
      </c>
      <c r="B6547" t="s">
        <v>686</v>
      </c>
      <c r="C6547" t="s">
        <v>686</v>
      </c>
      <c r="D6547" t="s">
        <v>236</v>
      </c>
      <c r="E6547" t="s">
        <v>461</v>
      </c>
      <c r="F6547" t="s">
        <v>668</v>
      </c>
      <c r="G6547">
        <v>2035</v>
      </c>
      <c r="H6547" s="12">
        <v>159.11000000000001</v>
      </c>
      <c r="I6547" t="s">
        <v>3183</v>
      </c>
      <c r="J6547" t="s">
        <v>18</v>
      </c>
      <c r="K6547" t="s">
        <v>147</v>
      </c>
      <c r="L6547" t="s">
        <v>3184</v>
      </c>
      <c r="M6547" t="s">
        <v>18</v>
      </c>
    </row>
    <row r="6548" spans="1:13">
      <c r="A6548" t="s">
        <v>851</v>
      </c>
      <c r="B6548" t="s">
        <v>686</v>
      </c>
      <c r="C6548" t="s">
        <v>686</v>
      </c>
      <c r="D6548" t="s">
        <v>236</v>
      </c>
      <c r="E6548" t="s">
        <v>461</v>
      </c>
      <c r="F6548" t="s">
        <v>668</v>
      </c>
      <c r="G6548">
        <v>2040</v>
      </c>
      <c r="H6548" s="12">
        <v>185.54</v>
      </c>
      <c r="I6548" t="s">
        <v>3183</v>
      </c>
      <c r="J6548" t="s">
        <v>18</v>
      </c>
      <c r="K6548" t="s">
        <v>147</v>
      </c>
      <c r="L6548" t="s">
        <v>3184</v>
      </c>
      <c r="M6548" t="s">
        <v>18</v>
      </c>
    </row>
    <row r="6549" spans="1:13">
      <c r="A6549" t="s">
        <v>851</v>
      </c>
      <c r="B6549" t="s">
        <v>686</v>
      </c>
      <c r="C6549" t="s">
        <v>686</v>
      </c>
      <c r="D6549" t="s">
        <v>236</v>
      </c>
      <c r="E6549" t="s">
        <v>461</v>
      </c>
      <c r="F6549" t="s">
        <v>668</v>
      </c>
      <c r="G6549">
        <v>2045</v>
      </c>
      <c r="H6549" s="12">
        <v>219.83</v>
      </c>
      <c r="I6549" t="s">
        <v>3183</v>
      </c>
      <c r="J6549" t="s">
        <v>18</v>
      </c>
      <c r="K6549" t="s">
        <v>147</v>
      </c>
      <c r="L6549" t="s">
        <v>3184</v>
      </c>
      <c r="M6549" t="s">
        <v>18</v>
      </c>
    </row>
    <row r="6550" spans="1:13">
      <c r="A6550" t="s">
        <v>851</v>
      </c>
      <c r="B6550" t="s">
        <v>686</v>
      </c>
      <c r="C6550" t="s">
        <v>686</v>
      </c>
      <c r="D6550" t="s">
        <v>236</v>
      </c>
      <c r="E6550" t="s">
        <v>461</v>
      </c>
      <c r="F6550" t="s">
        <v>668</v>
      </c>
      <c r="G6550">
        <v>2050</v>
      </c>
      <c r="H6550" s="12">
        <v>258.83999999999997</v>
      </c>
      <c r="I6550" t="s">
        <v>3183</v>
      </c>
      <c r="J6550" t="s">
        <v>18</v>
      </c>
      <c r="K6550" t="s">
        <v>147</v>
      </c>
      <c r="L6550" t="s">
        <v>3184</v>
      </c>
      <c r="M6550" t="s">
        <v>18</v>
      </c>
    </row>
    <row r="6551" spans="1:13">
      <c r="A6551" t="s">
        <v>851</v>
      </c>
      <c r="B6551" t="s">
        <v>687</v>
      </c>
      <c r="C6551" t="s">
        <v>687</v>
      </c>
      <c r="D6551" t="s">
        <v>236</v>
      </c>
      <c r="E6551" t="s">
        <v>461</v>
      </c>
      <c r="F6551" t="s">
        <v>668</v>
      </c>
      <c r="G6551">
        <v>2030</v>
      </c>
      <c r="H6551" s="12">
        <v>152.38</v>
      </c>
      <c r="I6551" t="s">
        <v>3183</v>
      </c>
      <c r="J6551" t="s">
        <v>18</v>
      </c>
      <c r="K6551" t="s">
        <v>147</v>
      </c>
      <c r="L6551" t="s">
        <v>3184</v>
      </c>
      <c r="M6551" t="s">
        <v>18</v>
      </c>
    </row>
    <row r="6552" spans="1:13">
      <c r="A6552" t="s">
        <v>851</v>
      </c>
      <c r="B6552" t="s">
        <v>687</v>
      </c>
      <c r="C6552" t="s">
        <v>687</v>
      </c>
      <c r="D6552" t="s">
        <v>236</v>
      </c>
      <c r="E6552" t="s">
        <v>461</v>
      </c>
      <c r="F6552" t="s">
        <v>668</v>
      </c>
      <c r="G6552">
        <v>2035</v>
      </c>
      <c r="H6552" s="12">
        <v>178.38</v>
      </c>
      <c r="I6552" t="s">
        <v>3183</v>
      </c>
      <c r="J6552" t="s">
        <v>18</v>
      </c>
      <c r="K6552" t="s">
        <v>147</v>
      </c>
      <c r="L6552" t="s">
        <v>3184</v>
      </c>
      <c r="M6552" t="s">
        <v>18</v>
      </c>
    </row>
    <row r="6553" spans="1:13">
      <c r="A6553" t="s">
        <v>851</v>
      </c>
      <c r="B6553" t="s">
        <v>687</v>
      </c>
      <c r="C6553" t="s">
        <v>687</v>
      </c>
      <c r="D6553" t="s">
        <v>236</v>
      </c>
      <c r="E6553" t="s">
        <v>461</v>
      </c>
      <c r="F6553" t="s">
        <v>668</v>
      </c>
      <c r="G6553">
        <v>2040</v>
      </c>
      <c r="H6553" s="12">
        <v>207.28</v>
      </c>
      <c r="I6553" t="s">
        <v>3183</v>
      </c>
      <c r="J6553" t="s">
        <v>18</v>
      </c>
      <c r="K6553" t="s">
        <v>147</v>
      </c>
      <c r="L6553" t="s">
        <v>3184</v>
      </c>
      <c r="M6553" t="s">
        <v>18</v>
      </c>
    </row>
    <row r="6554" spans="1:13">
      <c r="A6554" t="s">
        <v>851</v>
      </c>
      <c r="B6554" t="s">
        <v>687</v>
      </c>
      <c r="C6554" t="s">
        <v>687</v>
      </c>
      <c r="D6554" t="s">
        <v>236</v>
      </c>
      <c r="E6554" t="s">
        <v>461</v>
      </c>
      <c r="F6554" t="s">
        <v>668</v>
      </c>
      <c r="G6554">
        <v>2045</v>
      </c>
      <c r="H6554" s="12">
        <v>244.85</v>
      </c>
      <c r="I6554" t="s">
        <v>3183</v>
      </c>
      <c r="J6554" t="s">
        <v>18</v>
      </c>
      <c r="K6554" t="s">
        <v>147</v>
      </c>
      <c r="L6554" t="s">
        <v>3184</v>
      </c>
      <c r="M6554" t="s">
        <v>18</v>
      </c>
    </row>
    <row r="6555" spans="1:13">
      <c r="A6555" t="s">
        <v>851</v>
      </c>
      <c r="B6555" t="s">
        <v>687</v>
      </c>
      <c r="C6555" t="s">
        <v>687</v>
      </c>
      <c r="D6555" t="s">
        <v>236</v>
      </c>
      <c r="E6555" t="s">
        <v>461</v>
      </c>
      <c r="F6555" t="s">
        <v>668</v>
      </c>
      <c r="G6555">
        <v>2050</v>
      </c>
      <c r="H6555" s="12">
        <v>304.51</v>
      </c>
      <c r="I6555" t="s">
        <v>3183</v>
      </c>
      <c r="J6555" t="s">
        <v>18</v>
      </c>
      <c r="K6555" t="s">
        <v>147</v>
      </c>
      <c r="L6555" t="s">
        <v>3184</v>
      </c>
      <c r="M6555" t="s">
        <v>18</v>
      </c>
    </row>
    <row r="6556" spans="1:13">
      <c r="A6556" t="s">
        <v>851</v>
      </c>
      <c r="B6556" t="s">
        <v>686</v>
      </c>
      <c r="C6556" t="s">
        <v>686</v>
      </c>
      <c r="D6556" t="s">
        <v>236</v>
      </c>
      <c r="E6556" t="s">
        <v>461</v>
      </c>
      <c r="F6556" t="s">
        <v>668</v>
      </c>
      <c r="G6556">
        <v>2010</v>
      </c>
      <c r="H6556" s="12">
        <v>403.29</v>
      </c>
      <c r="I6556" t="s">
        <v>3183</v>
      </c>
      <c r="J6556" t="s">
        <v>14</v>
      </c>
      <c r="K6556" t="s">
        <v>147</v>
      </c>
      <c r="L6556" t="s">
        <v>3184</v>
      </c>
      <c r="M6556" t="s">
        <v>14</v>
      </c>
    </row>
    <row r="6557" spans="1:13">
      <c r="A6557" t="s">
        <v>851</v>
      </c>
      <c r="B6557" t="s">
        <v>686</v>
      </c>
      <c r="C6557" t="s">
        <v>686</v>
      </c>
      <c r="D6557" t="s">
        <v>236</v>
      </c>
      <c r="E6557" t="s">
        <v>461</v>
      </c>
      <c r="F6557" t="s">
        <v>668</v>
      </c>
      <c r="G6557">
        <v>2015</v>
      </c>
      <c r="H6557" s="12">
        <v>359.74</v>
      </c>
      <c r="I6557" t="s">
        <v>3183</v>
      </c>
      <c r="J6557" t="s">
        <v>14</v>
      </c>
      <c r="K6557" t="s">
        <v>147</v>
      </c>
      <c r="L6557" t="s">
        <v>3184</v>
      </c>
      <c r="M6557" t="s">
        <v>14</v>
      </c>
    </row>
    <row r="6558" spans="1:13">
      <c r="A6558" t="s">
        <v>851</v>
      </c>
      <c r="B6558" t="s">
        <v>686</v>
      </c>
      <c r="C6558" t="s">
        <v>686</v>
      </c>
      <c r="D6558" t="s">
        <v>236</v>
      </c>
      <c r="E6558" t="s">
        <v>461</v>
      </c>
      <c r="F6558" t="s">
        <v>668</v>
      </c>
      <c r="G6558">
        <v>2020</v>
      </c>
      <c r="H6558" s="12">
        <v>396.33</v>
      </c>
      <c r="I6558" t="s">
        <v>3183</v>
      </c>
      <c r="J6558" t="s">
        <v>14</v>
      </c>
      <c r="K6558" t="s">
        <v>147</v>
      </c>
      <c r="L6558" t="s">
        <v>3184</v>
      </c>
      <c r="M6558" t="s">
        <v>14</v>
      </c>
    </row>
    <row r="6559" spans="1:13">
      <c r="A6559" t="s">
        <v>851</v>
      </c>
      <c r="B6559" t="s">
        <v>686</v>
      </c>
      <c r="C6559" t="s">
        <v>686</v>
      </c>
      <c r="D6559" t="s">
        <v>236</v>
      </c>
      <c r="E6559" t="s">
        <v>461</v>
      </c>
      <c r="F6559" t="s">
        <v>668</v>
      </c>
      <c r="G6559">
        <v>2030</v>
      </c>
      <c r="H6559" s="12">
        <v>374.94</v>
      </c>
      <c r="I6559" t="s">
        <v>3183</v>
      </c>
      <c r="J6559" t="s">
        <v>14</v>
      </c>
      <c r="K6559" t="s">
        <v>147</v>
      </c>
      <c r="L6559" t="s">
        <v>3184</v>
      </c>
      <c r="M6559" t="s">
        <v>14</v>
      </c>
    </row>
    <row r="6560" spans="1:13">
      <c r="A6560" t="s">
        <v>851</v>
      </c>
      <c r="B6560" t="s">
        <v>686</v>
      </c>
      <c r="C6560" t="s">
        <v>686</v>
      </c>
      <c r="D6560" t="s">
        <v>236</v>
      </c>
      <c r="E6560" t="s">
        <v>461</v>
      </c>
      <c r="F6560" t="s">
        <v>668</v>
      </c>
      <c r="G6560">
        <v>2035</v>
      </c>
      <c r="H6560" s="12">
        <v>377.71</v>
      </c>
      <c r="I6560" t="s">
        <v>3183</v>
      </c>
      <c r="J6560" t="s">
        <v>14</v>
      </c>
      <c r="K6560" t="s">
        <v>147</v>
      </c>
      <c r="L6560" t="s">
        <v>3184</v>
      </c>
      <c r="M6560" t="s">
        <v>14</v>
      </c>
    </row>
    <row r="6561" spans="1:13">
      <c r="A6561" t="s">
        <v>851</v>
      </c>
      <c r="B6561" t="s">
        <v>686</v>
      </c>
      <c r="C6561" t="s">
        <v>686</v>
      </c>
      <c r="D6561" t="s">
        <v>236</v>
      </c>
      <c r="E6561" t="s">
        <v>461</v>
      </c>
      <c r="F6561" t="s">
        <v>668</v>
      </c>
      <c r="G6561">
        <v>2040</v>
      </c>
      <c r="H6561" s="12">
        <v>380.58</v>
      </c>
      <c r="I6561" t="s">
        <v>3183</v>
      </c>
      <c r="J6561" t="s">
        <v>14</v>
      </c>
      <c r="K6561" t="s">
        <v>147</v>
      </c>
      <c r="L6561" t="s">
        <v>3184</v>
      </c>
      <c r="M6561" t="s">
        <v>14</v>
      </c>
    </row>
    <row r="6562" spans="1:13">
      <c r="A6562" t="s">
        <v>851</v>
      </c>
      <c r="B6562" t="s">
        <v>686</v>
      </c>
      <c r="C6562" t="s">
        <v>686</v>
      </c>
      <c r="D6562" t="s">
        <v>236</v>
      </c>
      <c r="E6562" t="s">
        <v>461</v>
      </c>
      <c r="F6562" t="s">
        <v>668</v>
      </c>
      <c r="G6562">
        <v>2045</v>
      </c>
      <c r="H6562" s="12">
        <v>384.67</v>
      </c>
      <c r="I6562" t="s">
        <v>3183</v>
      </c>
      <c r="J6562" t="s">
        <v>14</v>
      </c>
      <c r="K6562" t="s">
        <v>147</v>
      </c>
      <c r="L6562" t="s">
        <v>3184</v>
      </c>
      <c r="M6562" t="s">
        <v>14</v>
      </c>
    </row>
    <row r="6563" spans="1:13">
      <c r="A6563" t="s">
        <v>851</v>
      </c>
      <c r="B6563" t="s">
        <v>686</v>
      </c>
      <c r="C6563" t="s">
        <v>686</v>
      </c>
      <c r="D6563" t="s">
        <v>236</v>
      </c>
      <c r="E6563" t="s">
        <v>461</v>
      </c>
      <c r="F6563" t="s">
        <v>668</v>
      </c>
      <c r="G6563">
        <v>2050</v>
      </c>
      <c r="H6563" s="12">
        <v>391.14</v>
      </c>
      <c r="I6563" t="s">
        <v>3183</v>
      </c>
      <c r="J6563" t="s">
        <v>14</v>
      </c>
      <c r="K6563" t="s">
        <v>147</v>
      </c>
      <c r="L6563" t="s">
        <v>3184</v>
      </c>
      <c r="M6563" t="s">
        <v>14</v>
      </c>
    </row>
    <row r="6564" spans="1:13">
      <c r="A6564" t="s">
        <v>851</v>
      </c>
      <c r="B6564" t="s">
        <v>687</v>
      </c>
      <c r="C6564" t="s">
        <v>687</v>
      </c>
      <c r="D6564" t="s">
        <v>236</v>
      </c>
      <c r="E6564" t="s">
        <v>461</v>
      </c>
      <c r="F6564" t="s">
        <v>668</v>
      </c>
      <c r="G6564">
        <v>2030</v>
      </c>
      <c r="H6564" s="12">
        <v>376.36</v>
      </c>
      <c r="I6564" t="s">
        <v>3183</v>
      </c>
      <c r="J6564" t="s">
        <v>14</v>
      </c>
      <c r="K6564" t="s">
        <v>147</v>
      </c>
      <c r="L6564" t="s">
        <v>3184</v>
      </c>
      <c r="M6564" t="s">
        <v>14</v>
      </c>
    </row>
    <row r="6565" spans="1:13">
      <c r="A6565" t="s">
        <v>851</v>
      </c>
      <c r="B6565" t="s">
        <v>687</v>
      </c>
      <c r="C6565" t="s">
        <v>687</v>
      </c>
      <c r="D6565" t="s">
        <v>236</v>
      </c>
      <c r="E6565" t="s">
        <v>461</v>
      </c>
      <c r="F6565" t="s">
        <v>668</v>
      </c>
      <c r="G6565">
        <v>2035</v>
      </c>
      <c r="H6565" s="12">
        <v>383.23</v>
      </c>
      <c r="I6565" t="s">
        <v>3183</v>
      </c>
      <c r="J6565" t="s">
        <v>14</v>
      </c>
      <c r="K6565" t="s">
        <v>147</v>
      </c>
      <c r="L6565" t="s">
        <v>3184</v>
      </c>
      <c r="M6565" t="s">
        <v>14</v>
      </c>
    </row>
    <row r="6566" spans="1:13">
      <c r="A6566" t="s">
        <v>851</v>
      </c>
      <c r="B6566" t="s">
        <v>687</v>
      </c>
      <c r="C6566" t="s">
        <v>687</v>
      </c>
      <c r="D6566" t="s">
        <v>236</v>
      </c>
      <c r="E6566" t="s">
        <v>461</v>
      </c>
      <c r="F6566" t="s">
        <v>668</v>
      </c>
      <c r="G6566">
        <v>2040</v>
      </c>
      <c r="H6566" s="12">
        <v>394.78</v>
      </c>
      <c r="I6566" t="s">
        <v>3183</v>
      </c>
      <c r="J6566" t="s">
        <v>14</v>
      </c>
      <c r="K6566" t="s">
        <v>147</v>
      </c>
      <c r="L6566" t="s">
        <v>3184</v>
      </c>
      <c r="M6566" t="s">
        <v>14</v>
      </c>
    </row>
    <row r="6567" spans="1:13">
      <c r="A6567" t="s">
        <v>851</v>
      </c>
      <c r="B6567" t="s">
        <v>687</v>
      </c>
      <c r="C6567" t="s">
        <v>687</v>
      </c>
      <c r="D6567" t="s">
        <v>236</v>
      </c>
      <c r="E6567" t="s">
        <v>461</v>
      </c>
      <c r="F6567" t="s">
        <v>668</v>
      </c>
      <c r="G6567">
        <v>2045</v>
      </c>
      <c r="H6567" s="12">
        <v>408.9</v>
      </c>
      <c r="I6567" t="s">
        <v>3183</v>
      </c>
      <c r="J6567" t="s">
        <v>14</v>
      </c>
      <c r="K6567" t="s">
        <v>147</v>
      </c>
      <c r="L6567" t="s">
        <v>3184</v>
      </c>
      <c r="M6567" t="s">
        <v>14</v>
      </c>
    </row>
    <row r="6568" spans="1:13">
      <c r="A6568" t="s">
        <v>851</v>
      </c>
      <c r="B6568" t="s">
        <v>687</v>
      </c>
      <c r="C6568" t="s">
        <v>687</v>
      </c>
      <c r="D6568" t="s">
        <v>236</v>
      </c>
      <c r="E6568" t="s">
        <v>461</v>
      </c>
      <c r="F6568" t="s">
        <v>668</v>
      </c>
      <c r="G6568">
        <v>2050</v>
      </c>
      <c r="H6568" s="12">
        <v>424.13</v>
      </c>
      <c r="I6568" t="s">
        <v>3183</v>
      </c>
      <c r="J6568" t="s">
        <v>14</v>
      </c>
      <c r="K6568" t="s">
        <v>147</v>
      </c>
      <c r="L6568" t="s">
        <v>3184</v>
      </c>
      <c r="M6568" t="s">
        <v>14</v>
      </c>
    </row>
    <row r="6569" spans="1:13">
      <c r="A6569" t="s">
        <v>851</v>
      </c>
      <c r="B6569" t="s">
        <v>686</v>
      </c>
      <c r="C6569" t="s">
        <v>686</v>
      </c>
      <c r="D6569" t="s">
        <v>236</v>
      </c>
      <c r="E6569" t="s">
        <v>461</v>
      </c>
      <c r="F6569" t="s">
        <v>668</v>
      </c>
      <c r="G6569">
        <v>2010</v>
      </c>
      <c r="H6569" s="12">
        <v>31.46</v>
      </c>
      <c r="I6569" t="s">
        <v>3183</v>
      </c>
      <c r="J6569" t="s">
        <v>41</v>
      </c>
      <c r="K6569" t="s">
        <v>147</v>
      </c>
      <c r="L6569" t="s">
        <v>3184</v>
      </c>
      <c r="M6569" t="s">
        <v>669</v>
      </c>
    </row>
    <row r="6570" spans="1:13">
      <c r="A6570" t="s">
        <v>851</v>
      </c>
      <c r="B6570" t="s">
        <v>686</v>
      </c>
      <c r="C6570" t="s">
        <v>686</v>
      </c>
      <c r="D6570" t="s">
        <v>236</v>
      </c>
      <c r="E6570" t="s">
        <v>461</v>
      </c>
      <c r="F6570" t="s">
        <v>668</v>
      </c>
      <c r="G6570">
        <v>2015</v>
      </c>
      <c r="H6570" s="12">
        <v>49.91</v>
      </c>
      <c r="I6570" t="s">
        <v>3183</v>
      </c>
      <c r="J6570" t="s">
        <v>41</v>
      </c>
      <c r="K6570" t="s">
        <v>147</v>
      </c>
      <c r="L6570" t="s">
        <v>3184</v>
      </c>
      <c r="M6570" t="s">
        <v>669</v>
      </c>
    </row>
    <row r="6571" spans="1:13">
      <c r="A6571" t="s">
        <v>851</v>
      </c>
      <c r="B6571" t="s">
        <v>686</v>
      </c>
      <c r="C6571" t="s">
        <v>686</v>
      </c>
      <c r="D6571" t="s">
        <v>236</v>
      </c>
      <c r="E6571" t="s">
        <v>461</v>
      </c>
      <c r="F6571" t="s">
        <v>668</v>
      </c>
      <c r="G6571">
        <v>2020</v>
      </c>
      <c r="H6571" s="12">
        <v>61.22</v>
      </c>
      <c r="I6571" t="s">
        <v>3183</v>
      </c>
      <c r="J6571" t="s">
        <v>41</v>
      </c>
      <c r="K6571" t="s">
        <v>147</v>
      </c>
      <c r="L6571" t="s">
        <v>3184</v>
      </c>
      <c r="M6571" t="s">
        <v>669</v>
      </c>
    </row>
    <row r="6572" spans="1:13">
      <c r="A6572" t="s">
        <v>851</v>
      </c>
      <c r="B6572" t="s">
        <v>686</v>
      </c>
      <c r="C6572" t="s">
        <v>686</v>
      </c>
      <c r="D6572" t="s">
        <v>236</v>
      </c>
      <c r="E6572" t="s">
        <v>461</v>
      </c>
      <c r="F6572" t="s">
        <v>668</v>
      </c>
      <c r="G6572">
        <v>2030</v>
      </c>
      <c r="H6572" s="12">
        <v>69.53</v>
      </c>
      <c r="I6572" t="s">
        <v>3183</v>
      </c>
      <c r="J6572" t="s">
        <v>41</v>
      </c>
      <c r="K6572" t="s">
        <v>147</v>
      </c>
      <c r="L6572" t="s">
        <v>3184</v>
      </c>
      <c r="M6572" t="s">
        <v>669</v>
      </c>
    </row>
    <row r="6573" spans="1:13">
      <c r="A6573" t="s">
        <v>851</v>
      </c>
      <c r="B6573" t="s">
        <v>686</v>
      </c>
      <c r="C6573" t="s">
        <v>686</v>
      </c>
      <c r="D6573" t="s">
        <v>236</v>
      </c>
      <c r="E6573" t="s">
        <v>461</v>
      </c>
      <c r="F6573" t="s">
        <v>668</v>
      </c>
      <c r="G6573">
        <v>2035</v>
      </c>
      <c r="H6573" s="12">
        <v>74.010000000000005</v>
      </c>
      <c r="I6573" t="s">
        <v>3183</v>
      </c>
      <c r="J6573" t="s">
        <v>41</v>
      </c>
      <c r="K6573" t="s">
        <v>147</v>
      </c>
      <c r="L6573" t="s">
        <v>3184</v>
      </c>
      <c r="M6573" t="s">
        <v>669</v>
      </c>
    </row>
    <row r="6574" spans="1:13">
      <c r="A6574" t="s">
        <v>851</v>
      </c>
      <c r="B6574" t="s">
        <v>686</v>
      </c>
      <c r="C6574" t="s">
        <v>686</v>
      </c>
      <c r="D6574" t="s">
        <v>236</v>
      </c>
      <c r="E6574" t="s">
        <v>461</v>
      </c>
      <c r="F6574" t="s">
        <v>668</v>
      </c>
      <c r="G6574">
        <v>2040</v>
      </c>
      <c r="H6574" s="12">
        <v>79.540000000000006</v>
      </c>
      <c r="I6574" t="s">
        <v>3183</v>
      </c>
      <c r="J6574" t="s">
        <v>41</v>
      </c>
      <c r="K6574" t="s">
        <v>147</v>
      </c>
      <c r="L6574" t="s">
        <v>3184</v>
      </c>
      <c r="M6574" t="s">
        <v>669</v>
      </c>
    </row>
    <row r="6575" spans="1:13">
      <c r="A6575" t="s">
        <v>851</v>
      </c>
      <c r="B6575" t="s">
        <v>686</v>
      </c>
      <c r="C6575" t="s">
        <v>686</v>
      </c>
      <c r="D6575" t="s">
        <v>236</v>
      </c>
      <c r="E6575" t="s">
        <v>461</v>
      </c>
      <c r="F6575" t="s">
        <v>668</v>
      </c>
      <c r="G6575">
        <v>2045</v>
      </c>
      <c r="H6575" s="12">
        <v>92.87</v>
      </c>
      <c r="I6575" t="s">
        <v>3183</v>
      </c>
      <c r="J6575" t="s">
        <v>41</v>
      </c>
      <c r="K6575" t="s">
        <v>147</v>
      </c>
      <c r="L6575" t="s">
        <v>3184</v>
      </c>
      <c r="M6575" t="s">
        <v>669</v>
      </c>
    </row>
    <row r="6576" spans="1:13">
      <c r="A6576" t="s">
        <v>851</v>
      </c>
      <c r="B6576" t="s">
        <v>686</v>
      </c>
      <c r="C6576" t="s">
        <v>686</v>
      </c>
      <c r="D6576" t="s">
        <v>236</v>
      </c>
      <c r="E6576" t="s">
        <v>461</v>
      </c>
      <c r="F6576" t="s">
        <v>668</v>
      </c>
      <c r="G6576">
        <v>2050</v>
      </c>
      <c r="H6576" s="12">
        <v>107.04</v>
      </c>
      <c r="I6576" t="s">
        <v>3183</v>
      </c>
      <c r="J6576" t="s">
        <v>41</v>
      </c>
      <c r="K6576" t="s">
        <v>147</v>
      </c>
      <c r="L6576" t="s">
        <v>3184</v>
      </c>
      <c r="M6576" t="s">
        <v>669</v>
      </c>
    </row>
    <row r="6577" spans="1:13">
      <c r="A6577" t="s">
        <v>851</v>
      </c>
      <c r="B6577" t="s">
        <v>687</v>
      </c>
      <c r="C6577" t="s">
        <v>687</v>
      </c>
      <c r="D6577" t="s">
        <v>236</v>
      </c>
      <c r="E6577" t="s">
        <v>461</v>
      </c>
      <c r="F6577" t="s">
        <v>668</v>
      </c>
      <c r="G6577">
        <v>2030</v>
      </c>
      <c r="H6577" s="12">
        <v>95.13</v>
      </c>
      <c r="I6577" t="s">
        <v>3183</v>
      </c>
      <c r="J6577" t="s">
        <v>41</v>
      </c>
      <c r="K6577" t="s">
        <v>147</v>
      </c>
      <c r="L6577" t="s">
        <v>3184</v>
      </c>
      <c r="M6577" t="s">
        <v>669</v>
      </c>
    </row>
    <row r="6578" spans="1:13">
      <c r="A6578" t="s">
        <v>851</v>
      </c>
      <c r="B6578" t="s">
        <v>687</v>
      </c>
      <c r="C6578" t="s">
        <v>687</v>
      </c>
      <c r="D6578" t="s">
        <v>236</v>
      </c>
      <c r="E6578" t="s">
        <v>461</v>
      </c>
      <c r="F6578" t="s">
        <v>668</v>
      </c>
      <c r="G6578">
        <v>2035</v>
      </c>
      <c r="H6578" s="12">
        <v>104</v>
      </c>
      <c r="I6578" t="s">
        <v>3183</v>
      </c>
      <c r="J6578" t="s">
        <v>41</v>
      </c>
      <c r="K6578" t="s">
        <v>147</v>
      </c>
      <c r="L6578" t="s">
        <v>3184</v>
      </c>
      <c r="M6578" t="s">
        <v>669</v>
      </c>
    </row>
    <row r="6579" spans="1:13">
      <c r="A6579" t="s">
        <v>851</v>
      </c>
      <c r="B6579" t="s">
        <v>687</v>
      </c>
      <c r="C6579" t="s">
        <v>687</v>
      </c>
      <c r="D6579" t="s">
        <v>236</v>
      </c>
      <c r="E6579" t="s">
        <v>461</v>
      </c>
      <c r="F6579" t="s">
        <v>668</v>
      </c>
      <c r="G6579">
        <v>2040</v>
      </c>
      <c r="H6579" s="12">
        <v>113.15</v>
      </c>
      <c r="I6579" t="s">
        <v>3183</v>
      </c>
      <c r="J6579" t="s">
        <v>41</v>
      </c>
      <c r="K6579" t="s">
        <v>147</v>
      </c>
      <c r="L6579" t="s">
        <v>3184</v>
      </c>
      <c r="M6579" t="s">
        <v>669</v>
      </c>
    </row>
    <row r="6580" spans="1:13">
      <c r="A6580" t="s">
        <v>851</v>
      </c>
      <c r="B6580" t="s">
        <v>687</v>
      </c>
      <c r="C6580" t="s">
        <v>687</v>
      </c>
      <c r="D6580" t="s">
        <v>236</v>
      </c>
      <c r="E6580" t="s">
        <v>461</v>
      </c>
      <c r="F6580" t="s">
        <v>668</v>
      </c>
      <c r="G6580">
        <v>2045</v>
      </c>
      <c r="H6580" s="12">
        <v>130.13999999999999</v>
      </c>
      <c r="I6580" t="s">
        <v>3183</v>
      </c>
      <c r="J6580" t="s">
        <v>41</v>
      </c>
      <c r="K6580" t="s">
        <v>147</v>
      </c>
      <c r="L6580" t="s">
        <v>3184</v>
      </c>
      <c r="M6580" t="s">
        <v>669</v>
      </c>
    </row>
    <row r="6581" spans="1:13">
      <c r="A6581" t="s">
        <v>851</v>
      </c>
      <c r="B6581" t="s">
        <v>687</v>
      </c>
      <c r="C6581" t="s">
        <v>687</v>
      </c>
      <c r="D6581" t="s">
        <v>236</v>
      </c>
      <c r="E6581" t="s">
        <v>646</v>
      </c>
      <c r="F6581" t="s">
        <v>40</v>
      </c>
      <c r="G6581">
        <v>2030</v>
      </c>
      <c r="H6581" s="12">
        <v>40</v>
      </c>
      <c r="I6581" t="s">
        <v>3183</v>
      </c>
      <c r="J6581" t="s">
        <v>344</v>
      </c>
      <c r="K6581" t="s">
        <v>11</v>
      </c>
      <c r="L6581" t="s">
        <v>3184</v>
      </c>
      <c r="M6581" t="s">
        <v>10</v>
      </c>
    </row>
    <row r="6582" spans="1:13">
      <c r="A6582" t="s">
        <v>851</v>
      </c>
      <c r="B6582" t="s">
        <v>687</v>
      </c>
      <c r="C6582" t="s">
        <v>687</v>
      </c>
      <c r="D6582" t="s">
        <v>236</v>
      </c>
      <c r="E6582" t="s">
        <v>646</v>
      </c>
      <c r="F6582" t="s">
        <v>40</v>
      </c>
      <c r="G6582">
        <v>2035</v>
      </c>
      <c r="H6582" s="12">
        <v>102</v>
      </c>
      <c r="I6582" t="s">
        <v>3183</v>
      </c>
      <c r="J6582" t="s">
        <v>344</v>
      </c>
      <c r="K6582" t="s">
        <v>11</v>
      </c>
      <c r="L6582" t="s">
        <v>3184</v>
      </c>
      <c r="M6582" t="s">
        <v>10</v>
      </c>
    </row>
    <row r="6583" spans="1:13">
      <c r="A6583" t="s">
        <v>851</v>
      </c>
      <c r="B6583" t="s">
        <v>687</v>
      </c>
      <c r="C6583" t="s">
        <v>687</v>
      </c>
      <c r="D6583" t="s">
        <v>236</v>
      </c>
      <c r="E6583" t="s">
        <v>646</v>
      </c>
      <c r="F6583" t="s">
        <v>40</v>
      </c>
      <c r="G6583">
        <v>2040</v>
      </c>
      <c r="H6583" s="12">
        <v>229</v>
      </c>
      <c r="I6583" t="s">
        <v>3183</v>
      </c>
      <c r="J6583" t="s">
        <v>344</v>
      </c>
      <c r="K6583" t="s">
        <v>11</v>
      </c>
      <c r="L6583" t="s">
        <v>3184</v>
      </c>
      <c r="M6583" t="s">
        <v>10</v>
      </c>
    </row>
    <row r="6584" spans="1:13">
      <c r="A6584" t="s">
        <v>851</v>
      </c>
      <c r="B6584" t="s">
        <v>687</v>
      </c>
      <c r="C6584" t="s">
        <v>687</v>
      </c>
      <c r="D6584" t="s">
        <v>236</v>
      </c>
      <c r="E6584" t="s">
        <v>646</v>
      </c>
      <c r="F6584" t="s">
        <v>40</v>
      </c>
      <c r="G6584">
        <v>2045</v>
      </c>
      <c r="H6584" s="12">
        <v>424</v>
      </c>
      <c r="I6584" t="s">
        <v>3183</v>
      </c>
      <c r="J6584" t="s">
        <v>344</v>
      </c>
      <c r="K6584" t="s">
        <v>11</v>
      </c>
      <c r="L6584" t="s">
        <v>3184</v>
      </c>
      <c r="M6584" t="s">
        <v>10</v>
      </c>
    </row>
    <row r="6585" spans="1:13">
      <c r="A6585" t="s">
        <v>851</v>
      </c>
      <c r="B6585" t="s">
        <v>687</v>
      </c>
      <c r="C6585" t="s">
        <v>687</v>
      </c>
      <c r="D6585" t="s">
        <v>236</v>
      </c>
      <c r="E6585" t="s">
        <v>646</v>
      </c>
      <c r="F6585" t="s">
        <v>40</v>
      </c>
      <c r="G6585">
        <v>2050</v>
      </c>
      <c r="H6585" s="12">
        <v>671</v>
      </c>
      <c r="I6585" t="s">
        <v>3183</v>
      </c>
      <c r="J6585" t="s">
        <v>344</v>
      </c>
      <c r="K6585" t="s">
        <v>11</v>
      </c>
      <c r="L6585" t="s">
        <v>3184</v>
      </c>
      <c r="M6585" t="s">
        <v>10</v>
      </c>
    </row>
    <row r="6586" spans="1:13">
      <c r="A6586" t="s">
        <v>851</v>
      </c>
      <c r="B6586" t="s">
        <v>686</v>
      </c>
      <c r="C6586" t="s">
        <v>686</v>
      </c>
      <c r="D6586" t="s">
        <v>236</v>
      </c>
      <c r="E6586" t="s">
        <v>646</v>
      </c>
      <c r="F6586" t="s">
        <v>40</v>
      </c>
      <c r="G6586">
        <v>2010</v>
      </c>
      <c r="H6586" s="12">
        <v>775</v>
      </c>
      <c r="I6586" t="s">
        <v>3183</v>
      </c>
      <c r="J6586" t="s">
        <v>344</v>
      </c>
      <c r="K6586" t="s">
        <v>658</v>
      </c>
      <c r="L6586" t="s">
        <v>3184</v>
      </c>
      <c r="M6586" t="s">
        <v>10</v>
      </c>
    </row>
    <row r="6587" spans="1:13">
      <c r="A6587" t="s">
        <v>851</v>
      </c>
      <c r="B6587" t="s">
        <v>686</v>
      </c>
      <c r="C6587" t="s">
        <v>686</v>
      </c>
      <c r="D6587" t="s">
        <v>236</v>
      </c>
      <c r="E6587" t="s">
        <v>646</v>
      </c>
      <c r="F6587" t="s">
        <v>40</v>
      </c>
      <c r="G6587">
        <v>2015</v>
      </c>
      <c r="H6587" s="12">
        <v>955</v>
      </c>
      <c r="I6587" t="s">
        <v>3183</v>
      </c>
      <c r="J6587" t="s">
        <v>344</v>
      </c>
      <c r="K6587" t="s">
        <v>658</v>
      </c>
      <c r="L6587" t="s">
        <v>3184</v>
      </c>
      <c r="M6587" t="s">
        <v>10</v>
      </c>
    </row>
    <row r="6588" spans="1:13">
      <c r="A6588" t="s">
        <v>851</v>
      </c>
      <c r="B6588" t="s">
        <v>686</v>
      </c>
      <c r="C6588" t="s">
        <v>686</v>
      </c>
      <c r="D6588" t="s">
        <v>236</v>
      </c>
      <c r="E6588" t="s">
        <v>646</v>
      </c>
      <c r="F6588" t="s">
        <v>40</v>
      </c>
      <c r="G6588">
        <v>2020</v>
      </c>
      <c r="H6588" s="12">
        <v>995</v>
      </c>
      <c r="I6588" t="s">
        <v>3183</v>
      </c>
      <c r="J6588" t="s">
        <v>344</v>
      </c>
      <c r="K6588" t="s">
        <v>658</v>
      </c>
      <c r="L6588" t="s">
        <v>3184</v>
      </c>
      <c r="M6588" t="s">
        <v>10</v>
      </c>
    </row>
    <row r="6589" spans="1:13">
      <c r="A6589" t="s">
        <v>851</v>
      </c>
      <c r="B6589" t="s">
        <v>686</v>
      </c>
      <c r="C6589" t="s">
        <v>686</v>
      </c>
      <c r="D6589" t="s">
        <v>236</v>
      </c>
      <c r="E6589" t="s">
        <v>646</v>
      </c>
      <c r="F6589" t="s">
        <v>40</v>
      </c>
      <c r="G6589">
        <v>2030</v>
      </c>
      <c r="H6589" s="12">
        <v>1177</v>
      </c>
      <c r="I6589" t="s">
        <v>3183</v>
      </c>
      <c r="J6589" t="s">
        <v>344</v>
      </c>
      <c r="K6589" t="s">
        <v>658</v>
      </c>
      <c r="L6589" t="s">
        <v>3184</v>
      </c>
      <c r="M6589" t="s">
        <v>10</v>
      </c>
    </row>
    <row r="6590" spans="1:13">
      <c r="A6590" t="s">
        <v>851</v>
      </c>
      <c r="B6590" t="s">
        <v>686</v>
      </c>
      <c r="C6590" t="s">
        <v>686</v>
      </c>
      <c r="D6590" t="s">
        <v>236</v>
      </c>
      <c r="E6590" t="s">
        <v>646</v>
      </c>
      <c r="F6590" t="s">
        <v>40</v>
      </c>
      <c r="G6590">
        <v>2035</v>
      </c>
      <c r="H6590" s="12">
        <v>1329</v>
      </c>
      <c r="I6590" t="s">
        <v>3183</v>
      </c>
      <c r="J6590" t="s">
        <v>344</v>
      </c>
      <c r="K6590" t="s">
        <v>658</v>
      </c>
      <c r="L6590" t="s">
        <v>3184</v>
      </c>
      <c r="M6590" t="s">
        <v>10</v>
      </c>
    </row>
    <row r="6591" spans="1:13">
      <c r="A6591" t="s">
        <v>851</v>
      </c>
      <c r="B6591" t="s">
        <v>686</v>
      </c>
      <c r="C6591" t="s">
        <v>686</v>
      </c>
      <c r="D6591" t="s">
        <v>236</v>
      </c>
      <c r="E6591" t="s">
        <v>646</v>
      </c>
      <c r="F6591" t="s">
        <v>40</v>
      </c>
      <c r="G6591">
        <v>2040</v>
      </c>
      <c r="H6591" s="12">
        <v>1541</v>
      </c>
      <c r="I6591" t="s">
        <v>3183</v>
      </c>
      <c r="J6591" t="s">
        <v>344</v>
      </c>
      <c r="K6591" t="s">
        <v>658</v>
      </c>
      <c r="L6591" t="s">
        <v>3184</v>
      </c>
      <c r="M6591" t="s">
        <v>10</v>
      </c>
    </row>
    <row r="6592" spans="1:13">
      <c r="A6592" t="s">
        <v>851</v>
      </c>
      <c r="B6592" t="s">
        <v>686</v>
      </c>
      <c r="C6592" t="s">
        <v>686</v>
      </c>
      <c r="D6592" t="s">
        <v>236</v>
      </c>
      <c r="E6592" t="s">
        <v>646</v>
      </c>
      <c r="F6592" t="s">
        <v>40</v>
      </c>
      <c r="G6592">
        <v>2045</v>
      </c>
      <c r="H6592" s="12">
        <v>1818</v>
      </c>
      <c r="I6592" t="s">
        <v>3183</v>
      </c>
      <c r="J6592" t="s">
        <v>344</v>
      </c>
      <c r="K6592" t="s">
        <v>658</v>
      </c>
      <c r="L6592" t="s">
        <v>3184</v>
      </c>
      <c r="M6592" t="s">
        <v>10</v>
      </c>
    </row>
    <row r="6593" spans="1:13">
      <c r="A6593" t="s">
        <v>851</v>
      </c>
      <c r="B6593" t="s">
        <v>686</v>
      </c>
      <c r="C6593" t="s">
        <v>686</v>
      </c>
      <c r="D6593" t="s">
        <v>236</v>
      </c>
      <c r="E6593" t="s">
        <v>646</v>
      </c>
      <c r="F6593" t="s">
        <v>40</v>
      </c>
      <c r="G6593">
        <v>2050</v>
      </c>
      <c r="H6593" s="12">
        <v>2157</v>
      </c>
      <c r="I6593" t="s">
        <v>3183</v>
      </c>
      <c r="J6593" t="s">
        <v>344</v>
      </c>
      <c r="K6593" t="s">
        <v>658</v>
      </c>
      <c r="L6593" t="s">
        <v>3184</v>
      </c>
      <c r="M6593" t="s">
        <v>10</v>
      </c>
    </row>
    <row r="6594" spans="1:13">
      <c r="A6594" t="s">
        <v>851</v>
      </c>
      <c r="B6594" t="s">
        <v>687</v>
      </c>
      <c r="C6594" t="s">
        <v>687</v>
      </c>
      <c r="D6594" t="s">
        <v>236</v>
      </c>
      <c r="E6594" t="s">
        <v>646</v>
      </c>
      <c r="F6594" t="s">
        <v>40</v>
      </c>
      <c r="G6594">
        <v>2030</v>
      </c>
      <c r="H6594" s="12">
        <v>1126</v>
      </c>
      <c r="I6594" t="s">
        <v>3183</v>
      </c>
      <c r="J6594" t="s">
        <v>344</v>
      </c>
      <c r="K6594" t="s">
        <v>658</v>
      </c>
      <c r="L6594" t="s">
        <v>3184</v>
      </c>
      <c r="M6594" t="s">
        <v>10</v>
      </c>
    </row>
    <row r="6595" spans="1:13">
      <c r="A6595" t="s">
        <v>851</v>
      </c>
      <c r="B6595" t="s">
        <v>687</v>
      </c>
      <c r="C6595" t="s">
        <v>687</v>
      </c>
      <c r="D6595" t="s">
        <v>236</v>
      </c>
      <c r="E6595" t="s">
        <v>646</v>
      </c>
      <c r="F6595" t="s">
        <v>40</v>
      </c>
      <c r="G6595">
        <v>2035</v>
      </c>
      <c r="H6595" s="12">
        <v>1233</v>
      </c>
      <c r="I6595" t="s">
        <v>3183</v>
      </c>
      <c r="J6595" t="s">
        <v>344</v>
      </c>
      <c r="K6595" t="s">
        <v>658</v>
      </c>
      <c r="L6595" t="s">
        <v>3184</v>
      </c>
      <c r="M6595" t="s">
        <v>10</v>
      </c>
    </row>
    <row r="6596" spans="1:13">
      <c r="A6596" t="s">
        <v>851</v>
      </c>
      <c r="B6596" t="s">
        <v>687</v>
      </c>
      <c r="C6596" t="s">
        <v>687</v>
      </c>
      <c r="D6596" t="s">
        <v>236</v>
      </c>
      <c r="E6596" t="s">
        <v>646</v>
      </c>
      <c r="F6596" t="s">
        <v>40</v>
      </c>
      <c r="G6596">
        <v>2040</v>
      </c>
      <c r="H6596" s="12">
        <v>1383</v>
      </c>
      <c r="I6596" t="s">
        <v>3183</v>
      </c>
      <c r="J6596" t="s">
        <v>344</v>
      </c>
      <c r="K6596" t="s">
        <v>658</v>
      </c>
      <c r="L6596" t="s">
        <v>3184</v>
      </c>
      <c r="M6596" t="s">
        <v>10</v>
      </c>
    </row>
    <row r="6597" spans="1:13">
      <c r="A6597" t="s">
        <v>851</v>
      </c>
      <c r="B6597" t="s">
        <v>687</v>
      </c>
      <c r="C6597" t="s">
        <v>687</v>
      </c>
      <c r="D6597" t="s">
        <v>236</v>
      </c>
      <c r="E6597" t="s">
        <v>646</v>
      </c>
      <c r="F6597" t="s">
        <v>40</v>
      </c>
      <c r="G6597">
        <v>2045</v>
      </c>
      <c r="H6597" s="12">
        <v>1555</v>
      </c>
      <c r="I6597" t="s">
        <v>3183</v>
      </c>
      <c r="J6597" t="s">
        <v>344</v>
      </c>
      <c r="K6597" t="s">
        <v>658</v>
      </c>
      <c r="L6597" t="s">
        <v>3184</v>
      </c>
      <c r="M6597" t="s">
        <v>10</v>
      </c>
    </row>
    <row r="6598" spans="1:13">
      <c r="A6598" t="s">
        <v>851</v>
      </c>
      <c r="B6598" t="s">
        <v>687</v>
      </c>
      <c r="C6598" t="s">
        <v>687</v>
      </c>
      <c r="D6598" t="s">
        <v>236</v>
      </c>
      <c r="E6598" t="s">
        <v>646</v>
      </c>
      <c r="F6598" t="s">
        <v>40</v>
      </c>
      <c r="G6598">
        <v>2050</v>
      </c>
      <c r="H6598" s="12">
        <v>1737</v>
      </c>
      <c r="I6598" t="s">
        <v>3183</v>
      </c>
      <c r="J6598" t="s">
        <v>344</v>
      </c>
      <c r="K6598" t="s">
        <v>658</v>
      </c>
      <c r="L6598" t="s">
        <v>3184</v>
      </c>
      <c r="M6598" t="s">
        <v>10</v>
      </c>
    </row>
    <row r="6599" spans="1:13">
      <c r="A6599" t="s">
        <v>851</v>
      </c>
      <c r="B6599" t="s">
        <v>686</v>
      </c>
      <c r="C6599" t="s">
        <v>686</v>
      </c>
      <c r="D6599" t="s">
        <v>236</v>
      </c>
      <c r="E6599" t="s">
        <v>646</v>
      </c>
      <c r="F6599" t="s">
        <v>40</v>
      </c>
      <c r="G6599">
        <v>2010</v>
      </c>
      <c r="H6599" s="12">
        <v>22</v>
      </c>
      <c r="I6599" t="s">
        <v>3183</v>
      </c>
      <c r="J6599" t="s">
        <v>6</v>
      </c>
      <c r="K6599" t="s">
        <v>658</v>
      </c>
      <c r="L6599" t="s">
        <v>3184</v>
      </c>
      <c r="M6599" t="s">
        <v>659</v>
      </c>
    </row>
    <row r="6600" spans="1:13">
      <c r="A6600" t="s">
        <v>851</v>
      </c>
      <c r="B6600" t="s">
        <v>686</v>
      </c>
      <c r="C6600" t="s">
        <v>686</v>
      </c>
      <c r="D6600" t="s">
        <v>236</v>
      </c>
      <c r="E6600" t="s">
        <v>646</v>
      </c>
      <c r="F6600" t="s">
        <v>40</v>
      </c>
      <c r="G6600">
        <v>2015</v>
      </c>
      <c r="H6600" s="12">
        <v>20</v>
      </c>
      <c r="I6600" t="s">
        <v>3183</v>
      </c>
      <c r="J6600" t="s">
        <v>6</v>
      </c>
      <c r="K6600" t="s">
        <v>658</v>
      </c>
      <c r="L6600" t="s">
        <v>3184</v>
      </c>
      <c r="M6600" t="s">
        <v>659</v>
      </c>
    </row>
    <row r="6601" spans="1:13">
      <c r="A6601" t="s">
        <v>851</v>
      </c>
      <c r="B6601" t="s">
        <v>686</v>
      </c>
      <c r="C6601" t="s">
        <v>686</v>
      </c>
      <c r="D6601" t="s">
        <v>236</v>
      </c>
      <c r="E6601" t="s">
        <v>646</v>
      </c>
      <c r="F6601" t="s">
        <v>40</v>
      </c>
      <c r="G6601">
        <v>2020</v>
      </c>
      <c r="H6601" s="12">
        <v>23</v>
      </c>
      <c r="I6601" t="s">
        <v>3183</v>
      </c>
      <c r="J6601" t="s">
        <v>6</v>
      </c>
      <c r="K6601" t="s">
        <v>658</v>
      </c>
      <c r="L6601" t="s">
        <v>3184</v>
      </c>
      <c r="M6601" t="s">
        <v>659</v>
      </c>
    </row>
    <row r="6602" spans="1:13">
      <c r="A6602" t="s">
        <v>851</v>
      </c>
      <c r="B6602" t="s">
        <v>686</v>
      </c>
      <c r="C6602" t="s">
        <v>686</v>
      </c>
      <c r="D6602" t="s">
        <v>236</v>
      </c>
      <c r="E6602" t="s">
        <v>646</v>
      </c>
      <c r="F6602" t="s">
        <v>40</v>
      </c>
      <c r="G6602">
        <v>2030</v>
      </c>
      <c r="H6602" s="12">
        <v>35</v>
      </c>
      <c r="I6602" t="s">
        <v>3183</v>
      </c>
      <c r="J6602" t="s">
        <v>6</v>
      </c>
      <c r="K6602" t="s">
        <v>658</v>
      </c>
      <c r="L6602" t="s">
        <v>3184</v>
      </c>
      <c r="M6602" t="s">
        <v>659</v>
      </c>
    </row>
    <row r="6603" spans="1:13">
      <c r="A6603" t="s">
        <v>851</v>
      </c>
      <c r="B6603" t="s">
        <v>686</v>
      </c>
      <c r="C6603" t="s">
        <v>686</v>
      </c>
      <c r="D6603" t="s">
        <v>236</v>
      </c>
      <c r="E6603" t="s">
        <v>646</v>
      </c>
      <c r="F6603" t="s">
        <v>40</v>
      </c>
      <c r="G6603">
        <v>2035</v>
      </c>
      <c r="H6603" s="12">
        <v>39</v>
      </c>
      <c r="I6603" t="s">
        <v>3183</v>
      </c>
      <c r="J6603" t="s">
        <v>6</v>
      </c>
      <c r="K6603" t="s">
        <v>658</v>
      </c>
      <c r="L6603" t="s">
        <v>3184</v>
      </c>
      <c r="M6603" t="s">
        <v>659</v>
      </c>
    </row>
    <row r="6604" spans="1:13">
      <c r="A6604" t="s">
        <v>851</v>
      </c>
      <c r="B6604" t="s">
        <v>686</v>
      </c>
      <c r="C6604" t="s">
        <v>686</v>
      </c>
      <c r="D6604" t="s">
        <v>236</v>
      </c>
      <c r="E6604" t="s">
        <v>646</v>
      </c>
      <c r="F6604" t="s">
        <v>40</v>
      </c>
      <c r="G6604">
        <v>2040</v>
      </c>
      <c r="H6604" s="12">
        <v>44</v>
      </c>
      <c r="I6604" t="s">
        <v>3183</v>
      </c>
      <c r="J6604" t="s">
        <v>6</v>
      </c>
      <c r="K6604" t="s">
        <v>658</v>
      </c>
      <c r="L6604" t="s">
        <v>3184</v>
      </c>
      <c r="M6604" t="s">
        <v>659</v>
      </c>
    </row>
    <row r="6605" spans="1:13">
      <c r="A6605" t="s">
        <v>851</v>
      </c>
      <c r="B6605" t="s">
        <v>686</v>
      </c>
      <c r="C6605" t="s">
        <v>686</v>
      </c>
      <c r="D6605" t="s">
        <v>236</v>
      </c>
      <c r="E6605" t="s">
        <v>646</v>
      </c>
      <c r="F6605" t="s">
        <v>40</v>
      </c>
      <c r="G6605">
        <v>2045</v>
      </c>
      <c r="H6605" s="12">
        <v>49</v>
      </c>
      <c r="I6605" t="s">
        <v>3183</v>
      </c>
      <c r="J6605" t="s">
        <v>6</v>
      </c>
      <c r="K6605" t="s">
        <v>658</v>
      </c>
      <c r="L6605" t="s">
        <v>3184</v>
      </c>
      <c r="M6605" t="s">
        <v>659</v>
      </c>
    </row>
    <row r="6606" spans="1:13">
      <c r="A6606" t="s">
        <v>851</v>
      </c>
      <c r="B6606" t="s">
        <v>686</v>
      </c>
      <c r="C6606" t="s">
        <v>686</v>
      </c>
      <c r="D6606" t="s">
        <v>236</v>
      </c>
      <c r="E6606" t="s">
        <v>646</v>
      </c>
      <c r="F6606" t="s">
        <v>40</v>
      </c>
      <c r="G6606">
        <v>2050</v>
      </c>
      <c r="H6606" s="12">
        <v>52</v>
      </c>
      <c r="I6606" t="s">
        <v>3183</v>
      </c>
      <c r="J6606" t="s">
        <v>6</v>
      </c>
      <c r="K6606" t="s">
        <v>658</v>
      </c>
      <c r="L6606" t="s">
        <v>3184</v>
      </c>
      <c r="M6606" t="s">
        <v>659</v>
      </c>
    </row>
    <row r="6607" spans="1:13">
      <c r="A6607" t="s">
        <v>851</v>
      </c>
      <c r="B6607" t="s">
        <v>687</v>
      </c>
      <c r="C6607" t="s">
        <v>687</v>
      </c>
      <c r="D6607" t="s">
        <v>236</v>
      </c>
      <c r="E6607" t="s">
        <v>646</v>
      </c>
      <c r="F6607" t="s">
        <v>40</v>
      </c>
      <c r="G6607">
        <v>2030</v>
      </c>
      <c r="H6607" s="12">
        <v>35</v>
      </c>
      <c r="I6607" t="s">
        <v>3183</v>
      </c>
      <c r="J6607" t="s">
        <v>6</v>
      </c>
      <c r="K6607" t="s">
        <v>658</v>
      </c>
      <c r="L6607" t="s">
        <v>3184</v>
      </c>
      <c r="M6607" t="s">
        <v>659</v>
      </c>
    </row>
    <row r="6608" spans="1:13">
      <c r="A6608" t="s">
        <v>851</v>
      </c>
      <c r="B6608" t="s">
        <v>687</v>
      </c>
      <c r="C6608" t="s">
        <v>687</v>
      </c>
      <c r="D6608" t="s">
        <v>236</v>
      </c>
      <c r="E6608" t="s">
        <v>646</v>
      </c>
      <c r="F6608" t="s">
        <v>40</v>
      </c>
      <c r="G6608">
        <v>2035</v>
      </c>
      <c r="H6608" s="12">
        <v>30</v>
      </c>
      <c r="I6608" t="s">
        <v>3183</v>
      </c>
      <c r="J6608" t="s">
        <v>6</v>
      </c>
      <c r="K6608" t="s">
        <v>658</v>
      </c>
      <c r="L6608" t="s">
        <v>3184</v>
      </c>
      <c r="M6608" t="s">
        <v>659</v>
      </c>
    </row>
    <row r="6609" spans="1:13">
      <c r="A6609" t="s">
        <v>851</v>
      </c>
      <c r="B6609" t="s">
        <v>687</v>
      </c>
      <c r="C6609" t="s">
        <v>687</v>
      </c>
      <c r="D6609" t="s">
        <v>236</v>
      </c>
      <c r="E6609" t="s">
        <v>646</v>
      </c>
      <c r="F6609" t="s">
        <v>40</v>
      </c>
      <c r="G6609">
        <v>2040</v>
      </c>
      <c r="H6609" s="12">
        <v>20</v>
      </c>
      <c r="I6609" t="s">
        <v>3183</v>
      </c>
      <c r="J6609" t="s">
        <v>6</v>
      </c>
      <c r="K6609" t="s">
        <v>658</v>
      </c>
      <c r="L6609" t="s">
        <v>3184</v>
      </c>
      <c r="M6609" t="s">
        <v>659</v>
      </c>
    </row>
    <row r="6610" spans="1:13">
      <c r="A6610" t="s">
        <v>851</v>
      </c>
      <c r="B6610" t="s">
        <v>687</v>
      </c>
      <c r="C6610" t="s">
        <v>687</v>
      </c>
      <c r="D6610" t="s">
        <v>236</v>
      </c>
      <c r="E6610" t="s">
        <v>646</v>
      </c>
      <c r="F6610" t="s">
        <v>40</v>
      </c>
      <c r="G6610">
        <v>2045</v>
      </c>
      <c r="H6610" s="12">
        <v>11</v>
      </c>
      <c r="I6610" t="s">
        <v>3183</v>
      </c>
      <c r="J6610" t="s">
        <v>6</v>
      </c>
      <c r="K6610" t="s">
        <v>658</v>
      </c>
      <c r="L6610" t="s">
        <v>3184</v>
      </c>
      <c r="M6610" t="s">
        <v>659</v>
      </c>
    </row>
    <row r="6611" spans="1:13">
      <c r="A6611" t="s">
        <v>851</v>
      </c>
      <c r="B6611" t="s">
        <v>687</v>
      </c>
      <c r="C6611" t="s">
        <v>687</v>
      </c>
      <c r="D6611" t="s">
        <v>236</v>
      </c>
      <c r="E6611" t="s">
        <v>646</v>
      </c>
      <c r="F6611" t="s">
        <v>40</v>
      </c>
      <c r="G6611">
        <v>2050</v>
      </c>
      <c r="H6611" s="12">
        <v>4</v>
      </c>
      <c r="I6611" t="s">
        <v>3183</v>
      </c>
      <c r="J6611" t="s">
        <v>6</v>
      </c>
      <c r="K6611" t="s">
        <v>658</v>
      </c>
      <c r="L6611" t="s">
        <v>3184</v>
      </c>
      <c r="M6611" t="s">
        <v>659</v>
      </c>
    </row>
    <row r="6612" spans="1:13">
      <c r="A6612" t="s">
        <v>851</v>
      </c>
      <c r="B6612" t="s">
        <v>686</v>
      </c>
      <c r="C6612" t="s">
        <v>686</v>
      </c>
      <c r="D6612" t="s">
        <v>236</v>
      </c>
      <c r="E6612" t="s">
        <v>646</v>
      </c>
      <c r="F6612" t="s">
        <v>40</v>
      </c>
      <c r="G6612">
        <v>2010</v>
      </c>
      <c r="H6612" s="12">
        <v>410</v>
      </c>
      <c r="I6612" t="s">
        <v>3183</v>
      </c>
      <c r="J6612" t="s">
        <v>6</v>
      </c>
      <c r="K6612" t="s">
        <v>9</v>
      </c>
      <c r="L6612" t="s">
        <v>3184</v>
      </c>
      <c r="M6612" t="s">
        <v>666</v>
      </c>
    </row>
    <row r="6613" spans="1:13">
      <c r="A6613" t="s">
        <v>851</v>
      </c>
      <c r="B6613" t="s">
        <v>686</v>
      </c>
      <c r="C6613" t="s">
        <v>686</v>
      </c>
      <c r="D6613" t="s">
        <v>236</v>
      </c>
      <c r="E6613" t="s">
        <v>646</v>
      </c>
      <c r="F6613" t="s">
        <v>40</v>
      </c>
      <c r="G6613">
        <v>2015</v>
      </c>
      <c r="H6613" s="12">
        <v>431</v>
      </c>
      <c r="I6613" t="s">
        <v>3183</v>
      </c>
      <c r="J6613" t="s">
        <v>6</v>
      </c>
      <c r="K6613" t="s">
        <v>9</v>
      </c>
      <c r="L6613" t="s">
        <v>3184</v>
      </c>
      <c r="M6613" t="s">
        <v>666</v>
      </c>
    </row>
    <row r="6614" spans="1:13">
      <c r="A6614" t="s">
        <v>851</v>
      </c>
      <c r="B6614" t="s">
        <v>686</v>
      </c>
      <c r="C6614" t="s">
        <v>686</v>
      </c>
      <c r="D6614" t="s">
        <v>236</v>
      </c>
      <c r="E6614" t="s">
        <v>646</v>
      </c>
      <c r="F6614" t="s">
        <v>40</v>
      </c>
      <c r="G6614">
        <v>2020</v>
      </c>
      <c r="H6614" s="12">
        <v>302</v>
      </c>
      <c r="I6614" t="s">
        <v>3183</v>
      </c>
      <c r="J6614" t="s">
        <v>6</v>
      </c>
      <c r="K6614" t="s">
        <v>9</v>
      </c>
      <c r="L6614" t="s">
        <v>3184</v>
      </c>
      <c r="M6614" t="s">
        <v>666</v>
      </c>
    </row>
    <row r="6615" spans="1:13">
      <c r="A6615" t="s">
        <v>851</v>
      </c>
      <c r="B6615" t="s">
        <v>686</v>
      </c>
      <c r="C6615" t="s">
        <v>686</v>
      </c>
      <c r="D6615" t="s">
        <v>236</v>
      </c>
      <c r="E6615" t="s">
        <v>646</v>
      </c>
      <c r="F6615" t="s">
        <v>40</v>
      </c>
      <c r="G6615">
        <v>2030</v>
      </c>
      <c r="H6615" s="12">
        <v>435</v>
      </c>
      <c r="I6615" t="s">
        <v>3183</v>
      </c>
      <c r="J6615" t="s">
        <v>6</v>
      </c>
      <c r="K6615" t="s">
        <v>9</v>
      </c>
      <c r="L6615" t="s">
        <v>3184</v>
      </c>
      <c r="M6615" t="s">
        <v>666</v>
      </c>
    </row>
    <row r="6616" spans="1:13">
      <c r="A6616" t="s">
        <v>851</v>
      </c>
      <c r="B6616" t="s">
        <v>686</v>
      </c>
      <c r="C6616" t="s">
        <v>686</v>
      </c>
      <c r="D6616" t="s">
        <v>236</v>
      </c>
      <c r="E6616" t="s">
        <v>646</v>
      </c>
      <c r="F6616" t="s">
        <v>40</v>
      </c>
      <c r="G6616">
        <v>2035</v>
      </c>
      <c r="H6616" s="12">
        <v>485</v>
      </c>
      <c r="I6616" t="s">
        <v>3183</v>
      </c>
      <c r="J6616" t="s">
        <v>6</v>
      </c>
      <c r="K6616" t="s">
        <v>9</v>
      </c>
      <c r="L6616" t="s">
        <v>3184</v>
      </c>
      <c r="M6616" t="s">
        <v>666</v>
      </c>
    </row>
    <row r="6617" spans="1:13">
      <c r="A6617" t="s">
        <v>851</v>
      </c>
      <c r="B6617" t="s">
        <v>686</v>
      </c>
      <c r="C6617" t="s">
        <v>686</v>
      </c>
      <c r="D6617" t="s">
        <v>236</v>
      </c>
      <c r="E6617" t="s">
        <v>646</v>
      </c>
      <c r="F6617" t="s">
        <v>40</v>
      </c>
      <c r="G6617">
        <v>2040</v>
      </c>
      <c r="H6617" s="12">
        <v>509</v>
      </c>
      <c r="I6617" t="s">
        <v>3183</v>
      </c>
      <c r="J6617" t="s">
        <v>6</v>
      </c>
      <c r="K6617" t="s">
        <v>9</v>
      </c>
      <c r="L6617" t="s">
        <v>3184</v>
      </c>
      <c r="M6617" t="s">
        <v>666</v>
      </c>
    </row>
    <row r="6618" spans="1:13">
      <c r="A6618" t="s">
        <v>851</v>
      </c>
      <c r="B6618" t="s">
        <v>686</v>
      </c>
      <c r="C6618" t="s">
        <v>686</v>
      </c>
      <c r="D6618" t="s">
        <v>236</v>
      </c>
      <c r="E6618" t="s">
        <v>646</v>
      </c>
      <c r="F6618" t="s">
        <v>40</v>
      </c>
      <c r="G6618">
        <v>2045</v>
      </c>
      <c r="H6618" s="12">
        <v>519</v>
      </c>
      <c r="I6618" t="s">
        <v>3183</v>
      </c>
      <c r="J6618" t="s">
        <v>6</v>
      </c>
      <c r="K6618" t="s">
        <v>9</v>
      </c>
      <c r="L6618" t="s">
        <v>3184</v>
      </c>
      <c r="M6618" t="s">
        <v>666</v>
      </c>
    </row>
    <row r="6619" spans="1:13">
      <c r="A6619" t="s">
        <v>851</v>
      </c>
      <c r="B6619" t="s">
        <v>686</v>
      </c>
      <c r="C6619" t="s">
        <v>686</v>
      </c>
      <c r="D6619" t="s">
        <v>236</v>
      </c>
      <c r="E6619" t="s">
        <v>646</v>
      </c>
      <c r="F6619" t="s">
        <v>40</v>
      </c>
      <c r="G6619">
        <v>2050</v>
      </c>
      <c r="H6619" s="12">
        <v>515</v>
      </c>
      <c r="I6619" t="s">
        <v>3183</v>
      </c>
      <c r="J6619" t="s">
        <v>6</v>
      </c>
      <c r="K6619" t="s">
        <v>9</v>
      </c>
      <c r="L6619" t="s">
        <v>3184</v>
      </c>
      <c r="M6619" t="s">
        <v>666</v>
      </c>
    </row>
    <row r="6620" spans="1:13">
      <c r="A6620" t="s">
        <v>851</v>
      </c>
      <c r="B6620" t="s">
        <v>687</v>
      </c>
      <c r="C6620" t="s">
        <v>687</v>
      </c>
      <c r="D6620" t="s">
        <v>236</v>
      </c>
      <c r="E6620" t="s">
        <v>646</v>
      </c>
      <c r="F6620" t="s">
        <v>40</v>
      </c>
      <c r="G6620">
        <v>2030</v>
      </c>
      <c r="H6620" s="12">
        <v>323</v>
      </c>
      <c r="I6620" t="s">
        <v>3183</v>
      </c>
      <c r="J6620" t="s">
        <v>6</v>
      </c>
      <c r="K6620" t="s">
        <v>9</v>
      </c>
      <c r="L6620" t="s">
        <v>3184</v>
      </c>
      <c r="M6620" t="s">
        <v>666</v>
      </c>
    </row>
    <row r="6621" spans="1:13">
      <c r="A6621" t="s">
        <v>851</v>
      </c>
      <c r="B6621" t="s">
        <v>687</v>
      </c>
      <c r="C6621" t="s">
        <v>687</v>
      </c>
      <c r="D6621" t="s">
        <v>236</v>
      </c>
      <c r="E6621" t="s">
        <v>646</v>
      </c>
      <c r="F6621" t="s">
        <v>40</v>
      </c>
      <c r="G6621">
        <v>2035</v>
      </c>
      <c r="H6621" s="12">
        <v>300</v>
      </c>
      <c r="I6621" t="s">
        <v>3183</v>
      </c>
      <c r="J6621" t="s">
        <v>6</v>
      </c>
      <c r="K6621" t="s">
        <v>9</v>
      </c>
      <c r="L6621" t="s">
        <v>3184</v>
      </c>
      <c r="M6621" t="s">
        <v>666</v>
      </c>
    </row>
    <row r="6622" spans="1:13">
      <c r="A6622" t="s">
        <v>851</v>
      </c>
      <c r="B6622" t="s">
        <v>687</v>
      </c>
      <c r="C6622" t="s">
        <v>687</v>
      </c>
      <c r="D6622" t="s">
        <v>236</v>
      </c>
      <c r="E6622" t="s">
        <v>646</v>
      </c>
      <c r="F6622" t="s">
        <v>40</v>
      </c>
      <c r="G6622">
        <v>2040</v>
      </c>
      <c r="H6622" s="12">
        <v>273</v>
      </c>
      <c r="I6622" t="s">
        <v>3183</v>
      </c>
      <c r="J6622" t="s">
        <v>6</v>
      </c>
      <c r="K6622" t="s">
        <v>9</v>
      </c>
      <c r="L6622" t="s">
        <v>3184</v>
      </c>
      <c r="M6622" t="s">
        <v>666</v>
      </c>
    </row>
    <row r="6623" spans="1:13">
      <c r="A6623" t="s">
        <v>851</v>
      </c>
      <c r="B6623" t="s">
        <v>687</v>
      </c>
      <c r="C6623" t="s">
        <v>687</v>
      </c>
      <c r="D6623" t="s">
        <v>236</v>
      </c>
      <c r="E6623" t="s">
        <v>646</v>
      </c>
      <c r="F6623" t="s">
        <v>40</v>
      </c>
      <c r="G6623">
        <v>2045</v>
      </c>
      <c r="H6623" s="12">
        <v>239</v>
      </c>
      <c r="I6623" t="s">
        <v>3183</v>
      </c>
      <c r="J6623" t="s">
        <v>6</v>
      </c>
      <c r="K6623" t="s">
        <v>9</v>
      </c>
      <c r="L6623" t="s">
        <v>3184</v>
      </c>
      <c r="M6623" t="s">
        <v>666</v>
      </c>
    </row>
    <row r="6624" spans="1:13">
      <c r="A6624" t="s">
        <v>851</v>
      </c>
      <c r="B6624" t="s">
        <v>687</v>
      </c>
      <c r="C6624" t="s">
        <v>687</v>
      </c>
      <c r="D6624" t="s">
        <v>236</v>
      </c>
      <c r="E6624" t="s">
        <v>646</v>
      </c>
      <c r="F6624" t="s">
        <v>40</v>
      </c>
      <c r="G6624">
        <v>2050</v>
      </c>
      <c r="H6624" s="12">
        <v>203</v>
      </c>
      <c r="I6624" t="s">
        <v>3183</v>
      </c>
      <c r="J6624" t="s">
        <v>6</v>
      </c>
      <c r="K6624" t="s">
        <v>9</v>
      </c>
      <c r="L6624" t="s">
        <v>3184</v>
      </c>
      <c r="M6624" t="s">
        <v>666</v>
      </c>
    </row>
    <row r="6625" spans="1:13">
      <c r="A6625" t="s">
        <v>851</v>
      </c>
      <c r="B6625" t="s">
        <v>686</v>
      </c>
      <c r="C6625" t="s">
        <v>686</v>
      </c>
      <c r="D6625" t="s">
        <v>236</v>
      </c>
      <c r="E6625" t="s">
        <v>646</v>
      </c>
      <c r="F6625" t="s">
        <v>40</v>
      </c>
      <c r="G6625">
        <v>2010</v>
      </c>
      <c r="H6625" s="12">
        <v>459</v>
      </c>
      <c r="I6625" t="s">
        <v>3183</v>
      </c>
      <c r="J6625" t="s">
        <v>5</v>
      </c>
      <c r="K6625" t="s">
        <v>9</v>
      </c>
      <c r="L6625" t="s">
        <v>3184</v>
      </c>
      <c r="M6625" t="s">
        <v>665</v>
      </c>
    </row>
    <row r="6626" spans="1:13">
      <c r="A6626" t="s">
        <v>851</v>
      </c>
      <c r="B6626" t="s">
        <v>686</v>
      </c>
      <c r="C6626" t="s">
        <v>686</v>
      </c>
      <c r="D6626" t="s">
        <v>236</v>
      </c>
      <c r="E6626" t="s">
        <v>646</v>
      </c>
      <c r="F6626" t="s">
        <v>40</v>
      </c>
      <c r="G6626">
        <v>2015</v>
      </c>
      <c r="H6626" s="12">
        <v>462</v>
      </c>
      <c r="I6626" t="s">
        <v>3183</v>
      </c>
      <c r="J6626" t="s">
        <v>5</v>
      </c>
      <c r="K6626" t="s">
        <v>9</v>
      </c>
      <c r="L6626" t="s">
        <v>3184</v>
      </c>
      <c r="M6626" t="s">
        <v>665</v>
      </c>
    </row>
    <row r="6627" spans="1:13">
      <c r="A6627" t="s">
        <v>851</v>
      </c>
      <c r="B6627" t="s">
        <v>686</v>
      </c>
      <c r="C6627" t="s">
        <v>686</v>
      </c>
      <c r="D6627" t="s">
        <v>236</v>
      </c>
      <c r="E6627" t="s">
        <v>646</v>
      </c>
      <c r="F6627" t="s">
        <v>40</v>
      </c>
      <c r="G6627">
        <v>2020</v>
      </c>
      <c r="H6627" s="12">
        <v>397</v>
      </c>
      <c r="I6627" t="s">
        <v>3183</v>
      </c>
      <c r="J6627" t="s">
        <v>5</v>
      </c>
      <c r="K6627" t="s">
        <v>9</v>
      </c>
      <c r="L6627" t="s">
        <v>3184</v>
      </c>
      <c r="M6627" t="s">
        <v>665</v>
      </c>
    </row>
    <row r="6628" spans="1:13">
      <c r="A6628" t="s">
        <v>851</v>
      </c>
      <c r="B6628" t="s">
        <v>686</v>
      </c>
      <c r="C6628" t="s">
        <v>686</v>
      </c>
      <c r="D6628" t="s">
        <v>236</v>
      </c>
      <c r="E6628" t="s">
        <v>646</v>
      </c>
      <c r="F6628" t="s">
        <v>40</v>
      </c>
      <c r="G6628">
        <v>2030</v>
      </c>
      <c r="H6628" s="12">
        <v>543</v>
      </c>
      <c r="I6628" t="s">
        <v>3183</v>
      </c>
      <c r="J6628" t="s">
        <v>5</v>
      </c>
      <c r="K6628" t="s">
        <v>9</v>
      </c>
      <c r="L6628" t="s">
        <v>3184</v>
      </c>
      <c r="M6628" t="s">
        <v>665</v>
      </c>
    </row>
    <row r="6629" spans="1:13">
      <c r="A6629" t="s">
        <v>851</v>
      </c>
      <c r="B6629" t="s">
        <v>686</v>
      </c>
      <c r="C6629" t="s">
        <v>686</v>
      </c>
      <c r="D6629" t="s">
        <v>236</v>
      </c>
      <c r="E6629" t="s">
        <v>646</v>
      </c>
      <c r="F6629" t="s">
        <v>40</v>
      </c>
      <c r="G6629">
        <v>2035</v>
      </c>
      <c r="H6629" s="12">
        <v>613</v>
      </c>
      <c r="I6629" t="s">
        <v>3183</v>
      </c>
      <c r="J6629" t="s">
        <v>5</v>
      </c>
      <c r="K6629" t="s">
        <v>9</v>
      </c>
      <c r="L6629" t="s">
        <v>3184</v>
      </c>
      <c r="M6629" t="s">
        <v>665</v>
      </c>
    </row>
    <row r="6630" spans="1:13">
      <c r="A6630" t="s">
        <v>851</v>
      </c>
      <c r="B6630" t="s">
        <v>686</v>
      </c>
      <c r="C6630" t="s">
        <v>686</v>
      </c>
      <c r="D6630" t="s">
        <v>236</v>
      </c>
      <c r="E6630" t="s">
        <v>646</v>
      </c>
      <c r="F6630" t="s">
        <v>40</v>
      </c>
      <c r="G6630">
        <v>2040</v>
      </c>
      <c r="H6630" s="12">
        <v>670</v>
      </c>
      <c r="I6630" t="s">
        <v>3183</v>
      </c>
      <c r="J6630" t="s">
        <v>5</v>
      </c>
      <c r="K6630" t="s">
        <v>9</v>
      </c>
      <c r="L6630" t="s">
        <v>3184</v>
      </c>
      <c r="M6630" t="s">
        <v>665</v>
      </c>
    </row>
    <row r="6631" spans="1:13">
      <c r="A6631" t="s">
        <v>851</v>
      </c>
      <c r="B6631" t="s">
        <v>686</v>
      </c>
      <c r="C6631" t="s">
        <v>686</v>
      </c>
      <c r="D6631" t="s">
        <v>236</v>
      </c>
      <c r="E6631" t="s">
        <v>646</v>
      </c>
      <c r="F6631" t="s">
        <v>40</v>
      </c>
      <c r="G6631">
        <v>2045</v>
      </c>
      <c r="H6631" s="12">
        <v>714</v>
      </c>
      <c r="I6631" t="s">
        <v>3183</v>
      </c>
      <c r="J6631" t="s">
        <v>5</v>
      </c>
      <c r="K6631" t="s">
        <v>9</v>
      </c>
      <c r="L6631" t="s">
        <v>3184</v>
      </c>
      <c r="M6631" t="s">
        <v>665</v>
      </c>
    </row>
    <row r="6632" spans="1:13">
      <c r="A6632" t="s">
        <v>851</v>
      </c>
      <c r="B6632" t="s">
        <v>686</v>
      </c>
      <c r="C6632" t="s">
        <v>686</v>
      </c>
      <c r="D6632" t="s">
        <v>236</v>
      </c>
      <c r="E6632" t="s">
        <v>646</v>
      </c>
      <c r="F6632" t="s">
        <v>40</v>
      </c>
      <c r="G6632">
        <v>2050</v>
      </c>
      <c r="H6632" s="12">
        <v>761</v>
      </c>
      <c r="I6632" t="s">
        <v>3183</v>
      </c>
      <c r="J6632" t="s">
        <v>5</v>
      </c>
      <c r="K6632" t="s">
        <v>9</v>
      </c>
      <c r="L6632" t="s">
        <v>3184</v>
      </c>
      <c r="M6632" t="s">
        <v>665</v>
      </c>
    </row>
    <row r="6633" spans="1:13">
      <c r="A6633" t="s">
        <v>851</v>
      </c>
      <c r="B6633" t="s">
        <v>687</v>
      </c>
      <c r="C6633" t="s">
        <v>687</v>
      </c>
      <c r="D6633" t="s">
        <v>236</v>
      </c>
      <c r="E6633" t="s">
        <v>646</v>
      </c>
      <c r="F6633" t="s">
        <v>40</v>
      </c>
      <c r="G6633">
        <v>2030</v>
      </c>
      <c r="H6633" s="12">
        <v>442</v>
      </c>
      <c r="I6633" t="s">
        <v>3183</v>
      </c>
      <c r="J6633" t="s">
        <v>5</v>
      </c>
      <c r="K6633" t="s">
        <v>9</v>
      </c>
      <c r="L6633" t="s">
        <v>3184</v>
      </c>
      <c r="M6633" t="s">
        <v>665</v>
      </c>
    </row>
    <row r="6634" spans="1:13">
      <c r="A6634" t="s">
        <v>851</v>
      </c>
      <c r="B6634" t="s">
        <v>687</v>
      </c>
      <c r="C6634" t="s">
        <v>687</v>
      </c>
      <c r="D6634" t="s">
        <v>236</v>
      </c>
      <c r="E6634" t="s">
        <v>646</v>
      </c>
      <c r="F6634" t="s">
        <v>40</v>
      </c>
      <c r="G6634">
        <v>2035</v>
      </c>
      <c r="H6634" s="12">
        <v>416</v>
      </c>
      <c r="I6634" t="s">
        <v>3183</v>
      </c>
      <c r="J6634" t="s">
        <v>5</v>
      </c>
      <c r="K6634" t="s">
        <v>9</v>
      </c>
      <c r="L6634" t="s">
        <v>3184</v>
      </c>
      <c r="M6634" t="s">
        <v>665</v>
      </c>
    </row>
    <row r="6635" spans="1:13">
      <c r="A6635" t="s">
        <v>851</v>
      </c>
      <c r="B6635" t="s">
        <v>687</v>
      </c>
      <c r="C6635" t="s">
        <v>687</v>
      </c>
      <c r="D6635" t="s">
        <v>236</v>
      </c>
      <c r="E6635" t="s">
        <v>646</v>
      </c>
      <c r="F6635" t="s">
        <v>40</v>
      </c>
      <c r="G6635">
        <v>2040</v>
      </c>
      <c r="H6635" s="12">
        <v>371</v>
      </c>
      <c r="I6635" t="s">
        <v>3183</v>
      </c>
      <c r="J6635" t="s">
        <v>5</v>
      </c>
      <c r="K6635" t="s">
        <v>9</v>
      </c>
      <c r="L6635" t="s">
        <v>3184</v>
      </c>
      <c r="M6635" t="s">
        <v>665</v>
      </c>
    </row>
    <row r="6636" spans="1:13">
      <c r="A6636" t="s">
        <v>851</v>
      </c>
      <c r="B6636" t="s">
        <v>687</v>
      </c>
      <c r="C6636" t="s">
        <v>687</v>
      </c>
      <c r="D6636" t="s">
        <v>236</v>
      </c>
      <c r="E6636" t="s">
        <v>646</v>
      </c>
      <c r="F6636" t="s">
        <v>40</v>
      </c>
      <c r="G6636">
        <v>2045</v>
      </c>
      <c r="H6636" s="12">
        <v>298</v>
      </c>
      <c r="I6636" t="s">
        <v>3183</v>
      </c>
      <c r="J6636" t="s">
        <v>5</v>
      </c>
      <c r="K6636" t="s">
        <v>9</v>
      </c>
      <c r="L6636" t="s">
        <v>3184</v>
      </c>
      <c r="M6636" t="s">
        <v>665</v>
      </c>
    </row>
    <row r="6637" spans="1:13">
      <c r="A6637" t="s">
        <v>851</v>
      </c>
      <c r="B6637" t="s">
        <v>687</v>
      </c>
      <c r="C6637" t="s">
        <v>687</v>
      </c>
      <c r="D6637" t="s">
        <v>236</v>
      </c>
      <c r="E6637" t="s">
        <v>646</v>
      </c>
      <c r="F6637" t="s">
        <v>40</v>
      </c>
      <c r="G6637">
        <v>2050</v>
      </c>
      <c r="H6637" s="12">
        <v>235</v>
      </c>
      <c r="I6637" t="s">
        <v>3183</v>
      </c>
      <c r="J6637" t="s">
        <v>5</v>
      </c>
      <c r="K6637" t="s">
        <v>9</v>
      </c>
      <c r="L6637" t="s">
        <v>3184</v>
      </c>
      <c r="M6637" t="s">
        <v>665</v>
      </c>
    </row>
    <row r="6638" spans="1:13">
      <c r="A6638" t="s">
        <v>851</v>
      </c>
      <c r="B6638" t="s">
        <v>686</v>
      </c>
      <c r="C6638" t="s">
        <v>686</v>
      </c>
      <c r="D6638" t="s">
        <v>236</v>
      </c>
      <c r="E6638" t="s">
        <v>646</v>
      </c>
      <c r="F6638" t="s">
        <v>40</v>
      </c>
      <c r="G6638">
        <v>2010</v>
      </c>
      <c r="H6638" s="12">
        <v>2247</v>
      </c>
      <c r="I6638" t="s">
        <v>3183</v>
      </c>
      <c r="J6638" t="s">
        <v>394</v>
      </c>
      <c r="K6638" t="s">
        <v>11</v>
      </c>
      <c r="L6638" t="s">
        <v>3184</v>
      </c>
      <c r="M6638" t="s">
        <v>16</v>
      </c>
    </row>
    <row r="6639" spans="1:13">
      <c r="A6639" t="s">
        <v>851</v>
      </c>
      <c r="B6639" t="s">
        <v>686</v>
      </c>
      <c r="C6639" t="s">
        <v>686</v>
      </c>
      <c r="D6639" t="s">
        <v>236</v>
      </c>
      <c r="E6639" t="s">
        <v>646</v>
      </c>
      <c r="F6639" t="s">
        <v>40</v>
      </c>
      <c r="G6639">
        <v>2015</v>
      </c>
      <c r="H6639" s="12">
        <v>2693</v>
      </c>
      <c r="I6639" t="s">
        <v>3183</v>
      </c>
      <c r="J6639" t="s">
        <v>394</v>
      </c>
      <c r="K6639" t="s">
        <v>11</v>
      </c>
      <c r="L6639" t="s">
        <v>3184</v>
      </c>
      <c r="M6639" t="s">
        <v>16</v>
      </c>
    </row>
    <row r="6640" spans="1:13">
      <c r="A6640" t="s">
        <v>851</v>
      </c>
      <c r="B6640" t="s">
        <v>686</v>
      </c>
      <c r="C6640" t="s">
        <v>686</v>
      </c>
      <c r="D6640" t="s">
        <v>236</v>
      </c>
      <c r="E6640" t="s">
        <v>646</v>
      </c>
      <c r="F6640" t="s">
        <v>40</v>
      </c>
      <c r="G6640">
        <v>2020</v>
      </c>
      <c r="H6640" s="12">
        <v>2431</v>
      </c>
      <c r="I6640" t="s">
        <v>3183</v>
      </c>
      <c r="J6640" t="s">
        <v>394</v>
      </c>
      <c r="K6640" t="s">
        <v>11</v>
      </c>
      <c r="L6640" t="s">
        <v>3184</v>
      </c>
      <c r="M6640" t="s">
        <v>16</v>
      </c>
    </row>
    <row r="6641" spans="1:13">
      <c r="A6641" t="s">
        <v>851</v>
      </c>
      <c r="B6641" t="s">
        <v>686</v>
      </c>
      <c r="C6641" t="s">
        <v>686</v>
      </c>
      <c r="D6641" t="s">
        <v>236</v>
      </c>
      <c r="E6641" t="s">
        <v>646</v>
      </c>
      <c r="F6641" t="s">
        <v>40</v>
      </c>
      <c r="G6641">
        <v>2030</v>
      </c>
      <c r="H6641" s="12">
        <v>2726</v>
      </c>
      <c r="I6641" t="s">
        <v>3183</v>
      </c>
      <c r="J6641" t="s">
        <v>394</v>
      </c>
      <c r="K6641" t="s">
        <v>11</v>
      </c>
      <c r="L6641" t="s">
        <v>3184</v>
      </c>
      <c r="M6641" t="s">
        <v>16</v>
      </c>
    </row>
    <row r="6642" spans="1:13">
      <c r="A6642" t="s">
        <v>851</v>
      </c>
      <c r="B6642" t="s">
        <v>686</v>
      </c>
      <c r="C6642" t="s">
        <v>686</v>
      </c>
      <c r="D6642" t="s">
        <v>236</v>
      </c>
      <c r="E6642" t="s">
        <v>646</v>
      </c>
      <c r="F6642" t="s">
        <v>40</v>
      </c>
      <c r="G6642">
        <v>2035</v>
      </c>
      <c r="H6642" s="12">
        <v>2897</v>
      </c>
      <c r="I6642" t="s">
        <v>3183</v>
      </c>
      <c r="J6642" t="s">
        <v>394</v>
      </c>
      <c r="K6642" t="s">
        <v>11</v>
      </c>
      <c r="L6642" t="s">
        <v>3184</v>
      </c>
      <c r="M6642" t="s">
        <v>16</v>
      </c>
    </row>
    <row r="6643" spans="1:13">
      <c r="A6643" t="s">
        <v>851</v>
      </c>
      <c r="B6643" t="s">
        <v>686</v>
      </c>
      <c r="C6643" t="s">
        <v>686</v>
      </c>
      <c r="D6643" t="s">
        <v>236</v>
      </c>
      <c r="E6643" t="s">
        <v>646</v>
      </c>
      <c r="F6643" t="s">
        <v>40</v>
      </c>
      <c r="G6643">
        <v>2040</v>
      </c>
      <c r="H6643" s="12">
        <v>2940</v>
      </c>
      <c r="I6643" t="s">
        <v>3183</v>
      </c>
      <c r="J6643" t="s">
        <v>394</v>
      </c>
      <c r="K6643" t="s">
        <v>11</v>
      </c>
      <c r="L6643" t="s">
        <v>3184</v>
      </c>
      <c r="M6643" t="s">
        <v>16</v>
      </c>
    </row>
    <row r="6644" spans="1:13">
      <c r="A6644" t="s">
        <v>851</v>
      </c>
      <c r="B6644" t="s">
        <v>686</v>
      </c>
      <c r="C6644" t="s">
        <v>686</v>
      </c>
      <c r="D6644" t="s">
        <v>236</v>
      </c>
      <c r="E6644" t="s">
        <v>646</v>
      </c>
      <c r="F6644" t="s">
        <v>40</v>
      </c>
      <c r="G6644">
        <v>2045</v>
      </c>
      <c r="H6644" s="12">
        <v>2879</v>
      </c>
      <c r="I6644" t="s">
        <v>3183</v>
      </c>
      <c r="J6644" t="s">
        <v>394</v>
      </c>
      <c r="K6644" t="s">
        <v>11</v>
      </c>
      <c r="L6644" t="s">
        <v>3184</v>
      </c>
      <c r="M6644" t="s">
        <v>16</v>
      </c>
    </row>
    <row r="6645" spans="1:13">
      <c r="A6645" t="s">
        <v>851</v>
      </c>
      <c r="B6645" t="s">
        <v>686</v>
      </c>
      <c r="C6645" t="s">
        <v>686</v>
      </c>
      <c r="D6645" t="s">
        <v>236</v>
      </c>
      <c r="E6645" t="s">
        <v>646</v>
      </c>
      <c r="F6645" t="s">
        <v>40</v>
      </c>
      <c r="G6645">
        <v>2050</v>
      </c>
      <c r="H6645" s="12">
        <v>2742</v>
      </c>
      <c r="I6645" t="s">
        <v>3183</v>
      </c>
      <c r="J6645" t="s">
        <v>394</v>
      </c>
      <c r="K6645" t="s">
        <v>11</v>
      </c>
      <c r="L6645" t="s">
        <v>3184</v>
      </c>
      <c r="M6645" t="s">
        <v>16</v>
      </c>
    </row>
    <row r="6646" spans="1:13">
      <c r="A6646" t="s">
        <v>851</v>
      </c>
      <c r="B6646" t="s">
        <v>687</v>
      </c>
      <c r="C6646" t="s">
        <v>687</v>
      </c>
      <c r="D6646" t="s">
        <v>236</v>
      </c>
      <c r="E6646" t="s">
        <v>646</v>
      </c>
      <c r="F6646" t="s">
        <v>40</v>
      </c>
      <c r="G6646">
        <v>2030</v>
      </c>
      <c r="H6646" s="12">
        <v>2329</v>
      </c>
      <c r="I6646" t="s">
        <v>3183</v>
      </c>
      <c r="J6646" t="s">
        <v>394</v>
      </c>
      <c r="K6646" t="s">
        <v>11</v>
      </c>
      <c r="L6646" t="s">
        <v>3184</v>
      </c>
      <c r="M6646" t="s">
        <v>16</v>
      </c>
    </row>
    <row r="6647" spans="1:13">
      <c r="A6647" t="s">
        <v>851</v>
      </c>
      <c r="B6647" t="s">
        <v>687</v>
      </c>
      <c r="C6647" t="s">
        <v>687</v>
      </c>
      <c r="D6647" t="s">
        <v>236</v>
      </c>
      <c r="E6647" t="s">
        <v>646</v>
      </c>
      <c r="F6647" t="s">
        <v>40</v>
      </c>
      <c r="G6647">
        <v>2035</v>
      </c>
      <c r="H6647" s="12">
        <v>1987</v>
      </c>
      <c r="I6647" t="s">
        <v>3183</v>
      </c>
      <c r="J6647" t="s">
        <v>394</v>
      </c>
      <c r="K6647" t="s">
        <v>11</v>
      </c>
      <c r="L6647" t="s">
        <v>3184</v>
      </c>
      <c r="M6647" t="s">
        <v>16</v>
      </c>
    </row>
    <row r="6648" spans="1:13">
      <c r="A6648" t="s">
        <v>851</v>
      </c>
      <c r="B6648" t="s">
        <v>687</v>
      </c>
      <c r="C6648" t="s">
        <v>687</v>
      </c>
      <c r="D6648" t="s">
        <v>236</v>
      </c>
      <c r="E6648" t="s">
        <v>646</v>
      </c>
      <c r="F6648" t="s">
        <v>40</v>
      </c>
      <c r="G6648">
        <v>2040</v>
      </c>
      <c r="H6648" s="12">
        <v>1621</v>
      </c>
      <c r="I6648" t="s">
        <v>3183</v>
      </c>
      <c r="J6648" t="s">
        <v>394</v>
      </c>
      <c r="K6648" t="s">
        <v>11</v>
      </c>
      <c r="L6648" t="s">
        <v>3184</v>
      </c>
      <c r="M6648" t="s">
        <v>16</v>
      </c>
    </row>
    <row r="6649" spans="1:13">
      <c r="A6649" t="s">
        <v>851</v>
      </c>
      <c r="B6649" t="s">
        <v>687</v>
      </c>
      <c r="C6649" t="s">
        <v>687</v>
      </c>
      <c r="D6649" t="s">
        <v>236</v>
      </c>
      <c r="E6649" t="s">
        <v>646</v>
      </c>
      <c r="F6649" t="s">
        <v>40</v>
      </c>
      <c r="G6649">
        <v>2045</v>
      </c>
      <c r="H6649" s="12">
        <v>1386</v>
      </c>
      <c r="I6649" t="s">
        <v>3183</v>
      </c>
      <c r="J6649" t="s">
        <v>394</v>
      </c>
      <c r="K6649" t="s">
        <v>11</v>
      </c>
      <c r="L6649" t="s">
        <v>3184</v>
      </c>
      <c r="M6649" t="s">
        <v>16</v>
      </c>
    </row>
    <row r="6650" spans="1:13">
      <c r="A6650" t="s">
        <v>851</v>
      </c>
      <c r="B6650" t="s">
        <v>687</v>
      </c>
      <c r="C6650" t="s">
        <v>687</v>
      </c>
      <c r="D6650" t="s">
        <v>236</v>
      </c>
      <c r="E6650" t="s">
        <v>646</v>
      </c>
      <c r="F6650" t="s">
        <v>40</v>
      </c>
      <c r="G6650">
        <v>2050</v>
      </c>
      <c r="H6650" s="12">
        <v>1127</v>
      </c>
      <c r="I6650" t="s">
        <v>3183</v>
      </c>
      <c r="J6650" t="s">
        <v>394</v>
      </c>
      <c r="K6650" t="s">
        <v>11</v>
      </c>
      <c r="L6650" t="s">
        <v>3184</v>
      </c>
      <c r="M6650" t="s">
        <v>16</v>
      </c>
    </row>
    <row r="6651" spans="1:13">
      <c r="A6651" t="s">
        <v>851</v>
      </c>
      <c r="B6651" t="s">
        <v>686</v>
      </c>
      <c r="C6651" t="s">
        <v>686</v>
      </c>
      <c r="D6651" t="s">
        <v>236</v>
      </c>
      <c r="E6651" t="s">
        <v>646</v>
      </c>
      <c r="F6651" t="s">
        <v>40</v>
      </c>
      <c r="G6651">
        <v>2010</v>
      </c>
      <c r="H6651" s="12">
        <v>94</v>
      </c>
      <c r="I6651" t="s">
        <v>3183</v>
      </c>
      <c r="J6651" t="s">
        <v>6</v>
      </c>
      <c r="K6651" t="s">
        <v>11</v>
      </c>
      <c r="L6651" t="s">
        <v>3184</v>
      </c>
      <c r="M6651" t="s">
        <v>659</v>
      </c>
    </row>
    <row r="6652" spans="1:13">
      <c r="A6652" t="s">
        <v>851</v>
      </c>
      <c r="B6652" t="s">
        <v>686</v>
      </c>
      <c r="C6652" t="s">
        <v>686</v>
      </c>
      <c r="D6652" t="s">
        <v>236</v>
      </c>
      <c r="E6652" t="s">
        <v>646</v>
      </c>
      <c r="F6652" t="s">
        <v>40</v>
      </c>
      <c r="G6652">
        <v>2015</v>
      </c>
      <c r="H6652" s="12">
        <v>97</v>
      </c>
      <c r="I6652" t="s">
        <v>3183</v>
      </c>
      <c r="J6652" t="s">
        <v>6</v>
      </c>
      <c r="K6652" t="s">
        <v>11</v>
      </c>
      <c r="L6652" t="s">
        <v>3184</v>
      </c>
      <c r="M6652" t="s">
        <v>659</v>
      </c>
    </row>
    <row r="6653" spans="1:13">
      <c r="A6653" t="s">
        <v>851</v>
      </c>
      <c r="B6653" t="s">
        <v>686</v>
      </c>
      <c r="C6653" t="s">
        <v>686</v>
      </c>
      <c r="D6653" t="s">
        <v>236</v>
      </c>
      <c r="E6653" t="s">
        <v>646</v>
      </c>
      <c r="F6653" t="s">
        <v>40</v>
      </c>
      <c r="G6653">
        <v>2020</v>
      </c>
      <c r="H6653" s="12">
        <v>117</v>
      </c>
      <c r="I6653" t="s">
        <v>3183</v>
      </c>
      <c r="J6653" t="s">
        <v>6</v>
      </c>
      <c r="K6653" t="s">
        <v>11</v>
      </c>
      <c r="L6653" t="s">
        <v>3184</v>
      </c>
      <c r="M6653" t="s">
        <v>659</v>
      </c>
    </row>
    <row r="6654" spans="1:13">
      <c r="A6654" t="s">
        <v>851</v>
      </c>
      <c r="B6654" t="s">
        <v>686</v>
      </c>
      <c r="C6654" t="s">
        <v>686</v>
      </c>
      <c r="D6654" t="s">
        <v>236</v>
      </c>
      <c r="E6654" t="s">
        <v>646</v>
      </c>
      <c r="F6654" t="s">
        <v>40</v>
      </c>
      <c r="G6654">
        <v>2030</v>
      </c>
      <c r="H6654" s="12">
        <v>115</v>
      </c>
      <c r="I6654" t="s">
        <v>3183</v>
      </c>
      <c r="J6654" t="s">
        <v>6</v>
      </c>
      <c r="K6654" t="s">
        <v>11</v>
      </c>
      <c r="L6654" t="s">
        <v>3184</v>
      </c>
      <c r="M6654" t="s">
        <v>659</v>
      </c>
    </row>
    <row r="6655" spans="1:13">
      <c r="A6655" t="s">
        <v>851</v>
      </c>
      <c r="B6655" t="s">
        <v>686</v>
      </c>
      <c r="C6655" t="s">
        <v>686</v>
      </c>
      <c r="D6655" t="s">
        <v>236</v>
      </c>
      <c r="E6655" t="s">
        <v>646</v>
      </c>
      <c r="F6655" t="s">
        <v>40</v>
      </c>
      <c r="G6655">
        <v>2035</v>
      </c>
      <c r="H6655" s="12">
        <v>109</v>
      </c>
      <c r="I6655" t="s">
        <v>3183</v>
      </c>
      <c r="J6655" t="s">
        <v>6</v>
      </c>
      <c r="K6655" t="s">
        <v>11</v>
      </c>
      <c r="L6655" t="s">
        <v>3184</v>
      </c>
      <c r="M6655" t="s">
        <v>659</v>
      </c>
    </row>
    <row r="6656" spans="1:13">
      <c r="A6656" t="s">
        <v>851</v>
      </c>
      <c r="B6656" t="s">
        <v>686</v>
      </c>
      <c r="C6656" t="s">
        <v>686</v>
      </c>
      <c r="D6656" t="s">
        <v>236</v>
      </c>
      <c r="E6656" t="s">
        <v>646</v>
      </c>
      <c r="F6656" t="s">
        <v>40</v>
      </c>
      <c r="G6656">
        <v>2040</v>
      </c>
      <c r="H6656" s="12">
        <v>97</v>
      </c>
      <c r="I6656" t="s">
        <v>3183</v>
      </c>
      <c r="J6656" t="s">
        <v>6</v>
      </c>
      <c r="K6656" t="s">
        <v>11</v>
      </c>
      <c r="L6656" t="s">
        <v>3184</v>
      </c>
      <c r="M6656" t="s">
        <v>659</v>
      </c>
    </row>
    <row r="6657" spans="1:13">
      <c r="A6657" t="s">
        <v>851</v>
      </c>
      <c r="B6657" t="s">
        <v>686</v>
      </c>
      <c r="C6657" t="s">
        <v>686</v>
      </c>
      <c r="D6657" t="s">
        <v>236</v>
      </c>
      <c r="E6657" t="s">
        <v>646</v>
      </c>
      <c r="F6657" t="s">
        <v>40</v>
      </c>
      <c r="G6657">
        <v>2045</v>
      </c>
      <c r="H6657" s="12">
        <v>79</v>
      </c>
      <c r="I6657" t="s">
        <v>3183</v>
      </c>
      <c r="J6657" t="s">
        <v>6</v>
      </c>
      <c r="K6657" t="s">
        <v>11</v>
      </c>
      <c r="L6657" t="s">
        <v>3184</v>
      </c>
      <c r="M6657" t="s">
        <v>659</v>
      </c>
    </row>
    <row r="6658" spans="1:13">
      <c r="A6658" t="s">
        <v>851</v>
      </c>
      <c r="B6658" t="s">
        <v>686</v>
      </c>
      <c r="C6658" t="s">
        <v>686</v>
      </c>
      <c r="D6658" t="s">
        <v>236</v>
      </c>
      <c r="E6658" t="s">
        <v>646</v>
      </c>
      <c r="F6658" t="s">
        <v>40</v>
      </c>
      <c r="G6658">
        <v>2050</v>
      </c>
      <c r="H6658" s="12">
        <v>55</v>
      </c>
      <c r="I6658" t="s">
        <v>3183</v>
      </c>
      <c r="J6658" t="s">
        <v>6</v>
      </c>
      <c r="K6658" t="s">
        <v>11</v>
      </c>
      <c r="L6658" t="s">
        <v>3184</v>
      </c>
      <c r="M6658" t="s">
        <v>659</v>
      </c>
    </row>
    <row r="6659" spans="1:13">
      <c r="A6659" t="s">
        <v>851</v>
      </c>
      <c r="B6659" t="s">
        <v>687</v>
      </c>
      <c r="C6659" t="s">
        <v>687</v>
      </c>
      <c r="D6659" t="s">
        <v>236</v>
      </c>
      <c r="E6659" t="s">
        <v>646</v>
      </c>
      <c r="F6659" t="s">
        <v>40</v>
      </c>
      <c r="G6659">
        <v>2030</v>
      </c>
      <c r="H6659" s="12">
        <v>83</v>
      </c>
      <c r="I6659" t="s">
        <v>3183</v>
      </c>
      <c r="J6659" t="s">
        <v>6</v>
      </c>
      <c r="K6659" t="s">
        <v>11</v>
      </c>
      <c r="L6659" t="s">
        <v>3184</v>
      </c>
      <c r="M6659" t="s">
        <v>659</v>
      </c>
    </row>
    <row r="6660" spans="1:13">
      <c r="A6660" t="s">
        <v>851</v>
      </c>
      <c r="B6660" t="s">
        <v>687</v>
      </c>
      <c r="C6660" t="s">
        <v>687</v>
      </c>
      <c r="D6660" t="s">
        <v>236</v>
      </c>
      <c r="E6660" t="s">
        <v>646</v>
      </c>
      <c r="F6660" t="s">
        <v>40</v>
      </c>
      <c r="G6660">
        <v>2035</v>
      </c>
      <c r="H6660" s="12">
        <v>61</v>
      </c>
      <c r="I6660" t="s">
        <v>3183</v>
      </c>
      <c r="J6660" t="s">
        <v>6</v>
      </c>
      <c r="K6660" t="s">
        <v>11</v>
      </c>
      <c r="L6660" t="s">
        <v>3184</v>
      </c>
      <c r="M6660" t="s">
        <v>659</v>
      </c>
    </row>
    <row r="6661" spans="1:13">
      <c r="A6661" t="s">
        <v>851</v>
      </c>
      <c r="B6661" t="s">
        <v>687</v>
      </c>
      <c r="C6661" t="s">
        <v>687</v>
      </c>
      <c r="D6661" t="s">
        <v>236</v>
      </c>
      <c r="E6661" t="s">
        <v>646</v>
      </c>
      <c r="F6661" t="s">
        <v>40</v>
      </c>
      <c r="G6661">
        <v>2040</v>
      </c>
      <c r="H6661" s="12">
        <v>43</v>
      </c>
      <c r="I6661" t="s">
        <v>3183</v>
      </c>
      <c r="J6661" t="s">
        <v>6</v>
      </c>
      <c r="K6661" t="s">
        <v>11</v>
      </c>
      <c r="L6661" t="s">
        <v>3184</v>
      </c>
      <c r="M6661" t="s">
        <v>659</v>
      </c>
    </row>
    <row r="6662" spans="1:13">
      <c r="A6662" t="s">
        <v>851</v>
      </c>
      <c r="B6662" t="s">
        <v>687</v>
      </c>
      <c r="C6662" t="s">
        <v>687</v>
      </c>
      <c r="D6662" t="s">
        <v>236</v>
      </c>
      <c r="E6662" t="s">
        <v>646</v>
      </c>
      <c r="F6662" t="s">
        <v>40</v>
      </c>
      <c r="G6662">
        <v>2045</v>
      </c>
      <c r="H6662" s="12">
        <v>26</v>
      </c>
      <c r="I6662" t="s">
        <v>3183</v>
      </c>
      <c r="J6662" t="s">
        <v>6</v>
      </c>
      <c r="K6662" t="s">
        <v>11</v>
      </c>
      <c r="L6662" t="s">
        <v>3184</v>
      </c>
      <c r="M6662" t="s">
        <v>659</v>
      </c>
    </row>
    <row r="6663" spans="1:13">
      <c r="A6663" t="s">
        <v>851</v>
      </c>
      <c r="B6663" t="s">
        <v>687</v>
      </c>
      <c r="C6663" t="s">
        <v>687</v>
      </c>
      <c r="D6663" t="s">
        <v>236</v>
      </c>
      <c r="E6663" t="s">
        <v>646</v>
      </c>
      <c r="F6663" t="s">
        <v>40</v>
      </c>
      <c r="G6663">
        <v>2050</v>
      </c>
      <c r="H6663" s="12">
        <v>12</v>
      </c>
      <c r="I6663" t="s">
        <v>3183</v>
      </c>
      <c r="J6663" t="s">
        <v>6</v>
      </c>
      <c r="K6663" t="s">
        <v>11</v>
      </c>
      <c r="L6663" t="s">
        <v>3184</v>
      </c>
      <c r="M6663" t="s">
        <v>659</v>
      </c>
    </row>
    <row r="6664" spans="1:13">
      <c r="A6664" t="s">
        <v>851</v>
      </c>
      <c r="B6664" t="s">
        <v>686</v>
      </c>
      <c r="C6664" t="s">
        <v>686</v>
      </c>
      <c r="D6664" t="s">
        <v>236</v>
      </c>
      <c r="E6664" t="s">
        <v>646</v>
      </c>
      <c r="F6664" t="s">
        <v>40</v>
      </c>
      <c r="G6664">
        <v>2010</v>
      </c>
      <c r="H6664" s="12">
        <v>732</v>
      </c>
      <c r="I6664" t="s">
        <v>3183</v>
      </c>
      <c r="J6664" t="s">
        <v>344</v>
      </c>
      <c r="K6664" t="s">
        <v>9</v>
      </c>
      <c r="L6664" t="s">
        <v>3184</v>
      </c>
      <c r="M6664" t="s">
        <v>10</v>
      </c>
    </row>
    <row r="6665" spans="1:13">
      <c r="A6665" t="s">
        <v>851</v>
      </c>
      <c r="B6665" t="s">
        <v>686</v>
      </c>
      <c r="C6665" t="s">
        <v>686</v>
      </c>
      <c r="D6665" t="s">
        <v>236</v>
      </c>
      <c r="E6665" t="s">
        <v>646</v>
      </c>
      <c r="F6665" t="s">
        <v>40</v>
      </c>
      <c r="G6665">
        <v>2015</v>
      </c>
      <c r="H6665" s="12">
        <v>708</v>
      </c>
      <c r="I6665" t="s">
        <v>3183</v>
      </c>
      <c r="J6665" t="s">
        <v>344</v>
      </c>
      <c r="K6665" t="s">
        <v>9</v>
      </c>
      <c r="L6665" t="s">
        <v>3184</v>
      </c>
      <c r="M6665" t="s">
        <v>10</v>
      </c>
    </row>
    <row r="6666" spans="1:13">
      <c r="A6666" t="s">
        <v>851</v>
      </c>
      <c r="B6666" t="s">
        <v>686</v>
      </c>
      <c r="C6666" t="s">
        <v>686</v>
      </c>
      <c r="D6666" t="s">
        <v>236</v>
      </c>
      <c r="E6666" t="s">
        <v>646</v>
      </c>
      <c r="F6666" t="s">
        <v>40</v>
      </c>
      <c r="G6666">
        <v>2020</v>
      </c>
      <c r="H6666" s="12">
        <v>711</v>
      </c>
      <c r="I6666" t="s">
        <v>3183</v>
      </c>
      <c r="J6666" t="s">
        <v>344</v>
      </c>
      <c r="K6666" t="s">
        <v>9</v>
      </c>
      <c r="L6666" t="s">
        <v>3184</v>
      </c>
      <c r="M6666" t="s">
        <v>10</v>
      </c>
    </row>
    <row r="6667" spans="1:13">
      <c r="A6667" t="s">
        <v>851</v>
      </c>
      <c r="B6667" t="s">
        <v>686</v>
      </c>
      <c r="C6667" t="s">
        <v>686</v>
      </c>
      <c r="D6667" t="s">
        <v>236</v>
      </c>
      <c r="E6667" t="s">
        <v>646</v>
      </c>
      <c r="F6667" t="s">
        <v>40</v>
      </c>
      <c r="G6667">
        <v>2030</v>
      </c>
      <c r="H6667" s="12">
        <v>806</v>
      </c>
      <c r="I6667" t="s">
        <v>3183</v>
      </c>
      <c r="J6667" t="s">
        <v>344</v>
      </c>
      <c r="K6667" t="s">
        <v>9</v>
      </c>
      <c r="L6667" t="s">
        <v>3184</v>
      </c>
      <c r="M6667" t="s">
        <v>10</v>
      </c>
    </row>
    <row r="6668" spans="1:13">
      <c r="A6668" t="s">
        <v>851</v>
      </c>
      <c r="B6668" t="s">
        <v>686</v>
      </c>
      <c r="C6668" t="s">
        <v>686</v>
      </c>
      <c r="D6668" t="s">
        <v>236</v>
      </c>
      <c r="E6668" t="s">
        <v>646</v>
      </c>
      <c r="F6668" t="s">
        <v>40</v>
      </c>
      <c r="G6668">
        <v>2035</v>
      </c>
      <c r="H6668" s="12">
        <v>846</v>
      </c>
      <c r="I6668" t="s">
        <v>3183</v>
      </c>
      <c r="J6668" t="s">
        <v>344</v>
      </c>
      <c r="K6668" t="s">
        <v>9</v>
      </c>
      <c r="L6668" t="s">
        <v>3184</v>
      </c>
      <c r="M6668" t="s">
        <v>10</v>
      </c>
    </row>
    <row r="6669" spans="1:13">
      <c r="A6669" t="s">
        <v>851</v>
      </c>
      <c r="B6669" t="s">
        <v>686</v>
      </c>
      <c r="C6669" t="s">
        <v>686</v>
      </c>
      <c r="D6669" t="s">
        <v>236</v>
      </c>
      <c r="E6669" t="s">
        <v>646</v>
      </c>
      <c r="F6669" t="s">
        <v>40</v>
      </c>
      <c r="G6669">
        <v>2040</v>
      </c>
      <c r="H6669" s="12">
        <v>878</v>
      </c>
      <c r="I6669" t="s">
        <v>3183</v>
      </c>
      <c r="J6669" t="s">
        <v>344</v>
      </c>
      <c r="K6669" t="s">
        <v>9</v>
      </c>
      <c r="L6669" t="s">
        <v>3184</v>
      </c>
      <c r="M6669" t="s">
        <v>10</v>
      </c>
    </row>
    <row r="6670" spans="1:13">
      <c r="A6670" t="s">
        <v>851</v>
      </c>
      <c r="B6670" t="s">
        <v>686</v>
      </c>
      <c r="C6670" t="s">
        <v>686</v>
      </c>
      <c r="D6670" t="s">
        <v>236</v>
      </c>
      <c r="E6670" t="s">
        <v>646</v>
      </c>
      <c r="F6670" t="s">
        <v>40</v>
      </c>
      <c r="G6670">
        <v>2045</v>
      </c>
      <c r="H6670" s="12">
        <v>902</v>
      </c>
      <c r="I6670" t="s">
        <v>3183</v>
      </c>
      <c r="J6670" t="s">
        <v>344</v>
      </c>
      <c r="K6670" t="s">
        <v>9</v>
      </c>
      <c r="L6670" t="s">
        <v>3184</v>
      </c>
      <c r="M6670" t="s">
        <v>10</v>
      </c>
    </row>
    <row r="6671" spans="1:13">
      <c r="A6671" t="s">
        <v>851</v>
      </c>
      <c r="B6671" t="s">
        <v>686</v>
      </c>
      <c r="C6671" t="s">
        <v>686</v>
      </c>
      <c r="D6671" t="s">
        <v>236</v>
      </c>
      <c r="E6671" t="s">
        <v>646</v>
      </c>
      <c r="F6671" t="s">
        <v>40</v>
      </c>
      <c r="G6671">
        <v>2050</v>
      </c>
      <c r="H6671" s="12">
        <v>915</v>
      </c>
      <c r="I6671" t="s">
        <v>3183</v>
      </c>
      <c r="J6671" t="s">
        <v>344</v>
      </c>
      <c r="K6671" t="s">
        <v>9</v>
      </c>
      <c r="L6671" t="s">
        <v>3184</v>
      </c>
      <c r="M6671" t="s">
        <v>10</v>
      </c>
    </row>
    <row r="6672" spans="1:13">
      <c r="A6672" t="s">
        <v>851</v>
      </c>
      <c r="B6672" t="s">
        <v>687</v>
      </c>
      <c r="C6672" t="s">
        <v>687</v>
      </c>
      <c r="D6672" t="s">
        <v>236</v>
      </c>
      <c r="E6672" t="s">
        <v>646</v>
      </c>
      <c r="F6672" t="s">
        <v>40</v>
      </c>
      <c r="G6672">
        <v>2030</v>
      </c>
      <c r="H6672" s="12">
        <v>883</v>
      </c>
      <c r="I6672" t="s">
        <v>3183</v>
      </c>
      <c r="J6672" t="s">
        <v>344</v>
      </c>
      <c r="K6672" t="s">
        <v>9</v>
      </c>
      <c r="L6672" t="s">
        <v>3184</v>
      </c>
      <c r="M6672" t="s">
        <v>10</v>
      </c>
    </row>
    <row r="6673" spans="1:13">
      <c r="A6673" t="s">
        <v>851</v>
      </c>
      <c r="B6673" t="s">
        <v>687</v>
      </c>
      <c r="C6673" t="s">
        <v>687</v>
      </c>
      <c r="D6673" t="s">
        <v>236</v>
      </c>
      <c r="E6673" t="s">
        <v>646</v>
      </c>
      <c r="F6673" t="s">
        <v>40</v>
      </c>
      <c r="G6673">
        <v>2035</v>
      </c>
      <c r="H6673" s="12">
        <v>976</v>
      </c>
      <c r="I6673" t="s">
        <v>3183</v>
      </c>
      <c r="J6673" t="s">
        <v>344</v>
      </c>
      <c r="K6673" t="s">
        <v>9</v>
      </c>
      <c r="L6673" t="s">
        <v>3184</v>
      </c>
      <c r="M6673" t="s">
        <v>10</v>
      </c>
    </row>
    <row r="6674" spans="1:13">
      <c r="A6674" t="s">
        <v>851</v>
      </c>
      <c r="B6674" t="s">
        <v>687</v>
      </c>
      <c r="C6674" t="s">
        <v>687</v>
      </c>
      <c r="D6674" t="s">
        <v>236</v>
      </c>
      <c r="E6674" t="s">
        <v>646</v>
      </c>
      <c r="F6674" t="s">
        <v>40</v>
      </c>
      <c r="G6674">
        <v>2040</v>
      </c>
      <c r="H6674" s="12">
        <v>1046</v>
      </c>
      <c r="I6674" t="s">
        <v>3183</v>
      </c>
      <c r="J6674" t="s">
        <v>344</v>
      </c>
      <c r="K6674" t="s">
        <v>9</v>
      </c>
      <c r="L6674" t="s">
        <v>3184</v>
      </c>
      <c r="M6674" t="s">
        <v>10</v>
      </c>
    </row>
    <row r="6675" spans="1:13">
      <c r="A6675" t="s">
        <v>851</v>
      </c>
      <c r="B6675" t="s">
        <v>687</v>
      </c>
      <c r="C6675" t="s">
        <v>687</v>
      </c>
      <c r="D6675" t="s">
        <v>236</v>
      </c>
      <c r="E6675" t="s">
        <v>646</v>
      </c>
      <c r="F6675" t="s">
        <v>40</v>
      </c>
      <c r="G6675">
        <v>2045</v>
      </c>
      <c r="H6675" s="12">
        <v>1116</v>
      </c>
      <c r="I6675" t="s">
        <v>3183</v>
      </c>
      <c r="J6675" t="s">
        <v>344</v>
      </c>
      <c r="K6675" t="s">
        <v>9</v>
      </c>
      <c r="L6675" t="s">
        <v>3184</v>
      </c>
      <c r="M6675" t="s">
        <v>10</v>
      </c>
    </row>
    <row r="6676" spans="1:13">
      <c r="A6676" t="s">
        <v>851</v>
      </c>
      <c r="B6676" t="s">
        <v>687</v>
      </c>
      <c r="C6676" t="s">
        <v>687</v>
      </c>
      <c r="D6676" t="s">
        <v>236</v>
      </c>
      <c r="E6676" t="s">
        <v>646</v>
      </c>
      <c r="F6676" t="s">
        <v>40</v>
      </c>
      <c r="G6676">
        <v>2050</v>
      </c>
      <c r="H6676" s="12">
        <v>1177</v>
      </c>
      <c r="I6676" t="s">
        <v>3183</v>
      </c>
      <c r="J6676" t="s">
        <v>344</v>
      </c>
      <c r="K6676" t="s">
        <v>9</v>
      </c>
      <c r="L6676" t="s">
        <v>3184</v>
      </c>
      <c r="M6676" t="s">
        <v>10</v>
      </c>
    </row>
    <row r="6677" spans="1:13">
      <c r="A6677" t="s">
        <v>851</v>
      </c>
      <c r="B6677" t="s">
        <v>686</v>
      </c>
      <c r="C6677" t="s">
        <v>686</v>
      </c>
      <c r="D6677" t="s">
        <v>236</v>
      </c>
      <c r="E6677" t="s">
        <v>646</v>
      </c>
      <c r="F6677" t="s">
        <v>40</v>
      </c>
      <c r="G6677">
        <v>2010</v>
      </c>
      <c r="H6677" s="12">
        <v>6</v>
      </c>
      <c r="I6677" t="s">
        <v>3183</v>
      </c>
      <c r="J6677" t="s">
        <v>344</v>
      </c>
      <c r="K6677" t="s">
        <v>11</v>
      </c>
      <c r="L6677" t="s">
        <v>3184</v>
      </c>
      <c r="M6677" t="s">
        <v>10</v>
      </c>
    </row>
    <row r="6678" spans="1:13">
      <c r="A6678" t="s">
        <v>851</v>
      </c>
      <c r="B6678" t="s">
        <v>686</v>
      </c>
      <c r="C6678" t="s">
        <v>686</v>
      </c>
      <c r="D6678" t="s">
        <v>236</v>
      </c>
      <c r="E6678" t="s">
        <v>646</v>
      </c>
      <c r="F6678" t="s">
        <v>40</v>
      </c>
      <c r="G6678">
        <v>2015</v>
      </c>
      <c r="H6678" s="12">
        <v>10</v>
      </c>
      <c r="I6678" t="s">
        <v>3183</v>
      </c>
      <c r="J6678" t="s">
        <v>344</v>
      </c>
      <c r="K6678" t="s">
        <v>11</v>
      </c>
      <c r="L6678" t="s">
        <v>3184</v>
      </c>
      <c r="M6678" t="s">
        <v>10</v>
      </c>
    </row>
    <row r="6679" spans="1:13">
      <c r="A6679" t="s">
        <v>851</v>
      </c>
      <c r="B6679" t="s">
        <v>686</v>
      </c>
      <c r="C6679" t="s">
        <v>686</v>
      </c>
      <c r="D6679" t="s">
        <v>236</v>
      </c>
      <c r="E6679" t="s">
        <v>646</v>
      </c>
      <c r="F6679" t="s">
        <v>40</v>
      </c>
      <c r="G6679">
        <v>2020</v>
      </c>
      <c r="H6679" s="12">
        <v>10</v>
      </c>
      <c r="I6679" t="s">
        <v>3183</v>
      </c>
      <c r="J6679" t="s">
        <v>344</v>
      </c>
      <c r="K6679" t="s">
        <v>11</v>
      </c>
      <c r="L6679" t="s">
        <v>3184</v>
      </c>
      <c r="M6679" t="s">
        <v>10</v>
      </c>
    </row>
    <row r="6680" spans="1:13">
      <c r="A6680" t="s">
        <v>851</v>
      </c>
      <c r="B6680" t="s">
        <v>686</v>
      </c>
      <c r="C6680" t="s">
        <v>686</v>
      </c>
      <c r="D6680" t="s">
        <v>236</v>
      </c>
      <c r="E6680" t="s">
        <v>646</v>
      </c>
      <c r="F6680" t="s">
        <v>40</v>
      </c>
      <c r="G6680">
        <v>2030</v>
      </c>
      <c r="H6680" s="12">
        <v>25</v>
      </c>
      <c r="I6680" t="s">
        <v>3183</v>
      </c>
      <c r="J6680" t="s">
        <v>344</v>
      </c>
      <c r="K6680" t="s">
        <v>11</v>
      </c>
      <c r="L6680" t="s">
        <v>3184</v>
      </c>
      <c r="M6680" t="s">
        <v>10</v>
      </c>
    </row>
    <row r="6681" spans="1:13">
      <c r="A6681" t="s">
        <v>851</v>
      </c>
      <c r="B6681" t="s">
        <v>686</v>
      </c>
      <c r="C6681" t="s">
        <v>686</v>
      </c>
      <c r="D6681" t="s">
        <v>236</v>
      </c>
      <c r="E6681" t="s">
        <v>646</v>
      </c>
      <c r="F6681" t="s">
        <v>40</v>
      </c>
      <c r="G6681">
        <v>2035</v>
      </c>
      <c r="H6681" s="12">
        <v>47</v>
      </c>
      <c r="I6681" t="s">
        <v>3183</v>
      </c>
      <c r="J6681" t="s">
        <v>344</v>
      </c>
      <c r="K6681" t="s">
        <v>11</v>
      </c>
      <c r="L6681" t="s">
        <v>3184</v>
      </c>
      <c r="M6681" t="s">
        <v>10</v>
      </c>
    </row>
    <row r="6682" spans="1:13">
      <c r="A6682" t="s">
        <v>851</v>
      </c>
      <c r="B6682" t="s">
        <v>686</v>
      </c>
      <c r="C6682" t="s">
        <v>686</v>
      </c>
      <c r="D6682" t="s">
        <v>236</v>
      </c>
      <c r="E6682" t="s">
        <v>646</v>
      </c>
      <c r="F6682" t="s">
        <v>40</v>
      </c>
      <c r="G6682">
        <v>2040</v>
      </c>
      <c r="H6682" s="12">
        <v>80</v>
      </c>
      <c r="I6682" t="s">
        <v>3183</v>
      </c>
      <c r="J6682" t="s">
        <v>344</v>
      </c>
      <c r="K6682" t="s">
        <v>11</v>
      </c>
      <c r="L6682" t="s">
        <v>3184</v>
      </c>
      <c r="M6682" t="s">
        <v>10</v>
      </c>
    </row>
    <row r="6683" spans="1:13">
      <c r="A6683" t="s">
        <v>851</v>
      </c>
      <c r="B6683" t="s">
        <v>686</v>
      </c>
      <c r="C6683" t="s">
        <v>686</v>
      </c>
      <c r="D6683" t="s">
        <v>236</v>
      </c>
      <c r="E6683" t="s">
        <v>646</v>
      </c>
      <c r="F6683" t="s">
        <v>40</v>
      </c>
      <c r="G6683">
        <v>2045</v>
      </c>
      <c r="H6683" s="12">
        <v>127</v>
      </c>
      <c r="I6683" t="s">
        <v>3183</v>
      </c>
      <c r="J6683" t="s">
        <v>344</v>
      </c>
      <c r="K6683" t="s">
        <v>11</v>
      </c>
      <c r="L6683" t="s">
        <v>3184</v>
      </c>
      <c r="M6683" t="s">
        <v>10</v>
      </c>
    </row>
    <row r="6684" spans="1:13">
      <c r="A6684" t="s">
        <v>851</v>
      </c>
      <c r="B6684" t="s">
        <v>686</v>
      </c>
      <c r="C6684" t="s">
        <v>686</v>
      </c>
      <c r="D6684" t="s">
        <v>236</v>
      </c>
      <c r="E6684" t="s">
        <v>646</v>
      </c>
      <c r="F6684" t="s">
        <v>40</v>
      </c>
      <c r="G6684">
        <v>2050</v>
      </c>
      <c r="H6684" s="12">
        <v>193</v>
      </c>
      <c r="I6684" t="s">
        <v>3183</v>
      </c>
      <c r="J6684" t="s">
        <v>344</v>
      </c>
      <c r="K6684" t="s">
        <v>11</v>
      </c>
      <c r="L6684" t="s">
        <v>3184</v>
      </c>
      <c r="M6684" t="s">
        <v>10</v>
      </c>
    </row>
    <row r="6685" spans="1:13">
      <c r="A6685" t="s">
        <v>851</v>
      </c>
      <c r="B6685" t="s">
        <v>686</v>
      </c>
      <c r="C6685" t="s">
        <v>686</v>
      </c>
      <c r="D6685" t="s">
        <v>236</v>
      </c>
      <c r="E6685" t="s">
        <v>573</v>
      </c>
      <c r="F6685" t="s">
        <v>40</v>
      </c>
      <c r="G6685">
        <v>2010</v>
      </c>
      <c r="H6685" s="12">
        <v>158</v>
      </c>
      <c r="I6685" t="s">
        <v>3183</v>
      </c>
      <c r="J6685" t="s">
        <v>15</v>
      </c>
      <c r="K6685" t="s">
        <v>147</v>
      </c>
      <c r="L6685" t="s">
        <v>3184</v>
      </c>
      <c r="M6685" t="s">
        <v>15</v>
      </c>
    </row>
    <row r="6686" spans="1:13">
      <c r="A6686" t="s">
        <v>851</v>
      </c>
      <c r="B6686" t="s">
        <v>686</v>
      </c>
      <c r="C6686" t="s">
        <v>686</v>
      </c>
      <c r="D6686" t="s">
        <v>236</v>
      </c>
      <c r="E6686" t="s">
        <v>573</v>
      </c>
      <c r="F6686" t="s">
        <v>40</v>
      </c>
      <c r="G6686">
        <v>2015</v>
      </c>
      <c r="H6686" s="12">
        <v>161</v>
      </c>
      <c r="I6686" t="s">
        <v>3183</v>
      </c>
      <c r="J6686" t="s">
        <v>15</v>
      </c>
      <c r="K6686" t="s">
        <v>147</v>
      </c>
      <c r="L6686" t="s">
        <v>3184</v>
      </c>
      <c r="M6686" t="s">
        <v>15</v>
      </c>
    </row>
    <row r="6687" spans="1:13">
      <c r="A6687" t="s">
        <v>851</v>
      </c>
      <c r="B6687" t="s">
        <v>686</v>
      </c>
      <c r="C6687" t="s">
        <v>686</v>
      </c>
      <c r="D6687" t="s">
        <v>236</v>
      </c>
      <c r="E6687" t="s">
        <v>573</v>
      </c>
      <c r="F6687" t="s">
        <v>40</v>
      </c>
      <c r="G6687">
        <v>2020</v>
      </c>
      <c r="H6687" s="12">
        <v>153</v>
      </c>
      <c r="I6687" t="s">
        <v>3183</v>
      </c>
      <c r="J6687" t="s">
        <v>15</v>
      </c>
      <c r="K6687" t="s">
        <v>147</v>
      </c>
      <c r="L6687" t="s">
        <v>3184</v>
      </c>
      <c r="M6687" t="s">
        <v>15</v>
      </c>
    </row>
    <row r="6688" spans="1:13">
      <c r="A6688" t="s">
        <v>851</v>
      </c>
      <c r="B6688" t="s">
        <v>686</v>
      </c>
      <c r="C6688" t="s">
        <v>686</v>
      </c>
      <c r="D6688" t="s">
        <v>236</v>
      </c>
      <c r="E6688" t="s">
        <v>573</v>
      </c>
      <c r="F6688" t="s">
        <v>40</v>
      </c>
      <c r="G6688">
        <v>2030</v>
      </c>
      <c r="H6688" s="12">
        <v>227</v>
      </c>
      <c r="I6688" t="s">
        <v>3183</v>
      </c>
      <c r="J6688" t="s">
        <v>15</v>
      </c>
      <c r="K6688" t="s">
        <v>147</v>
      </c>
      <c r="L6688" t="s">
        <v>3184</v>
      </c>
      <c r="M6688" t="s">
        <v>15</v>
      </c>
    </row>
    <row r="6689" spans="1:13">
      <c r="A6689" t="s">
        <v>851</v>
      </c>
      <c r="B6689" t="s">
        <v>686</v>
      </c>
      <c r="C6689" t="s">
        <v>686</v>
      </c>
      <c r="D6689" t="s">
        <v>236</v>
      </c>
      <c r="E6689" t="s">
        <v>573</v>
      </c>
      <c r="F6689" t="s">
        <v>40</v>
      </c>
      <c r="G6689">
        <v>2035</v>
      </c>
      <c r="H6689" s="12">
        <v>368</v>
      </c>
      <c r="I6689" t="s">
        <v>3183</v>
      </c>
      <c r="J6689" t="s">
        <v>15</v>
      </c>
      <c r="K6689" t="s">
        <v>147</v>
      </c>
      <c r="L6689" t="s">
        <v>3184</v>
      </c>
      <c r="M6689" t="s">
        <v>15</v>
      </c>
    </row>
    <row r="6690" spans="1:13">
      <c r="A6690" t="s">
        <v>851</v>
      </c>
      <c r="B6690" t="s">
        <v>686</v>
      </c>
      <c r="C6690" t="s">
        <v>686</v>
      </c>
      <c r="D6690" t="s">
        <v>236</v>
      </c>
      <c r="E6690" t="s">
        <v>573</v>
      </c>
      <c r="F6690" t="s">
        <v>40</v>
      </c>
      <c r="G6690">
        <v>2040</v>
      </c>
      <c r="H6690" s="12">
        <v>484</v>
      </c>
      <c r="I6690" t="s">
        <v>3183</v>
      </c>
      <c r="J6690" t="s">
        <v>15</v>
      </c>
      <c r="K6690" t="s">
        <v>147</v>
      </c>
      <c r="L6690" t="s">
        <v>3184</v>
      </c>
      <c r="M6690" t="s">
        <v>15</v>
      </c>
    </row>
    <row r="6691" spans="1:13">
      <c r="A6691" t="s">
        <v>851</v>
      </c>
      <c r="B6691" t="s">
        <v>686</v>
      </c>
      <c r="C6691" t="s">
        <v>686</v>
      </c>
      <c r="D6691" t="s">
        <v>236</v>
      </c>
      <c r="E6691" t="s">
        <v>573</v>
      </c>
      <c r="F6691" t="s">
        <v>40</v>
      </c>
      <c r="G6691">
        <v>2045</v>
      </c>
      <c r="H6691" s="12">
        <v>435</v>
      </c>
      <c r="I6691" t="s">
        <v>3183</v>
      </c>
      <c r="J6691" t="s">
        <v>15</v>
      </c>
      <c r="K6691" t="s">
        <v>147</v>
      </c>
      <c r="L6691" t="s">
        <v>3184</v>
      </c>
      <c r="M6691" t="s">
        <v>15</v>
      </c>
    </row>
    <row r="6692" spans="1:13">
      <c r="A6692" t="s">
        <v>851</v>
      </c>
      <c r="B6692" t="s">
        <v>686</v>
      </c>
      <c r="C6692" t="s">
        <v>686</v>
      </c>
      <c r="D6692" t="s">
        <v>236</v>
      </c>
      <c r="E6692" t="s">
        <v>573</v>
      </c>
      <c r="F6692" t="s">
        <v>40</v>
      </c>
      <c r="G6692">
        <v>2050</v>
      </c>
      <c r="H6692" s="12">
        <v>372</v>
      </c>
      <c r="I6692" t="s">
        <v>3183</v>
      </c>
      <c r="J6692" t="s">
        <v>15</v>
      </c>
      <c r="K6692" t="s">
        <v>147</v>
      </c>
      <c r="L6692" t="s">
        <v>3184</v>
      </c>
      <c r="M6692" t="s">
        <v>15</v>
      </c>
    </row>
    <row r="6693" spans="1:13">
      <c r="A6693" t="s">
        <v>851</v>
      </c>
      <c r="B6693" t="s">
        <v>686</v>
      </c>
      <c r="C6693" t="s">
        <v>686</v>
      </c>
      <c r="D6693" t="s">
        <v>236</v>
      </c>
      <c r="E6693" t="s">
        <v>573</v>
      </c>
      <c r="F6693" t="s">
        <v>40</v>
      </c>
      <c r="G6693">
        <v>2045</v>
      </c>
      <c r="H6693" s="12">
        <v>27</v>
      </c>
      <c r="I6693" t="s">
        <v>3183</v>
      </c>
      <c r="J6693" t="s">
        <v>394</v>
      </c>
      <c r="K6693" t="s">
        <v>147</v>
      </c>
      <c r="L6693" t="s">
        <v>3184</v>
      </c>
      <c r="M6693" t="s">
        <v>16</v>
      </c>
    </row>
    <row r="6694" spans="1:13">
      <c r="A6694" t="s">
        <v>851</v>
      </c>
      <c r="B6694" t="s">
        <v>686</v>
      </c>
      <c r="C6694" t="s">
        <v>686</v>
      </c>
      <c r="D6694" t="s">
        <v>236</v>
      </c>
      <c r="E6694" t="s">
        <v>573</v>
      </c>
      <c r="F6694" t="s">
        <v>40</v>
      </c>
      <c r="G6694">
        <v>2050</v>
      </c>
      <c r="H6694" s="12">
        <v>25</v>
      </c>
      <c r="I6694" t="s">
        <v>3183</v>
      </c>
      <c r="J6694" t="s">
        <v>394</v>
      </c>
      <c r="K6694" t="s">
        <v>147</v>
      </c>
      <c r="L6694" t="s">
        <v>3184</v>
      </c>
      <c r="M6694" t="s">
        <v>16</v>
      </c>
    </row>
    <row r="6695" spans="1:13">
      <c r="A6695" t="s">
        <v>851</v>
      </c>
      <c r="B6695" t="s">
        <v>687</v>
      </c>
      <c r="C6695" t="s">
        <v>687</v>
      </c>
      <c r="D6695" t="s">
        <v>236</v>
      </c>
      <c r="E6695" t="s">
        <v>573</v>
      </c>
      <c r="F6695" t="s">
        <v>40</v>
      </c>
      <c r="G6695">
        <v>2030</v>
      </c>
      <c r="H6695" s="12">
        <v>31</v>
      </c>
      <c r="I6695" t="s">
        <v>3183</v>
      </c>
      <c r="J6695" t="s">
        <v>394</v>
      </c>
      <c r="K6695" t="s">
        <v>147</v>
      </c>
      <c r="L6695" t="s">
        <v>3184</v>
      </c>
      <c r="M6695" t="s">
        <v>16</v>
      </c>
    </row>
    <row r="6696" spans="1:13">
      <c r="A6696" t="s">
        <v>851</v>
      </c>
      <c r="B6696" t="s">
        <v>687</v>
      </c>
      <c r="C6696" t="s">
        <v>687</v>
      </c>
      <c r="D6696" t="s">
        <v>236</v>
      </c>
      <c r="E6696" t="s">
        <v>573</v>
      </c>
      <c r="F6696" t="s">
        <v>40</v>
      </c>
      <c r="G6696">
        <v>2035</v>
      </c>
      <c r="H6696" s="12">
        <v>30</v>
      </c>
      <c r="I6696" t="s">
        <v>3183</v>
      </c>
      <c r="J6696" t="s">
        <v>394</v>
      </c>
      <c r="K6696" t="s">
        <v>147</v>
      </c>
      <c r="L6696" t="s">
        <v>3184</v>
      </c>
      <c r="M6696" t="s">
        <v>16</v>
      </c>
    </row>
    <row r="6697" spans="1:13">
      <c r="A6697" t="s">
        <v>851</v>
      </c>
      <c r="B6697" t="s">
        <v>687</v>
      </c>
      <c r="C6697" t="s">
        <v>687</v>
      </c>
      <c r="D6697" t="s">
        <v>236</v>
      </c>
      <c r="E6697" t="s">
        <v>573</v>
      </c>
      <c r="F6697" t="s">
        <v>40</v>
      </c>
      <c r="G6697">
        <v>2040</v>
      </c>
      <c r="H6697" s="12">
        <v>29</v>
      </c>
      <c r="I6697" t="s">
        <v>3183</v>
      </c>
      <c r="J6697" t="s">
        <v>394</v>
      </c>
      <c r="K6697" t="s">
        <v>147</v>
      </c>
      <c r="L6697" t="s">
        <v>3184</v>
      </c>
      <c r="M6697" t="s">
        <v>16</v>
      </c>
    </row>
    <row r="6698" spans="1:13">
      <c r="A6698" t="s">
        <v>851</v>
      </c>
      <c r="B6698" t="s">
        <v>687</v>
      </c>
      <c r="C6698" t="s">
        <v>687</v>
      </c>
      <c r="D6698" t="s">
        <v>236</v>
      </c>
      <c r="E6698" t="s">
        <v>573</v>
      </c>
      <c r="F6698" t="s">
        <v>40</v>
      </c>
      <c r="G6698">
        <v>2045</v>
      </c>
      <c r="H6698" s="12">
        <v>27</v>
      </c>
      <c r="I6698" t="s">
        <v>3183</v>
      </c>
      <c r="J6698" t="s">
        <v>394</v>
      </c>
      <c r="K6698" t="s">
        <v>147</v>
      </c>
      <c r="L6698" t="s">
        <v>3184</v>
      </c>
      <c r="M6698" t="s">
        <v>16</v>
      </c>
    </row>
    <row r="6699" spans="1:13">
      <c r="A6699" t="s">
        <v>851</v>
      </c>
      <c r="B6699" t="s">
        <v>687</v>
      </c>
      <c r="C6699" t="s">
        <v>687</v>
      </c>
      <c r="D6699" t="s">
        <v>236</v>
      </c>
      <c r="E6699" t="s">
        <v>573</v>
      </c>
      <c r="F6699" t="s">
        <v>40</v>
      </c>
      <c r="G6699">
        <v>2050</v>
      </c>
      <c r="H6699" s="12">
        <v>25</v>
      </c>
      <c r="I6699" t="s">
        <v>3183</v>
      </c>
      <c r="J6699" t="s">
        <v>394</v>
      </c>
      <c r="K6699" t="s">
        <v>147</v>
      </c>
      <c r="L6699" t="s">
        <v>3184</v>
      </c>
      <c r="M6699" t="s">
        <v>16</v>
      </c>
    </row>
    <row r="6700" spans="1:13">
      <c r="A6700" t="s">
        <v>851</v>
      </c>
      <c r="B6700" t="s">
        <v>686</v>
      </c>
      <c r="C6700" t="s">
        <v>686</v>
      </c>
      <c r="D6700" t="s">
        <v>236</v>
      </c>
      <c r="E6700" t="s">
        <v>573</v>
      </c>
      <c r="F6700" t="s">
        <v>40</v>
      </c>
      <c r="G6700">
        <v>2010</v>
      </c>
      <c r="H6700" s="12">
        <v>131</v>
      </c>
      <c r="I6700" t="s">
        <v>3183</v>
      </c>
      <c r="J6700" t="s">
        <v>5</v>
      </c>
      <c r="K6700" t="s">
        <v>147</v>
      </c>
      <c r="L6700" t="s">
        <v>3184</v>
      </c>
      <c r="M6700" t="s">
        <v>5</v>
      </c>
    </row>
    <row r="6701" spans="1:13">
      <c r="A6701" t="s">
        <v>851</v>
      </c>
      <c r="B6701" t="s">
        <v>686</v>
      </c>
      <c r="C6701" t="s">
        <v>686</v>
      </c>
      <c r="D6701" t="s">
        <v>236</v>
      </c>
      <c r="E6701" t="s">
        <v>573</v>
      </c>
      <c r="F6701" t="s">
        <v>40</v>
      </c>
      <c r="G6701">
        <v>2015</v>
      </c>
      <c r="H6701" s="12">
        <v>261</v>
      </c>
      <c r="I6701" t="s">
        <v>3183</v>
      </c>
      <c r="J6701" t="s">
        <v>5</v>
      </c>
      <c r="K6701" t="s">
        <v>147</v>
      </c>
      <c r="L6701" t="s">
        <v>3184</v>
      </c>
      <c r="M6701" t="s">
        <v>5</v>
      </c>
    </row>
    <row r="6702" spans="1:13">
      <c r="A6702" t="s">
        <v>851</v>
      </c>
      <c r="B6702" t="s">
        <v>686</v>
      </c>
      <c r="C6702" t="s">
        <v>686</v>
      </c>
      <c r="D6702" t="s">
        <v>236</v>
      </c>
      <c r="E6702" t="s">
        <v>573</v>
      </c>
      <c r="F6702" t="s">
        <v>40</v>
      </c>
      <c r="G6702">
        <v>2020</v>
      </c>
      <c r="H6702" s="12">
        <v>177</v>
      </c>
      <c r="I6702" t="s">
        <v>3183</v>
      </c>
      <c r="J6702" t="s">
        <v>5</v>
      </c>
      <c r="K6702" t="s">
        <v>147</v>
      </c>
      <c r="L6702" t="s">
        <v>3184</v>
      </c>
      <c r="M6702" t="s">
        <v>5</v>
      </c>
    </row>
    <row r="6703" spans="1:13">
      <c r="A6703" t="s">
        <v>851</v>
      </c>
      <c r="B6703" t="s">
        <v>686</v>
      </c>
      <c r="C6703" t="s">
        <v>686</v>
      </c>
      <c r="D6703" t="s">
        <v>236</v>
      </c>
      <c r="E6703" t="s">
        <v>573</v>
      </c>
      <c r="F6703" t="s">
        <v>40</v>
      </c>
      <c r="G6703">
        <v>2030</v>
      </c>
      <c r="H6703" s="12">
        <v>104</v>
      </c>
      <c r="I6703" t="s">
        <v>3183</v>
      </c>
      <c r="J6703" t="s">
        <v>5</v>
      </c>
      <c r="K6703" t="s">
        <v>147</v>
      </c>
      <c r="L6703" t="s">
        <v>3184</v>
      </c>
      <c r="M6703" t="s">
        <v>5</v>
      </c>
    </row>
    <row r="6704" spans="1:13">
      <c r="A6704" t="s">
        <v>851</v>
      </c>
      <c r="B6704" t="s">
        <v>686</v>
      </c>
      <c r="C6704" t="s">
        <v>686</v>
      </c>
      <c r="D6704" t="s">
        <v>236</v>
      </c>
      <c r="E6704" t="s">
        <v>573</v>
      </c>
      <c r="F6704" t="s">
        <v>40</v>
      </c>
      <c r="G6704">
        <v>2035</v>
      </c>
      <c r="H6704" s="12">
        <v>99</v>
      </c>
      <c r="I6704" t="s">
        <v>3183</v>
      </c>
      <c r="J6704" t="s">
        <v>5</v>
      </c>
      <c r="K6704" t="s">
        <v>147</v>
      </c>
      <c r="L6704" t="s">
        <v>3184</v>
      </c>
      <c r="M6704" t="s">
        <v>5</v>
      </c>
    </row>
    <row r="6705" spans="1:13">
      <c r="A6705" t="s">
        <v>851</v>
      </c>
      <c r="B6705" t="s">
        <v>686</v>
      </c>
      <c r="C6705" t="s">
        <v>686</v>
      </c>
      <c r="D6705" t="s">
        <v>236</v>
      </c>
      <c r="E6705" t="s">
        <v>573</v>
      </c>
      <c r="F6705" t="s">
        <v>40</v>
      </c>
      <c r="G6705">
        <v>2040</v>
      </c>
      <c r="H6705" s="12">
        <v>94</v>
      </c>
      <c r="I6705" t="s">
        <v>3183</v>
      </c>
      <c r="J6705" t="s">
        <v>5</v>
      </c>
      <c r="K6705" t="s">
        <v>147</v>
      </c>
      <c r="L6705" t="s">
        <v>3184</v>
      </c>
      <c r="M6705" t="s">
        <v>5</v>
      </c>
    </row>
    <row r="6706" spans="1:13">
      <c r="A6706" t="s">
        <v>851</v>
      </c>
      <c r="B6706" t="s">
        <v>686</v>
      </c>
      <c r="C6706" t="s">
        <v>686</v>
      </c>
      <c r="D6706" t="s">
        <v>236</v>
      </c>
      <c r="E6706" t="s">
        <v>573</v>
      </c>
      <c r="F6706" t="s">
        <v>40</v>
      </c>
      <c r="G6706">
        <v>2045</v>
      </c>
      <c r="H6706" s="12">
        <v>91</v>
      </c>
      <c r="I6706" t="s">
        <v>3183</v>
      </c>
      <c r="J6706" t="s">
        <v>5</v>
      </c>
      <c r="K6706" t="s">
        <v>147</v>
      </c>
      <c r="L6706" t="s">
        <v>3184</v>
      </c>
      <c r="M6706" t="s">
        <v>5</v>
      </c>
    </row>
    <row r="6707" spans="1:13">
      <c r="A6707" t="s">
        <v>851</v>
      </c>
      <c r="B6707" t="s">
        <v>686</v>
      </c>
      <c r="C6707" t="s">
        <v>686</v>
      </c>
      <c r="D6707" t="s">
        <v>236</v>
      </c>
      <c r="E6707" t="s">
        <v>573</v>
      </c>
      <c r="F6707" t="s">
        <v>40</v>
      </c>
      <c r="G6707">
        <v>2050</v>
      </c>
      <c r="H6707" s="12">
        <v>81</v>
      </c>
      <c r="I6707" t="s">
        <v>3183</v>
      </c>
      <c r="J6707" t="s">
        <v>5</v>
      </c>
      <c r="K6707" t="s">
        <v>147</v>
      </c>
      <c r="L6707" t="s">
        <v>3184</v>
      </c>
      <c r="M6707" t="s">
        <v>5</v>
      </c>
    </row>
    <row r="6708" spans="1:13">
      <c r="A6708" t="s">
        <v>851</v>
      </c>
      <c r="B6708" t="s">
        <v>687</v>
      </c>
      <c r="C6708" t="s">
        <v>687</v>
      </c>
      <c r="D6708" t="s">
        <v>236</v>
      </c>
      <c r="E6708" t="s">
        <v>573</v>
      </c>
      <c r="F6708" t="s">
        <v>40</v>
      </c>
      <c r="G6708">
        <v>2030</v>
      </c>
      <c r="H6708" s="12">
        <v>13</v>
      </c>
      <c r="I6708" t="s">
        <v>3183</v>
      </c>
      <c r="J6708" t="s">
        <v>5</v>
      </c>
      <c r="K6708" t="s">
        <v>147</v>
      </c>
      <c r="L6708" t="s">
        <v>3184</v>
      </c>
      <c r="M6708" t="s">
        <v>5</v>
      </c>
    </row>
    <row r="6709" spans="1:13">
      <c r="A6709" t="s">
        <v>851</v>
      </c>
      <c r="B6709" t="s">
        <v>687</v>
      </c>
      <c r="C6709" t="s">
        <v>687</v>
      </c>
      <c r="D6709" t="s">
        <v>236</v>
      </c>
      <c r="E6709" t="s">
        <v>573</v>
      </c>
      <c r="F6709" t="s">
        <v>40</v>
      </c>
      <c r="G6709">
        <v>2035</v>
      </c>
      <c r="H6709" s="12">
        <v>0</v>
      </c>
      <c r="I6709" t="s">
        <v>3183</v>
      </c>
      <c r="J6709" t="s">
        <v>5</v>
      </c>
      <c r="K6709" t="s">
        <v>147</v>
      </c>
      <c r="L6709" t="s">
        <v>3184</v>
      </c>
      <c r="M6709" t="s">
        <v>5</v>
      </c>
    </row>
    <row r="6710" spans="1:13">
      <c r="A6710" t="s">
        <v>851</v>
      </c>
      <c r="B6710" t="s">
        <v>687</v>
      </c>
      <c r="C6710" t="s">
        <v>687</v>
      </c>
      <c r="D6710" t="s">
        <v>236</v>
      </c>
      <c r="E6710" t="s">
        <v>573</v>
      </c>
      <c r="F6710" t="s">
        <v>40</v>
      </c>
      <c r="G6710">
        <v>2040</v>
      </c>
      <c r="H6710" s="12">
        <v>0</v>
      </c>
      <c r="I6710" t="s">
        <v>3183</v>
      </c>
      <c r="J6710" t="s">
        <v>5</v>
      </c>
      <c r="K6710" t="s">
        <v>147</v>
      </c>
      <c r="L6710" t="s">
        <v>3184</v>
      </c>
      <c r="M6710" t="s">
        <v>5</v>
      </c>
    </row>
    <row r="6711" spans="1:13">
      <c r="A6711" t="s">
        <v>851</v>
      </c>
      <c r="B6711" t="s">
        <v>687</v>
      </c>
      <c r="C6711" t="s">
        <v>687</v>
      </c>
      <c r="D6711" t="s">
        <v>236</v>
      </c>
      <c r="E6711" t="s">
        <v>573</v>
      </c>
      <c r="F6711" t="s">
        <v>40</v>
      </c>
      <c r="G6711">
        <v>2045</v>
      </c>
      <c r="H6711" s="12">
        <v>0</v>
      </c>
      <c r="I6711" t="s">
        <v>3183</v>
      </c>
      <c r="J6711" t="s">
        <v>5</v>
      </c>
      <c r="K6711" t="s">
        <v>147</v>
      </c>
      <c r="L6711" t="s">
        <v>3184</v>
      </c>
      <c r="M6711" t="s">
        <v>5</v>
      </c>
    </row>
    <row r="6712" spans="1:13">
      <c r="A6712" t="s">
        <v>851</v>
      </c>
      <c r="B6712" t="s">
        <v>687</v>
      </c>
      <c r="C6712" t="s">
        <v>687</v>
      </c>
      <c r="D6712" t="s">
        <v>236</v>
      </c>
      <c r="E6712" t="s">
        <v>573</v>
      </c>
      <c r="F6712" t="s">
        <v>40</v>
      </c>
      <c r="G6712">
        <v>2050</v>
      </c>
      <c r="H6712" s="12">
        <v>0</v>
      </c>
      <c r="I6712" t="s">
        <v>3183</v>
      </c>
      <c r="J6712" t="s">
        <v>5</v>
      </c>
      <c r="K6712" t="s">
        <v>147</v>
      </c>
      <c r="L6712" t="s">
        <v>3184</v>
      </c>
      <c r="M6712" t="s">
        <v>5</v>
      </c>
    </row>
    <row r="6713" spans="1:13">
      <c r="A6713" t="s">
        <v>851</v>
      </c>
      <c r="B6713" t="s">
        <v>686</v>
      </c>
      <c r="C6713" t="s">
        <v>686</v>
      </c>
      <c r="D6713" t="s">
        <v>236</v>
      </c>
      <c r="E6713" t="s">
        <v>660</v>
      </c>
      <c r="F6713" t="s">
        <v>40</v>
      </c>
      <c r="G6713">
        <v>2010</v>
      </c>
      <c r="H6713" s="12">
        <v>8</v>
      </c>
      <c r="I6713" t="s">
        <v>3183</v>
      </c>
      <c r="J6713" t="s">
        <v>18</v>
      </c>
      <c r="K6713" t="s">
        <v>657</v>
      </c>
      <c r="L6713" t="s">
        <v>3184</v>
      </c>
      <c r="M6713" t="s">
        <v>18</v>
      </c>
    </row>
    <row r="6714" spans="1:13">
      <c r="A6714" t="s">
        <v>851</v>
      </c>
      <c r="B6714" t="s">
        <v>686</v>
      </c>
      <c r="C6714" t="s">
        <v>686</v>
      </c>
      <c r="D6714" t="s">
        <v>236</v>
      </c>
      <c r="E6714" t="s">
        <v>660</v>
      </c>
      <c r="F6714" t="s">
        <v>40</v>
      </c>
      <c r="G6714">
        <v>2015</v>
      </c>
      <c r="H6714" s="12">
        <v>78</v>
      </c>
      <c r="I6714" t="s">
        <v>3183</v>
      </c>
      <c r="J6714" t="s">
        <v>18</v>
      </c>
      <c r="K6714" t="s">
        <v>657</v>
      </c>
      <c r="L6714" t="s">
        <v>3184</v>
      </c>
      <c r="M6714" t="s">
        <v>18</v>
      </c>
    </row>
    <row r="6715" spans="1:13">
      <c r="A6715" t="s">
        <v>851</v>
      </c>
      <c r="B6715" t="s">
        <v>686</v>
      </c>
      <c r="C6715" t="s">
        <v>686</v>
      </c>
      <c r="D6715" t="s">
        <v>236</v>
      </c>
      <c r="E6715" t="s">
        <v>660</v>
      </c>
      <c r="F6715" t="s">
        <v>40</v>
      </c>
      <c r="G6715">
        <v>2020</v>
      </c>
      <c r="H6715" s="12">
        <v>205</v>
      </c>
      <c r="I6715" t="s">
        <v>3183</v>
      </c>
      <c r="J6715" t="s">
        <v>18</v>
      </c>
      <c r="K6715" t="s">
        <v>657</v>
      </c>
      <c r="L6715" t="s">
        <v>3184</v>
      </c>
      <c r="M6715" t="s">
        <v>18</v>
      </c>
    </row>
    <row r="6716" spans="1:13">
      <c r="A6716" t="s">
        <v>851</v>
      </c>
      <c r="B6716" t="s">
        <v>686</v>
      </c>
      <c r="C6716" t="s">
        <v>686</v>
      </c>
      <c r="D6716" t="s">
        <v>236</v>
      </c>
      <c r="E6716" t="s">
        <v>660</v>
      </c>
      <c r="F6716" t="s">
        <v>40</v>
      </c>
      <c r="G6716">
        <v>2030</v>
      </c>
      <c r="H6716" s="12">
        <v>493</v>
      </c>
      <c r="I6716" t="s">
        <v>3183</v>
      </c>
      <c r="J6716" t="s">
        <v>18</v>
      </c>
      <c r="K6716" t="s">
        <v>657</v>
      </c>
      <c r="L6716" t="s">
        <v>3184</v>
      </c>
      <c r="M6716" t="s">
        <v>18</v>
      </c>
    </row>
    <row r="6717" spans="1:13">
      <c r="A6717" t="s">
        <v>851</v>
      </c>
      <c r="B6717" t="s">
        <v>686</v>
      </c>
      <c r="C6717" t="s">
        <v>686</v>
      </c>
      <c r="D6717" t="s">
        <v>236</v>
      </c>
      <c r="E6717" t="s">
        <v>660</v>
      </c>
      <c r="F6717" t="s">
        <v>40</v>
      </c>
      <c r="G6717">
        <v>2035</v>
      </c>
      <c r="H6717" s="12">
        <v>573</v>
      </c>
      <c r="I6717" t="s">
        <v>3183</v>
      </c>
      <c r="J6717" t="s">
        <v>18</v>
      </c>
      <c r="K6717" t="s">
        <v>657</v>
      </c>
      <c r="L6717" t="s">
        <v>3184</v>
      </c>
      <c r="M6717" t="s">
        <v>18</v>
      </c>
    </row>
    <row r="6718" spans="1:13">
      <c r="A6718" t="s">
        <v>851</v>
      </c>
      <c r="B6718" t="s">
        <v>686</v>
      </c>
      <c r="C6718" t="s">
        <v>686</v>
      </c>
      <c r="D6718" t="s">
        <v>236</v>
      </c>
      <c r="E6718" t="s">
        <v>660</v>
      </c>
      <c r="F6718" t="s">
        <v>40</v>
      </c>
      <c r="G6718">
        <v>2040</v>
      </c>
      <c r="H6718" s="12">
        <v>668</v>
      </c>
      <c r="I6718" t="s">
        <v>3183</v>
      </c>
      <c r="J6718" t="s">
        <v>18</v>
      </c>
      <c r="K6718" t="s">
        <v>657</v>
      </c>
      <c r="L6718" t="s">
        <v>3184</v>
      </c>
      <c r="M6718" t="s">
        <v>18</v>
      </c>
    </row>
    <row r="6719" spans="1:13">
      <c r="A6719" t="s">
        <v>851</v>
      </c>
      <c r="B6719" t="s">
        <v>686</v>
      </c>
      <c r="C6719" t="s">
        <v>686</v>
      </c>
      <c r="D6719" t="s">
        <v>236</v>
      </c>
      <c r="E6719" t="s">
        <v>660</v>
      </c>
      <c r="F6719" t="s">
        <v>40</v>
      </c>
      <c r="G6719">
        <v>2045</v>
      </c>
      <c r="H6719" s="12">
        <v>791</v>
      </c>
      <c r="I6719" t="s">
        <v>3183</v>
      </c>
      <c r="J6719" t="s">
        <v>18</v>
      </c>
      <c r="K6719" t="s">
        <v>657</v>
      </c>
      <c r="L6719" t="s">
        <v>3184</v>
      </c>
      <c r="M6719" t="s">
        <v>18</v>
      </c>
    </row>
    <row r="6720" spans="1:13">
      <c r="A6720" t="s">
        <v>851</v>
      </c>
      <c r="B6720" t="s">
        <v>686</v>
      </c>
      <c r="C6720" t="s">
        <v>686</v>
      </c>
      <c r="D6720" t="s">
        <v>236</v>
      </c>
      <c r="E6720" t="s">
        <v>660</v>
      </c>
      <c r="F6720" t="s">
        <v>40</v>
      </c>
      <c r="G6720">
        <v>2050</v>
      </c>
      <c r="H6720" s="12">
        <v>932</v>
      </c>
      <c r="I6720" t="s">
        <v>3183</v>
      </c>
      <c r="J6720" t="s">
        <v>18</v>
      </c>
      <c r="K6720" t="s">
        <v>657</v>
      </c>
      <c r="L6720" t="s">
        <v>3184</v>
      </c>
      <c r="M6720" t="s">
        <v>18</v>
      </c>
    </row>
    <row r="6721" spans="1:13">
      <c r="A6721" t="s">
        <v>851</v>
      </c>
      <c r="B6721" t="s">
        <v>686</v>
      </c>
      <c r="C6721" t="s">
        <v>686</v>
      </c>
      <c r="D6721" t="s">
        <v>236</v>
      </c>
      <c r="E6721" t="s">
        <v>660</v>
      </c>
      <c r="F6721" t="s">
        <v>40</v>
      </c>
      <c r="G6721">
        <v>2035</v>
      </c>
      <c r="H6721" s="12">
        <v>368</v>
      </c>
      <c r="I6721" t="s">
        <v>3183</v>
      </c>
      <c r="J6721" t="s">
        <v>15</v>
      </c>
      <c r="K6721" t="s">
        <v>657</v>
      </c>
      <c r="L6721" t="s">
        <v>3184</v>
      </c>
      <c r="M6721" t="s">
        <v>15</v>
      </c>
    </row>
    <row r="6722" spans="1:13">
      <c r="A6722" t="s">
        <v>851</v>
      </c>
      <c r="B6722" t="s">
        <v>686</v>
      </c>
      <c r="C6722" t="s">
        <v>686</v>
      </c>
      <c r="D6722" t="s">
        <v>236</v>
      </c>
      <c r="E6722" t="s">
        <v>660</v>
      </c>
      <c r="F6722" t="s">
        <v>40</v>
      </c>
      <c r="G6722">
        <v>2040</v>
      </c>
      <c r="H6722" s="12">
        <v>484</v>
      </c>
      <c r="I6722" t="s">
        <v>3183</v>
      </c>
      <c r="J6722" t="s">
        <v>15</v>
      </c>
      <c r="K6722" t="s">
        <v>657</v>
      </c>
      <c r="L6722" t="s">
        <v>3184</v>
      </c>
      <c r="M6722" t="s">
        <v>15</v>
      </c>
    </row>
    <row r="6723" spans="1:13">
      <c r="A6723" t="s">
        <v>851</v>
      </c>
      <c r="B6723" t="s">
        <v>686</v>
      </c>
      <c r="C6723" t="s">
        <v>686</v>
      </c>
      <c r="D6723" t="s">
        <v>236</v>
      </c>
      <c r="E6723" t="s">
        <v>660</v>
      </c>
      <c r="F6723" t="s">
        <v>40</v>
      </c>
      <c r="G6723">
        <v>2045</v>
      </c>
      <c r="H6723" s="12">
        <v>435</v>
      </c>
      <c r="I6723" t="s">
        <v>3183</v>
      </c>
      <c r="J6723" t="s">
        <v>15</v>
      </c>
      <c r="K6723" t="s">
        <v>657</v>
      </c>
      <c r="L6723" t="s">
        <v>3184</v>
      </c>
      <c r="M6723" t="s">
        <v>15</v>
      </c>
    </row>
    <row r="6724" spans="1:13">
      <c r="A6724" t="s">
        <v>851</v>
      </c>
      <c r="B6724" t="s">
        <v>686</v>
      </c>
      <c r="C6724" t="s">
        <v>686</v>
      </c>
      <c r="D6724" t="s">
        <v>236</v>
      </c>
      <c r="E6724" t="s">
        <v>660</v>
      </c>
      <c r="F6724" t="s">
        <v>40</v>
      </c>
      <c r="G6724">
        <v>2050</v>
      </c>
      <c r="H6724" s="12">
        <v>372</v>
      </c>
      <c r="I6724" t="s">
        <v>3183</v>
      </c>
      <c r="J6724" t="s">
        <v>15</v>
      </c>
      <c r="K6724" t="s">
        <v>657</v>
      </c>
      <c r="L6724" t="s">
        <v>3184</v>
      </c>
      <c r="M6724" t="s">
        <v>15</v>
      </c>
    </row>
    <row r="6725" spans="1:13">
      <c r="A6725" t="s">
        <v>851</v>
      </c>
      <c r="B6725" t="s">
        <v>687</v>
      </c>
      <c r="C6725" t="s">
        <v>687</v>
      </c>
      <c r="D6725" t="s">
        <v>236</v>
      </c>
      <c r="E6725" t="s">
        <v>660</v>
      </c>
      <c r="F6725" t="s">
        <v>40</v>
      </c>
      <c r="G6725">
        <v>2030</v>
      </c>
      <c r="H6725" s="12">
        <v>260</v>
      </c>
      <c r="I6725" t="s">
        <v>3183</v>
      </c>
      <c r="J6725" t="s">
        <v>15</v>
      </c>
      <c r="K6725" t="s">
        <v>657</v>
      </c>
      <c r="L6725" t="s">
        <v>3184</v>
      </c>
      <c r="M6725" t="s">
        <v>15</v>
      </c>
    </row>
    <row r="6726" spans="1:13">
      <c r="A6726" t="s">
        <v>851</v>
      </c>
      <c r="B6726" t="s">
        <v>687</v>
      </c>
      <c r="C6726" t="s">
        <v>687</v>
      </c>
      <c r="D6726" t="s">
        <v>236</v>
      </c>
      <c r="E6726" t="s">
        <v>660</v>
      </c>
      <c r="F6726" t="s">
        <v>40</v>
      </c>
      <c r="G6726">
        <v>2035</v>
      </c>
      <c r="H6726" s="12">
        <v>389</v>
      </c>
      <c r="I6726" t="s">
        <v>3183</v>
      </c>
      <c r="J6726" t="s">
        <v>15</v>
      </c>
      <c r="K6726" t="s">
        <v>657</v>
      </c>
      <c r="L6726" t="s">
        <v>3184</v>
      </c>
      <c r="M6726" t="s">
        <v>15</v>
      </c>
    </row>
    <row r="6727" spans="1:13">
      <c r="A6727" t="s">
        <v>851</v>
      </c>
      <c r="B6727" t="s">
        <v>687</v>
      </c>
      <c r="C6727" t="s">
        <v>687</v>
      </c>
      <c r="D6727" t="s">
        <v>236</v>
      </c>
      <c r="E6727" t="s">
        <v>660</v>
      </c>
      <c r="F6727" t="s">
        <v>40</v>
      </c>
      <c r="G6727">
        <v>2040</v>
      </c>
      <c r="H6727" s="12">
        <v>466</v>
      </c>
      <c r="I6727" t="s">
        <v>3183</v>
      </c>
      <c r="J6727" t="s">
        <v>15</v>
      </c>
      <c r="K6727" t="s">
        <v>657</v>
      </c>
      <c r="L6727" t="s">
        <v>3184</v>
      </c>
      <c r="M6727" t="s">
        <v>15</v>
      </c>
    </row>
    <row r="6728" spans="1:13">
      <c r="A6728" t="s">
        <v>851</v>
      </c>
      <c r="B6728" t="s">
        <v>687</v>
      </c>
      <c r="C6728" t="s">
        <v>687</v>
      </c>
      <c r="D6728" t="s">
        <v>236</v>
      </c>
      <c r="E6728" t="s">
        <v>660</v>
      </c>
      <c r="F6728" t="s">
        <v>40</v>
      </c>
      <c r="G6728">
        <v>2045</v>
      </c>
      <c r="H6728" s="12">
        <v>487</v>
      </c>
      <c r="I6728" t="s">
        <v>3183</v>
      </c>
      <c r="J6728" t="s">
        <v>15</v>
      </c>
      <c r="K6728" t="s">
        <v>657</v>
      </c>
      <c r="L6728" t="s">
        <v>3184</v>
      </c>
      <c r="M6728" t="s">
        <v>15</v>
      </c>
    </row>
    <row r="6729" spans="1:13">
      <c r="A6729" t="s">
        <v>851</v>
      </c>
      <c r="B6729" t="s">
        <v>687</v>
      </c>
      <c r="C6729" t="s">
        <v>687</v>
      </c>
      <c r="D6729" t="s">
        <v>236</v>
      </c>
      <c r="E6729" t="s">
        <v>660</v>
      </c>
      <c r="F6729" t="s">
        <v>40</v>
      </c>
      <c r="G6729">
        <v>2050</v>
      </c>
      <c r="H6729" s="12">
        <v>423</v>
      </c>
      <c r="I6729" t="s">
        <v>3183</v>
      </c>
      <c r="J6729" t="s">
        <v>15</v>
      </c>
      <c r="K6729" t="s">
        <v>657</v>
      </c>
      <c r="L6729" t="s">
        <v>3184</v>
      </c>
      <c r="M6729" t="s">
        <v>15</v>
      </c>
    </row>
    <row r="6730" spans="1:13">
      <c r="A6730" t="s">
        <v>851</v>
      </c>
      <c r="B6730" t="s">
        <v>686</v>
      </c>
      <c r="C6730" t="s">
        <v>686</v>
      </c>
      <c r="D6730" t="s">
        <v>236</v>
      </c>
      <c r="E6730" t="s">
        <v>660</v>
      </c>
      <c r="F6730" t="s">
        <v>40</v>
      </c>
      <c r="G6730">
        <v>2010</v>
      </c>
      <c r="H6730" s="12">
        <v>1018</v>
      </c>
      <c r="I6730" t="s">
        <v>3183</v>
      </c>
      <c r="J6730" t="s">
        <v>6</v>
      </c>
      <c r="K6730" t="s">
        <v>657</v>
      </c>
      <c r="L6730" t="s">
        <v>3184</v>
      </c>
      <c r="M6730" t="s">
        <v>659</v>
      </c>
    </row>
    <row r="6731" spans="1:13">
      <c r="A6731" t="s">
        <v>851</v>
      </c>
      <c r="B6731" t="s">
        <v>686</v>
      </c>
      <c r="C6731" t="s">
        <v>686</v>
      </c>
      <c r="D6731" t="s">
        <v>236</v>
      </c>
      <c r="E6731" t="s">
        <v>660</v>
      </c>
      <c r="F6731" t="s">
        <v>40</v>
      </c>
      <c r="G6731">
        <v>2015</v>
      </c>
      <c r="H6731" s="12">
        <v>1555</v>
      </c>
      <c r="I6731" t="s">
        <v>3183</v>
      </c>
      <c r="J6731" t="s">
        <v>6</v>
      </c>
      <c r="K6731" t="s">
        <v>657</v>
      </c>
      <c r="L6731" t="s">
        <v>3184</v>
      </c>
      <c r="M6731" t="s">
        <v>659</v>
      </c>
    </row>
    <row r="6732" spans="1:13">
      <c r="A6732" t="s">
        <v>851</v>
      </c>
      <c r="B6732" t="s">
        <v>686</v>
      </c>
      <c r="C6732" t="s">
        <v>686</v>
      </c>
      <c r="D6732" t="s">
        <v>236</v>
      </c>
      <c r="E6732" t="s">
        <v>660</v>
      </c>
      <c r="F6732" t="s">
        <v>40</v>
      </c>
      <c r="G6732">
        <v>2020</v>
      </c>
      <c r="H6732" s="12">
        <v>1257</v>
      </c>
      <c r="I6732" t="s">
        <v>3183</v>
      </c>
      <c r="J6732" t="s">
        <v>6</v>
      </c>
      <c r="K6732" t="s">
        <v>657</v>
      </c>
      <c r="L6732" t="s">
        <v>3184</v>
      </c>
      <c r="M6732" t="s">
        <v>659</v>
      </c>
    </row>
    <row r="6733" spans="1:13">
      <c r="A6733" t="s">
        <v>851</v>
      </c>
      <c r="B6733" t="s">
        <v>686</v>
      </c>
      <c r="C6733" t="s">
        <v>686</v>
      </c>
      <c r="D6733" t="s">
        <v>236</v>
      </c>
      <c r="E6733" t="s">
        <v>660</v>
      </c>
      <c r="F6733" t="s">
        <v>40</v>
      </c>
      <c r="G6733">
        <v>2030</v>
      </c>
      <c r="H6733" s="12">
        <v>1243</v>
      </c>
      <c r="I6733" t="s">
        <v>3183</v>
      </c>
      <c r="J6733" t="s">
        <v>6</v>
      </c>
      <c r="K6733" t="s">
        <v>657</v>
      </c>
      <c r="L6733" t="s">
        <v>3184</v>
      </c>
      <c r="M6733" t="s">
        <v>659</v>
      </c>
    </row>
    <row r="6734" spans="1:13">
      <c r="A6734" t="s">
        <v>851</v>
      </c>
      <c r="B6734" t="s">
        <v>686</v>
      </c>
      <c r="C6734" t="s">
        <v>686</v>
      </c>
      <c r="D6734" t="s">
        <v>236</v>
      </c>
      <c r="E6734" t="s">
        <v>660</v>
      </c>
      <c r="F6734" t="s">
        <v>40</v>
      </c>
      <c r="G6734">
        <v>2035</v>
      </c>
      <c r="H6734" s="12">
        <v>1315</v>
      </c>
      <c r="I6734" t="s">
        <v>3183</v>
      </c>
      <c r="J6734" t="s">
        <v>6</v>
      </c>
      <c r="K6734" t="s">
        <v>657</v>
      </c>
      <c r="L6734" t="s">
        <v>3184</v>
      </c>
      <c r="M6734" t="s">
        <v>659</v>
      </c>
    </row>
    <row r="6735" spans="1:13">
      <c r="A6735" t="s">
        <v>851</v>
      </c>
      <c r="B6735" t="s">
        <v>686</v>
      </c>
      <c r="C6735" t="s">
        <v>686</v>
      </c>
      <c r="D6735" t="s">
        <v>236</v>
      </c>
      <c r="E6735" t="s">
        <v>660</v>
      </c>
      <c r="F6735" t="s">
        <v>40</v>
      </c>
      <c r="G6735">
        <v>2040</v>
      </c>
      <c r="H6735" s="12">
        <v>1325</v>
      </c>
      <c r="I6735" t="s">
        <v>3183</v>
      </c>
      <c r="J6735" t="s">
        <v>6</v>
      </c>
      <c r="K6735" t="s">
        <v>657</v>
      </c>
      <c r="L6735" t="s">
        <v>3184</v>
      </c>
      <c r="M6735" t="s">
        <v>659</v>
      </c>
    </row>
    <row r="6736" spans="1:13">
      <c r="A6736" t="s">
        <v>851</v>
      </c>
      <c r="B6736" t="s">
        <v>686</v>
      </c>
      <c r="C6736" t="s">
        <v>686</v>
      </c>
      <c r="D6736" t="s">
        <v>236</v>
      </c>
      <c r="E6736" t="s">
        <v>660</v>
      </c>
      <c r="F6736" t="s">
        <v>40</v>
      </c>
      <c r="G6736">
        <v>2045</v>
      </c>
      <c r="H6736" s="12">
        <v>1342</v>
      </c>
      <c r="I6736" t="s">
        <v>3183</v>
      </c>
      <c r="J6736" t="s">
        <v>6</v>
      </c>
      <c r="K6736" t="s">
        <v>657</v>
      </c>
      <c r="L6736" t="s">
        <v>3184</v>
      </c>
      <c r="M6736" t="s">
        <v>659</v>
      </c>
    </row>
    <row r="6737" spans="1:13">
      <c r="A6737" t="s">
        <v>851</v>
      </c>
      <c r="B6737" t="s">
        <v>686</v>
      </c>
      <c r="C6737" t="s">
        <v>686</v>
      </c>
      <c r="D6737" t="s">
        <v>236</v>
      </c>
      <c r="E6737" t="s">
        <v>660</v>
      </c>
      <c r="F6737" t="s">
        <v>40</v>
      </c>
      <c r="G6737">
        <v>2050</v>
      </c>
      <c r="H6737" s="12">
        <v>1338</v>
      </c>
      <c r="I6737" t="s">
        <v>3183</v>
      </c>
      <c r="J6737" t="s">
        <v>6</v>
      </c>
      <c r="K6737" t="s">
        <v>657</v>
      </c>
      <c r="L6737" t="s">
        <v>3184</v>
      </c>
      <c r="M6737" t="s">
        <v>659</v>
      </c>
    </row>
    <row r="6738" spans="1:13">
      <c r="A6738" t="s">
        <v>851</v>
      </c>
      <c r="B6738" t="s">
        <v>687</v>
      </c>
      <c r="C6738" t="s">
        <v>687</v>
      </c>
      <c r="D6738" t="s">
        <v>236</v>
      </c>
      <c r="E6738" t="s">
        <v>660</v>
      </c>
      <c r="F6738" t="s">
        <v>40</v>
      </c>
      <c r="G6738">
        <v>2030</v>
      </c>
      <c r="H6738" s="12">
        <v>1014</v>
      </c>
      <c r="I6738" t="s">
        <v>3183</v>
      </c>
      <c r="J6738" t="s">
        <v>6</v>
      </c>
      <c r="K6738" t="s">
        <v>657</v>
      </c>
      <c r="L6738" t="s">
        <v>3184</v>
      </c>
      <c r="M6738" t="s">
        <v>659</v>
      </c>
    </row>
    <row r="6739" spans="1:13">
      <c r="A6739" t="s">
        <v>851</v>
      </c>
      <c r="B6739" t="s">
        <v>687</v>
      </c>
      <c r="C6739" t="s">
        <v>687</v>
      </c>
      <c r="D6739" t="s">
        <v>236</v>
      </c>
      <c r="E6739" t="s">
        <v>660</v>
      </c>
      <c r="F6739" t="s">
        <v>40</v>
      </c>
      <c r="G6739">
        <v>2035</v>
      </c>
      <c r="H6739" s="12">
        <v>948</v>
      </c>
      <c r="I6739" t="s">
        <v>3183</v>
      </c>
      <c r="J6739" t="s">
        <v>6</v>
      </c>
      <c r="K6739" t="s">
        <v>657</v>
      </c>
      <c r="L6739" t="s">
        <v>3184</v>
      </c>
      <c r="M6739" t="s">
        <v>659</v>
      </c>
    </row>
    <row r="6740" spans="1:13">
      <c r="A6740" t="s">
        <v>851</v>
      </c>
      <c r="B6740" t="s">
        <v>687</v>
      </c>
      <c r="C6740" t="s">
        <v>687</v>
      </c>
      <c r="D6740" t="s">
        <v>236</v>
      </c>
      <c r="E6740" t="s">
        <v>660</v>
      </c>
      <c r="F6740" t="s">
        <v>40</v>
      </c>
      <c r="G6740">
        <v>2040</v>
      </c>
      <c r="H6740" s="12">
        <v>838</v>
      </c>
      <c r="I6740" t="s">
        <v>3183</v>
      </c>
      <c r="J6740" t="s">
        <v>6</v>
      </c>
      <c r="K6740" t="s">
        <v>657</v>
      </c>
      <c r="L6740" t="s">
        <v>3184</v>
      </c>
      <c r="M6740" t="s">
        <v>659</v>
      </c>
    </row>
    <row r="6741" spans="1:13">
      <c r="A6741" t="s">
        <v>851</v>
      </c>
      <c r="B6741" t="s">
        <v>687</v>
      </c>
      <c r="C6741" t="s">
        <v>687</v>
      </c>
      <c r="D6741" t="s">
        <v>236</v>
      </c>
      <c r="E6741" t="s">
        <v>660</v>
      </c>
      <c r="F6741" t="s">
        <v>40</v>
      </c>
      <c r="G6741">
        <v>2045</v>
      </c>
      <c r="H6741" s="12">
        <v>733</v>
      </c>
      <c r="I6741" t="s">
        <v>3183</v>
      </c>
      <c r="J6741" t="s">
        <v>6</v>
      </c>
      <c r="K6741" t="s">
        <v>657</v>
      </c>
      <c r="L6741" t="s">
        <v>3184</v>
      </c>
      <c r="M6741" t="s">
        <v>659</v>
      </c>
    </row>
    <row r="6742" spans="1:13">
      <c r="A6742" t="s">
        <v>851</v>
      </c>
      <c r="B6742" t="s">
        <v>687</v>
      </c>
      <c r="C6742" t="s">
        <v>687</v>
      </c>
      <c r="D6742" t="s">
        <v>236</v>
      </c>
      <c r="E6742" t="s">
        <v>660</v>
      </c>
      <c r="F6742" t="s">
        <v>40</v>
      </c>
      <c r="G6742">
        <v>2050</v>
      </c>
      <c r="H6742" s="12">
        <v>618</v>
      </c>
      <c r="I6742" t="s">
        <v>3183</v>
      </c>
      <c r="J6742" t="s">
        <v>6</v>
      </c>
      <c r="K6742" t="s">
        <v>657</v>
      </c>
      <c r="L6742" t="s">
        <v>3184</v>
      </c>
      <c r="M6742" t="s">
        <v>659</v>
      </c>
    </row>
    <row r="6743" spans="1:13">
      <c r="A6743" t="s">
        <v>851</v>
      </c>
      <c r="B6743" t="s">
        <v>686</v>
      </c>
      <c r="C6743" t="s">
        <v>686</v>
      </c>
      <c r="D6743" t="s">
        <v>236</v>
      </c>
      <c r="E6743" t="s">
        <v>660</v>
      </c>
      <c r="F6743" t="s">
        <v>40</v>
      </c>
      <c r="G6743">
        <v>2010</v>
      </c>
      <c r="H6743" s="12">
        <v>4391</v>
      </c>
      <c r="I6743" t="s">
        <v>3183</v>
      </c>
      <c r="J6743" t="s">
        <v>394</v>
      </c>
      <c r="K6743" t="s">
        <v>657</v>
      </c>
      <c r="L6743" t="s">
        <v>3184</v>
      </c>
      <c r="M6743" t="s">
        <v>16</v>
      </c>
    </row>
    <row r="6744" spans="1:13">
      <c r="A6744" t="s">
        <v>851</v>
      </c>
      <c r="B6744" t="s">
        <v>686</v>
      </c>
      <c r="C6744" t="s">
        <v>686</v>
      </c>
      <c r="D6744" t="s">
        <v>236</v>
      </c>
      <c r="E6744" t="s">
        <v>660</v>
      </c>
      <c r="F6744" t="s">
        <v>40</v>
      </c>
      <c r="G6744">
        <v>2015</v>
      </c>
      <c r="H6744" s="12">
        <v>4823</v>
      </c>
      <c r="I6744" t="s">
        <v>3183</v>
      </c>
      <c r="J6744" t="s">
        <v>394</v>
      </c>
      <c r="K6744" t="s">
        <v>657</v>
      </c>
      <c r="L6744" t="s">
        <v>3184</v>
      </c>
      <c r="M6744" t="s">
        <v>16</v>
      </c>
    </row>
    <row r="6745" spans="1:13">
      <c r="A6745" t="s">
        <v>851</v>
      </c>
      <c r="B6745" t="s">
        <v>686</v>
      </c>
      <c r="C6745" t="s">
        <v>686</v>
      </c>
      <c r="D6745" t="s">
        <v>236</v>
      </c>
      <c r="E6745" t="s">
        <v>660</v>
      </c>
      <c r="F6745" t="s">
        <v>40</v>
      </c>
      <c r="G6745">
        <v>2020</v>
      </c>
      <c r="H6745" s="12">
        <v>4135</v>
      </c>
      <c r="I6745" t="s">
        <v>3183</v>
      </c>
      <c r="J6745" t="s">
        <v>394</v>
      </c>
      <c r="K6745" t="s">
        <v>657</v>
      </c>
      <c r="L6745" t="s">
        <v>3184</v>
      </c>
      <c r="M6745" t="s">
        <v>16</v>
      </c>
    </row>
    <row r="6746" spans="1:13">
      <c r="A6746" t="s">
        <v>851</v>
      </c>
      <c r="B6746" t="s">
        <v>686</v>
      </c>
      <c r="C6746" t="s">
        <v>686</v>
      </c>
      <c r="D6746" t="s">
        <v>236</v>
      </c>
      <c r="E6746" t="s">
        <v>660</v>
      </c>
      <c r="F6746" t="s">
        <v>40</v>
      </c>
      <c r="G6746">
        <v>2030</v>
      </c>
      <c r="H6746" s="12">
        <v>4549</v>
      </c>
      <c r="I6746" t="s">
        <v>3183</v>
      </c>
      <c r="J6746" t="s">
        <v>394</v>
      </c>
      <c r="K6746" t="s">
        <v>657</v>
      </c>
      <c r="L6746" t="s">
        <v>3184</v>
      </c>
      <c r="M6746" t="s">
        <v>16</v>
      </c>
    </row>
    <row r="6747" spans="1:13">
      <c r="A6747" t="s">
        <v>851</v>
      </c>
      <c r="B6747" t="s">
        <v>686</v>
      </c>
      <c r="C6747" t="s">
        <v>686</v>
      </c>
      <c r="D6747" t="s">
        <v>236</v>
      </c>
      <c r="E6747" t="s">
        <v>660</v>
      </c>
      <c r="F6747" t="s">
        <v>40</v>
      </c>
      <c r="G6747">
        <v>2035</v>
      </c>
      <c r="H6747" s="12">
        <v>4730</v>
      </c>
      <c r="I6747" t="s">
        <v>3183</v>
      </c>
      <c r="J6747" t="s">
        <v>394</v>
      </c>
      <c r="K6747" t="s">
        <v>657</v>
      </c>
      <c r="L6747" t="s">
        <v>3184</v>
      </c>
      <c r="M6747" t="s">
        <v>16</v>
      </c>
    </row>
    <row r="6748" spans="1:13">
      <c r="A6748" t="s">
        <v>851</v>
      </c>
      <c r="B6748" t="s">
        <v>686</v>
      </c>
      <c r="C6748" t="s">
        <v>686</v>
      </c>
      <c r="D6748" t="s">
        <v>236</v>
      </c>
      <c r="E6748" t="s">
        <v>660</v>
      </c>
      <c r="F6748" t="s">
        <v>40</v>
      </c>
      <c r="G6748">
        <v>2040</v>
      </c>
      <c r="H6748" s="12">
        <v>4755</v>
      </c>
      <c r="I6748" t="s">
        <v>3183</v>
      </c>
      <c r="J6748" t="s">
        <v>394</v>
      </c>
      <c r="K6748" t="s">
        <v>657</v>
      </c>
      <c r="L6748" t="s">
        <v>3184</v>
      </c>
      <c r="M6748" t="s">
        <v>16</v>
      </c>
    </row>
    <row r="6749" spans="1:13">
      <c r="A6749" t="s">
        <v>851</v>
      </c>
      <c r="B6749" t="s">
        <v>686</v>
      </c>
      <c r="C6749" t="s">
        <v>686</v>
      </c>
      <c r="D6749" t="s">
        <v>236</v>
      </c>
      <c r="E6749" t="s">
        <v>660</v>
      </c>
      <c r="F6749" t="s">
        <v>40</v>
      </c>
      <c r="G6749">
        <v>2045</v>
      </c>
      <c r="H6749" s="12">
        <v>4671</v>
      </c>
      <c r="I6749" t="s">
        <v>3183</v>
      </c>
      <c r="J6749" t="s">
        <v>394</v>
      </c>
      <c r="K6749" t="s">
        <v>657</v>
      </c>
      <c r="L6749" t="s">
        <v>3184</v>
      </c>
      <c r="M6749" t="s">
        <v>16</v>
      </c>
    </row>
    <row r="6750" spans="1:13">
      <c r="A6750" t="s">
        <v>851</v>
      </c>
      <c r="B6750" t="s">
        <v>686</v>
      </c>
      <c r="C6750" t="s">
        <v>686</v>
      </c>
      <c r="D6750" t="s">
        <v>236</v>
      </c>
      <c r="E6750" t="s">
        <v>660</v>
      </c>
      <c r="F6750" t="s">
        <v>40</v>
      </c>
      <c r="G6750">
        <v>2050</v>
      </c>
      <c r="H6750" s="12">
        <v>4537</v>
      </c>
      <c r="I6750" t="s">
        <v>3183</v>
      </c>
      <c r="J6750" t="s">
        <v>394</v>
      </c>
      <c r="K6750" t="s">
        <v>657</v>
      </c>
      <c r="L6750" t="s">
        <v>3184</v>
      </c>
      <c r="M6750" t="s">
        <v>16</v>
      </c>
    </row>
    <row r="6751" spans="1:13">
      <c r="A6751" t="s">
        <v>851</v>
      </c>
      <c r="B6751" t="s">
        <v>687</v>
      </c>
      <c r="C6751" t="s">
        <v>687</v>
      </c>
      <c r="D6751" t="s">
        <v>236</v>
      </c>
      <c r="E6751" t="s">
        <v>660</v>
      </c>
      <c r="F6751" t="s">
        <v>40</v>
      </c>
      <c r="G6751">
        <v>2030</v>
      </c>
      <c r="H6751" s="12">
        <v>3811</v>
      </c>
      <c r="I6751" t="s">
        <v>3183</v>
      </c>
      <c r="J6751" t="s">
        <v>394</v>
      </c>
      <c r="K6751" t="s">
        <v>657</v>
      </c>
      <c r="L6751" t="s">
        <v>3184</v>
      </c>
      <c r="M6751" t="s">
        <v>16</v>
      </c>
    </row>
    <row r="6752" spans="1:13">
      <c r="A6752" t="s">
        <v>851</v>
      </c>
      <c r="B6752" t="s">
        <v>687</v>
      </c>
      <c r="C6752" t="s">
        <v>687</v>
      </c>
      <c r="D6752" t="s">
        <v>236</v>
      </c>
      <c r="E6752" t="s">
        <v>660</v>
      </c>
      <c r="F6752" t="s">
        <v>40</v>
      </c>
      <c r="G6752">
        <v>2035</v>
      </c>
      <c r="H6752" s="12">
        <v>3219</v>
      </c>
      <c r="I6752" t="s">
        <v>3183</v>
      </c>
      <c r="J6752" t="s">
        <v>394</v>
      </c>
      <c r="K6752" t="s">
        <v>657</v>
      </c>
      <c r="L6752" t="s">
        <v>3184</v>
      </c>
      <c r="M6752" t="s">
        <v>16</v>
      </c>
    </row>
    <row r="6753" spans="1:13">
      <c r="A6753" t="s">
        <v>851</v>
      </c>
      <c r="B6753" t="s">
        <v>687</v>
      </c>
      <c r="C6753" t="s">
        <v>687</v>
      </c>
      <c r="D6753" t="s">
        <v>236</v>
      </c>
      <c r="E6753" t="s">
        <v>660</v>
      </c>
      <c r="F6753" t="s">
        <v>40</v>
      </c>
      <c r="G6753">
        <v>2040</v>
      </c>
      <c r="H6753" s="12">
        <v>2639</v>
      </c>
      <c r="I6753" t="s">
        <v>3183</v>
      </c>
      <c r="J6753" t="s">
        <v>394</v>
      </c>
      <c r="K6753" t="s">
        <v>657</v>
      </c>
      <c r="L6753" t="s">
        <v>3184</v>
      </c>
      <c r="M6753" t="s">
        <v>16</v>
      </c>
    </row>
    <row r="6754" spans="1:13">
      <c r="A6754" t="s">
        <v>851</v>
      </c>
      <c r="B6754" t="s">
        <v>687</v>
      </c>
      <c r="C6754" t="s">
        <v>687</v>
      </c>
      <c r="D6754" t="s">
        <v>236</v>
      </c>
      <c r="E6754" t="s">
        <v>660</v>
      </c>
      <c r="F6754" t="s">
        <v>40</v>
      </c>
      <c r="G6754">
        <v>2045</v>
      </c>
      <c r="H6754" s="12">
        <v>2218</v>
      </c>
      <c r="I6754" t="s">
        <v>3183</v>
      </c>
      <c r="J6754" t="s">
        <v>394</v>
      </c>
      <c r="K6754" t="s">
        <v>657</v>
      </c>
      <c r="L6754" t="s">
        <v>3184</v>
      </c>
      <c r="M6754" t="s">
        <v>16</v>
      </c>
    </row>
    <row r="6755" spans="1:13">
      <c r="A6755" t="s">
        <v>851</v>
      </c>
      <c r="B6755" t="s">
        <v>687</v>
      </c>
      <c r="C6755" t="s">
        <v>687</v>
      </c>
      <c r="D6755" t="s">
        <v>236</v>
      </c>
      <c r="E6755" t="s">
        <v>660</v>
      </c>
      <c r="F6755" t="s">
        <v>40</v>
      </c>
      <c r="G6755">
        <v>2050</v>
      </c>
      <c r="H6755" s="12">
        <v>1828</v>
      </c>
      <c r="I6755" t="s">
        <v>3183</v>
      </c>
      <c r="J6755" t="s">
        <v>394</v>
      </c>
      <c r="K6755" t="s">
        <v>657</v>
      </c>
      <c r="L6755" t="s">
        <v>3184</v>
      </c>
      <c r="M6755" t="s">
        <v>16</v>
      </c>
    </row>
    <row r="6756" spans="1:13">
      <c r="A6756" t="s">
        <v>851</v>
      </c>
      <c r="B6756" t="s">
        <v>686</v>
      </c>
      <c r="C6756" t="s">
        <v>686</v>
      </c>
      <c r="D6756" t="s">
        <v>236</v>
      </c>
      <c r="E6756" t="s">
        <v>646</v>
      </c>
      <c r="F6756" t="s">
        <v>40</v>
      </c>
      <c r="G6756">
        <v>2010</v>
      </c>
      <c r="H6756" s="12">
        <v>651</v>
      </c>
      <c r="I6756" t="s">
        <v>3183</v>
      </c>
      <c r="J6756" t="s">
        <v>394</v>
      </c>
      <c r="K6756" t="s">
        <v>272</v>
      </c>
      <c r="L6756" t="s">
        <v>3184</v>
      </c>
      <c r="M6756" t="s">
        <v>16</v>
      </c>
    </row>
    <row r="6757" spans="1:13">
      <c r="A6757" t="s">
        <v>851</v>
      </c>
      <c r="B6757" t="s">
        <v>686</v>
      </c>
      <c r="C6757" t="s">
        <v>686</v>
      </c>
      <c r="D6757" t="s">
        <v>236</v>
      </c>
      <c r="E6757" t="s">
        <v>646</v>
      </c>
      <c r="F6757" t="s">
        <v>40</v>
      </c>
      <c r="G6757">
        <v>2015</v>
      </c>
      <c r="H6757" s="12">
        <v>591</v>
      </c>
      <c r="I6757" t="s">
        <v>3183</v>
      </c>
      <c r="J6757" t="s">
        <v>394</v>
      </c>
      <c r="K6757" t="s">
        <v>272</v>
      </c>
      <c r="L6757" t="s">
        <v>3184</v>
      </c>
      <c r="M6757" t="s">
        <v>16</v>
      </c>
    </row>
    <row r="6758" spans="1:13">
      <c r="A6758" t="s">
        <v>851</v>
      </c>
      <c r="B6758" t="s">
        <v>686</v>
      </c>
      <c r="C6758" t="s">
        <v>686</v>
      </c>
      <c r="D6758" t="s">
        <v>236</v>
      </c>
      <c r="E6758" t="s">
        <v>646</v>
      </c>
      <c r="F6758" t="s">
        <v>40</v>
      </c>
      <c r="G6758">
        <v>2020</v>
      </c>
      <c r="H6758" s="12">
        <v>487</v>
      </c>
      <c r="I6758" t="s">
        <v>3183</v>
      </c>
      <c r="J6758" t="s">
        <v>394</v>
      </c>
      <c r="K6758" t="s">
        <v>272</v>
      </c>
      <c r="L6758" t="s">
        <v>3184</v>
      </c>
      <c r="M6758" t="s">
        <v>16</v>
      </c>
    </row>
    <row r="6759" spans="1:13">
      <c r="A6759" t="s">
        <v>851</v>
      </c>
      <c r="B6759" t="s">
        <v>686</v>
      </c>
      <c r="C6759" t="s">
        <v>686</v>
      </c>
      <c r="D6759" t="s">
        <v>236</v>
      </c>
      <c r="E6759" t="s">
        <v>646</v>
      </c>
      <c r="F6759" t="s">
        <v>40</v>
      </c>
      <c r="G6759">
        <v>2030</v>
      </c>
      <c r="H6759" s="12">
        <v>476</v>
      </c>
      <c r="I6759" t="s">
        <v>3183</v>
      </c>
      <c r="J6759" t="s">
        <v>394</v>
      </c>
      <c r="K6759" t="s">
        <v>272</v>
      </c>
      <c r="L6759" t="s">
        <v>3184</v>
      </c>
      <c r="M6759" t="s">
        <v>16</v>
      </c>
    </row>
    <row r="6760" spans="1:13">
      <c r="A6760" t="s">
        <v>851</v>
      </c>
      <c r="B6760" t="s">
        <v>686</v>
      </c>
      <c r="C6760" t="s">
        <v>686</v>
      </c>
      <c r="D6760" t="s">
        <v>236</v>
      </c>
      <c r="E6760" t="s">
        <v>646</v>
      </c>
      <c r="F6760" t="s">
        <v>40</v>
      </c>
      <c r="G6760">
        <v>2035</v>
      </c>
      <c r="H6760" s="12">
        <v>418</v>
      </c>
      <c r="I6760" t="s">
        <v>3183</v>
      </c>
      <c r="J6760" t="s">
        <v>394</v>
      </c>
      <c r="K6760" t="s">
        <v>272</v>
      </c>
      <c r="L6760" t="s">
        <v>3184</v>
      </c>
      <c r="M6760" t="s">
        <v>16</v>
      </c>
    </row>
    <row r="6761" spans="1:13">
      <c r="A6761" t="s">
        <v>851</v>
      </c>
      <c r="B6761" t="s">
        <v>686</v>
      </c>
      <c r="C6761" t="s">
        <v>686</v>
      </c>
      <c r="D6761" t="s">
        <v>236</v>
      </c>
      <c r="E6761" t="s">
        <v>646</v>
      </c>
      <c r="F6761" t="s">
        <v>40</v>
      </c>
      <c r="G6761">
        <v>2040</v>
      </c>
      <c r="H6761" s="12">
        <v>369</v>
      </c>
      <c r="I6761" t="s">
        <v>3183</v>
      </c>
      <c r="J6761" t="s">
        <v>394</v>
      </c>
      <c r="K6761" t="s">
        <v>272</v>
      </c>
      <c r="L6761" t="s">
        <v>3184</v>
      </c>
      <c r="M6761" t="s">
        <v>16</v>
      </c>
    </row>
    <row r="6762" spans="1:13">
      <c r="A6762" t="s">
        <v>851</v>
      </c>
      <c r="B6762" t="s">
        <v>686</v>
      </c>
      <c r="C6762" t="s">
        <v>686</v>
      </c>
      <c r="D6762" t="s">
        <v>236</v>
      </c>
      <c r="E6762" t="s">
        <v>646</v>
      </c>
      <c r="F6762" t="s">
        <v>40</v>
      </c>
      <c r="G6762">
        <v>2045</v>
      </c>
      <c r="H6762" s="12">
        <v>321</v>
      </c>
      <c r="I6762" t="s">
        <v>3183</v>
      </c>
      <c r="J6762" t="s">
        <v>394</v>
      </c>
      <c r="K6762" t="s">
        <v>272</v>
      </c>
      <c r="L6762" t="s">
        <v>3184</v>
      </c>
      <c r="M6762" t="s">
        <v>16</v>
      </c>
    </row>
    <row r="6763" spans="1:13">
      <c r="A6763" t="s">
        <v>851</v>
      </c>
      <c r="B6763" t="s">
        <v>686</v>
      </c>
      <c r="C6763" t="s">
        <v>686</v>
      </c>
      <c r="D6763" t="s">
        <v>236</v>
      </c>
      <c r="E6763" t="s">
        <v>646</v>
      </c>
      <c r="F6763" t="s">
        <v>40</v>
      </c>
      <c r="G6763">
        <v>2050</v>
      </c>
      <c r="H6763" s="12">
        <v>304</v>
      </c>
      <c r="I6763" t="s">
        <v>3183</v>
      </c>
      <c r="J6763" t="s">
        <v>394</v>
      </c>
      <c r="K6763" t="s">
        <v>272</v>
      </c>
      <c r="L6763" t="s">
        <v>3184</v>
      </c>
      <c r="M6763" t="s">
        <v>16</v>
      </c>
    </row>
    <row r="6764" spans="1:13">
      <c r="A6764" t="s">
        <v>851</v>
      </c>
      <c r="B6764" t="s">
        <v>687</v>
      </c>
      <c r="C6764" t="s">
        <v>687</v>
      </c>
      <c r="D6764" t="s">
        <v>236</v>
      </c>
      <c r="E6764" t="s">
        <v>646</v>
      </c>
      <c r="F6764" t="s">
        <v>40</v>
      </c>
      <c r="G6764">
        <v>2030</v>
      </c>
      <c r="H6764" s="12">
        <v>465</v>
      </c>
      <c r="I6764" t="s">
        <v>3183</v>
      </c>
      <c r="J6764" t="s">
        <v>394</v>
      </c>
      <c r="K6764" t="s">
        <v>272</v>
      </c>
      <c r="L6764" t="s">
        <v>3184</v>
      </c>
      <c r="M6764" t="s">
        <v>16</v>
      </c>
    </row>
    <row r="6765" spans="1:13">
      <c r="A6765" t="s">
        <v>851</v>
      </c>
      <c r="B6765" t="s">
        <v>687</v>
      </c>
      <c r="C6765" t="s">
        <v>687</v>
      </c>
      <c r="D6765" t="s">
        <v>236</v>
      </c>
      <c r="E6765" t="s">
        <v>646</v>
      </c>
      <c r="F6765" t="s">
        <v>40</v>
      </c>
      <c r="G6765">
        <v>2035</v>
      </c>
      <c r="H6765" s="12">
        <v>401</v>
      </c>
      <c r="I6765" t="s">
        <v>3183</v>
      </c>
      <c r="J6765" t="s">
        <v>394</v>
      </c>
      <c r="K6765" t="s">
        <v>272</v>
      </c>
      <c r="L6765" t="s">
        <v>3184</v>
      </c>
      <c r="M6765" t="s">
        <v>16</v>
      </c>
    </row>
    <row r="6766" spans="1:13">
      <c r="A6766" t="s">
        <v>851</v>
      </c>
      <c r="B6766" t="s">
        <v>687</v>
      </c>
      <c r="C6766" t="s">
        <v>687</v>
      </c>
      <c r="D6766" t="s">
        <v>236</v>
      </c>
      <c r="E6766" t="s">
        <v>646</v>
      </c>
      <c r="F6766" t="s">
        <v>40</v>
      </c>
      <c r="G6766">
        <v>2040</v>
      </c>
      <c r="H6766" s="12">
        <v>345</v>
      </c>
      <c r="I6766" t="s">
        <v>3183</v>
      </c>
      <c r="J6766" t="s">
        <v>394</v>
      </c>
      <c r="K6766" t="s">
        <v>272</v>
      </c>
      <c r="L6766" t="s">
        <v>3184</v>
      </c>
      <c r="M6766" t="s">
        <v>16</v>
      </c>
    </row>
    <row r="6767" spans="1:13">
      <c r="A6767" t="s">
        <v>851</v>
      </c>
      <c r="B6767" t="s">
        <v>687</v>
      </c>
      <c r="C6767" t="s">
        <v>687</v>
      </c>
      <c r="D6767" t="s">
        <v>236</v>
      </c>
      <c r="E6767" t="s">
        <v>646</v>
      </c>
      <c r="F6767" t="s">
        <v>40</v>
      </c>
      <c r="G6767">
        <v>2045</v>
      </c>
      <c r="H6767" s="12">
        <v>284</v>
      </c>
      <c r="I6767" t="s">
        <v>3183</v>
      </c>
      <c r="J6767" t="s">
        <v>394</v>
      </c>
      <c r="K6767" t="s">
        <v>272</v>
      </c>
      <c r="L6767" t="s">
        <v>3184</v>
      </c>
      <c r="M6767" t="s">
        <v>16</v>
      </c>
    </row>
    <row r="6768" spans="1:13">
      <c r="A6768" t="s">
        <v>851</v>
      </c>
      <c r="B6768" t="s">
        <v>687</v>
      </c>
      <c r="C6768" t="s">
        <v>687</v>
      </c>
      <c r="D6768" t="s">
        <v>236</v>
      </c>
      <c r="E6768" t="s">
        <v>646</v>
      </c>
      <c r="F6768" t="s">
        <v>40</v>
      </c>
      <c r="G6768">
        <v>2050</v>
      </c>
      <c r="H6768" s="12">
        <v>253</v>
      </c>
      <c r="I6768" t="s">
        <v>3183</v>
      </c>
      <c r="J6768" t="s">
        <v>394</v>
      </c>
      <c r="K6768" t="s">
        <v>272</v>
      </c>
      <c r="L6768" t="s">
        <v>3184</v>
      </c>
      <c r="M6768" t="s">
        <v>16</v>
      </c>
    </row>
    <row r="6769" spans="1:13">
      <c r="A6769" t="s">
        <v>851</v>
      </c>
      <c r="B6769" t="s">
        <v>686</v>
      </c>
      <c r="C6769" t="s">
        <v>686</v>
      </c>
      <c r="D6769" t="s">
        <v>236</v>
      </c>
      <c r="E6769" t="s">
        <v>660</v>
      </c>
      <c r="F6769" t="s">
        <v>40</v>
      </c>
      <c r="G6769">
        <v>2010</v>
      </c>
      <c r="H6769" s="12">
        <v>606</v>
      </c>
      <c r="I6769" t="s">
        <v>3183</v>
      </c>
      <c r="J6769" t="s">
        <v>5</v>
      </c>
      <c r="K6769" t="s">
        <v>657</v>
      </c>
      <c r="L6769" t="s">
        <v>3184</v>
      </c>
      <c r="M6769" t="s">
        <v>5</v>
      </c>
    </row>
    <row r="6770" spans="1:13">
      <c r="A6770" t="s">
        <v>851</v>
      </c>
      <c r="B6770" t="s">
        <v>686</v>
      </c>
      <c r="C6770" t="s">
        <v>686</v>
      </c>
      <c r="D6770" t="s">
        <v>236</v>
      </c>
      <c r="E6770" t="s">
        <v>660</v>
      </c>
      <c r="F6770" t="s">
        <v>40</v>
      </c>
      <c r="G6770">
        <v>2015</v>
      </c>
      <c r="H6770" s="12">
        <v>740</v>
      </c>
      <c r="I6770" t="s">
        <v>3183</v>
      </c>
      <c r="J6770" t="s">
        <v>5</v>
      </c>
      <c r="K6770" t="s">
        <v>657</v>
      </c>
      <c r="L6770" t="s">
        <v>3184</v>
      </c>
      <c r="M6770" t="s">
        <v>5</v>
      </c>
    </row>
    <row r="6771" spans="1:13">
      <c r="A6771" t="s">
        <v>851</v>
      </c>
      <c r="B6771" t="s">
        <v>686</v>
      </c>
      <c r="C6771" t="s">
        <v>686</v>
      </c>
      <c r="D6771" t="s">
        <v>236</v>
      </c>
      <c r="E6771" t="s">
        <v>660</v>
      </c>
      <c r="F6771" t="s">
        <v>40</v>
      </c>
      <c r="G6771">
        <v>2020</v>
      </c>
      <c r="H6771" s="12">
        <v>587</v>
      </c>
      <c r="I6771" t="s">
        <v>3183</v>
      </c>
      <c r="J6771" t="s">
        <v>5</v>
      </c>
      <c r="K6771" t="s">
        <v>657</v>
      </c>
      <c r="L6771" t="s">
        <v>3184</v>
      </c>
      <c r="M6771" t="s">
        <v>5</v>
      </c>
    </row>
    <row r="6772" spans="1:13">
      <c r="A6772" t="s">
        <v>851</v>
      </c>
      <c r="B6772" t="s">
        <v>686</v>
      </c>
      <c r="C6772" t="s">
        <v>686</v>
      </c>
      <c r="D6772" t="s">
        <v>236</v>
      </c>
      <c r="E6772" t="s">
        <v>660</v>
      </c>
      <c r="F6772" t="s">
        <v>40</v>
      </c>
      <c r="G6772">
        <v>2030</v>
      </c>
      <c r="H6772" s="12">
        <v>663</v>
      </c>
      <c r="I6772" t="s">
        <v>3183</v>
      </c>
      <c r="J6772" t="s">
        <v>5</v>
      </c>
      <c r="K6772" t="s">
        <v>657</v>
      </c>
      <c r="L6772" t="s">
        <v>3184</v>
      </c>
      <c r="M6772" t="s">
        <v>5</v>
      </c>
    </row>
    <row r="6773" spans="1:13">
      <c r="A6773" t="s">
        <v>851</v>
      </c>
      <c r="B6773" t="s">
        <v>686</v>
      </c>
      <c r="C6773" t="s">
        <v>686</v>
      </c>
      <c r="D6773" t="s">
        <v>236</v>
      </c>
      <c r="E6773" t="s">
        <v>660</v>
      </c>
      <c r="F6773" t="s">
        <v>40</v>
      </c>
      <c r="G6773">
        <v>2035</v>
      </c>
      <c r="H6773" s="12">
        <v>727</v>
      </c>
      <c r="I6773" t="s">
        <v>3183</v>
      </c>
      <c r="J6773" t="s">
        <v>5</v>
      </c>
      <c r="K6773" t="s">
        <v>657</v>
      </c>
      <c r="L6773" t="s">
        <v>3184</v>
      </c>
      <c r="M6773" t="s">
        <v>5</v>
      </c>
    </row>
    <row r="6774" spans="1:13">
      <c r="A6774" t="s">
        <v>851</v>
      </c>
      <c r="B6774" t="s">
        <v>686</v>
      </c>
      <c r="C6774" t="s">
        <v>686</v>
      </c>
      <c r="D6774" t="s">
        <v>236</v>
      </c>
      <c r="E6774" t="s">
        <v>660</v>
      </c>
      <c r="F6774" t="s">
        <v>40</v>
      </c>
      <c r="G6774">
        <v>2040</v>
      </c>
      <c r="H6774" s="12">
        <v>779</v>
      </c>
      <c r="I6774" t="s">
        <v>3183</v>
      </c>
      <c r="J6774" t="s">
        <v>5</v>
      </c>
      <c r="K6774" t="s">
        <v>657</v>
      </c>
      <c r="L6774" t="s">
        <v>3184</v>
      </c>
      <c r="M6774" t="s">
        <v>5</v>
      </c>
    </row>
    <row r="6775" spans="1:13">
      <c r="A6775" t="s">
        <v>851</v>
      </c>
      <c r="B6775" t="s">
        <v>686</v>
      </c>
      <c r="C6775" t="s">
        <v>686</v>
      </c>
      <c r="D6775" t="s">
        <v>236</v>
      </c>
      <c r="E6775" t="s">
        <v>660</v>
      </c>
      <c r="F6775" t="s">
        <v>40</v>
      </c>
      <c r="G6775">
        <v>2045</v>
      </c>
      <c r="H6775" s="12">
        <v>821</v>
      </c>
      <c r="I6775" t="s">
        <v>3183</v>
      </c>
      <c r="J6775" t="s">
        <v>5</v>
      </c>
      <c r="K6775" t="s">
        <v>657</v>
      </c>
      <c r="L6775" t="s">
        <v>3184</v>
      </c>
      <c r="M6775" t="s">
        <v>5</v>
      </c>
    </row>
    <row r="6776" spans="1:13">
      <c r="A6776" t="s">
        <v>851</v>
      </c>
      <c r="B6776" t="s">
        <v>686</v>
      </c>
      <c r="C6776" t="s">
        <v>686</v>
      </c>
      <c r="D6776" t="s">
        <v>236</v>
      </c>
      <c r="E6776" t="s">
        <v>660</v>
      </c>
      <c r="F6776" t="s">
        <v>40</v>
      </c>
      <c r="G6776">
        <v>2050</v>
      </c>
      <c r="H6776" s="12">
        <v>857</v>
      </c>
      <c r="I6776" t="s">
        <v>3183</v>
      </c>
      <c r="J6776" t="s">
        <v>5</v>
      </c>
      <c r="K6776" t="s">
        <v>657</v>
      </c>
      <c r="L6776" t="s">
        <v>3184</v>
      </c>
      <c r="M6776" t="s">
        <v>5</v>
      </c>
    </row>
    <row r="6777" spans="1:13">
      <c r="A6777" t="s">
        <v>851</v>
      </c>
      <c r="B6777" t="s">
        <v>687</v>
      </c>
      <c r="C6777" t="s">
        <v>687</v>
      </c>
      <c r="D6777" t="s">
        <v>236</v>
      </c>
      <c r="E6777" t="s">
        <v>660</v>
      </c>
      <c r="F6777" t="s">
        <v>40</v>
      </c>
      <c r="G6777">
        <v>2030</v>
      </c>
      <c r="H6777" s="12">
        <v>471</v>
      </c>
      <c r="I6777" t="s">
        <v>3183</v>
      </c>
      <c r="J6777" t="s">
        <v>5</v>
      </c>
      <c r="K6777" t="s">
        <v>657</v>
      </c>
      <c r="L6777" t="s">
        <v>3184</v>
      </c>
      <c r="M6777" t="s">
        <v>5</v>
      </c>
    </row>
    <row r="6778" spans="1:13">
      <c r="A6778" t="s">
        <v>851</v>
      </c>
      <c r="B6778" t="s">
        <v>687</v>
      </c>
      <c r="C6778" t="s">
        <v>687</v>
      </c>
      <c r="D6778" t="s">
        <v>236</v>
      </c>
      <c r="E6778" t="s">
        <v>660</v>
      </c>
      <c r="F6778" t="s">
        <v>40</v>
      </c>
      <c r="G6778">
        <v>2035</v>
      </c>
      <c r="H6778" s="12">
        <v>431</v>
      </c>
      <c r="I6778" t="s">
        <v>3183</v>
      </c>
      <c r="J6778" t="s">
        <v>5</v>
      </c>
      <c r="K6778" t="s">
        <v>657</v>
      </c>
      <c r="L6778" t="s">
        <v>3184</v>
      </c>
      <c r="M6778" t="s">
        <v>5</v>
      </c>
    </row>
    <row r="6779" spans="1:13">
      <c r="A6779" t="s">
        <v>851</v>
      </c>
      <c r="B6779" t="s">
        <v>687</v>
      </c>
      <c r="C6779" t="s">
        <v>687</v>
      </c>
      <c r="D6779" t="s">
        <v>236</v>
      </c>
      <c r="E6779" t="s">
        <v>660</v>
      </c>
      <c r="F6779" t="s">
        <v>40</v>
      </c>
      <c r="G6779">
        <v>2040</v>
      </c>
      <c r="H6779" s="12">
        <v>412</v>
      </c>
      <c r="I6779" t="s">
        <v>3183</v>
      </c>
      <c r="J6779" t="s">
        <v>5</v>
      </c>
      <c r="K6779" t="s">
        <v>657</v>
      </c>
      <c r="L6779" t="s">
        <v>3184</v>
      </c>
      <c r="M6779" t="s">
        <v>5</v>
      </c>
    </row>
    <row r="6780" spans="1:13">
      <c r="A6780" t="s">
        <v>851</v>
      </c>
      <c r="B6780" t="s">
        <v>687</v>
      </c>
      <c r="C6780" t="s">
        <v>687</v>
      </c>
      <c r="D6780" t="s">
        <v>236</v>
      </c>
      <c r="E6780" t="s">
        <v>660</v>
      </c>
      <c r="F6780" t="s">
        <v>40</v>
      </c>
      <c r="G6780">
        <v>2045</v>
      </c>
      <c r="H6780" s="12">
        <v>379</v>
      </c>
      <c r="I6780" t="s">
        <v>3183</v>
      </c>
      <c r="J6780" t="s">
        <v>5</v>
      </c>
      <c r="K6780" t="s">
        <v>657</v>
      </c>
      <c r="L6780" t="s">
        <v>3184</v>
      </c>
      <c r="M6780" t="s">
        <v>5</v>
      </c>
    </row>
    <row r="6781" spans="1:13">
      <c r="A6781" t="s">
        <v>851</v>
      </c>
      <c r="B6781" t="s">
        <v>687</v>
      </c>
      <c r="C6781" t="s">
        <v>687</v>
      </c>
      <c r="D6781" t="s">
        <v>236</v>
      </c>
      <c r="E6781" t="s">
        <v>660</v>
      </c>
      <c r="F6781" t="s">
        <v>40</v>
      </c>
      <c r="G6781">
        <v>2050</v>
      </c>
      <c r="H6781" s="12">
        <v>359</v>
      </c>
      <c r="I6781" t="s">
        <v>3183</v>
      </c>
      <c r="J6781" t="s">
        <v>5</v>
      </c>
      <c r="K6781" t="s">
        <v>657</v>
      </c>
      <c r="L6781" t="s">
        <v>3184</v>
      </c>
      <c r="M6781" t="s">
        <v>5</v>
      </c>
    </row>
    <row r="6782" spans="1:13">
      <c r="A6782" t="s">
        <v>851</v>
      </c>
      <c r="B6782" t="s">
        <v>687</v>
      </c>
      <c r="C6782" t="s">
        <v>687</v>
      </c>
      <c r="D6782" t="s">
        <v>236</v>
      </c>
      <c r="E6782" t="s">
        <v>573</v>
      </c>
      <c r="F6782" t="s">
        <v>40</v>
      </c>
      <c r="G6782">
        <v>2030</v>
      </c>
      <c r="H6782" s="12">
        <v>260</v>
      </c>
      <c r="I6782" t="s">
        <v>3183</v>
      </c>
      <c r="J6782" t="s">
        <v>15</v>
      </c>
      <c r="K6782" t="s">
        <v>147</v>
      </c>
      <c r="L6782" t="s">
        <v>3184</v>
      </c>
      <c r="M6782" t="s">
        <v>15</v>
      </c>
    </row>
    <row r="6783" spans="1:13">
      <c r="A6783" t="s">
        <v>851</v>
      </c>
      <c r="B6783" t="s">
        <v>687</v>
      </c>
      <c r="C6783" t="s">
        <v>687</v>
      </c>
      <c r="D6783" t="s">
        <v>236</v>
      </c>
      <c r="E6783" t="s">
        <v>573</v>
      </c>
      <c r="F6783" t="s">
        <v>40</v>
      </c>
      <c r="G6783">
        <v>2035</v>
      </c>
      <c r="H6783" s="12">
        <v>389</v>
      </c>
      <c r="I6783" t="s">
        <v>3183</v>
      </c>
      <c r="J6783" t="s">
        <v>15</v>
      </c>
      <c r="K6783" t="s">
        <v>147</v>
      </c>
      <c r="L6783" t="s">
        <v>3184</v>
      </c>
      <c r="M6783" t="s">
        <v>15</v>
      </c>
    </row>
    <row r="6784" spans="1:13">
      <c r="A6784" t="s">
        <v>851</v>
      </c>
      <c r="B6784" t="s">
        <v>687</v>
      </c>
      <c r="C6784" t="s">
        <v>687</v>
      </c>
      <c r="D6784" t="s">
        <v>236</v>
      </c>
      <c r="E6784" t="s">
        <v>573</v>
      </c>
      <c r="F6784" t="s">
        <v>40</v>
      </c>
      <c r="G6784">
        <v>2040</v>
      </c>
      <c r="H6784" s="12">
        <v>466</v>
      </c>
      <c r="I6784" t="s">
        <v>3183</v>
      </c>
      <c r="J6784" t="s">
        <v>15</v>
      </c>
      <c r="K6784" t="s">
        <v>147</v>
      </c>
      <c r="L6784" t="s">
        <v>3184</v>
      </c>
      <c r="M6784" t="s">
        <v>15</v>
      </c>
    </row>
    <row r="6785" spans="1:13">
      <c r="A6785" t="s">
        <v>851</v>
      </c>
      <c r="B6785" t="s">
        <v>687</v>
      </c>
      <c r="C6785" t="s">
        <v>687</v>
      </c>
      <c r="D6785" t="s">
        <v>236</v>
      </c>
      <c r="E6785" t="s">
        <v>573</v>
      </c>
      <c r="F6785" t="s">
        <v>40</v>
      </c>
      <c r="G6785">
        <v>2045</v>
      </c>
      <c r="H6785" s="12">
        <v>487</v>
      </c>
      <c r="I6785" t="s">
        <v>3183</v>
      </c>
      <c r="J6785" t="s">
        <v>15</v>
      </c>
      <c r="K6785" t="s">
        <v>147</v>
      </c>
      <c r="L6785" t="s">
        <v>3184</v>
      </c>
      <c r="M6785" t="s">
        <v>15</v>
      </c>
    </row>
    <row r="6786" spans="1:13">
      <c r="A6786" t="s">
        <v>851</v>
      </c>
      <c r="B6786" t="s">
        <v>687</v>
      </c>
      <c r="C6786" t="s">
        <v>687</v>
      </c>
      <c r="D6786" t="s">
        <v>236</v>
      </c>
      <c r="E6786" t="s">
        <v>573</v>
      </c>
      <c r="F6786" t="s">
        <v>40</v>
      </c>
      <c r="G6786">
        <v>2050</v>
      </c>
      <c r="H6786" s="12">
        <v>423</v>
      </c>
      <c r="I6786" t="s">
        <v>3183</v>
      </c>
      <c r="J6786" t="s">
        <v>15</v>
      </c>
      <c r="K6786" t="s">
        <v>147</v>
      </c>
      <c r="L6786" t="s">
        <v>3184</v>
      </c>
      <c r="M6786" t="s">
        <v>15</v>
      </c>
    </row>
    <row r="6787" spans="1:13">
      <c r="A6787" t="s">
        <v>851</v>
      </c>
      <c r="B6787" t="s">
        <v>686</v>
      </c>
      <c r="C6787" t="s">
        <v>686</v>
      </c>
      <c r="D6787" t="s">
        <v>236</v>
      </c>
      <c r="E6787" t="s">
        <v>573</v>
      </c>
      <c r="F6787" t="s">
        <v>40</v>
      </c>
      <c r="G6787">
        <v>2010</v>
      </c>
      <c r="H6787" s="12">
        <v>293</v>
      </c>
      <c r="I6787" t="s">
        <v>3183</v>
      </c>
      <c r="J6787" t="s">
        <v>6</v>
      </c>
      <c r="K6787" t="s">
        <v>147</v>
      </c>
      <c r="L6787" t="s">
        <v>3184</v>
      </c>
      <c r="M6787" t="s">
        <v>659</v>
      </c>
    </row>
    <row r="6788" spans="1:13">
      <c r="A6788" t="s">
        <v>851</v>
      </c>
      <c r="B6788" t="s">
        <v>686</v>
      </c>
      <c r="C6788" t="s">
        <v>686</v>
      </c>
      <c r="D6788" t="s">
        <v>236</v>
      </c>
      <c r="E6788" t="s">
        <v>573</v>
      </c>
      <c r="F6788" t="s">
        <v>40</v>
      </c>
      <c r="G6788">
        <v>2015</v>
      </c>
      <c r="H6788" s="12">
        <v>685</v>
      </c>
      <c r="I6788" t="s">
        <v>3183</v>
      </c>
      <c r="J6788" t="s">
        <v>6</v>
      </c>
      <c r="K6788" t="s">
        <v>147</v>
      </c>
      <c r="L6788" t="s">
        <v>3184</v>
      </c>
      <c r="M6788" t="s">
        <v>659</v>
      </c>
    </row>
    <row r="6789" spans="1:13">
      <c r="A6789" t="s">
        <v>851</v>
      </c>
      <c r="B6789" t="s">
        <v>686</v>
      </c>
      <c r="C6789" t="s">
        <v>686</v>
      </c>
      <c r="D6789" t="s">
        <v>236</v>
      </c>
      <c r="E6789" t="s">
        <v>573</v>
      </c>
      <c r="F6789" t="s">
        <v>40</v>
      </c>
      <c r="G6789">
        <v>2020</v>
      </c>
      <c r="H6789" s="12">
        <v>451</v>
      </c>
      <c r="I6789" t="s">
        <v>3183</v>
      </c>
      <c r="J6789" t="s">
        <v>6</v>
      </c>
      <c r="K6789" t="s">
        <v>147</v>
      </c>
      <c r="L6789" t="s">
        <v>3184</v>
      </c>
      <c r="M6789" t="s">
        <v>659</v>
      </c>
    </row>
    <row r="6790" spans="1:13">
      <c r="A6790" t="s">
        <v>851</v>
      </c>
      <c r="B6790" t="s">
        <v>686</v>
      </c>
      <c r="C6790" t="s">
        <v>686</v>
      </c>
      <c r="D6790" t="s">
        <v>236</v>
      </c>
      <c r="E6790" t="s">
        <v>573</v>
      </c>
      <c r="F6790" t="s">
        <v>40</v>
      </c>
      <c r="G6790">
        <v>2030</v>
      </c>
      <c r="H6790" s="12">
        <v>199</v>
      </c>
      <c r="I6790" t="s">
        <v>3183</v>
      </c>
      <c r="J6790" t="s">
        <v>6</v>
      </c>
      <c r="K6790" t="s">
        <v>147</v>
      </c>
      <c r="L6790" t="s">
        <v>3184</v>
      </c>
      <c r="M6790" t="s">
        <v>659</v>
      </c>
    </row>
    <row r="6791" spans="1:13">
      <c r="A6791" t="s">
        <v>851</v>
      </c>
      <c r="B6791" t="s">
        <v>686</v>
      </c>
      <c r="C6791" t="s">
        <v>686</v>
      </c>
      <c r="D6791" t="s">
        <v>236</v>
      </c>
      <c r="E6791" t="s">
        <v>573</v>
      </c>
      <c r="F6791" t="s">
        <v>40</v>
      </c>
      <c r="G6791">
        <v>2035</v>
      </c>
      <c r="H6791" s="12">
        <v>201</v>
      </c>
      <c r="I6791" t="s">
        <v>3183</v>
      </c>
      <c r="J6791" t="s">
        <v>6</v>
      </c>
      <c r="K6791" t="s">
        <v>147</v>
      </c>
      <c r="L6791" t="s">
        <v>3184</v>
      </c>
      <c r="M6791" t="s">
        <v>659</v>
      </c>
    </row>
    <row r="6792" spans="1:13">
      <c r="A6792" t="s">
        <v>851</v>
      </c>
      <c r="B6792" t="s">
        <v>686</v>
      </c>
      <c r="C6792" t="s">
        <v>686</v>
      </c>
      <c r="D6792" t="s">
        <v>236</v>
      </c>
      <c r="E6792" t="s">
        <v>573</v>
      </c>
      <c r="F6792" t="s">
        <v>40</v>
      </c>
      <c r="G6792">
        <v>2040</v>
      </c>
      <c r="H6792" s="12">
        <v>201</v>
      </c>
      <c r="I6792" t="s">
        <v>3183</v>
      </c>
      <c r="J6792" t="s">
        <v>6</v>
      </c>
      <c r="K6792" t="s">
        <v>147</v>
      </c>
      <c r="L6792" t="s">
        <v>3184</v>
      </c>
      <c r="M6792" t="s">
        <v>659</v>
      </c>
    </row>
    <row r="6793" spans="1:13">
      <c r="A6793" t="s">
        <v>851</v>
      </c>
      <c r="B6793" t="s">
        <v>686</v>
      </c>
      <c r="C6793" t="s">
        <v>686</v>
      </c>
      <c r="D6793" t="s">
        <v>236</v>
      </c>
      <c r="E6793" t="s">
        <v>573</v>
      </c>
      <c r="F6793" t="s">
        <v>40</v>
      </c>
      <c r="G6793">
        <v>2045</v>
      </c>
      <c r="H6793" s="12">
        <v>194</v>
      </c>
      <c r="I6793" t="s">
        <v>3183</v>
      </c>
      <c r="J6793" t="s">
        <v>6</v>
      </c>
      <c r="K6793" t="s">
        <v>147</v>
      </c>
      <c r="L6793" t="s">
        <v>3184</v>
      </c>
      <c r="M6793" t="s">
        <v>659</v>
      </c>
    </row>
    <row r="6794" spans="1:13">
      <c r="A6794" t="s">
        <v>851</v>
      </c>
      <c r="B6794" t="s">
        <v>686</v>
      </c>
      <c r="C6794" t="s">
        <v>686</v>
      </c>
      <c r="D6794" t="s">
        <v>236</v>
      </c>
      <c r="E6794" t="s">
        <v>573</v>
      </c>
      <c r="F6794" t="s">
        <v>40</v>
      </c>
      <c r="G6794">
        <v>2050</v>
      </c>
      <c r="H6794" s="12">
        <v>205</v>
      </c>
      <c r="I6794" t="s">
        <v>3183</v>
      </c>
      <c r="J6794" t="s">
        <v>6</v>
      </c>
      <c r="K6794" t="s">
        <v>147</v>
      </c>
      <c r="L6794" t="s">
        <v>3184</v>
      </c>
      <c r="M6794" t="s">
        <v>659</v>
      </c>
    </row>
    <row r="6795" spans="1:13">
      <c r="A6795" t="s">
        <v>851</v>
      </c>
      <c r="B6795" t="s">
        <v>687</v>
      </c>
      <c r="C6795" t="s">
        <v>687</v>
      </c>
      <c r="D6795" t="s">
        <v>236</v>
      </c>
      <c r="E6795" t="s">
        <v>573</v>
      </c>
      <c r="F6795" t="s">
        <v>40</v>
      </c>
      <c r="G6795">
        <v>2030</v>
      </c>
      <c r="H6795" s="12">
        <v>153</v>
      </c>
      <c r="I6795" t="s">
        <v>3183</v>
      </c>
      <c r="J6795" t="s">
        <v>6</v>
      </c>
      <c r="K6795" t="s">
        <v>147</v>
      </c>
      <c r="L6795" t="s">
        <v>3184</v>
      </c>
      <c r="M6795" t="s">
        <v>659</v>
      </c>
    </row>
    <row r="6796" spans="1:13">
      <c r="A6796" t="s">
        <v>851</v>
      </c>
      <c r="B6796" t="s">
        <v>687</v>
      </c>
      <c r="C6796" t="s">
        <v>687</v>
      </c>
      <c r="D6796" t="s">
        <v>236</v>
      </c>
      <c r="E6796" t="s">
        <v>573</v>
      </c>
      <c r="F6796" t="s">
        <v>40</v>
      </c>
      <c r="G6796">
        <v>2035</v>
      </c>
      <c r="H6796" s="12">
        <v>129</v>
      </c>
      <c r="I6796" t="s">
        <v>3183</v>
      </c>
      <c r="J6796" t="s">
        <v>6</v>
      </c>
      <c r="K6796" t="s">
        <v>147</v>
      </c>
      <c r="L6796" t="s">
        <v>3184</v>
      </c>
      <c r="M6796" t="s">
        <v>659</v>
      </c>
    </row>
    <row r="6797" spans="1:13">
      <c r="A6797" t="s">
        <v>851</v>
      </c>
      <c r="B6797" t="s">
        <v>687</v>
      </c>
      <c r="C6797" t="s">
        <v>687</v>
      </c>
      <c r="D6797" t="s">
        <v>236</v>
      </c>
      <c r="E6797" t="s">
        <v>573</v>
      </c>
      <c r="F6797" t="s">
        <v>40</v>
      </c>
      <c r="G6797">
        <v>2040</v>
      </c>
      <c r="H6797" s="12">
        <v>105</v>
      </c>
      <c r="I6797" t="s">
        <v>3183</v>
      </c>
      <c r="J6797" t="s">
        <v>6</v>
      </c>
      <c r="K6797" t="s">
        <v>147</v>
      </c>
      <c r="L6797" t="s">
        <v>3184</v>
      </c>
      <c r="M6797" t="s">
        <v>659</v>
      </c>
    </row>
    <row r="6798" spans="1:13">
      <c r="A6798" t="s">
        <v>851</v>
      </c>
      <c r="B6798" t="s">
        <v>687</v>
      </c>
      <c r="C6798" t="s">
        <v>687</v>
      </c>
      <c r="D6798" t="s">
        <v>236</v>
      </c>
      <c r="E6798" t="s">
        <v>573</v>
      </c>
      <c r="F6798" t="s">
        <v>40</v>
      </c>
      <c r="G6798">
        <v>2045</v>
      </c>
      <c r="H6798" s="12">
        <v>101</v>
      </c>
      <c r="I6798" t="s">
        <v>3183</v>
      </c>
      <c r="J6798" t="s">
        <v>6</v>
      </c>
      <c r="K6798" t="s">
        <v>147</v>
      </c>
      <c r="L6798" t="s">
        <v>3184</v>
      </c>
      <c r="M6798" t="s">
        <v>659</v>
      </c>
    </row>
    <row r="6799" spans="1:13">
      <c r="A6799" t="s">
        <v>851</v>
      </c>
      <c r="B6799" t="s">
        <v>687</v>
      </c>
      <c r="C6799" t="s">
        <v>687</v>
      </c>
      <c r="D6799" t="s">
        <v>236</v>
      </c>
      <c r="E6799" t="s">
        <v>573</v>
      </c>
      <c r="F6799" t="s">
        <v>40</v>
      </c>
      <c r="G6799">
        <v>2050</v>
      </c>
      <c r="H6799" s="12">
        <v>72</v>
      </c>
      <c r="I6799" t="s">
        <v>3183</v>
      </c>
      <c r="J6799" t="s">
        <v>6</v>
      </c>
      <c r="K6799" t="s">
        <v>147</v>
      </c>
      <c r="L6799" t="s">
        <v>3184</v>
      </c>
      <c r="M6799" t="s">
        <v>659</v>
      </c>
    </row>
    <row r="6800" spans="1:13">
      <c r="A6800" t="s">
        <v>851</v>
      </c>
      <c r="B6800" t="s">
        <v>686</v>
      </c>
      <c r="C6800" t="s">
        <v>686</v>
      </c>
      <c r="D6800" t="s">
        <v>236</v>
      </c>
      <c r="E6800" t="s">
        <v>573</v>
      </c>
      <c r="F6800" t="s">
        <v>40</v>
      </c>
      <c r="G6800">
        <v>2010</v>
      </c>
      <c r="H6800" s="12">
        <v>157</v>
      </c>
      <c r="I6800" t="s">
        <v>3183</v>
      </c>
      <c r="J6800" t="s">
        <v>394</v>
      </c>
      <c r="K6800" t="s">
        <v>147</v>
      </c>
      <c r="L6800" t="s">
        <v>3184</v>
      </c>
      <c r="M6800" t="s">
        <v>16</v>
      </c>
    </row>
    <row r="6801" spans="1:13">
      <c r="A6801" t="s">
        <v>851</v>
      </c>
      <c r="B6801" t="s">
        <v>686</v>
      </c>
      <c r="C6801" t="s">
        <v>686</v>
      </c>
      <c r="D6801" t="s">
        <v>236</v>
      </c>
      <c r="E6801" t="s">
        <v>573</v>
      </c>
      <c r="F6801" t="s">
        <v>40</v>
      </c>
      <c r="G6801">
        <v>2015</v>
      </c>
      <c r="H6801" s="12">
        <v>263</v>
      </c>
      <c r="I6801" t="s">
        <v>3183</v>
      </c>
      <c r="J6801" t="s">
        <v>394</v>
      </c>
      <c r="K6801" t="s">
        <v>147</v>
      </c>
      <c r="L6801" t="s">
        <v>3184</v>
      </c>
      <c r="M6801" t="s">
        <v>16</v>
      </c>
    </row>
    <row r="6802" spans="1:13">
      <c r="A6802" t="s">
        <v>851</v>
      </c>
      <c r="B6802" t="s">
        <v>686</v>
      </c>
      <c r="C6802" t="s">
        <v>686</v>
      </c>
      <c r="D6802" t="s">
        <v>236</v>
      </c>
      <c r="E6802" t="s">
        <v>573</v>
      </c>
      <c r="F6802" t="s">
        <v>40</v>
      </c>
      <c r="G6802">
        <v>2020</v>
      </c>
      <c r="H6802" s="12">
        <v>97</v>
      </c>
      <c r="I6802" t="s">
        <v>3183</v>
      </c>
      <c r="J6802" t="s">
        <v>394</v>
      </c>
      <c r="K6802" t="s">
        <v>147</v>
      </c>
      <c r="L6802" t="s">
        <v>3184</v>
      </c>
      <c r="M6802" t="s">
        <v>16</v>
      </c>
    </row>
    <row r="6803" spans="1:13">
      <c r="A6803" t="s">
        <v>851</v>
      </c>
      <c r="B6803" t="s">
        <v>686</v>
      </c>
      <c r="C6803" t="s">
        <v>686</v>
      </c>
      <c r="D6803" t="s">
        <v>236</v>
      </c>
      <c r="E6803" t="s">
        <v>573</v>
      </c>
      <c r="F6803" t="s">
        <v>40</v>
      </c>
      <c r="G6803">
        <v>2030</v>
      </c>
      <c r="H6803" s="12">
        <v>31</v>
      </c>
      <c r="I6803" t="s">
        <v>3183</v>
      </c>
      <c r="J6803" t="s">
        <v>394</v>
      </c>
      <c r="K6803" t="s">
        <v>147</v>
      </c>
      <c r="L6803" t="s">
        <v>3184</v>
      </c>
      <c r="M6803" t="s">
        <v>16</v>
      </c>
    </row>
    <row r="6804" spans="1:13">
      <c r="A6804" t="s">
        <v>851</v>
      </c>
      <c r="B6804" t="s">
        <v>686</v>
      </c>
      <c r="C6804" t="s">
        <v>686</v>
      </c>
      <c r="D6804" t="s">
        <v>236</v>
      </c>
      <c r="E6804" t="s">
        <v>573</v>
      </c>
      <c r="F6804" t="s">
        <v>40</v>
      </c>
      <c r="G6804">
        <v>2035</v>
      </c>
      <c r="H6804" s="12">
        <v>30</v>
      </c>
      <c r="I6804" t="s">
        <v>3183</v>
      </c>
      <c r="J6804" t="s">
        <v>394</v>
      </c>
      <c r="K6804" t="s">
        <v>147</v>
      </c>
      <c r="L6804" t="s">
        <v>3184</v>
      </c>
      <c r="M6804" t="s">
        <v>16</v>
      </c>
    </row>
    <row r="6805" spans="1:13">
      <c r="A6805" t="s">
        <v>851</v>
      </c>
      <c r="B6805" t="s">
        <v>686</v>
      </c>
      <c r="C6805" t="s">
        <v>686</v>
      </c>
      <c r="D6805" t="s">
        <v>236</v>
      </c>
      <c r="E6805" t="s">
        <v>573</v>
      </c>
      <c r="F6805" t="s">
        <v>40</v>
      </c>
      <c r="G6805">
        <v>2040</v>
      </c>
      <c r="H6805" s="12">
        <v>29</v>
      </c>
      <c r="I6805" t="s">
        <v>3183</v>
      </c>
      <c r="J6805" t="s">
        <v>394</v>
      </c>
      <c r="K6805" t="s">
        <v>147</v>
      </c>
      <c r="L6805" t="s">
        <v>3184</v>
      </c>
      <c r="M6805" t="s">
        <v>16</v>
      </c>
    </row>
    <row r="6806" spans="1:13">
      <c r="A6806" t="s">
        <v>851</v>
      </c>
      <c r="B6806" t="s">
        <v>686</v>
      </c>
      <c r="C6806" t="s">
        <v>686</v>
      </c>
      <c r="D6806" t="s">
        <v>236</v>
      </c>
      <c r="E6806" t="s">
        <v>660</v>
      </c>
      <c r="F6806" t="s">
        <v>40</v>
      </c>
      <c r="G6806">
        <v>2010</v>
      </c>
      <c r="H6806" s="12">
        <v>15</v>
      </c>
      <c r="I6806" t="s">
        <v>3183</v>
      </c>
      <c r="J6806" t="s">
        <v>17</v>
      </c>
      <c r="K6806" t="s">
        <v>657</v>
      </c>
      <c r="L6806" t="s">
        <v>3184</v>
      </c>
      <c r="M6806" t="s">
        <v>17</v>
      </c>
    </row>
    <row r="6807" spans="1:13">
      <c r="A6807" t="s">
        <v>851</v>
      </c>
      <c r="B6807" t="s">
        <v>686</v>
      </c>
      <c r="C6807" t="s">
        <v>686</v>
      </c>
      <c r="D6807" t="s">
        <v>236</v>
      </c>
      <c r="E6807" t="s">
        <v>660</v>
      </c>
      <c r="F6807" t="s">
        <v>40</v>
      </c>
      <c r="G6807">
        <v>2015</v>
      </c>
      <c r="H6807" s="12">
        <v>29</v>
      </c>
      <c r="I6807" t="s">
        <v>3183</v>
      </c>
      <c r="J6807" t="s">
        <v>17</v>
      </c>
      <c r="K6807" t="s">
        <v>657</v>
      </c>
      <c r="L6807" t="s">
        <v>3184</v>
      </c>
      <c r="M6807" t="s">
        <v>17</v>
      </c>
    </row>
    <row r="6808" spans="1:13">
      <c r="A6808" t="s">
        <v>851</v>
      </c>
      <c r="B6808" t="s">
        <v>686</v>
      </c>
      <c r="C6808" t="s">
        <v>686</v>
      </c>
      <c r="D6808" t="s">
        <v>236</v>
      </c>
      <c r="E6808" t="s">
        <v>660</v>
      </c>
      <c r="F6808" t="s">
        <v>40</v>
      </c>
      <c r="G6808">
        <v>2020</v>
      </c>
      <c r="H6808" s="12">
        <v>83</v>
      </c>
      <c r="I6808" t="s">
        <v>3183</v>
      </c>
      <c r="J6808" t="s">
        <v>17</v>
      </c>
      <c r="K6808" t="s">
        <v>657</v>
      </c>
      <c r="L6808" t="s">
        <v>3184</v>
      </c>
      <c r="M6808" t="s">
        <v>17</v>
      </c>
    </row>
    <row r="6809" spans="1:13">
      <c r="A6809" t="s">
        <v>851</v>
      </c>
      <c r="B6809" t="s">
        <v>687</v>
      </c>
      <c r="C6809" t="s">
        <v>687</v>
      </c>
      <c r="D6809" t="s">
        <v>236</v>
      </c>
      <c r="E6809" t="s">
        <v>660</v>
      </c>
      <c r="F6809" t="s">
        <v>40</v>
      </c>
      <c r="G6809">
        <v>2030</v>
      </c>
      <c r="H6809" s="12">
        <v>549</v>
      </c>
      <c r="I6809" t="s">
        <v>3183</v>
      </c>
      <c r="J6809" t="s">
        <v>18</v>
      </c>
      <c r="K6809" t="s">
        <v>657</v>
      </c>
      <c r="L6809" t="s">
        <v>3184</v>
      </c>
      <c r="M6809" t="s">
        <v>18</v>
      </c>
    </row>
    <row r="6810" spans="1:13">
      <c r="A6810" t="s">
        <v>851</v>
      </c>
      <c r="B6810" t="s">
        <v>687</v>
      </c>
      <c r="C6810" t="s">
        <v>687</v>
      </c>
      <c r="D6810" t="s">
        <v>236</v>
      </c>
      <c r="E6810" t="s">
        <v>660</v>
      </c>
      <c r="F6810" t="s">
        <v>40</v>
      </c>
      <c r="G6810">
        <v>2035</v>
      </c>
      <c r="H6810" s="12">
        <v>642</v>
      </c>
      <c r="I6810" t="s">
        <v>3183</v>
      </c>
      <c r="J6810" t="s">
        <v>18</v>
      </c>
      <c r="K6810" t="s">
        <v>657</v>
      </c>
      <c r="L6810" t="s">
        <v>3184</v>
      </c>
      <c r="M6810" t="s">
        <v>18</v>
      </c>
    </row>
    <row r="6811" spans="1:13">
      <c r="A6811" t="s">
        <v>851</v>
      </c>
      <c r="B6811" t="s">
        <v>687</v>
      </c>
      <c r="C6811" t="s">
        <v>687</v>
      </c>
      <c r="D6811" t="s">
        <v>236</v>
      </c>
      <c r="E6811" t="s">
        <v>660</v>
      </c>
      <c r="F6811" t="s">
        <v>40</v>
      </c>
      <c r="G6811">
        <v>2040</v>
      </c>
      <c r="H6811" s="12">
        <v>746</v>
      </c>
      <c r="I6811" t="s">
        <v>3183</v>
      </c>
      <c r="J6811" t="s">
        <v>18</v>
      </c>
      <c r="K6811" t="s">
        <v>657</v>
      </c>
      <c r="L6811" t="s">
        <v>3184</v>
      </c>
      <c r="M6811" t="s">
        <v>18</v>
      </c>
    </row>
    <row r="6812" spans="1:13">
      <c r="A6812" t="s">
        <v>851</v>
      </c>
      <c r="B6812" t="s">
        <v>687</v>
      </c>
      <c r="C6812" t="s">
        <v>687</v>
      </c>
      <c r="D6812" t="s">
        <v>236</v>
      </c>
      <c r="E6812" t="s">
        <v>660</v>
      </c>
      <c r="F6812" t="s">
        <v>40</v>
      </c>
      <c r="G6812">
        <v>2045</v>
      </c>
      <c r="H6812" s="12">
        <v>881</v>
      </c>
      <c r="I6812" t="s">
        <v>3183</v>
      </c>
      <c r="J6812" t="s">
        <v>18</v>
      </c>
      <c r="K6812" t="s">
        <v>657</v>
      </c>
      <c r="L6812" t="s">
        <v>3184</v>
      </c>
      <c r="M6812" t="s">
        <v>18</v>
      </c>
    </row>
    <row r="6813" spans="1:13">
      <c r="A6813" t="s">
        <v>851</v>
      </c>
      <c r="B6813" t="s">
        <v>687</v>
      </c>
      <c r="C6813" t="s">
        <v>687</v>
      </c>
      <c r="D6813" t="s">
        <v>236</v>
      </c>
      <c r="E6813" t="s">
        <v>660</v>
      </c>
      <c r="F6813" t="s">
        <v>40</v>
      </c>
      <c r="G6813">
        <v>2050</v>
      </c>
      <c r="H6813" s="12">
        <v>1096</v>
      </c>
      <c r="I6813" t="s">
        <v>3183</v>
      </c>
      <c r="J6813" t="s">
        <v>18</v>
      </c>
      <c r="K6813" t="s">
        <v>657</v>
      </c>
      <c r="L6813" t="s">
        <v>3184</v>
      </c>
      <c r="M6813" t="s">
        <v>18</v>
      </c>
    </row>
    <row r="6814" spans="1:13">
      <c r="A6814" t="s">
        <v>851</v>
      </c>
      <c r="B6814" t="s">
        <v>686</v>
      </c>
      <c r="C6814" t="s">
        <v>686</v>
      </c>
      <c r="D6814" t="s">
        <v>236</v>
      </c>
      <c r="E6814" t="s">
        <v>660</v>
      </c>
      <c r="F6814" t="s">
        <v>40</v>
      </c>
      <c r="G6814">
        <v>2010</v>
      </c>
      <c r="H6814" s="12">
        <v>1452</v>
      </c>
      <c r="I6814" t="s">
        <v>3183</v>
      </c>
      <c r="J6814" t="s">
        <v>14</v>
      </c>
      <c r="K6814" t="s">
        <v>657</v>
      </c>
      <c r="L6814" t="s">
        <v>3184</v>
      </c>
      <c r="M6814" t="s">
        <v>14</v>
      </c>
    </row>
    <row r="6815" spans="1:13">
      <c r="A6815" t="s">
        <v>851</v>
      </c>
      <c r="B6815" t="s">
        <v>686</v>
      </c>
      <c r="C6815" t="s">
        <v>686</v>
      </c>
      <c r="D6815" t="s">
        <v>236</v>
      </c>
      <c r="E6815" t="s">
        <v>660</v>
      </c>
      <c r="F6815" t="s">
        <v>40</v>
      </c>
      <c r="G6815">
        <v>2015</v>
      </c>
      <c r="H6815" s="12">
        <v>1295</v>
      </c>
      <c r="I6815" t="s">
        <v>3183</v>
      </c>
      <c r="J6815" t="s">
        <v>14</v>
      </c>
      <c r="K6815" t="s">
        <v>657</v>
      </c>
      <c r="L6815" t="s">
        <v>3184</v>
      </c>
      <c r="M6815" t="s">
        <v>14</v>
      </c>
    </row>
    <row r="6816" spans="1:13">
      <c r="A6816" t="s">
        <v>851</v>
      </c>
      <c r="B6816" t="s">
        <v>686</v>
      </c>
      <c r="C6816" t="s">
        <v>686</v>
      </c>
      <c r="D6816" t="s">
        <v>236</v>
      </c>
      <c r="E6816" t="s">
        <v>660</v>
      </c>
      <c r="F6816" t="s">
        <v>40</v>
      </c>
      <c r="G6816">
        <v>2020</v>
      </c>
      <c r="H6816" s="12">
        <v>1427</v>
      </c>
      <c r="I6816" t="s">
        <v>3183</v>
      </c>
      <c r="J6816" t="s">
        <v>14</v>
      </c>
      <c r="K6816" t="s">
        <v>657</v>
      </c>
      <c r="L6816" t="s">
        <v>3184</v>
      </c>
      <c r="M6816" t="s">
        <v>14</v>
      </c>
    </row>
    <row r="6817" spans="1:13">
      <c r="A6817" t="s">
        <v>851</v>
      </c>
      <c r="B6817" t="s">
        <v>686</v>
      </c>
      <c r="C6817" t="s">
        <v>686</v>
      </c>
      <c r="D6817" t="s">
        <v>236</v>
      </c>
      <c r="E6817" t="s">
        <v>660</v>
      </c>
      <c r="F6817" t="s">
        <v>40</v>
      </c>
      <c r="G6817">
        <v>2030</v>
      </c>
      <c r="H6817" s="12">
        <v>1350</v>
      </c>
      <c r="I6817" t="s">
        <v>3183</v>
      </c>
      <c r="J6817" t="s">
        <v>14</v>
      </c>
      <c r="K6817" t="s">
        <v>657</v>
      </c>
      <c r="L6817" t="s">
        <v>3184</v>
      </c>
      <c r="M6817" t="s">
        <v>14</v>
      </c>
    </row>
    <row r="6818" spans="1:13">
      <c r="A6818" t="s">
        <v>851</v>
      </c>
      <c r="B6818" t="s">
        <v>686</v>
      </c>
      <c r="C6818" t="s">
        <v>686</v>
      </c>
      <c r="D6818" t="s">
        <v>236</v>
      </c>
      <c r="E6818" t="s">
        <v>660</v>
      </c>
      <c r="F6818" t="s">
        <v>40</v>
      </c>
      <c r="G6818">
        <v>2035</v>
      </c>
      <c r="H6818" s="12">
        <v>1360</v>
      </c>
      <c r="I6818" t="s">
        <v>3183</v>
      </c>
      <c r="J6818" t="s">
        <v>14</v>
      </c>
      <c r="K6818" t="s">
        <v>657</v>
      </c>
      <c r="L6818" t="s">
        <v>3184</v>
      </c>
      <c r="M6818" t="s">
        <v>14</v>
      </c>
    </row>
    <row r="6819" spans="1:13">
      <c r="A6819" t="s">
        <v>851</v>
      </c>
      <c r="B6819" t="s">
        <v>686</v>
      </c>
      <c r="C6819" t="s">
        <v>686</v>
      </c>
      <c r="D6819" t="s">
        <v>236</v>
      </c>
      <c r="E6819" t="s">
        <v>660</v>
      </c>
      <c r="F6819" t="s">
        <v>40</v>
      </c>
      <c r="G6819">
        <v>2040</v>
      </c>
      <c r="H6819" s="12">
        <v>1370</v>
      </c>
      <c r="I6819" t="s">
        <v>3183</v>
      </c>
      <c r="J6819" t="s">
        <v>14</v>
      </c>
      <c r="K6819" t="s">
        <v>657</v>
      </c>
      <c r="L6819" t="s">
        <v>3184</v>
      </c>
      <c r="M6819" t="s">
        <v>14</v>
      </c>
    </row>
    <row r="6820" spans="1:13">
      <c r="A6820" t="s">
        <v>851</v>
      </c>
      <c r="B6820" t="s">
        <v>686</v>
      </c>
      <c r="C6820" t="s">
        <v>686</v>
      </c>
      <c r="D6820" t="s">
        <v>236</v>
      </c>
      <c r="E6820" t="s">
        <v>660</v>
      </c>
      <c r="F6820" t="s">
        <v>40</v>
      </c>
      <c r="G6820">
        <v>2045</v>
      </c>
      <c r="H6820" s="12">
        <v>1385</v>
      </c>
      <c r="I6820" t="s">
        <v>3183</v>
      </c>
      <c r="J6820" t="s">
        <v>14</v>
      </c>
      <c r="K6820" t="s">
        <v>657</v>
      </c>
      <c r="L6820" t="s">
        <v>3184</v>
      </c>
      <c r="M6820" t="s">
        <v>14</v>
      </c>
    </row>
    <row r="6821" spans="1:13">
      <c r="A6821" t="s">
        <v>851</v>
      </c>
      <c r="B6821" t="s">
        <v>686</v>
      </c>
      <c r="C6821" t="s">
        <v>686</v>
      </c>
      <c r="D6821" t="s">
        <v>236</v>
      </c>
      <c r="E6821" t="s">
        <v>660</v>
      </c>
      <c r="F6821" t="s">
        <v>40</v>
      </c>
      <c r="G6821">
        <v>2050</v>
      </c>
      <c r="H6821" s="12">
        <v>1408</v>
      </c>
      <c r="I6821" t="s">
        <v>3183</v>
      </c>
      <c r="J6821" t="s">
        <v>14</v>
      </c>
      <c r="K6821" t="s">
        <v>657</v>
      </c>
      <c r="L6821" t="s">
        <v>3184</v>
      </c>
      <c r="M6821" t="s">
        <v>14</v>
      </c>
    </row>
    <row r="6822" spans="1:13">
      <c r="A6822" t="s">
        <v>851</v>
      </c>
      <c r="B6822" t="s">
        <v>687</v>
      </c>
      <c r="C6822" t="s">
        <v>687</v>
      </c>
      <c r="D6822" t="s">
        <v>236</v>
      </c>
      <c r="E6822" t="s">
        <v>660</v>
      </c>
      <c r="F6822" t="s">
        <v>40</v>
      </c>
      <c r="G6822">
        <v>2030</v>
      </c>
      <c r="H6822" s="12">
        <v>1355</v>
      </c>
      <c r="I6822" t="s">
        <v>3183</v>
      </c>
      <c r="J6822" t="s">
        <v>14</v>
      </c>
      <c r="K6822" t="s">
        <v>657</v>
      </c>
      <c r="L6822" t="s">
        <v>3184</v>
      </c>
      <c r="M6822" t="s">
        <v>14</v>
      </c>
    </row>
    <row r="6823" spans="1:13">
      <c r="A6823" t="s">
        <v>851</v>
      </c>
      <c r="B6823" t="s">
        <v>687</v>
      </c>
      <c r="C6823" t="s">
        <v>687</v>
      </c>
      <c r="D6823" t="s">
        <v>236</v>
      </c>
      <c r="E6823" t="s">
        <v>660</v>
      </c>
      <c r="F6823" t="s">
        <v>40</v>
      </c>
      <c r="G6823">
        <v>2035</v>
      </c>
      <c r="H6823" s="12">
        <v>1380</v>
      </c>
      <c r="I6823" t="s">
        <v>3183</v>
      </c>
      <c r="J6823" t="s">
        <v>14</v>
      </c>
      <c r="K6823" t="s">
        <v>657</v>
      </c>
      <c r="L6823" t="s">
        <v>3184</v>
      </c>
      <c r="M6823" t="s">
        <v>14</v>
      </c>
    </row>
    <row r="6824" spans="1:13">
      <c r="A6824" t="s">
        <v>851</v>
      </c>
      <c r="B6824" t="s">
        <v>687</v>
      </c>
      <c r="C6824" t="s">
        <v>687</v>
      </c>
      <c r="D6824" t="s">
        <v>236</v>
      </c>
      <c r="E6824" t="s">
        <v>660</v>
      </c>
      <c r="F6824" t="s">
        <v>40</v>
      </c>
      <c r="G6824">
        <v>2040</v>
      </c>
      <c r="H6824" s="12">
        <v>1421</v>
      </c>
      <c r="I6824" t="s">
        <v>3183</v>
      </c>
      <c r="J6824" t="s">
        <v>14</v>
      </c>
      <c r="K6824" t="s">
        <v>657</v>
      </c>
      <c r="L6824" t="s">
        <v>3184</v>
      </c>
      <c r="M6824" t="s">
        <v>14</v>
      </c>
    </row>
    <row r="6825" spans="1:13">
      <c r="A6825" t="s">
        <v>851</v>
      </c>
      <c r="B6825" t="s">
        <v>687</v>
      </c>
      <c r="C6825" t="s">
        <v>687</v>
      </c>
      <c r="D6825" t="s">
        <v>236</v>
      </c>
      <c r="E6825" t="s">
        <v>660</v>
      </c>
      <c r="F6825" t="s">
        <v>40</v>
      </c>
      <c r="G6825">
        <v>2045</v>
      </c>
      <c r="H6825" s="12">
        <v>1472</v>
      </c>
      <c r="I6825" t="s">
        <v>3183</v>
      </c>
      <c r="J6825" t="s">
        <v>14</v>
      </c>
      <c r="K6825" t="s">
        <v>657</v>
      </c>
      <c r="L6825" t="s">
        <v>3184</v>
      </c>
      <c r="M6825" t="s">
        <v>14</v>
      </c>
    </row>
    <row r="6826" spans="1:13">
      <c r="A6826" t="s">
        <v>851</v>
      </c>
      <c r="B6826" t="s">
        <v>687</v>
      </c>
      <c r="C6826" t="s">
        <v>687</v>
      </c>
      <c r="D6826" t="s">
        <v>236</v>
      </c>
      <c r="E6826" t="s">
        <v>660</v>
      </c>
      <c r="F6826" t="s">
        <v>40</v>
      </c>
      <c r="G6826">
        <v>2050</v>
      </c>
      <c r="H6826" s="12">
        <v>1527</v>
      </c>
      <c r="I6826" t="s">
        <v>3183</v>
      </c>
      <c r="J6826" t="s">
        <v>14</v>
      </c>
      <c r="K6826" t="s">
        <v>657</v>
      </c>
      <c r="L6826" t="s">
        <v>3184</v>
      </c>
      <c r="M6826" t="s">
        <v>14</v>
      </c>
    </row>
    <row r="6827" spans="1:13">
      <c r="A6827" t="s">
        <v>851</v>
      </c>
      <c r="B6827" t="s">
        <v>686</v>
      </c>
      <c r="C6827" t="s">
        <v>686</v>
      </c>
      <c r="D6827" t="s">
        <v>236</v>
      </c>
      <c r="E6827" t="s">
        <v>660</v>
      </c>
      <c r="F6827" t="s">
        <v>40</v>
      </c>
      <c r="G6827">
        <v>2010</v>
      </c>
      <c r="H6827" s="12">
        <v>4164</v>
      </c>
      <c r="I6827" t="s">
        <v>3183</v>
      </c>
      <c r="J6827" t="s">
        <v>41</v>
      </c>
      <c r="K6827" t="s">
        <v>657</v>
      </c>
      <c r="L6827" t="s">
        <v>3184</v>
      </c>
      <c r="M6827" t="s">
        <v>662</v>
      </c>
    </row>
    <row r="6828" spans="1:13">
      <c r="A6828" t="s">
        <v>851</v>
      </c>
      <c r="B6828" t="s">
        <v>686</v>
      </c>
      <c r="C6828" t="s">
        <v>686</v>
      </c>
      <c r="D6828" t="s">
        <v>236</v>
      </c>
      <c r="E6828" t="s">
        <v>660</v>
      </c>
      <c r="F6828" t="s">
        <v>40</v>
      </c>
      <c r="G6828">
        <v>2015</v>
      </c>
      <c r="H6828" s="12">
        <v>4589</v>
      </c>
      <c r="I6828" t="s">
        <v>3183</v>
      </c>
      <c r="J6828" t="s">
        <v>41</v>
      </c>
      <c r="K6828" t="s">
        <v>657</v>
      </c>
      <c r="L6828" t="s">
        <v>3184</v>
      </c>
      <c r="M6828" t="s">
        <v>662</v>
      </c>
    </row>
    <row r="6829" spans="1:13">
      <c r="A6829" t="s">
        <v>851</v>
      </c>
      <c r="B6829" t="s">
        <v>686</v>
      </c>
      <c r="C6829" t="s">
        <v>686</v>
      </c>
      <c r="D6829" t="s">
        <v>236</v>
      </c>
      <c r="E6829" t="s">
        <v>660</v>
      </c>
      <c r="F6829" t="s">
        <v>40</v>
      </c>
      <c r="G6829">
        <v>2020</v>
      </c>
      <c r="H6829" s="12">
        <v>5146</v>
      </c>
      <c r="I6829" t="s">
        <v>3183</v>
      </c>
      <c r="J6829" t="s">
        <v>41</v>
      </c>
      <c r="K6829" t="s">
        <v>657</v>
      </c>
      <c r="L6829" t="s">
        <v>3184</v>
      </c>
      <c r="M6829" t="s">
        <v>662</v>
      </c>
    </row>
    <row r="6830" spans="1:13">
      <c r="A6830" t="s">
        <v>851</v>
      </c>
      <c r="B6830" t="s">
        <v>686</v>
      </c>
      <c r="C6830" t="s">
        <v>686</v>
      </c>
      <c r="D6830" t="s">
        <v>236</v>
      </c>
      <c r="E6830" t="s">
        <v>660</v>
      </c>
      <c r="F6830" t="s">
        <v>40</v>
      </c>
      <c r="G6830">
        <v>2030</v>
      </c>
      <c r="H6830" s="12">
        <v>6691</v>
      </c>
      <c r="I6830" t="s">
        <v>3183</v>
      </c>
      <c r="J6830" t="s">
        <v>41</v>
      </c>
      <c r="K6830" t="s">
        <v>657</v>
      </c>
      <c r="L6830" t="s">
        <v>3184</v>
      </c>
      <c r="M6830" t="s">
        <v>662</v>
      </c>
    </row>
    <row r="6831" spans="1:13">
      <c r="A6831" t="s">
        <v>851</v>
      </c>
      <c r="B6831" t="s">
        <v>686</v>
      </c>
      <c r="C6831" t="s">
        <v>686</v>
      </c>
      <c r="D6831" t="s">
        <v>236</v>
      </c>
      <c r="E6831" t="s">
        <v>660</v>
      </c>
      <c r="F6831" t="s">
        <v>40</v>
      </c>
      <c r="G6831">
        <v>2035</v>
      </c>
      <c r="H6831" s="12">
        <v>7250</v>
      </c>
      <c r="I6831" t="s">
        <v>3183</v>
      </c>
      <c r="J6831" t="s">
        <v>41</v>
      </c>
      <c r="K6831" t="s">
        <v>657</v>
      </c>
      <c r="L6831" t="s">
        <v>3184</v>
      </c>
      <c r="M6831" t="s">
        <v>662</v>
      </c>
    </row>
    <row r="6832" spans="1:13">
      <c r="A6832" t="s">
        <v>851</v>
      </c>
      <c r="B6832" t="s">
        <v>686</v>
      </c>
      <c r="C6832" t="s">
        <v>686</v>
      </c>
      <c r="D6832" t="s">
        <v>236</v>
      </c>
      <c r="E6832" t="s">
        <v>660</v>
      </c>
      <c r="F6832" t="s">
        <v>40</v>
      </c>
      <c r="G6832">
        <v>2040</v>
      </c>
      <c r="H6832" s="12">
        <v>7989</v>
      </c>
      <c r="I6832" t="s">
        <v>3183</v>
      </c>
      <c r="J6832" t="s">
        <v>41</v>
      </c>
      <c r="K6832" t="s">
        <v>657</v>
      </c>
      <c r="L6832" t="s">
        <v>3184</v>
      </c>
      <c r="M6832" t="s">
        <v>662</v>
      </c>
    </row>
    <row r="6833" spans="1:13">
      <c r="A6833" t="s">
        <v>851</v>
      </c>
      <c r="B6833" t="s">
        <v>686</v>
      </c>
      <c r="C6833" t="s">
        <v>686</v>
      </c>
      <c r="D6833" t="s">
        <v>236</v>
      </c>
      <c r="E6833" t="s">
        <v>660</v>
      </c>
      <c r="F6833" t="s">
        <v>40</v>
      </c>
      <c r="G6833">
        <v>2045</v>
      </c>
      <c r="H6833" s="12">
        <v>8446</v>
      </c>
      <c r="I6833" t="s">
        <v>3183</v>
      </c>
      <c r="J6833" t="s">
        <v>41</v>
      </c>
      <c r="K6833" t="s">
        <v>657</v>
      </c>
      <c r="L6833" t="s">
        <v>3184</v>
      </c>
      <c r="M6833" t="s">
        <v>662</v>
      </c>
    </row>
    <row r="6834" spans="1:13">
      <c r="A6834" t="s">
        <v>851</v>
      </c>
      <c r="B6834" t="s">
        <v>686</v>
      </c>
      <c r="C6834" t="s">
        <v>686</v>
      </c>
      <c r="D6834" t="s">
        <v>236</v>
      </c>
      <c r="E6834" t="s">
        <v>660</v>
      </c>
      <c r="F6834" t="s">
        <v>40</v>
      </c>
      <c r="G6834">
        <v>2050</v>
      </c>
      <c r="H6834" s="12">
        <v>8853</v>
      </c>
      <c r="I6834" t="s">
        <v>3183</v>
      </c>
      <c r="J6834" t="s">
        <v>41</v>
      </c>
      <c r="K6834" t="s">
        <v>657</v>
      </c>
      <c r="L6834" t="s">
        <v>3184</v>
      </c>
      <c r="M6834" t="s">
        <v>662</v>
      </c>
    </row>
    <row r="6835" spans="1:13">
      <c r="A6835" t="s">
        <v>851</v>
      </c>
      <c r="B6835" t="s">
        <v>687</v>
      </c>
      <c r="C6835" t="s">
        <v>687</v>
      </c>
      <c r="D6835" t="s">
        <v>236</v>
      </c>
      <c r="E6835" t="s">
        <v>660</v>
      </c>
      <c r="F6835" t="s">
        <v>40</v>
      </c>
      <c r="G6835">
        <v>2030</v>
      </c>
      <c r="H6835" s="12">
        <v>8398</v>
      </c>
      <c r="I6835" t="s">
        <v>3183</v>
      </c>
      <c r="J6835" t="s">
        <v>41</v>
      </c>
      <c r="K6835" t="s">
        <v>657</v>
      </c>
      <c r="L6835" t="s">
        <v>3184</v>
      </c>
      <c r="M6835" t="s">
        <v>662</v>
      </c>
    </row>
    <row r="6836" spans="1:13">
      <c r="A6836" t="s">
        <v>851</v>
      </c>
      <c r="B6836" t="s">
        <v>687</v>
      </c>
      <c r="C6836" t="s">
        <v>687</v>
      </c>
      <c r="D6836" t="s">
        <v>236</v>
      </c>
      <c r="E6836" t="s">
        <v>660</v>
      </c>
      <c r="F6836" t="s">
        <v>40</v>
      </c>
      <c r="G6836">
        <v>2035</v>
      </c>
      <c r="H6836" s="12">
        <v>9469</v>
      </c>
      <c r="I6836" t="s">
        <v>3183</v>
      </c>
      <c r="J6836" t="s">
        <v>41</v>
      </c>
      <c r="K6836" t="s">
        <v>657</v>
      </c>
      <c r="L6836" t="s">
        <v>3184</v>
      </c>
      <c r="M6836" t="s">
        <v>662</v>
      </c>
    </row>
    <row r="6837" spans="1:13">
      <c r="A6837" t="s">
        <v>851</v>
      </c>
      <c r="B6837" t="s">
        <v>687</v>
      </c>
      <c r="C6837" t="s">
        <v>687</v>
      </c>
      <c r="D6837" t="s">
        <v>236</v>
      </c>
      <c r="E6837" t="s">
        <v>660</v>
      </c>
      <c r="F6837" t="s">
        <v>40</v>
      </c>
      <c r="G6837">
        <v>2040</v>
      </c>
      <c r="H6837" s="12">
        <v>10175</v>
      </c>
      <c r="I6837" t="s">
        <v>3183</v>
      </c>
      <c r="J6837" t="s">
        <v>41</v>
      </c>
      <c r="K6837" t="s">
        <v>657</v>
      </c>
      <c r="L6837" t="s">
        <v>3184</v>
      </c>
      <c r="M6837" t="s">
        <v>662</v>
      </c>
    </row>
    <row r="6838" spans="1:13">
      <c r="A6838" t="s">
        <v>851</v>
      </c>
      <c r="B6838" t="s">
        <v>687</v>
      </c>
      <c r="C6838" t="s">
        <v>687</v>
      </c>
      <c r="D6838" t="s">
        <v>236</v>
      </c>
      <c r="E6838" t="s">
        <v>660</v>
      </c>
      <c r="F6838" t="s">
        <v>40</v>
      </c>
      <c r="G6838">
        <v>2045</v>
      </c>
      <c r="H6838" s="12">
        <v>9667</v>
      </c>
      <c r="I6838" t="s">
        <v>3183</v>
      </c>
      <c r="J6838" t="s">
        <v>41</v>
      </c>
      <c r="K6838" t="s">
        <v>657</v>
      </c>
      <c r="L6838" t="s">
        <v>3184</v>
      </c>
      <c r="M6838" t="s">
        <v>662</v>
      </c>
    </row>
    <row r="6839" spans="1:13">
      <c r="A6839" t="s">
        <v>851</v>
      </c>
      <c r="B6839" t="s">
        <v>687</v>
      </c>
      <c r="C6839" t="s">
        <v>687</v>
      </c>
      <c r="D6839" t="s">
        <v>236</v>
      </c>
      <c r="E6839" t="s">
        <v>660</v>
      </c>
      <c r="F6839" t="s">
        <v>40</v>
      </c>
      <c r="G6839">
        <v>2050</v>
      </c>
      <c r="H6839" s="12">
        <v>9731</v>
      </c>
      <c r="I6839" t="s">
        <v>3183</v>
      </c>
      <c r="J6839" t="s">
        <v>41</v>
      </c>
      <c r="K6839" t="s">
        <v>657</v>
      </c>
      <c r="L6839" t="s">
        <v>3184</v>
      </c>
      <c r="M6839" t="s">
        <v>662</v>
      </c>
    </row>
    <row r="6840" spans="1:13">
      <c r="A6840" t="s">
        <v>851</v>
      </c>
      <c r="B6840" t="s">
        <v>686</v>
      </c>
      <c r="C6840" t="s">
        <v>686</v>
      </c>
      <c r="D6840" t="s">
        <v>236</v>
      </c>
      <c r="E6840" t="s">
        <v>660</v>
      </c>
      <c r="F6840" t="s">
        <v>40</v>
      </c>
      <c r="G6840">
        <v>2010</v>
      </c>
      <c r="H6840" s="12">
        <v>326</v>
      </c>
      <c r="I6840" t="s">
        <v>3183</v>
      </c>
      <c r="J6840" t="s">
        <v>41</v>
      </c>
      <c r="K6840" t="s">
        <v>657</v>
      </c>
      <c r="L6840" t="s">
        <v>3184</v>
      </c>
      <c r="M6840" t="s">
        <v>661</v>
      </c>
    </row>
    <row r="6841" spans="1:13">
      <c r="A6841" t="s">
        <v>851</v>
      </c>
      <c r="B6841" t="s">
        <v>686</v>
      </c>
      <c r="C6841" t="s">
        <v>686</v>
      </c>
      <c r="D6841" t="s">
        <v>236</v>
      </c>
      <c r="E6841" t="s">
        <v>660</v>
      </c>
      <c r="F6841" t="s">
        <v>40</v>
      </c>
      <c r="G6841">
        <v>2015</v>
      </c>
      <c r="H6841" s="12">
        <v>285</v>
      </c>
      <c r="I6841" t="s">
        <v>3183</v>
      </c>
      <c r="J6841" t="s">
        <v>41</v>
      </c>
      <c r="K6841" t="s">
        <v>657</v>
      </c>
      <c r="L6841" t="s">
        <v>3184</v>
      </c>
      <c r="M6841" t="s">
        <v>661</v>
      </c>
    </row>
    <row r="6842" spans="1:13">
      <c r="A6842" t="s">
        <v>851</v>
      </c>
      <c r="B6842" t="s">
        <v>686</v>
      </c>
      <c r="C6842" t="s">
        <v>686</v>
      </c>
      <c r="D6842" t="s">
        <v>236</v>
      </c>
      <c r="E6842" t="s">
        <v>660</v>
      </c>
      <c r="F6842" t="s">
        <v>40</v>
      </c>
      <c r="G6842">
        <v>2020</v>
      </c>
      <c r="H6842" s="12">
        <v>319</v>
      </c>
      <c r="I6842" t="s">
        <v>3183</v>
      </c>
      <c r="J6842" t="s">
        <v>41</v>
      </c>
      <c r="K6842" t="s">
        <v>657</v>
      </c>
      <c r="L6842" t="s">
        <v>3184</v>
      </c>
      <c r="M6842" t="s">
        <v>661</v>
      </c>
    </row>
    <row r="6843" spans="1:13">
      <c r="A6843" t="s">
        <v>851</v>
      </c>
      <c r="B6843" t="s">
        <v>686</v>
      </c>
      <c r="C6843" t="s">
        <v>686</v>
      </c>
      <c r="D6843" t="s">
        <v>236</v>
      </c>
      <c r="E6843" t="s">
        <v>660</v>
      </c>
      <c r="F6843" t="s">
        <v>40</v>
      </c>
      <c r="G6843">
        <v>2030</v>
      </c>
      <c r="H6843" s="12">
        <v>253</v>
      </c>
      <c r="I6843" t="s">
        <v>3183</v>
      </c>
      <c r="J6843" t="s">
        <v>41</v>
      </c>
      <c r="K6843" t="s">
        <v>657</v>
      </c>
      <c r="L6843" t="s">
        <v>3184</v>
      </c>
      <c r="M6843" t="s">
        <v>661</v>
      </c>
    </row>
    <row r="6844" spans="1:13">
      <c r="A6844" t="s">
        <v>851</v>
      </c>
      <c r="B6844" t="s">
        <v>686</v>
      </c>
      <c r="C6844" t="s">
        <v>686</v>
      </c>
      <c r="D6844" t="s">
        <v>236</v>
      </c>
      <c r="E6844" t="s">
        <v>660</v>
      </c>
      <c r="F6844" t="s">
        <v>40</v>
      </c>
      <c r="G6844">
        <v>2035</v>
      </c>
      <c r="H6844" s="12">
        <v>254</v>
      </c>
      <c r="I6844" t="s">
        <v>3183</v>
      </c>
      <c r="J6844" t="s">
        <v>41</v>
      </c>
      <c r="K6844" t="s">
        <v>657</v>
      </c>
      <c r="L6844" t="s">
        <v>3184</v>
      </c>
      <c r="M6844" t="s">
        <v>661</v>
      </c>
    </row>
    <row r="6845" spans="1:13">
      <c r="A6845" t="s">
        <v>851</v>
      </c>
      <c r="B6845" t="s">
        <v>686</v>
      </c>
      <c r="C6845" t="s">
        <v>686</v>
      </c>
      <c r="D6845" t="s">
        <v>236</v>
      </c>
      <c r="E6845" t="s">
        <v>660</v>
      </c>
      <c r="F6845" t="s">
        <v>40</v>
      </c>
      <c r="G6845">
        <v>2040</v>
      </c>
      <c r="H6845" s="12">
        <v>230</v>
      </c>
      <c r="I6845" t="s">
        <v>3183</v>
      </c>
      <c r="J6845" t="s">
        <v>41</v>
      </c>
      <c r="K6845" t="s">
        <v>657</v>
      </c>
      <c r="L6845" t="s">
        <v>3184</v>
      </c>
      <c r="M6845" t="s">
        <v>661</v>
      </c>
    </row>
    <row r="6846" spans="1:13">
      <c r="A6846" t="s">
        <v>851</v>
      </c>
      <c r="B6846" t="s">
        <v>686</v>
      </c>
      <c r="C6846" t="s">
        <v>686</v>
      </c>
      <c r="D6846" t="s">
        <v>236</v>
      </c>
      <c r="E6846" t="s">
        <v>660</v>
      </c>
      <c r="F6846" t="s">
        <v>40</v>
      </c>
      <c r="G6846">
        <v>2045</v>
      </c>
      <c r="H6846" s="12">
        <v>197</v>
      </c>
      <c r="I6846" t="s">
        <v>3183</v>
      </c>
      <c r="J6846" t="s">
        <v>41</v>
      </c>
      <c r="K6846" t="s">
        <v>657</v>
      </c>
      <c r="L6846" t="s">
        <v>3184</v>
      </c>
      <c r="M6846" t="s">
        <v>661</v>
      </c>
    </row>
    <row r="6847" spans="1:13">
      <c r="A6847" t="s">
        <v>851</v>
      </c>
      <c r="B6847" t="s">
        <v>686</v>
      </c>
      <c r="C6847" t="s">
        <v>686</v>
      </c>
      <c r="D6847" t="s">
        <v>236</v>
      </c>
      <c r="E6847" t="s">
        <v>660</v>
      </c>
      <c r="F6847" t="s">
        <v>40</v>
      </c>
      <c r="G6847">
        <v>2050</v>
      </c>
      <c r="H6847" s="12">
        <v>125</v>
      </c>
      <c r="I6847" t="s">
        <v>3183</v>
      </c>
      <c r="J6847" t="s">
        <v>41</v>
      </c>
      <c r="K6847" t="s">
        <v>657</v>
      </c>
      <c r="L6847" t="s">
        <v>3184</v>
      </c>
      <c r="M6847" t="s">
        <v>661</v>
      </c>
    </row>
    <row r="6848" spans="1:13">
      <c r="A6848" t="s">
        <v>851</v>
      </c>
      <c r="B6848" t="s">
        <v>687</v>
      </c>
      <c r="C6848" t="s">
        <v>687</v>
      </c>
      <c r="D6848" t="s">
        <v>236</v>
      </c>
      <c r="E6848" t="s">
        <v>660</v>
      </c>
      <c r="F6848" t="s">
        <v>40</v>
      </c>
      <c r="G6848">
        <v>2030</v>
      </c>
      <c r="H6848" s="12">
        <v>253</v>
      </c>
      <c r="I6848" t="s">
        <v>3183</v>
      </c>
      <c r="J6848" t="s">
        <v>41</v>
      </c>
      <c r="K6848" t="s">
        <v>657</v>
      </c>
      <c r="L6848" t="s">
        <v>3184</v>
      </c>
      <c r="M6848" t="s">
        <v>661</v>
      </c>
    </row>
    <row r="6849" spans="1:13">
      <c r="A6849" t="s">
        <v>851</v>
      </c>
      <c r="B6849" t="s">
        <v>687</v>
      </c>
      <c r="C6849" t="s">
        <v>687</v>
      </c>
      <c r="D6849" t="s">
        <v>236</v>
      </c>
      <c r="E6849" t="s">
        <v>660</v>
      </c>
      <c r="F6849" t="s">
        <v>40</v>
      </c>
      <c r="G6849">
        <v>2035</v>
      </c>
      <c r="H6849" s="12">
        <v>254</v>
      </c>
      <c r="I6849" t="s">
        <v>3183</v>
      </c>
      <c r="J6849" t="s">
        <v>41</v>
      </c>
      <c r="K6849" t="s">
        <v>657</v>
      </c>
      <c r="L6849" t="s">
        <v>3184</v>
      </c>
      <c r="M6849" t="s">
        <v>661</v>
      </c>
    </row>
    <row r="6850" spans="1:13">
      <c r="A6850" t="s">
        <v>851</v>
      </c>
      <c r="B6850" t="s">
        <v>687</v>
      </c>
      <c r="C6850" t="s">
        <v>687</v>
      </c>
      <c r="D6850" t="s">
        <v>236</v>
      </c>
      <c r="E6850" t="s">
        <v>660</v>
      </c>
      <c r="F6850" t="s">
        <v>40</v>
      </c>
      <c r="G6850">
        <v>2040</v>
      </c>
      <c r="H6850" s="12">
        <v>230</v>
      </c>
      <c r="I6850" t="s">
        <v>3183</v>
      </c>
      <c r="J6850" t="s">
        <v>41</v>
      </c>
      <c r="K6850" t="s">
        <v>657</v>
      </c>
      <c r="L6850" t="s">
        <v>3184</v>
      </c>
      <c r="M6850" t="s">
        <v>661</v>
      </c>
    </row>
    <row r="6851" spans="1:13">
      <c r="A6851" t="s">
        <v>851</v>
      </c>
      <c r="B6851" t="s">
        <v>687</v>
      </c>
      <c r="C6851" t="s">
        <v>687</v>
      </c>
      <c r="D6851" t="s">
        <v>236</v>
      </c>
      <c r="E6851" t="s">
        <v>660</v>
      </c>
      <c r="F6851" t="s">
        <v>40</v>
      </c>
      <c r="G6851">
        <v>2045</v>
      </c>
      <c r="H6851" s="12">
        <v>197</v>
      </c>
      <c r="I6851" t="s">
        <v>3183</v>
      </c>
      <c r="J6851" t="s">
        <v>41</v>
      </c>
      <c r="K6851" t="s">
        <v>657</v>
      </c>
      <c r="L6851" t="s">
        <v>3184</v>
      </c>
      <c r="M6851" t="s">
        <v>661</v>
      </c>
    </row>
    <row r="6852" spans="1:13">
      <c r="A6852" t="s">
        <v>851</v>
      </c>
      <c r="B6852" t="s">
        <v>687</v>
      </c>
      <c r="C6852" t="s">
        <v>687</v>
      </c>
      <c r="D6852" t="s">
        <v>236</v>
      </c>
      <c r="E6852" t="s">
        <v>660</v>
      </c>
      <c r="F6852" t="s">
        <v>40</v>
      </c>
      <c r="G6852">
        <v>2050</v>
      </c>
      <c r="H6852" s="12">
        <v>125</v>
      </c>
      <c r="I6852" t="s">
        <v>3183</v>
      </c>
      <c r="J6852" t="s">
        <v>41</v>
      </c>
      <c r="K6852" t="s">
        <v>657</v>
      </c>
      <c r="L6852" t="s">
        <v>3184</v>
      </c>
      <c r="M6852" t="s">
        <v>661</v>
      </c>
    </row>
    <row r="6853" spans="1:13">
      <c r="A6853" t="s">
        <v>851</v>
      </c>
      <c r="B6853" t="s">
        <v>686</v>
      </c>
      <c r="C6853" t="s">
        <v>686</v>
      </c>
      <c r="D6853" t="s">
        <v>236</v>
      </c>
      <c r="E6853" t="s">
        <v>660</v>
      </c>
      <c r="F6853" t="s">
        <v>40</v>
      </c>
      <c r="G6853">
        <v>2010</v>
      </c>
      <c r="H6853" s="12">
        <v>158</v>
      </c>
      <c r="I6853" t="s">
        <v>3183</v>
      </c>
      <c r="J6853" t="s">
        <v>15</v>
      </c>
      <c r="K6853" t="s">
        <v>657</v>
      </c>
      <c r="L6853" t="s">
        <v>3184</v>
      </c>
      <c r="M6853" t="s">
        <v>15</v>
      </c>
    </row>
    <row r="6854" spans="1:13">
      <c r="A6854" t="s">
        <v>851</v>
      </c>
      <c r="B6854" t="s">
        <v>686</v>
      </c>
      <c r="C6854" t="s">
        <v>686</v>
      </c>
      <c r="D6854" t="s">
        <v>236</v>
      </c>
      <c r="E6854" t="s">
        <v>660</v>
      </c>
      <c r="F6854" t="s">
        <v>40</v>
      </c>
      <c r="G6854">
        <v>2015</v>
      </c>
      <c r="H6854" s="12">
        <v>161</v>
      </c>
      <c r="I6854" t="s">
        <v>3183</v>
      </c>
      <c r="J6854" t="s">
        <v>15</v>
      </c>
      <c r="K6854" t="s">
        <v>657</v>
      </c>
      <c r="L6854" t="s">
        <v>3184</v>
      </c>
      <c r="M6854" t="s">
        <v>15</v>
      </c>
    </row>
    <row r="6855" spans="1:13">
      <c r="A6855" t="s">
        <v>851</v>
      </c>
      <c r="B6855" t="s">
        <v>686</v>
      </c>
      <c r="C6855" t="s">
        <v>686</v>
      </c>
      <c r="D6855" t="s">
        <v>236</v>
      </c>
      <c r="E6855" t="s">
        <v>660</v>
      </c>
      <c r="F6855" t="s">
        <v>40</v>
      </c>
      <c r="G6855">
        <v>2020</v>
      </c>
      <c r="H6855" s="12">
        <v>153</v>
      </c>
      <c r="I6855" t="s">
        <v>3183</v>
      </c>
      <c r="J6855" t="s">
        <v>15</v>
      </c>
      <c r="K6855" t="s">
        <v>657</v>
      </c>
      <c r="L6855" t="s">
        <v>3184</v>
      </c>
      <c r="M6855" t="s">
        <v>15</v>
      </c>
    </row>
    <row r="6856" spans="1:13">
      <c r="A6856" t="s">
        <v>851</v>
      </c>
      <c r="B6856" t="s">
        <v>686</v>
      </c>
      <c r="C6856" t="s">
        <v>686</v>
      </c>
      <c r="D6856" t="s">
        <v>236</v>
      </c>
      <c r="E6856" t="s">
        <v>660</v>
      </c>
      <c r="F6856" t="s">
        <v>40</v>
      </c>
      <c r="G6856">
        <v>2030</v>
      </c>
      <c r="H6856" s="12">
        <v>227</v>
      </c>
      <c r="I6856" t="s">
        <v>3183</v>
      </c>
      <c r="J6856" t="s">
        <v>15</v>
      </c>
      <c r="K6856" t="s">
        <v>657</v>
      </c>
      <c r="L6856" t="s">
        <v>3184</v>
      </c>
      <c r="M6856" t="s">
        <v>15</v>
      </c>
    </row>
    <row r="6857" spans="1:13">
      <c r="A6857" t="s">
        <v>851</v>
      </c>
      <c r="B6857" t="s">
        <v>686</v>
      </c>
      <c r="C6857" t="s">
        <v>686</v>
      </c>
      <c r="D6857" t="s">
        <v>3185</v>
      </c>
      <c r="E6857" t="s">
        <v>242</v>
      </c>
      <c r="F6857" t="s">
        <v>663</v>
      </c>
      <c r="G6857">
        <v>2010</v>
      </c>
      <c r="H6857" s="12">
        <v>49.76</v>
      </c>
      <c r="I6857" t="s">
        <v>3183</v>
      </c>
      <c r="J6857" t="s">
        <v>5</v>
      </c>
      <c r="K6857" t="s">
        <v>664</v>
      </c>
      <c r="L6857" t="s">
        <v>844</v>
      </c>
      <c r="M6857" t="s">
        <v>5</v>
      </c>
    </row>
    <row r="6858" spans="1:13">
      <c r="A6858" t="s">
        <v>851</v>
      </c>
      <c r="B6858" t="s">
        <v>686</v>
      </c>
      <c r="C6858" t="s">
        <v>686</v>
      </c>
      <c r="D6858" t="s">
        <v>3185</v>
      </c>
      <c r="E6858" t="s">
        <v>242</v>
      </c>
      <c r="F6858" t="s">
        <v>663</v>
      </c>
      <c r="G6858">
        <v>2015</v>
      </c>
      <c r="H6858" s="12">
        <v>52.2</v>
      </c>
      <c r="I6858" t="s">
        <v>3183</v>
      </c>
      <c r="J6858" t="s">
        <v>5</v>
      </c>
      <c r="K6858" t="s">
        <v>664</v>
      </c>
      <c r="L6858" t="s">
        <v>844</v>
      </c>
      <c r="M6858" t="s">
        <v>5</v>
      </c>
    </row>
    <row r="6859" spans="1:13">
      <c r="A6859" t="s">
        <v>851</v>
      </c>
      <c r="B6859" t="s">
        <v>686</v>
      </c>
      <c r="C6859" t="s">
        <v>686</v>
      </c>
      <c r="D6859" t="s">
        <v>3185</v>
      </c>
      <c r="E6859" t="s">
        <v>242</v>
      </c>
      <c r="F6859" t="s">
        <v>663</v>
      </c>
      <c r="G6859">
        <v>2020</v>
      </c>
      <c r="H6859" s="12">
        <v>48.66</v>
      </c>
      <c r="I6859" t="s">
        <v>3183</v>
      </c>
      <c r="J6859" t="s">
        <v>5</v>
      </c>
      <c r="K6859" t="s">
        <v>664</v>
      </c>
      <c r="L6859" t="s">
        <v>844</v>
      </c>
      <c r="M6859" t="s">
        <v>5</v>
      </c>
    </row>
    <row r="6860" spans="1:13">
      <c r="A6860" t="s">
        <v>851</v>
      </c>
      <c r="B6860" t="s">
        <v>686</v>
      </c>
      <c r="C6860" t="s">
        <v>686</v>
      </c>
      <c r="D6860" t="s">
        <v>3185</v>
      </c>
      <c r="E6860" t="s">
        <v>242</v>
      </c>
      <c r="F6860" t="s">
        <v>663</v>
      </c>
      <c r="G6860">
        <v>2030</v>
      </c>
      <c r="H6860" s="12">
        <v>67.37</v>
      </c>
      <c r="I6860" t="s">
        <v>3183</v>
      </c>
      <c r="J6860" t="s">
        <v>5</v>
      </c>
      <c r="K6860" t="s">
        <v>664</v>
      </c>
      <c r="L6860" t="s">
        <v>844</v>
      </c>
      <c r="M6860" t="s">
        <v>5</v>
      </c>
    </row>
    <row r="6861" spans="1:13">
      <c r="A6861" t="s">
        <v>851</v>
      </c>
      <c r="B6861" t="s">
        <v>686</v>
      </c>
      <c r="C6861" t="s">
        <v>686</v>
      </c>
      <c r="D6861" t="s">
        <v>3185</v>
      </c>
      <c r="E6861" t="s">
        <v>242</v>
      </c>
      <c r="F6861" t="s">
        <v>663</v>
      </c>
      <c r="G6861">
        <v>2035</v>
      </c>
      <c r="H6861" s="12">
        <v>75.650000000000006</v>
      </c>
      <c r="I6861" t="s">
        <v>3183</v>
      </c>
      <c r="J6861" t="s">
        <v>5</v>
      </c>
      <c r="K6861" t="s">
        <v>664</v>
      </c>
      <c r="L6861" t="s">
        <v>844</v>
      </c>
      <c r="M6861" t="s">
        <v>5</v>
      </c>
    </row>
    <row r="6862" spans="1:13">
      <c r="A6862" t="s">
        <v>851</v>
      </c>
      <c r="B6862" t="s">
        <v>686</v>
      </c>
      <c r="C6862" t="s">
        <v>686</v>
      </c>
      <c r="D6862" t="s">
        <v>3185</v>
      </c>
      <c r="E6862" t="s">
        <v>242</v>
      </c>
      <c r="F6862" t="s">
        <v>663</v>
      </c>
      <c r="G6862">
        <v>2040</v>
      </c>
      <c r="H6862" s="12">
        <v>82.47</v>
      </c>
      <c r="I6862" t="s">
        <v>3183</v>
      </c>
      <c r="J6862" t="s">
        <v>5</v>
      </c>
      <c r="K6862" t="s">
        <v>664</v>
      </c>
      <c r="L6862" t="s">
        <v>844</v>
      </c>
      <c r="M6862" t="s">
        <v>5</v>
      </c>
    </row>
    <row r="6863" spans="1:13">
      <c r="A6863" t="s">
        <v>851</v>
      </c>
      <c r="B6863" t="s">
        <v>686</v>
      </c>
      <c r="C6863" t="s">
        <v>686</v>
      </c>
      <c r="D6863" t="s">
        <v>3185</v>
      </c>
      <c r="E6863" t="s">
        <v>242</v>
      </c>
      <c r="F6863" t="s">
        <v>663</v>
      </c>
      <c r="G6863">
        <v>2045</v>
      </c>
      <c r="H6863" s="12">
        <v>87.92</v>
      </c>
      <c r="I6863" t="s">
        <v>3183</v>
      </c>
      <c r="J6863" t="s">
        <v>5</v>
      </c>
      <c r="K6863" t="s">
        <v>664</v>
      </c>
      <c r="L6863" t="s">
        <v>844</v>
      </c>
      <c r="M6863" t="s">
        <v>5</v>
      </c>
    </row>
    <row r="6864" spans="1:13">
      <c r="A6864" t="s">
        <v>851</v>
      </c>
      <c r="B6864" t="s">
        <v>686</v>
      </c>
      <c r="C6864" t="s">
        <v>686</v>
      </c>
      <c r="D6864" t="s">
        <v>3185</v>
      </c>
      <c r="E6864" t="s">
        <v>242</v>
      </c>
      <c r="F6864" t="s">
        <v>663</v>
      </c>
      <c r="G6864">
        <v>2050</v>
      </c>
      <c r="H6864" s="12">
        <v>92.83</v>
      </c>
      <c r="I6864" t="s">
        <v>3183</v>
      </c>
      <c r="J6864" t="s">
        <v>5</v>
      </c>
      <c r="K6864" t="s">
        <v>664</v>
      </c>
      <c r="L6864" t="s">
        <v>844</v>
      </c>
      <c r="M6864" t="s">
        <v>5</v>
      </c>
    </row>
    <row r="6865" spans="1:13">
      <c r="A6865" t="s">
        <v>851</v>
      </c>
      <c r="B6865" t="s">
        <v>687</v>
      </c>
      <c r="C6865" t="s">
        <v>687</v>
      </c>
      <c r="D6865" t="s">
        <v>3185</v>
      </c>
      <c r="E6865" t="s">
        <v>242</v>
      </c>
      <c r="F6865" t="s">
        <v>663</v>
      </c>
      <c r="G6865">
        <v>2030</v>
      </c>
      <c r="H6865" s="12">
        <v>51.92</v>
      </c>
      <c r="I6865" t="s">
        <v>3183</v>
      </c>
      <c r="J6865" t="s">
        <v>5</v>
      </c>
      <c r="K6865" t="s">
        <v>664</v>
      </c>
      <c r="L6865" t="s">
        <v>844</v>
      </c>
      <c r="M6865" t="s">
        <v>5</v>
      </c>
    </row>
    <row r="6866" spans="1:13">
      <c r="A6866" t="s">
        <v>851</v>
      </c>
      <c r="B6866" t="s">
        <v>687</v>
      </c>
      <c r="C6866" t="s">
        <v>687</v>
      </c>
      <c r="D6866" t="s">
        <v>3185</v>
      </c>
      <c r="E6866" t="s">
        <v>242</v>
      </c>
      <c r="F6866" t="s">
        <v>663</v>
      </c>
      <c r="G6866">
        <v>2035</v>
      </c>
      <c r="H6866" s="12">
        <v>47</v>
      </c>
      <c r="I6866" t="s">
        <v>3183</v>
      </c>
      <c r="J6866" t="s">
        <v>5</v>
      </c>
      <c r="K6866" t="s">
        <v>664</v>
      </c>
      <c r="L6866" t="s">
        <v>844</v>
      </c>
      <c r="M6866" t="s">
        <v>5</v>
      </c>
    </row>
    <row r="6867" spans="1:13">
      <c r="A6867" t="s">
        <v>851</v>
      </c>
      <c r="B6867" t="s">
        <v>687</v>
      </c>
      <c r="C6867" t="s">
        <v>687</v>
      </c>
      <c r="D6867" t="s">
        <v>3185</v>
      </c>
      <c r="E6867" t="s">
        <v>242</v>
      </c>
      <c r="F6867" t="s">
        <v>663</v>
      </c>
      <c r="G6867">
        <v>2040</v>
      </c>
      <c r="H6867" s="12">
        <v>40.78</v>
      </c>
      <c r="I6867" t="s">
        <v>3183</v>
      </c>
      <c r="J6867" t="s">
        <v>5</v>
      </c>
      <c r="K6867" t="s">
        <v>664</v>
      </c>
      <c r="L6867" t="s">
        <v>844</v>
      </c>
      <c r="M6867" t="s">
        <v>5</v>
      </c>
    </row>
    <row r="6868" spans="1:13">
      <c r="A6868" t="s">
        <v>851</v>
      </c>
      <c r="B6868" t="s">
        <v>687</v>
      </c>
      <c r="C6868" t="s">
        <v>687</v>
      </c>
      <c r="D6868" t="s">
        <v>3185</v>
      </c>
      <c r="E6868" t="s">
        <v>242</v>
      </c>
      <c r="F6868" t="s">
        <v>663</v>
      </c>
      <c r="G6868">
        <v>2045</v>
      </c>
      <c r="H6868" s="12">
        <v>32.909999999999997</v>
      </c>
      <c r="I6868" t="s">
        <v>3183</v>
      </c>
      <c r="J6868" t="s">
        <v>5</v>
      </c>
      <c r="K6868" t="s">
        <v>664</v>
      </c>
      <c r="L6868" t="s">
        <v>844</v>
      </c>
      <c r="M6868" t="s">
        <v>5</v>
      </c>
    </row>
    <row r="6869" spans="1:13">
      <c r="A6869" t="s">
        <v>851</v>
      </c>
      <c r="B6869" t="s">
        <v>687</v>
      </c>
      <c r="C6869" t="s">
        <v>687</v>
      </c>
      <c r="D6869" t="s">
        <v>3185</v>
      </c>
      <c r="E6869" t="s">
        <v>242</v>
      </c>
      <c r="F6869" t="s">
        <v>663</v>
      </c>
      <c r="G6869">
        <v>2050</v>
      </c>
      <c r="H6869" s="12">
        <v>26.16</v>
      </c>
      <c r="I6869" t="s">
        <v>3183</v>
      </c>
      <c r="J6869" t="s">
        <v>5</v>
      </c>
      <c r="K6869" t="s">
        <v>664</v>
      </c>
      <c r="L6869" t="s">
        <v>844</v>
      </c>
      <c r="M6869" t="s">
        <v>5</v>
      </c>
    </row>
    <row r="6870" spans="1:13">
      <c r="A6870" t="s">
        <v>851</v>
      </c>
      <c r="B6870" t="s">
        <v>686</v>
      </c>
      <c r="C6870" t="s">
        <v>686</v>
      </c>
      <c r="D6870" t="s">
        <v>3185</v>
      </c>
      <c r="E6870" t="s">
        <v>242</v>
      </c>
      <c r="F6870" t="s">
        <v>663</v>
      </c>
      <c r="G6870">
        <v>2010</v>
      </c>
      <c r="H6870" s="12">
        <v>564.12</v>
      </c>
      <c r="I6870" t="s">
        <v>3183</v>
      </c>
      <c r="J6870" t="s">
        <v>394</v>
      </c>
      <c r="K6870" t="s">
        <v>664</v>
      </c>
      <c r="L6870" t="s">
        <v>844</v>
      </c>
      <c r="M6870" t="s">
        <v>16</v>
      </c>
    </row>
    <row r="6871" spans="1:13">
      <c r="A6871" t="s">
        <v>851</v>
      </c>
      <c r="B6871" t="s">
        <v>686</v>
      </c>
      <c r="C6871" t="s">
        <v>686</v>
      </c>
      <c r="D6871" t="s">
        <v>3185</v>
      </c>
      <c r="E6871" t="s">
        <v>242</v>
      </c>
      <c r="F6871" t="s">
        <v>663</v>
      </c>
      <c r="G6871">
        <v>2015</v>
      </c>
      <c r="H6871" s="12">
        <v>613.71</v>
      </c>
      <c r="I6871" t="s">
        <v>3183</v>
      </c>
      <c r="J6871" t="s">
        <v>394</v>
      </c>
      <c r="K6871" t="s">
        <v>664</v>
      </c>
      <c r="L6871" t="s">
        <v>844</v>
      </c>
      <c r="M6871" t="s">
        <v>16</v>
      </c>
    </row>
    <row r="6872" spans="1:13">
      <c r="A6872" t="s">
        <v>851</v>
      </c>
      <c r="B6872" t="s">
        <v>686</v>
      </c>
      <c r="C6872" t="s">
        <v>686</v>
      </c>
      <c r="D6872" t="s">
        <v>3185</v>
      </c>
      <c r="E6872" t="s">
        <v>242</v>
      </c>
      <c r="F6872" t="s">
        <v>663</v>
      </c>
      <c r="G6872">
        <v>2020</v>
      </c>
      <c r="H6872" s="12">
        <v>549.82000000000005</v>
      </c>
      <c r="I6872" t="s">
        <v>3183</v>
      </c>
      <c r="J6872" t="s">
        <v>394</v>
      </c>
      <c r="K6872" t="s">
        <v>664</v>
      </c>
      <c r="L6872" t="s">
        <v>844</v>
      </c>
      <c r="M6872" t="s">
        <v>16</v>
      </c>
    </row>
    <row r="6873" spans="1:13">
      <c r="A6873" t="s">
        <v>851</v>
      </c>
      <c r="B6873" t="s">
        <v>686</v>
      </c>
      <c r="C6873" t="s">
        <v>686</v>
      </c>
      <c r="D6873" t="s">
        <v>3185</v>
      </c>
      <c r="E6873" t="s">
        <v>242</v>
      </c>
      <c r="F6873" t="s">
        <v>663</v>
      </c>
      <c r="G6873">
        <v>2030</v>
      </c>
      <c r="H6873" s="12">
        <v>650.97</v>
      </c>
      <c r="I6873" t="s">
        <v>3183</v>
      </c>
      <c r="J6873" t="s">
        <v>394</v>
      </c>
      <c r="K6873" t="s">
        <v>664</v>
      </c>
      <c r="L6873" t="s">
        <v>844</v>
      </c>
      <c r="M6873" t="s">
        <v>16</v>
      </c>
    </row>
    <row r="6874" spans="1:13">
      <c r="A6874" t="s">
        <v>851</v>
      </c>
      <c r="B6874" t="s">
        <v>686</v>
      </c>
      <c r="C6874" t="s">
        <v>686</v>
      </c>
      <c r="D6874" t="s">
        <v>3185</v>
      </c>
      <c r="E6874" t="s">
        <v>242</v>
      </c>
      <c r="F6874" t="s">
        <v>663</v>
      </c>
      <c r="G6874">
        <v>2035</v>
      </c>
      <c r="H6874" s="12">
        <v>686.83</v>
      </c>
      <c r="I6874" t="s">
        <v>3183</v>
      </c>
      <c r="J6874" t="s">
        <v>394</v>
      </c>
      <c r="K6874" t="s">
        <v>664</v>
      </c>
      <c r="L6874" t="s">
        <v>844</v>
      </c>
      <c r="M6874" t="s">
        <v>16</v>
      </c>
    </row>
    <row r="6875" spans="1:13">
      <c r="A6875" t="s">
        <v>851</v>
      </c>
      <c r="B6875" t="s">
        <v>686</v>
      </c>
      <c r="C6875" t="s">
        <v>686</v>
      </c>
      <c r="D6875" t="s">
        <v>3185</v>
      </c>
      <c r="E6875" t="s">
        <v>242</v>
      </c>
      <c r="F6875" t="s">
        <v>663</v>
      </c>
      <c r="G6875">
        <v>2040</v>
      </c>
      <c r="H6875" s="12">
        <v>704.76</v>
      </c>
      <c r="I6875" t="s">
        <v>3183</v>
      </c>
      <c r="J6875" t="s">
        <v>394</v>
      </c>
      <c r="K6875" t="s">
        <v>664</v>
      </c>
      <c r="L6875" t="s">
        <v>844</v>
      </c>
      <c r="M6875" t="s">
        <v>16</v>
      </c>
    </row>
    <row r="6876" spans="1:13">
      <c r="A6876" t="s">
        <v>851</v>
      </c>
      <c r="B6876" t="s">
        <v>686</v>
      </c>
      <c r="C6876" t="s">
        <v>686</v>
      </c>
      <c r="D6876" t="s">
        <v>3185</v>
      </c>
      <c r="E6876" t="s">
        <v>242</v>
      </c>
      <c r="F6876" t="s">
        <v>663</v>
      </c>
      <c r="G6876">
        <v>2045</v>
      </c>
      <c r="H6876" s="12">
        <v>715.11</v>
      </c>
      <c r="I6876" t="s">
        <v>3183</v>
      </c>
      <c r="J6876" t="s">
        <v>394</v>
      </c>
      <c r="K6876" t="s">
        <v>664</v>
      </c>
      <c r="L6876" t="s">
        <v>844</v>
      </c>
      <c r="M6876" t="s">
        <v>16</v>
      </c>
    </row>
    <row r="6877" spans="1:13">
      <c r="A6877" t="s">
        <v>851</v>
      </c>
      <c r="B6877" t="s">
        <v>686</v>
      </c>
      <c r="C6877" t="s">
        <v>686</v>
      </c>
      <c r="D6877" t="s">
        <v>3185</v>
      </c>
      <c r="E6877" t="s">
        <v>242</v>
      </c>
      <c r="F6877" t="s">
        <v>663</v>
      </c>
      <c r="G6877">
        <v>2050</v>
      </c>
      <c r="H6877" s="12">
        <v>708.27</v>
      </c>
      <c r="I6877" t="s">
        <v>3183</v>
      </c>
      <c r="J6877" t="s">
        <v>394</v>
      </c>
      <c r="K6877" t="s">
        <v>664</v>
      </c>
      <c r="L6877" t="s">
        <v>844</v>
      </c>
      <c r="M6877" t="s">
        <v>16</v>
      </c>
    </row>
    <row r="6878" spans="1:13">
      <c r="A6878" t="s">
        <v>851</v>
      </c>
      <c r="B6878" t="s">
        <v>687</v>
      </c>
      <c r="C6878" t="s">
        <v>687</v>
      </c>
      <c r="D6878" t="s">
        <v>3185</v>
      </c>
      <c r="E6878" t="s">
        <v>242</v>
      </c>
      <c r="F6878" t="s">
        <v>663</v>
      </c>
      <c r="G6878">
        <v>2030</v>
      </c>
      <c r="H6878" s="12">
        <v>559.64</v>
      </c>
      <c r="I6878" t="s">
        <v>3183</v>
      </c>
      <c r="J6878" t="s">
        <v>394</v>
      </c>
      <c r="K6878" t="s">
        <v>664</v>
      </c>
      <c r="L6878" t="s">
        <v>844</v>
      </c>
      <c r="M6878" t="s">
        <v>16</v>
      </c>
    </row>
    <row r="6879" spans="1:13">
      <c r="A6879" t="s">
        <v>851</v>
      </c>
      <c r="B6879" t="s">
        <v>687</v>
      </c>
      <c r="C6879" t="s">
        <v>687</v>
      </c>
      <c r="D6879" t="s">
        <v>3185</v>
      </c>
      <c r="E6879" t="s">
        <v>242</v>
      </c>
      <c r="F6879" t="s">
        <v>663</v>
      </c>
      <c r="G6879">
        <v>2035</v>
      </c>
      <c r="H6879" s="12">
        <v>488.04</v>
      </c>
      <c r="I6879" t="s">
        <v>3183</v>
      </c>
      <c r="J6879" t="s">
        <v>394</v>
      </c>
      <c r="K6879" t="s">
        <v>664</v>
      </c>
      <c r="L6879" t="s">
        <v>844</v>
      </c>
      <c r="M6879" t="s">
        <v>16</v>
      </c>
    </row>
    <row r="6880" spans="1:13">
      <c r="A6880" t="s">
        <v>851</v>
      </c>
      <c r="B6880" t="s">
        <v>687</v>
      </c>
      <c r="C6880" t="s">
        <v>687</v>
      </c>
      <c r="D6880" t="s">
        <v>3185</v>
      </c>
      <c r="E6880" t="s">
        <v>242</v>
      </c>
      <c r="F6880" t="s">
        <v>663</v>
      </c>
      <c r="G6880">
        <v>2040</v>
      </c>
      <c r="H6880" s="12">
        <v>399.25</v>
      </c>
      <c r="I6880" t="s">
        <v>3183</v>
      </c>
      <c r="J6880" t="s">
        <v>394</v>
      </c>
      <c r="K6880" t="s">
        <v>664</v>
      </c>
      <c r="L6880" t="s">
        <v>844</v>
      </c>
      <c r="M6880" t="s">
        <v>16</v>
      </c>
    </row>
    <row r="6881" spans="1:13">
      <c r="A6881" t="s">
        <v>851</v>
      </c>
      <c r="B6881" t="s">
        <v>687</v>
      </c>
      <c r="C6881" t="s">
        <v>687</v>
      </c>
      <c r="D6881" t="s">
        <v>3185</v>
      </c>
      <c r="E6881" t="s">
        <v>242</v>
      </c>
      <c r="F6881" t="s">
        <v>663</v>
      </c>
      <c r="G6881">
        <v>2045</v>
      </c>
      <c r="H6881" s="12">
        <v>321.2</v>
      </c>
      <c r="I6881" t="s">
        <v>3183</v>
      </c>
      <c r="J6881" t="s">
        <v>394</v>
      </c>
      <c r="K6881" t="s">
        <v>664</v>
      </c>
      <c r="L6881" t="s">
        <v>844</v>
      </c>
      <c r="M6881" t="s">
        <v>16</v>
      </c>
    </row>
    <row r="6882" spans="1:13">
      <c r="A6882" t="s">
        <v>851</v>
      </c>
      <c r="B6882" t="s">
        <v>687</v>
      </c>
      <c r="C6882" t="s">
        <v>687</v>
      </c>
      <c r="D6882" t="s">
        <v>3185</v>
      </c>
      <c r="E6882" t="s">
        <v>242</v>
      </c>
      <c r="F6882" t="s">
        <v>663</v>
      </c>
      <c r="G6882">
        <v>2050</v>
      </c>
      <c r="H6882" s="12">
        <v>257.43</v>
      </c>
      <c r="I6882" t="s">
        <v>3183</v>
      </c>
      <c r="J6882" t="s">
        <v>394</v>
      </c>
      <c r="K6882" t="s">
        <v>664</v>
      </c>
      <c r="L6882" t="s">
        <v>844</v>
      </c>
      <c r="M6882" t="s">
        <v>16</v>
      </c>
    </row>
    <row r="6883" spans="1:13">
      <c r="A6883" t="s">
        <v>851</v>
      </c>
      <c r="B6883" t="s">
        <v>686</v>
      </c>
      <c r="C6883" t="s">
        <v>686</v>
      </c>
      <c r="D6883" t="s">
        <v>3185</v>
      </c>
      <c r="E6883" t="s">
        <v>242</v>
      </c>
      <c r="F6883" t="s">
        <v>663</v>
      </c>
      <c r="G6883">
        <v>2010</v>
      </c>
      <c r="H6883" s="12">
        <v>114.17</v>
      </c>
      <c r="I6883" t="s">
        <v>3183</v>
      </c>
      <c r="J6883" t="s">
        <v>6</v>
      </c>
      <c r="K6883" t="s">
        <v>664</v>
      </c>
      <c r="L6883" t="s">
        <v>844</v>
      </c>
      <c r="M6883" t="s">
        <v>659</v>
      </c>
    </row>
    <row r="6884" spans="1:13">
      <c r="A6884" t="s">
        <v>851</v>
      </c>
      <c r="B6884" t="s">
        <v>686</v>
      </c>
      <c r="C6884" t="s">
        <v>686</v>
      </c>
      <c r="D6884" t="s">
        <v>236</v>
      </c>
      <c r="E6884" t="s">
        <v>660</v>
      </c>
      <c r="F6884" t="s">
        <v>40</v>
      </c>
      <c r="G6884">
        <v>2030</v>
      </c>
      <c r="H6884" s="12">
        <v>496</v>
      </c>
      <c r="I6884" t="s">
        <v>3183</v>
      </c>
      <c r="J6884" t="s">
        <v>17</v>
      </c>
      <c r="K6884" t="s">
        <v>657</v>
      </c>
      <c r="L6884" t="s">
        <v>3184</v>
      </c>
      <c r="M6884" t="s">
        <v>17</v>
      </c>
    </row>
    <row r="6885" spans="1:13">
      <c r="A6885" t="s">
        <v>851</v>
      </c>
      <c r="B6885" t="s">
        <v>686</v>
      </c>
      <c r="C6885" t="s">
        <v>686</v>
      </c>
      <c r="D6885" t="s">
        <v>236</v>
      </c>
      <c r="E6885" t="s">
        <v>660</v>
      </c>
      <c r="F6885" t="s">
        <v>40</v>
      </c>
      <c r="G6885">
        <v>2035</v>
      </c>
      <c r="H6885" s="12">
        <v>667</v>
      </c>
      <c r="I6885" t="s">
        <v>3183</v>
      </c>
      <c r="J6885" t="s">
        <v>17</v>
      </c>
      <c r="K6885" t="s">
        <v>657</v>
      </c>
      <c r="L6885" t="s">
        <v>3184</v>
      </c>
      <c r="M6885" t="s">
        <v>17</v>
      </c>
    </row>
    <row r="6886" spans="1:13">
      <c r="A6886" t="s">
        <v>851</v>
      </c>
      <c r="B6886" t="s">
        <v>686</v>
      </c>
      <c r="C6886" t="s">
        <v>686</v>
      </c>
      <c r="D6886" t="s">
        <v>236</v>
      </c>
      <c r="E6886" t="s">
        <v>660</v>
      </c>
      <c r="F6886" t="s">
        <v>40</v>
      </c>
      <c r="G6886">
        <v>2040</v>
      </c>
      <c r="H6886" s="12">
        <v>846</v>
      </c>
      <c r="I6886" t="s">
        <v>3183</v>
      </c>
      <c r="J6886" t="s">
        <v>17</v>
      </c>
      <c r="K6886" t="s">
        <v>657</v>
      </c>
      <c r="L6886" t="s">
        <v>3184</v>
      </c>
      <c r="M6886" t="s">
        <v>17</v>
      </c>
    </row>
    <row r="6887" spans="1:13">
      <c r="A6887" t="s">
        <v>851</v>
      </c>
      <c r="B6887" t="s">
        <v>686</v>
      </c>
      <c r="C6887" t="s">
        <v>686</v>
      </c>
      <c r="D6887" t="s">
        <v>236</v>
      </c>
      <c r="E6887" t="s">
        <v>660</v>
      </c>
      <c r="F6887" t="s">
        <v>40</v>
      </c>
      <c r="G6887">
        <v>2045</v>
      </c>
      <c r="H6887" s="12">
        <v>1088</v>
      </c>
      <c r="I6887" t="s">
        <v>3183</v>
      </c>
      <c r="J6887" t="s">
        <v>17</v>
      </c>
      <c r="K6887" t="s">
        <v>657</v>
      </c>
      <c r="L6887" t="s">
        <v>3184</v>
      </c>
      <c r="M6887" t="s">
        <v>17</v>
      </c>
    </row>
    <row r="6888" spans="1:13">
      <c r="A6888" t="s">
        <v>851</v>
      </c>
      <c r="B6888" t="s">
        <v>686</v>
      </c>
      <c r="C6888" t="s">
        <v>686</v>
      </c>
      <c r="D6888" t="s">
        <v>236</v>
      </c>
      <c r="E6888" t="s">
        <v>660</v>
      </c>
      <c r="F6888" t="s">
        <v>40</v>
      </c>
      <c r="G6888">
        <v>2050</v>
      </c>
      <c r="H6888" s="12">
        <v>1365</v>
      </c>
      <c r="I6888" t="s">
        <v>3183</v>
      </c>
      <c r="J6888" t="s">
        <v>17</v>
      </c>
      <c r="K6888" t="s">
        <v>657</v>
      </c>
      <c r="L6888" t="s">
        <v>3184</v>
      </c>
      <c r="M6888" t="s">
        <v>17</v>
      </c>
    </row>
    <row r="6889" spans="1:13">
      <c r="A6889" t="s">
        <v>851</v>
      </c>
      <c r="B6889" t="s">
        <v>687</v>
      </c>
      <c r="C6889" t="s">
        <v>687</v>
      </c>
      <c r="D6889" t="s">
        <v>236</v>
      </c>
      <c r="E6889" t="s">
        <v>660</v>
      </c>
      <c r="F6889" t="s">
        <v>40</v>
      </c>
      <c r="G6889">
        <v>2030</v>
      </c>
      <c r="H6889" s="12">
        <v>580</v>
      </c>
      <c r="I6889" t="s">
        <v>3183</v>
      </c>
      <c r="J6889" t="s">
        <v>17</v>
      </c>
      <c r="K6889" t="s">
        <v>657</v>
      </c>
      <c r="L6889" t="s">
        <v>3184</v>
      </c>
      <c r="M6889" t="s">
        <v>17</v>
      </c>
    </row>
    <row r="6890" spans="1:13">
      <c r="A6890" t="s">
        <v>851</v>
      </c>
      <c r="B6890" t="s">
        <v>687</v>
      </c>
      <c r="C6890" t="s">
        <v>687</v>
      </c>
      <c r="D6890" t="s">
        <v>236</v>
      </c>
      <c r="E6890" t="s">
        <v>660</v>
      </c>
      <c r="F6890" t="s">
        <v>40</v>
      </c>
      <c r="G6890">
        <v>2035</v>
      </c>
      <c r="H6890" s="12">
        <v>813</v>
      </c>
      <c r="I6890" t="s">
        <v>3183</v>
      </c>
      <c r="J6890" t="s">
        <v>17</v>
      </c>
      <c r="K6890" t="s">
        <v>657</v>
      </c>
      <c r="L6890" t="s">
        <v>3184</v>
      </c>
      <c r="M6890" t="s">
        <v>17</v>
      </c>
    </row>
    <row r="6891" spans="1:13">
      <c r="A6891" t="s">
        <v>851</v>
      </c>
      <c r="B6891" t="s">
        <v>687</v>
      </c>
      <c r="C6891" t="s">
        <v>687</v>
      </c>
      <c r="D6891" t="s">
        <v>236</v>
      </c>
      <c r="E6891" t="s">
        <v>660</v>
      </c>
      <c r="F6891" t="s">
        <v>40</v>
      </c>
      <c r="G6891">
        <v>2040</v>
      </c>
      <c r="H6891" s="12">
        <v>1074</v>
      </c>
      <c r="I6891" t="s">
        <v>3183</v>
      </c>
      <c r="J6891" t="s">
        <v>17</v>
      </c>
      <c r="K6891" t="s">
        <v>657</v>
      </c>
      <c r="L6891" t="s">
        <v>3184</v>
      </c>
      <c r="M6891" t="s">
        <v>17</v>
      </c>
    </row>
    <row r="6892" spans="1:13">
      <c r="A6892" t="s">
        <v>851</v>
      </c>
      <c r="B6892" t="s">
        <v>687</v>
      </c>
      <c r="C6892" t="s">
        <v>687</v>
      </c>
      <c r="D6892" t="s">
        <v>236</v>
      </c>
      <c r="E6892" t="s">
        <v>660</v>
      </c>
      <c r="F6892" t="s">
        <v>40</v>
      </c>
      <c r="G6892">
        <v>2045</v>
      </c>
      <c r="H6892" s="12">
        <v>1428</v>
      </c>
      <c r="I6892" t="s">
        <v>3183</v>
      </c>
      <c r="J6892" t="s">
        <v>17</v>
      </c>
      <c r="K6892" t="s">
        <v>657</v>
      </c>
      <c r="L6892" t="s">
        <v>3184</v>
      </c>
      <c r="M6892" t="s">
        <v>17</v>
      </c>
    </row>
    <row r="6893" spans="1:13">
      <c r="A6893" t="s">
        <v>851</v>
      </c>
      <c r="B6893" t="s">
        <v>687</v>
      </c>
      <c r="C6893" t="s">
        <v>687</v>
      </c>
      <c r="D6893" t="s">
        <v>236</v>
      </c>
      <c r="E6893" t="s">
        <v>660</v>
      </c>
      <c r="F6893" t="s">
        <v>40</v>
      </c>
      <c r="G6893">
        <v>2050</v>
      </c>
      <c r="H6893" s="12">
        <v>1835</v>
      </c>
      <c r="I6893" t="s">
        <v>3183</v>
      </c>
      <c r="J6893" t="s">
        <v>17</v>
      </c>
      <c r="K6893" t="s">
        <v>657</v>
      </c>
      <c r="L6893" t="s">
        <v>3184</v>
      </c>
      <c r="M6893" t="s">
        <v>17</v>
      </c>
    </row>
    <row r="6894" spans="1:13">
      <c r="A6894" t="s">
        <v>851</v>
      </c>
      <c r="B6894" t="s">
        <v>686</v>
      </c>
      <c r="C6894" t="s">
        <v>686</v>
      </c>
      <c r="D6894" t="s">
        <v>3185</v>
      </c>
      <c r="E6894" t="s">
        <v>242</v>
      </c>
      <c r="F6894" t="s">
        <v>663</v>
      </c>
      <c r="G6894">
        <v>2010</v>
      </c>
      <c r="H6894" s="12">
        <v>49.22</v>
      </c>
      <c r="I6894" t="s">
        <v>3183</v>
      </c>
      <c r="J6894" t="s">
        <v>5</v>
      </c>
      <c r="K6894" t="s">
        <v>147</v>
      </c>
      <c r="L6894" t="s">
        <v>844</v>
      </c>
      <c r="M6894" t="s">
        <v>5</v>
      </c>
    </row>
    <row r="6895" spans="1:13">
      <c r="A6895" t="s">
        <v>851</v>
      </c>
      <c r="B6895" t="s">
        <v>686</v>
      </c>
      <c r="C6895" t="s">
        <v>686</v>
      </c>
      <c r="D6895" t="s">
        <v>3185</v>
      </c>
      <c r="E6895" t="s">
        <v>242</v>
      </c>
      <c r="F6895" t="s">
        <v>663</v>
      </c>
      <c r="G6895">
        <v>2015</v>
      </c>
      <c r="H6895" s="12">
        <v>82.15</v>
      </c>
      <c r="I6895" t="s">
        <v>3183</v>
      </c>
      <c r="J6895" t="s">
        <v>5</v>
      </c>
      <c r="K6895" t="s">
        <v>147</v>
      </c>
      <c r="L6895" t="s">
        <v>844</v>
      </c>
      <c r="M6895" t="s">
        <v>5</v>
      </c>
    </row>
    <row r="6896" spans="1:13">
      <c r="A6896" t="s">
        <v>851</v>
      </c>
      <c r="B6896" t="s">
        <v>686</v>
      </c>
      <c r="C6896" t="s">
        <v>686</v>
      </c>
      <c r="D6896" t="s">
        <v>3185</v>
      </c>
      <c r="E6896" t="s">
        <v>242</v>
      </c>
      <c r="F6896" t="s">
        <v>663</v>
      </c>
      <c r="G6896">
        <v>2020</v>
      </c>
      <c r="H6896" s="12">
        <v>71.8</v>
      </c>
      <c r="I6896" t="s">
        <v>3183</v>
      </c>
      <c r="J6896" t="s">
        <v>5</v>
      </c>
      <c r="K6896" t="s">
        <v>147</v>
      </c>
      <c r="L6896" t="s">
        <v>844</v>
      </c>
      <c r="M6896" t="s">
        <v>5</v>
      </c>
    </row>
    <row r="6897" spans="1:13">
      <c r="A6897" t="s">
        <v>851</v>
      </c>
      <c r="B6897" t="s">
        <v>686</v>
      </c>
      <c r="C6897" t="s">
        <v>686</v>
      </c>
      <c r="D6897" t="s">
        <v>3185</v>
      </c>
      <c r="E6897" t="s">
        <v>242</v>
      </c>
      <c r="F6897" t="s">
        <v>663</v>
      </c>
      <c r="G6897">
        <v>2030</v>
      </c>
      <c r="H6897" s="12">
        <v>38.51</v>
      </c>
      <c r="I6897" t="s">
        <v>3183</v>
      </c>
      <c r="J6897" t="s">
        <v>5</v>
      </c>
      <c r="K6897" t="s">
        <v>147</v>
      </c>
      <c r="L6897" t="s">
        <v>844</v>
      </c>
      <c r="M6897" t="s">
        <v>5</v>
      </c>
    </row>
    <row r="6898" spans="1:13">
      <c r="A6898" t="s">
        <v>851</v>
      </c>
      <c r="B6898" t="s">
        <v>686</v>
      </c>
      <c r="C6898" t="s">
        <v>686</v>
      </c>
      <c r="D6898" t="s">
        <v>3185</v>
      </c>
      <c r="E6898" t="s">
        <v>242</v>
      </c>
      <c r="F6898" t="s">
        <v>663</v>
      </c>
      <c r="G6898">
        <v>2035</v>
      </c>
      <c r="H6898" s="12">
        <v>29.94</v>
      </c>
      <c r="I6898" t="s">
        <v>3183</v>
      </c>
      <c r="J6898" t="s">
        <v>5</v>
      </c>
      <c r="K6898" t="s">
        <v>147</v>
      </c>
      <c r="L6898" t="s">
        <v>844</v>
      </c>
      <c r="M6898" t="s">
        <v>5</v>
      </c>
    </row>
    <row r="6899" spans="1:13">
      <c r="A6899" t="s">
        <v>851</v>
      </c>
      <c r="B6899" t="s">
        <v>686</v>
      </c>
      <c r="C6899" t="s">
        <v>686</v>
      </c>
      <c r="D6899" t="s">
        <v>3185</v>
      </c>
      <c r="E6899" t="s">
        <v>242</v>
      </c>
      <c r="F6899" t="s">
        <v>663</v>
      </c>
      <c r="G6899">
        <v>2040</v>
      </c>
      <c r="H6899" s="12">
        <v>26.44</v>
      </c>
      <c r="I6899" t="s">
        <v>3183</v>
      </c>
      <c r="J6899" t="s">
        <v>5</v>
      </c>
      <c r="K6899" t="s">
        <v>147</v>
      </c>
      <c r="L6899" t="s">
        <v>844</v>
      </c>
      <c r="M6899" t="s">
        <v>5</v>
      </c>
    </row>
    <row r="6900" spans="1:13">
      <c r="A6900" t="s">
        <v>851</v>
      </c>
      <c r="B6900" t="s">
        <v>686</v>
      </c>
      <c r="C6900" t="s">
        <v>686</v>
      </c>
      <c r="D6900" t="s">
        <v>3185</v>
      </c>
      <c r="E6900" t="s">
        <v>242</v>
      </c>
      <c r="F6900" t="s">
        <v>663</v>
      </c>
      <c r="G6900">
        <v>2045</v>
      </c>
      <c r="H6900" s="12">
        <v>24.4</v>
      </c>
      <c r="I6900" t="s">
        <v>3183</v>
      </c>
      <c r="J6900" t="s">
        <v>5</v>
      </c>
      <c r="K6900" t="s">
        <v>147</v>
      </c>
      <c r="L6900" t="s">
        <v>844</v>
      </c>
      <c r="M6900" t="s">
        <v>5</v>
      </c>
    </row>
    <row r="6901" spans="1:13">
      <c r="A6901" t="s">
        <v>851</v>
      </c>
      <c r="B6901" t="s">
        <v>686</v>
      </c>
      <c r="C6901" t="s">
        <v>686</v>
      </c>
      <c r="D6901" t="s">
        <v>3185</v>
      </c>
      <c r="E6901" t="s">
        <v>242</v>
      </c>
      <c r="F6901" t="s">
        <v>663</v>
      </c>
      <c r="G6901">
        <v>2050</v>
      </c>
      <c r="H6901" s="12">
        <v>22.72</v>
      </c>
      <c r="I6901" t="s">
        <v>3183</v>
      </c>
      <c r="J6901" t="s">
        <v>5</v>
      </c>
      <c r="K6901" t="s">
        <v>147</v>
      </c>
      <c r="L6901" t="s">
        <v>844</v>
      </c>
      <c r="M6901" t="s">
        <v>5</v>
      </c>
    </row>
    <row r="6902" spans="1:13">
      <c r="A6902" t="s">
        <v>851</v>
      </c>
      <c r="B6902" t="s">
        <v>687</v>
      </c>
      <c r="C6902" t="s">
        <v>687</v>
      </c>
      <c r="D6902" t="s">
        <v>3185</v>
      </c>
      <c r="E6902" t="s">
        <v>242</v>
      </c>
      <c r="F6902" t="s">
        <v>663</v>
      </c>
      <c r="G6902">
        <v>2030</v>
      </c>
      <c r="H6902" s="12">
        <v>10.220000000000001</v>
      </c>
      <c r="I6902" t="s">
        <v>3183</v>
      </c>
      <c r="J6902" t="s">
        <v>5</v>
      </c>
      <c r="K6902" t="s">
        <v>147</v>
      </c>
      <c r="L6902" t="s">
        <v>844</v>
      </c>
      <c r="M6902" t="s">
        <v>5</v>
      </c>
    </row>
    <row r="6903" spans="1:13">
      <c r="A6903" t="s">
        <v>851</v>
      </c>
      <c r="B6903" t="s">
        <v>687</v>
      </c>
      <c r="C6903" t="s">
        <v>687</v>
      </c>
      <c r="D6903" t="s">
        <v>3185</v>
      </c>
      <c r="E6903" t="s">
        <v>242</v>
      </c>
      <c r="F6903" t="s">
        <v>663</v>
      </c>
      <c r="G6903">
        <v>2035</v>
      </c>
      <c r="H6903" s="12">
        <v>5.6</v>
      </c>
      <c r="I6903" t="s">
        <v>3183</v>
      </c>
      <c r="J6903" t="s">
        <v>5</v>
      </c>
      <c r="K6903" t="s">
        <v>147</v>
      </c>
      <c r="L6903" t="s">
        <v>844</v>
      </c>
      <c r="M6903" t="s">
        <v>5</v>
      </c>
    </row>
    <row r="6904" spans="1:13">
      <c r="A6904" t="s">
        <v>851</v>
      </c>
      <c r="B6904" t="s">
        <v>687</v>
      </c>
      <c r="C6904" t="s">
        <v>687</v>
      </c>
      <c r="D6904" t="s">
        <v>3185</v>
      </c>
      <c r="E6904" t="s">
        <v>242</v>
      </c>
      <c r="F6904" t="s">
        <v>663</v>
      </c>
      <c r="G6904">
        <v>2040</v>
      </c>
      <c r="H6904" s="12">
        <v>3.26</v>
      </c>
      <c r="I6904" t="s">
        <v>3183</v>
      </c>
      <c r="J6904" t="s">
        <v>5</v>
      </c>
      <c r="K6904" t="s">
        <v>147</v>
      </c>
      <c r="L6904" t="s">
        <v>844</v>
      </c>
      <c r="M6904" t="s">
        <v>5</v>
      </c>
    </row>
    <row r="6905" spans="1:13">
      <c r="A6905" t="s">
        <v>851</v>
      </c>
      <c r="B6905" t="s">
        <v>687</v>
      </c>
      <c r="C6905" t="s">
        <v>687</v>
      </c>
      <c r="D6905" t="s">
        <v>3185</v>
      </c>
      <c r="E6905" t="s">
        <v>242</v>
      </c>
      <c r="F6905" t="s">
        <v>663</v>
      </c>
      <c r="G6905">
        <v>2045</v>
      </c>
      <c r="H6905" s="12">
        <v>2.3199999999999998</v>
      </c>
      <c r="I6905" t="s">
        <v>3183</v>
      </c>
      <c r="J6905" t="s">
        <v>5</v>
      </c>
      <c r="K6905" t="s">
        <v>147</v>
      </c>
      <c r="L6905" t="s">
        <v>844</v>
      </c>
      <c r="M6905" t="s">
        <v>5</v>
      </c>
    </row>
    <row r="6906" spans="1:13">
      <c r="A6906" t="s">
        <v>851</v>
      </c>
      <c r="B6906" t="s">
        <v>687</v>
      </c>
      <c r="C6906" t="s">
        <v>687</v>
      </c>
      <c r="D6906" t="s">
        <v>3185</v>
      </c>
      <c r="E6906" t="s">
        <v>242</v>
      </c>
      <c r="F6906" t="s">
        <v>663</v>
      </c>
      <c r="G6906">
        <v>2050</v>
      </c>
      <c r="H6906" s="12">
        <v>1.85</v>
      </c>
      <c r="I6906" t="s">
        <v>3183</v>
      </c>
      <c r="J6906" t="s">
        <v>5</v>
      </c>
      <c r="K6906" t="s">
        <v>147</v>
      </c>
      <c r="L6906" t="s">
        <v>844</v>
      </c>
      <c r="M6906" t="s">
        <v>5</v>
      </c>
    </row>
    <row r="6907" spans="1:13">
      <c r="A6907" t="s">
        <v>851</v>
      </c>
      <c r="B6907" t="s">
        <v>686</v>
      </c>
      <c r="C6907" t="s">
        <v>686</v>
      </c>
      <c r="D6907" t="s">
        <v>3185</v>
      </c>
      <c r="E6907" t="s">
        <v>242</v>
      </c>
      <c r="F6907" t="s">
        <v>663</v>
      </c>
      <c r="G6907">
        <v>2010</v>
      </c>
      <c r="H6907" s="12">
        <v>99.1</v>
      </c>
      <c r="I6907" t="s">
        <v>3183</v>
      </c>
      <c r="J6907" t="s">
        <v>394</v>
      </c>
      <c r="K6907" t="s">
        <v>147</v>
      </c>
      <c r="L6907" t="s">
        <v>844</v>
      </c>
      <c r="M6907" t="s">
        <v>16</v>
      </c>
    </row>
    <row r="6908" spans="1:13">
      <c r="A6908" t="s">
        <v>851</v>
      </c>
      <c r="B6908" t="s">
        <v>686</v>
      </c>
      <c r="C6908" t="s">
        <v>686</v>
      </c>
      <c r="D6908" t="s">
        <v>3185</v>
      </c>
      <c r="E6908" t="s">
        <v>242</v>
      </c>
      <c r="F6908" t="s">
        <v>663</v>
      </c>
      <c r="G6908">
        <v>2015</v>
      </c>
      <c r="H6908" s="12">
        <v>111.65</v>
      </c>
      <c r="I6908" t="s">
        <v>3183</v>
      </c>
      <c r="J6908" t="s">
        <v>394</v>
      </c>
      <c r="K6908" t="s">
        <v>147</v>
      </c>
      <c r="L6908" t="s">
        <v>844</v>
      </c>
      <c r="M6908" t="s">
        <v>16</v>
      </c>
    </row>
    <row r="6909" spans="1:13">
      <c r="A6909" t="s">
        <v>851</v>
      </c>
      <c r="B6909" t="s">
        <v>686</v>
      </c>
      <c r="C6909" t="s">
        <v>686</v>
      </c>
      <c r="D6909" t="s">
        <v>3185</v>
      </c>
      <c r="E6909" t="s">
        <v>242</v>
      </c>
      <c r="F6909" t="s">
        <v>663</v>
      </c>
      <c r="G6909">
        <v>2020</v>
      </c>
      <c r="H6909" s="12">
        <v>52.34</v>
      </c>
      <c r="I6909" t="s">
        <v>3183</v>
      </c>
      <c r="J6909" t="s">
        <v>394</v>
      </c>
      <c r="K6909" t="s">
        <v>147</v>
      </c>
      <c r="L6909" t="s">
        <v>844</v>
      </c>
      <c r="M6909" t="s">
        <v>16</v>
      </c>
    </row>
    <row r="6910" spans="1:13">
      <c r="A6910" t="s">
        <v>851</v>
      </c>
      <c r="B6910" t="s">
        <v>686</v>
      </c>
      <c r="C6910" t="s">
        <v>686</v>
      </c>
      <c r="D6910" t="s">
        <v>3185</v>
      </c>
      <c r="E6910" t="s">
        <v>242</v>
      </c>
      <c r="F6910" t="s">
        <v>663</v>
      </c>
      <c r="G6910">
        <v>2015</v>
      </c>
      <c r="H6910" s="12">
        <v>128.29</v>
      </c>
      <c r="I6910" t="s">
        <v>3183</v>
      </c>
      <c r="J6910" t="s">
        <v>6</v>
      </c>
      <c r="K6910" t="s">
        <v>147</v>
      </c>
      <c r="L6910" t="s">
        <v>844</v>
      </c>
      <c r="M6910" t="s">
        <v>659</v>
      </c>
    </row>
    <row r="6911" spans="1:13">
      <c r="A6911" t="s">
        <v>851</v>
      </c>
      <c r="B6911" t="s">
        <v>686</v>
      </c>
      <c r="C6911" t="s">
        <v>686</v>
      </c>
      <c r="D6911" t="s">
        <v>3185</v>
      </c>
      <c r="E6911" t="s">
        <v>242</v>
      </c>
      <c r="F6911" t="s">
        <v>663</v>
      </c>
      <c r="G6911">
        <v>2020</v>
      </c>
      <c r="H6911" s="12">
        <v>100.18</v>
      </c>
      <c r="I6911" t="s">
        <v>3183</v>
      </c>
      <c r="J6911" t="s">
        <v>6</v>
      </c>
      <c r="K6911" t="s">
        <v>147</v>
      </c>
      <c r="L6911" t="s">
        <v>844</v>
      </c>
      <c r="M6911" t="s">
        <v>659</v>
      </c>
    </row>
    <row r="6912" spans="1:13">
      <c r="A6912" t="s">
        <v>851</v>
      </c>
      <c r="B6912" t="s">
        <v>686</v>
      </c>
      <c r="C6912" t="s">
        <v>686</v>
      </c>
      <c r="D6912" t="s">
        <v>3185</v>
      </c>
      <c r="E6912" t="s">
        <v>242</v>
      </c>
      <c r="F6912" t="s">
        <v>663</v>
      </c>
      <c r="G6912">
        <v>2030</v>
      </c>
      <c r="H6912" s="12">
        <v>84.48</v>
      </c>
      <c r="I6912" t="s">
        <v>3183</v>
      </c>
      <c r="J6912" t="s">
        <v>6</v>
      </c>
      <c r="K6912" t="s">
        <v>147</v>
      </c>
      <c r="L6912" t="s">
        <v>844</v>
      </c>
      <c r="M6912" t="s">
        <v>659</v>
      </c>
    </row>
    <row r="6913" spans="1:13">
      <c r="A6913" t="s">
        <v>851</v>
      </c>
      <c r="B6913" t="s">
        <v>686</v>
      </c>
      <c r="C6913" t="s">
        <v>686</v>
      </c>
      <c r="D6913" t="s">
        <v>3185</v>
      </c>
      <c r="E6913" t="s">
        <v>242</v>
      </c>
      <c r="F6913" t="s">
        <v>663</v>
      </c>
      <c r="G6913">
        <v>2035</v>
      </c>
      <c r="H6913" s="12">
        <v>86.86</v>
      </c>
      <c r="I6913" t="s">
        <v>3183</v>
      </c>
      <c r="J6913" t="s">
        <v>6</v>
      </c>
      <c r="K6913" t="s">
        <v>147</v>
      </c>
      <c r="L6913" t="s">
        <v>844</v>
      </c>
      <c r="M6913" t="s">
        <v>659</v>
      </c>
    </row>
    <row r="6914" spans="1:13">
      <c r="A6914" t="s">
        <v>851</v>
      </c>
      <c r="B6914" t="s">
        <v>686</v>
      </c>
      <c r="C6914" t="s">
        <v>686</v>
      </c>
      <c r="D6914" t="s">
        <v>3185</v>
      </c>
      <c r="E6914" t="s">
        <v>242</v>
      </c>
      <c r="F6914" t="s">
        <v>663</v>
      </c>
      <c r="G6914">
        <v>2040</v>
      </c>
      <c r="H6914" s="12">
        <v>87.41</v>
      </c>
      <c r="I6914" t="s">
        <v>3183</v>
      </c>
      <c r="J6914" t="s">
        <v>6</v>
      </c>
      <c r="K6914" t="s">
        <v>147</v>
      </c>
      <c r="L6914" t="s">
        <v>844</v>
      </c>
      <c r="M6914" t="s">
        <v>659</v>
      </c>
    </row>
    <row r="6915" spans="1:13">
      <c r="A6915" t="s">
        <v>851</v>
      </c>
      <c r="B6915" t="s">
        <v>686</v>
      </c>
      <c r="C6915" t="s">
        <v>686</v>
      </c>
      <c r="D6915" t="s">
        <v>3185</v>
      </c>
      <c r="E6915" t="s">
        <v>242</v>
      </c>
      <c r="F6915" t="s">
        <v>663</v>
      </c>
      <c r="G6915">
        <v>2045</v>
      </c>
      <c r="H6915" s="12">
        <v>80.819999999999993</v>
      </c>
      <c r="I6915" t="s">
        <v>3183</v>
      </c>
      <c r="J6915" t="s">
        <v>6</v>
      </c>
      <c r="K6915" t="s">
        <v>147</v>
      </c>
      <c r="L6915" t="s">
        <v>844</v>
      </c>
      <c r="M6915" t="s">
        <v>659</v>
      </c>
    </row>
    <row r="6916" spans="1:13">
      <c r="A6916" t="s">
        <v>851</v>
      </c>
      <c r="B6916" t="s">
        <v>686</v>
      </c>
      <c r="C6916" t="s">
        <v>686</v>
      </c>
      <c r="D6916" t="s">
        <v>3185</v>
      </c>
      <c r="E6916" t="s">
        <v>242</v>
      </c>
      <c r="F6916" t="s">
        <v>663</v>
      </c>
      <c r="G6916">
        <v>2050</v>
      </c>
      <c r="H6916" s="12">
        <v>75.98</v>
      </c>
      <c r="I6916" t="s">
        <v>3183</v>
      </c>
      <c r="J6916" t="s">
        <v>6</v>
      </c>
      <c r="K6916" t="s">
        <v>147</v>
      </c>
      <c r="L6916" t="s">
        <v>844</v>
      </c>
      <c r="M6916" t="s">
        <v>659</v>
      </c>
    </row>
    <row r="6917" spans="1:13">
      <c r="A6917" t="s">
        <v>851</v>
      </c>
      <c r="B6917" t="s">
        <v>687</v>
      </c>
      <c r="C6917" t="s">
        <v>687</v>
      </c>
      <c r="D6917" t="s">
        <v>3185</v>
      </c>
      <c r="E6917" t="s">
        <v>242</v>
      </c>
      <c r="F6917" t="s">
        <v>663</v>
      </c>
      <c r="G6917">
        <v>2030</v>
      </c>
      <c r="H6917" s="12">
        <v>83.91</v>
      </c>
      <c r="I6917" t="s">
        <v>3183</v>
      </c>
      <c r="J6917" t="s">
        <v>6</v>
      </c>
      <c r="K6917" t="s">
        <v>147</v>
      </c>
      <c r="L6917" t="s">
        <v>844</v>
      </c>
      <c r="M6917" t="s">
        <v>659</v>
      </c>
    </row>
    <row r="6918" spans="1:13">
      <c r="A6918" t="s">
        <v>851</v>
      </c>
      <c r="B6918" t="s">
        <v>687</v>
      </c>
      <c r="C6918" t="s">
        <v>687</v>
      </c>
      <c r="D6918" t="s">
        <v>3185</v>
      </c>
      <c r="E6918" t="s">
        <v>242</v>
      </c>
      <c r="F6918" t="s">
        <v>663</v>
      </c>
      <c r="G6918">
        <v>2035</v>
      </c>
      <c r="H6918" s="12">
        <v>72.209999999999994</v>
      </c>
      <c r="I6918" t="s">
        <v>3183</v>
      </c>
      <c r="J6918" t="s">
        <v>6</v>
      </c>
      <c r="K6918" t="s">
        <v>147</v>
      </c>
      <c r="L6918" t="s">
        <v>844</v>
      </c>
      <c r="M6918" t="s">
        <v>659</v>
      </c>
    </row>
    <row r="6919" spans="1:13">
      <c r="A6919" t="s">
        <v>851</v>
      </c>
      <c r="B6919" t="s">
        <v>687</v>
      </c>
      <c r="C6919" t="s">
        <v>687</v>
      </c>
      <c r="D6919" t="s">
        <v>3185</v>
      </c>
      <c r="E6919" t="s">
        <v>242</v>
      </c>
      <c r="F6919" t="s">
        <v>663</v>
      </c>
      <c r="G6919">
        <v>2040</v>
      </c>
      <c r="H6919" s="12">
        <v>59.93</v>
      </c>
      <c r="I6919" t="s">
        <v>3183</v>
      </c>
      <c r="J6919" t="s">
        <v>6</v>
      </c>
      <c r="K6919" t="s">
        <v>147</v>
      </c>
      <c r="L6919" t="s">
        <v>844</v>
      </c>
      <c r="M6919" t="s">
        <v>659</v>
      </c>
    </row>
    <row r="6920" spans="1:13">
      <c r="A6920" t="s">
        <v>851</v>
      </c>
      <c r="B6920" t="s">
        <v>687</v>
      </c>
      <c r="C6920" t="s">
        <v>687</v>
      </c>
      <c r="D6920" t="s">
        <v>3185</v>
      </c>
      <c r="E6920" t="s">
        <v>242</v>
      </c>
      <c r="F6920" t="s">
        <v>663</v>
      </c>
      <c r="G6920">
        <v>2045</v>
      </c>
      <c r="H6920" s="12">
        <v>50.61</v>
      </c>
      <c r="I6920" t="s">
        <v>3183</v>
      </c>
      <c r="J6920" t="s">
        <v>6</v>
      </c>
      <c r="K6920" t="s">
        <v>147</v>
      </c>
      <c r="L6920" t="s">
        <v>844</v>
      </c>
      <c r="M6920" t="s">
        <v>659</v>
      </c>
    </row>
    <row r="6921" spans="1:13">
      <c r="A6921" t="s">
        <v>851</v>
      </c>
      <c r="B6921" t="s">
        <v>687</v>
      </c>
      <c r="C6921" t="s">
        <v>687</v>
      </c>
      <c r="D6921" t="s">
        <v>3185</v>
      </c>
      <c r="E6921" t="s">
        <v>242</v>
      </c>
      <c r="F6921" t="s">
        <v>663</v>
      </c>
      <c r="G6921">
        <v>2050</v>
      </c>
      <c r="H6921" s="12">
        <v>32.549999999999997</v>
      </c>
      <c r="I6921" t="s">
        <v>3183</v>
      </c>
      <c r="J6921" t="s">
        <v>6</v>
      </c>
      <c r="K6921" t="s">
        <v>147</v>
      </c>
      <c r="L6921" t="s">
        <v>844</v>
      </c>
      <c r="M6921" t="s">
        <v>659</v>
      </c>
    </row>
    <row r="6922" spans="1:13">
      <c r="A6922" t="s">
        <v>851</v>
      </c>
      <c r="B6922" t="s">
        <v>686</v>
      </c>
      <c r="C6922" t="s">
        <v>686</v>
      </c>
      <c r="D6922" t="s">
        <v>3185</v>
      </c>
      <c r="E6922" t="s">
        <v>242</v>
      </c>
      <c r="F6922" t="s">
        <v>663</v>
      </c>
      <c r="G6922">
        <v>2015</v>
      </c>
      <c r="H6922" s="12">
        <v>118.95</v>
      </c>
      <c r="I6922" t="s">
        <v>3183</v>
      </c>
      <c r="J6922" t="s">
        <v>6</v>
      </c>
      <c r="K6922" t="s">
        <v>664</v>
      </c>
      <c r="L6922" t="s">
        <v>844</v>
      </c>
      <c r="M6922" t="s">
        <v>659</v>
      </c>
    </row>
    <row r="6923" spans="1:13">
      <c r="A6923" t="s">
        <v>851</v>
      </c>
      <c r="B6923" t="s">
        <v>686</v>
      </c>
      <c r="C6923" t="s">
        <v>686</v>
      </c>
      <c r="D6923" t="s">
        <v>3185</v>
      </c>
      <c r="E6923" t="s">
        <v>242</v>
      </c>
      <c r="F6923" t="s">
        <v>663</v>
      </c>
      <c r="G6923">
        <v>2020</v>
      </c>
      <c r="H6923" s="12">
        <v>97</v>
      </c>
      <c r="I6923" t="s">
        <v>3183</v>
      </c>
      <c r="J6923" t="s">
        <v>6</v>
      </c>
      <c r="K6923" t="s">
        <v>664</v>
      </c>
      <c r="L6923" t="s">
        <v>844</v>
      </c>
      <c r="M6923" t="s">
        <v>659</v>
      </c>
    </row>
    <row r="6924" spans="1:13">
      <c r="A6924" t="s">
        <v>851</v>
      </c>
      <c r="B6924" t="s">
        <v>686</v>
      </c>
      <c r="C6924" t="s">
        <v>686</v>
      </c>
      <c r="D6924" t="s">
        <v>3185</v>
      </c>
      <c r="E6924" t="s">
        <v>242</v>
      </c>
      <c r="F6924" t="s">
        <v>663</v>
      </c>
      <c r="G6924">
        <v>2030</v>
      </c>
      <c r="H6924" s="12">
        <v>122.28</v>
      </c>
      <c r="I6924" t="s">
        <v>3183</v>
      </c>
      <c r="J6924" t="s">
        <v>6</v>
      </c>
      <c r="K6924" t="s">
        <v>664</v>
      </c>
      <c r="L6924" t="s">
        <v>844</v>
      </c>
      <c r="M6924" t="s">
        <v>659</v>
      </c>
    </row>
    <row r="6925" spans="1:13">
      <c r="A6925" t="s">
        <v>851</v>
      </c>
      <c r="B6925" t="s">
        <v>686</v>
      </c>
      <c r="C6925" t="s">
        <v>686</v>
      </c>
      <c r="D6925" t="s">
        <v>3185</v>
      </c>
      <c r="E6925" t="s">
        <v>242</v>
      </c>
      <c r="F6925" t="s">
        <v>663</v>
      </c>
      <c r="G6925">
        <v>2035</v>
      </c>
      <c r="H6925" s="12">
        <v>132.16999999999999</v>
      </c>
      <c r="I6925" t="s">
        <v>3183</v>
      </c>
      <c r="J6925" t="s">
        <v>6</v>
      </c>
      <c r="K6925" t="s">
        <v>664</v>
      </c>
      <c r="L6925" t="s">
        <v>844</v>
      </c>
      <c r="M6925" t="s">
        <v>659</v>
      </c>
    </row>
    <row r="6926" spans="1:13">
      <c r="A6926" t="s">
        <v>851</v>
      </c>
      <c r="B6926" t="s">
        <v>686</v>
      </c>
      <c r="C6926" t="s">
        <v>686</v>
      </c>
      <c r="D6926" t="s">
        <v>3185</v>
      </c>
      <c r="E6926" t="s">
        <v>242</v>
      </c>
      <c r="F6926" t="s">
        <v>663</v>
      </c>
      <c r="G6926">
        <v>2040</v>
      </c>
      <c r="H6926" s="12">
        <v>139.72999999999999</v>
      </c>
      <c r="I6926" t="s">
        <v>3183</v>
      </c>
      <c r="J6926" t="s">
        <v>6</v>
      </c>
      <c r="K6926" t="s">
        <v>664</v>
      </c>
      <c r="L6926" t="s">
        <v>844</v>
      </c>
      <c r="M6926" t="s">
        <v>659</v>
      </c>
    </row>
    <row r="6927" spans="1:13">
      <c r="A6927" t="s">
        <v>851</v>
      </c>
      <c r="B6927" t="s">
        <v>686</v>
      </c>
      <c r="C6927" t="s">
        <v>686</v>
      </c>
      <c r="D6927" t="s">
        <v>3185</v>
      </c>
      <c r="E6927" t="s">
        <v>242</v>
      </c>
      <c r="F6927" t="s">
        <v>663</v>
      </c>
      <c r="G6927">
        <v>2045</v>
      </c>
      <c r="H6927" s="12">
        <v>145.62</v>
      </c>
      <c r="I6927" t="s">
        <v>3183</v>
      </c>
      <c r="J6927" t="s">
        <v>6</v>
      </c>
      <c r="K6927" t="s">
        <v>664</v>
      </c>
      <c r="L6927" t="s">
        <v>844</v>
      </c>
      <c r="M6927" t="s">
        <v>659</v>
      </c>
    </row>
    <row r="6928" spans="1:13">
      <c r="A6928" t="s">
        <v>851</v>
      </c>
      <c r="B6928" t="s">
        <v>686</v>
      </c>
      <c r="C6928" t="s">
        <v>686</v>
      </c>
      <c r="D6928" t="s">
        <v>3185</v>
      </c>
      <c r="E6928" t="s">
        <v>242</v>
      </c>
      <c r="F6928" t="s">
        <v>663</v>
      </c>
      <c r="G6928">
        <v>2050</v>
      </c>
      <c r="H6928" s="12">
        <v>148.76</v>
      </c>
      <c r="I6928" t="s">
        <v>3183</v>
      </c>
      <c r="J6928" t="s">
        <v>6</v>
      </c>
      <c r="K6928" t="s">
        <v>664</v>
      </c>
      <c r="L6928" t="s">
        <v>844</v>
      </c>
      <c r="M6928" t="s">
        <v>659</v>
      </c>
    </row>
    <row r="6929" spans="1:13">
      <c r="A6929" t="s">
        <v>851</v>
      </c>
      <c r="B6929" t="s">
        <v>687</v>
      </c>
      <c r="C6929" t="s">
        <v>687</v>
      </c>
      <c r="D6929" t="s">
        <v>3185</v>
      </c>
      <c r="E6929" t="s">
        <v>242</v>
      </c>
      <c r="F6929" t="s">
        <v>663</v>
      </c>
      <c r="G6929">
        <v>2030</v>
      </c>
      <c r="H6929" s="12">
        <v>97.06</v>
      </c>
      <c r="I6929" t="s">
        <v>3183</v>
      </c>
      <c r="J6929" t="s">
        <v>6</v>
      </c>
      <c r="K6929" t="s">
        <v>664</v>
      </c>
      <c r="L6929" t="s">
        <v>844</v>
      </c>
      <c r="M6929" t="s">
        <v>659</v>
      </c>
    </row>
    <row r="6930" spans="1:13">
      <c r="A6930" t="s">
        <v>851</v>
      </c>
      <c r="B6930" t="s">
        <v>687</v>
      </c>
      <c r="C6930" t="s">
        <v>687</v>
      </c>
      <c r="D6930" t="s">
        <v>3185</v>
      </c>
      <c r="E6930" t="s">
        <v>242</v>
      </c>
      <c r="F6930" t="s">
        <v>663</v>
      </c>
      <c r="G6930">
        <v>2035</v>
      </c>
      <c r="H6930" s="12">
        <v>89.75</v>
      </c>
      <c r="I6930" t="s">
        <v>3183</v>
      </c>
      <c r="J6930" t="s">
        <v>6</v>
      </c>
      <c r="K6930" t="s">
        <v>664</v>
      </c>
      <c r="L6930" t="s">
        <v>844</v>
      </c>
      <c r="M6930" t="s">
        <v>659</v>
      </c>
    </row>
    <row r="6931" spans="1:13">
      <c r="A6931" t="s">
        <v>851</v>
      </c>
      <c r="B6931" t="s">
        <v>687</v>
      </c>
      <c r="C6931" t="s">
        <v>687</v>
      </c>
      <c r="D6931" t="s">
        <v>3185</v>
      </c>
      <c r="E6931" t="s">
        <v>242</v>
      </c>
      <c r="F6931" t="s">
        <v>663</v>
      </c>
      <c r="G6931">
        <v>2040</v>
      </c>
      <c r="H6931" s="12">
        <v>82.16</v>
      </c>
      <c r="I6931" t="s">
        <v>3183</v>
      </c>
      <c r="J6931" t="s">
        <v>6</v>
      </c>
      <c r="K6931" t="s">
        <v>664</v>
      </c>
      <c r="L6931" t="s">
        <v>844</v>
      </c>
      <c r="M6931" t="s">
        <v>659</v>
      </c>
    </row>
    <row r="6932" spans="1:13">
      <c r="A6932" t="s">
        <v>851</v>
      </c>
      <c r="B6932" t="s">
        <v>687</v>
      </c>
      <c r="C6932" t="s">
        <v>687</v>
      </c>
      <c r="D6932" t="s">
        <v>3185</v>
      </c>
      <c r="E6932" t="s">
        <v>242</v>
      </c>
      <c r="F6932" t="s">
        <v>663</v>
      </c>
      <c r="G6932">
        <v>2045</v>
      </c>
      <c r="H6932" s="12">
        <v>74.900000000000006</v>
      </c>
      <c r="I6932" t="s">
        <v>3183</v>
      </c>
      <c r="J6932" t="s">
        <v>6</v>
      </c>
      <c r="K6932" t="s">
        <v>664</v>
      </c>
      <c r="L6932" t="s">
        <v>844</v>
      </c>
      <c r="M6932" t="s">
        <v>659</v>
      </c>
    </row>
    <row r="6933" spans="1:13">
      <c r="A6933" t="s">
        <v>851</v>
      </c>
      <c r="B6933" t="s">
        <v>687</v>
      </c>
      <c r="C6933" t="s">
        <v>687</v>
      </c>
      <c r="D6933" t="s">
        <v>3185</v>
      </c>
      <c r="E6933" t="s">
        <v>242</v>
      </c>
      <c r="F6933" t="s">
        <v>663</v>
      </c>
      <c r="G6933">
        <v>2050</v>
      </c>
      <c r="H6933" s="12">
        <v>67.77</v>
      </c>
      <c r="I6933" t="s">
        <v>3183</v>
      </c>
      <c r="J6933" t="s">
        <v>6</v>
      </c>
      <c r="K6933" t="s">
        <v>664</v>
      </c>
      <c r="L6933" t="s">
        <v>844</v>
      </c>
      <c r="M6933" t="s">
        <v>659</v>
      </c>
    </row>
    <row r="6934" spans="1:13">
      <c r="A6934" t="s">
        <v>851</v>
      </c>
      <c r="B6934" t="s">
        <v>686</v>
      </c>
      <c r="C6934" t="s">
        <v>686</v>
      </c>
      <c r="D6934" t="s">
        <v>3185</v>
      </c>
      <c r="E6934" t="s">
        <v>656</v>
      </c>
      <c r="F6934" t="s">
        <v>31</v>
      </c>
      <c r="G6934">
        <v>2020</v>
      </c>
      <c r="H6934" s="12">
        <v>49.3</v>
      </c>
      <c r="I6934" t="s">
        <v>3183</v>
      </c>
      <c r="J6934" t="s">
        <v>394</v>
      </c>
      <c r="K6934" t="s">
        <v>147</v>
      </c>
      <c r="L6934" t="s">
        <v>844</v>
      </c>
      <c r="M6934" t="s">
        <v>16</v>
      </c>
    </row>
    <row r="6935" spans="1:13">
      <c r="A6935" t="s">
        <v>851</v>
      </c>
      <c r="B6935" t="s">
        <v>686</v>
      </c>
      <c r="C6935" t="s">
        <v>686</v>
      </c>
      <c r="D6935" t="s">
        <v>3185</v>
      </c>
      <c r="E6935" t="s">
        <v>656</v>
      </c>
      <c r="F6935" t="s">
        <v>31</v>
      </c>
      <c r="G6935">
        <v>2030</v>
      </c>
      <c r="H6935" s="12">
        <v>39.21</v>
      </c>
      <c r="I6935" t="s">
        <v>3183</v>
      </c>
      <c r="J6935" t="s">
        <v>394</v>
      </c>
      <c r="K6935" t="s">
        <v>147</v>
      </c>
      <c r="L6935" t="s">
        <v>844</v>
      </c>
      <c r="M6935" t="s">
        <v>16</v>
      </c>
    </row>
    <row r="6936" spans="1:13">
      <c r="A6936" t="s">
        <v>851</v>
      </c>
      <c r="B6936" t="s">
        <v>686</v>
      </c>
      <c r="C6936" t="s">
        <v>686</v>
      </c>
      <c r="D6936" t="s">
        <v>3185</v>
      </c>
      <c r="E6936" t="s">
        <v>656</v>
      </c>
      <c r="F6936" t="s">
        <v>31</v>
      </c>
      <c r="G6936">
        <v>2035</v>
      </c>
      <c r="H6936" s="12">
        <v>37.89</v>
      </c>
      <c r="I6936" t="s">
        <v>3183</v>
      </c>
      <c r="J6936" t="s">
        <v>394</v>
      </c>
      <c r="K6936" t="s">
        <v>147</v>
      </c>
      <c r="L6936" t="s">
        <v>844</v>
      </c>
      <c r="M6936" t="s">
        <v>16</v>
      </c>
    </row>
    <row r="6937" spans="1:13">
      <c r="A6937" t="s">
        <v>851</v>
      </c>
      <c r="B6937" t="s">
        <v>686</v>
      </c>
      <c r="C6937" t="s">
        <v>686</v>
      </c>
      <c r="D6937" t="s">
        <v>3185</v>
      </c>
      <c r="E6937" t="s">
        <v>656</v>
      </c>
      <c r="F6937" t="s">
        <v>31</v>
      </c>
      <c r="G6937">
        <v>2040</v>
      </c>
      <c r="H6937" s="12">
        <v>34.9</v>
      </c>
      <c r="I6937" t="s">
        <v>3183</v>
      </c>
      <c r="J6937" t="s">
        <v>394</v>
      </c>
      <c r="K6937" t="s">
        <v>147</v>
      </c>
      <c r="L6937" t="s">
        <v>844</v>
      </c>
      <c r="M6937" t="s">
        <v>16</v>
      </c>
    </row>
    <row r="6938" spans="1:13">
      <c r="A6938" t="s">
        <v>851</v>
      </c>
      <c r="B6938" t="s">
        <v>686</v>
      </c>
      <c r="C6938" t="s">
        <v>686</v>
      </c>
      <c r="D6938" t="s">
        <v>3185</v>
      </c>
      <c r="E6938" t="s">
        <v>656</v>
      </c>
      <c r="F6938" t="s">
        <v>31</v>
      </c>
      <c r="G6938">
        <v>2045</v>
      </c>
      <c r="H6938" s="12">
        <v>29.4</v>
      </c>
      <c r="I6938" t="s">
        <v>3183</v>
      </c>
      <c r="J6938" t="s">
        <v>394</v>
      </c>
      <c r="K6938" t="s">
        <v>147</v>
      </c>
      <c r="L6938" t="s">
        <v>844</v>
      </c>
      <c r="M6938" t="s">
        <v>16</v>
      </c>
    </row>
    <row r="6939" spans="1:13">
      <c r="A6939" t="s">
        <v>851</v>
      </c>
      <c r="B6939" t="s">
        <v>686</v>
      </c>
      <c r="C6939" t="s">
        <v>686</v>
      </c>
      <c r="D6939" t="s">
        <v>3185</v>
      </c>
      <c r="E6939" t="s">
        <v>656</v>
      </c>
      <c r="F6939" t="s">
        <v>31</v>
      </c>
      <c r="G6939">
        <v>2050</v>
      </c>
      <c r="H6939" s="12">
        <v>26.13</v>
      </c>
      <c r="I6939" t="s">
        <v>3183</v>
      </c>
      <c r="J6939" t="s">
        <v>394</v>
      </c>
      <c r="K6939" t="s">
        <v>147</v>
      </c>
      <c r="L6939" t="s">
        <v>844</v>
      </c>
      <c r="M6939" t="s">
        <v>16</v>
      </c>
    </row>
    <row r="6940" spans="1:13">
      <c r="A6940" t="s">
        <v>851</v>
      </c>
      <c r="B6940" t="s">
        <v>687</v>
      </c>
      <c r="C6940" t="s">
        <v>687</v>
      </c>
      <c r="D6940" t="s">
        <v>3185</v>
      </c>
      <c r="E6940" t="s">
        <v>656</v>
      </c>
      <c r="F6940" t="s">
        <v>31</v>
      </c>
      <c r="G6940">
        <v>2030</v>
      </c>
      <c r="H6940" s="12">
        <v>39.32</v>
      </c>
      <c r="I6940" t="s">
        <v>3183</v>
      </c>
      <c r="J6940" t="s">
        <v>394</v>
      </c>
      <c r="K6940" t="s">
        <v>147</v>
      </c>
      <c r="L6940" t="s">
        <v>844</v>
      </c>
      <c r="M6940" t="s">
        <v>16</v>
      </c>
    </row>
    <row r="6941" spans="1:13">
      <c r="A6941" t="s">
        <v>851</v>
      </c>
      <c r="B6941" t="s">
        <v>687</v>
      </c>
      <c r="C6941" t="s">
        <v>687</v>
      </c>
      <c r="D6941" t="s">
        <v>3185</v>
      </c>
      <c r="E6941" t="s">
        <v>656</v>
      </c>
      <c r="F6941" t="s">
        <v>31</v>
      </c>
      <c r="G6941">
        <v>2035</v>
      </c>
      <c r="H6941" s="12">
        <v>38.07</v>
      </c>
      <c r="I6941" t="s">
        <v>3183</v>
      </c>
      <c r="J6941" t="s">
        <v>394</v>
      </c>
      <c r="K6941" t="s">
        <v>147</v>
      </c>
      <c r="L6941" t="s">
        <v>844</v>
      </c>
      <c r="M6941" t="s">
        <v>16</v>
      </c>
    </row>
    <row r="6942" spans="1:13">
      <c r="A6942" t="s">
        <v>851</v>
      </c>
      <c r="B6942" t="s">
        <v>687</v>
      </c>
      <c r="C6942" t="s">
        <v>687</v>
      </c>
      <c r="D6942" t="s">
        <v>3185</v>
      </c>
      <c r="E6942" t="s">
        <v>656</v>
      </c>
      <c r="F6942" t="s">
        <v>31</v>
      </c>
      <c r="G6942">
        <v>2040</v>
      </c>
      <c r="H6942" s="12">
        <v>35.049999999999997</v>
      </c>
      <c r="I6942" t="s">
        <v>3183</v>
      </c>
      <c r="J6942" t="s">
        <v>394</v>
      </c>
      <c r="K6942" t="s">
        <v>147</v>
      </c>
      <c r="L6942" t="s">
        <v>844</v>
      </c>
      <c r="M6942" t="s">
        <v>16</v>
      </c>
    </row>
    <row r="6943" spans="1:13">
      <c r="A6943" t="s">
        <v>851</v>
      </c>
      <c r="B6943" t="s">
        <v>687</v>
      </c>
      <c r="C6943" t="s">
        <v>687</v>
      </c>
      <c r="D6943" t="s">
        <v>3185</v>
      </c>
      <c r="E6943" t="s">
        <v>656</v>
      </c>
      <c r="F6943" t="s">
        <v>31</v>
      </c>
      <c r="G6943">
        <v>2045</v>
      </c>
      <c r="H6943" s="12">
        <v>29.56</v>
      </c>
      <c r="I6943" t="s">
        <v>3183</v>
      </c>
      <c r="J6943" t="s">
        <v>394</v>
      </c>
      <c r="K6943" t="s">
        <v>147</v>
      </c>
      <c r="L6943" t="s">
        <v>844</v>
      </c>
      <c r="M6943" t="s">
        <v>16</v>
      </c>
    </row>
    <row r="6944" spans="1:13">
      <c r="A6944" t="s">
        <v>851</v>
      </c>
      <c r="B6944" t="s">
        <v>687</v>
      </c>
      <c r="C6944" t="s">
        <v>687</v>
      </c>
      <c r="D6944" t="s">
        <v>3185</v>
      </c>
      <c r="E6944" t="s">
        <v>656</v>
      </c>
      <c r="F6944" t="s">
        <v>31</v>
      </c>
      <c r="G6944">
        <v>2050</v>
      </c>
      <c r="H6944" s="12">
        <v>26.17</v>
      </c>
      <c r="I6944" t="s">
        <v>3183</v>
      </c>
      <c r="J6944" t="s">
        <v>394</v>
      </c>
      <c r="K6944" t="s">
        <v>147</v>
      </c>
      <c r="L6944" t="s">
        <v>844</v>
      </c>
      <c r="M6944" t="s">
        <v>16</v>
      </c>
    </row>
    <row r="6945" spans="1:13">
      <c r="A6945" t="s">
        <v>851</v>
      </c>
      <c r="B6945" t="s">
        <v>686</v>
      </c>
      <c r="C6945" t="s">
        <v>686</v>
      </c>
      <c r="D6945" t="s">
        <v>3185</v>
      </c>
      <c r="E6945" t="s">
        <v>656</v>
      </c>
      <c r="F6945" t="s">
        <v>31</v>
      </c>
      <c r="G6945">
        <v>2010</v>
      </c>
      <c r="H6945" s="12">
        <v>0.04</v>
      </c>
      <c r="I6945" t="s">
        <v>3183</v>
      </c>
      <c r="J6945" t="s">
        <v>484</v>
      </c>
      <c r="K6945" t="s">
        <v>147</v>
      </c>
      <c r="L6945" t="s">
        <v>844</v>
      </c>
      <c r="M6945" t="s">
        <v>667</v>
      </c>
    </row>
    <row r="6946" spans="1:13">
      <c r="A6946" t="s">
        <v>851</v>
      </c>
      <c r="B6946" t="s">
        <v>686</v>
      </c>
      <c r="C6946" t="s">
        <v>686</v>
      </c>
      <c r="D6946" t="s">
        <v>3185</v>
      </c>
      <c r="E6946" t="s">
        <v>656</v>
      </c>
      <c r="F6946" t="s">
        <v>31</v>
      </c>
      <c r="G6946">
        <v>2015</v>
      </c>
      <c r="H6946" s="12">
        <v>0.06</v>
      </c>
      <c r="I6946" t="s">
        <v>3183</v>
      </c>
      <c r="J6946" t="s">
        <v>484</v>
      </c>
      <c r="K6946" t="s">
        <v>147</v>
      </c>
      <c r="L6946" t="s">
        <v>844</v>
      </c>
      <c r="M6946" t="s">
        <v>667</v>
      </c>
    </row>
    <row r="6947" spans="1:13">
      <c r="A6947" t="s">
        <v>851</v>
      </c>
      <c r="B6947" t="s">
        <v>686</v>
      </c>
      <c r="C6947" t="s">
        <v>686</v>
      </c>
      <c r="D6947" t="s">
        <v>3185</v>
      </c>
      <c r="E6947" t="s">
        <v>656</v>
      </c>
      <c r="F6947" t="s">
        <v>31</v>
      </c>
      <c r="G6947">
        <v>2020</v>
      </c>
      <c r="H6947" s="12">
        <v>0.18</v>
      </c>
      <c r="I6947" t="s">
        <v>3183</v>
      </c>
      <c r="J6947" t="s">
        <v>484</v>
      </c>
      <c r="K6947" t="s">
        <v>147</v>
      </c>
      <c r="L6947" t="s">
        <v>844</v>
      </c>
      <c r="M6947" t="s">
        <v>667</v>
      </c>
    </row>
    <row r="6948" spans="1:13">
      <c r="A6948" t="s">
        <v>851</v>
      </c>
      <c r="B6948" t="s">
        <v>686</v>
      </c>
      <c r="C6948" t="s">
        <v>686</v>
      </c>
      <c r="D6948" t="s">
        <v>3185</v>
      </c>
      <c r="E6948" t="s">
        <v>656</v>
      </c>
      <c r="F6948" t="s">
        <v>31</v>
      </c>
      <c r="G6948">
        <v>2030</v>
      </c>
      <c r="H6948" s="12">
        <v>6.3</v>
      </c>
      <c r="I6948" t="s">
        <v>3183</v>
      </c>
      <c r="J6948" t="s">
        <v>484</v>
      </c>
      <c r="K6948" t="s">
        <v>147</v>
      </c>
      <c r="L6948" t="s">
        <v>844</v>
      </c>
      <c r="M6948" t="s">
        <v>667</v>
      </c>
    </row>
    <row r="6949" spans="1:13">
      <c r="A6949" t="s">
        <v>851</v>
      </c>
      <c r="B6949" t="s">
        <v>686</v>
      </c>
      <c r="C6949" t="s">
        <v>686</v>
      </c>
      <c r="D6949" t="s">
        <v>3185</v>
      </c>
      <c r="E6949" t="s">
        <v>656</v>
      </c>
      <c r="F6949" t="s">
        <v>31</v>
      </c>
      <c r="G6949">
        <v>2035</v>
      </c>
      <c r="H6949" s="12">
        <v>10.62</v>
      </c>
      <c r="I6949" t="s">
        <v>3183</v>
      </c>
      <c r="J6949" t="s">
        <v>484</v>
      </c>
      <c r="K6949" t="s">
        <v>147</v>
      </c>
      <c r="L6949" t="s">
        <v>844</v>
      </c>
      <c r="M6949" t="s">
        <v>667</v>
      </c>
    </row>
    <row r="6950" spans="1:13">
      <c r="A6950" t="s">
        <v>851</v>
      </c>
      <c r="B6950" t="s">
        <v>686</v>
      </c>
      <c r="C6950" t="s">
        <v>686</v>
      </c>
      <c r="D6950" t="s">
        <v>3185</v>
      </c>
      <c r="E6950" t="s">
        <v>656</v>
      </c>
      <c r="F6950" t="s">
        <v>31</v>
      </c>
      <c r="G6950">
        <v>2040</v>
      </c>
      <c r="H6950" s="12">
        <v>15.84</v>
      </c>
      <c r="I6950" t="s">
        <v>3183</v>
      </c>
      <c r="J6950" t="s">
        <v>484</v>
      </c>
      <c r="K6950" t="s">
        <v>147</v>
      </c>
      <c r="L6950" t="s">
        <v>844</v>
      </c>
      <c r="M6950" t="s">
        <v>667</v>
      </c>
    </row>
    <row r="6951" spans="1:13">
      <c r="A6951" t="s">
        <v>851</v>
      </c>
      <c r="B6951" t="s">
        <v>686</v>
      </c>
      <c r="C6951" t="s">
        <v>686</v>
      </c>
      <c r="D6951" t="s">
        <v>3185</v>
      </c>
      <c r="E6951" t="s">
        <v>656</v>
      </c>
      <c r="F6951" t="s">
        <v>31</v>
      </c>
      <c r="G6951">
        <v>2045</v>
      </c>
      <c r="H6951" s="12">
        <v>22.94</v>
      </c>
      <c r="I6951" t="s">
        <v>3183</v>
      </c>
      <c r="J6951" t="s">
        <v>484</v>
      </c>
      <c r="K6951" t="s">
        <v>147</v>
      </c>
      <c r="L6951" t="s">
        <v>844</v>
      </c>
      <c r="M6951" t="s">
        <v>667</v>
      </c>
    </row>
    <row r="6952" spans="1:13">
      <c r="A6952" t="s">
        <v>851</v>
      </c>
      <c r="B6952" t="s">
        <v>686</v>
      </c>
      <c r="C6952" t="s">
        <v>686</v>
      </c>
      <c r="D6952" t="s">
        <v>3185</v>
      </c>
      <c r="E6952" t="s">
        <v>656</v>
      </c>
      <c r="F6952" t="s">
        <v>31</v>
      </c>
      <c r="G6952">
        <v>2050</v>
      </c>
      <c r="H6952" s="12">
        <v>37.6</v>
      </c>
      <c r="I6952" t="s">
        <v>3183</v>
      </c>
      <c r="J6952" t="s">
        <v>484</v>
      </c>
      <c r="K6952" t="s">
        <v>147</v>
      </c>
      <c r="L6952" t="s">
        <v>844</v>
      </c>
      <c r="M6952" t="s">
        <v>667</v>
      </c>
    </row>
    <row r="6953" spans="1:13">
      <c r="A6953" t="s">
        <v>851</v>
      </c>
      <c r="B6953" t="s">
        <v>687</v>
      </c>
      <c r="C6953" t="s">
        <v>687</v>
      </c>
      <c r="D6953" t="s">
        <v>3185</v>
      </c>
      <c r="E6953" t="s">
        <v>656</v>
      </c>
      <c r="F6953" t="s">
        <v>31</v>
      </c>
      <c r="G6953">
        <v>2030</v>
      </c>
      <c r="H6953" s="12">
        <v>15.63</v>
      </c>
      <c r="I6953" t="s">
        <v>3183</v>
      </c>
      <c r="J6953" t="s">
        <v>484</v>
      </c>
      <c r="K6953" t="s">
        <v>147</v>
      </c>
      <c r="L6953" t="s">
        <v>844</v>
      </c>
      <c r="M6953" t="s">
        <v>667</v>
      </c>
    </row>
    <row r="6954" spans="1:13">
      <c r="A6954" t="s">
        <v>851</v>
      </c>
      <c r="B6954" t="s">
        <v>687</v>
      </c>
      <c r="C6954" t="s">
        <v>687</v>
      </c>
      <c r="D6954" t="s">
        <v>3185</v>
      </c>
      <c r="E6954" t="s">
        <v>656</v>
      </c>
      <c r="F6954" t="s">
        <v>31</v>
      </c>
      <c r="G6954">
        <v>2035</v>
      </c>
      <c r="H6954" s="12">
        <v>28.07</v>
      </c>
      <c r="I6954" t="s">
        <v>3183</v>
      </c>
      <c r="J6954" t="s">
        <v>484</v>
      </c>
      <c r="K6954" t="s">
        <v>147</v>
      </c>
      <c r="L6954" t="s">
        <v>844</v>
      </c>
      <c r="M6954" t="s">
        <v>667</v>
      </c>
    </row>
    <row r="6955" spans="1:13">
      <c r="A6955" t="s">
        <v>851</v>
      </c>
      <c r="B6955" t="s">
        <v>687</v>
      </c>
      <c r="C6955" t="s">
        <v>687</v>
      </c>
      <c r="D6955" t="s">
        <v>3185</v>
      </c>
      <c r="E6955" t="s">
        <v>656</v>
      </c>
      <c r="F6955" t="s">
        <v>31</v>
      </c>
      <c r="G6955">
        <v>2040</v>
      </c>
      <c r="H6955" s="12">
        <v>42.37</v>
      </c>
      <c r="I6955" t="s">
        <v>3183</v>
      </c>
      <c r="J6955" t="s">
        <v>484</v>
      </c>
      <c r="K6955" t="s">
        <v>147</v>
      </c>
      <c r="L6955" t="s">
        <v>844</v>
      </c>
      <c r="M6955" t="s">
        <v>667</v>
      </c>
    </row>
    <row r="6956" spans="1:13">
      <c r="A6956" t="s">
        <v>851</v>
      </c>
      <c r="B6956" t="s">
        <v>687</v>
      </c>
      <c r="C6956" t="s">
        <v>687</v>
      </c>
      <c r="D6956" t="s">
        <v>3185</v>
      </c>
      <c r="E6956" t="s">
        <v>656</v>
      </c>
      <c r="F6956" t="s">
        <v>31</v>
      </c>
      <c r="G6956">
        <v>2045</v>
      </c>
      <c r="H6956" s="12">
        <v>64.2</v>
      </c>
      <c r="I6956" t="s">
        <v>3183</v>
      </c>
      <c r="J6956" t="s">
        <v>484</v>
      </c>
      <c r="K6956" t="s">
        <v>147</v>
      </c>
      <c r="L6956" t="s">
        <v>844</v>
      </c>
      <c r="M6956" t="s">
        <v>667</v>
      </c>
    </row>
    <row r="6957" spans="1:13">
      <c r="A6957" t="s">
        <v>851</v>
      </c>
      <c r="B6957" t="s">
        <v>687</v>
      </c>
      <c r="C6957" t="s">
        <v>687</v>
      </c>
      <c r="D6957" t="s">
        <v>3185</v>
      </c>
      <c r="E6957" t="s">
        <v>656</v>
      </c>
      <c r="F6957" t="s">
        <v>31</v>
      </c>
      <c r="G6957">
        <v>2050</v>
      </c>
      <c r="H6957" s="12">
        <v>94.6</v>
      </c>
      <c r="I6957" t="s">
        <v>3183</v>
      </c>
      <c r="J6957" t="s">
        <v>484</v>
      </c>
      <c r="K6957" t="s">
        <v>147</v>
      </c>
      <c r="L6957" t="s">
        <v>844</v>
      </c>
      <c r="M6957" t="s">
        <v>667</v>
      </c>
    </row>
    <row r="6958" spans="1:13">
      <c r="A6958" t="s">
        <v>851</v>
      </c>
      <c r="B6958" t="s">
        <v>686</v>
      </c>
      <c r="C6958" t="s">
        <v>686</v>
      </c>
      <c r="D6958" t="s">
        <v>3185</v>
      </c>
      <c r="E6958" t="s">
        <v>242</v>
      </c>
      <c r="F6958" t="s">
        <v>663</v>
      </c>
      <c r="G6958">
        <v>2030</v>
      </c>
      <c r="H6958" s="12">
        <v>24.32</v>
      </c>
      <c r="I6958" t="s">
        <v>3183</v>
      </c>
      <c r="J6958" t="s">
        <v>394</v>
      </c>
      <c r="K6958" t="s">
        <v>147</v>
      </c>
      <c r="L6958" t="s">
        <v>844</v>
      </c>
      <c r="M6958" t="s">
        <v>16</v>
      </c>
    </row>
    <row r="6959" spans="1:13">
      <c r="A6959" t="s">
        <v>851</v>
      </c>
      <c r="B6959" t="s">
        <v>686</v>
      </c>
      <c r="C6959" t="s">
        <v>686</v>
      </c>
      <c r="D6959" t="s">
        <v>3185</v>
      </c>
      <c r="E6959" t="s">
        <v>242</v>
      </c>
      <c r="F6959" t="s">
        <v>663</v>
      </c>
      <c r="G6959">
        <v>2035</v>
      </c>
      <c r="H6959" s="12">
        <v>17</v>
      </c>
      <c r="I6959" t="s">
        <v>3183</v>
      </c>
      <c r="J6959" t="s">
        <v>394</v>
      </c>
      <c r="K6959" t="s">
        <v>147</v>
      </c>
      <c r="L6959" t="s">
        <v>844</v>
      </c>
      <c r="M6959" t="s">
        <v>16</v>
      </c>
    </row>
    <row r="6960" spans="1:13">
      <c r="A6960" t="s">
        <v>851</v>
      </c>
      <c r="B6960" t="s">
        <v>686</v>
      </c>
      <c r="C6960" t="s">
        <v>686</v>
      </c>
      <c r="D6960" t="s">
        <v>3185</v>
      </c>
      <c r="E6960" t="s">
        <v>242</v>
      </c>
      <c r="F6960" t="s">
        <v>663</v>
      </c>
      <c r="G6960">
        <v>2040</v>
      </c>
      <c r="H6960" s="12">
        <v>10.98</v>
      </c>
      <c r="I6960" t="s">
        <v>3183</v>
      </c>
      <c r="J6960" t="s">
        <v>394</v>
      </c>
      <c r="K6960" t="s">
        <v>147</v>
      </c>
      <c r="L6960" t="s">
        <v>844</v>
      </c>
      <c r="M6960" t="s">
        <v>16</v>
      </c>
    </row>
    <row r="6961" spans="1:13">
      <c r="A6961" t="s">
        <v>851</v>
      </c>
      <c r="B6961" t="s">
        <v>686</v>
      </c>
      <c r="C6961" t="s">
        <v>686</v>
      </c>
      <c r="D6961" t="s">
        <v>3185</v>
      </c>
      <c r="E6961" t="s">
        <v>242</v>
      </c>
      <c r="F6961" t="s">
        <v>663</v>
      </c>
      <c r="G6961">
        <v>2045</v>
      </c>
      <c r="H6961" s="12">
        <v>8.86</v>
      </c>
      <c r="I6961" t="s">
        <v>3183</v>
      </c>
      <c r="J6961" t="s">
        <v>394</v>
      </c>
      <c r="K6961" t="s">
        <v>147</v>
      </c>
      <c r="L6961" t="s">
        <v>844</v>
      </c>
      <c r="M6961" t="s">
        <v>16</v>
      </c>
    </row>
    <row r="6962" spans="1:13">
      <c r="A6962" t="s">
        <v>851</v>
      </c>
      <c r="B6962" t="s">
        <v>686</v>
      </c>
      <c r="C6962" t="s">
        <v>686</v>
      </c>
      <c r="D6962" t="s">
        <v>3185</v>
      </c>
      <c r="E6962" t="s">
        <v>242</v>
      </c>
      <c r="F6962" t="s">
        <v>663</v>
      </c>
      <c r="G6962">
        <v>2050</v>
      </c>
      <c r="H6962" s="12">
        <v>7.72</v>
      </c>
      <c r="I6962" t="s">
        <v>3183</v>
      </c>
      <c r="J6962" t="s">
        <v>394</v>
      </c>
      <c r="K6962" t="s">
        <v>147</v>
      </c>
      <c r="L6962" t="s">
        <v>844</v>
      </c>
      <c r="M6962" t="s">
        <v>16</v>
      </c>
    </row>
    <row r="6963" spans="1:13">
      <c r="A6963" t="s">
        <v>851</v>
      </c>
      <c r="B6963" t="s">
        <v>687</v>
      </c>
      <c r="C6963" t="s">
        <v>687</v>
      </c>
      <c r="D6963" t="s">
        <v>3185</v>
      </c>
      <c r="E6963" t="s">
        <v>242</v>
      </c>
      <c r="F6963" t="s">
        <v>663</v>
      </c>
      <c r="G6963">
        <v>2030</v>
      </c>
      <c r="H6963" s="12">
        <v>24.57</v>
      </c>
      <c r="I6963" t="s">
        <v>3183</v>
      </c>
      <c r="J6963" t="s">
        <v>394</v>
      </c>
      <c r="K6963" t="s">
        <v>147</v>
      </c>
      <c r="L6963" t="s">
        <v>844</v>
      </c>
      <c r="M6963" t="s">
        <v>16</v>
      </c>
    </row>
    <row r="6964" spans="1:13">
      <c r="A6964" t="s">
        <v>851</v>
      </c>
      <c r="B6964" t="s">
        <v>687</v>
      </c>
      <c r="C6964" t="s">
        <v>687</v>
      </c>
      <c r="D6964" t="s">
        <v>3185</v>
      </c>
      <c r="E6964" t="s">
        <v>242</v>
      </c>
      <c r="F6964" t="s">
        <v>663</v>
      </c>
      <c r="G6964">
        <v>2035</v>
      </c>
      <c r="H6964" s="12">
        <v>17.440000000000001</v>
      </c>
      <c r="I6964" t="s">
        <v>3183</v>
      </c>
      <c r="J6964" t="s">
        <v>394</v>
      </c>
      <c r="K6964" t="s">
        <v>147</v>
      </c>
      <c r="L6964" t="s">
        <v>844</v>
      </c>
      <c r="M6964" t="s">
        <v>16</v>
      </c>
    </row>
    <row r="6965" spans="1:13">
      <c r="A6965" t="s">
        <v>851</v>
      </c>
      <c r="B6965" t="s">
        <v>687</v>
      </c>
      <c r="C6965" t="s">
        <v>687</v>
      </c>
      <c r="D6965" t="s">
        <v>3185</v>
      </c>
      <c r="E6965" t="s">
        <v>242</v>
      </c>
      <c r="F6965" t="s">
        <v>663</v>
      </c>
      <c r="G6965">
        <v>2040</v>
      </c>
      <c r="H6965" s="12">
        <v>11.31</v>
      </c>
      <c r="I6965" t="s">
        <v>3183</v>
      </c>
      <c r="J6965" t="s">
        <v>394</v>
      </c>
      <c r="K6965" t="s">
        <v>147</v>
      </c>
      <c r="L6965" t="s">
        <v>844</v>
      </c>
      <c r="M6965" t="s">
        <v>16</v>
      </c>
    </row>
    <row r="6966" spans="1:13">
      <c r="A6966" t="s">
        <v>851</v>
      </c>
      <c r="B6966" t="s">
        <v>687</v>
      </c>
      <c r="C6966" t="s">
        <v>687</v>
      </c>
      <c r="D6966" t="s">
        <v>3185</v>
      </c>
      <c r="E6966" t="s">
        <v>242</v>
      </c>
      <c r="F6966" t="s">
        <v>663</v>
      </c>
      <c r="G6966">
        <v>2045</v>
      </c>
      <c r="H6966" s="12">
        <v>9.1199999999999992</v>
      </c>
      <c r="I6966" t="s">
        <v>3183</v>
      </c>
      <c r="J6966" t="s">
        <v>394</v>
      </c>
      <c r="K6966" t="s">
        <v>147</v>
      </c>
      <c r="L6966" t="s">
        <v>844</v>
      </c>
      <c r="M6966" t="s">
        <v>16</v>
      </c>
    </row>
    <row r="6967" spans="1:13">
      <c r="A6967" t="s">
        <v>851</v>
      </c>
      <c r="B6967" t="s">
        <v>687</v>
      </c>
      <c r="C6967" t="s">
        <v>687</v>
      </c>
      <c r="D6967" t="s">
        <v>3185</v>
      </c>
      <c r="E6967" t="s">
        <v>242</v>
      </c>
      <c r="F6967" t="s">
        <v>663</v>
      </c>
      <c r="G6967">
        <v>2050</v>
      </c>
      <c r="H6967" s="12">
        <v>7.96</v>
      </c>
      <c r="I6967" t="s">
        <v>3183</v>
      </c>
      <c r="J6967" t="s">
        <v>394</v>
      </c>
      <c r="K6967" t="s">
        <v>147</v>
      </c>
      <c r="L6967" t="s">
        <v>844</v>
      </c>
      <c r="M6967" t="s">
        <v>16</v>
      </c>
    </row>
    <row r="6968" spans="1:13">
      <c r="A6968" t="s">
        <v>851</v>
      </c>
      <c r="B6968" t="s">
        <v>686</v>
      </c>
      <c r="C6968" t="s">
        <v>686</v>
      </c>
      <c r="D6968" t="s">
        <v>3185</v>
      </c>
      <c r="E6968" t="s">
        <v>242</v>
      </c>
      <c r="F6968" t="s">
        <v>663</v>
      </c>
      <c r="G6968">
        <v>2010</v>
      </c>
      <c r="H6968" s="12">
        <v>86.3</v>
      </c>
      <c r="I6968" t="s">
        <v>3183</v>
      </c>
      <c r="J6968" t="s">
        <v>6</v>
      </c>
      <c r="K6968" t="s">
        <v>147</v>
      </c>
      <c r="L6968" t="s">
        <v>844</v>
      </c>
      <c r="M6968" t="s">
        <v>659</v>
      </c>
    </row>
    <row r="6969" spans="1:13">
      <c r="A6969" t="s">
        <v>851</v>
      </c>
      <c r="B6969" t="s">
        <v>686</v>
      </c>
      <c r="C6969" t="s">
        <v>686</v>
      </c>
      <c r="D6969" t="s">
        <v>3185</v>
      </c>
      <c r="E6969" t="s">
        <v>656</v>
      </c>
      <c r="F6969" t="s">
        <v>31</v>
      </c>
      <c r="G6969">
        <v>2040</v>
      </c>
      <c r="H6969" s="12">
        <v>230.29</v>
      </c>
      <c r="I6969" t="s">
        <v>3183</v>
      </c>
      <c r="J6969" t="s">
        <v>14</v>
      </c>
      <c r="K6969" t="s">
        <v>147</v>
      </c>
      <c r="L6969" t="s">
        <v>844</v>
      </c>
      <c r="M6969" t="s">
        <v>14</v>
      </c>
    </row>
    <row r="6970" spans="1:13">
      <c r="A6970" t="s">
        <v>851</v>
      </c>
      <c r="B6970" t="s">
        <v>686</v>
      </c>
      <c r="C6970" t="s">
        <v>686</v>
      </c>
      <c r="D6970" t="s">
        <v>3185</v>
      </c>
      <c r="E6970" t="s">
        <v>656</v>
      </c>
      <c r="F6970" t="s">
        <v>31</v>
      </c>
      <c r="G6970">
        <v>2045</v>
      </c>
      <c r="H6970" s="12">
        <v>246.01</v>
      </c>
      <c r="I6970" t="s">
        <v>3183</v>
      </c>
      <c r="J6970" t="s">
        <v>14</v>
      </c>
      <c r="K6970" t="s">
        <v>147</v>
      </c>
      <c r="L6970" t="s">
        <v>844</v>
      </c>
      <c r="M6970" t="s">
        <v>14</v>
      </c>
    </row>
    <row r="6971" spans="1:13">
      <c r="A6971" t="s">
        <v>851</v>
      </c>
      <c r="B6971" t="s">
        <v>686</v>
      </c>
      <c r="C6971" t="s">
        <v>686</v>
      </c>
      <c r="D6971" t="s">
        <v>3185</v>
      </c>
      <c r="E6971" t="s">
        <v>656</v>
      </c>
      <c r="F6971" t="s">
        <v>31</v>
      </c>
      <c r="G6971">
        <v>2050</v>
      </c>
      <c r="H6971" s="12">
        <v>260.66000000000003</v>
      </c>
      <c r="I6971" t="s">
        <v>3183</v>
      </c>
      <c r="J6971" t="s">
        <v>14</v>
      </c>
      <c r="K6971" t="s">
        <v>147</v>
      </c>
      <c r="L6971" t="s">
        <v>844</v>
      </c>
      <c r="M6971" t="s">
        <v>14</v>
      </c>
    </row>
    <row r="6972" spans="1:13">
      <c r="A6972" t="s">
        <v>851</v>
      </c>
      <c r="B6972" t="s">
        <v>687</v>
      </c>
      <c r="C6972" t="s">
        <v>687</v>
      </c>
      <c r="D6972" t="s">
        <v>3185</v>
      </c>
      <c r="E6972" t="s">
        <v>656</v>
      </c>
      <c r="F6972" t="s">
        <v>31</v>
      </c>
      <c r="G6972">
        <v>2030</v>
      </c>
      <c r="H6972" s="12">
        <v>207.98</v>
      </c>
      <c r="I6972" t="s">
        <v>3183</v>
      </c>
      <c r="J6972" t="s">
        <v>14</v>
      </c>
      <c r="K6972" t="s">
        <v>147</v>
      </c>
      <c r="L6972" t="s">
        <v>844</v>
      </c>
      <c r="M6972" t="s">
        <v>14</v>
      </c>
    </row>
    <row r="6973" spans="1:13">
      <c r="A6973" t="s">
        <v>851</v>
      </c>
      <c r="B6973" t="s">
        <v>687</v>
      </c>
      <c r="C6973" t="s">
        <v>687</v>
      </c>
      <c r="D6973" t="s">
        <v>3185</v>
      </c>
      <c r="E6973" t="s">
        <v>656</v>
      </c>
      <c r="F6973" t="s">
        <v>31</v>
      </c>
      <c r="G6973">
        <v>2035</v>
      </c>
      <c r="H6973" s="12">
        <v>223.89</v>
      </c>
      <c r="I6973" t="s">
        <v>3183</v>
      </c>
      <c r="J6973" t="s">
        <v>14</v>
      </c>
      <c r="K6973" t="s">
        <v>147</v>
      </c>
      <c r="L6973" t="s">
        <v>844</v>
      </c>
      <c r="M6973" t="s">
        <v>14</v>
      </c>
    </row>
    <row r="6974" spans="1:13">
      <c r="A6974" t="s">
        <v>851</v>
      </c>
      <c r="B6974" t="s">
        <v>687</v>
      </c>
      <c r="C6974" t="s">
        <v>687</v>
      </c>
      <c r="D6974" t="s">
        <v>3185</v>
      </c>
      <c r="E6974" t="s">
        <v>656</v>
      </c>
      <c r="F6974" t="s">
        <v>31</v>
      </c>
      <c r="G6974">
        <v>2040</v>
      </c>
      <c r="H6974" s="12">
        <v>245.09</v>
      </c>
      <c r="I6974" t="s">
        <v>3183</v>
      </c>
      <c r="J6974" t="s">
        <v>14</v>
      </c>
      <c r="K6974" t="s">
        <v>147</v>
      </c>
      <c r="L6974" t="s">
        <v>844</v>
      </c>
      <c r="M6974" t="s">
        <v>14</v>
      </c>
    </row>
    <row r="6975" spans="1:13">
      <c r="A6975" t="s">
        <v>851</v>
      </c>
      <c r="B6975" t="s">
        <v>687</v>
      </c>
      <c r="C6975" t="s">
        <v>687</v>
      </c>
      <c r="D6975" t="s">
        <v>3185</v>
      </c>
      <c r="E6975" t="s">
        <v>656</v>
      </c>
      <c r="F6975" t="s">
        <v>31</v>
      </c>
      <c r="G6975">
        <v>2045</v>
      </c>
      <c r="H6975" s="12">
        <v>271.26</v>
      </c>
      <c r="I6975" t="s">
        <v>3183</v>
      </c>
      <c r="J6975" t="s">
        <v>14</v>
      </c>
      <c r="K6975" t="s">
        <v>147</v>
      </c>
      <c r="L6975" t="s">
        <v>844</v>
      </c>
      <c r="M6975" t="s">
        <v>14</v>
      </c>
    </row>
    <row r="6976" spans="1:13">
      <c r="A6976" t="s">
        <v>851</v>
      </c>
      <c r="B6976" t="s">
        <v>687</v>
      </c>
      <c r="C6976" t="s">
        <v>687</v>
      </c>
      <c r="D6976" t="s">
        <v>3185</v>
      </c>
      <c r="E6976" t="s">
        <v>656</v>
      </c>
      <c r="F6976" t="s">
        <v>31</v>
      </c>
      <c r="G6976">
        <v>2050</v>
      </c>
      <c r="H6976" s="12">
        <v>300.49</v>
      </c>
      <c r="I6976" t="s">
        <v>3183</v>
      </c>
      <c r="J6976" t="s">
        <v>14</v>
      </c>
      <c r="K6976" t="s">
        <v>147</v>
      </c>
      <c r="L6976" t="s">
        <v>844</v>
      </c>
      <c r="M6976" t="s">
        <v>14</v>
      </c>
    </row>
    <row r="6977" spans="1:13">
      <c r="A6977" t="s">
        <v>851</v>
      </c>
      <c r="B6977" t="s">
        <v>686</v>
      </c>
      <c r="C6977" t="s">
        <v>686</v>
      </c>
      <c r="D6977" t="s">
        <v>3185</v>
      </c>
      <c r="E6977" t="s">
        <v>656</v>
      </c>
      <c r="F6977" t="s">
        <v>31</v>
      </c>
      <c r="G6977">
        <v>2010</v>
      </c>
      <c r="H6977" s="12">
        <v>11.14</v>
      </c>
      <c r="I6977" t="s">
        <v>3183</v>
      </c>
      <c r="J6977" t="s">
        <v>41</v>
      </c>
      <c r="K6977" t="s">
        <v>147</v>
      </c>
      <c r="L6977" t="s">
        <v>844</v>
      </c>
      <c r="M6977" t="s">
        <v>669</v>
      </c>
    </row>
    <row r="6978" spans="1:13">
      <c r="A6978" t="s">
        <v>851</v>
      </c>
      <c r="B6978" t="s">
        <v>686</v>
      </c>
      <c r="C6978" t="s">
        <v>686</v>
      </c>
      <c r="D6978" t="s">
        <v>3185</v>
      </c>
      <c r="E6978" t="s">
        <v>656</v>
      </c>
      <c r="F6978" t="s">
        <v>31</v>
      </c>
      <c r="G6978">
        <v>2015</v>
      </c>
      <c r="H6978" s="12">
        <v>18.010000000000002</v>
      </c>
      <c r="I6978" t="s">
        <v>3183</v>
      </c>
      <c r="J6978" t="s">
        <v>41</v>
      </c>
      <c r="K6978" t="s">
        <v>147</v>
      </c>
      <c r="L6978" t="s">
        <v>844</v>
      </c>
      <c r="M6978" t="s">
        <v>669</v>
      </c>
    </row>
    <row r="6979" spans="1:13">
      <c r="A6979" t="s">
        <v>851</v>
      </c>
      <c r="B6979" t="s">
        <v>686</v>
      </c>
      <c r="C6979" t="s">
        <v>686</v>
      </c>
      <c r="D6979" t="s">
        <v>3185</v>
      </c>
      <c r="E6979" t="s">
        <v>656</v>
      </c>
      <c r="F6979" t="s">
        <v>31</v>
      </c>
      <c r="G6979">
        <v>2020</v>
      </c>
      <c r="H6979" s="12">
        <v>21.27</v>
      </c>
      <c r="I6979" t="s">
        <v>3183</v>
      </c>
      <c r="J6979" t="s">
        <v>41</v>
      </c>
      <c r="K6979" t="s">
        <v>147</v>
      </c>
      <c r="L6979" t="s">
        <v>844</v>
      </c>
      <c r="M6979" t="s">
        <v>669</v>
      </c>
    </row>
    <row r="6980" spans="1:13">
      <c r="A6980" t="s">
        <v>851</v>
      </c>
      <c r="B6980" t="s">
        <v>686</v>
      </c>
      <c r="C6980" t="s">
        <v>686</v>
      </c>
      <c r="D6980" t="s">
        <v>3185</v>
      </c>
      <c r="E6980" t="s">
        <v>656</v>
      </c>
      <c r="F6980" t="s">
        <v>31</v>
      </c>
      <c r="G6980">
        <v>2030</v>
      </c>
      <c r="H6980" s="12">
        <v>25.98</v>
      </c>
      <c r="I6980" t="s">
        <v>3183</v>
      </c>
      <c r="J6980" t="s">
        <v>41</v>
      </c>
      <c r="K6980" t="s">
        <v>147</v>
      </c>
      <c r="L6980" t="s">
        <v>844</v>
      </c>
      <c r="M6980" t="s">
        <v>669</v>
      </c>
    </row>
    <row r="6981" spans="1:13">
      <c r="A6981" t="s">
        <v>851</v>
      </c>
      <c r="B6981" t="s">
        <v>686</v>
      </c>
      <c r="C6981" t="s">
        <v>686</v>
      </c>
      <c r="D6981" t="s">
        <v>3185</v>
      </c>
      <c r="E6981" t="s">
        <v>656</v>
      </c>
      <c r="F6981" t="s">
        <v>31</v>
      </c>
      <c r="G6981">
        <v>2035</v>
      </c>
      <c r="H6981" s="12">
        <v>27.87</v>
      </c>
      <c r="I6981" t="s">
        <v>3183</v>
      </c>
      <c r="J6981" t="s">
        <v>41</v>
      </c>
      <c r="K6981" t="s">
        <v>147</v>
      </c>
      <c r="L6981" t="s">
        <v>844</v>
      </c>
      <c r="M6981" t="s">
        <v>669</v>
      </c>
    </row>
    <row r="6982" spans="1:13">
      <c r="A6982" t="s">
        <v>851</v>
      </c>
      <c r="B6982" t="s">
        <v>686</v>
      </c>
      <c r="C6982" t="s">
        <v>686</v>
      </c>
      <c r="D6982" t="s">
        <v>3185</v>
      </c>
      <c r="E6982" t="s">
        <v>656</v>
      </c>
      <c r="F6982" t="s">
        <v>31</v>
      </c>
      <c r="G6982">
        <v>2040</v>
      </c>
      <c r="H6982" s="12">
        <v>30.37</v>
      </c>
      <c r="I6982" t="s">
        <v>3183</v>
      </c>
      <c r="J6982" t="s">
        <v>41</v>
      </c>
      <c r="K6982" t="s">
        <v>147</v>
      </c>
      <c r="L6982" t="s">
        <v>844</v>
      </c>
      <c r="M6982" t="s">
        <v>669</v>
      </c>
    </row>
    <row r="6983" spans="1:13">
      <c r="A6983" t="s">
        <v>851</v>
      </c>
      <c r="B6983" t="s">
        <v>686</v>
      </c>
      <c r="C6983" t="s">
        <v>686</v>
      </c>
      <c r="D6983" t="s">
        <v>3185</v>
      </c>
      <c r="E6983" t="s">
        <v>656</v>
      </c>
      <c r="F6983" t="s">
        <v>31</v>
      </c>
      <c r="G6983">
        <v>2045</v>
      </c>
      <c r="H6983" s="12">
        <v>34.31</v>
      </c>
      <c r="I6983" t="s">
        <v>3183</v>
      </c>
      <c r="J6983" t="s">
        <v>41</v>
      </c>
      <c r="K6983" t="s">
        <v>147</v>
      </c>
      <c r="L6983" t="s">
        <v>844</v>
      </c>
      <c r="M6983" t="s">
        <v>669</v>
      </c>
    </row>
    <row r="6984" spans="1:13">
      <c r="A6984" t="s">
        <v>851</v>
      </c>
      <c r="B6984" t="s">
        <v>686</v>
      </c>
      <c r="C6984" t="s">
        <v>686</v>
      </c>
      <c r="D6984" t="s">
        <v>3185</v>
      </c>
      <c r="E6984" t="s">
        <v>656</v>
      </c>
      <c r="F6984" t="s">
        <v>31</v>
      </c>
      <c r="G6984">
        <v>2050</v>
      </c>
      <c r="H6984" s="12">
        <v>38.47</v>
      </c>
      <c r="I6984" t="s">
        <v>3183</v>
      </c>
      <c r="J6984" t="s">
        <v>41</v>
      </c>
      <c r="K6984" t="s">
        <v>147</v>
      </c>
      <c r="L6984" t="s">
        <v>844</v>
      </c>
      <c r="M6984" t="s">
        <v>669</v>
      </c>
    </row>
    <row r="6985" spans="1:13">
      <c r="A6985" t="s">
        <v>851</v>
      </c>
      <c r="B6985" t="s">
        <v>687</v>
      </c>
      <c r="C6985" t="s">
        <v>687</v>
      </c>
      <c r="D6985" t="s">
        <v>3185</v>
      </c>
      <c r="E6985" t="s">
        <v>656</v>
      </c>
      <c r="F6985" t="s">
        <v>31</v>
      </c>
      <c r="G6985">
        <v>2030</v>
      </c>
      <c r="H6985" s="12">
        <v>37.14</v>
      </c>
      <c r="I6985" t="s">
        <v>3183</v>
      </c>
      <c r="J6985" t="s">
        <v>41</v>
      </c>
      <c r="K6985" t="s">
        <v>147</v>
      </c>
      <c r="L6985" t="s">
        <v>844</v>
      </c>
      <c r="M6985" t="s">
        <v>669</v>
      </c>
    </row>
    <row r="6986" spans="1:13">
      <c r="A6986" t="s">
        <v>851</v>
      </c>
      <c r="B6986" t="s">
        <v>687</v>
      </c>
      <c r="C6986" t="s">
        <v>687</v>
      </c>
      <c r="D6986" t="s">
        <v>3185</v>
      </c>
      <c r="E6986" t="s">
        <v>656</v>
      </c>
      <c r="F6986" t="s">
        <v>31</v>
      </c>
      <c r="G6986">
        <v>2035</v>
      </c>
      <c r="H6986" s="12">
        <v>41.85</v>
      </c>
      <c r="I6986" t="s">
        <v>3183</v>
      </c>
      <c r="J6986" t="s">
        <v>41</v>
      </c>
      <c r="K6986" t="s">
        <v>147</v>
      </c>
      <c r="L6986" t="s">
        <v>844</v>
      </c>
      <c r="M6986" t="s">
        <v>669</v>
      </c>
    </row>
    <row r="6987" spans="1:13">
      <c r="A6987" t="s">
        <v>851</v>
      </c>
      <c r="B6987" t="s">
        <v>687</v>
      </c>
      <c r="C6987" t="s">
        <v>687</v>
      </c>
      <c r="D6987" t="s">
        <v>3185</v>
      </c>
      <c r="E6987" t="s">
        <v>656</v>
      </c>
      <c r="F6987" t="s">
        <v>31</v>
      </c>
      <c r="G6987">
        <v>2040</v>
      </c>
      <c r="H6987" s="12">
        <v>48.54</v>
      </c>
      <c r="I6987" t="s">
        <v>3183</v>
      </c>
      <c r="J6987" t="s">
        <v>41</v>
      </c>
      <c r="K6987" t="s">
        <v>147</v>
      </c>
      <c r="L6987" t="s">
        <v>844</v>
      </c>
      <c r="M6987" t="s">
        <v>669</v>
      </c>
    </row>
    <row r="6988" spans="1:13">
      <c r="A6988" t="s">
        <v>851</v>
      </c>
      <c r="B6988" t="s">
        <v>687</v>
      </c>
      <c r="C6988" t="s">
        <v>687</v>
      </c>
      <c r="D6988" t="s">
        <v>3185</v>
      </c>
      <c r="E6988" t="s">
        <v>656</v>
      </c>
      <c r="F6988" t="s">
        <v>31</v>
      </c>
      <c r="G6988">
        <v>2045</v>
      </c>
      <c r="H6988" s="12">
        <v>54.73</v>
      </c>
      <c r="I6988" t="s">
        <v>3183</v>
      </c>
      <c r="J6988" t="s">
        <v>41</v>
      </c>
      <c r="K6988" t="s">
        <v>147</v>
      </c>
      <c r="L6988" t="s">
        <v>844</v>
      </c>
      <c r="M6988" t="s">
        <v>669</v>
      </c>
    </row>
    <row r="6989" spans="1:13">
      <c r="A6989" t="s">
        <v>851</v>
      </c>
      <c r="B6989" t="s">
        <v>687</v>
      </c>
      <c r="C6989" t="s">
        <v>687</v>
      </c>
      <c r="D6989" t="s">
        <v>3185</v>
      </c>
      <c r="E6989" t="s">
        <v>656</v>
      </c>
      <c r="F6989" t="s">
        <v>31</v>
      </c>
      <c r="G6989">
        <v>2050</v>
      </c>
      <c r="H6989" s="12">
        <v>63.32</v>
      </c>
      <c r="I6989" t="s">
        <v>3183</v>
      </c>
      <c r="J6989" t="s">
        <v>41</v>
      </c>
      <c r="K6989" t="s">
        <v>147</v>
      </c>
      <c r="L6989" t="s">
        <v>844</v>
      </c>
      <c r="M6989" t="s">
        <v>669</v>
      </c>
    </row>
    <row r="6990" spans="1:13">
      <c r="A6990" t="s">
        <v>851</v>
      </c>
      <c r="B6990" t="s">
        <v>686</v>
      </c>
      <c r="C6990" t="s">
        <v>686</v>
      </c>
      <c r="D6990" t="s">
        <v>3185</v>
      </c>
      <c r="E6990" t="s">
        <v>656</v>
      </c>
      <c r="F6990" t="s">
        <v>31</v>
      </c>
      <c r="G6990">
        <v>2010</v>
      </c>
      <c r="H6990" s="12">
        <v>3.01</v>
      </c>
      <c r="I6990" t="s">
        <v>3183</v>
      </c>
      <c r="J6990" t="s">
        <v>15</v>
      </c>
      <c r="K6990" t="s">
        <v>147</v>
      </c>
      <c r="L6990" t="s">
        <v>844</v>
      </c>
      <c r="M6990" t="s">
        <v>15</v>
      </c>
    </row>
    <row r="6991" spans="1:13">
      <c r="A6991" t="s">
        <v>851</v>
      </c>
      <c r="B6991" t="s">
        <v>686</v>
      </c>
      <c r="C6991" t="s">
        <v>686</v>
      </c>
      <c r="D6991" t="s">
        <v>3185</v>
      </c>
      <c r="E6991" t="s">
        <v>656</v>
      </c>
      <c r="F6991" t="s">
        <v>31</v>
      </c>
      <c r="G6991">
        <v>2015</v>
      </c>
      <c r="H6991" s="12">
        <v>3.75</v>
      </c>
      <c r="I6991" t="s">
        <v>3183</v>
      </c>
      <c r="J6991" t="s">
        <v>15</v>
      </c>
      <c r="K6991" t="s">
        <v>147</v>
      </c>
      <c r="L6991" t="s">
        <v>844</v>
      </c>
      <c r="M6991" t="s">
        <v>15</v>
      </c>
    </row>
    <row r="6992" spans="1:13">
      <c r="A6992" t="s">
        <v>851</v>
      </c>
      <c r="B6992" t="s">
        <v>686</v>
      </c>
      <c r="C6992" t="s">
        <v>686</v>
      </c>
      <c r="D6992" t="s">
        <v>3185</v>
      </c>
      <c r="E6992" t="s">
        <v>656</v>
      </c>
      <c r="F6992" t="s">
        <v>31</v>
      </c>
      <c r="G6992">
        <v>2020</v>
      </c>
      <c r="H6992" s="12">
        <v>3.75</v>
      </c>
      <c r="I6992" t="s">
        <v>3183</v>
      </c>
      <c r="J6992" t="s">
        <v>15</v>
      </c>
      <c r="K6992" t="s">
        <v>147</v>
      </c>
      <c r="L6992" t="s">
        <v>844</v>
      </c>
      <c r="M6992" t="s">
        <v>15</v>
      </c>
    </row>
    <row r="6993" spans="1:13">
      <c r="A6993" t="s">
        <v>851</v>
      </c>
      <c r="B6993" t="s">
        <v>686</v>
      </c>
      <c r="C6993" t="s">
        <v>686</v>
      </c>
      <c r="D6993" t="s">
        <v>3185</v>
      </c>
      <c r="E6993" t="s">
        <v>656</v>
      </c>
      <c r="F6993" t="s">
        <v>31</v>
      </c>
      <c r="G6993">
        <v>2030</v>
      </c>
      <c r="H6993" s="12">
        <v>4.83</v>
      </c>
      <c r="I6993" t="s">
        <v>3183</v>
      </c>
      <c r="J6993" t="s">
        <v>15</v>
      </c>
      <c r="K6993" t="s">
        <v>147</v>
      </c>
      <c r="L6993" t="s">
        <v>844</v>
      </c>
      <c r="M6993" t="s">
        <v>15</v>
      </c>
    </row>
    <row r="6994" spans="1:13">
      <c r="A6994" t="s">
        <v>851</v>
      </c>
      <c r="B6994" t="s">
        <v>686</v>
      </c>
      <c r="C6994" t="s">
        <v>686</v>
      </c>
      <c r="D6994" t="s">
        <v>3185</v>
      </c>
      <c r="E6994" t="s">
        <v>656</v>
      </c>
      <c r="F6994" t="s">
        <v>31</v>
      </c>
      <c r="G6994">
        <v>2035</v>
      </c>
      <c r="H6994" s="12">
        <v>9.18</v>
      </c>
      <c r="I6994" t="s">
        <v>3183</v>
      </c>
      <c r="J6994" t="s">
        <v>15</v>
      </c>
      <c r="K6994" t="s">
        <v>147</v>
      </c>
      <c r="L6994" t="s">
        <v>844</v>
      </c>
      <c r="M6994" t="s">
        <v>15</v>
      </c>
    </row>
    <row r="6995" spans="1:13">
      <c r="A6995" t="s">
        <v>851</v>
      </c>
      <c r="B6995" t="s">
        <v>686</v>
      </c>
      <c r="C6995" t="s">
        <v>686</v>
      </c>
      <c r="D6995" t="s">
        <v>3185</v>
      </c>
      <c r="E6995" t="s">
        <v>656</v>
      </c>
      <c r="F6995" t="s">
        <v>31</v>
      </c>
      <c r="G6995">
        <v>2040</v>
      </c>
      <c r="H6995" s="12">
        <v>10.050000000000001</v>
      </c>
      <c r="I6995" t="s">
        <v>3183</v>
      </c>
      <c r="J6995" t="s">
        <v>15</v>
      </c>
      <c r="K6995" t="s">
        <v>147</v>
      </c>
      <c r="L6995" t="s">
        <v>844</v>
      </c>
      <c r="M6995" t="s">
        <v>15</v>
      </c>
    </row>
    <row r="6996" spans="1:13">
      <c r="A6996" t="s">
        <v>851</v>
      </c>
      <c r="B6996" t="s">
        <v>686</v>
      </c>
      <c r="C6996" t="s">
        <v>686</v>
      </c>
      <c r="D6996" t="s">
        <v>3185</v>
      </c>
      <c r="E6996" t="s">
        <v>656</v>
      </c>
      <c r="F6996" t="s">
        <v>31</v>
      </c>
      <c r="G6996">
        <v>2045</v>
      </c>
      <c r="H6996" s="12">
        <v>10.050000000000001</v>
      </c>
      <c r="I6996" t="s">
        <v>3183</v>
      </c>
      <c r="J6996" t="s">
        <v>15</v>
      </c>
      <c r="K6996" t="s">
        <v>147</v>
      </c>
      <c r="L6996" t="s">
        <v>844</v>
      </c>
      <c r="M6996" t="s">
        <v>15</v>
      </c>
    </row>
    <row r="6997" spans="1:13">
      <c r="A6997" t="s">
        <v>851</v>
      </c>
      <c r="B6997" t="s">
        <v>686</v>
      </c>
      <c r="C6997" t="s">
        <v>686</v>
      </c>
      <c r="D6997" t="s">
        <v>3185</v>
      </c>
      <c r="E6997" t="s">
        <v>656</v>
      </c>
      <c r="F6997" t="s">
        <v>31</v>
      </c>
      <c r="G6997">
        <v>2050</v>
      </c>
      <c r="H6997" s="12">
        <v>10.050000000000001</v>
      </c>
      <c r="I6997" t="s">
        <v>3183</v>
      </c>
      <c r="J6997" t="s">
        <v>15</v>
      </c>
      <c r="K6997" t="s">
        <v>147</v>
      </c>
      <c r="L6997" t="s">
        <v>844</v>
      </c>
      <c r="M6997" t="s">
        <v>15</v>
      </c>
    </row>
    <row r="6998" spans="1:13">
      <c r="A6998" t="s">
        <v>851</v>
      </c>
      <c r="B6998" t="s">
        <v>687</v>
      </c>
      <c r="C6998" t="s">
        <v>687</v>
      </c>
      <c r="D6998" t="s">
        <v>3185</v>
      </c>
      <c r="E6998" t="s">
        <v>656</v>
      </c>
      <c r="F6998" t="s">
        <v>31</v>
      </c>
      <c r="G6998">
        <v>2030</v>
      </c>
      <c r="H6998" s="12">
        <v>4.83</v>
      </c>
      <c r="I6998" t="s">
        <v>3183</v>
      </c>
      <c r="J6998" t="s">
        <v>15</v>
      </c>
      <c r="K6998" t="s">
        <v>147</v>
      </c>
      <c r="L6998" t="s">
        <v>844</v>
      </c>
      <c r="M6998" t="s">
        <v>15</v>
      </c>
    </row>
    <row r="6999" spans="1:13">
      <c r="A6999" t="s">
        <v>851</v>
      </c>
      <c r="B6999" t="s">
        <v>687</v>
      </c>
      <c r="C6999" t="s">
        <v>687</v>
      </c>
      <c r="D6999" t="s">
        <v>3185</v>
      </c>
      <c r="E6999" t="s">
        <v>656</v>
      </c>
      <c r="F6999" t="s">
        <v>31</v>
      </c>
      <c r="G6999">
        <v>2035</v>
      </c>
      <c r="H6999" s="12">
        <v>9.18</v>
      </c>
      <c r="I6999" t="s">
        <v>3183</v>
      </c>
      <c r="J6999" t="s">
        <v>15</v>
      </c>
      <c r="K6999" t="s">
        <v>147</v>
      </c>
      <c r="L6999" t="s">
        <v>844</v>
      </c>
      <c r="M6999" t="s">
        <v>15</v>
      </c>
    </row>
    <row r="7000" spans="1:13">
      <c r="A7000" t="s">
        <v>851</v>
      </c>
      <c r="B7000" t="s">
        <v>687</v>
      </c>
      <c r="C7000" t="s">
        <v>687</v>
      </c>
      <c r="D7000" t="s">
        <v>3185</v>
      </c>
      <c r="E7000" t="s">
        <v>656</v>
      </c>
      <c r="F7000" t="s">
        <v>31</v>
      </c>
      <c r="G7000">
        <v>2040</v>
      </c>
      <c r="H7000" s="12">
        <v>11.2</v>
      </c>
      <c r="I7000" t="s">
        <v>3183</v>
      </c>
      <c r="J7000" t="s">
        <v>15</v>
      </c>
      <c r="K7000" t="s">
        <v>147</v>
      </c>
      <c r="L7000" t="s">
        <v>844</v>
      </c>
      <c r="M7000" t="s">
        <v>15</v>
      </c>
    </row>
    <row r="7001" spans="1:13">
      <c r="A7001" t="s">
        <v>851</v>
      </c>
      <c r="B7001" t="s">
        <v>687</v>
      </c>
      <c r="C7001" t="s">
        <v>687</v>
      </c>
      <c r="D7001" t="s">
        <v>3185</v>
      </c>
      <c r="E7001" t="s">
        <v>656</v>
      </c>
      <c r="F7001" t="s">
        <v>31</v>
      </c>
      <c r="G7001">
        <v>2045</v>
      </c>
      <c r="H7001" s="12">
        <v>11.2</v>
      </c>
      <c r="I7001" t="s">
        <v>3183</v>
      </c>
      <c r="J7001" t="s">
        <v>15</v>
      </c>
      <c r="K7001" t="s">
        <v>147</v>
      </c>
      <c r="L7001" t="s">
        <v>844</v>
      </c>
      <c r="M7001" t="s">
        <v>15</v>
      </c>
    </row>
    <row r="7002" spans="1:13">
      <c r="A7002" t="s">
        <v>851</v>
      </c>
      <c r="B7002" t="s">
        <v>687</v>
      </c>
      <c r="C7002" t="s">
        <v>687</v>
      </c>
      <c r="D7002" t="s">
        <v>3185</v>
      </c>
      <c r="E7002" t="s">
        <v>656</v>
      </c>
      <c r="F7002" t="s">
        <v>31</v>
      </c>
      <c r="G7002">
        <v>2050</v>
      </c>
      <c r="H7002" s="12">
        <v>11.2</v>
      </c>
      <c r="I7002" t="s">
        <v>3183</v>
      </c>
      <c r="J7002" t="s">
        <v>15</v>
      </c>
      <c r="K7002" t="s">
        <v>147</v>
      </c>
      <c r="L7002" t="s">
        <v>844</v>
      </c>
      <c r="M7002" t="s">
        <v>15</v>
      </c>
    </row>
    <row r="7003" spans="1:13">
      <c r="A7003" t="s">
        <v>851</v>
      </c>
      <c r="B7003" t="s">
        <v>686</v>
      </c>
      <c r="C7003" t="s">
        <v>686</v>
      </c>
      <c r="D7003" t="s">
        <v>3185</v>
      </c>
      <c r="E7003" t="s">
        <v>656</v>
      </c>
      <c r="F7003" t="s">
        <v>31</v>
      </c>
      <c r="G7003">
        <v>2010</v>
      </c>
      <c r="H7003" s="12">
        <v>0</v>
      </c>
      <c r="I7003" t="s">
        <v>3183</v>
      </c>
      <c r="J7003" t="s">
        <v>8</v>
      </c>
      <c r="K7003" t="s">
        <v>147</v>
      </c>
      <c r="L7003" t="s">
        <v>844</v>
      </c>
      <c r="M7003" t="s">
        <v>670</v>
      </c>
    </row>
    <row r="7004" spans="1:13">
      <c r="A7004" t="s">
        <v>851</v>
      </c>
      <c r="B7004" t="s">
        <v>686</v>
      </c>
      <c r="C7004" t="s">
        <v>686</v>
      </c>
      <c r="D7004" t="s">
        <v>3185</v>
      </c>
      <c r="E7004" t="s">
        <v>656</v>
      </c>
      <c r="F7004" t="s">
        <v>31</v>
      </c>
      <c r="G7004">
        <v>2015</v>
      </c>
      <c r="H7004" s="12">
        <v>0</v>
      </c>
      <c r="I7004" t="s">
        <v>3183</v>
      </c>
      <c r="J7004" t="s">
        <v>8</v>
      </c>
      <c r="K7004" t="s">
        <v>147</v>
      </c>
      <c r="L7004" t="s">
        <v>844</v>
      </c>
      <c r="M7004" t="s">
        <v>670</v>
      </c>
    </row>
    <row r="7005" spans="1:13">
      <c r="A7005" t="s">
        <v>851</v>
      </c>
      <c r="B7005" t="s">
        <v>686</v>
      </c>
      <c r="C7005" t="s">
        <v>686</v>
      </c>
      <c r="D7005" t="s">
        <v>3185</v>
      </c>
      <c r="E7005" t="s">
        <v>656</v>
      </c>
      <c r="F7005" t="s">
        <v>31</v>
      </c>
      <c r="G7005">
        <v>2020</v>
      </c>
      <c r="H7005" s="12">
        <v>0</v>
      </c>
      <c r="I7005" t="s">
        <v>3183</v>
      </c>
      <c r="J7005" t="s">
        <v>8</v>
      </c>
      <c r="K7005" t="s">
        <v>147</v>
      </c>
      <c r="L7005" t="s">
        <v>844</v>
      </c>
      <c r="M7005" t="s">
        <v>670</v>
      </c>
    </row>
    <row r="7006" spans="1:13">
      <c r="A7006" t="s">
        <v>851</v>
      </c>
      <c r="B7006" t="s">
        <v>687</v>
      </c>
      <c r="C7006" t="s">
        <v>687</v>
      </c>
      <c r="D7006" t="s">
        <v>3185</v>
      </c>
      <c r="E7006" t="s">
        <v>656</v>
      </c>
      <c r="F7006" t="s">
        <v>31</v>
      </c>
      <c r="G7006">
        <v>2040</v>
      </c>
      <c r="H7006" s="12">
        <v>0.7</v>
      </c>
      <c r="I7006" t="s">
        <v>3183</v>
      </c>
      <c r="J7006" t="s">
        <v>8</v>
      </c>
      <c r="K7006" t="s">
        <v>147</v>
      </c>
      <c r="L7006" t="s">
        <v>844</v>
      </c>
      <c r="M7006" t="s">
        <v>670</v>
      </c>
    </row>
    <row r="7007" spans="1:13">
      <c r="A7007" t="s">
        <v>851</v>
      </c>
      <c r="B7007" t="s">
        <v>687</v>
      </c>
      <c r="C7007" t="s">
        <v>687</v>
      </c>
      <c r="D7007" t="s">
        <v>3185</v>
      </c>
      <c r="E7007" t="s">
        <v>656</v>
      </c>
      <c r="F7007" t="s">
        <v>31</v>
      </c>
      <c r="G7007">
        <v>2045</v>
      </c>
      <c r="H7007" s="12">
        <v>1.1000000000000001</v>
      </c>
      <c r="I7007" t="s">
        <v>3183</v>
      </c>
      <c r="J7007" t="s">
        <v>8</v>
      </c>
      <c r="K7007" t="s">
        <v>147</v>
      </c>
      <c r="L7007" t="s">
        <v>844</v>
      </c>
      <c r="M7007" t="s">
        <v>670</v>
      </c>
    </row>
    <row r="7008" spans="1:13">
      <c r="A7008" t="s">
        <v>851</v>
      </c>
      <c r="B7008" t="s">
        <v>687</v>
      </c>
      <c r="C7008" t="s">
        <v>687</v>
      </c>
      <c r="D7008" t="s">
        <v>3185</v>
      </c>
      <c r="E7008" t="s">
        <v>656</v>
      </c>
      <c r="F7008" t="s">
        <v>31</v>
      </c>
      <c r="G7008">
        <v>2050</v>
      </c>
      <c r="H7008" s="12">
        <v>1.27</v>
      </c>
      <c r="I7008" t="s">
        <v>3183</v>
      </c>
      <c r="J7008" t="s">
        <v>8</v>
      </c>
      <c r="K7008" t="s">
        <v>147</v>
      </c>
      <c r="L7008" t="s">
        <v>844</v>
      </c>
      <c r="M7008" t="s">
        <v>670</v>
      </c>
    </row>
    <row r="7009" spans="1:13">
      <c r="A7009" t="s">
        <v>851</v>
      </c>
      <c r="B7009" t="s">
        <v>686</v>
      </c>
      <c r="C7009" t="s">
        <v>686</v>
      </c>
      <c r="D7009" t="s">
        <v>3185</v>
      </c>
      <c r="E7009" t="s">
        <v>656</v>
      </c>
      <c r="F7009" t="s">
        <v>31</v>
      </c>
      <c r="G7009">
        <v>2010</v>
      </c>
      <c r="H7009" s="12">
        <v>7.62</v>
      </c>
      <c r="I7009" t="s">
        <v>3183</v>
      </c>
      <c r="J7009" t="s">
        <v>5</v>
      </c>
      <c r="K7009" t="s">
        <v>147</v>
      </c>
      <c r="L7009" t="s">
        <v>844</v>
      </c>
      <c r="M7009" t="s">
        <v>665</v>
      </c>
    </row>
    <row r="7010" spans="1:13">
      <c r="A7010" t="s">
        <v>851</v>
      </c>
      <c r="B7010" t="s">
        <v>686</v>
      </c>
      <c r="C7010" t="s">
        <v>686</v>
      </c>
      <c r="D7010" t="s">
        <v>3185</v>
      </c>
      <c r="E7010" t="s">
        <v>656</v>
      </c>
      <c r="F7010" t="s">
        <v>31</v>
      </c>
      <c r="G7010">
        <v>2015</v>
      </c>
      <c r="H7010" s="12">
        <v>12.16</v>
      </c>
      <c r="I7010" t="s">
        <v>3183</v>
      </c>
      <c r="J7010" t="s">
        <v>5</v>
      </c>
      <c r="K7010" t="s">
        <v>147</v>
      </c>
      <c r="L7010" t="s">
        <v>844</v>
      </c>
      <c r="M7010" t="s">
        <v>665</v>
      </c>
    </row>
    <row r="7011" spans="1:13">
      <c r="A7011" t="s">
        <v>851</v>
      </c>
      <c r="B7011" t="s">
        <v>686</v>
      </c>
      <c r="C7011" t="s">
        <v>686</v>
      </c>
      <c r="D7011" t="s">
        <v>3185</v>
      </c>
      <c r="E7011" t="s">
        <v>656</v>
      </c>
      <c r="F7011" t="s">
        <v>31</v>
      </c>
      <c r="G7011">
        <v>2020</v>
      </c>
      <c r="H7011" s="12">
        <v>13.82</v>
      </c>
      <c r="I7011" t="s">
        <v>3183</v>
      </c>
      <c r="J7011" t="s">
        <v>5</v>
      </c>
      <c r="K7011" t="s">
        <v>147</v>
      </c>
      <c r="L7011" t="s">
        <v>844</v>
      </c>
      <c r="M7011" t="s">
        <v>665</v>
      </c>
    </row>
    <row r="7012" spans="1:13">
      <c r="A7012" t="s">
        <v>851</v>
      </c>
      <c r="B7012" t="s">
        <v>686</v>
      </c>
      <c r="C7012" t="s">
        <v>686</v>
      </c>
      <c r="D7012" t="s">
        <v>3185</v>
      </c>
      <c r="E7012" t="s">
        <v>656</v>
      </c>
      <c r="F7012" t="s">
        <v>31</v>
      </c>
      <c r="G7012">
        <v>2030</v>
      </c>
      <c r="H7012" s="12">
        <v>12.18</v>
      </c>
      <c r="I7012" t="s">
        <v>3183</v>
      </c>
      <c r="J7012" t="s">
        <v>5</v>
      </c>
      <c r="K7012" t="s">
        <v>147</v>
      </c>
      <c r="L7012" t="s">
        <v>844</v>
      </c>
      <c r="M7012" t="s">
        <v>665</v>
      </c>
    </row>
    <row r="7013" spans="1:13">
      <c r="A7013" t="s">
        <v>851</v>
      </c>
      <c r="B7013" t="s">
        <v>686</v>
      </c>
      <c r="C7013" t="s">
        <v>686</v>
      </c>
      <c r="D7013" t="s">
        <v>3185</v>
      </c>
      <c r="E7013" t="s">
        <v>656</v>
      </c>
      <c r="F7013" t="s">
        <v>31</v>
      </c>
      <c r="G7013">
        <v>2035</v>
      </c>
      <c r="H7013" s="12">
        <v>10.23</v>
      </c>
      <c r="I7013" t="s">
        <v>3183</v>
      </c>
      <c r="J7013" t="s">
        <v>5</v>
      </c>
      <c r="K7013" t="s">
        <v>147</v>
      </c>
      <c r="L7013" t="s">
        <v>844</v>
      </c>
      <c r="M7013" t="s">
        <v>665</v>
      </c>
    </row>
    <row r="7014" spans="1:13">
      <c r="A7014" t="s">
        <v>851</v>
      </c>
      <c r="B7014" t="s">
        <v>686</v>
      </c>
      <c r="C7014" t="s">
        <v>686</v>
      </c>
      <c r="D7014" t="s">
        <v>3185</v>
      </c>
      <c r="E7014" t="s">
        <v>656</v>
      </c>
      <c r="F7014" t="s">
        <v>31</v>
      </c>
      <c r="G7014">
        <v>2040</v>
      </c>
      <c r="H7014" s="12">
        <v>8.74</v>
      </c>
      <c r="I7014" t="s">
        <v>3183</v>
      </c>
      <c r="J7014" t="s">
        <v>5</v>
      </c>
      <c r="K7014" t="s">
        <v>147</v>
      </c>
      <c r="L7014" t="s">
        <v>844</v>
      </c>
      <c r="M7014" t="s">
        <v>665</v>
      </c>
    </row>
    <row r="7015" spans="1:13">
      <c r="A7015" t="s">
        <v>851</v>
      </c>
      <c r="B7015" t="s">
        <v>686</v>
      </c>
      <c r="C7015" t="s">
        <v>686</v>
      </c>
      <c r="D7015" t="s">
        <v>3185</v>
      </c>
      <c r="E7015" t="s">
        <v>656</v>
      </c>
      <c r="F7015" t="s">
        <v>31</v>
      </c>
      <c r="G7015">
        <v>2045</v>
      </c>
      <c r="H7015" s="12">
        <v>7.58</v>
      </c>
      <c r="I7015" t="s">
        <v>3183</v>
      </c>
      <c r="J7015" t="s">
        <v>5</v>
      </c>
      <c r="K7015" t="s">
        <v>147</v>
      </c>
      <c r="L7015" t="s">
        <v>844</v>
      </c>
      <c r="M7015" t="s">
        <v>665</v>
      </c>
    </row>
    <row r="7016" spans="1:13">
      <c r="A7016" t="s">
        <v>851</v>
      </c>
      <c r="B7016" t="s">
        <v>686</v>
      </c>
      <c r="C7016" t="s">
        <v>686</v>
      </c>
      <c r="D7016" t="s">
        <v>3185</v>
      </c>
      <c r="E7016" t="s">
        <v>656</v>
      </c>
      <c r="F7016" t="s">
        <v>31</v>
      </c>
      <c r="G7016">
        <v>2050</v>
      </c>
      <c r="H7016" s="12">
        <v>6.74</v>
      </c>
      <c r="I7016" t="s">
        <v>3183</v>
      </c>
      <c r="J7016" t="s">
        <v>5</v>
      </c>
      <c r="K7016" t="s">
        <v>147</v>
      </c>
      <c r="L7016" t="s">
        <v>844</v>
      </c>
      <c r="M7016" t="s">
        <v>665</v>
      </c>
    </row>
    <row r="7017" spans="1:13">
      <c r="A7017" t="s">
        <v>851</v>
      </c>
      <c r="B7017" t="s">
        <v>687</v>
      </c>
      <c r="C7017" t="s">
        <v>687</v>
      </c>
      <c r="D7017" t="s">
        <v>3185</v>
      </c>
      <c r="E7017" t="s">
        <v>656</v>
      </c>
      <c r="F7017" t="s">
        <v>31</v>
      </c>
      <c r="G7017">
        <v>2030</v>
      </c>
      <c r="H7017" s="12">
        <v>8.35</v>
      </c>
      <c r="I7017" t="s">
        <v>3183</v>
      </c>
      <c r="J7017" t="s">
        <v>5</v>
      </c>
      <c r="K7017" t="s">
        <v>147</v>
      </c>
      <c r="L7017" t="s">
        <v>844</v>
      </c>
      <c r="M7017" t="s">
        <v>665</v>
      </c>
    </row>
    <row r="7018" spans="1:13">
      <c r="A7018" t="s">
        <v>851</v>
      </c>
      <c r="B7018" t="s">
        <v>687</v>
      </c>
      <c r="C7018" t="s">
        <v>687</v>
      </c>
      <c r="D7018" t="s">
        <v>3185</v>
      </c>
      <c r="E7018" t="s">
        <v>656</v>
      </c>
      <c r="F7018" t="s">
        <v>31</v>
      </c>
      <c r="G7018">
        <v>2035</v>
      </c>
      <c r="H7018" s="12">
        <v>4.4800000000000004</v>
      </c>
      <c r="I7018" t="s">
        <v>3183</v>
      </c>
      <c r="J7018" t="s">
        <v>5</v>
      </c>
      <c r="K7018" t="s">
        <v>147</v>
      </c>
      <c r="L7018" t="s">
        <v>844</v>
      </c>
      <c r="M7018" t="s">
        <v>665</v>
      </c>
    </row>
    <row r="7019" spans="1:13">
      <c r="A7019" t="s">
        <v>851</v>
      </c>
      <c r="B7019" t="s">
        <v>687</v>
      </c>
      <c r="C7019" t="s">
        <v>687</v>
      </c>
      <c r="D7019" t="s">
        <v>3185</v>
      </c>
      <c r="E7019" t="s">
        <v>656</v>
      </c>
      <c r="F7019" t="s">
        <v>31</v>
      </c>
      <c r="G7019">
        <v>2040</v>
      </c>
      <c r="H7019" s="12">
        <v>2.91</v>
      </c>
      <c r="I7019" t="s">
        <v>3183</v>
      </c>
      <c r="J7019" t="s">
        <v>5</v>
      </c>
      <c r="K7019" t="s">
        <v>147</v>
      </c>
      <c r="L7019" t="s">
        <v>844</v>
      </c>
      <c r="M7019" t="s">
        <v>665</v>
      </c>
    </row>
    <row r="7020" spans="1:13">
      <c r="A7020" t="s">
        <v>851</v>
      </c>
      <c r="B7020" t="s">
        <v>687</v>
      </c>
      <c r="C7020" t="s">
        <v>687</v>
      </c>
      <c r="D7020" t="s">
        <v>3185</v>
      </c>
      <c r="E7020" t="s">
        <v>656</v>
      </c>
      <c r="F7020" t="s">
        <v>31</v>
      </c>
      <c r="G7020">
        <v>2045</v>
      </c>
      <c r="H7020" s="12">
        <v>2.2400000000000002</v>
      </c>
      <c r="I7020" t="s">
        <v>3183</v>
      </c>
      <c r="J7020" t="s">
        <v>5</v>
      </c>
      <c r="K7020" t="s">
        <v>147</v>
      </c>
      <c r="L7020" t="s">
        <v>844</v>
      </c>
      <c r="M7020" t="s">
        <v>665</v>
      </c>
    </row>
    <row r="7021" spans="1:13">
      <c r="A7021" t="s">
        <v>851</v>
      </c>
      <c r="B7021" t="s">
        <v>687</v>
      </c>
      <c r="C7021" t="s">
        <v>687</v>
      </c>
      <c r="D7021" t="s">
        <v>3185</v>
      </c>
      <c r="E7021" t="s">
        <v>656</v>
      </c>
      <c r="F7021" t="s">
        <v>31</v>
      </c>
      <c r="G7021">
        <v>2050</v>
      </c>
      <c r="H7021" s="12">
        <v>1.87</v>
      </c>
      <c r="I7021" t="s">
        <v>3183</v>
      </c>
      <c r="J7021" t="s">
        <v>5</v>
      </c>
      <c r="K7021" t="s">
        <v>147</v>
      </c>
      <c r="L7021" t="s">
        <v>844</v>
      </c>
      <c r="M7021" t="s">
        <v>665</v>
      </c>
    </row>
    <row r="7022" spans="1:13">
      <c r="A7022" t="s">
        <v>851</v>
      </c>
      <c r="B7022" t="s">
        <v>686</v>
      </c>
      <c r="C7022" t="s">
        <v>686</v>
      </c>
      <c r="D7022" t="s">
        <v>3185</v>
      </c>
      <c r="E7022" t="s">
        <v>656</v>
      </c>
      <c r="F7022" t="s">
        <v>31</v>
      </c>
      <c r="G7022">
        <v>2010</v>
      </c>
      <c r="H7022" s="12">
        <v>50.29</v>
      </c>
      <c r="I7022" t="s">
        <v>3183</v>
      </c>
      <c r="J7022" t="s">
        <v>6</v>
      </c>
      <c r="K7022" t="s">
        <v>147</v>
      </c>
      <c r="L7022" t="s">
        <v>844</v>
      </c>
      <c r="M7022" t="s">
        <v>666</v>
      </c>
    </row>
    <row r="7023" spans="1:13">
      <c r="A7023" t="s">
        <v>851</v>
      </c>
      <c r="B7023" t="s">
        <v>686</v>
      </c>
      <c r="C7023" t="s">
        <v>686</v>
      </c>
      <c r="D7023" t="s">
        <v>3185</v>
      </c>
      <c r="E7023" t="s">
        <v>656</v>
      </c>
      <c r="F7023" t="s">
        <v>31</v>
      </c>
      <c r="G7023">
        <v>2015</v>
      </c>
      <c r="H7023" s="12">
        <v>62.33</v>
      </c>
      <c r="I7023" t="s">
        <v>3183</v>
      </c>
      <c r="J7023" t="s">
        <v>6</v>
      </c>
      <c r="K7023" t="s">
        <v>147</v>
      </c>
      <c r="L7023" t="s">
        <v>844</v>
      </c>
      <c r="M7023" t="s">
        <v>666</v>
      </c>
    </row>
    <row r="7024" spans="1:13">
      <c r="A7024" t="s">
        <v>851</v>
      </c>
      <c r="B7024" t="s">
        <v>686</v>
      </c>
      <c r="C7024" t="s">
        <v>686</v>
      </c>
      <c r="D7024" t="s">
        <v>3185</v>
      </c>
      <c r="E7024" t="s">
        <v>656</v>
      </c>
      <c r="F7024" t="s">
        <v>31</v>
      </c>
      <c r="G7024">
        <v>2020</v>
      </c>
      <c r="H7024" s="12">
        <v>72.67</v>
      </c>
      <c r="I7024" t="s">
        <v>3183</v>
      </c>
      <c r="J7024" t="s">
        <v>6</v>
      </c>
      <c r="K7024" t="s">
        <v>147</v>
      </c>
      <c r="L7024" t="s">
        <v>844</v>
      </c>
      <c r="M7024" t="s">
        <v>666</v>
      </c>
    </row>
    <row r="7025" spans="1:13">
      <c r="A7025" t="s">
        <v>851</v>
      </c>
      <c r="B7025" t="s">
        <v>686</v>
      </c>
      <c r="C7025" t="s">
        <v>686</v>
      </c>
      <c r="D7025" t="s">
        <v>3185</v>
      </c>
      <c r="E7025" t="s">
        <v>656</v>
      </c>
      <c r="F7025" t="s">
        <v>31</v>
      </c>
      <c r="G7025">
        <v>2030</v>
      </c>
      <c r="H7025" s="12">
        <v>83.92</v>
      </c>
      <c r="I7025" t="s">
        <v>3183</v>
      </c>
      <c r="J7025" t="s">
        <v>6</v>
      </c>
      <c r="K7025" t="s">
        <v>147</v>
      </c>
      <c r="L7025" t="s">
        <v>844</v>
      </c>
      <c r="M7025" t="s">
        <v>666</v>
      </c>
    </row>
    <row r="7026" spans="1:13">
      <c r="A7026" t="s">
        <v>851</v>
      </c>
      <c r="B7026" t="s">
        <v>686</v>
      </c>
      <c r="C7026" t="s">
        <v>686</v>
      </c>
      <c r="D7026" t="s">
        <v>3185</v>
      </c>
      <c r="E7026" t="s">
        <v>656</v>
      </c>
      <c r="F7026" t="s">
        <v>31</v>
      </c>
      <c r="G7026">
        <v>2035</v>
      </c>
      <c r="H7026" s="12">
        <v>87.17</v>
      </c>
      <c r="I7026" t="s">
        <v>3183</v>
      </c>
      <c r="J7026" t="s">
        <v>6</v>
      </c>
      <c r="K7026" t="s">
        <v>147</v>
      </c>
      <c r="L7026" t="s">
        <v>844</v>
      </c>
      <c r="M7026" t="s">
        <v>666</v>
      </c>
    </row>
    <row r="7027" spans="1:13">
      <c r="A7027" t="s">
        <v>851</v>
      </c>
      <c r="B7027" t="s">
        <v>686</v>
      </c>
      <c r="C7027" t="s">
        <v>686</v>
      </c>
      <c r="D7027" t="s">
        <v>3185</v>
      </c>
      <c r="E7027" t="s">
        <v>656</v>
      </c>
      <c r="F7027" t="s">
        <v>31</v>
      </c>
      <c r="G7027">
        <v>2040</v>
      </c>
      <c r="H7027" s="12">
        <v>89.91</v>
      </c>
      <c r="I7027" t="s">
        <v>3183</v>
      </c>
      <c r="J7027" t="s">
        <v>6</v>
      </c>
      <c r="K7027" t="s">
        <v>147</v>
      </c>
      <c r="L7027" t="s">
        <v>844</v>
      </c>
      <c r="M7027" t="s">
        <v>666</v>
      </c>
    </row>
    <row r="7028" spans="1:13">
      <c r="A7028" t="s">
        <v>851</v>
      </c>
      <c r="B7028" t="s">
        <v>686</v>
      </c>
      <c r="C7028" t="s">
        <v>686</v>
      </c>
      <c r="D7028" t="s">
        <v>3185</v>
      </c>
      <c r="E7028" t="s">
        <v>656</v>
      </c>
      <c r="F7028" t="s">
        <v>31</v>
      </c>
      <c r="G7028">
        <v>2045</v>
      </c>
      <c r="H7028" s="12">
        <v>94.43</v>
      </c>
      <c r="I7028" t="s">
        <v>3183</v>
      </c>
      <c r="J7028" t="s">
        <v>6</v>
      </c>
      <c r="K7028" t="s">
        <v>147</v>
      </c>
      <c r="L7028" t="s">
        <v>844</v>
      </c>
      <c r="M7028" t="s">
        <v>666</v>
      </c>
    </row>
    <row r="7029" spans="1:13">
      <c r="A7029" t="s">
        <v>851</v>
      </c>
      <c r="B7029" t="s">
        <v>686</v>
      </c>
      <c r="C7029" t="s">
        <v>686</v>
      </c>
      <c r="D7029" t="s">
        <v>3185</v>
      </c>
      <c r="E7029" t="s">
        <v>656</v>
      </c>
      <c r="F7029" t="s">
        <v>31</v>
      </c>
      <c r="G7029">
        <v>2050</v>
      </c>
      <c r="H7029" s="12">
        <v>108.75</v>
      </c>
      <c r="I7029" t="s">
        <v>3183</v>
      </c>
      <c r="J7029" t="s">
        <v>6</v>
      </c>
      <c r="K7029" t="s">
        <v>147</v>
      </c>
      <c r="L7029" t="s">
        <v>844</v>
      </c>
      <c r="M7029" t="s">
        <v>666</v>
      </c>
    </row>
    <row r="7030" spans="1:13">
      <c r="A7030" t="s">
        <v>851</v>
      </c>
      <c r="B7030" t="s">
        <v>687</v>
      </c>
      <c r="C7030" t="s">
        <v>687</v>
      </c>
      <c r="D7030" t="s">
        <v>3185</v>
      </c>
      <c r="E7030" t="s">
        <v>656</v>
      </c>
      <c r="F7030" t="s">
        <v>31</v>
      </c>
      <c r="G7030">
        <v>2030</v>
      </c>
      <c r="H7030" s="12">
        <v>72.17</v>
      </c>
      <c r="I7030" t="s">
        <v>3183</v>
      </c>
      <c r="J7030" t="s">
        <v>6</v>
      </c>
      <c r="K7030" t="s">
        <v>147</v>
      </c>
      <c r="L7030" t="s">
        <v>844</v>
      </c>
      <c r="M7030" t="s">
        <v>666</v>
      </c>
    </row>
    <row r="7031" spans="1:13">
      <c r="A7031" t="s">
        <v>851</v>
      </c>
      <c r="B7031" t="s">
        <v>687</v>
      </c>
      <c r="C7031" t="s">
        <v>687</v>
      </c>
      <c r="D7031" t="s">
        <v>3185</v>
      </c>
      <c r="E7031" t="s">
        <v>656</v>
      </c>
      <c r="F7031" t="s">
        <v>31</v>
      </c>
      <c r="G7031">
        <v>2035</v>
      </c>
      <c r="H7031" s="12">
        <v>73.040000000000006</v>
      </c>
      <c r="I7031" t="s">
        <v>3183</v>
      </c>
      <c r="J7031" t="s">
        <v>6</v>
      </c>
      <c r="K7031" t="s">
        <v>147</v>
      </c>
      <c r="L7031" t="s">
        <v>844</v>
      </c>
      <c r="M7031" t="s">
        <v>666</v>
      </c>
    </row>
    <row r="7032" spans="1:13">
      <c r="A7032" t="s">
        <v>851</v>
      </c>
      <c r="B7032" t="s">
        <v>687</v>
      </c>
      <c r="C7032" t="s">
        <v>687</v>
      </c>
      <c r="D7032" t="s">
        <v>3185</v>
      </c>
      <c r="E7032" t="s">
        <v>656</v>
      </c>
      <c r="F7032" t="s">
        <v>31</v>
      </c>
      <c r="G7032">
        <v>2040</v>
      </c>
      <c r="H7032" s="12">
        <v>69.92</v>
      </c>
      <c r="I7032" t="s">
        <v>3183</v>
      </c>
      <c r="J7032" t="s">
        <v>6</v>
      </c>
      <c r="K7032" t="s">
        <v>147</v>
      </c>
      <c r="L7032" t="s">
        <v>844</v>
      </c>
      <c r="M7032" t="s">
        <v>666</v>
      </c>
    </row>
    <row r="7033" spans="1:13">
      <c r="A7033" t="s">
        <v>851</v>
      </c>
      <c r="B7033" t="s">
        <v>687</v>
      </c>
      <c r="C7033" t="s">
        <v>687</v>
      </c>
      <c r="D7033" t="s">
        <v>3185</v>
      </c>
      <c r="E7033" t="s">
        <v>656</v>
      </c>
      <c r="F7033" t="s">
        <v>31</v>
      </c>
      <c r="G7033">
        <v>2045</v>
      </c>
      <c r="H7033" s="12">
        <v>69.87</v>
      </c>
      <c r="I7033" t="s">
        <v>3183</v>
      </c>
      <c r="J7033" t="s">
        <v>6</v>
      </c>
      <c r="K7033" t="s">
        <v>147</v>
      </c>
      <c r="L7033" t="s">
        <v>844</v>
      </c>
      <c r="M7033" t="s">
        <v>666</v>
      </c>
    </row>
    <row r="7034" spans="1:13">
      <c r="A7034" t="s">
        <v>851</v>
      </c>
      <c r="B7034" t="s">
        <v>687</v>
      </c>
      <c r="C7034" t="s">
        <v>687</v>
      </c>
      <c r="D7034" t="s">
        <v>3185</v>
      </c>
      <c r="E7034" t="s">
        <v>656</v>
      </c>
      <c r="F7034" t="s">
        <v>31</v>
      </c>
      <c r="G7034">
        <v>2050</v>
      </c>
      <c r="H7034" s="12">
        <v>70.27</v>
      </c>
      <c r="I7034" t="s">
        <v>3183</v>
      </c>
      <c r="J7034" t="s">
        <v>6</v>
      </c>
      <c r="K7034" t="s">
        <v>147</v>
      </c>
      <c r="L7034" t="s">
        <v>844</v>
      </c>
      <c r="M7034" t="s">
        <v>666</v>
      </c>
    </row>
    <row r="7035" spans="1:13">
      <c r="A7035" t="s">
        <v>851</v>
      </c>
      <c r="B7035" t="s">
        <v>686</v>
      </c>
      <c r="C7035" t="s">
        <v>686</v>
      </c>
      <c r="D7035" t="s">
        <v>3185</v>
      </c>
      <c r="E7035" t="s">
        <v>656</v>
      </c>
      <c r="F7035" t="s">
        <v>31</v>
      </c>
      <c r="G7035">
        <v>2010</v>
      </c>
      <c r="H7035" s="12">
        <v>41.19</v>
      </c>
      <c r="I7035" t="s">
        <v>3183</v>
      </c>
      <c r="J7035" t="s">
        <v>394</v>
      </c>
      <c r="K7035" t="s">
        <v>147</v>
      </c>
      <c r="L7035" t="s">
        <v>844</v>
      </c>
      <c r="M7035" t="s">
        <v>16</v>
      </c>
    </row>
    <row r="7036" spans="1:13">
      <c r="A7036" t="s">
        <v>851</v>
      </c>
      <c r="B7036" t="s">
        <v>686</v>
      </c>
      <c r="C7036" t="s">
        <v>686</v>
      </c>
      <c r="D7036" t="s">
        <v>3185</v>
      </c>
      <c r="E7036" t="s">
        <v>656</v>
      </c>
      <c r="F7036" t="s">
        <v>31</v>
      </c>
      <c r="G7036">
        <v>2015</v>
      </c>
      <c r="H7036" s="12">
        <v>46.59</v>
      </c>
      <c r="I7036" t="s">
        <v>3183</v>
      </c>
      <c r="J7036" t="s">
        <v>394</v>
      </c>
      <c r="K7036" t="s">
        <v>147</v>
      </c>
      <c r="L7036" t="s">
        <v>844</v>
      </c>
      <c r="M7036" t="s">
        <v>16</v>
      </c>
    </row>
    <row r="7037" spans="1:13">
      <c r="A7037" t="s">
        <v>851</v>
      </c>
      <c r="B7037" t="s">
        <v>686</v>
      </c>
      <c r="C7037" t="s">
        <v>686</v>
      </c>
      <c r="D7037" t="s">
        <v>3185</v>
      </c>
      <c r="E7037" t="s">
        <v>461</v>
      </c>
      <c r="F7037" t="s">
        <v>668</v>
      </c>
      <c r="G7037">
        <v>2015</v>
      </c>
      <c r="H7037" s="12">
        <v>268.39999999999998</v>
      </c>
      <c r="I7037" t="s">
        <v>3183</v>
      </c>
      <c r="J7037" t="s">
        <v>6</v>
      </c>
      <c r="K7037" t="s">
        <v>147</v>
      </c>
      <c r="L7037" t="s">
        <v>844</v>
      </c>
      <c r="M7037" t="s">
        <v>666</v>
      </c>
    </row>
    <row r="7038" spans="1:13">
      <c r="A7038" t="s">
        <v>851</v>
      </c>
      <c r="B7038" t="s">
        <v>686</v>
      </c>
      <c r="C7038" t="s">
        <v>686</v>
      </c>
      <c r="D7038" t="s">
        <v>3185</v>
      </c>
      <c r="E7038" t="s">
        <v>461</v>
      </c>
      <c r="F7038" t="s">
        <v>668</v>
      </c>
      <c r="G7038">
        <v>2020</v>
      </c>
      <c r="H7038" s="12">
        <v>228.97</v>
      </c>
      <c r="I7038" t="s">
        <v>3183</v>
      </c>
      <c r="J7038" t="s">
        <v>6</v>
      </c>
      <c r="K7038" t="s">
        <v>147</v>
      </c>
      <c r="L7038" t="s">
        <v>844</v>
      </c>
      <c r="M7038" t="s">
        <v>666</v>
      </c>
    </row>
    <row r="7039" spans="1:13">
      <c r="A7039" t="s">
        <v>851</v>
      </c>
      <c r="B7039" t="s">
        <v>686</v>
      </c>
      <c r="C7039" t="s">
        <v>686</v>
      </c>
      <c r="D7039" t="s">
        <v>3185</v>
      </c>
      <c r="E7039" t="s">
        <v>461</v>
      </c>
      <c r="F7039" t="s">
        <v>668</v>
      </c>
      <c r="G7039">
        <v>2030</v>
      </c>
      <c r="H7039" s="12">
        <v>222.34</v>
      </c>
      <c r="I7039" t="s">
        <v>3183</v>
      </c>
      <c r="J7039" t="s">
        <v>6</v>
      </c>
      <c r="K7039" t="s">
        <v>147</v>
      </c>
      <c r="L7039" t="s">
        <v>844</v>
      </c>
      <c r="M7039" t="s">
        <v>666</v>
      </c>
    </row>
    <row r="7040" spans="1:13">
      <c r="A7040" t="s">
        <v>851</v>
      </c>
      <c r="B7040" t="s">
        <v>686</v>
      </c>
      <c r="C7040" t="s">
        <v>686</v>
      </c>
      <c r="D7040" t="s">
        <v>3185</v>
      </c>
      <c r="E7040" t="s">
        <v>461</v>
      </c>
      <c r="F7040" t="s">
        <v>668</v>
      </c>
      <c r="G7040">
        <v>2035</v>
      </c>
      <c r="H7040" s="12">
        <v>231</v>
      </c>
      <c r="I7040" t="s">
        <v>3183</v>
      </c>
      <c r="J7040" t="s">
        <v>6</v>
      </c>
      <c r="K7040" t="s">
        <v>147</v>
      </c>
      <c r="L7040" t="s">
        <v>844</v>
      </c>
      <c r="M7040" t="s">
        <v>666</v>
      </c>
    </row>
    <row r="7041" spans="1:13">
      <c r="A7041" t="s">
        <v>851</v>
      </c>
      <c r="B7041" t="s">
        <v>686</v>
      </c>
      <c r="C7041" t="s">
        <v>686</v>
      </c>
      <c r="D7041" t="s">
        <v>3185</v>
      </c>
      <c r="E7041" t="s">
        <v>461</v>
      </c>
      <c r="F7041" t="s">
        <v>668</v>
      </c>
      <c r="G7041">
        <v>2040</v>
      </c>
      <c r="H7041" s="12">
        <v>235.35</v>
      </c>
      <c r="I7041" t="s">
        <v>3183</v>
      </c>
      <c r="J7041" t="s">
        <v>6</v>
      </c>
      <c r="K7041" t="s">
        <v>147</v>
      </c>
      <c r="L7041" t="s">
        <v>844</v>
      </c>
      <c r="M7041" t="s">
        <v>666</v>
      </c>
    </row>
    <row r="7042" spans="1:13">
      <c r="A7042" t="s">
        <v>851</v>
      </c>
      <c r="B7042" t="s">
        <v>686</v>
      </c>
      <c r="C7042" t="s">
        <v>686</v>
      </c>
      <c r="D7042" t="s">
        <v>3185</v>
      </c>
      <c r="E7042" t="s">
        <v>461</v>
      </c>
      <c r="F7042" t="s">
        <v>668</v>
      </c>
      <c r="G7042">
        <v>2045</v>
      </c>
      <c r="H7042" s="12">
        <v>222.96</v>
      </c>
      <c r="I7042" t="s">
        <v>3183</v>
      </c>
      <c r="J7042" t="s">
        <v>6</v>
      </c>
      <c r="K7042" t="s">
        <v>147</v>
      </c>
      <c r="L7042" t="s">
        <v>844</v>
      </c>
      <c r="M7042" t="s">
        <v>666</v>
      </c>
    </row>
    <row r="7043" spans="1:13">
      <c r="A7043" t="s">
        <v>851</v>
      </c>
      <c r="B7043" t="s">
        <v>686</v>
      </c>
      <c r="C7043" t="s">
        <v>686</v>
      </c>
      <c r="D7043" t="s">
        <v>3185</v>
      </c>
      <c r="E7043" t="s">
        <v>461</v>
      </c>
      <c r="F7043" t="s">
        <v>668</v>
      </c>
      <c r="G7043">
        <v>2050</v>
      </c>
      <c r="H7043" s="12">
        <v>212.86</v>
      </c>
      <c r="I7043" t="s">
        <v>3183</v>
      </c>
      <c r="J7043" t="s">
        <v>6</v>
      </c>
      <c r="K7043" t="s">
        <v>147</v>
      </c>
      <c r="L7043" t="s">
        <v>844</v>
      </c>
      <c r="M7043" t="s">
        <v>666</v>
      </c>
    </row>
    <row r="7044" spans="1:13">
      <c r="A7044" t="s">
        <v>851</v>
      </c>
      <c r="B7044" t="s">
        <v>687</v>
      </c>
      <c r="C7044" t="s">
        <v>687</v>
      </c>
      <c r="D7044" t="s">
        <v>3185</v>
      </c>
      <c r="E7044" t="s">
        <v>461</v>
      </c>
      <c r="F7044" t="s">
        <v>668</v>
      </c>
      <c r="G7044">
        <v>2030</v>
      </c>
      <c r="H7044" s="12">
        <v>213.86</v>
      </c>
      <c r="I7044" t="s">
        <v>3183</v>
      </c>
      <c r="J7044" t="s">
        <v>6</v>
      </c>
      <c r="K7044" t="s">
        <v>147</v>
      </c>
      <c r="L7044" t="s">
        <v>844</v>
      </c>
      <c r="M7044" t="s">
        <v>666</v>
      </c>
    </row>
    <row r="7045" spans="1:13">
      <c r="A7045" t="s">
        <v>851</v>
      </c>
      <c r="B7045" t="s">
        <v>687</v>
      </c>
      <c r="C7045" t="s">
        <v>687</v>
      </c>
      <c r="D7045" t="s">
        <v>3185</v>
      </c>
      <c r="E7045" t="s">
        <v>461</v>
      </c>
      <c r="F7045" t="s">
        <v>668</v>
      </c>
      <c r="G7045">
        <v>2035</v>
      </c>
      <c r="H7045" s="12">
        <v>191.39</v>
      </c>
      <c r="I7045" t="s">
        <v>3183</v>
      </c>
      <c r="J7045" t="s">
        <v>6</v>
      </c>
      <c r="K7045" t="s">
        <v>147</v>
      </c>
      <c r="L7045" t="s">
        <v>844</v>
      </c>
      <c r="M7045" t="s">
        <v>666</v>
      </c>
    </row>
    <row r="7046" spans="1:13">
      <c r="A7046" t="s">
        <v>851</v>
      </c>
      <c r="B7046" t="s">
        <v>687</v>
      </c>
      <c r="C7046" t="s">
        <v>687</v>
      </c>
      <c r="D7046" t="s">
        <v>3185</v>
      </c>
      <c r="E7046" t="s">
        <v>461</v>
      </c>
      <c r="F7046" t="s">
        <v>668</v>
      </c>
      <c r="G7046">
        <v>2040</v>
      </c>
      <c r="H7046" s="12">
        <v>160.15</v>
      </c>
      <c r="I7046" t="s">
        <v>3183</v>
      </c>
      <c r="J7046" t="s">
        <v>6</v>
      </c>
      <c r="K7046" t="s">
        <v>147</v>
      </c>
      <c r="L7046" t="s">
        <v>844</v>
      </c>
      <c r="M7046" t="s">
        <v>666</v>
      </c>
    </row>
    <row r="7047" spans="1:13">
      <c r="A7047" t="s">
        <v>851</v>
      </c>
      <c r="B7047" t="s">
        <v>687</v>
      </c>
      <c r="C7047" t="s">
        <v>687</v>
      </c>
      <c r="D7047" t="s">
        <v>3185</v>
      </c>
      <c r="E7047" t="s">
        <v>461</v>
      </c>
      <c r="F7047" t="s">
        <v>668</v>
      </c>
      <c r="G7047">
        <v>2045</v>
      </c>
      <c r="H7047" s="12">
        <v>136.02000000000001</v>
      </c>
      <c r="I7047" t="s">
        <v>3183</v>
      </c>
      <c r="J7047" t="s">
        <v>6</v>
      </c>
      <c r="K7047" t="s">
        <v>147</v>
      </c>
      <c r="L7047" t="s">
        <v>844</v>
      </c>
      <c r="M7047" t="s">
        <v>666</v>
      </c>
    </row>
    <row r="7048" spans="1:13">
      <c r="A7048" t="s">
        <v>851</v>
      </c>
      <c r="B7048" t="s">
        <v>687</v>
      </c>
      <c r="C7048" t="s">
        <v>687</v>
      </c>
      <c r="D7048" t="s">
        <v>3185</v>
      </c>
      <c r="E7048" t="s">
        <v>461</v>
      </c>
      <c r="F7048" t="s">
        <v>668</v>
      </c>
      <c r="G7048">
        <v>2050</v>
      </c>
      <c r="H7048" s="12">
        <v>89.38</v>
      </c>
      <c r="I7048" t="s">
        <v>3183</v>
      </c>
      <c r="J7048" t="s">
        <v>6</v>
      </c>
      <c r="K7048" t="s">
        <v>147</v>
      </c>
      <c r="L7048" t="s">
        <v>844</v>
      </c>
      <c r="M7048" t="s">
        <v>666</v>
      </c>
    </row>
    <row r="7049" spans="1:13">
      <c r="A7049" t="s">
        <v>851</v>
      </c>
      <c r="B7049" t="s">
        <v>686</v>
      </c>
      <c r="C7049" t="s">
        <v>686</v>
      </c>
      <c r="D7049" t="s">
        <v>3185</v>
      </c>
      <c r="E7049" t="s">
        <v>461</v>
      </c>
      <c r="F7049" t="s">
        <v>668</v>
      </c>
      <c r="G7049">
        <v>2010</v>
      </c>
      <c r="H7049" s="12">
        <v>144.16999999999999</v>
      </c>
      <c r="I7049" t="s">
        <v>3183</v>
      </c>
      <c r="J7049" t="s">
        <v>394</v>
      </c>
      <c r="K7049" t="s">
        <v>147</v>
      </c>
      <c r="L7049" t="s">
        <v>844</v>
      </c>
      <c r="M7049" t="s">
        <v>16</v>
      </c>
    </row>
    <row r="7050" spans="1:13">
      <c r="A7050" t="s">
        <v>851</v>
      </c>
      <c r="B7050" t="s">
        <v>686</v>
      </c>
      <c r="C7050" t="s">
        <v>686</v>
      </c>
      <c r="D7050" t="s">
        <v>3185</v>
      </c>
      <c r="E7050" t="s">
        <v>461</v>
      </c>
      <c r="F7050" t="s">
        <v>668</v>
      </c>
      <c r="G7050">
        <v>2015</v>
      </c>
      <c r="H7050" s="12">
        <v>156.86000000000001</v>
      </c>
      <c r="I7050" t="s">
        <v>3183</v>
      </c>
      <c r="J7050" t="s">
        <v>394</v>
      </c>
      <c r="K7050" t="s">
        <v>147</v>
      </c>
      <c r="L7050" t="s">
        <v>844</v>
      </c>
      <c r="M7050" t="s">
        <v>16</v>
      </c>
    </row>
    <row r="7051" spans="1:13">
      <c r="A7051" t="s">
        <v>851</v>
      </c>
      <c r="B7051" t="s">
        <v>686</v>
      </c>
      <c r="C7051" t="s">
        <v>686</v>
      </c>
      <c r="D7051" t="s">
        <v>3185</v>
      </c>
      <c r="E7051" t="s">
        <v>461</v>
      </c>
      <c r="F7051" t="s">
        <v>668</v>
      </c>
      <c r="G7051">
        <v>2020</v>
      </c>
      <c r="H7051" s="12">
        <v>72.819999999999993</v>
      </c>
      <c r="I7051" t="s">
        <v>3183</v>
      </c>
      <c r="J7051" t="s">
        <v>394</v>
      </c>
      <c r="K7051" t="s">
        <v>147</v>
      </c>
      <c r="L7051" t="s">
        <v>844</v>
      </c>
      <c r="M7051" t="s">
        <v>16</v>
      </c>
    </row>
    <row r="7052" spans="1:13">
      <c r="A7052" t="s">
        <v>851</v>
      </c>
      <c r="B7052" t="s">
        <v>686</v>
      </c>
      <c r="C7052" t="s">
        <v>686</v>
      </c>
      <c r="D7052" t="s">
        <v>3185</v>
      </c>
      <c r="E7052" t="s">
        <v>461</v>
      </c>
      <c r="F7052" t="s">
        <v>668</v>
      </c>
      <c r="G7052">
        <v>2030</v>
      </c>
      <c r="H7052" s="12">
        <v>31.75</v>
      </c>
      <c r="I7052" t="s">
        <v>3183</v>
      </c>
      <c r="J7052" t="s">
        <v>394</v>
      </c>
      <c r="K7052" t="s">
        <v>147</v>
      </c>
      <c r="L7052" t="s">
        <v>844</v>
      </c>
      <c r="M7052" t="s">
        <v>16</v>
      </c>
    </row>
    <row r="7053" spans="1:13">
      <c r="A7053" t="s">
        <v>851</v>
      </c>
      <c r="B7053" t="s">
        <v>686</v>
      </c>
      <c r="C7053" t="s">
        <v>686</v>
      </c>
      <c r="D7053" t="s">
        <v>3185</v>
      </c>
      <c r="E7053" t="s">
        <v>461</v>
      </c>
      <c r="F7053" t="s">
        <v>668</v>
      </c>
      <c r="G7053">
        <v>2035</v>
      </c>
      <c r="H7053" s="12">
        <v>22.21</v>
      </c>
      <c r="I7053" t="s">
        <v>3183</v>
      </c>
      <c r="J7053" t="s">
        <v>394</v>
      </c>
      <c r="K7053" t="s">
        <v>147</v>
      </c>
      <c r="L7053" t="s">
        <v>844</v>
      </c>
      <c r="M7053" t="s">
        <v>16</v>
      </c>
    </row>
    <row r="7054" spans="1:13">
      <c r="A7054" t="s">
        <v>851</v>
      </c>
      <c r="B7054" t="s">
        <v>686</v>
      </c>
      <c r="C7054" t="s">
        <v>686</v>
      </c>
      <c r="D7054" t="s">
        <v>3185</v>
      </c>
      <c r="E7054" t="s">
        <v>461</v>
      </c>
      <c r="F7054" t="s">
        <v>668</v>
      </c>
      <c r="G7054">
        <v>2040</v>
      </c>
      <c r="H7054" s="12">
        <v>14.43</v>
      </c>
      <c r="I7054" t="s">
        <v>3183</v>
      </c>
      <c r="J7054" t="s">
        <v>394</v>
      </c>
      <c r="K7054" t="s">
        <v>147</v>
      </c>
      <c r="L7054" t="s">
        <v>844</v>
      </c>
      <c r="M7054" t="s">
        <v>16</v>
      </c>
    </row>
    <row r="7055" spans="1:13">
      <c r="A7055" t="s">
        <v>851</v>
      </c>
      <c r="B7055" t="s">
        <v>686</v>
      </c>
      <c r="C7055" t="s">
        <v>686</v>
      </c>
      <c r="D7055" t="s">
        <v>3185</v>
      </c>
      <c r="E7055" t="s">
        <v>461</v>
      </c>
      <c r="F7055" t="s">
        <v>668</v>
      </c>
      <c r="G7055">
        <v>2045</v>
      </c>
      <c r="H7055" s="12">
        <v>11.7</v>
      </c>
      <c r="I7055" t="s">
        <v>3183</v>
      </c>
      <c r="J7055" t="s">
        <v>394</v>
      </c>
      <c r="K7055" t="s">
        <v>147</v>
      </c>
      <c r="L7055" t="s">
        <v>844</v>
      </c>
      <c r="M7055" t="s">
        <v>16</v>
      </c>
    </row>
    <row r="7056" spans="1:13">
      <c r="A7056" t="s">
        <v>851</v>
      </c>
      <c r="B7056" t="s">
        <v>686</v>
      </c>
      <c r="C7056" t="s">
        <v>686</v>
      </c>
      <c r="D7056" t="s">
        <v>3185</v>
      </c>
      <c r="E7056" t="s">
        <v>461</v>
      </c>
      <c r="F7056" t="s">
        <v>668</v>
      </c>
      <c r="G7056">
        <v>2050</v>
      </c>
      <c r="H7056" s="12">
        <v>10.199999999999999</v>
      </c>
      <c r="I7056" t="s">
        <v>3183</v>
      </c>
      <c r="J7056" t="s">
        <v>394</v>
      </c>
      <c r="K7056" t="s">
        <v>147</v>
      </c>
      <c r="L7056" t="s">
        <v>844</v>
      </c>
      <c r="M7056" t="s">
        <v>16</v>
      </c>
    </row>
    <row r="7057" spans="1:13">
      <c r="A7057" t="s">
        <v>851</v>
      </c>
      <c r="B7057" t="s">
        <v>687</v>
      </c>
      <c r="C7057" t="s">
        <v>687</v>
      </c>
      <c r="D7057" t="s">
        <v>3185</v>
      </c>
      <c r="E7057" t="s">
        <v>461</v>
      </c>
      <c r="F7057" t="s">
        <v>668</v>
      </c>
      <c r="G7057">
        <v>2030</v>
      </c>
      <c r="H7057" s="12">
        <v>32</v>
      </c>
      <c r="I7057" t="s">
        <v>3183</v>
      </c>
      <c r="J7057" t="s">
        <v>394</v>
      </c>
      <c r="K7057" t="s">
        <v>147</v>
      </c>
      <c r="L7057" t="s">
        <v>844</v>
      </c>
      <c r="M7057" t="s">
        <v>16</v>
      </c>
    </row>
    <row r="7058" spans="1:13">
      <c r="A7058" t="s">
        <v>851</v>
      </c>
      <c r="B7058" t="s">
        <v>687</v>
      </c>
      <c r="C7058" t="s">
        <v>687</v>
      </c>
      <c r="D7058" t="s">
        <v>3185</v>
      </c>
      <c r="E7058" t="s">
        <v>461</v>
      </c>
      <c r="F7058" t="s">
        <v>668</v>
      </c>
      <c r="G7058">
        <v>2035</v>
      </c>
      <c r="H7058" s="12">
        <v>22.66</v>
      </c>
      <c r="I7058" t="s">
        <v>3183</v>
      </c>
      <c r="J7058" t="s">
        <v>394</v>
      </c>
      <c r="K7058" t="s">
        <v>147</v>
      </c>
      <c r="L7058" t="s">
        <v>844</v>
      </c>
      <c r="M7058" t="s">
        <v>16</v>
      </c>
    </row>
    <row r="7059" spans="1:13">
      <c r="A7059" t="s">
        <v>851</v>
      </c>
      <c r="B7059" t="s">
        <v>687</v>
      </c>
      <c r="C7059" t="s">
        <v>687</v>
      </c>
      <c r="D7059" t="s">
        <v>3185</v>
      </c>
      <c r="E7059" t="s">
        <v>461</v>
      </c>
      <c r="F7059" t="s">
        <v>668</v>
      </c>
      <c r="G7059">
        <v>2040</v>
      </c>
      <c r="H7059" s="12">
        <v>14.77</v>
      </c>
      <c r="I7059" t="s">
        <v>3183</v>
      </c>
      <c r="J7059" t="s">
        <v>394</v>
      </c>
      <c r="K7059" t="s">
        <v>147</v>
      </c>
      <c r="L7059" t="s">
        <v>844</v>
      </c>
      <c r="M7059" t="s">
        <v>16</v>
      </c>
    </row>
    <row r="7060" spans="1:13">
      <c r="A7060" t="s">
        <v>851</v>
      </c>
      <c r="B7060" t="s">
        <v>687</v>
      </c>
      <c r="C7060" t="s">
        <v>687</v>
      </c>
      <c r="D7060" t="s">
        <v>3185</v>
      </c>
      <c r="E7060" t="s">
        <v>461</v>
      </c>
      <c r="F7060" t="s">
        <v>668</v>
      </c>
      <c r="G7060">
        <v>2045</v>
      </c>
      <c r="H7060" s="12">
        <v>12</v>
      </c>
      <c r="I7060" t="s">
        <v>3183</v>
      </c>
      <c r="J7060" t="s">
        <v>394</v>
      </c>
      <c r="K7060" t="s">
        <v>147</v>
      </c>
      <c r="L7060" t="s">
        <v>844</v>
      </c>
      <c r="M7060" t="s">
        <v>16</v>
      </c>
    </row>
    <row r="7061" spans="1:13">
      <c r="A7061" t="s">
        <v>851</v>
      </c>
      <c r="B7061" t="s">
        <v>687</v>
      </c>
      <c r="C7061" t="s">
        <v>687</v>
      </c>
      <c r="D7061" t="s">
        <v>3185</v>
      </c>
      <c r="E7061" t="s">
        <v>461</v>
      </c>
      <c r="F7061" t="s">
        <v>668</v>
      </c>
      <c r="G7061">
        <v>2050</v>
      </c>
      <c r="H7061" s="12">
        <v>10.46</v>
      </c>
      <c r="I7061" t="s">
        <v>3183</v>
      </c>
      <c r="J7061" t="s">
        <v>394</v>
      </c>
      <c r="K7061" t="s">
        <v>147</v>
      </c>
      <c r="L7061" t="s">
        <v>844</v>
      </c>
      <c r="M7061" t="s">
        <v>16</v>
      </c>
    </row>
    <row r="7062" spans="1:13">
      <c r="A7062" t="s">
        <v>851</v>
      </c>
      <c r="B7062" t="s">
        <v>686</v>
      </c>
      <c r="C7062" t="s">
        <v>686</v>
      </c>
      <c r="D7062" t="s">
        <v>3185</v>
      </c>
      <c r="E7062" t="s">
        <v>656</v>
      </c>
      <c r="F7062" t="s">
        <v>31</v>
      </c>
      <c r="G7062">
        <v>2010</v>
      </c>
      <c r="H7062" s="12">
        <v>0.12</v>
      </c>
      <c r="I7062" t="s">
        <v>3183</v>
      </c>
      <c r="J7062" t="s">
        <v>17</v>
      </c>
      <c r="K7062" t="s">
        <v>147</v>
      </c>
      <c r="L7062" t="s">
        <v>844</v>
      </c>
      <c r="M7062" t="s">
        <v>671</v>
      </c>
    </row>
    <row r="7063" spans="1:13">
      <c r="A7063" t="s">
        <v>851</v>
      </c>
      <c r="B7063" t="s">
        <v>686</v>
      </c>
      <c r="C7063" t="s">
        <v>686</v>
      </c>
      <c r="D7063" t="s">
        <v>3185</v>
      </c>
      <c r="E7063" t="s">
        <v>656</v>
      </c>
      <c r="F7063" t="s">
        <v>31</v>
      </c>
      <c r="G7063">
        <v>2015</v>
      </c>
      <c r="H7063" s="12">
        <v>1.91</v>
      </c>
      <c r="I7063" t="s">
        <v>3183</v>
      </c>
      <c r="J7063" t="s">
        <v>17</v>
      </c>
      <c r="K7063" t="s">
        <v>147</v>
      </c>
      <c r="L7063" t="s">
        <v>844</v>
      </c>
      <c r="M7063" t="s">
        <v>671</v>
      </c>
    </row>
    <row r="7064" spans="1:13">
      <c r="A7064" t="s">
        <v>851</v>
      </c>
      <c r="B7064" t="s">
        <v>686</v>
      </c>
      <c r="C7064" t="s">
        <v>686</v>
      </c>
      <c r="D7064" t="s">
        <v>3185</v>
      </c>
      <c r="E7064" t="s">
        <v>656</v>
      </c>
      <c r="F7064" t="s">
        <v>31</v>
      </c>
      <c r="G7064">
        <v>2020</v>
      </c>
      <c r="H7064" s="12">
        <v>15.91</v>
      </c>
      <c r="I7064" t="s">
        <v>3183</v>
      </c>
      <c r="J7064" t="s">
        <v>17</v>
      </c>
      <c r="K7064" t="s">
        <v>147</v>
      </c>
      <c r="L7064" t="s">
        <v>844</v>
      </c>
      <c r="M7064" t="s">
        <v>671</v>
      </c>
    </row>
    <row r="7065" spans="1:13">
      <c r="A7065" t="s">
        <v>851</v>
      </c>
      <c r="B7065" t="s">
        <v>686</v>
      </c>
      <c r="C7065" t="s">
        <v>686</v>
      </c>
      <c r="D7065" t="s">
        <v>3185</v>
      </c>
      <c r="E7065" t="s">
        <v>656</v>
      </c>
      <c r="F7065" t="s">
        <v>31</v>
      </c>
      <c r="G7065">
        <v>2030</v>
      </c>
      <c r="H7065" s="12">
        <v>116.03</v>
      </c>
      <c r="I7065" t="s">
        <v>3183</v>
      </c>
      <c r="J7065" t="s">
        <v>17</v>
      </c>
      <c r="K7065" t="s">
        <v>147</v>
      </c>
      <c r="L7065" t="s">
        <v>844</v>
      </c>
      <c r="M7065" t="s">
        <v>671</v>
      </c>
    </row>
    <row r="7066" spans="1:13">
      <c r="A7066" t="s">
        <v>851</v>
      </c>
      <c r="B7066" t="s">
        <v>686</v>
      </c>
      <c r="C7066" t="s">
        <v>686</v>
      </c>
      <c r="D7066" t="s">
        <v>3185</v>
      </c>
      <c r="E7066" t="s">
        <v>656</v>
      </c>
      <c r="F7066" t="s">
        <v>31</v>
      </c>
      <c r="G7066">
        <v>2035</v>
      </c>
      <c r="H7066" s="12">
        <v>156.66</v>
      </c>
      <c r="I7066" t="s">
        <v>3183</v>
      </c>
      <c r="J7066" t="s">
        <v>17</v>
      </c>
      <c r="K7066" t="s">
        <v>147</v>
      </c>
      <c r="L7066" t="s">
        <v>844</v>
      </c>
      <c r="M7066" t="s">
        <v>671</v>
      </c>
    </row>
    <row r="7067" spans="1:13">
      <c r="A7067" t="s">
        <v>851</v>
      </c>
      <c r="B7067" t="s">
        <v>686</v>
      </c>
      <c r="C7067" t="s">
        <v>686</v>
      </c>
      <c r="D7067" t="s">
        <v>3185</v>
      </c>
      <c r="E7067" t="s">
        <v>656</v>
      </c>
      <c r="F7067" t="s">
        <v>31</v>
      </c>
      <c r="G7067">
        <v>2040</v>
      </c>
      <c r="H7067" s="12">
        <v>203.11</v>
      </c>
      <c r="I7067" t="s">
        <v>3183</v>
      </c>
      <c r="J7067" t="s">
        <v>17</v>
      </c>
      <c r="K7067" t="s">
        <v>147</v>
      </c>
      <c r="L7067" t="s">
        <v>844</v>
      </c>
      <c r="M7067" t="s">
        <v>671</v>
      </c>
    </row>
    <row r="7068" spans="1:13">
      <c r="A7068" t="s">
        <v>851</v>
      </c>
      <c r="B7068" t="s">
        <v>686</v>
      </c>
      <c r="C7068" t="s">
        <v>686</v>
      </c>
      <c r="D7068" t="s">
        <v>3185</v>
      </c>
      <c r="E7068" t="s">
        <v>656</v>
      </c>
      <c r="F7068" t="s">
        <v>31</v>
      </c>
      <c r="G7068">
        <v>2045</v>
      </c>
      <c r="H7068" s="12">
        <v>256.06</v>
      </c>
      <c r="I7068" t="s">
        <v>3183</v>
      </c>
      <c r="J7068" t="s">
        <v>17</v>
      </c>
      <c r="K7068" t="s">
        <v>147</v>
      </c>
      <c r="L7068" t="s">
        <v>844</v>
      </c>
      <c r="M7068" t="s">
        <v>671</v>
      </c>
    </row>
    <row r="7069" spans="1:13">
      <c r="A7069" t="s">
        <v>851</v>
      </c>
      <c r="B7069" t="s">
        <v>686</v>
      </c>
      <c r="C7069" t="s">
        <v>686</v>
      </c>
      <c r="D7069" t="s">
        <v>3185</v>
      </c>
      <c r="E7069" t="s">
        <v>656</v>
      </c>
      <c r="F7069" t="s">
        <v>31</v>
      </c>
      <c r="G7069">
        <v>2050</v>
      </c>
      <c r="H7069" s="12">
        <v>308.67</v>
      </c>
      <c r="I7069" t="s">
        <v>3183</v>
      </c>
      <c r="J7069" t="s">
        <v>17</v>
      </c>
      <c r="K7069" t="s">
        <v>147</v>
      </c>
      <c r="L7069" t="s">
        <v>844</v>
      </c>
      <c r="M7069" t="s">
        <v>671</v>
      </c>
    </row>
    <row r="7070" spans="1:13">
      <c r="A7070" t="s">
        <v>851</v>
      </c>
      <c r="B7070" t="s">
        <v>687</v>
      </c>
      <c r="C7070" t="s">
        <v>687</v>
      </c>
      <c r="D7070" t="s">
        <v>3185</v>
      </c>
      <c r="E7070" t="s">
        <v>656</v>
      </c>
      <c r="F7070" t="s">
        <v>31</v>
      </c>
      <c r="G7070">
        <v>2030</v>
      </c>
      <c r="H7070" s="12">
        <v>166.66</v>
      </c>
      <c r="I7070" t="s">
        <v>3183</v>
      </c>
      <c r="J7070" t="s">
        <v>17</v>
      </c>
      <c r="K7070" t="s">
        <v>147</v>
      </c>
      <c r="L7070" t="s">
        <v>844</v>
      </c>
      <c r="M7070" t="s">
        <v>671</v>
      </c>
    </row>
    <row r="7071" spans="1:13">
      <c r="A7071" t="s">
        <v>851</v>
      </c>
      <c r="B7071" t="s">
        <v>687</v>
      </c>
      <c r="C7071" t="s">
        <v>687</v>
      </c>
      <c r="D7071" t="s">
        <v>3185</v>
      </c>
      <c r="E7071" t="s">
        <v>656</v>
      </c>
      <c r="F7071" t="s">
        <v>31</v>
      </c>
      <c r="G7071">
        <v>2035</v>
      </c>
      <c r="H7071" s="12">
        <v>255.94</v>
      </c>
      <c r="I7071" t="s">
        <v>3183</v>
      </c>
      <c r="J7071" t="s">
        <v>17</v>
      </c>
      <c r="K7071" t="s">
        <v>147</v>
      </c>
      <c r="L7071" t="s">
        <v>844</v>
      </c>
      <c r="M7071" t="s">
        <v>671</v>
      </c>
    </row>
    <row r="7072" spans="1:13">
      <c r="A7072" t="s">
        <v>851</v>
      </c>
      <c r="B7072" t="s">
        <v>687</v>
      </c>
      <c r="C7072" t="s">
        <v>687</v>
      </c>
      <c r="D7072" t="s">
        <v>3185</v>
      </c>
      <c r="E7072" t="s">
        <v>656</v>
      </c>
      <c r="F7072" t="s">
        <v>31</v>
      </c>
      <c r="G7072">
        <v>2040</v>
      </c>
      <c r="H7072" s="12">
        <v>355.46</v>
      </c>
      <c r="I7072" t="s">
        <v>3183</v>
      </c>
      <c r="J7072" t="s">
        <v>17</v>
      </c>
      <c r="K7072" t="s">
        <v>147</v>
      </c>
      <c r="L7072" t="s">
        <v>844</v>
      </c>
      <c r="M7072" t="s">
        <v>671</v>
      </c>
    </row>
    <row r="7073" spans="1:13">
      <c r="A7073" t="s">
        <v>851</v>
      </c>
      <c r="B7073" t="s">
        <v>687</v>
      </c>
      <c r="C7073" t="s">
        <v>687</v>
      </c>
      <c r="D7073" t="s">
        <v>3185</v>
      </c>
      <c r="E7073" t="s">
        <v>656</v>
      </c>
      <c r="F7073" t="s">
        <v>31</v>
      </c>
      <c r="G7073">
        <v>2045</v>
      </c>
      <c r="H7073" s="12">
        <v>448.7</v>
      </c>
      <c r="I7073" t="s">
        <v>3183</v>
      </c>
      <c r="J7073" t="s">
        <v>17</v>
      </c>
      <c r="K7073" t="s">
        <v>147</v>
      </c>
      <c r="L7073" t="s">
        <v>844</v>
      </c>
      <c r="M7073" t="s">
        <v>671</v>
      </c>
    </row>
    <row r="7074" spans="1:13">
      <c r="A7074" t="s">
        <v>851</v>
      </c>
      <c r="B7074" t="s">
        <v>687</v>
      </c>
      <c r="C7074" t="s">
        <v>687</v>
      </c>
      <c r="D7074" t="s">
        <v>3185</v>
      </c>
      <c r="E7074" t="s">
        <v>656</v>
      </c>
      <c r="F7074" t="s">
        <v>31</v>
      </c>
      <c r="G7074">
        <v>2050</v>
      </c>
      <c r="H7074" s="12">
        <v>558.67999999999995</v>
      </c>
      <c r="I7074" t="s">
        <v>3183</v>
      </c>
      <c r="J7074" t="s">
        <v>17</v>
      </c>
      <c r="K7074" t="s">
        <v>147</v>
      </c>
      <c r="L7074" t="s">
        <v>844</v>
      </c>
      <c r="M7074" t="s">
        <v>671</v>
      </c>
    </row>
    <row r="7075" spans="1:13">
      <c r="A7075" t="s">
        <v>851</v>
      </c>
      <c r="B7075" t="s">
        <v>686</v>
      </c>
      <c r="C7075" t="s">
        <v>686</v>
      </c>
      <c r="D7075" t="s">
        <v>3185</v>
      </c>
      <c r="E7075" t="s">
        <v>656</v>
      </c>
      <c r="F7075" t="s">
        <v>31</v>
      </c>
      <c r="G7075">
        <v>2010</v>
      </c>
      <c r="H7075" s="12">
        <v>1.48</v>
      </c>
      <c r="I7075" t="s">
        <v>3183</v>
      </c>
      <c r="J7075" t="s">
        <v>18</v>
      </c>
      <c r="K7075" t="s">
        <v>147</v>
      </c>
      <c r="L7075" t="s">
        <v>844</v>
      </c>
      <c r="M7075" t="s">
        <v>18</v>
      </c>
    </row>
    <row r="7076" spans="1:13">
      <c r="A7076" t="s">
        <v>851</v>
      </c>
      <c r="B7076" t="s">
        <v>686</v>
      </c>
      <c r="C7076" t="s">
        <v>686</v>
      </c>
      <c r="D7076" t="s">
        <v>3185</v>
      </c>
      <c r="E7076" t="s">
        <v>656</v>
      </c>
      <c r="F7076" t="s">
        <v>31</v>
      </c>
      <c r="G7076">
        <v>2015</v>
      </c>
      <c r="H7076" s="12">
        <v>11.26</v>
      </c>
      <c r="I7076" t="s">
        <v>3183</v>
      </c>
      <c r="J7076" t="s">
        <v>18</v>
      </c>
      <c r="K7076" t="s">
        <v>147</v>
      </c>
      <c r="L7076" t="s">
        <v>844</v>
      </c>
      <c r="M7076" t="s">
        <v>18</v>
      </c>
    </row>
    <row r="7077" spans="1:13">
      <c r="A7077" t="s">
        <v>851</v>
      </c>
      <c r="B7077" t="s">
        <v>686</v>
      </c>
      <c r="C7077" t="s">
        <v>686</v>
      </c>
      <c r="D7077" t="s">
        <v>3185</v>
      </c>
      <c r="E7077" t="s">
        <v>656</v>
      </c>
      <c r="F7077" t="s">
        <v>31</v>
      </c>
      <c r="G7077">
        <v>2020</v>
      </c>
      <c r="H7077" s="12">
        <v>27.67</v>
      </c>
      <c r="I7077" t="s">
        <v>3183</v>
      </c>
      <c r="J7077" t="s">
        <v>18</v>
      </c>
      <c r="K7077" t="s">
        <v>147</v>
      </c>
      <c r="L7077" t="s">
        <v>844</v>
      </c>
      <c r="M7077" t="s">
        <v>18</v>
      </c>
    </row>
    <row r="7078" spans="1:13">
      <c r="A7078" t="s">
        <v>851</v>
      </c>
      <c r="B7078" t="s">
        <v>686</v>
      </c>
      <c r="C7078" t="s">
        <v>686</v>
      </c>
      <c r="D7078" t="s">
        <v>3185</v>
      </c>
      <c r="E7078" t="s">
        <v>656</v>
      </c>
      <c r="F7078" t="s">
        <v>31</v>
      </c>
      <c r="G7078">
        <v>2030</v>
      </c>
      <c r="H7078" s="12">
        <v>67.09</v>
      </c>
      <c r="I7078" t="s">
        <v>3183</v>
      </c>
      <c r="J7078" t="s">
        <v>18</v>
      </c>
      <c r="K7078" t="s">
        <v>147</v>
      </c>
      <c r="L7078" t="s">
        <v>844</v>
      </c>
      <c r="M7078" t="s">
        <v>18</v>
      </c>
    </row>
    <row r="7079" spans="1:13">
      <c r="A7079" t="s">
        <v>851</v>
      </c>
      <c r="B7079" t="s">
        <v>686</v>
      </c>
      <c r="C7079" t="s">
        <v>686</v>
      </c>
      <c r="D7079" t="s">
        <v>3185</v>
      </c>
      <c r="E7079" t="s">
        <v>656</v>
      </c>
      <c r="F7079" t="s">
        <v>31</v>
      </c>
      <c r="G7079">
        <v>2035</v>
      </c>
      <c r="H7079" s="12">
        <v>80.739999999999995</v>
      </c>
      <c r="I7079" t="s">
        <v>3183</v>
      </c>
      <c r="J7079" t="s">
        <v>18</v>
      </c>
      <c r="K7079" t="s">
        <v>147</v>
      </c>
      <c r="L7079" t="s">
        <v>844</v>
      </c>
      <c r="M7079" t="s">
        <v>18</v>
      </c>
    </row>
    <row r="7080" spans="1:13">
      <c r="A7080" t="s">
        <v>851</v>
      </c>
      <c r="B7080" t="s">
        <v>686</v>
      </c>
      <c r="C7080" t="s">
        <v>686</v>
      </c>
      <c r="D7080" t="s">
        <v>3185</v>
      </c>
      <c r="E7080" t="s">
        <v>656</v>
      </c>
      <c r="F7080" t="s">
        <v>31</v>
      </c>
      <c r="G7080">
        <v>2040</v>
      </c>
      <c r="H7080" s="12">
        <v>95.1</v>
      </c>
      <c r="I7080" t="s">
        <v>3183</v>
      </c>
      <c r="J7080" t="s">
        <v>18</v>
      </c>
      <c r="K7080" t="s">
        <v>147</v>
      </c>
      <c r="L7080" t="s">
        <v>844</v>
      </c>
      <c r="M7080" t="s">
        <v>18</v>
      </c>
    </row>
    <row r="7081" spans="1:13">
      <c r="A7081" t="s">
        <v>851</v>
      </c>
      <c r="B7081" t="s">
        <v>686</v>
      </c>
      <c r="C7081" t="s">
        <v>686</v>
      </c>
      <c r="D7081" t="s">
        <v>3185</v>
      </c>
      <c r="E7081" t="s">
        <v>656</v>
      </c>
      <c r="F7081" t="s">
        <v>31</v>
      </c>
      <c r="G7081">
        <v>2045</v>
      </c>
      <c r="H7081" s="12">
        <v>114.14</v>
      </c>
      <c r="I7081" t="s">
        <v>3183</v>
      </c>
      <c r="J7081" t="s">
        <v>18</v>
      </c>
      <c r="K7081" t="s">
        <v>147</v>
      </c>
      <c r="L7081" t="s">
        <v>844</v>
      </c>
      <c r="M7081" t="s">
        <v>18</v>
      </c>
    </row>
    <row r="7082" spans="1:13">
      <c r="A7082" t="s">
        <v>851</v>
      </c>
      <c r="B7082" t="s">
        <v>686</v>
      </c>
      <c r="C7082" t="s">
        <v>686</v>
      </c>
      <c r="D7082" t="s">
        <v>3185</v>
      </c>
      <c r="E7082" t="s">
        <v>656</v>
      </c>
      <c r="F7082" t="s">
        <v>31</v>
      </c>
      <c r="G7082">
        <v>2050</v>
      </c>
      <c r="H7082" s="12">
        <v>133.24</v>
      </c>
      <c r="I7082" t="s">
        <v>3183</v>
      </c>
      <c r="J7082" t="s">
        <v>18</v>
      </c>
      <c r="K7082" t="s">
        <v>147</v>
      </c>
      <c r="L7082" t="s">
        <v>844</v>
      </c>
      <c r="M7082" t="s">
        <v>18</v>
      </c>
    </row>
    <row r="7083" spans="1:13">
      <c r="A7083" t="s">
        <v>851</v>
      </c>
      <c r="B7083" t="s">
        <v>687</v>
      </c>
      <c r="C7083" t="s">
        <v>687</v>
      </c>
      <c r="D7083" t="s">
        <v>3185</v>
      </c>
      <c r="E7083" t="s">
        <v>656</v>
      </c>
      <c r="F7083" t="s">
        <v>31</v>
      </c>
      <c r="G7083">
        <v>2030</v>
      </c>
      <c r="H7083" s="12">
        <v>90.84</v>
      </c>
      <c r="I7083" t="s">
        <v>3183</v>
      </c>
      <c r="J7083" t="s">
        <v>18</v>
      </c>
      <c r="K7083" t="s">
        <v>147</v>
      </c>
      <c r="L7083" t="s">
        <v>844</v>
      </c>
      <c r="M7083" t="s">
        <v>18</v>
      </c>
    </row>
    <row r="7084" spans="1:13">
      <c r="A7084" t="s">
        <v>851</v>
      </c>
      <c r="B7084" t="s">
        <v>687</v>
      </c>
      <c r="C7084" t="s">
        <v>687</v>
      </c>
      <c r="D7084" t="s">
        <v>3185</v>
      </c>
      <c r="E7084" t="s">
        <v>656</v>
      </c>
      <c r="F7084" t="s">
        <v>31</v>
      </c>
      <c r="G7084">
        <v>2035</v>
      </c>
      <c r="H7084" s="12">
        <v>121.83</v>
      </c>
      <c r="I7084" t="s">
        <v>3183</v>
      </c>
      <c r="J7084" t="s">
        <v>18</v>
      </c>
      <c r="K7084" t="s">
        <v>147</v>
      </c>
      <c r="L7084" t="s">
        <v>844</v>
      </c>
      <c r="M7084" t="s">
        <v>18</v>
      </c>
    </row>
    <row r="7085" spans="1:13">
      <c r="A7085" t="s">
        <v>851</v>
      </c>
      <c r="B7085" t="s">
        <v>687</v>
      </c>
      <c r="C7085" t="s">
        <v>687</v>
      </c>
      <c r="D7085" t="s">
        <v>3185</v>
      </c>
      <c r="E7085" t="s">
        <v>656</v>
      </c>
      <c r="F7085" t="s">
        <v>31</v>
      </c>
      <c r="G7085">
        <v>2040</v>
      </c>
      <c r="H7085" s="12">
        <v>160.22999999999999</v>
      </c>
      <c r="I7085" t="s">
        <v>3183</v>
      </c>
      <c r="J7085" t="s">
        <v>18</v>
      </c>
      <c r="K7085" t="s">
        <v>147</v>
      </c>
      <c r="L7085" t="s">
        <v>844</v>
      </c>
      <c r="M7085" t="s">
        <v>18</v>
      </c>
    </row>
    <row r="7086" spans="1:13">
      <c r="A7086" t="s">
        <v>851</v>
      </c>
      <c r="B7086" t="s">
        <v>687</v>
      </c>
      <c r="C7086" t="s">
        <v>687</v>
      </c>
      <c r="D7086" t="s">
        <v>3185</v>
      </c>
      <c r="E7086" t="s">
        <v>656</v>
      </c>
      <c r="F7086" t="s">
        <v>31</v>
      </c>
      <c r="G7086">
        <v>2045</v>
      </c>
      <c r="H7086" s="12">
        <v>213.75</v>
      </c>
      <c r="I7086" t="s">
        <v>3183</v>
      </c>
      <c r="J7086" t="s">
        <v>18</v>
      </c>
      <c r="K7086" t="s">
        <v>147</v>
      </c>
      <c r="L7086" t="s">
        <v>844</v>
      </c>
      <c r="M7086" t="s">
        <v>18</v>
      </c>
    </row>
    <row r="7087" spans="1:13">
      <c r="A7087" t="s">
        <v>851</v>
      </c>
      <c r="B7087" t="s">
        <v>687</v>
      </c>
      <c r="C7087" t="s">
        <v>687</v>
      </c>
      <c r="D7087" t="s">
        <v>3185</v>
      </c>
      <c r="E7087" t="s">
        <v>656</v>
      </c>
      <c r="F7087" t="s">
        <v>31</v>
      </c>
      <c r="G7087">
        <v>2050</v>
      </c>
      <c r="H7087" s="12">
        <v>263.66000000000003</v>
      </c>
      <c r="I7087" t="s">
        <v>3183</v>
      </c>
      <c r="J7087" t="s">
        <v>18</v>
      </c>
      <c r="K7087" t="s">
        <v>147</v>
      </c>
      <c r="L7087" t="s">
        <v>844</v>
      </c>
      <c r="M7087" t="s">
        <v>18</v>
      </c>
    </row>
    <row r="7088" spans="1:13">
      <c r="A7088" t="s">
        <v>851</v>
      </c>
      <c r="B7088" t="s">
        <v>686</v>
      </c>
      <c r="C7088" t="s">
        <v>686</v>
      </c>
      <c r="D7088" t="s">
        <v>3185</v>
      </c>
      <c r="E7088" t="s">
        <v>656</v>
      </c>
      <c r="F7088" t="s">
        <v>31</v>
      </c>
      <c r="G7088">
        <v>2010</v>
      </c>
      <c r="H7088" s="12">
        <v>144.16</v>
      </c>
      <c r="I7088" t="s">
        <v>3183</v>
      </c>
      <c r="J7088" t="s">
        <v>14</v>
      </c>
      <c r="K7088" t="s">
        <v>147</v>
      </c>
      <c r="L7088" t="s">
        <v>844</v>
      </c>
      <c r="M7088" t="s">
        <v>14</v>
      </c>
    </row>
    <row r="7089" spans="1:13">
      <c r="A7089" t="s">
        <v>851</v>
      </c>
      <c r="B7089" t="s">
        <v>686</v>
      </c>
      <c r="C7089" t="s">
        <v>686</v>
      </c>
      <c r="D7089" t="s">
        <v>3185</v>
      </c>
      <c r="E7089" t="s">
        <v>656</v>
      </c>
      <c r="F7089" t="s">
        <v>31</v>
      </c>
      <c r="G7089">
        <v>2015</v>
      </c>
      <c r="H7089" s="12">
        <v>161.27000000000001</v>
      </c>
      <c r="I7089" t="s">
        <v>3183</v>
      </c>
      <c r="J7089" t="s">
        <v>14</v>
      </c>
      <c r="K7089" t="s">
        <v>147</v>
      </c>
      <c r="L7089" t="s">
        <v>844</v>
      </c>
      <c r="M7089" t="s">
        <v>14</v>
      </c>
    </row>
    <row r="7090" spans="1:13">
      <c r="A7090" t="s">
        <v>851</v>
      </c>
      <c r="B7090" t="s">
        <v>686</v>
      </c>
      <c r="C7090" t="s">
        <v>686</v>
      </c>
      <c r="D7090" t="s">
        <v>3185</v>
      </c>
      <c r="E7090" t="s">
        <v>656</v>
      </c>
      <c r="F7090" t="s">
        <v>31</v>
      </c>
      <c r="G7090">
        <v>2020</v>
      </c>
      <c r="H7090" s="12">
        <v>185.82</v>
      </c>
      <c r="I7090" t="s">
        <v>3183</v>
      </c>
      <c r="J7090" t="s">
        <v>14</v>
      </c>
      <c r="K7090" t="s">
        <v>147</v>
      </c>
      <c r="L7090" t="s">
        <v>844</v>
      </c>
      <c r="M7090" t="s">
        <v>14</v>
      </c>
    </row>
    <row r="7091" spans="1:13">
      <c r="A7091" t="s">
        <v>851</v>
      </c>
      <c r="B7091" t="s">
        <v>686</v>
      </c>
      <c r="C7091" t="s">
        <v>686</v>
      </c>
      <c r="D7091" t="s">
        <v>3185</v>
      </c>
      <c r="E7091" t="s">
        <v>656</v>
      </c>
      <c r="F7091" t="s">
        <v>31</v>
      </c>
      <c r="G7091">
        <v>2030</v>
      </c>
      <c r="H7091" s="12">
        <v>207.1</v>
      </c>
      <c r="I7091" t="s">
        <v>3183</v>
      </c>
      <c r="J7091" t="s">
        <v>14</v>
      </c>
      <c r="K7091" t="s">
        <v>147</v>
      </c>
      <c r="L7091" t="s">
        <v>844</v>
      </c>
      <c r="M7091" t="s">
        <v>14</v>
      </c>
    </row>
    <row r="7092" spans="1:13">
      <c r="A7092" t="s">
        <v>851</v>
      </c>
      <c r="B7092" t="s">
        <v>686</v>
      </c>
      <c r="C7092" t="s">
        <v>686</v>
      </c>
      <c r="D7092" t="s">
        <v>3185</v>
      </c>
      <c r="E7092" t="s">
        <v>656</v>
      </c>
      <c r="F7092" t="s">
        <v>31</v>
      </c>
      <c r="G7092">
        <v>2035</v>
      </c>
      <c r="H7092" s="12">
        <v>217.3</v>
      </c>
      <c r="I7092" t="s">
        <v>3183</v>
      </c>
      <c r="J7092" t="s">
        <v>14</v>
      </c>
      <c r="K7092" t="s">
        <v>147</v>
      </c>
      <c r="L7092" t="s">
        <v>844</v>
      </c>
      <c r="M7092" t="s">
        <v>14</v>
      </c>
    </row>
    <row r="7093" spans="1:13">
      <c r="A7093" t="s">
        <v>851</v>
      </c>
      <c r="B7093" t="s">
        <v>686</v>
      </c>
      <c r="C7093" t="s">
        <v>686</v>
      </c>
      <c r="D7093" t="s">
        <v>3185</v>
      </c>
      <c r="E7093" t="s">
        <v>656</v>
      </c>
      <c r="F7093" t="s">
        <v>31</v>
      </c>
      <c r="G7093">
        <v>2030</v>
      </c>
      <c r="H7093" s="12">
        <v>0</v>
      </c>
      <c r="I7093" t="s">
        <v>3183</v>
      </c>
      <c r="J7093" t="s">
        <v>8</v>
      </c>
      <c r="K7093" t="s">
        <v>147</v>
      </c>
      <c r="L7093" t="s">
        <v>844</v>
      </c>
      <c r="M7093" t="s">
        <v>670</v>
      </c>
    </row>
    <row r="7094" spans="1:13">
      <c r="A7094" t="s">
        <v>851</v>
      </c>
      <c r="B7094" t="s">
        <v>686</v>
      </c>
      <c r="C7094" t="s">
        <v>686</v>
      </c>
      <c r="D7094" t="s">
        <v>3185</v>
      </c>
      <c r="E7094" t="s">
        <v>656</v>
      </c>
      <c r="F7094" t="s">
        <v>31</v>
      </c>
      <c r="G7094">
        <v>2035</v>
      </c>
      <c r="H7094" s="12">
        <v>0</v>
      </c>
      <c r="I7094" t="s">
        <v>3183</v>
      </c>
      <c r="J7094" t="s">
        <v>8</v>
      </c>
      <c r="K7094" t="s">
        <v>147</v>
      </c>
      <c r="L7094" t="s">
        <v>844</v>
      </c>
      <c r="M7094" t="s">
        <v>670</v>
      </c>
    </row>
    <row r="7095" spans="1:13">
      <c r="A7095" t="s">
        <v>851</v>
      </c>
      <c r="B7095" t="s">
        <v>686</v>
      </c>
      <c r="C7095" t="s">
        <v>686</v>
      </c>
      <c r="D7095" t="s">
        <v>3185</v>
      </c>
      <c r="E7095" t="s">
        <v>656</v>
      </c>
      <c r="F7095" t="s">
        <v>31</v>
      </c>
      <c r="G7095">
        <v>2040</v>
      </c>
      <c r="H7095" s="12">
        <v>0</v>
      </c>
      <c r="I7095" t="s">
        <v>3183</v>
      </c>
      <c r="J7095" t="s">
        <v>8</v>
      </c>
      <c r="K7095" t="s">
        <v>147</v>
      </c>
      <c r="L7095" t="s">
        <v>844</v>
      </c>
      <c r="M7095" t="s">
        <v>670</v>
      </c>
    </row>
    <row r="7096" spans="1:13">
      <c r="A7096" t="s">
        <v>851</v>
      </c>
      <c r="B7096" t="s">
        <v>686</v>
      </c>
      <c r="C7096" t="s">
        <v>686</v>
      </c>
      <c r="D7096" t="s">
        <v>3185</v>
      </c>
      <c r="E7096" t="s">
        <v>656</v>
      </c>
      <c r="F7096" t="s">
        <v>31</v>
      </c>
      <c r="G7096">
        <v>2045</v>
      </c>
      <c r="H7096" s="12">
        <v>0</v>
      </c>
      <c r="I7096" t="s">
        <v>3183</v>
      </c>
      <c r="J7096" t="s">
        <v>8</v>
      </c>
      <c r="K7096" t="s">
        <v>147</v>
      </c>
      <c r="L7096" t="s">
        <v>844</v>
      </c>
      <c r="M7096" t="s">
        <v>670</v>
      </c>
    </row>
    <row r="7097" spans="1:13">
      <c r="A7097" t="s">
        <v>851</v>
      </c>
      <c r="B7097" t="s">
        <v>686</v>
      </c>
      <c r="C7097" t="s">
        <v>686</v>
      </c>
      <c r="D7097" t="s">
        <v>3185</v>
      </c>
      <c r="E7097" t="s">
        <v>656</v>
      </c>
      <c r="F7097" t="s">
        <v>31</v>
      </c>
      <c r="G7097">
        <v>2050</v>
      </c>
      <c r="H7097" s="12">
        <v>0</v>
      </c>
      <c r="I7097" t="s">
        <v>3183</v>
      </c>
      <c r="J7097" t="s">
        <v>8</v>
      </c>
      <c r="K7097" t="s">
        <v>147</v>
      </c>
      <c r="L7097" t="s">
        <v>844</v>
      </c>
      <c r="M7097" t="s">
        <v>670</v>
      </c>
    </row>
    <row r="7098" spans="1:13">
      <c r="A7098" t="s">
        <v>851</v>
      </c>
      <c r="B7098" t="s">
        <v>687</v>
      </c>
      <c r="C7098" t="s">
        <v>687</v>
      </c>
      <c r="D7098" t="s">
        <v>3185</v>
      </c>
      <c r="E7098" t="s">
        <v>656</v>
      </c>
      <c r="F7098" t="s">
        <v>31</v>
      </c>
      <c r="G7098">
        <v>2030</v>
      </c>
      <c r="H7098" s="12">
        <v>0</v>
      </c>
      <c r="I7098" t="s">
        <v>3183</v>
      </c>
      <c r="J7098" t="s">
        <v>8</v>
      </c>
      <c r="K7098" t="s">
        <v>147</v>
      </c>
      <c r="L7098" t="s">
        <v>844</v>
      </c>
      <c r="M7098" t="s">
        <v>670</v>
      </c>
    </row>
    <row r="7099" spans="1:13">
      <c r="A7099" t="s">
        <v>851</v>
      </c>
      <c r="B7099" t="s">
        <v>687</v>
      </c>
      <c r="C7099" t="s">
        <v>687</v>
      </c>
      <c r="D7099" t="s">
        <v>3185</v>
      </c>
      <c r="E7099" t="s">
        <v>656</v>
      </c>
      <c r="F7099" t="s">
        <v>31</v>
      </c>
      <c r="G7099">
        <v>2035</v>
      </c>
      <c r="H7099" s="12">
        <v>0.32</v>
      </c>
      <c r="I7099" t="s">
        <v>3183</v>
      </c>
      <c r="J7099" t="s">
        <v>8</v>
      </c>
      <c r="K7099" t="s">
        <v>147</v>
      </c>
      <c r="L7099" t="s">
        <v>844</v>
      </c>
      <c r="M7099" t="s">
        <v>670</v>
      </c>
    </row>
    <row r="7100" spans="1:13">
      <c r="A7100" t="s">
        <v>851</v>
      </c>
      <c r="B7100" t="s">
        <v>687</v>
      </c>
      <c r="C7100" t="s">
        <v>687</v>
      </c>
      <c r="D7100" t="s">
        <v>3185</v>
      </c>
      <c r="E7100" t="s">
        <v>461</v>
      </c>
      <c r="F7100" t="s">
        <v>668</v>
      </c>
      <c r="G7100">
        <v>2045</v>
      </c>
      <c r="H7100" s="12">
        <v>868.22</v>
      </c>
      <c r="I7100" t="s">
        <v>3183</v>
      </c>
      <c r="J7100" t="s">
        <v>17</v>
      </c>
      <c r="K7100" t="s">
        <v>147</v>
      </c>
      <c r="L7100" t="s">
        <v>844</v>
      </c>
      <c r="M7100" t="s">
        <v>671</v>
      </c>
    </row>
    <row r="7101" spans="1:13">
      <c r="A7101" t="s">
        <v>851</v>
      </c>
      <c r="B7101" t="s">
        <v>687</v>
      </c>
      <c r="C7101" t="s">
        <v>687</v>
      </c>
      <c r="D7101" t="s">
        <v>3185</v>
      </c>
      <c r="E7101" t="s">
        <v>461</v>
      </c>
      <c r="F7101" t="s">
        <v>668</v>
      </c>
      <c r="G7101">
        <v>2050</v>
      </c>
      <c r="H7101" s="12">
        <v>1103.74</v>
      </c>
      <c r="I7101" t="s">
        <v>3183</v>
      </c>
      <c r="J7101" t="s">
        <v>17</v>
      </c>
      <c r="K7101" t="s">
        <v>147</v>
      </c>
      <c r="L7101" t="s">
        <v>844</v>
      </c>
      <c r="M7101" t="s">
        <v>671</v>
      </c>
    </row>
    <row r="7102" spans="1:13">
      <c r="A7102" t="s">
        <v>851</v>
      </c>
      <c r="B7102" t="s">
        <v>686</v>
      </c>
      <c r="C7102" t="s">
        <v>686</v>
      </c>
      <c r="D7102" t="s">
        <v>3185</v>
      </c>
      <c r="E7102" t="s">
        <v>461</v>
      </c>
      <c r="F7102" t="s">
        <v>668</v>
      </c>
      <c r="G7102">
        <v>2010</v>
      </c>
      <c r="H7102" s="12">
        <v>3.46</v>
      </c>
      <c r="I7102" t="s">
        <v>3183</v>
      </c>
      <c r="J7102" t="s">
        <v>18</v>
      </c>
      <c r="K7102" t="s">
        <v>147</v>
      </c>
      <c r="L7102" t="s">
        <v>844</v>
      </c>
      <c r="M7102" t="s">
        <v>18</v>
      </c>
    </row>
    <row r="7103" spans="1:13">
      <c r="A7103" t="s">
        <v>851</v>
      </c>
      <c r="B7103" t="s">
        <v>686</v>
      </c>
      <c r="C7103" t="s">
        <v>686</v>
      </c>
      <c r="D7103" t="s">
        <v>3185</v>
      </c>
      <c r="E7103" t="s">
        <v>461</v>
      </c>
      <c r="F7103" t="s">
        <v>668</v>
      </c>
      <c r="G7103">
        <v>2015</v>
      </c>
      <c r="H7103" s="12">
        <v>31.39</v>
      </c>
      <c r="I7103" t="s">
        <v>3183</v>
      </c>
      <c r="J7103" t="s">
        <v>18</v>
      </c>
      <c r="K7103" t="s">
        <v>147</v>
      </c>
      <c r="L7103" t="s">
        <v>844</v>
      </c>
      <c r="M7103" t="s">
        <v>18</v>
      </c>
    </row>
    <row r="7104" spans="1:13">
      <c r="A7104" t="s">
        <v>851</v>
      </c>
      <c r="B7104" t="s">
        <v>686</v>
      </c>
      <c r="C7104" t="s">
        <v>686</v>
      </c>
      <c r="D7104" t="s">
        <v>3185</v>
      </c>
      <c r="E7104" t="s">
        <v>461</v>
      </c>
      <c r="F7104" t="s">
        <v>668</v>
      </c>
      <c r="G7104">
        <v>2020</v>
      </c>
      <c r="H7104" s="12">
        <v>85.07</v>
      </c>
      <c r="I7104" t="s">
        <v>3183</v>
      </c>
      <c r="J7104" t="s">
        <v>18</v>
      </c>
      <c r="K7104" t="s">
        <v>147</v>
      </c>
      <c r="L7104" t="s">
        <v>844</v>
      </c>
      <c r="M7104" t="s">
        <v>18</v>
      </c>
    </row>
    <row r="7105" spans="1:13">
      <c r="A7105" t="s">
        <v>851</v>
      </c>
      <c r="B7105" t="s">
        <v>686</v>
      </c>
      <c r="C7105" t="s">
        <v>686</v>
      </c>
      <c r="D7105" t="s">
        <v>3185</v>
      </c>
      <c r="E7105" t="s">
        <v>461</v>
      </c>
      <c r="F7105" t="s">
        <v>668</v>
      </c>
      <c r="G7105">
        <v>2030</v>
      </c>
      <c r="H7105" s="12">
        <v>219.4</v>
      </c>
      <c r="I7105" t="s">
        <v>3183</v>
      </c>
      <c r="J7105" t="s">
        <v>18</v>
      </c>
      <c r="K7105" t="s">
        <v>147</v>
      </c>
      <c r="L7105" t="s">
        <v>844</v>
      </c>
      <c r="M7105" t="s">
        <v>18</v>
      </c>
    </row>
    <row r="7106" spans="1:13">
      <c r="A7106" t="s">
        <v>851</v>
      </c>
      <c r="B7106" t="s">
        <v>686</v>
      </c>
      <c r="C7106" t="s">
        <v>686</v>
      </c>
      <c r="D7106" t="s">
        <v>3185</v>
      </c>
      <c r="E7106" t="s">
        <v>461</v>
      </c>
      <c r="F7106" t="s">
        <v>668</v>
      </c>
      <c r="G7106">
        <v>2035</v>
      </c>
      <c r="H7106" s="12">
        <v>265.82</v>
      </c>
      <c r="I7106" t="s">
        <v>3183</v>
      </c>
      <c r="J7106" t="s">
        <v>18</v>
      </c>
      <c r="K7106" t="s">
        <v>147</v>
      </c>
      <c r="L7106" t="s">
        <v>844</v>
      </c>
      <c r="M7106" t="s">
        <v>18</v>
      </c>
    </row>
    <row r="7107" spans="1:13">
      <c r="A7107" t="s">
        <v>851</v>
      </c>
      <c r="B7107" t="s">
        <v>686</v>
      </c>
      <c r="C7107" t="s">
        <v>686</v>
      </c>
      <c r="D7107" t="s">
        <v>3185</v>
      </c>
      <c r="E7107" t="s">
        <v>461</v>
      </c>
      <c r="F7107" t="s">
        <v>668</v>
      </c>
      <c r="G7107">
        <v>2040</v>
      </c>
      <c r="H7107" s="12">
        <v>316.68</v>
      </c>
      <c r="I7107" t="s">
        <v>3183</v>
      </c>
      <c r="J7107" t="s">
        <v>18</v>
      </c>
      <c r="K7107" t="s">
        <v>147</v>
      </c>
      <c r="L7107" t="s">
        <v>844</v>
      </c>
      <c r="M7107" t="s">
        <v>18</v>
      </c>
    </row>
    <row r="7108" spans="1:13">
      <c r="A7108" t="s">
        <v>851</v>
      </c>
      <c r="B7108" t="s">
        <v>686</v>
      </c>
      <c r="C7108" t="s">
        <v>686</v>
      </c>
      <c r="D7108" t="s">
        <v>3185</v>
      </c>
      <c r="E7108" t="s">
        <v>461</v>
      </c>
      <c r="F7108" t="s">
        <v>668</v>
      </c>
      <c r="G7108">
        <v>2045</v>
      </c>
      <c r="H7108" s="12">
        <v>386.37</v>
      </c>
      <c r="I7108" t="s">
        <v>3183</v>
      </c>
      <c r="J7108" t="s">
        <v>18</v>
      </c>
      <c r="K7108" t="s">
        <v>147</v>
      </c>
      <c r="L7108" t="s">
        <v>844</v>
      </c>
      <c r="M7108" t="s">
        <v>18</v>
      </c>
    </row>
    <row r="7109" spans="1:13">
      <c r="A7109" t="s">
        <v>851</v>
      </c>
      <c r="B7109" t="s">
        <v>686</v>
      </c>
      <c r="C7109" t="s">
        <v>686</v>
      </c>
      <c r="D7109" t="s">
        <v>3185</v>
      </c>
      <c r="E7109" t="s">
        <v>461</v>
      </c>
      <c r="F7109" t="s">
        <v>668</v>
      </c>
      <c r="G7109">
        <v>2050</v>
      </c>
      <c r="H7109" s="12">
        <v>457.32</v>
      </c>
      <c r="I7109" t="s">
        <v>3183</v>
      </c>
      <c r="J7109" t="s">
        <v>18</v>
      </c>
      <c r="K7109" t="s">
        <v>147</v>
      </c>
      <c r="L7109" t="s">
        <v>844</v>
      </c>
      <c r="M7109" t="s">
        <v>18</v>
      </c>
    </row>
    <row r="7110" spans="1:13">
      <c r="A7110" t="s">
        <v>851</v>
      </c>
      <c r="B7110" t="s">
        <v>687</v>
      </c>
      <c r="C7110" t="s">
        <v>687</v>
      </c>
      <c r="D7110" t="s">
        <v>3185</v>
      </c>
      <c r="E7110" t="s">
        <v>461</v>
      </c>
      <c r="F7110" t="s">
        <v>668</v>
      </c>
      <c r="G7110">
        <v>2030</v>
      </c>
      <c r="H7110" s="12">
        <v>288.57</v>
      </c>
      <c r="I7110" t="s">
        <v>3183</v>
      </c>
      <c r="J7110" t="s">
        <v>18</v>
      </c>
      <c r="K7110" t="s">
        <v>147</v>
      </c>
      <c r="L7110" t="s">
        <v>844</v>
      </c>
      <c r="M7110" t="s">
        <v>18</v>
      </c>
    </row>
    <row r="7111" spans="1:13">
      <c r="A7111" t="s">
        <v>851</v>
      </c>
      <c r="B7111" t="s">
        <v>687</v>
      </c>
      <c r="C7111" t="s">
        <v>687</v>
      </c>
      <c r="D7111" t="s">
        <v>3185</v>
      </c>
      <c r="E7111" t="s">
        <v>461</v>
      </c>
      <c r="F7111" t="s">
        <v>668</v>
      </c>
      <c r="G7111">
        <v>2035</v>
      </c>
      <c r="H7111" s="12">
        <v>392.61</v>
      </c>
      <c r="I7111" t="s">
        <v>3183</v>
      </c>
      <c r="J7111" t="s">
        <v>18</v>
      </c>
      <c r="K7111" t="s">
        <v>147</v>
      </c>
      <c r="L7111" t="s">
        <v>844</v>
      </c>
      <c r="M7111" t="s">
        <v>18</v>
      </c>
    </row>
    <row r="7112" spans="1:13">
      <c r="A7112" t="s">
        <v>851</v>
      </c>
      <c r="B7112" t="s">
        <v>687</v>
      </c>
      <c r="C7112" t="s">
        <v>687</v>
      </c>
      <c r="D7112" t="s">
        <v>3185</v>
      </c>
      <c r="E7112" t="s">
        <v>461</v>
      </c>
      <c r="F7112" t="s">
        <v>668</v>
      </c>
      <c r="G7112">
        <v>2040</v>
      </c>
      <c r="H7112" s="12">
        <v>521.96</v>
      </c>
      <c r="I7112" t="s">
        <v>3183</v>
      </c>
      <c r="J7112" t="s">
        <v>18</v>
      </c>
      <c r="K7112" t="s">
        <v>147</v>
      </c>
      <c r="L7112" t="s">
        <v>844</v>
      </c>
      <c r="M7112" t="s">
        <v>18</v>
      </c>
    </row>
    <row r="7113" spans="1:13">
      <c r="A7113" t="s">
        <v>851</v>
      </c>
      <c r="B7113" t="s">
        <v>687</v>
      </c>
      <c r="C7113" t="s">
        <v>687</v>
      </c>
      <c r="D7113" t="s">
        <v>3185</v>
      </c>
      <c r="E7113" t="s">
        <v>461</v>
      </c>
      <c r="F7113" t="s">
        <v>668</v>
      </c>
      <c r="G7113">
        <v>2045</v>
      </c>
      <c r="H7113" s="12">
        <v>709.67</v>
      </c>
      <c r="I7113" t="s">
        <v>3183</v>
      </c>
      <c r="J7113" t="s">
        <v>18</v>
      </c>
      <c r="K7113" t="s">
        <v>147</v>
      </c>
      <c r="L7113" t="s">
        <v>844</v>
      </c>
      <c r="M7113" t="s">
        <v>18</v>
      </c>
    </row>
    <row r="7114" spans="1:13">
      <c r="A7114" t="s">
        <v>851</v>
      </c>
      <c r="B7114" t="s">
        <v>687</v>
      </c>
      <c r="C7114" t="s">
        <v>687</v>
      </c>
      <c r="D7114" t="s">
        <v>3185</v>
      </c>
      <c r="E7114" t="s">
        <v>461</v>
      </c>
      <c r="F7114" t="s">
        <v>668</v>
      </c>
      <c r="G7114">
        <v>2050</v>
      </c>
      <c r="H7114" s="12">
        <v>893.15</v>
      </c>
      <c r="I7114" t="s">
        <v>3183</v>
      </c>
      <c r="J7114" t="s">
        <v>18</v>
      </c>
      <c r="K7114" t="s">
        <v>147</v>
      </c>
      <c r="L7114" t="s">
        <v>844</v>
      </c>
      <c r="M7114" t="s">
        <v>18</v>
      </c>
    </row>
    <row r="7115" spans="1:13">
      <c r="A7115" t="s">
        <v>851</v>
      </c>
      <c r="B7115" t="s">
        <v>686</v>
      </c>
      <c r="C7115" t="s">
        <v>686</v>
      </c>
      <c r="D7115" t="s">
        <v>3185</v>
      </c>
      <c r="E7115" t="s">
        <v>461</v>
      </c>
      <c r="F7115" t="s">
        <v>668</v>
      </c>
      <c r="G7115">
        <v>2010</v>
      </c>
      <c r="H7115" s="12">
        <v>693.87</v>
      </c>
      <c r="I7115" t="s">
        <v>3183</v>
      </c>
      <c r="J7115" t="s">
        <v>14</v>
      </c>
      <c r="K7115" t="s">
        <v>147</v>
      </c>
      <c r="L7115" t="s">
        <v>844</v>
      </c>
      <c r="M7115" t="s">
        <v>14</v>
      </c>
    </row>
    <row r="7116" spans="1:13">
      <c r="A7116" t="s">
        <v>851</v>
      </c>
      <c r="B7116" t="s">
        <v>686</v>
      </c>
      <c r="C7116" t="s">
        <v>686</v>
      </c>
      <c r="D7116" t="s">
        <v>3185</v>
      </c>
      <c r="E7116" t="s">
        <v>461</v>
      </c>
      <c r="F7116" t="s">
        <v>668</v>
      </c>
      <c r="G7116">
        <v>2015</v>
      </c>
      <c r="H7116" s="12">
        <v>666.95</v>
      </c>
      <c r="I7116" t="s">
        <v>3183</v>
      </c>
      <c r="J7116" t="s">
        <v>14</v>
      </c>
      <c r="K7116" t="s">
        <v>147</v>
      </c>
      <c r="L7116" t="s">
        <v>844</v>
      </c>
      <c r="M7116" t="s">
        <v>14</v>
      </c>
    </row>
    <row r="7117" spans="1:13">
      <c r="A7117" t="s">
        <v>851</v>
      </c>
      <c r="B7117" t="s">
        <v>686</v>
      </c>
      <c r="C7117" t="s">
        <v>686</v>
      </c>
      <c r="D7117" t="s">
        <v>3185</v>
      </c>
      <c r="E7117" t="s">
        <v>461</v>
      </c>
      <c r="F7117" t="s">
        <v>668</v>
      </c>
      <c r="G7117">
        <v>2020</v>
      </c>
      <c r="H7117" s="12">
        <v>691.95</v>
      </c>
      <c r="I7117" t="s">
        <v>3183</v>
      </c>
      <c r="J7117" t="s">
        <v>14</v>
      </c>
      <c r="K7117" t="s">
        <v>147</v>
      </c>
      <c r="L7117" t="s">
        <v>844</v>
      </c>
      <c r="M7117" t="s">
        <v>14</v>
      </c>
    </row>
    <row r="7118" spans="1:13">
      <c r="A7118" t="s">
        <v>851</v>
      </c>
      <c r="B7118" t="s">
        <v>686</v>
      </c>
      <c r="C7118" t="s">
        <v>686</v>
      </c>
      <c r="D7118" t="s">
        <v>3185</v>
      </c>
      <c r="E7118" t="s">
        <v>461</v>
      </c>
      <c r="F7118" t="s">
        <v>668</v>
      </c>
      <c r="G7118">
        <v>2030</v>
      </c>
      <c r="H7118" s="12">
        <v>766.97</v>
      </c>
      <c r="I7118" t="s">
        <v>3183</v>
      </c>
      <c r="J7118" t="s">
        <v>14</v>
      </c>
      <c r="K7118" t="s">
        <v>147</v>
      </c>
      <c r="L7118" t="s">
        <v>844</v>
      </c>
      <c r="M7118" t="s">
        <v>14</v>
      </c>
    </row>
    <row r="7119" spans="1:13">
      <c r="A7119" t="s">
        <v>851</v>
      </c>
      <c r="B7119" t="s">
        <v>686</v>
      </c>
      <c r="C7119" t="s">
        <v>686</v>
      </c>
      <c r="D7119" t="s">
        <v>3185</v>
      </c>
      <c r="E7119" t="s">
        <v>461</v>
      </c>
      <c r="F7119" t="s">
        <v>668</v>
      </c>
      <c r="G7119">
        <v>2035</v>
      </c>
      <c r="H7119" s="12">
        <v>820.12</v>
      </c>
      <c r="I7119" t="s">
        <v>3183</v>
      </c>
      <c r="J7119" t="s">
        <v>14</v>
      </c>
      <c r="K7119" t="s">
        <v>147</v>
      </c>
      <c r="L7119" t="s">
        <v>844</v>
      </c>
      <c r="M7119" t="s">
        <v>14</v>
      </c>
    </row>
    <row r="7120" spans="1:13">
      <c r="A7120" t="s">
        <v>851</v>
      </c>
      <c r="B7120" t="s">
        <v>686</v>
      </c>
      <c r="C7120" t="s">
        <v>686</v>
      </c>
      <c r="D7120" t="s">
        <v>3185</v>
      </c>
      <c r="E7120" t="s">
        <v>461</v>
      </c>
      <c r="F7120" t="s">
        <v>668</v>
      </c>
      <c r="G7120">
        <v>2040</v>
      </c>
      <c r="H7120" s="12">
        <v>884.21</v>
      </c>
      <c r="I7120" t="s">
        <v>3183</v>
      </c>
      <c r="J7120" t="s">
        <v>14</v>
      </c>
      <c r="K7120" t="s">
        <v>147</v>
      </c>
      <c r="L7120" t="s">
        <v>844</v>
      </c>
      <c r="M7120" t="s">
        <v>14</v>
      </c>
    </row>
    <row r="7121" spans="1:13">
      <c r="A7121" t="s">
        <v>851</v>
      </c>
      <c r="B7121" t="s">
        <v>686</v>
      </c>
      <c r="C7121" t="s">
        <v>686</v>
      </c>
      <c r="D7121" t="s">
        <v>3185</v>
      </c>
      <c r="E7121" t="s">
        <v>461</v>
      </c>
      <c r="F7121" t="s">
        <v>668</v>
      </c>
      <c r="G7121">
        <v>2045</v>
      </c>
      <c r="H7121" s="12">
        <v>963.47</v>
      </c>
      <c r="I7121" t="s">
        <v>3183</v>
      </c>
      <c r="J7121" t="s">
        <v>14</v>
      </c>
      <c r="K7121" t="s">
        <v>147</v>
      </c>
      <c r="L7121" t="s">
        <v>844</v>
      </c>
      <c r="M7121" t="s">
        <v>14</v>
      </c>
    </row>
    <row r="7122" spans="1:13">
      <c r="A7122" t="s">
        <v>851</v>
      </c>
      <c r="B7122" t="s">
        <v>686</v>
      </c>
      <c r="C7122" t="s">
        <v>686</v>
      </c>
      <c r="D7122" t="s">
        <v>3185</v>
      </c>
      <c r="E7122" t="s">
        <v>461</v>
      </c>
      <c r="F7122" t="s">
        <v>668</v>
      </c>
      <c r="G7122">
        <v>2050</v>
      </c>
      <c r="H7122" s="12">
        <v>1049.27</v>
      </c>
      <c r="I7122" t="s">
        <v>3183</v>
      </c>
      <c r="J7122" t="s">
        <v>14</v>
      </c>
      <c r="K7122" t="s">
        <v>147</v>
      </c>
      <c r="L7122" t="s">
        <v>844</v>
      </c>
      <c r="M7122" t="s">
        <v>14</v>
      </c>
    </row>
    <row r="7123" spans="1:13">
      <c r="A7123" t="s">
        <v>851</v>
      </c>
      <c r="B7123" t="s">
        <v>687</v>
      </c>
      <c r="C7123" t="s">
        <v>687</v>
      </c>
      <c r="D7123" t="s">
        <v>3185</v>
      </c>
      <c r="E7123" t="s">
        <v>461</v>
      </c>
      <c r="F7123" t="s">
        <v>668</v>
      </c>
      <c r="G7123">
        <v>2030</v>
      </c>
      <c r="H7123" s="12">
        <v>777.7</v>
      </c>
      <c r="I7123" t="s">
        <v>3183</v>
      </c>
      <c r="J7123" t="s">
        <v>14</v>
      </c>
      <c r="K7123" t="s">
        <v>147</v>
      </c>
      <c r="L7123" t="s">
        <v>844</v>
      </c>
      <c r="M7123" t="s">
        <v>14</v>
      </c>
    </row>
    <row r="7124" spans="1:13">
      <c r="A7124" t="s">
        <v>851</v>
      </c>
      <c r="B7124" t="s">
        <v>687</v>
      </c>
      <c r="C7124" t="s">
        <v>687</v>
      </c>
      <c r="D7124" t="s">
        <v>3185</v>
      </c>
      <c r="E7124" t="s">
        <v>461</v>
      </c>
      <c r="F7124" t="s">
        <v>668</v>
      </c>
      <c r="G7124">
        <v>2035</v>
      </c>
      <c r="H7124" s="12">
        <v>840.07</v>
      </c>
      <c r="I7124" t="s">
        <v>3183</v>
      </c>
      <c r="J7124" t="s">
        <v>14</v>
      </c>
      <c r="K7124" t="s">
        <v>147</v>
      </c>
      <c r="L7124" t="s">
        <v>844</v>
      </c>
      <c r="M7124" t="s">
        <v>14</v>
      </c>
    </row>
    <row r="7125" spans="1:13">
      <c r="A7125" t="s">
        <v>851</v>
      </c>
      <c r="B7125" t="s">
        <v>687</v>
      </c>
      <c r="C7125" t="s">
        <v>687</v>
      </c>
      <c r="D7125" t="s">
        <v>3185</v>
      </c>
      <c r="E7125" t="s">
        <v>461</v>
      </c>
      <c r="F7125" t="s">
        <v>668</v>
      </c>
      <c r="G7125">
        <v>2040</v>
      </c>
      <c r="H7125" s="12">
        <v>918.31</v>
      </c>
      <c r="I7125" t="s">
        <v>3183</v>
      </c>
      <c r="J7125" t="s">
        <v>14</v>
      </c>
      <c r="K7125" t="s">
        <v>147</v>
      </c>
      <c r="L7125" t="s">
        <v>844</v>
      </c>
      <c r="M7125" t="s">
        <v>14</v>
      </c>
    </row>
    <row r="7126" spans="1:13">
      <c r="A7126" t="s">
        <v>851</v>
      </c>
      <c r="B7126" t="s">
        <v>687</v>
      </c>
      <c r="C7126" t="s">
        <v>687</v>
      </c>
      <c r="D7126" t="s">
        <v>3185</v>
      </c>
      <c r="E7126" t="s">
        <v>461</v>
      </c>
      <c r="F7126" t="s">
        <v>668</v>
      </c>
      <c r="G7126">
        <v>2045</v>
      </c>
      <c r="H7126" s="12">
        <v>992.54</v>
      </c>
      <c r="I7126" t="s">
        <v>3183</v>
      </c>
      <c r="J7126" t="s">
        <v>14</v>
      </c>
      <c r="K7126" t="s">
        <v>147</v>
      </c>
      <c r="L7126" t="s">
        <v>844</v>
      </c>
      <c r="M7126" t="s">
        <v>14</v>
      </c>
    </row>
    <row r="7127" spans="1:13">
      <c r="A7127" t="s">
        <v>851</v>
      </c>
      <c r="B7127" t="s">
        <v>687</v>
      </c>
      <c r="C7127" t="s">
        <v>687</v>
      </c>
      <c r="D7127" t="s">
        <v>3185</v>
      </c>
      <c r="E7127" t="s">
        <v>461</v>
      </c>
      <c r="F7127" t="s">
        <v>668</v>
      </c>
      <c r="G7127">
        <v>2050</v>
      </c>
      <c r="H7127" s="12">
        <v>1042.68</v>
      </c>
      <c r="I7127" t="s">
        <v>3183</v>
      </c>
      <c r="J7127" t="s">
        <v>14</v>
      </c>
      <c r="K7127" t="s">
        <v>147</v>
      </c>
      <c r="L7127" t="s">
        <v>844</v>
      </c>
      <c r="M7127" t="s">
        <v>14</v>
      </c>
    </row>
    <row r="7128" spans="1:13">
      <c r="A7128" t="s">
        <v>851</v>
      </c>
      <c r="B7128" t="s">
        <v>686</v>
      </c>
      <c r="C7128" t="s">
        <v>686</v>
      </c>
      <c r="D7128" t="s">
        <v>3185</v>
      </c>
      <c r="E7128" t="s">
        <v>461</v>
      </c>
      <c r="F7128" t="s">
        <v>668</v>
      </c>
      <c r="G7128">
        <v>2010</v>
      </c>
      <c r="H7128" s="12">
        <v>42.65</v>
      </c>
      <c r="I7128" t="s">
        <v>3183</v>
      </c>
      <c r="J7128" t="s">
        <v>41</v>
      </c>
      <c r="K7128" t="s">
        <v>147</v>
      </c>
      <c r="L7128" t="s">
        <v>844</v>
      </c>
      <c r="M7128" t="s">
        <v>669</v>
      </c>
    </row>
    <row r="7129" spans="1:13">
      <c r="A7129" t="s">
        <v>851</v>
      </c>
      <c r="B7129" t="s">
        <v>686</v>
      </c>
      <c r="C7129" t="s">
        <v>686</v>
      </c>
      <c r="D7129" t="s">
        <v>3185</v>
      </c>
      <c r="E7129" t="s">
        <v>461</v>
      </c>
      <c r="F7129" t="s">
        <v>668</v>
      </c>
      <c r="G7129">
        <v>2015</v>
      </c>
      <c r="H7129" s="12">
        <v>67.040000000000006</v>
      </c>
      <c r="I7129" t="s">
        <v>3183</v>
      </c>
      <c r="J7129" t="s">
        <v>41</v>
      </c>
      <c r="K7129" t="s">
        <v>147</v>
      </c>
      <c r="L7129" t="s">
        <v>844</v>
      </c>
      <c r="M7129" t="s">
        <v>669</v>
      </c>
    </row>
    <row r="7130" spans="1:13">
      <c r="A7130" t="s">
        <v>851</v>
      </c>
      <c r="B7130" t="s">
        <v>686</v>
      </c>
      <c r="C7130" t="s">
        <v>686</v>
      </c>
      <c r="D7130" t="s">
        <v>3185</v>
      </c>
      <c r="E7130" t="s">
        <v>461</v>
      </c>
      <c r="F7130" t="s">
        <v>668</v>
      </c>
      <c r="G7130">
        <v>2020</v>
      </c>
      <c r="H7130" s="12">
        <v>80.930000000000007</v>
      </c>
      <c r="I7130" t="s">
        <v>3183</v>
      </c>
      <c r="J7130" t="s">
        <v>41</v>
      </c>
      <c r="K7130" t="s">
        <v>147</v>
      </c>
      <c r="L7130" t="s">
        <v>844</v>
      </c>
      <c r="M7130" t="s">
        <v>669</v>
      </c>
    </row>
    <row r="7131" spans="1:13">
      <c r="A7131" t="s">
        <v>851</v>
      </c>
      <c r="B7131" t="s">
        <v>686</v>
      </c>
      <c r="C7131" t="s">
        <v>686</v>
      </c>
      <c r="D7131" t="s">
        <v>3185</v>
      </c>
      <c r="E7131" t="s">
        <v>461</v>
      </c>
      <c r="F7131" t="s">
        <v>668</v>
      </c>
      <c r="G7131">
        <v>2030</v>
      </c>
      <c r="H7131" s="12">
        <v>99.9</v>
      </c>
      <c r="I7131" t="s">
        <v>3183</v>
      </c>
      <c r="J7131" t="s">
        <v>41</v>
      </c>
      <c r="K7131" t="s">
        <v>147</v>
      </c>
      <c r="L7131" t="s">
        <v>844</v>
      </c>
      <c r="M7131" t="s">
        <v>669</v>
      </c>
    </row>
    <row r="7132" spans="1:13">
      <c r="A7132" t="s">
        <v>851</v>
      </c>
      <c r="B7132" t="s">
        <v>686</v>
      </c>
      <c r="C7132" t="s">
        <v>686</v>
      </c>
      <c r="D7132" t="s">
        <v>3185</v>
      </c>
      <c r="E7132" t="s">
        <v>461</v>
      </c>
      <c r="F7132" t="s">
        <v>668</v>
      </c>
      <c r="G7132">
        <v>2035</v>
      </c>
      <c r="H7132" s="12">
        <v>109.84</v>
      </c>
      <c r="I7132" t="s">
        <v>3183</v>
      </c>
      <c r="J7132" t="s">
        <v>41</v>
      </c>
      <c r="K7132" t="s">
        <v>147</v>
      </c>
      <c r="L7132" t="s">
        <v>844</v>
      </c>
      <c r="M7132" t="s">
        <v>669</v>
      </c>
    </row>
    <row r="7133" spans="1:13">
      <c r="A7133" t="s">
        <v>851</v>
      </c>
      <c r="B7133" t="s">
        <v>686</v>
      </c>
      <c r="C7133" t="s">
        <v>686</v>
      </c>
      <c r="D7133" t="s">
        <v>3185</v>
      </c>
      <c r="E7133" t="s">
        <v>461</v>
      </c>
      <c r="F7133" t="s">
        <v>668</v>
      </c>
      <c r="G7133">
        <v>2040</v>
      </c>
      <c r="H7133" s="12">
        <v>122.82</v>
      </c>
      <c r="I7133" t="s">
        <v>3183</v>
      </c>
      <c r="J7133" t="s">
        <v>41</v>
      </c>
      <c r="K7133" t="s">
        <v>147</v>
      </c>
      <c r="L7133" t="s">
        <v>844</v>
      </c>
      <c r="M7133" t="s">
        <v>669</v>
      </c>
    </row>
    <row r="7134" spans="1:13">
      <c r="A7134" t="s">
        <v>851</v>
      </c>
      <c r="B7134" t="s">
        <v>686</v>
      </c>
      <c r="C7134" t="s">
        <v>686</v>
      </c>
      <c r="D7134" t="s">
        <v>3185</v>
      </c>
      <c r="E7134" t="s">
        <v>461</v>
      </c>
      <c r="F7134" t="s">
        <v>668</v>
      </c>
      <c r="G7134">
        <v>2045</v>
      </c>
      <c r="H7134" s="12">
        <v>146.63</v>
      </c>
      <c r="I7134" t="s">
        <v>3183</v>
      </c>
      <c r="J7134" t="s">
        <v>41</v>
      </c>
      <c r="K7134" t="s">
        <v>147</v>
      </c>
      <c r="L7134" t="s">
        <v>844</v>
      </c>
      <c r="M7134" t="s">
        <v>669</v>
      </c>
    </row>
    <row r="7135" spans="1:13">
      <c r="A7135" t="s">
        <v>851</v>
      </c>
      <c r="B7135" t="s">
        <v>686</v>
      </c>
      <c r="C7135" t="s">
        <v>686</v>
      </c>
      <c r="D7135" t="s">
        <v>3185</v>
      </c>
      <c r="E7135" t="s">
        <v>461</v>
      </c>
      <c r="F7135" t="s">
        <v>668</v>
      </c>
      <c r="G7135">
        <v>2050</v>
      </c>
      <c r="H7135" s="12">
        <v>174.44</v>
      </c>
      <c r="I7135" t="s">
        <v>3183</v>
      </c>
      <c r="J7135" t="s">
        <v>41</v>
      </c>
      <c r="K7135" t="s">
        <v>147</v>
      </c>
      <c r="L7135" t="s">
        <v>844</v>
      </c>
      <c r="M7135" t="s">
        <v>669</v>
      </c>
    </row>
    <row r="7136" spans="1:13">
      <c r="A7136" t="s">
        <v>851</v>
      </c>
      <c r="B7136" t="s">
        <v>687</v>
      </c>
      <c r="C7136" t="s">
        <v>687</v>
      </c>
      <c r="D7136" t="s">
        <v>3185</v>
      </c>
      <c r="E7136" t="s">
        <v>461</v>
      </c>
      <c r="F7136" t="s">
        <v>668</v>
      </c>
      <c r="G7136">
        <v>2030</v>
      </c>
      <c r="H7136" s="12">
        <v>128.01</v>
      </c>
      <c r="I7136" t="s">
        <v>3183</v>
      </c>
      <c r="J7136" t="s">
        <v>41</v>
      </c>
      <c r="K7136" t="s">
        <v>147</v>
      </c>
      <c r="L7136" t="s">
        <v>844</v>
      </c>
      <c r="M7136" t="s">
        <v>669</v>
      </c>
    </row>
    <row r="7137" spans="1:13">
      <c r="A7137" t="s">
        <v>851</v>
      </c>
      <c r="B7137" t="s">
        <v>687</v>
      </c>
      <c r="C7137" t="s">
        <v>687</v>
      </c>
      <c r="D7137" t="s">
        <v>3185</v>
      </c>
      <c r="E7137" t="s">
        <v>461</v>
      </c>
      <c r="F7137" t="s">
        <v>668</v>
      </c>
      <c r="G7137">
        <v>2035</v>
      </c>
      <c r="H7137" s="12">
        <v>146.81</v>
      </c>
      <c r="I7137" t="s">
        <v>3183</v>
      </c>
      <c r="J7137" t="s">
        <v>41</v>
      </c>
      <c r="K7137" t="s">
        <v>147</v>
      </c>
      <c r="L7137" t="s">
        <v>844</v>
      </c>
      <c r="M7137" t="s">
        <v>669</v>
      </c>
    </row>
    <row r="7138" spans="1:13">
      <c r="A7138" t="s">
        <v>851</v>
      </c>
      <c r="B7138" t="s">
        <v>687</v>
      </c>
      <c r="C7138" t="s">
        <v>687</v>
      </c>
      <c r="D7138" t="s">
        <v>3185</v>
      </c>
      <c r="E7138" t="s">
        <v>461</v>
      </c>
      <c r="F7138" t="s">
        <v>668</v>
      </c>
      <c r="G7138">
        <v>2040</v>
      </c>
      <c r="H7138" s="12">
        <v>169.62</v>
      </c>
      <c r="I7138" t="s">
        <v>3183</v>
      </c>
      <c r="J7138" t="s">
        <v>41</v>
      </c>
      <c r="K7138" t="s">
        <v>147</v>
      </c>
      <c r="L7138" t="s">
        <v>844</v>
      </c>
      <c r="M7138" t="s">
        <v>669</v>
      </c>
    </row>
    <row r="7139" spans="1:13">
      <c r="A7139" t="s">
        <v>851</v>
      </c>
      <c r="B7139" t="s">
        <v>686</v>
      </c>
      <c r="C7139" t="s">
        <v>686</v>
      </c>
      <c r="D7139" t="s">
        <v>3185</v>
      </c>
      <c r="E7139" t="s">
        <v>461</v>
      </c>
      <c r="F7139" t="s">
        <v>668</v>
      </c>
      <c r="G7139">
        <v>2045</v>
      </c>
      <c r="H7139" s="12">
        <v>65.92</v>
      </c>
      <c r="I7139" t="s">
        <v>3183</v>
      </c>
      <c r="J7139" t="s">
        <v>15</v>
      </c>
      <c r="K7139" t="s">
        <v>147</v>
      </c>
      <c r="L7139" t="s">
        <v>844</v>
      </c>
      <c r="M7139" t="s">
        <v>15</v>
      </c>
    </row>
    <row r="7140" spans="1:13">
      <c r="A7140" t="s">
        <v>851</v>
      </c>
      <c r="B7140" t="s">
        <v>686</v>
      </c>
      <c r="C7140" t="s">
        <v>686</v>
      </c>
      <c r="D7140" t="s">
        <v>3185</v>
      </c>
      <c r="E7140" t="s">
        <v>461</v>
      </c>
      <c r="F7140" t="s">
        <v>668</v>
      </c>
      <c r="G7140">
        <v>2050</v>
      </c>
      <c r="H7140" s="12">
        <v>60.1</v>
      </c>
      <c r="I7140" t="s">
        <v>3183</v>
      </c>
      <c r="J7140" t="s">
        <v>15</v>
      </c>
      <c r="K7140" t="s">
        <v>147</v>
      </c>
      <c r="L7140" t="s">
        <v>844</v>
      </c>
      <c r="M7140" t="s">
        <v>15</v>
      </c>
    </row>
    <row r="7141" spans="1:13">
      <c r="A7141" t="s">
        <v>851</v>
      </c>
      <c r="B7141" t="s">
        <v>687</v>
      </c>
      <c r="C7141" t="s">
        <v>687</v>
      </c>
      <c r="D7141" t="s">
        <v>3185</v>
      </c>
      <c r="E7141" t="s">
        <v>461</v>
      </c>
      <c r="F7141" t="s">
        <v>668</v>
      </c>
      <c r="G7141">
        <v>2030</v>
      </c>
      <c r="H7141" s="12">
        <v>33.81</v>
      </c>
      <c r="I7141" t="s">
        <v>3183</v>
      </c>
      <c r="J7141" t="s">
        <v>15</v>
      </c>
      <c r="K7141" t="s">
        <v>147</v>
      </c>
      <c r="L7141" t="s">
        <v>844</v>
      </c>
      <c r="M7141" t="s">
        <v>15</v>
      </c>
    </row>
    <row r="7142" spans="1:13">
      <c r="A7142" t="s">
        <v>851</v>
      </c>
      <c r="B7142" t="s">
        <v>687</v>
      </c>
      <c r="C7142" t="s">
        <v>687</v>
      </c>
      <c r="D7142" t="s">
        <v>3185</v>
      </c>
      <c r="E7142" t="s">
        <v>461</v>
      </c>
      <c r="F7142" t="s">
        <v>668</v>
      </c>
      <c r="G7142">
        <v>2035</v>
      </c>
      <c r="H7142" s="12">
        <v>57.92</v>
      </c>
      <c r="I7142" t="s">
        <v>3183</v>
      </c>
      <c r="J7142" t="s">
        <v>15</v>
      </c>
      <c r="K7142" t="s">
        <v>147</v>
      </c>
      <c r="L7142" t="s">
        <v>844</v>
      </c>
      <c r="M7142" t="s">
        <v>15</v>
      </c>
    </row>
    <row r="7143" spans="1:13">
      <c r="A7143" t="s">
        <v>851</v>
      </c>
      <c r="B7143" t="s">
        <v>687</v>
      </c>
      <c r="C7143" t="s">
        <v>687</v>
      </c>
      <c r="D7143" t="s">
        <v>3185</v>
      </c>
      <c r="E7143" t="s">
        <v>461</v>
      </c>
      <c r="F7143" t="s">
        <v>668</v>
      </c>
      <c r="G7143">
        <v>2040</v>
      </c>
      <c r="H7143" s="12">
        <v>74.849999999999994</v>
      </c>
      <c r="I7143" t="s">
        <v>3183</v>
      </c>
      <c r="J7143" t="s">
        <v>15</v>
      </c>
      <c r="K7143" t="s">
        <v>147</v>
      </c>
      <c r="L7143" t="s">
        <v>844</v>
      </c>
      <c r="M7143" t="s">
        <v>15</v>
      </c>
    </row>
    <row r="7144" spans="1:13">
      <c r="A7144" t="s">
        <v>851</v>
      </c>
      <c r="B7144" t="s">
        <v>687</v>
      </c>
      <c r="C7144" t="s">
        <v>687</v>
      </c>
      <c r="D7144" t="s">
        <v>3185</v>
      </c>
      <c r="E7144" t="s">
        <v>461</v>
      </c>
      <c r="F7144" t="s">
        <v>668</v>
      </c>
      <c r="G7144">
        <v>2045</v>
      </c>
      <c r="H7144" s="12">
        <v>76.819999999999993</v>
      </c>
      <c r="I7144" t="s">
        <v>3183</v>
      </c>
      <c r="J7144" t="s">
        <v>15</v>
      </c>
      <c r="K7144" t="s">
        <v>147</v>
      </c>
      <c r="L7144" t="s">
        <v>844</v>
      </c>
      <c r="M7144" t="s">
        <v>15</v>
      </c>
    </row>
    <row r="7145" spans="1:13">
      <c r="A7145" t="s">
        <v>851</v>
      </c>
      <c r="B7145" t="s">
        <v>687</v>
      </c>
      <c r="C7145" t="s">
        <v>687</v>
      </c>
      <c r="D7145" t="s">
        <v>3185</v>
      </c>
      <c r="E7145" t="s">
        <v>461</v>
      </c>
      <c r="F7145" t="s">
        <v>668</v>
      </c>
      <c r="G7145">
        <v>2050</v>
      </c>
      <c r="H7145" s="12">
        <v>70.319999999999993</v>
      </c>
      <c r="I7145" t="s">
        <v>3183</v>
      </c>
      <c r="J7145" t="s">
        <v>15</v>
      </c>
      <c r="K7145" t="s">
        <v>147</v>
      </c>
      <c r="L7145" t="s">
        <v>844</v>
      </c>
      <c r="M7145" t="s">
        <v>15</v>
      </c>
    </row>
    <row r="7146" spans="1:13">
      <c r="A7146" t="s">
        <v>851</v>
      </c>
      <c r="B7146" t="s">
        <v>686</v>
      </c>
      <c r="C7146" t="s">
        <v>686</v>
      </c>
      <c r="D7146" t="s">
        <v>3185</v>
      </c>
      <c r="E7146" t="s">
        <v>461</v>
      </c>
      <c r="F7146" t="s">
        <v>668</v>
      </c>
      <c r="G7146">
        <v>2010</v>
      </c>
      <c r="H7146" s="12">
        <v>0</v>
      </c>
      <c r="I7146" t="s">
        <v>3183</v>
      </c>
      <c r="J7146" t="s">
        <v>8</v>
      </c>
      <c r="K7146" t="s">
        <v>147</v>
      </c>
      <c r="L7146" t="s">
        <v>844</v>
      </c>
      <c r="M7146" t="s">
        <v>670</v>
      </c>
    </row>
    <row r="7147" spans="1:13">
      <c r="A7147" t="s">
        <v>851</v>
      </c>
      <c r="B7147" t="s">
        <v>686</v>
      </c>
      <c r="C7147" t="s">
        <v>686</v>
      </c>
      <c r="D7147" t="s">
        <v>3185</v>
      </c>
      <c r="E7147" t="s">
        <v>461</v>
      </c>
      <c r="F7147" t="s">
        <v>668</v>
      </c>
      <c r="G7147">
        <v>2015</v>
      </c>
      <c r="H7147" s="12">
        <v>0</v>
      </c>
      <c r="I7147" t="s">
        <v>3183</v>
      </c>
      <c r="J7147" t="s">
        <v>8</v>
      </c>
      <c r="K7147" t="s">
        <v>147</v>
      </c>
      <c r="L7147" t="s">
        <v>844</v>
      </c>
      <c r="M7147" t="s">
        <v>670</v>
      </c>
    </row>
    <row r="7148" spans="1:13">
      <c r="A7148" t="s">
        <v>851</v>
      </c>
      <c r="B7148" t="s">
        <v>686</v>
      </c>
      <c r="C7148" t="s">
        <v>686</v>
      </c>
      <c r="D7148" t="s">
        <v>3185</v>
      </c>
      <c r="E7148" t="s">
        <v>461</v>
      </c>
      <c r="F7148" t="s">
        <v>668</v>
      </c>
      <c r="G7148">
        <v>2020</v>
      </c>
      <c r="H7148" s="12">
        <v>0</v>
      </c>
      <c r="I7148" t="s">
        <v>3183</v>
      </c>
      <c r="J7148" t="s">
        <v>8</v>
      </c>
      <c r="K7148" t="s">
        <v>147</v>
      </c>
      <c r="L7148" t="s">
        <v>844</v>
      </c>
      <c r="M7148" t="s">
        <v>670</v>
      </c>
    </row>
    <row r="7149" spans="1:13">
      <c r="A7149" t="s">
        <v>851</v>
      </c>
      <c r="B7149" t="s">
        <v>686</v>
      </c>
      <c r="C7149" t="s">
        <v>686</v>
      </c>
      <c r="D7149" t="s">
        <v>3185</v>
      </c>
      <c r="E7149" t="s">
        <v>461</v>
      </c>
      <c r="F7149" t="s">
        <v>668</v>
      </c>
      <c r="G7149">
        <v>2030</v>
      </c>
      <c r="H7149" s="12">
        <v>0</v>
      </c>
      <c r="I7149" t="s">
        <v>3183</v>
      </c>
      <c r="J7149" t="s">
        <v>8</v>
      </c>
      <c r="K7149" t="s">
        <v>147</v>
      </c>
      <c r="L7149" t="s">
        <v>844</v>
      </c>
      <c r="M7149" t="s">
        <v>670</v>
      </c>
    </row>
    <row r="7150" spans="1:13">
      <c r="A7150" t="s">
        <v>851</v>
      </c>
      <c r="B7150" t="s">
        <v>686</v>
      </c>
      <c r="C7150" t="s">
        <v>686</v>
      </c>
      <c r="D7150" t="s">
        <v>3185</v>
      </c>
      <c r="E7150" t="s">
        <v>461</v>
      </c>
      <c r="F7150" t="s">
        <v>668</v>
      </c>
      <c r="G7150">
        <v>2035</v>
      </c>
      <c r="H7150" s="12">
        <v>0</v>
      </c>
      <c r="I7150" t="s">
        <v>3183</v>
      </c>
      <c r="J7150" t="s">
        <v>8</v>
      </c>
      <c r="K7150" t="s">
        <v>147</v>
      </c>
      <c r="L7150" t="s">
        <v>844</v>
      </c>
      <c r="M7150" t="s">
        <v>670</v>
      </c>
    </row>
    <row r="7151" spans="1:13">
      <c r="A7151" t="s">
        <v>851</v>
      </c>
      <c r="B7151" t="s">
        <v>686</v>
      </c>
      <c r="C7151" t="s">
        <v>686</v>
      </c>
      <c r="D7151" t="s">
        <v>3185</v>
      </c>
      <c r="E7151" t="s">
        <v>461</v>
      </c>
      <c r="F7151" t="s">
        <v>668</v>
      </c>
      <c r="G7151">
        <v>2040</v>
      </c>
      <c r="H7151" s="12">
        <v>0</v>
      </c>
      <c r="I7151" t="s">
        <v>3183</v>
      </c>
      <c r="J7151" t="s">
        <v>8</v>
      </c>
      <c r="K7151" t="s">
        <v>147</v>
      </c>
      <c r="L7151" t="s">
        <v>844</v>
      </c>
      <c r="M7151" t="s">
        <v>670</v>
      </c>
    </row>
    <row r="7152" spans="1:13">
      <c r="A7152" t="s">
        <v>851</v>
      </c>
      <c r="B7152" t="s">
        <v>686</v>
      </c>
      <c r="C7152" t="s">
        <v>686</v>
      </c>
      <c r="D7152" t="s">
        <v>3185</v>
      </c>
      <c r="E7152" t="s">
        <v>461</v>
      </c>
      <c r="F7152" t="s">
        <v>668</v>
      </c>
      <c r="G7152">
        <v>2045</v>
      </c>
      <c r="H7152" s="12">
        <v>0</v>
      </c>
      <c r="I7152" t="s">
        <v>3183</v>
      </c>
      <c r="J7152" t="s">
        <v>8</v>
      </c>
      <c r="K7152" t="s">
        <v>147</v>
      </c>
      <c r="L7152" t="s">
        <v>844</v>
      </c>
      <c r="M7152" t="s">
        <v>670</v>
      </c>
    </row>
    <row r="7153" spans="1:13">
      <c r="A7153" t="s">
        <v>851</v>
      </c>
      <c r="B7153" t="s">
        <v>686</v>
      </c>
      <c r="C7153" t="s">
        <v>686</v>
      </c>
      <c r="D7153" t="s">
        <v>3185</v>
      </c>
      <c r="E7153" t="s">
        <v>461</v>
      </c>
      <c r="F7153" t="s">
        <v>668</v>
      </c>
      <c r="G7153">
        <v>2050</v>
      </c>
      <c r="H7153" s="12">
        <v>0</v>
      </c>
      <c r="I7153" t="s">
        <v>3183</v>
      </c>
      <c r="J7153" t="s">
        <v>8</v>
      </c>
      <c r="K7153" t="s">
        <v>147</v>
      </c>
      <c r="L7153" t="s">
        <v>844</v>
      </c>
      <c r="M7153" t="s">
        <v>670</v>
      </c>
    </row>
    <row r="7154" spans="1:13">
      <c r="A7154" t="s">
        <v>851</v>
      </c>
      <c r="B7154" t="s">
        <v>687</v>
      </c>
      <c r="C7154" t="s">
        <v>687</v>
      </c>
      <c r="D7154" t="s">
        <v>3185</v>
      </c>
      <c r="E7154" t="s">
        <v>461</v>
      </c>
      <c r="F7154" t="s">
        <v>668</v>
      </c>
      <c r="G7154">
        <v>2030</v>
      </c>
      <c r="H7154" s="12">
        <v>0</v>
      </c>
      <c r="I7154" t="s">
        <v>3183</v>
      </c>
      <c r="J7154" t="s">
        <v>8</v>
      </c>
      <c r="K7154" t="s">
        <v>147</v>
      </c>
      <c r="L7154" t="s">
        <v>844</v>
      </c>
      <c r="M7154" t="s">
        <v>670</v>
      </c>
    </row>
    <row r="7155" spans="1:13">
      <c r="A7155" t="s">
        <v>851</v>
      </c>
      <c r="B7155" t="s">
        <v>687</v>
      </c>
      <c r="C7155" t="s">
        <v>687</v>
      </c>
      <c r="D7155" t="s">
        <v>3185</v>
      </c>
      <c r="E7155" t="s">
        <v>461</v>
      </c>
      <c r="F7155" t="s">
        <v>668</v>
      </c>
      <c r="G7155">
        <v>2035</v>
      </c>
      <c r="H7155" s="12">
        <v>0.77</v>
      </c>
      <c r="I7155" t="s">
        <v>3183</v>
      </c>
      <c r="J7155" t="s">
        <v>8</v>
      </c>
      <c r="K7155" t="s">
        <v>147</v>
      </c>
      <c r="L7155" t="s">
        <v>844</v>
      </c>
      <c r="M7155" t="s">
        <v>670</v>
      </c>
    </row>
    <row r="7156" spans="1:13">
      <c r="A7156" t="s">
        <v>851</v>
      </c>
      <c r="B7156" t="s">
        <v>687</v>
      </c>
      <c r="C7156" t="s">
        <v>687</v>
      </c>
      <c r="D7156" t="s">
        <v>3185</v>
      </c>
      <c r="E7156" t="s">
        <v>461</v>
      </c>
      <c r="F7156" t="s">
        <v>668</v>
      </c>
      <c r="G7156">
        <v>2040</v>
      </c>
      <c r="H7156" s="12">
        <v>1.71</v>
      </c>
      <c r="I7156" t="s">
        <v>3183</v>
      </c>
      <c r="J7156" t="s">
        <v>8</v>
      </c>
      <c r="K7156" t="s">
        <v>147</v>
      </c>
      <c r="L7156" t="s">
        <v>844</v>
      </c>
      <c r="M7156" t="s">
        <v>670</v>
      </c>
    </row>
    <row r="7157" spans="1:13">
      <c r="A7157" t="s">
        <v>851</v>
      </c>
      <c r="B7157" t="s">
        <v>687</v>
      </c>
      <c r="C7157" t="s">
        <v>687</v>
      </c>
      <c r="D7157" t="s">
        <v>3185</v>
      </c>
      <c r="E7157" t="s">
        <v>461</v>
      </c>
      <c r="F7157" t="s">
        <v>668</v>
      </c>
      <c r="G7157">
        <v>2045</v>
      </c>
      <c r="H7157" s="12">
        <v>3.1</v>
      </c>
      <c r="I7157" t="s">
        <v>3183</v>
      </c>
      <c r="J7157" t="s">
        <v>8</v>
      </c>
      <c r="K7157" t="s">
        <v>147</v>
      </c>
      <c r="L7157" t="s">
        <v>844</v>
      </c>
      <c r="M7157" t="s">
        <v>670</v>
      </c>
    </row>
    <row r="7158" spans="1:13">
      <c r="A7158" t="s">
        <v>851</v>
      </c>
      <c r="B7158" t="s">
        <v>687</v>
      </c>
      <c r="C7158" t="s">
        <v>687</v>
      </c>
      <c r="D7158" t="s">
        <v>3185</v>
      </c>
      <c r="E7158" t="s">
        <v>461</v>
      </c>
      <c r="F7158" t="s">
        <v>668</v>
      </c>
      <c r="G7158">
        <v>2050</v>
      </c>
      <c r="H7158" s="12">
        <v>5.4</v>
      </c>
      <c r="I7158" t="s">
        <v>3183</v>
      </c>
      <c r="J7158" t="s">
        <v>8</v>
      </c>
      <c r="K7158" t="s">
        <v>147</v>
      </c>
      <c r="L7158" t="s">
        <v>844</v>
      </c>
      <c r="M7158" t="s">
        <v>670</v>
      </c>
    </row>
    <row r="7159" spans="1:13">
      <c r="A7159" t="s">
        <v>851</v>
      </c>
      <c r="B7159" t="s">
        <v>686</v>
      </c>
      <c r="C7159" t="s">
        <v>686</v>
      </c>
      <c r="D7159" t="s">
        <v>3185</v>
      </c>
      <c r="E7159" t="s">
        <v>461</v>
      </c>
      <c r="F7159" t="s">
        <v>668</v>
      </c>
      <c r="G7159">
        <v>2010</v>
      </c>
      <c r="H7159" s="12">
        <v>42.35</v>
      </c>
      <c r="I7159" t="s">
        <v>3183</v>
      </c>
      <c r="J7159" t="s">
        <v>5</v>
      </c>
      <c r="K7159" t="s">
        <v>147</v>
      </c>
      <c r="L7159" t="s">
        <v>844</v>
      </c>
      <c r="M7159" t="s">
        <v>665</v>
      </c>
    </row>
    <row r="7160" spans="1:13">
      <c r="A7160" t="s">
        <v>851</v>
      </c>
      <c r="B7160" t="s">
        <v>686</v>
      </c>
      <c r="C7160" t="s">
        <v>686</v>
      </c>
      <c r="D7160" t="s">
        <v>3185</v>
      </c>
      <c r="E7160" t="s">
        <v>461</v>
      </c>
      <c r="F7160" t="s">
        <v>668</v>
      </c>
      <c r="G7160">
        <v>2015</v>
      </c>
      <c r="H7160" s="12">
        <v>75.27</v>
      </c>
      <c r="I7160" t="s">
        <v>3183</v>
      </c>
      <c r="J7160" t="s">
        <v>5</v>
      </c>
      <c r="K7160" t="s">
        <v>147</v>
      </c>
      <c r="L7160" t="s">
        <v>844</v>
      </c>
      <c r="M7160" t="s">
        <v>665</v>
      </c>
    </row>
    <row r="7161" spans="1:13">
      <c r="A7161" t="s">
        <v>851</v>
      </c>
      <c r="B7161" t="s">
        <v>686</v>
      </c>
      <c r="C7161" t="s">
        <v>686</v>
      </c>
      <c r="D7161" t="s">
        <v>3185</v>
      </c>
      <c r="E7161" t="s">
        <v>461</v>
      </c>
      <c r="F7161" t="s">
        <v>668</v>
      </c>
      <c r="G7161">
        <v>2020</v>
      </c>
      <c r="H7161" s="12">
        <v>60.8</v>
      </c>
      <c r="I7161" t="s">
        <v>3183</v>
      </c>
      <c r="J7161" t="s">
        <v>5</v>
      </c>
      <c r="K7161" t="s">
        <v>147</v>
      </c>
      <c r="L7161" t="s">
        <v>844</v>
      </c>
      <c r="M7161" t="s">
        <v>665</v>
      </c>
    </row>
    <row r="7162" spans="1:13">
      <c r="A7162" t="s">
        <v>851</v>
      </c>
      <c r="B7162" t="s">
        <v>686</v>
      </c>
      <c r="C7162" t="s">
        <v>686</v>
      </c>
      <c r="D7162" t="s">
        <v>3185</v>
      </c>
      <c r="E7162" t="s">
        <v>461</v>
      </c>
      <c r="F7162" t="s">
        <v>668</v>
      </c>
      <c r="G7162">
        <v>2030</v>
      </c>
      <c r="H7162" s="12">
        <v>33.26</v>
      </c>
      <c r="I7162" t="s">
        <v>3183</v>
      </c>
      <c r="J7162" t="s">
        <v>5</v>
      </c>
      <c r="K7162" t="s">
        <v>147</v>
      </c>
      <c r="L7162" t="s">
        <v>844</v>
      </c>
      <c r="M7162" t="s">
        <v>665</v>
      </c>
    </row>
    <row r="7163" spans="1:13">
      <c r="A7163" t="s">
        <v>851</v>
      </c>
      <c r="B7163" t="s">
        <v>686</v>
      </c>
      <c r="C7163" t="s">
        <v>686</v>
      </c>
      <c r="D7163" t="s">
        <v>3185</v>
      </c>
      <c r="E7163" t="s">
        <v>461</v>
      </c>
      <c r="F7163" t="s">
        <v>668</v>
      </c>
      <c r="G7163">
        <v>2035</v>
      </c>
      <c r="H7163" s="12">
        <v>26.3</v>
      </c>
      <c r="I7163" t="s">
        <v>3183</v>
      </c>
      <c r="J7163" t="s">
        <v>5</v>
      </c>
      <c r="K7163" t="s">
        <v>147</v>
      </c>
      <c r="L7163" t="s">
        <v>844</v>
      </c>
      <c r="M7163" t="s">
        <v>665</v>
      </c>
    </row>
    <row r="7164" spans="1:13">
      <c r="A7164" t="s">
        <v>851</v>
      </c>
      <c r="B7164" t="s">
        <v>686</v>
      </c>
      <c r="C7164" t="s">
        <v>686</v>
      </c>
      <c r="D7164" t="s">
        <v>3185</v>
      </c>
      <c r="E7164" t="s">
        <v>461</v>
      </c>
      <c r="F7164" t="s">
        <v>668</v>
      </c>
      <c r="G7164">
        <v>2040</v>
      </c>
      <c r="H7164" s="12">
        <v>23.95</v>
      </c>
      <c r="I7164" t="s">
        <v>3183</v>
      </c>
      <c r="J7164" t="s">
        <v>5</v>
      </c>
      <c r="K7164" t="s">
        <v>147</v>
      </c>
      <c r="L7164" t="s">
        <v>844</v>
      </c>
      <c r="M7164" t="s">
        <v>665</v>
      </c>
    </row>
    <row r="7165" spans="1:13">
      <c r="A7165" t="s">
        <v>851</v>
      </c>
      <c r="B7165" t="s">
        <v>686</v>
      </c>
      <c r="C7165" t="s">
        <v>686</v>
      </c>
      <c r="D7165" t="s">
        <v>3185</v>
      </c>
      <c r="E7165" t="s">
        <v>461</v>
      </c>
      <c r="F7165" t="s">
        <v>668</v>
      </c>
      <c r="G7165">
        <v>2045</v>
      </c>
      <c r="H7165" s="12">
        <v>22.19</v>
      </c>
      <c r="I7165" t="s">
        <v>3183</v>
      </c>
      <c r="J7165" t="s">
        <v>5</v>
      </c>
      <c r="K7165" t="s">
        <v>147</v>
      </c>
      <c r="L7165" t="s">
        <v>844</v>
      </c>
      <c r="M7165" t="s">
        <v>665</v>
      </c>
    </row>
    <row r="7166" spans="1:13">
      <c r="A7166" t="s">
        <v>851</v>
      </c>
      <c r="B7166" t="s">
        <v>686</v>
      </c>
      <c r="C7166" t="s">
        <v>686</v>
      </c>
      <c r="D7166" t="s">
        <v>3185</v>
      </c>
      <c r="E7166" t="s">
        <v>461</v>
      </c>
      <c r="F7166" t="s">
        <v>668</v>
      </c>
      <c r="G7166">
        <v>2050</v>
      </c>
      <c r="H7166" s="12">
        <v>20.97</v>
      </c>
      <c r="I7166" t="s">
        <v>3183</v>
      </c>
      <c r="J7166" t="s">
        <v>5</v>
      </c>
      <c r="K7166" t="s">
        <v>147</v>
      </c>
      <c r="L7166" t="s">
        <v>844</v>
      </c>
      <c r="M7166" t="s">
        <v>665</v>
      </c>
    </row>
    <row r="7167" spans="1:13">
      <c r="A7167" t="s">
        <v>851</v>
      </c>
      <c r="B7167" t="s">
        <v>687</v>
      </c>
      <c r="C7167" t="s">
        <v>687</v>
      </c>
      <c r="D7167" t="s">
        <v>3185</v>
      </c>
      <c r="E7167" t="s">
        <v>461</v>
      </c>
      <c r="F7167" t="s">
        <v>668</v>
      </c>
      <c r="G7167">
        <v>2030</v>
      </c>
      <c r="H7167" s="12">
        <v>7.96</v>
      </c>
      <c r="I7167" t="s">
        <v>3183</v>
      </c>
      <c r="J7167" t="s">
        <v>5</v>
      </c>
      <c r="K7167" t="s">
        <v>147</v>
      </c>
      <c r="L7167" t="s">
        <v>844</v>
      </c>
      <c r="M7167" t="s">
        <v>665</v>
      </c>
    </row>
    <row r="7168" spans="1:13">
      <c r="A7168" t="s">
        <v>851</v>
      </c>
      <c r="B7168" t="s">
        <v>687</v>
      </c>
      <c r="C7168" t="s">
        <v>687</v>
      </c>
      <c r="D7168" t="s">
        <v>3185</v>
      </c>
      <c r="E7168" t="s">
        <v>461</v>
      </c>
      <c r="F7168" t="s">
        <v>668</v>
      </c>
      <c r="G7168">
        <v>2035</v>
      </c>
      <c r="H7168" s="12">
        <v>4.45</v>
      </c>
      <c r="I7168" t="s">
        <v>3183</v>
      </c>
      <c r="J7168" t="s">
        <v>5</v>
      </c>
      <c r="K7168" t="s">
        <v>147</v>
      </c>
      <c r="L7168" t="s">
        <v>844</v>
      </c>
      <c r="M7168" t="s">
        <v>665</v>
      </c>
    </row>
    <row r="7169" spans="1:13">
      <c r="A7169" t="s">
        <v>851</v>
      </c>
      <c r="B7169" t="s">
        <v>687</v>
      </c>
      <c r="C7169" t="s">
        <v>687</v>
      </c>
      <c r="D7169" t="s">
        <v>3185</v>
      </c>
      <c r="E7169" t="s">
        <v>461</v>
      </c>
      <c r="F7169" t="s">
        <v>668</v>
      </c>
      <c r="G7169">
        <v>2040</v>
      </c>
      <c r="H7169" s="12">
        <v>2.61</v>
      </c>
      <c r="I7169" t="s">
        <v>3183</v>
      </c>
      <c r="J7169" t="s">
        <v>5</v>
      </c>
      <c r="K7169" t="s">
        <v>147</v>
      </c>
      <c r="L7169" t="s">
        <v>844</v>
      </c>
      <c r="M7169" t="s">
        <v>665</v>
      </c>
    </row>
    <row r="7170" spans="1:13">
      <c r="A7170" t="s">
        <v>851</v>
      </c>
      <c r="B7170" t="s">
        <v>687</v>
      </c>
      <c r="C7170" t="s">
        <v>687</v>
      </c>
      <c r="D7170" t="s">
        <v>3185</v>
      </c>
      <c r="E7170" t="s">
        <v>461</v>
      </c>
      <c r="F7170" t="s">
        <v>668</v>
      </c>
      <c r="G7170">
        <v>2045</v>
      </c>
      <c r="H7170" s="12">
        <v>1.83</v>
      </c>
      <c r="I7170" t="s">
        <v>3183</v>
      </c>
      <c r="J7170" t="s">
        <v>5</v>
      </c>
      <c r="K7170" t="s">
        <v>147</v>
      </c>
      <c r="L7170" t="s">
        <v>844</v>
      </c>
      <c r="M7170" t="s">
        <v>665</v>
      </c>
    </row>
    <row r="7171" spans="1:13">
      <c r="A7171" t="s">
        <v>851</v>
      </c>
      <c r="B7171" t="s">
        <v>687</v>
      </c>
      <c r="C7171" t="s">
        <v>687</v>
      </c>
      <c r="D7171" t="s">
        <v>3185</v>
      </c>
      <c r="E7171" t="s">
        <v>461</v>
      </c>
      <c r="F7171" t="s">
        <v>668</v>
      </c>
      <c r="G7171">
        <v>2050</v>
      </c>
      <c r="H7171" s="12">
        <v>1.45</v>
      </c>
      <c r="I7171" t="s">
        <v>3183</v>
      </c>
      <c r="J7171" t="s">
        <v>5</v>
      </c>
      <c r="K7171" t="s">
        <v>147</v>
      </c>
      <c r="L7171" t="s">
        <v>844</v>
      </c>
      <c r="M7171" t="s">
        <v>665</v>
      </c>
    </row>
    <row r="7172" spans="1:13">
      <c r="A7172" t="s">
        <v>851</v>
      </c>
      <c r="B7172" t="s">
        <v>686</v>
      </c>
      <c r="C7172" t="s">
        <v>686</v>
      </c>
      <c r="D7172" t="s">
        <v>3185</v>
      </c>
      <c r="E7172" t="s">
        <v>461</v>
      </c>
      <c r="F7172" t="s">
        <v>668</v>
      </c>
      <c r="G7172">
        <v>2010</v>
      </c>
      <c r="H7172" s="12">
        <v>178.09</v>
      </c>
      <c r="I7172" t="s">
        <v>3183</v>
      </c>
      <c r="J7172" t="s">
        <v>6</v>
      </c>
      <c r="K7172" t="s">
        <v>147</v>
      </c>
      <c r="L7172" t="s">
        <v>844</v>
      </c>
      <c r="M7172" t="s">
        <v>666</v>
      </c>
    </row>
    <row r="7173" spans="1:13">
      <c r="A7173" t="s">
        <v>851</v>
      </c>
      <c r="B7173" t="s">
        <v>686</v>
      </c>
      <c r="C7173" t="s">
        <v>686</v>
      </c>
      <c r="D7173" t="s">
        <v>3185</v>
      </c>
      <c r="E7173" t="s">
        <v>646</v>
      </c>
      <c r="F7173" t="s">
        <v>40</v>
      </c>
      <c r="G7173">
        <v>2010</v>
      </c>
      <c r="H7173" s="12">
        <v>556</v>
      </c>
      <c r="I7173" t="s">
        <v>3183</v>
      </c>
      <c r="J7173" t="s">
        <v>6</v>
      </c>
      <c r="K7173" t="s">
        <v>658</v>
      </c>
      <c r="L7173" t="s">
        <v>844</v>
      </c>
      <c r="M7173" t="s">
        <v>659</v>
      </c>
    </row>
    <row r="7174" spans="1:13">
      <c r="A7174" t="s">
        <v>851</v>
      </c>
      <c r="B7174" t="s">
        <v>686</v>
      </c>
      <c r="C7174" t="s">
        <v>686</v>
      </c>
      <c r="D7174" t="s">
        <v>3185</v>
      </c>
      <c r="E7174" t="s">
        <v>646</v>
      </c>
      <c r="F7174" t="s">
        <v>40</v>
      </c>
      <c r="G7174">
        <v>2015</v>
      </c>
      <c r="H7174" s="12">
        <v>653</v>
      </c>
      <c r="I7174" t="s">
        <v>3183</v>
      </c>
      <c r="J7174" t="s">
        <v>6</v>
      </c>
      <c r="K7174" t="s">
        <v>658</v>
      </c>
      <c r="L7174" t="s">
        <v>844</v>
      </c>
      <c r="M7174" t="s">
        <v>659</v>
      </c>
    </row>
    <row r="7175" spans="1:13">
      <c r="A7175" t="s">
        <v>851</v>
      </c>
      <c r="B7175" t="s">
        <v>686</v>
      </c>
      <c r="C7175" t="s">
        <v>686</v>
      </c>
      <c r="D7175" t="s">
        <v>3185</v>
      </c>
      <c r="E7175" t="s">
        <v>646</v>
      </c>
      <c r="F7175" t="s">
        <v>40</v>
      </c>
      <c r="G7175">
        <v>2020</v>
      </c>
      <c r="H7175" s="12">
        <v>566</v>
      </c>
      <c r="I7175" t="s">
        <v>3183</v>
      </c>
      <c r="J7175" t="s">
        <v>6</v>
      </c>
      <c r="K7175" t="s">
        <v>658</v>
      </c>
      <c r="L7175" t="s">
        <v>844</v>
      </c>
      <c r="M7175" t="s">
        <v>659</v>
      </c>
    </row>
    <row r="7176" spans="1:13">
      <c r="A7176" t="s">
        <v>851</v>
      </c>
      <c r="B7176" t="s">
        <v>686</v>
      </c>
      <c r="C7176" t="s">
        <v>686</v>
      </c>
      <c r="D7176" t="s">
        <v>3185</v>
      </c>
      <c r="E7176" t="s">
        <v>646</v>
      </c>
      <c r="F7176" t="s">
        <v>40</v>
      </c>
      <c r="G7176">
        <v>2030</v>
      </c>
      <c r="H7176" s="12">
        <v>656</v>
      </c>
      <c r="I7176" t="s">
        <v>3183</v>
      </c>
      <c r="J7176" t="s">
        <v>6</v>
      </c>
      <c r="K7176" t="s">
        <v>658</v>
      </c>
      <c r="L7176" t="s">
        <v>844</v>
      </c>
      <c r="M7176" t="s">
        <v>659</v>
      </c>
    </row>
    <row r="7177" spans="1:13">
      <c r="A7177" t="s">
        <v>851</v>
      </c>
      <c r="B7177" t="s">
        <v>686</v>
      </c>
      <c r="C7177" t="s">
        <v>686</v>
      </c>
      <c r="D7177" t="s">
        <v>3185</v>
      </c>
      <c r="E7177" t="s">
        <v>646</v>
      </c>
      <c r="F7177" t="s">
        <v>40</v>
      </c>
      <c r="G7177">
        <v>2035</v>
      </c>
      <c r="H7177" s="12">
        <v>683</v>
      </c>
      <c r="I7177" t="s">
        <v>3183</v>
      </c>
      <c r="J7177" t="s">
        <v>6</v>
      </c>
      <c r="K7177" t="s">
        <v>658</v>
      </c>
      <c r="L7177" t="s">
        <v>844</v>
      </c>
      <c r="M7177" t="s">
        <v>659</v>
      </c>
    </row>
    <row r="7178" spans="1:13">
      <c r="A7178" t="s">
        <v>851</v>
      </c>
      <c r="B7178" t="s">
        <v>686</v>
      </c>
      <c r="C7178" t="s">
        <v>686</v>
      </c>
      <c r="D7178" t="s">
        <v>3185</v>
      </c>
      <c r="E7178" t="s">
        <v>646</v>
      </c>
      <c r="F7178" t="s">
        <v>40</v>
      </c>
      <c r="G7178">
        <v>2040</v>
      </c>
      <c r="H7178" s="12">
        <v>715</v>
      </c>
      <c r="I7178" t="s">
        <v>3183</v>
      </c>
      <c r="J7178" t="s">
        <v>6</v>
      </c>
      <c r="K7178" t="s">
        <v>658</v>
      </c>
      <c r="L7178" t="s">
        <v>844</v>
      </c>
      <c r="M7178" t="s">
        <v>659</v>
      </c>
    </row>
    <row r="7179" spans="1:13">
      <c r="A7179" t="s">
        <v>851</v>
      </c>
      <c r="B7179" t="s">
        <v>686</v>
      </c>
      <c r="C7179" t="s">
        <v>686</v>
      </c>
      <c r="D7179" t="s">
        <v>3185</v>
      </c>
      <c r="E7179" t="s">
        <v>646</v>
      </c>
      <c r="F7179" t="s">
        <v>40</v>
      </c>
      <c r="G7179">
        <v>2045</v>
      </c>
      <c r="H7179" s="12">
        <v>749</v>
      </c>
      <c r="I7179" t="s">
        <v>3183</v>
      </c>
      <c r="J7179" t="s">
        <v>6</v>
      </c>
      <c r="K7179" t="s">
        <v>658</v>
      </c>
      <c r="L7179" t="s">
        <v>844</v>
      </c>
      <c r="M7179" t="s">
        <v>659</v>
      </c>
    </row>
    <row r="7180" spans="1:13">
      <c r="A7180" t="s">
        <v>851</v>
      </c>
      <c r="B7180" t="s">
        <v>686</v>
      </c>
      <c r="C7180" t="s">
        <v>686</v>
      </c>
      <c r="D7180" t="s">
        <v>3185</v>
      </c>
      <c r="E7180" t="s">
        <v>646</v>
      </c>
      <c r="F7180" t="s">
        <v>40</v>
      </c>
      <c r="G7180">
        <v>2050</v>
      </c>
      <c r="H7180" s="12">
        <v>777</v>
      </c>
      <c r="I7180" t="s">
        <v>3183</v>
      </c>
      <c r="J7180" t="s">
        <v>6</v>
      </c>
      <c r="K7180" t="s">
        <v>658</v>
      </c>
      <c r="L7180" t="s">
        <v>844</v>
      </c>
      <c r="M7180" t="s">
        <v>659</v>
      </c>
    </row>
    <row r="7181" spans="1:13">
      <c r="A7181" t="s">
        <v>851</v>
      </c>
      <c r="B7181" t="s">
        <v>687</v>
      </c>
      <c r="C7181" t="s">
        <v>687</v>
      </c>
      <c r="D7181" t="s">
        <v>3185</v>
      </c>
      <c r="E7181" t="s">
        <v>646</v>
      </c>
      <c r="F7181" t="s">
        <v>40</v>
      </c>
      <c r="G7181">
        <v>2030</v>
      </c>
      <c r="H7181" s="12">
        <v>485</v>
      </c>
      <c r="I7181" t="s">
        <v>3183</v>
      </c>
      <c r="J7181" t="s">
        <v>6</v>
      </c>
      <c r="K7181" t="s">
        <v>658</v>
      </c>
      <c r="L7181" t="s">
        <v>844</v>
      </c>
      <c r="M7181" t="s">
        <v>659</v>
      </c>
    </row>
    <row r="7182" spans="1:13">
      <c r="A7182" t="s">
        <v>851</v>
      </c>
      <c r="B7182" t="s">
        <v>687</v>
      </c>
      <c r="C7182" t="s">
        <v>687</v>
      </c>
      <c r="D7182" t="s">
        <v>3185</v>
      </c>
      <c r="E7182" t="s">
        <v>646</v>
      </c>
      <c r="F7182" t="s">
        <v>40</v>
      </c>
      <c r="G7182">
        <v>2035</v>
      </c>
      <c r="H7182" s="12">
        <v>389</v>
      </c>
      <c r="I7182" t="s">
        <v>3183</v>
      </c>
      <c r="J7182" t="s">
        <v>6</v>
      </c>
      <c r="K7182" t="s">
        <v>658</v>
      </c>
      <c r="L7182" t="s">
        <v>844</v>
      </c>
      <c r="M7182" t="s">
        <v>659</v>
      </c>
    </row>
    <row r="7183" spans="1:13">
      <c r="A7183" t="s">
        <v>851</v>
      </c>
      <c r="B7183" t="s">
        <v>687</v>
      </c>
      <c r="C7183" t="s">
        <v>687</v>
      </c>
      <c r="D7183" t="s">
        <v>3185</v>
      </c>
      <c r="E7183" t="s">
        <v>646</v>
      </c>
      <c r="F7183" t="s">
        <v>40</v>
      </c>
      <c r="G7183">
        <v>2040</v>
      </c>
      <c r="H7183" s="12">
        <v>306</v>
      </c>
      <c r="I7183" t="s">
        <v>3183</v>
      </c>
      <c r="J7183" t="s">
        <v>6</v>
      </c>
      <c r="K7183" t="s">
        <v>658</v>
      </c>
      <c r="L7183" t="s">
        <v>844</v>
      </c>
      <c r="M7183" t="s">
        <v>659</v>
      </c>
    </row>
    <row r="7184" spans="1:13">
      <c r="A7184" t="s">
        <v>851</v>
      </c>
      <c r="B7184" t="s">
        <v>687</v>
      </c>
      <c r="C7184" t="s">
        <v>687</v>
      </c>
      <c r="D7184" t="s">
        <v>3185</v>
      </c>
      <c r="E7184" t="s">
        <v>646</v>
      </c>
      <c r="F7184" t="s">
        <v>40</v>
      </c>
      <c r="G7184">
        <v>2045</v>
      </c>
      <c r="H7184" s="12">
        <v>250</v>
      </c>
      <c r="I7184" t="s">
        <v>3183</v>
      </c>
      <c r="J7184" t="s">
        <v>6</v>
      </c>
      <c r="K7184" t="s">
        <v>658</v>
      </c>
      <c r="L7184" t="s">
        <v>844</v>
      </c>
      <c r="M7184" t="s">
        <v>659</v>
      </c>
    </row>
    <row r="7185" spans="1:13">
      <c r="A7185" t="s">
        <v>851</v>
      </c>
      <c r="B7185" t="s">
        <v>687</v>
      </c>
      <c r="C7185" t="s">
        <v>687</v>
      </c>
      <c r="D7185" t="s">
        <v>3185</v>
      </c>
      <c r="E7185" t="s">
        <v>646</v>
      </c>
      <c r="F7185" t="s">
        <v>40</v>
      </c>
      <c r="G7185">
        <v>2050</v>
      </c>
      <c r="H7185" s="12">
        <v>203</v>
      </c>
      <c r="I7185" t="s">
        <v>3183</v>
      </c>
      <c r="J7185" t="s">
        <v>6</v>
      </c>
      <c r="K7185" t="s">
        <v>658</v>
      </c>
      <c r="L7185" t="s">
        <v>844</v>
      </c>
      <c r="M7185" t="s">
        <v>659</v>
      </c>
    </row>
    <row r="7186" spans="1:13">
      <c r="A7186" t="s">
        <v>851</v>
      </c>
      <c r="B7186" t="s">
        <v>686</v>
      </c>
      <c r="C7186" t="s">
        <v>686</v>
      </c>
      <c r="D7186" t="s">
        <v>3185</v>
      </c>
      <c r="E7186" t="s">
        <v>461</v>
      </c>
      <c r="F7186" t="s">
        <v>668</v>
      </c>
      <c r="G7186">
        <v>2010</v>
      </c>
      <c r="H7186" s="12">
        <v>0.06</v>
      </c>
      <c r="I7186" t="s">
        <v>3183</v>
      </c>
      <c r="J7186" t="s">
        <v>17</v>
      </c>
      <c r="K7186" t="s">
        <v>147</v>
      </c>
      <c r="L7186" t="s">
        <v>844</v>
      </c>
      <c r="M7186" t="s">
        <v>671</v>
      </c>
    </row>
    <row r="7187" spans="1:13">
      <c r="A7187" t="s">
        <v>851</v>
      </c>
      <c r="B7187" t="s">
        <v>686</v>
      </c>
      <c r="C7187" t="s">
        <v>686</v>
      </c>
      <c r="D7187" t="s">
        <v>3185</v>
      </c>
      <c r="E7187" t="s">
        <v>461</v>
      </c>
      <c r="F7187" t="s">
        <v>668</v>
      </c>
      <c r="G7187">
        <v>2015</v>
      </c>
      <c r="H7187" s="12">
        <v>2.4900000000000002</v>
      </c>
      <c r="I7187" t="s">
        <v>3183</v>
      </c>
      <c r="J7187" t="s">
        <v>17</v>
      </c>
      <c r="K7187" t="s">
        <v>147</v>
      </c>
      <c r="L7187" t="s">
        <v>844</v>
      </c>
      <c r="M7187" t="s">
        <v>671</v>
      </c>
    </row>
    <row r="7188" spans="1:13">
      <c r="A7188" t="s">
        <v>851</v>
      </c>
      <c r="B7188" t="s">
        <v>686</v>
      </c>
      <c r="C7188" t="s">
        <v>686</v>
      </c>
      <c r="D7188" t="s">
        <v>3185</v>
      </c>
      <c r="E7188" t="s">
        <v>461</v>
      </c>
      <c r="F7188" t="s">
        <v>668</v>
      </c>
      <c r="G7188">
        <v>2020</v>
      </c>
      <c r="H7188" s="12">
        <v>25.44</v>
      </c>
      <c r="I7188" t="s">
        <v>3183</v>
      </c>
      <c r="J7188" t="s">
        <v>17</v>
      </c>
      <c r="K7188" t="s">
        <v>147</v>
      </c>
      <c r="L7188" t="s">
        <v>844</v>
      </c>
      <c r="M7188" t="s">
        <v>671</v>
      </c>
    </row>
    <row r="7189" spans="1:13">
      <c r="A7189" t="s">
        <v>851</v>
      </c>
      <c r="B7189" t="s">
        <v>686</v>
      </c>
      <c r="C7189" t="s">
        <v>686</v>
      </c>
      <c r="D7189" t="s">
        <v>3185</v>
      </c>
      <c r="E7189" t="s">
        <v>461</v>
      </c>
      <c r="F7189" t="s">
        <v>668</v>
      </c>
      <c r="G7189">
        <v>2030</v>
      </c>
      <c r="H7189" s="12">
        <v>188.75</v>
      </c>
      <c r="I7189" t="s">
        <v>3183</v>
      </c>
      <c r="J7189" t="s">
        <v>17</v>
      </c>
      <c r="K7189" t="s">
        <v>147</v>
      </c>
      <c r="L7189" t="s">
        <v>844</v>
      </c>
      <c r="M7189" t="s">
        <v>671</v>
      </c>
    </row>
    <row r="7190" spans="1:13">
      <c r="A7190" t="s">
        <v>851</v>
      </c>
      <c r="B7190" t="s">
        <v>686</v>
      </c>
      <c r="C7190" t="s">
        <v>686</v>
      </c>
      <c r="D7190" t="s">
        <v>3185</v>
      </c>
      <c r="E7190" t="s">
        <v>461</v>
      </c>
      <c r="F7190" t="s">
        <v>668</v>
      </c>
      <c r="G7190">
        <v>2035</v>
      </c>
      <c r="H7190" s="12">
        <v>265.43</v>
      </c>
      <c r="I7190" t="s">
        <v>3183</v>
      </c>
      <c r="J7190" t="s">
        <v>17</v>
      </c>
      <c r="K7190" t="s">
        <v>147</v>
      </c>
      <c r="L7190" t="s">
        <v>844</v>
      </c>
      <c r="M7190" t="s">
        <v>671</v>
      </c>
    </row>
    <row r="7191" spans="1:13">
      <c r="A7191" t="s">
        <v>851</v>
      </c>
      <c r="B7191" t="s">
        <v>686</v>
      </c>
      <c r="C7191" t="s">
        <v>686</v>
      </c>
      <c r="D7191" t="s">
        <v>3185</v>
      </c>
      <c r="E7191" t="s">
        <v>461</v>
      </c>
      <c r="F7191" t="s">
        <v>668</v>
      </c>
      <c r="G7191">
        <v>2040</v>
      </c>
      <c r="H7191" s="12">
        <v>354.63</v>
      </c>
      <c r="I7191" t="s">
        <v>3183</v>
      </c>
      <c r="J7191" t="s">
        <v>17</v>
      </c>
      <c r="K7191" t="s">
        <v>147</v>
      </c>
      <c r="L7191" t="s">
        <v>844</v>
      </c>
      <c r="M7191" t="s">
        <v>671</v>
      </c>
    </row>
    <row r="7192" spans="1:13">
      <c r="A7192" t="s">
        <v>851</v>
      </c>
      <c r="B7192" t="s">
        <v>686</v>
      </c>
      <c r="C7192" t="s">
        <v>686</v>
      </c>
      <c r="D7192" t="s">
        <v>3185</v>
      </c>
      <c r="E7192" t="s">
        <v>461</v>
      </c>
      <c r="F7192" t="s">
        <v>668</v>
      </c>
      <c r="G7192">
        <v>2045</v>
      </c>
      <c r="H7192" s="12">
        <v>462.51</v>
      </c>
      <c r="I7192" t="s">
        <v>3183</v>
      </c>
      <c r="J7192" t="s">
        <v>17</v>
      </c>
      <c r="K7192" t="s">
        <v>147</v>
      </c>
      <c r="L7192" t="s">
        <v>844</v>
      </c>
      <c r="M7192" t="s">
        <v>671</v>
      </c>
    </row>
    <row r="7193" spans="1:13">
      <c r="A7193" t="s">
        <v>851</v>
      </c>
      <c r="B7193" t="s">
        <v>686</v>
      </c>
      <c r="C7193" t="s">
        <v>686</v>
      </c>
      <c r="D7193" t="s">
        <v>3185</v>
      </c>
      <c r="E7193" t="s">
        <v>461</v>
      </c>
      <c r="F7193" t="s">
        <v>668</v>
      </c>
      <c r="G7193">
        <v>2050</v>
      </c>
      <c r="H7193" s="12">
        <v>567.52</v>
      </c>
      <c r="I7193" t="s">
        <v>3183</v>
      </c>
      <c r="J7193" t="s">
        <v>17</v>
      </c>
      <c r="K7193" t="s">
        <v>147</v>
      </c>
      <c r="L7193" t="s">
        <v>844</v>
      </c>
      <c r="M7193" t="s">
        <v>671</v>
      </c>
    </row>
    <row r="7194" spans="1:13">
      <c r="A7194" t="s">
        <v>851</v>
      </c>
      <c r="B7194" t="s">
        <v>687</v>
      </c>
      <c r="C7194" t="s">
        <v>687</v>
      </c>
      <c r="D7194" t="s">
        <v>3185</v>
      </c>
      <c r="E7194" t="s">
        <v>461</v>
      </c>
      <c r="F7194" t="s">
        <v>668</v>
      </c>
      <c r="G7194">
        <v>2030</v>
      </c>
      <c r="H7194" s="12">
        <v>290.08</v>
      </c>
      <c r="I7194" t="s">
        <v>3183</v>
      </c>
      <c r="J7194" t="s">
        <v>17</v>
      </c>
      <c r="K7194" t="s">
        <v>147</v>
      </c>
      <c r="L7194" t="s">
        <v>844</v>
      </c>
      <c r="M7194" t="s">
        <v>671</v>
      </c>
    </row>
    <row r="7195" spans="1:13">
      <c r="A7195" t="s">
        <v>851</v>
      </c>
      <c r="B7195" t="s">
        <v>687</v>
      </c>
      <c r="C7195" t="s">
        <v>687</v>
      </c>
      <c r="D7195" t="s">
        <v>3185</v>
      </c>
      <c r="E7195" t="s">
        <v>461</v>
      </c>
      <c r="F7195" t="s">
        <v>668</v>
      </c>
      <c r="G7195">
        <v>2035</v>
      </c>
      <c r="H7195" s="12">
        <v>467.22</v>
      </c>
      <c r="I7195" t="s">
        <v>3183</v>
      </c>
      <c r="J7195" t="s">
        <v>17</v>
      </c>
      <c r="K7195" t="s">
        <v>147</v>
      </c>
      <c r="L7195" t="s">
        <v>844</v>
      </c>
      <c r="M7195" t="s">
        <v>671</v>
      </c>
    </row>
    <row r="7196" spans="1:13">
      <c r="A7196" t="s">
        <v>851</v>
      </c>
      <c r="B7196" t="s">
        <v>687</v>
      </c>
      <c r="C7196" t="s">
        <v>687</v>
      </c>
      <c r="D7196" t="s">
        <v>3185</v>
      </c>
      <c r="E7196" t="s">
        <v>461</v>
      </c>
      <c r="F7196" t="s">
        <v>668</v>
      </c>
      <c r="G7196">
        <v>2040</v>
      </c>
      <c r="H7196" s="12">
        <v>668.53</v>
      </c>
      <c r="I7196" t="s">
        <v>3183</v>
      </c>
      <c r="J7196" t="s">
        <v>17</v>
      </c>
      <c r="K7196" t="s">
        <v>147</v>
      </c>
      <c r="L7196" t="s">
        <v>844</v>
      </c>
      <c r="M7196" t="s">
        <v>671</v>
      </c>
    </row>
    <row r="7197" spans="1:13">
      <c r="A7197" t="s">
        <v>851</v>
      </c>
      <c r="B7197" t="s">
        <v>687</v>
      </c>
      <c r="C7197" t="s">
        <v>687</v>
      </c>
      <c r="D7197" t="s">
        <v>3185</v>
      </c>
      <c r="E7197" t="s">
        <v>461</v>
      </c>
      <c r="F7197" t="s">
        <v>668</v>
      </c>
      <c r="G7197">
        <v>2045</v>
      </c>
      <c r="H7197" s="12">
        <v>202.76</v>
      </c>
      <c r="I7197" t="s">
        <v>3183</v>
      </c>
      <c r="J7197" t="s">
        <v>41</v>
      </c>
      <c r="K7197" t="s">
        <v>147</v>
      </c>
      <c r="L7197" t="s">
        <v>844</v>
      </c>
      <c r="M7197" t="s">
        <v>669</v>
      </c>
    </row>
    <row r="7198" spans="1:13">
      <c r="A7198" t="s">
        <v>851</v>
      </c>
      <c r="B7198" t="s">
        <v>687</v>
      </c>
      <c r="C7198" t="s">
        <v>687</v>
      </c>
      <c r="D7198" t="s">
        <v>3185</v>
      </c>
      <c r="E7198" t="s">
        <v>461</v>
      </c>
      <c r="F7198" t="s">
        <v>668</v>
      </c>
      <c r="G7198">
        <v>2050</v>
      </c>
      <c r="H7198" s="12">
        <v>238.84</v>
      </c>
      <c r="I7198" t="s">
        <v>3183</v>
      </c>
      <c r="J7198" t="s">
        <v>41</v>
      </c>
      <c r="K7198" t="s">
        <v>147</v>
      </c>
      <c r="L7198" t="s">
        <v>844</v>
      </c>
      <c r="M7198" t="s">
        <v>669</v>
      </c>
    </row>
    <row r="7199" spans="1:13">
      <c r="A7199" t="s">
        <v>851</v>
      </c>
      <c r="B7199" t="s">
        <v>686</v>
      </c>
      <c r="C7199" t="s">
        <v>686</v>
      </c>
      <c r="D7199" t="s">
        <v>3185</v>
      </c>
      <c r="E7199" t="s">
        <v>461</v>
      </c>
      <c r="F7199" t="s">
        <v>668</v>
      </c>
      <c r="G7199">
        <v>2010</v>
      </c>
      <c r="H7199" s="12">
        <v>21.69</v>
      </c>
      <c r="I7199" t="s">
        <v>3183</v>
      </c>
      <c r="J7199" t="s">
        <v>15</v>
      </c>
      <c r="K7199" t="s">
        <v>147</v>
      </c>
      <c r="L7199" t="s">
        <v>844</v>
      </c>
      <c r="M7199" t="s">
        <v>15</v>
      </c>
    </row>
    <row r="7200" spans="1:13">
      <c r="A7200" t="s">
        <v>851</v>
      </c>
      <c r="B7200" t="s">
        <v>686</v>
      </c>
      <c r="C7200" t="s">
        <v>686</v>
      </c>
      <c r="D7200" t="s">
        <v>3185</v>
      </c>
      <c r="E7200" t="s">
        <v>461</v>
      </c>
      <c r="F7200" t="s">
        <v>668</v>
      </c>
      <c r="G7200">
        <v>2015</v>
      </c>
      <c r="H7200" s="12">
        <v>21.77</v>
      </c>
      <c r="I7200" t="s">
        <v>3183</v>
      </c>
      <c r="J7200" t="s">
        <v>15</v>
      </c>
      <c r="K7200" t="s">
        <v>147</v>
      </c>
      <c r="L7200" t="s">
        <v>844</v>
      </c>
      <c r="M7200" t="s">
        <v>15</v>
      </c>
    </row>
    <row r="7201" spans="1:13">
      <c r="A7201" t="s">
        <v>851</v>
      </c>
      <c r="B7201" t="s">
        <v>686</v>
      </c>
      <c r="C7201" t="s">
        <v>686</v>
      </c>
      <c r="D7201" t="s">
        <v>3185</v>
      </c>
      <c r="E7201" t="s">
        <v>461</v>
      </c>
      <c r="F7201" t="s">
        <v>668</v>
      </c>
      <c r="G7201">
        <v>2020</v>
      </c>
      <c r="H7201" s="12">
        <v>24.76</v>
      </c>
      <c r="I7201" t="s">
        <v>3183</v>
      </c>
      <c r="J7201" t="s">
        <v>15</v>
      </c>
      <c r="K7201" t="s">
        <v>147</v>
      </c>
      <c r="L7201" t="s">
        <v>844</v>
      </c>
      <c r="M7201" t="s">
        <v>15</v>
      </c>
    </row>
    <row r="7202" spans="1:13">
      <c r="A7202" t="s">
        <v>851</v>
      </c>
      <c r="B7202" t="s">
        <v>686</v>
      </c>
      <c r="C7202" t="s">
        <v>686</v>
      </c>
      <c r="D7202" t="s">
        <v>3185</v>
      </c>
      <c r="E7202" t="s">
        <v>461</v>
      </c>
      <c r="F7202" t="s">
        <v>668</v>
      </c>
      <c r="G7202">
        <v>2030</v>
      </c>
      <c r="H7202" s="12">
        <v>30.21</v>
      </c>
      <c r="I7202" t="s">
        <v>3183</v>
      </c>
      <c r="J7202" t="s">
        <v>15</v>
      </c>
      <c r="K7202" t="s">
        <v>147</v>
      </c>
      <c r="L7202" t="s">
        <v>844</v>
      </c>
      <c r="M7202" t="s">
        <v>15</v>
      </c>
    </row>
    <row r="7203" spans="1:13">
      <c r="A7203" t="s">
        <v>851</v>
      </c>
      <c r="B7203" t="s">
        <v>686</v>
      </c>
      <c r="C7203" t="s">
        <v>686</v>
      </c>
      <c r="D7203" t="s">
        <v>3185</v>
      </c>
      <c r="E7203" t="s">
        <v>461</v>
      </c>
      <c r="F7203" t="s">
        <v>668</v>
      </c>
      <c r="G7203">
        <v>2035</v>
      </c>
      <c r="H7203" s="12">
        <v>54.68</v>
      </c>
      <c r="I7203" t="s">
        <v>3183</v>
      </c>
      <c r="J7203" t="s">
        <v>15</v>
      </c>
      <c r="K7203" t="s">
        <v>147</v>
      </c>
      <c r="L7203" t="s">
        <v>844</v>
      </c>
      <c r="M7203" t="s">
        <v>15</v>
      </c>
    </row>
    <row r="7204" spans="1:13">
      <c r="A7204" t="s">
        <v>851</v>
      </c>
      <c r="B7204" t="s">
        <v>686</v>
      </c>
      <c r="C7204" t="s">
        <v>686</v>
      </c>
      <c r="D7204" t="s">
        <v>3185</v>
      </c>
      <c r="E7204" t="s">
        <v>461</v>
      </c>
      <c r="F7204" t="s">
        <v>668</v>
      </c>
      <c r="G7204">
        <v>2040</v>
      </c>
      <c r="H7204" s="12">
        <v>70.319999999999993</v>
      </c>
      <c r="I7204" t="s">
        <v>3183</v>
      </c>
      <c r="J7204" t="s">
        <v>15</v>
      </c>
      <c r="K7204" t="s">
        <v>147</v>
      </c>
      <c r="L7204" t="s">
        <v>844</v>
      </c>
      <c r="M7204" t="s">
        <v>15</v>
      </c>
    </row>
    <row r="7205" spans="1:13">
      <c r="A7205" t="s">
        <v>851</v>
      </c>
      <c r="B7205" t="s">
        <v>686</v>
      </c>
      <c r="C7205" t="s">
        <v>686</v>
      </c>
      <c r="D7205" t="s">
        <v>3185</v>
      </c>
      <c r="E7205" t="s">
        <v>646</v>
      </c>
      <c r="F7205" t="s">
        <v>40</v>
      </c>
      <c r="G7205">
        <v>2010</v>
      </c>
      <c r="H7205" s="12">
        <v>22</v>
      </c>
      <c r="I7205" t="s">
        <v>3183</v>
      </c>
      <c r="J7205" t="s">
        <v>344</v>
      </c>
      <c r="K7205" t="s">
        <v>11</v>
      </c>
      <c r="L7205" t="s">
        <v>844</v>
      </c>
      <c r="M7205" t="s">
        <v>10</v>
      </c>
    </row>
    <row r="7206" spans="1:13">
      <c r="A7206" t="s">
        <v>851</v>
      </c>
      <c r="B7206" t="s">
        <v>686</v>
      </c>
      <c r="C7206" t="s">
        <v>686</v>
      </c>
      <c r="D7206" t="s">
        <v>3185</v>
      </c>
      <c r="E7206" t="s">
        <v>646</v>
      </c>
      <c r="F7206" t="s">
        <v>40</v>
      </c>
      <c r="G7206">
        <v>2015</v>
      </c>
      <c r="H7206" s="12">
        <v>18</v>
      </c>
      <c r="I7206" t="s">
        <v>3183</v>
      </c>
      <c r="J7206" t="s">
        <v>344</v>
      </c>
      <c r="K7206" t="s">
        <v>11</v>
      </c>
      <c r="L7206" t="s">
        <v>844</v>
      </c>
      <c r="M7206" t="s">
        <v>10</v>
      </c>
    </row>
    <row r="7207" spans="1:13">
      <c r="A7207" t="s">
        <v>851</v>
      </c>
      <c r="B7207" t="s">
        <v>686</v>
      </c>
      <c r="C7207" t="s">
        <v>686</v>
      </c>
      <c r="D7207" t="s">
        <v>3185</v>
      </c>
      <c r="E7207" t="s">
        <v>646</v>
      </c>
      <c r="F7207" t="s">
        <v>40</v>
      </c>
      <c r="G7207">
        <v>2020</v>
      </c>
      <c r="H7207" s="12">
        <v>18</v>
      </c>
      <c r="I7207" t="s">
        <v>3183</v>
      </c>
      <c r="J7207" t="s">
        <v>344</v>
      </c>
      <c r="K7207" t="s">
        <v>11</v>
      </c>
      <c r="L7207" t="s">
        <v>844</v>
      </c>
      <c r="M7207" t="s">
        <v>10</v>
      </c>
    </row>
    <row r="7208" spans="1:13">
      <c r="A7208" t="s">
        <v>851</v>
      </c>
      <c r="B7208" t="s">
        <v>686</v>
      </c>
      <c r="C7208" t="s">
        <v>686</v>
      </c>
      <c r="D7208" t="s">
        <v>3185</v>
      </c>
      <c r="E7208" t="s">
        <v>646</v>
      </c>
      <c r="F7208" t="s">
        <v>40</v>
      </c>
      <c r="G7208">
        <v>2030</v>
      </c>
      <c r="H7208" s="12">
        <v>53</v>
      </c>
      <c r="I7208" t="s">
        <v>3183</v>
      </c>
      <c r="J7208" t="s">
        <v>344</v>
      </c>
      <c r="K7208" t="s">
        <v>11</v>
      </c>
      <c r="L7208" t="s">
        <v>844</v>
      </c>
      <c r="M7208" t="s">
        <v>10</v>
      </c>
    </row>
    <row r="7209" spans="1:13">
      <c r="A7209" t="s">
        <v>851</v>
      </c>
      <c r="B7209" t="s">
        <v>686</v>
      </c>
      <c r="C7209" t="s">
        <v>686</v>
      </c>
      <c r="D7209" t="s">
        <v>3185</v>
      </c>
      <c r="E7209" t="s">
        <v>646</v>
      </c>
      <c r="F7209" t="s">
        <v>40</v>
      </c>
      <c r="G7209">
        <v>2035</v>
      </c>
      <c r="H7209" s="12">
        <v>110</v>
      </c>
      <c r="I7209" t="s">
        <v>3183</v>
      </c>
      <c r="J7209" t="s">
        <v>344</v>
      </c>
      <c r="K7209" t="s">
        <v>11</v>
      </c>
      <c r="L7209" t="s">
        <v>844</v>
      </c>
      <c r="M7209" t="s">
        <v>10</v>
      </c>
    </row>
    <row r="7210" spans="1:13">
      <c r="A7210" t="s">
        <v>851</v>
      </c>
      <c r="B7210" t="s">
        <v>686</v>
      </c>
      <c r="C7210" t="s">
        <v>686</v>
      </c>
      <c r="D7210" t="s">
        <v>3185</v>
      </c>
      <c r="E7210" t="s">
        <v>646</v>
      </c>
      <c r="F7210" t="s">
        <v>40</v>
      </c>
      <c r="G7210">
        <v>2040</v>
      </c>
      <c r="H7210" s="12">
        <v>184</v>
      </c>
      <c r="I7210" t="s">
        <v>3183</v>
      </c>
      <c r="J7210" t="s">
        <v>344</v>
      </c>
      <c r="K7210" t="s">
        <v>11</v>
      </c>
      <c r="L7210" t="s">
        <v>844</v>
      </c>
      <c r="M7210" t="s">
        <v>10</v>
      </c>
    </row>
    <row r="7211" spans="1:13">
      <c r="A7211" t="s">
        <v>851</v>
      </c>
      <c r="B7211" t="s">
        <v>686</v>
      </c>
      <c r="C7211" t="s">
        <v>686</v>
      </c>
      <c r="D7211" t="s">
        <v>3185</v>
      </c>
      <c r="E7211" t="s">
        <v>646</v>
      </c>
      <c r="F7211" t="s">
        <v>40</v>
      </c>
      <c r="G7211">
        <v>2045</v>
      </c>
      <c r="H7211" s="12">
        <v>295</v>
      </c>
      <c r="I7211" t="s">
        <v>3183</v>
      </c>
      <c r="J7211" t="s">
        <v>344</v>
      </c>
      <c r="K7211" t="s">
        <v>11</v>
      </c>
      <c r="L7211" t="s">
        <v>844</v>
      </c>
      <c r="M7211" t="s">
        <v>10</v>
      </c>
    </row>
    <row r="7212" spans="1:13">
      <c r="A7212" t="s">
        <v>851</v>
      </c>
      <c r="B7212" t="s">
        <v>686</v>
      </c>
      <c r="C7212" t="s">
        <v>686</v>
      </c>
      <c r="D7212" t="s">
        <v>3185</v>
      </c>
      <c r="E7212" t="s">
        <v>646</v>
      </c>
      <c r="F7212" t="s">
        <v>40</v>
      </c>
      <c r="G7212">
        <v>2050</v>
      </c>
      <c r="H7212" s="12">
        <v>443</v>
      </c>
      <c r="I7212" t="s">
        <v>3183</v>
      </c>
      <c r="J7212" t="s">
        <v>344</v>
      </c>
      <c r="K7212" t="s">
        <v>11</v>
      </c>
      <c r="L7212" t="s">
        <v>844</v>
      </c>
      <c r="M7212" t="s">
        <v>10</v>
      </c>
    </row>
    <row r="7213" spans="1:13">
      <c r="A7213" t="s">
        <v>851</v>
      </c>
      <c r="B7213" t="s">
        <v>687</v>
      </c>
      <c r="C7213" t="s">
        <v>687</v>
      </c>
      <c r="D7213" t="s">
        <v>3185</v>
      </c>
      <c r="E7213" t="s">
        <v>646</v>
      </c>
      <c r="F7213" t="s">
        <v>40</v>
      </c>
      <c r="G7213">
        <v>2030</v>
      </c>
      <c r="H7213" s="12">
        <v>150</v>
      </c>
      <c r="I7213" t="s">
        <v>3183</v>
      </c>
      <c r="J7213" t="s">
        <v>344</v>
      </c>
      <c r="K7213" t="s">
        <v>11</v>
      </c>
      <c r="L7213" t="s">
        <v>844</v>
      </c>
      <c r="M7213" t="s">
        <v>10</v>
      </c>
    </row>
    <row r="7214" spans="1:13">
      <c r="A7214" t="s">
        <v>851</v>
      </c>
      <c r="B7214" t="s">
        <v>687</v>
      </c>
      <c r="C7214" t="s">
        <v>687</v>
      </c>
      <c r="D7214" t="s">
        <v>3185</v>
      </c>
      <c r="E7214" t="s">
        <v>646</v>
      </c>
      <c r="F7214" t="s">
        <v>40</v>
      </c>
      <c r="G7214">
        <v>2035</v>
      </c>
      <c r="H7214" s="12">
        <v>475</v>
      </c>
      <c r="I7214" t="s">
        <v>3183</v>
      </c>
      <c r="J7214" t="s">
        <v>344</v>
      </c>
      <c r="K7214" t="s">
        <v>11</v>
      </c>
      <c r="L7214" t="s">
        <v>844</v>
      </c>
      <c r="M7214" t="s">
        <v>10</v>
      </c>
    </row>
    <row r="7215" spans="1:13">
      <c r="A7215" t="s">
        <v>851</v>
      </c>
      <c r="B7215" t="s">
        <v>687</v>
      </c>
      <c r="C7215" t="s">
        <v>687</v>
      </c>
      <c r="D7215" t="s">
        <v>3185</v>
      </c>
      <c r="E7215" t="s">
        <v>646</v>
      </c>
      <c r="F7215" t="s">
        <v>40</v>
      </c>
      <c r="G7215">
        <v>2040</v>
      </c>
      <c r="H7215" s="12">
        <v>973</v>
      </c>
      <c r="I7215" t="s">
        <v>3183</v>
      </c>
      <c r="J7215" t="s">
        <v>344</v>
      </c>
      <c r="K7215" t="s">
        <v>11</v>
      </c>
      <c r="L7215" t="s">
        <v>844</v>
      </c>
      <c r="M7215" t="s">
        <v>10</v>
      </c>
    </row>
    <row r="7216" spans="1:13">
      <c r="A7216" t="s">
        <v>851</v>
      </c>
      <c r="B7216" t="s">
        <v>687</v>
      </c>
      <c r="C7216" t="s">
        <v>687</v>
      </c>
      <c r="D7216" t="s">
        <v>3185</v>
      </c>
      <c r="E7216" t="s">
        <v>646</v>
      </c>
      <c r="F7216" t="s">
        <v>40</v>
      </c>
      <c r="G7216">
        <v>2045</v>
      </c>
      <c r="H7216" s="12">
        <v>1583</v>
      </c>
      <c r="I7216" t="s">
        <v>3183</v>
      </c>
      <c r="J7216" t="s">
        <v>344</v>
      </c>
      <c r="K7216" t="s">
        <v>11</v>
      </c>
      <c r="L7216" t="s">
        <v>844</v>
      </c>
      <c r="M7216" t="s">
        <v>10</v>
      </c>
    </row>
    <row r="7217" spans="1:13">
      <c r="A7217" t="s">
        <v>851</v>
      </c>
      <c r="B7217" t="s">
        <v>687</v>
      </c>
      <c r="C7217" t="s">
        <v>687</v>
      </c>
      <c r="D7217" t="s">
        <v>3185</v>
      </c>
      <c r="E7217" t="s">
        <v>646</v>
      </c>
      <c r="F7217" t="s">
        <v>40</v>
      </c>
      <c r="G7217">
        <v>2050</v>
      </c>
      <c r="H7217" s="12">
        <v>2108</v>
      </c>
      <c r="I7217" t="s">
        <v>3183</v>
      </c>
      <c r="J7217" t="s">
        <v>344</v>
      </c>
      <c r="K7217" t="s">
        <v>11</v>
      </c>
      <c r="L7217" t="s">
        <v>844</v>
      </c>
      <c r="M7217" t="s">
        <v>10</v>
      </c>
    </row>
    <row r="7218" spans="1:13">
      <c r="A7218" t="s">
        <v>851</v>
      </c>
      <c r="B7218" t="s">
        <v>686</v>
      </c>
      <c r="C7218" t="s">
        <v>686</v>
      </c>
      <c r="D7218" t="s">
        <v>3185</v>
      </c>
      <c r="E7218" t="s">
        <v>646</v>
      </c>
      <c r="F7218" t="s">
        <v>40</v>
      </c>
      <c r="G7218">
        <v>2010</v>
      </c>
      <c r="H7218" s="12">
        <v>288</v>
      </c>
      <c r="I7218" t="s">
        <v>3183</v>
      </c>
      <c r="J7218" t="s">
        <v>6</v>
      </c>
      <c r="K7218" t="s">
        <v>11</v>
      </c>
      <c r="L7218" t="s">
        <v>844</v>
      </c>
      <c r="M7218" t="s">
        <v>659</v>
      </c>
    </row>
    <row r="7219" spans="1:13">
      <c r="A7219" t="s">
        <v>851</v>
      </c>
      <c r="B7219" t="s">
        <v>686</v>
      </c>
      <c r="C7219" t="s">
        <v>686</v>
      </c>
      <c r="D7219" t="s">
        <v>3185</v>
      </c>
      <c r="E7219" t="s">
        <v>646</v>
      </c>
      <c r="F7219" t="s">
        <v>40</v>
      </c>
      <c r="G7219">
        <v>2015</v>
      </c>
      <c r="H7219" s="12">
        <v>321</v>
      </c>
      <c r="I7219" t="s">
        <v>3183</v>
      </c>
      <c r="J7219" t="s">
        <v>6</v>
      </c>
      <c r="K7219" t="s">
        <v>11</v>
      </c>
      <c r="L7219" t="s">
        <v>844</v>
      </c>
      <c r="M7219" t="s">
        <v>659</v>
      </c>
    </row>
    <row r="7220" spans="1:13">
      <c r="A7220" t="s">
        <v>851</v>
      </c>
      <c r="B7220" t="s">
        <v>686</v>
      </c>
      <c r="C7220" t="s">
        <v>686</v>
      </c>
      <c r="D7220" t="s">
        <v>3185</v>
      </c>
      <c r="E7220" t="s">
        <v>646</v>
      </c>
      <c r="F7220" t="s">
        <v>40</v>
      </c>
      <c r="G7220">
        <v>2020</v>
      </c>
      <c r="H7220" s="12">
        <v>280</v>
      </c>
      <c r="I7220" t="s">
        <v>3183</v>
      </c>
      <c r="J7220" t="s">
        <v>6</v>
      </c>
      <c r="K7220" t="s">
        <v>11</v>
      </c>
      <c r="L7220" t="s">
        <v>844</v>
      </c>
      <c r="M7220" t="s">
        <v>659</v>
      </c>
    </row>
    <row r="7221" spans="1:13">
      <c r="A7221" t="s">
        <v>851</v>
      </c>
      <c r="B7221" t="s">
        <v>686</v>
      </c>
      <c r="C7221" t="s">
        <v>686</v>
      </c>
      <c r="D7221" t="s">
        <v>3185</v>
      </c>
      <c r="E7221" t="s">
        <v>646</v>
      </c>
      <c r="F7221" t="s">
        <v>40</v>
      </c>
      <c r="G7221">
        <v>2030</v>
      </c>
      <c r="H7221" s="12">
        <v>315</v>
      </c>
      <c r="I7221" t="s">
        <v>3183</v>
      </c>
      <c r="J7221" t="s">
        <v>6</v>
      </c>
      <c r="K7221" t="s">
        <v>11</v>
      </c>
      <c r="L7221" t="s">
        <v>844</v>
      </c>
      <c r="M7221" t="s">
        <v>659</v>
      </c>
    </row>
    <row r="7222" spans="1:13">
      <c r="A7222" t="s">
        <v>851</v>
      </c>
      <c r="B7222" t="s">
        <v>686</v>
      </c>
      <c r="C7222" t="s">
        <v>686</v>
      </c>
      <c r="D7222" t="s">
        <v>3185</v>
      </c>
      <c r="E7222" t="s">
        <v>646</v>
      </c>
      <c r="F7222" t="s">
        <v>40</v>
      </c>
      <c r="G7222">
        <v>2035</v>
      </c>
      <c r="H7222" s="12">
        <v>318</v>
      </c>
      <c r="I7222" t="s">
        <v>3183</v>
      </c>
      <c r="J7222" t="s">
        <v>6</v>
      </c>
      <c r="K7222" t="s">
        <v>11</v>
      </c>
      <c r="L7222" t="s">
        <v>844</v>
      </c>
      <c r="M7222" t="s">
        <v>659</v>
      </c>
    </row>
    <row r="7223" spans="1:13">
      <c r="A7223" t="s">
        <v>851</v>
      </c>
      <c r="B7223" t="s">
        <v>686</v>
      </c>
      <c r="C7223" t="s">
        <v>686</v>
      </c>
      <c r="D7223" t="s">
        <v>3185</v>
      </c>
      <c r="E7223" t="s">
        <v>646</v>
      </c>
      <c r="F7223" t="s">
        <v>40</v>
      </c>
      <c r="G7223">
        <v>2040</v>
      </c>
      <c r="H7223" s="12">
        <v>315</v>
      </c>
      <c r="I7223" t="s">
        <v>3183</v>
      </c>
      <c r="J7223" t="s">
        <v>6</v>
      </c>
      <c r="K7223" t="s">
        <v>11</v>
      </c>
      <c r="L7223" t="s">
        <v>844</v>
      </c>
      <c r="M7223" t="s">
        <v>659</v>
      </c>
    </row>
    <row r="7224" spans="1:13">
      <c r="A7224" t="s">
        <v>851</v>
      </c>
      <c r="B7224" t="s">
        <v>686</v>
      </c>
      <c r="C7224" t="s">
        <v>686</v>
      </c>
      <c r="D7224" t="s">
        <v>3185</v>
      </c>
      <c r="E7224" t="s">
        <v>646</v>
      </c>
      <c r="F7224" t="s">
        <v>40</v>
      </c>
      <c r="G7224">
        <v>2045</v>
      </c>
      <c r="H7224" s="12">
        <v>309</v>
      </c>
      <c r="I7224" t="s">
        <v>3183</v>
      </c>
      <c r="J7224" t="s">
        <v>6</v>
      </c>
      <c r="K7224" t="s">
        <v>11</v>
      </c>
      <c r="L7224" t="s">
        <v>844</v>
      </c>
      <c r="M7224" t="s">
        <v>659</v>
      </c>
    </row>
    <row r="7225" spans="1:13">
      <c r="A7225" t="s">
        <v>851</v>
      </c>
      <c r="B7225" t="s">
        <v>686</v>
      </c>
      <c r="C7225" t="s">
        <v>686</v>
      </c>
      <c r="D7225" t="s">
        <v>3185</v>
      </c>
      <c r="E7225" t="s">
        <v>646</v>
      </c>
      <c r="F7225" t="s">
        <v>40</v>
      </c>
      <c r="G7225">
        <v>2050</v>
      </c>
      <c r="H7225" s="12">
        <v>288</v>
      </c>
      <c r="I7225" t="s">
        <v>3183</v>
      </c>
      <c r="J7225" t="s">
        <v>6</v>
      </c>
      <c r="K7225" t="s">
        <v>11</v>
      </c>
      <c r="L7225" t="s">
        <v>844</v>
      </c>
      <c r="M7225" t="s">
        <v>659</v>
      </c>
    </row>
    <row r="7226" spans="1:13">
      <c r="A7226" t="s">
        <v>851</v>
      </c>
      <c r="B7226" t="s">
        <v>687</v>
      </c>
      <c r="C7226" t="s">
        <v>687</v>
      </c>
      <c r="D7226" t="s">
        <v>3185</v>
      </c>
      <c r="E7226" t="s">
        <v>646</v>
      </c>
      <c r="F7226" t="s">
        <v>40</v>
      </c>
      <c r="G7226">
        <v>2030</v>
      </c>
      <c r="H7226" s="12">
        <v>225</v>
      </c>
      <c r="I7226" t="s">
        <v>3183</v>
      </c>
      <c r="J7226" t="s">
        <v>6</v>
      </c>
      <c r="K7226" t="s">
        <v>11</v>
      </c>
      <c r="L7226" t="s">
        <v>844</v>
      </c>
      <c r="M7226" t="s">
        <v>659</v>
      </c>
    </row>
    <row r="7227" spans="1:13">
      <c r="A7227" t="s">
        <v>851</v>
      </c>
      <c r="B7227" t="s">
        <v>687</v>
      </c>
      <c r="C7227" t="s">
        <v>687</v>
      </c>
      <c r="D7227" t="s">
        <v>3185</v>
      </c>
      <c r="E7227" t="s">
        <v>646</v>
      </c>
      <c r="F7227" t="s">
        <v>40</v>
      </c>
      <c r="G7227">
        <v>2035</v>
      </c>
      <c r="H7227" s="12">
        <v>185</v>
      </c>
      <c r="I7227" t="s">
        <v>3183</v>
      </c>
      <c r="J7227" t="s">
        <v>6</v>
      </c>
      <c r="K7227" t="s">
        <v>11</v>
      </c>
      <c r="L7227" t="s">
        <v>844</v>
      </c>
      <c r="M7227" t="s">
        <v>659</v>
      </c>
    </row>
    <row r="7228" spans="1:13">
      <c r="A7228" t="s">
        <v>851</v>
      </c>
      <c r="B7228" t="s">
        <v>687</v>
      </c>
      <c r="C7228" t="s">
        <v>687</v>
      </c>
      <c r="D7228" t="s">
        <v>3185</v>
      </c>
      <c r="E7228" t="s">
        <v>646</v>
      </c>
      <c r="F7228" t="s">
        <v>40</v>
      </c>
      <c r="G7228">
        <v>2040</v>
      </c>
      <c r="H7228" s="12">
        <v>158</v>
      </c>
      <c r="I7228" t="s">
        <v>3183</v>
      </c>
      <c r="J7228" t="s">
        <v>6</v>
      </c>
      <c r="K7228" t="s">
        <v>11</v>
      </c>
      <c r="L7228" t="s">
        <v>844</v>
      </c>
      <c r="M7228" t="s">
        <v>659</v>
      </c>
    </row>
    <row r="7229" spans="1:13">
      <c r="A7229" t="s">
        <v>851</v>
      </c>
      <c r="B7229" t="s">
        <v>687</v>
      </c>
      <c r="C7229" t="s">
        <v>687</v>
      </c>
      <c r="D7229" t="s">
        <v>3185</v>
      </c>
      <c r="E7229" t="s">
        <v>646</v>
      </c>
      <c r="F7229" t="s">
        <v>40</v>
      </c>
      <c r="G7229">
        <v>2045</v>
      </c>
      <c r="H7229" s="12">
        <v>137</v>
      </c>
      <c r="I7229" t="s">
        <v>3183</v>
      </c>
      <c r="J7229" t="s">
        <v>6</v>
      </c>
      <c r="K7229" t="s">
        <v>11</v>
      </c>
      <c r="L7229" t="s">
        <v>844</v>
      </c>
      <c r="M7229" t="s">
        <v>659</v>
      </c>
    </row>
    <row r="7230" spans="1:13">
      <c r="A7230" t="s">
        <v>851</v>
      </c>
      <c r="B7230" t="s">
        <v>687</v>
      </c>
      <c r="C7230" t="s">
        <v>687</v>
      </c>
      <c r="D7230" t="s">
        <v>3185</v>
      </c>
      <c r="E7230" t="s">
        <v>646</v>
      </c>
      <c r="F7230" t="s">
        <v>40</v>
      </c>
      <c r="G7230">
        <v>2050</v>
      </c>
      <c r="H7230" s="12">
        <v>124</v>
      </c>
      <c r="I7230" t="s">
        <v>3183</v>
      </c>
      <c r="J7230" t="s">
        <v>6</v>
      </c>
      <c r="K7230" t="s">
        <v>11</v>
      </c>
      <c r="L7230" t="s">
        <v>844</v>
      </c>
      <c r="M7230" t="s">
        <v>659</v>
      </c>
    </row>
    <row r="7231" spans="1:13">
      <c r="A7231" t="s">
        <v>851</v>
      </c>
      <c r="B7231" t="s">
        <v>686</v>
      </c>
      <c r="C7231" t="s">
        <v>686</v>
      </c>
      <c r="D7231" t="s">
        <v>3185</v>
      </c>
      <c r="E7231" t="s">
        <v>646</v>
      </c>
      <c r="F7231" t="s">
        <v>40</v>
      </c>
      <c r="G7231">
        <v>2010</v>
      </c>
      <c r="H7231" s="12">
        <v>1736</v>
      </c>
      <c r="I7231" t="s">
        <v>3183</v>
      </c>
      <c r="J7231" t="s">
        <v>344</v>
      </c>
      <c r="K7231" t="s">
        <v>658</v>
      </c>
      <c r="L7231" t="s">
        <v>844</v>
      </c>
      <c r="M7231" t="s">
        <v>10</v>
      </c>
    </row>
    <row r="7232" spans="1:13">
      <c r="A7232" t="s">
        <v>851</v>
      </c>
      <c r="B7232" t="s">
        <v>686</v>
      </c>
      <c r="C7232" t="s">
        <v>686</v>
      </c>
      <c r="D7232" t="s">
        <v>3185</v>
      </c>
      <c r="E7232" t="s">
        <v>646</v>
      </c>
      <c r="F7232" t="s">
        <v>40</v>
      </c>
      <c r="G7232">
        <v>2015</v>
      </c>
      <c r="H7232" s="12">
        <v>2132</v>
      </c>
      <c r="I7232" t="s">
        <v>3183</v>
      </c>
      <c r="J7232" t="s">
        <v>344</v>
      </c>
      <c r="K7232" t="s">
        <v>658</v>
      </c>
      <c r="L7232" t="s">
        <v>844</v>
      </c>
      <c r="M7232" t="s">
        <v>10</v>
      </c>
    </row>
    <row r="7233" spans="1:13">
      <c r="A7233" t="s">
        <v>851</v>
      </c>
      <c r="B7233" t="s">
        <v>686</v>
      </c>
      <c r="C7233" t="s">
        <v>686</v>
      </c>
      <c r="D7233" t="s">
        <v>3185</v>
      </c>
      <c r="E7233" t="s">
        <v>646</v>
      </c>
      <c r="F7233" t="s">
        <v>40</v>
      </c>
      <c r="G7233">
        <v>2020</v>
      </c>
      <c r="H7233" s="12">
        <v>2082</v>
      </c>
      <c r="I7233" t="s">
        <v>3183</v>
      </c>
      <c r="J7233" t="s">
        <v>344</v>
      </c>
      <c r="K7233" t="s">
        <v>658</v>
      </c>
      <c r="L7233" t="s">
        <v>844</v>
      </c>
      <c r="M7233" t="s">
        <v>10</v>
      </c>
    </row>
    <row r="7234" spans="1:13">
      <c r="A7234" t="s">
        <v>851</v>
      </c>
      <c r="B7234" t="s">
        <v>686</v>
      </c>
      <c r="C7234" t="s">
        <v>686</v>
      </c>
      <c r="D7234" t="s">
        <v>3185</v>
      </c>
      <c r="E7234" t="s">
        <v>646</v>
      </c>
      <c r="F7234" t="s">
        <v>40</v>
      </c>
      <c r="G7234">
        <v>2030</v>
      </c>
      <c r="H7234" s="12">
        <v>2576</v>
      </c>
      <c r="I7234" t="s">
        <v>3183</v>
      </c>
      <c r="J7234" t="s">
        <v>344</v>
      </c>
      <c r="K7234" t="s">
        <v>658</v>
      </c>
      <c r="L7234" t="s">
        <v>844</v>
      </c>
      <c r="M7234" t="s">
        <v>10</v>
      </c>
    </row>
    <row r="7235" spans="1:13">
      <c r="A7235" t="s">
        <v>851</v>
      </c>
      <c r="B7235" t="s">
        <v>686</v>
      </c>
      <c r="C7235" t="s">
        <v>686</v>
      </c>
      <c r="D7235" t="s">
        <v>3185</v>
      </c>
      <c r="E7235" t="s">
        <v>646</v>
      </c>
      <c r="F7235" t="s">
        <v>40</v>
      </c>
      <c r="G7235">
        <v>2035</v>
      </c>
      <c r="H7235" s="12">
        <v>2935</v>
      </c>
      <c r="I7235" t="s">
        <v>3183</v>
      </c>
      <c r="J7235" t="s">
        <v>344</v>
      </c>
      <c r="K7235" t="s">
        <v>658</v>
      </c>
      <c r="L7235" t="s">
        <v>844</v>
      </c>
      <c r="M7235" t="s">
        <v>10</v>
      </c>
    </row>
    <row r="7236" spans="1:13">
      <c r="A7236" t="s">
        <v>851</v>
      </c>
      <c r="B7236" t="s">
        <v>686</v>
      </c>
      <c r="C7236" t="s">
        <v>686</v>
      </c>
      <c r="D7236" t="s">
        <v>3185</v>
      </c>
      <c r="E7236" t="s">
        <v>646</v>
      </c>
      <c r="F7236" t="s">
        <v>40</v>
      </c>
      <c r="G7236">
        <v>2040</v>
      </c>
      <c r="H7236" s="12">
        <v>3398</v>
      </c>
      <c r="I7236" t="s">
        <v>3183</v>
      </c>
      <c r="J7236" t="s">
        <v>344</v>
      </c>
      <c r="K7236" t="s">
        <v>658</v>
      </c>
      <c r="L7236" t="s">
        <v>844</v>
      </c>
      <c r="M7236" t="s">
        <v>10</v>
      </c>
    </row>
    <row r="7237" spans="1:13">
      <c r="A7237" t="s">
        <v>851</v>
      </c>
      <c r="B7237" t="s">
        <v>686</v>
      </c>
      <c r="C7237" t="s">
        <v>686</v>
      </c>
      <c r="D7237" t="s">
        <v>3185</v>
      </c>
      <c r="E7237" t="s">
        <v>646</v>
      </c>
      <c r="F7237" t="s">
        <v>40</v>
      </c>
      <c r="G7237">
        <v>2045</v>
      </c>
      <c r="H7237" s="12">
        <v>3938</v>
      </c>
      <c r="I7237" t="s">
        <v>3183</v>
      </c>
      <c r="J7237" t="s">
        <v>344</v>
      </c>
      <c r="K7237" t="s">
        <v>658</v>
      </c>
      <c r="L7237" t="s">
        <v>844</v>
      </c>
      <c r="M7237" t="s">
        <v>10</v>
      </c>
    </row>
    <row r="7238" spans="1:13">
      <c r="A7238" t="s">
        <v>851</v>
      </c>
      <c r="B7238" t="s">
        <v>686</v>
      </c>
      <c r="C7238" t="s">
        <v>686</v>
      </c>
      <c r="D7238" t="s">
        <v>3185</v>
      </c>
      <c r="E7238" t="s">
        <v>646</v>
      </c>
      <c r="F7238" t="s">
        <v>40</v>
      </c>
      <c r="G7238">
        <v>2050</v>
      </c>
      <c r="H7238" s="12">
        <v>4556</v>
      </c>
      <c r="I7238" t="s">
        <v>3183</v>
      </c>
      <c r="J7238" t="s">
        <v>344</v>
      </c>
      <c r="K7238" t="s">
        <v>658</v>
      </c>
      <c r="L7238" t="s">
        <v>844</v>
      </c>
      <c r="M7238" t="s">
        <v>10</v>
      </c>
    </row>
    <row r="7239" spans="1:13">
      <c r="A7239" t="s">
        <v>851</v>
      </c>
      <c r="B7239" t="s">
        <v>687</v>
      </c>
      <c r="C7239" t="s">
        <v>687</v>
      </c>
      <c r="D7239" t="s">
        <v>3185</v>
      </c>
      <c r="E7239" t="s">
        <v>646</v>
      </c>
      <c r="F7239" t="s">
        <v>40</v>
      </c>
      <c r="G7239">
        <v>2030</v>
      </c>
      <c r="H7239" s="12">
        <v>2594</v>
      </c>
      <c r="I7239" t="s">
        <v>3183</v>
      </c>
      <c r="J7239" t="s">
        <v>344</v>
      </c>
      <c r="K7239" t="s">
        <v>658</v>
      </c>
      <c r="L7239" t="s">
        <v>844</v>
      </c>
      <c r="M7239" t="s">
        <v>10</v>
      </c>
    </row>
    <row r="7240" spans="1:13">
      <c r="A7240" t="s">
        <v>851</v>
      </c>
      <c r="B7240" t="s">
        <v>687</v>
      </c>
      <c r="C7240" t="s">
        <v>687</v>
      </c>
      <c r="D7240" t="s">
        <v>3185</v>
      </c>
      <c r="E7240" t="s">
        <v>646</v>
      </c>
      <c r="F7240" t="s">
        <v>40</v>
      </c>
      <c r="G7240">
        <v>2035</v>
      </c>
      <c r="H7240" s="12">
        <v>2891</v>
      </c>
      <c r="I7240" t="s">
        <v>3183</v>
      </c>
      <c r="J7240" t="s">
        <v>344</v>
      </c>
      <c r="K7240" t="s">
        <v>658</v>
      </c>
      <c r="L7240" t="s">
        <v>844</v>
      </c>
      <c r="M7240" t="s">
        <v>10</v>
      </c>
    </row>
    <row r="7241" spans="1:13">
      <c r="A7241" t="s">
        <v>851</v>
      </c>
      <c r="B7241" t="s">
        <v>687</v>
      </c>
      <c r="C7241" t="s">
        <v>687</v>
      </c>
      <c r="D7241" t="s">
        <v>3185</v>
      </c>
      <c r="E7241" t="s">
        <v>646</v>
      </c>
      <c r="F7241" t="s">
        <v>40</v>
      </c>
      <c r="G7241">
        <v>2040</v>
      </c>
      <c r="H7241" s="12">
        <v>3244</v>
      </c>
      <c r="I7241" t="s">
        <v>3183</v>
      </c>
      <c r="J7241" t="s">
        <v>344</v>
      </c>
      <c r="K7241" t="s">
        <v>658</v>
      </c>
      <c r="L7241" t="s">
        <v>844</v>
      </c>
      <c r="M7241" t="s">
        <v>10</v>
      </c>
    </row>
    <row r="7242" spans="1:13">
      <c r="A7242" t="s">
        <v>851</v>
      </c>
      <c r="B7242" t="s">
        <v>687</v>
      </c>
      <c r="C7242" t="s">
        <v>687</v>
      </c>
      <c r="D7242" t="s">
        <v>3185</v>
      </c>
      <c r="E7242" t="s">
        <v>646</v>
      </c>
      <c r="F7242" t="s">
        <v>40</v>
      </c>
      <c r="G7242">
        <v>2045</v>
      </c>
      <c r="H7242" s="12">
        <v>3622</v>
      </c>
      <c r="I7242" t="s">
        <v>3183</v>
      </c>
      <c r="J7242" t="s">
        <v>344</v>
      </c>
      <c r="K7242" t="s">
        <v>658</v>
      </c>
      <c r="L7242" t="s">
        <v>844</v>
      </c>
      <c r="M7242" t="s">
        <v>10</v>
      </c>
    </row>
    <row r="7243" spans="1:13">
      <c r="A7243" t="s">
        <v>851</v>
      </c>
      <c r="B7243" t="s">
        <v>687</v>
      </c>
      <c r="C7243" t="s">
        <v>687</v>
      </c>
      <c r="D7243" t="s">
        <v>3185</v>
      </c>
      <c r="E7243" t="s">
        <v>646</v>
      </c>
      <c r="F7243" t="s">
        <v>40</v>
      </c>
      <c r="G7243">
        <v>2050</v>
      </c>
      <c r="H7243" s="12">
        <v>3981</v>
      </c>
      <c r="I7243" t="s">
        <v>3183</v>
      </c>
      <c r="J7243" t="s">
        <v>344</v>
      </c>
      <c r="K7243" t="s">
        <v>658</v>
      </c>
      <c r="L7243" t="s">
        <v>844</v>
      </c>
      <c r="M7243" t="s">
        <v>10</v>
      </c>
    </row>
    <row r="7244" spans="1:13">
      <c r="A7244" t="s">
        <v>851</v>
      </c>
      <c r="B7244" t="s">
        <v>686</v>
      </c>
      <c r="C7244" t="s">
        <v>686</v>
      </c>
      <c r="D7244" t="s">
        <v>3185</v>
      </c>
      <c r="E7244" t="s">
        <v>646</v>
      </c>
      <c r="F7244" t="s">
        <v>40</v>
      </c>
      <c r="G7244">
        <v>2010</v>
      </c>
      <c r="H7244" s="12">
        <v>3</v>
      </c>
      <c r="I7244" t="s">
        <v>3183</v>
      </c>
      <c r="J7244" t="s">
        <v>5</v>
      </c>
      <c r="K7244" t="s">
        <v>658</v>
      </c>
      <c r="L7244" t="s">
        <v>844</v>
      </c>
      <c r="M7244" t="s">
        <v>5</v>
      </c>
    </row>
    <row r="7245" spans="1:13">
      <c r="A7245" t="s">
        <v>851</v>
      </c>
      <c r="B7245" t="s">
        <v>686</v>
      </c>
      <c r="C7245" t="s">
        <v>686</v>
      </c>
      <c r="D7245" t="s">
        <v>3185</v>
      </c>
      <c r="E7245" t="s">
        <v>646</v>
      </c>
      <c r="F7245" t="s">
        <v>40</v>
      </c>
      <c r="G7245">
        <v>2015</v>
      </c>
      <c r="H7245" s="12">
        <v>3</v>
      </c>
      <c r="I7245" t="s">
        <v>3183</v>
      </c>
      <c r="J7245" t="s">
        <v>5</v>
      </c>
      <c r="K7245" t="s">
        <v>658</v>
      </c>
      <c r="L7245" t="s">
        <v>844</v>
      </c>
      <c r="M7245" t="s">
        <v>5</v>
      </c>
    </row>
    <row r="7246" spans="1:13">
      <c r="A7246" t="s">
        <v>851</v>
      </c>
      <c r="B7246" t="s">
        <v>686</v>
      </c>
      <c r="C7246" t="s">
        <v>686</v>
      </c>
      <c r="D7246" t="s">
        <v>3185</v>
      </c>
      <c r="E7246" t="s">
        <v>646</v>
      </c>
      <c r="F7246" t="s">
        <v>40</v>
      </c>
      <c r="G7246">
        <v>2020</v>
      </c>
      <c r="H7246" s="12">
        <v>2</v>
      </c>
      <c r="I7246" t="s">
        <v>3183</v>
      </c>
      <c r="J7246" t="s">
        <v>5</v>
      </c>
      <c r="K7246" t="s">
        <v>658</v>
      </c>
      <c r="L7246" t="s">
        <v>844</v>
      </c>
      <c r="M7246" t="s">
        <v>5</v>
      </c>
    </row>
    <row r="7247" spans="1:13">
      <c r="A7247" t="s">
        <v>851</v>
      </c>
      <c r="B7247" t="s">
        <v>686</v>
      </c>
      <c r="C7247" t="s">
        <v>686</v>
      </c>
      <c r="D7247" t="s">
        <v>3185</v>
      </c>
      <c r="E7247" t="s">
        <v>646</v>
      </c>
      <c r="F7247" t="s">
        <v>40</v>
      </c>
      <c r="G7247">
        <v>2030</v>
      </c>
      <c r="H7247" s="12">
        <v>1</v>
      </c>
      <c r="I7247" t="s">
        <v>3183</v>
      </c>
      <c r="J7247" t="s">
        <v>5</v>
      </c>
      <c r="K7247" t="s">
        <v>658</v>
      </c>
      <c r="L7247" t="s">
        <v>844</v>
      </c>
      <c r="M7247" t="s">
        <v>5</v>
      </c>
    </row>
    <row r="7248" spans="1:13">
      <c r="A7248" t="s">
        <v>851</v>
      </c>
      <c r="B7248" t="s">
        <v>686</v>
      </c>
      <c r="C7248" t="s">
        <v>686</v>
      </c>
      <c r="D7248" t="s">
        <v>3185</v>
      </c>
      <c r="E7248" t="s">
        <v>646</v>
      </c>
      <c r="F7248" t="s">
        <v>40</v>
      </c>
      <c r="G7248">
        <v>2035</v>
      </c>
      <c r="H7248" s="12">
        <v>0</v>
      </c>
      <c r="I7248" t="s">
        <v>3183</v>
      </c>
      <c r="J7248" t="s">
        <v>5</v>
      </c>
      <c r="K7248" t="s">
        <v>658</v>
      </c>
      <c r="L7248" t="s">
        <v>844</v>
      </c>
      <c r="M7248" t="s">
        <v>5</v>
      </c>
    </row>
    <row r="7249" spans="1:13">
      <c r="A7249" t="s">
        <v>851</v>
      </c>
      <c r="B7249" t="s">
        <v>686</v>
      </c>
      <c r="C7249" t="s">
        <v>686</v>
      </c>
      <c r="D7249" t="s">
        <v>3185</v>
      </c>
      <c r="E7249" t="s">
        <v>646</v>
      </c>
      <c r="F7249" t="s">
        <v>40</v>
      </c>
      <c r="G7249">
        <v>2040</v>
      </c>
      <c r="H7249" s="12">
        <v>0</v>
      </c>
      <c r="I7249" t="s">
        <v>3183</v>
      </c>
      <c r="J7249" t="s">
        <v>5</v>
      </c>
      <c r="K7249" t="s">
        <v>658</v>
      </c>
      <c r="L7249" t="s">
        <v>844</v>
      </c>
      <c r="M7249" t="s">
        <v>5</v>
      </c>
    </row>
    <row r="7250" spans="1:13">
      <c r="A7250" t="s">
        <v>851</v>
      </c>
      <c r="B7250" t="s">
        <v>686</v>
      </c>
      <c r="C7250" t="s">
        <v>686</v>
      </c>
      <c r="D7250" t="s">
        <v>3185</v>
      </c>
      <c r="E7250" t="s">
        <v>646</v>
      </c>
      <c r="F7250" t="s">
        <v>40</v>
      </c>
      <c r="G7250">
        <v>2045</v>
      </c>
      <c r="H7250" s="12">
        <v>0</v>
      </c>
      <c r="I7250" t="s">
        <v>3183</v>
      </c>
      <c r="J7250" t="s">
        <v>5</v>
      </c>
      <c r="K7250" t="s">
        <v>658</v>
      </c>
      <c r="L7250" t="s">
        <v>844</v>
      </c>
      <c r="M7250" t="s">
        <v>5</v>
      </c>
    </row>
    <row r="7251" spans="1:13">
      <c r="A7251" t="s">
        <v>851</v>
      </c>
      <c r="B7251" t="s">
        <v>686</v>
      </c>
      <c r="C7251" t="s">
        <v>686</v>
      </c>
      <c r="D7251" t="s">
        <v>3185</v>
      </c>
      <c r="E7251" t="s">
        <v>646</v>
      </c>
      <c r="F7251" t="s">
        <v>40</v>
      </c>
      <c r="G7251">
        <v>2050</v>
      </c>
      <c r="H7251" s="12">
        <v>0</v>
      </c>
      <c r="I7251" t="s">
        <v>3183</v>
      </c>
      <c r="J7251" t="s">
        <v>5</v>
      </c>
      <c r="K7251" t="s">
        <v>658</v>
      </c>
      <c r="L7251" t="s">
        <v>844</v>
      </c>
      <c r="M7251" t="s">
        <v>5</v>
      </c>
    </row>
    <row r="7252" spans="1:13">
      <c r="A7252" t="s">
        <v>851</v>
      </c>
      <c r="B7252" t="s">
        <v>687</v>
      </c>
      <c r="C7252" t="s">
        <v>687</v>
      </c>
      <c r="D7252" t="s">
        <v>3185</v>
      </c>
      <c r="E7252" t="s">
        <v>646</v>
      </c>
      <c r="F7252" t="s">
        <v>40</v>
      </c>
      <c r="G7252">
        <v>2030</v>
      </c>
      <c r="H7252" s="12">
        <v>1</v>
      </c>
      <c r="I7252" t="s">
        <v>3183</v>
      </c>
      <c r="J7252" t="s">
        <v>5</v>
      </c>
      <c r="K7252" t="s">
        <v>658</v>
      </c>
      <c r="L7252" t="s">
        <v>844</v>
      </c>
      <c r="M7252" t="s">
        <v>5</v>
      </c>
    </row>
    <row r="7253" spans="1:13">
      <c r="A7253" t="s">
        <v>851</v>
      </c>
      <c r="B7253" t="s">
        <v>687</v>
      </c>
      <c r="C7253" t="s">
        <v>687</v>
      </c>
      <c r="D7253" t="s">
        <v>3185</v>
      </c>
      <c r="E7253" t="s">
        <v>646</v>
      </c>
      <c r="F7253" t="s">
        <v>40</v>
      </c>
      <c r="G7253">
        <v>2035</v>
      </c>
      <c r="H7253" s="12">
        <v>0</v>
      </c>
      <c r="I7253" t="s">
        <v>3183</v>
      </c>
      <c r="J7253" t="s">
        <v>5</v>
      </c>
      <c r="K7253" t="s">
        <v>658</v>
      </c>
      <c r="L7253" t="s">
        <v>844</v>
      </c>
      <c r="M7253" t="s">
        <v>5</v>
      </c>
    </row>
    <row r="7254" spans="1:13">
      <c r="A7254" t="s">
        <v>851</v>
      </c>
      <c r="B7254" t="s">
        <v>687</v>
      </c>
      <c r="C7254" t="s">
        <v>687</v>
      </c>
      <c r="D7254" t="s">
        <v>3185</v>
      </c>
      <c r="E7254" t="s">
        <v>646</v>
      </c>
      <c r="F7254" t="s">
        <v>40</v>
      </c>
      <c r="G7254">
        <v>2040</v>
      </c>
      <c r="H7254" s="12">
        <v>0</v>
      </c>
      <c r="I7254" t="s">
        <v>3183</v>
      </c>
      <c r="J7254" t="s">
        <v>5</v>
      </c>
      <c r="K7254" t="s">
        <v>658</v>
      </c>
      <c r="L7254" t="s">
        <v>844</v>
      </c>
      <c r="M7254" t="s">
        <v>5</v>
      </c>
    </row>
    <row r="7255" spans="1:13">
      <c r="A7255" t="s">
        <v>851</v>
      </c>
      <c r="B7255" t="s">
        <v>687</v>
      </c>
      <c r="C7255" t="s">
        <v>687</v>
      </c>
      <c r="D7255" t="s">
        <v>3185</v>
      </c>
      <c r="E7255" t="s">
        <v>646</v>
      </c>
      <c r="F7255" t="s">
        <v>40</v>
      </c>
      <c r="G7255">
        <v>2045</v>
      </c>
      <c r="H7255" s="12">
        <v>0</v>
      </c>
      <c r="I7255" t="s">
        <v>3183</v>
      </c>
      <c r="J7255" t="s">
        <v>5</v>
      </c>
      <c r="K7255" t="s">
        <v>658</v>
      </c>
      <c r="L7255" t="s">
        <v>844</v>
      </c>
      <c r="M7255" t="s">
        <v>5</v>
      </c>
    </row>
    <row r="7256" spans="1:13">
      <c r="A7256" t="s">
        <v>851</v>
      </c>
      <c r="B7256" t="s">
        <v>687</v>
      </c>
      <c r="C7256" t="s">
        <v>687</v>
      </c>
      <c r="D7256" t="s">
        <v>3185</v>
      </c>
      <c r="E7256" t="s">
        <v>646</v>
      </c>
      <c r="F7256" t="s">
        <v>40</v>
      </c>
      <c r="G7256">
        <v>2050</v>
      </c>
      <c r="H7256" s="12">
        <v>0</v>
      </c>
      <c r="I7256" t="s">
        <v>3183</v>
      </c>
      <c r="J7256" t="s">
        <v>5</v>
      </c>
      <c r="K7256" t="s">
        <v>658</v>
      </c>
      <c r="L7256" t="s">
        <v>844</v>
      </c>
      <c r="M7256" t="s">
        <v>5</v>
      </c>
    </row>
    <row r="7257" spans="1:13">
      <c r="A7257" t="s">
        <v>851</v>
      </c>
      <c r="B7257" t="s">
        <v>686</v>
      </c>
      <c r="C7257" t="s">
        <v>686</v>
      </c>
      <c r="D7257" t="s">
        <v>3185</v>
      </c>
      <c r="E7257" t="s">
        <v>646</v>
      </c>
      <c r="F7257" t="s">
        <v>40</v>
      </c>
      <c r="G7257">
        <v>2010</v>
      </c>
      <c r="H7257" s="12">
        <v>1532</v>
      </c>
      <c r="I7257" t="s">
        <v>3183</v>
      </c>
      <c r="J7257" t="s">
        <v>6</v>
      </c>
      <c r="K7257" t="s">
        <v>9</v>
      </c>
      <c r="L7257" t="s">
        <v>844</v>
      </c>
      <c r="M7257" t="s">
        <v>666</v>
      </c>
    </row>
    <row r="7258" spans="1:13">
      <c r="A7258" t="s">
        <v>851</v>
      </c>
      <c r="B7258" t="s">
        <v>686</v>
      </c>
      <c r="C7258" t="s">
        <v>686</v>
      </c>
      <c r="D7258" t="s">
        <v>3185</v>
      </c>
      <c r="E7258" t="s">
        <v>646</v>
      </c>
      <c r="F7258" t="s">
        <v>40</v>
      </c>
      <c r="G7258">
        <v>2015</v>
      </c>
      <c r="H7258" s="12">
        <v>1429</v>
      </c>
      <c r="I7258" t="s">
        <v>3183</v>
      </c>
      <c r="J7258" t="s">
        <v>6</v>
      </c>
      <c r="K7258" t="s">
        <v>9</v>
      </c>
      <c r="L7258" t="s">
        <v>844</v>
      </c>
      <c r="M7258" t="s">
        <v>666</v>
      </c>
    </row>
    <row r="7259" spans="1:13">
      <c r="A7259" t="s">
        <v>851</v>
      </c>
      <c r="B7259" t="s">
        <v>686</v>
      </c>
      <c r="C7259" t="s">
        <v>686</v>
      </c>
      <c r="D7259" t="s">
        <v>3185</v>
      </c>
      <c r="E7259" t="s">
        <v>646</v>
      </c>
      <c r="F7259" t="s">
        <v>40</v>
      </c>
      <c r="G7259">
        <v>2020</v>
      </c>
      <c r="H7259" s="12">
        <v>1137</v>
      </c>
      <c r="I7259" t="s">
        <v>3183</v>
      </c>
      <c r="J7259" t="s">
        <v>6</v>
      </c>
      <c r="K7259" t="s">
        <v>9</v>
      </c>
      <c r="L7259" t="s">
        <v>844</v>
      </c>
      <c r="M7259" t="s">
        <v>666</v>
      </c>
    </row>
    <row r="7260" spans="1:13">
      <c r="A7260" t="s">
        <v>851</v>
      </c>
      <c r="B7260" t="s">
        <v>686</v>
      </c>
      <c r="C7260" t="s">
        <v>686</v>
      </c>
      <c r="D7260" t="s">
        <v>3185</v>
      </c>
      <c r="E7260" t="s">
        <v>646</v>
      </c>
      <c r="F7260" t="s">
        <v>40</v>
      </c>
      <c r="G7260">
        <v>2030</v>
      </c>
      <c r="H7260" s="12">
        <v>1558</v>
      </c>
      <c r="I7260" t="s">
        <v>3183</v>
      </c>
      <c r="J7260" t="s">
        <v>6</v>
      </c>
      <c r="K7260" t="s">
        <v>9</v>
      </c>
      <c r="L7260" t="s">
        <v>844</v>
      </c>
      <c r="M7260" t="s">
        <v>666</v>
      </c>
    </row>
    <row r="7261" spans="1:13">
      <c r="A7261" t="s">
        <v>851</v>
      </c>
      <c r="B7261" t="s">
        <v>686</v>
      </c>
      <c r="C7261" t="s">
        <v>686</v>
      </c>
      <c r="D7261" t="s">
        <v>3185</v>
      </c>
      <c r="E7261" t="s">
        <v>646</v>
      </c>
      <c r="F7261" t="s">
        <v>40</v>
      </c>
      <c r="G7261">
        <v>2035</v>
      </c>
      <c r="H7261" s="12">
        <v>1764</v>
      </c>
      <c r="I7261" t="s">
        <v>3183</v>
      </c>
      <c r="J7261" t="s">
        <v>6</v>
      </c>
      <c r="K7261" t="s">
        <v>9</v>
      </c>
      <c r="L7261" t="s">
        <v>844</v>
      </c>
      <c r="M7261" t="s">
        <v>666</v>
      </c>
    </row>
    <row r="7262" spans="1:13">
      <c r="A7262" t="s">
        <v>851</v>
      </c>
      <c r="B7262" t="s">
        <v>686</v>
      </c>
      <c r="C7262" t="s">
        <v>686</v>
      </c>
      <c r="D7262" t="s">
        <v>3185</v>
      </c>
      <c r="E7262" t="s">
        <v>646</v>
      </c>
      <c r="F7262" t="s">
        <v>40</v>
      </c>
      <c r="G7262">
        <v>2040</v>
      </c>
      <c r="H7262" s="12">
        <v>1925</v>
      </c>
      <c r="I7262" t="s">
        <v>3183</v>
      </c>
      <c r="J7262" t="s">
        <v>6</v>
      </c>
      <c r="K7262" t="s">
        <v>9</v>
      </c>
      <c r="L7262" t="s">
        <v>844</v>
      </c>
      <c r="M7262" t="s">
        <v>666</v>
      </c>
    </row>
    <row r="7263" spans="1:13">
      <c r="A7263" t="s">
        <v>851</v>
      </c>
      <c r="B7263" t="s">
        <v>686</v>
      </c>
      <c r="C7263" t="s">
        <v>686</v>
      </c>
      <c r="D7263" t="s">
        <v>3185</v>
      </c>
      <c r="E7263" t="s">
        <v>646</v>
      </c>
      <c r="F7263" t="s">
        <v>40</v>
      </c>
      <c r="G7263">
        <v>2045</v>
      </c>
      <c r="H7263" s="12">
        <v>2054</v>
      </c>
      <c r="I7263" t="s">
        <v>3183</v>
      </c>
      <c r="J7263" t="s">
        <v>6</v>
      </c>
      <c r="K7263" t="s">
        <v>9</v>
      </c>
      <c r="L7263" t="s">
        <v>844</v>
      </c>
      <c r="M7263" t="s">
        <v>666</v>
      </c>
    </row>
    <row r="7264" spans="1:13">
      <c r="A7264" t="s">
        <v>851</v>
      </c>
      <c r="B7264" t="s">
        <v>686</v>
      </c>
      <c r="C7264" t="s">
        <v>686</v>
      </c>
      <c r="D7264" t="s">
        <v>3185</v>
      </c>
      <c r="E7264" t="s">
        <v>646</v>
      </c>
      <c r="F7264" t="s">
        <v>40</v>
      </c>
      <c r="G7264">
        <v>2050</v>
      </c>
      <c r="H7264" s="12">
        <v>2149</v>
      </c>
      <c r="I7264" t="s">
        <v>3183</v>
      </c>
      <c r="J7264" t="s">
        <v>6</v>
      </c>
      <c r="K7264" t="s">
        <v>9</v>
      </c>
      <c r="L7264" t="s">
        <v>844</v>
      </c>
      <c r="M7264" t="s">
        <v>666</v>
      </c>
    </row>
    <row r="7265" spans="1:13">
      <c r="A7265" t="s">
        <v>851</v>
      </c>
      <c r="B7265" t="s">
        <v>687</v>
      </c>
      <c r="C7265" t="s">
        <v>687</v>
      </c>
      <c r="D7265" t="s">
        <v>3185</v>
      </c>
      <c r="E7265" t="s">
        <v>646</v>
      </c>
      <c r="F7265" t="s">
        <v>40</v>
      </c>
      <c r="G7265">
        <v>2030</v>
      </c>
      <c r="H7265" s="12">
        <v>1339</v>
      </c>
      <c r="I7265" t="s">
        <v>3183</v>
      </c>
      <c r="J7265" t="s">
        <v>6</v>
      </c>
      <c r="K7265" t="s">
        <v>9</v>
      </c>
      <c r="L7265" t="s">
        <v>844</v>
      </c>
      <c r="M7265" t="s">
        <v>666</v>
      </c>
    </row>
    <row r="7266" spans="1:13">
      <c r="A7266" t="s">
        <v>851</v>
      </c>
      <c r="B7266" t="s">
        <v>687</v>
      </c>
      <c r="C7266" t="s">
        <v>687</v>
      </c>
      <c r="D7266" t="s">
        <v>3185</v>
      </c>
      <c r="E7266" t="s">
        <v>646</v>
      </c>
      <c r="F7266" t="s">
        <v>40</v>
      </c>
      <c r="G7266">
        <v>2035</v>
      </c>
      <c r="H7266" s="12">
        <v>1395</v>
      </c>
      <c r="I7266" t="s">
        <v>3183</v>
      </c>
      <c r="J7266" t="s">
        <v>6</v>
      </c>
      <c r="K7266" t="s">
        <v>9</v>
      </c>
      <c r="L7266" t="s">
        <v>844</v>
      </c>
      <c r="M7266" t="s">
        <v>666</v>
      </c>
    </row>
    <row r="7267" spans="1:13">
      <c r="A7267" t="s">
        <v>851</v>
      </c>
      <c r="B7267" t="s">
        <v>687</v>
      </c>
      <c r="C7267" t="s">
        <v>687</v>
      </c>
      <c r="D7267" t="s">
        <v>3185</v>
      </c>
      <c r="E7267" t="s">
        <v>646</v>
      </c>
      <c r="F7267" t="s">
        <v>40</v>
      </c>
      <c r="G7267">
        <v>2040</v>
      </c>
      <c r="H7267" s="12">
        <v>1413</v>
      </c>
      <c r="I7267" t="s">
        <v>3183</v>
      </c>
      <c r="J7267" t="s">
        <v>6</v>
      </c>
      <c r="K7267" t="s">
        <v>9</v>
      </c>
      <c r="L7267" t="s">
        <v>844</v>
      </c>
      <c r="M7267" t="s">
        <v>666</v>
      </c>
    </row>
    <row r="7268" spans="1:13">
      <c r="A7268" t="s">
        <v>851</v>
      </c>
      <c r="B7268" t="s">
        <v>687</v>
      </c>
      <c r="C7268" t="s">
        <v>687</v>
      </c>
      <c r="D7268" t="s">
        <v>3185</v>
      </c>
      <c r="E7268" t="s">
        <v>646</v>
      </c>
      <c r="F7268" t="s">
        <v>40</v>
      </c>
      <c r="G7268">
        <v>2045</v>
      </c>
      <c r="H7268" s="12">
        <v>1398</v>
      </c>
      <c r="I7268" t="s">
        <v>3183</v>
      </c>
      <c r="J7268" t="s">
        <v>6</v>
      </c>
      <c r="K7268" t="s">
        <v>9</v>
      </c>
      <c r="L7268" t="s">
        <v>844</v>
      </c>
      <c r="M7268" t="s">
        <v>666</v>
      </c>
    </row>
    <row r="7269" spans="1:13">
      <c r="A7269" t="s">
        <v>851</v>
      </c>
      <c r="B7269" t="s">
        <v>687</v>
      </c>
      <c r="C7269" t="s">
        <v>687</v>
      </c>
      <c r="D7269" t="s">
        <v>3185</v>
      </c>
      <c r="E7269" t="s">
        <v>646</v>
      </c>
      <c r="F7269" t="s">
        <v>40</v>
      </c>
      <c r="G7269">
        <v>2050</v>
      </c>
      <c r="H7269" s="12">
        <v>1360</v>
      </c>
      <c r="I7269" t="s">
        <v>3183</v>
      </c>
      <c r="J7269" t="s">
        <v>6</v>
      </c>
      <c r="K7269" t="s">
        <v>9</v>
      </c>
      <c r="L7269" t="s">
        <v>844</v>
      </c>
      <c r="M7269" t="s">
        <v>666</v>
      </c>
    </row>
    <row r="7270" spans="1:13">
      <c r="A7270" t="s">
        <v>851</v>
      </c>
      <c r="B7270" t="s">
        <v>686</v>
      </c>
      <c r="C7270" t="s">
        <v>686</v>
      </c>
      <c r="D7270" t="s">
        <v>3185</v>
      </c>
      <c r="E7270" t="s">
        <v>646</v>
      </c>
      <c r="F7270" t="s">
        <v>40</v>
      </c>
      <c r="G7270">
        <v>2010</v>
      </c>
      <c r="H7270" s="12">
        <v>627</v>
      </c>
      <c r="I7270" t="s">
        <v>3183</v>
      </c>
      <c r="J7270" t="s">
        <v>5</v>
      </c>
      <c r="K7270" t="s">
        <v>9</v>
      </c>
      <c r="L7270" t="s">
        <v>844</v>
      </c>
      <c r="M7270" t="s">
        <v>665</v>
      </c>
    </row>
    <row r="7271" spans="1:13">
      <c r="A7271" t="s">
        <v>851</v>
      </c>
      <c r="B7271" t="s">
        <v>686</v>
      </c>
      <c r="C7271" t="s">
        <v>686</v>
      </c>
      <c r="D7271" t="s">
        <v>3185</v>
      </c>
      <c r="E7271" t="s">
        <v>646</v>
      </c>
      <c r="F7271" t="s">
        <v>40</v>
      </c>
      <c r="G7271">
        <v>2015</v>
      </c>
      <c r="H7271" s="12">
        <v>673</v>
      </c>
      <c r="I7271" t="s">
        <v>3183</v>
      </c>
      <c r="J7271" t="s">
        <v>5</v>
      </c>
      <c r="K7271" t="s">
        <v>9</v>
      </c>
      <c r="L7271" t="s">
        <v>844</v>
      </c>
      <c r="M7271" t="s">
        <v>665</v>
      </c>
    </row>
    <row r="7272" spans="1:13">
      <c r="A7272" t="s">
        <v>851</v>
      </c>
      <c r="B7272" t="s">
        <v>686</v>
      </c>
      <c r="C7272" t="s">
        <v>686</v>
      </c>
      <c r="D7272" t="s">
        <v>3185</v>
      </c>
      <c r="E7272" t="s">
        <v>646</v>
      </c>
      <c r="F7272" t="s">
        <v>40</v>
      </c>
      <c r="G7272">
        <v>2020</v>
      </c>
      <c r="H7272" s="12">
        <v>596</v>
      </c>
      <c r="I7272" t="s">
        <v>3183</v>
      </c>
      <c r="J7272" t="s">
        <v>5</v>
      </c>
      <c r="K7272" t="s">
        <v>9</v>
      </c>
      <c r="L7272" t="s">
        <v>844</v>
      </c>
      <c r="M7272" t="s">
        <v>665</v>
      </c>
    </row>
    <row r="7273" spans="1:13">
      <c r="A7273" t="s">
        <v>851</v>
      </c>
      <c r="B7273" t="s">
        <v>686</v>
      </c>
      <c r="C7273" t="s">
        <v>686</v>
      </c>
      <c r="D7273" t="s">
        <v>3185</v>
      </c>
      <c r="E7273" t="s">
        <v>646</v>
      </c>
      <c r="F7273" t="s">
        <v>40</v>
      </c>
      <c r="G7273">
        <v>2030</v>
      </c>
      <c r="H7273" s="12">
        <v>873</v>
      </c>
      <c r="I7273" t="s">
        <v>3183</v>
      </c>
      <c r="J7273" t="s">
        <v>5</v>
      </c>
      <c r="K7273" t="s">
        <v>9</v>
      </c>
      <c r="L7273" t="s">
        <v>844</v>
      </c>
      <c r="M7273" t="s">
        <v>665</v>
      </c>
    </row>
    <row r="7274" spans="1:13">
      <c r="A7274" t="s">
        <v>851</v>
      </c>
      <c r="B7274" t="s">
        <v>686</v>
      </c>
      <c r="C7274" t="s">
        <v>686</v>
      </c>
      <c r="D7274" t="s">
        <v>3185</v>
      </c>
      <c r="E7274" t="s">
        <v>646</v>
      </c>
      <c r="F7274" t="s">
        <v>40</v>
      </c>
      <c r="G7274">
        <v>2035</v>
      </c>
      <c r="H7274" s="12">
        <v>1002</v>
      </c>
      <c r="I7274" t="s">
        <v>3183</v>
      </c>
      <c r="J7274" t="s">
        <v>5</v>
      </c>
      <c r="K7274" t="s">
        <v>9</v>
      </c>
      <c r="L7274" t="s">
        <v>844</v>
      </c>
      <c r="M7274" t="s">
        <v>665</v>
      </c>
    </row>
    <row r="7275" spans="1:13">
      <c r="A7275" t="s">
        <v>851</v>
      </c>
      <c r="B7275" t="s">
        <v>686</v>
      </c>
      <c r="C7275" t="s">
        <v>686</v>
      </c>
      <c r="D7275" t="s">
        <v>3185</v>
      </c>
      <c r="E7275" t="s">
        <v>646</v>
      </c>
      <c r="F7275" t="s">
        <v>40</v>
      </c>
      <c r="G7275">
        <v>2040</v>
      </c>
      <c r="H7275" s="12">
        <v>1109</v>
      </c>
      <c r="I7275" t="s">
        <v>3183</v>
      </c>
      <c r="J7275" t="s">
        <v>5</v>
      </c>
      <c r="K7275" t="s">
        <v>9</v>
      </c>
      <c r="L7275" t="s">
        <v>844</v>
      </c>
      <c r="M7275" t="s">
        <v>665</v>
      </c>
    </row>
    <row r="7276" spans="1:13">
      <c r="A7276" t="s">
        <v>851</v>
      </c>
      <c r="B7276" t="s">
        <v>686</v>
      </c>
      <c r="C7276" t="s">
        <v>686</v>
      </c>
      <c r="D7276" t="s">
        <v>3185</v>
      </c>
      <c r="E7276" t="s">
        <v>646</v>
      </c>
      <c r="F7276" t="s">
        <v>40</v>
      </c>
      <c r="G7276">
        <v>2045</v>
      </c>
      <c r="H7276" s="12">
        <v>1196</v>
      </c>
      <c r="I7276" t="s">
        <v>3183</v>
      </c>
      <c r="J7276" t="s">
        <v>5</v>
      </c>
      <c r="K7276" t="s">
        <v>9</v>
      </c>
      <c r="L7276" t="s">
        <v>844</v>
      </c>
      <c r="M7276" t="s">
        <v>665</v>
      </c>
    </row>
    <row r="7277" spans="1:13">
      <c r="A7277" t="s">
        <v>851</v>
      </c>
      <c r="B7277" t="s">
        <v>686</v>
      </c>
      <c r="C7277" t="s">
        <v>686</v>
      </c>
      <c r="D7277" t="s">
        <v>3185</v>
      </c>
      <c r="E7277" t="s">
        <v>646</v>
      </c>
      <c r="F7277" t="s">
        <v>40</v>
      </c>
      <c r="G7277">
        <v>2050</v>
      </c>
      <c r="H7277" s="12">
        <v>1279</v>
      </c>
      <c r="I7277" t="s">
        <v>3183</v>
      </c>
      <c r="J7277" t="s">
        <v>5</v>
      </c>
      <c r="K7277" t="s">
        <v>9</v>
      </c>
      <c r="L7277" t="s">
        <v>844</v>
      </c>
      <c r="M7277" t="s">
        <v>665</v>
      </c>
    </row>
    <row r="7278" spans="1:13">
      <c r="A7278" t="s">
        <v>851</v>
      </c>
      <c r="B7278" t="s">
        <v>687</v>
      </c>
      <c r="C7278" t="s">
        <v>687</v>
      </c>
      <c r="D7278" t="s">
        <v>3185</v>
      </c>
      <c r="E7278" t="s">
        <v>646</v>
      </c>
      <c r="F7278" t="s">
        <v>40</v>
      </c>
      <c r="G7278">
        <v>2030</v>
      </c>
      <c r="H7278" s="12">
        <v>703</v>
      </c>
      <c r="I7278" t="s">
        <v>3183</v>
      </c>
      <c r="J7278" t="s">
        <v>5</v>
      </c>
      <c r="K7278" t="s">
        <v>9</v>
      </c>
      <c r="L7278" t="s">
        <v>844</v>
      </c>
      <c r="M7278" t="s">
        <v>665</v>
      </c>
    </row>
    <row r="7279" spans="1:13">
      <c r="A7279" t="s">
        <v>851</v>
      </c>
      <c r="B7279" t="s">
        <v>687</v>
      </c>
      <c r="C7279" t="s">
        <v>687</v>
      </c>
      <c r="D7279" t="s">
        <v>3185</v>
      </c>
      <c r="E7279" t="s">
        <v>646</v>
      </c>
      <c r="F7279" t="s">
        <v>40</v>
      </c>
      <c r="G7279">
        <v>2035</v>
      </c>
      <c r="H7279" s="12">
        <v>670</v>
      </c>
      <c r="I7279" t="s">
        <v>3183</v>
      </c>
      <c r="J7279" t="s">
        <v>5</v>
      </c>
      <c r="K7279" t="s">
        <v>9</v>
      </c>
      <c r="L7279" t="s">
        <v>844</v>
      </c>
      <c r="M7279" t="s">
        <v>665</v>
      </c>
    </row>
    <row r="7280" spans="1:13">
      <c r="A7280" t="s">
        <v>851</v>
      </c>
      <c r="B7280" t="s">
        <v>687</v>
      </c>
      <c r="C7280" t="s">
        <v>687</v>
      </c>
      <c r="D7280" t="s">
        <v>3185</v>
      </c>
      <c r="E7280" t="s">
        <v>646</v>
      </c>
      <c r="F7280" t="s">
        <v>40</v>
      </c>
      <c r="G7280">
        <v>2040</v>
      </c>
      <c r="H7280" s="12">
        <v>602</v>
      </c>
      <c r="I7280" t="s">
        <v>3183</v>
      </c>
      <c r="J7280" t="s">
        <v>5</v>
      </c>
      <c r="K7280" t="s">
        <v>9</v>
      </c>
      <c r="L7280" t="s">
        <v>844</v>
      </c>
      <c r="M7280" t="s">
        <v>665</v>
      </c>
    </row>
    <row r="7281" spans="1:13">
      <c r="A7281" t="s">
        <v>851</v>
      </c>
      <c r="B7281" t="s">
        <v>687</v>
      </c>
      <c r="C7281" t="s">
        <v>687</v>
      </c>
      <c r="D7281" t="s">
        <v>3185</v>
      </c>
      <c r="E7281" t="s">
        <v>646</v>
      </c>
      <c r="F7281" t="s">
        <v>40</v>
      </c>
      <c r="G7281">
        <v>2045</v>
      </c>
      <c r="H7281" s="12">
        <v>496</v>
      </c>
      <c r="I7281" t="s">
        <v>3183</v>
      </c>
      <c r="J7281" t="s">
        <v>5</v>
      </c>
      <c r="K7281" t="s">
        <v>9</v>
      </c>
      <c r="L7281" t="s">
        <v>844</v>
      </c>
      <c r="M7281" t="s">
        <v>665</v>
      </c>
    </row>
    <row r="7282" spans="1:13">
      <c r="A7282" t="s">
        <v>851</v>
      </c>
      <c r="B7282" t="s">
        <v>687</v>
      </c>
      <c r="C7282" t="s">
        <v>687</v>
      </c>
      <c r="D7282" t="s">
        <v>3185</v>
      </c>
      <c r="E7282" t="s">
        <v>646</v>
      </c>
      <c r="F7282" t="s">
        <v>40</v>
      </c>
      <c r="G7282">
        <v>2050</v>
      </c>
      <c r="H7282" s="12">
        <v>398</v>
      </c>
      <c r="I7282" t="s">
        <v>3183</v>
      </c>
      <c r="J7282" t="s">
        <v>5</v>
      </c>
      <c r="K7282" t="s">
        <v>9</v>
      </c>
      <c r="L7282" t="s">
        <v>844</v>
      </c>
      <c r="M7282" t="s">
        <v>665</v>
      </c>
    </row>
    <row r="7283" spans="1:13">
      <c r="A7283" t="s">
        <v>851</v>
      </c>
      <c r="B7283" t="s">
        <v>686</v>
      </c>
      <c r="C7283" t="s">
        <v>686</v>
      </c>
      <c r="D7283" t="s">
        <v>3185</v>
      </c>
      <c r="E7283" t="s">
        <v>646</v>
      </c>
      <c r="F7283" t="s">
        <v>40</v>
      </c>
      <c r="G7283">
        <v>2010</v>
      </c>
      <c r="H7283" s="12">
        <v>5166</v>
      </c>
      <c r="I7283" t="s">
        <v>3183</v>
      </c>
      <c r="J7283" t="s">
        <v>394</v>
      </c>
      <c r="K7283" t="s">
        <v>11</v>
      </c>
      <c r="L7283" t="s">
        <v>844</v>
      </c>
      <c r="M7283" t="s">
        <v>16</v>
      </c>
    </row>
    <row r="7284" spans="1:13">
      <c r="A7284" t="s">
        <v>851</v>
      </c>
      <c r="B7284" t="s">
        <v>686</v>
      </c>
      <c r="C7284" t="s">
        <v>686</v>
      </c>
      <c r="D7284" t="s">
        <v>3185</v>
      </c>
      <c r="E7284" t="s">
        <v>646</v>
      </c>
      <c r="F7284" t="s">
        <v>40</v>
      </c>
      <c r="G7284">
        <v>2015</v>
      </c>
      <c r="H7284" s="12">
        <v>5992</v>
      </c>
      <c r="I7284" t="s">
        <v>3183</v>
      </c>
      <c r="J7284" t="s">
        <v>394</v>
      </c>
      <c r="K7284" t="s">
        <v>11</v>
      </c>
      <c r="L7284" t="s">
        <v>844</v>
      </c>
      <c r="M7284" t="s">
        <v>16</v>
      </c>
    </row>
    <row r="7285" spans="1:13">
      <c r="A7285" t="s">
        <v>851</v>
      </c>
      <c r="B7285" t="s">
        <v>686</v>
      </c>
      <c r="C7285" t="s">
        <v>686</v>
      </c>
      <c r="D7285" t="s">
        <v>3185</v>
      </c>
      <c r="E7285" t="s">
        <v>646</v>
      </c>
      <c r="F7285" t="s">
        <v>40</v>
      </c>
      <c r="G7285">
        <v>2020</v>
      </c>
      <c r="H7285" s="12">
        <v>5332</v>
      </c>
      <c r="I7285" t="s">
        <v>3183</v>
      </c>
      <c r="J7285" t="s">
        <v>394</v>
      </c>
      <c r="K7285" t="s">
        <v>11</v>
      </c>
      <c r="L7285" t="s">
        <v>844</v>
      </c>
      <c r="M7285" t="s">
        <v>16</v>
      </c>
    </row>
    <row r="7286" spans="1:13">
      <c r="A7286" t="s">
        <v>851</v>
      </c>
      <c r="B7286" t="s">
        <v>686</v>
      </c>
      <c r="C7286" t="s">
        <v>686</v>
      </c>
      <c r="D7286" t="s">
        <v>3185</v>
      </c>
      <c r="E7286" t="s">
        <v>646</v>
      </c>
      <c r="F7286" t="s">
        <v>40</v>
      </c>
      <c r="G7286">
        <v>2030</v>
      </c>
      <c r="H7286" s="12">
        <v>6643</v>
      </c>
      <c r="I7286" t="s">
        <v>3183</v>
      </c>
      <c r="J7286" t="s">
        <v>394</v>
      </c>
      <c r="K7286" t="s">
        <v>11</v>
      </c>
      <c r="L7286" t="s">
        <v>844</v>
      </c>
      <c r="M7286" t="s">
        <v>16</v>
      </c>
    </row>
    <row r="7287" spans="1:13">
      <c r="A7287" t="s">
        <v>851</v>
      </c>
      <c r="B7287" t="s">
        <v>686</v>
      </c>
      <c r="C7287" t="s">
        <v>686</v>
      </c>
      <c r="D7287" t="s">
        <v>3185</v>
      </c>
      <c r="E7287" t="s">
        <v>646</v>
      </c>
      <c r="F7287" t="s">
        <v>40</v>
      </c>
      <c r="G7287">
        <v>2035</v>
      </c>
      <c r="H7287" s="12">
        <v>7152</v>
      </c>
      <c r="I7287" t="s">
        <v>3183</v>
      </c>
      <c r="J7287" t="s">
        <v>394</v>
      </c>
      <c r="K7287" t="s">
        <v>11</v>
      </c>
      <c r="L7287" t="s">
        <v>844</v>
      </c>
      <c r="M7287" t="s">
        <v>16</v>
      </c>
    </row>
    <row r="7288" spans="1:13">
      <c r="A7288" t="s">
        <v>851</v>
      </c>
      <c r="B7288" t="s">
        <v>686</v>
      </c>
      <c r="C7288" t="s">
        <v>686</v>
      </c>
      <c r="D7288" t="s">
        <v>3185</v>
      </c>
      <c r="E7288" t="s">
        <v>646</v>
      </c>
      <c r="F7288" t="s">
        <v>40</v>
      </c>
      <c r="G7288">
        <v>2040</v>
      </c>
      <c r="H7288" s="12">
        <v>7414</v>
      </c>
      <c r="I7288" t="s">
        <v>3183</v>
      </c>
      <c r="J7288" t="s">
        <v>394</v>
      </c>
      <c r="K7288" t="s">
        <v>11</v>
      </c>
      <c r="L7288" t="s">
        <v>844</v>
      </c>
      <c r="M7288" t="s">
        <v>16</v>
      </c>
    </row>
    <row r="7289" spans="1:13">
      <c r="A7289" t="s">
        <v>851</v>
      </c>
      <c r="B7289" t="s">
        <v>686</v>
      </c>
      <c r="C7289" t="s">
        <v>686</v>
      </c>
      <c r="D7289" t="s">
        <v>3185</v>
      </c>
      <c r="E7289" t="s">
        <v>646</v>
      </c>
      <c r="F7289" t="s">
        <v>40</v>
      </c>
      <c r="G7289">
        <v>2045</v>
      </c>
      <c r="H7289" s="12">
        <v>7576</v>
      </c>
      <c r="I7289" t="s">
        <v>3183</v>
      </c>
      <c r="J7289" t="s">
        <v>394</v>
      </c>
      <c r="K7289" t="s">
        <v>11</v>
      </c>
      <c r="L7289" t="s">
        <v>844</v>
      </c>
      <c r="M7289" t="s">
        <v>16</v>
      </c>
    </row>
    <row r="7290" spans="1:13">
      <c r="A7290" t="s">
        <v>851</v>
      </c>
      <c r="B7290" t="s">
        <v>686</v>
      </c>
      <c r="C7290" t="s">
        <v>686</v>
      </c>
      <c r="D7290" t="s">
        <v>3185</v>
      </c>
      <c r="E7290" t="s">
        <v>646</v>
      </c>
      <c r="F7290" t="s">
        <v>40</v>
      </c>
      <c r="G7290">
        <v>2050</v>
      </c>
      <c r="H7290" s="12">
        <v>7518</v>
      </c>
      <c r="I7290" t="s">
        <v>3183</v>
      </c>
      <c r="J7290" t="s">
        <v>394</v>
      </c>
      <c r="K7290" t="s">
        <v>11</v>
      </c>
      <c r="L7290" t="s">
        <v>844</v>
      </c>
      <c r="M7290" t="s">
        <v>16</v>
      </c>
    </row>
    <row r="7291" spans="1:13">
      <c r="A7291" t="s">
        <v>851</v>
      </c>
      <c r="B7291" t="s">
        <v>687</v>
      </c>
      <c r="C7291" t="s">
        <v>687</v>
      </c>
      <c r="D7291" t="s">
        <v>3185</v>
      </c>
      <c r="E7291" t="s">
        <v>646</v>
      </c>
      <c r="F7291" t="s">
        <v>40</v>
      </c>
      <c r="G7291">
        <v>2030</v>
      </c>
      <c r="H7291" s="12">
        <v>5840</v>
      </c>
      <c r="I7291" t="s">
        <v>3183</v>
      </c>
      <c r="J7291" t="s">
        <v>394</v>
      </c>
      <c r="K7291" t="s">
        <v>11</v>
      </c>
      <c r="L7291" t="s">
        <v>844</v>
      </c>
      <c r="M7291" t="s">
        <v>16</v>
      </c>
    </row>
    <row r="7292" spans="1:13">
      <c r="A7292" t="s">
        <v>851</v>
      </c>
      <c r="B7292" t="s">
        <v>687</v>
      </c>
      <c r="C7292" t="s">
        <v>687</v>
      </c>
      <c r="D7292" t="s">
        <v>3185</v>
      </c>
      <c r="E7292" t="s">
        <v>646</v>
      </c>
      <c r="F7292" t="s">
        <v>40</v>
      </c>
      <c r="G7292">
        <v>2035</v>
      </c>
      <c r="H7292" s="12">
        <v>5207</v>
      </c>
      <c r="I7292" t="s">
        <v>3183</v>
      </c>
      <c r="J7292" t="s">
        <v>394</v>
      </c>
      <c r="K7292" t="s">
        <v>11</v>
      </c>
      <c r="L7292" t="s">
        <v>844</v>
      </c>
      <c r="M7292" t="s">
        <v>16</v>
      </c>
    </row>
    <row r="7293" spans="1:13">
      <c r="A7293" t="s">
        <v>851</v>
      </c>
      <c r="B7293" t="s">
        <v>687</v>
      </c>
      <c r="C7293" t="s">
        <v>687</v>
      </c>
      <c r="D7293" t="s">
        <v>3185</v>
      </c>
      <c r="E7293" t="s">
        <v>646</v>
      </c>
      <c r="F7293" t="s">
        <v>40</v>
      </c>
      <c r="G7293">
        <v>2040</v>
      </c>
      <c r="H7293" s="12">
        <v>4285</v>
      </c>
      <c r="I7293" t="s">
        <v>3183</v>
      </c>
      <c r="J7293" t="s">
        <v>394</v>
      </c>
      <c r="K7293" t="s">
        <v>11</v>
      </c>
      <c r="L7293" t="s">
        <v>844</v>
      </c>
      <c r="M7293" t="s">
        <v>16</v>
      </c>
    </row>
    <row r="7294" spans="1:13">
      <c r="A7294" t="s">
        <v>851</v>
      </c>
      <c r="B7294" t="s">
        <v>687</v>
      </c>
      <c r="C7294" t="s">
        <v>687</v>
      </c>
      <c r="D7294" t="s">
        <v>3185</v>
      </c>
      <c r="E7294" t="s">
        <v>646</v>
      </c>
      <c r="F7294" t="s">
        <v>40</v>
      </c>
      <c r="G7294">
        <v>2045</v>
      </c>
      <c r="H7294" s="12">
        <v>3474</v>
      </c>
      <c r="I7294" t="s">
        <v>3183</v>
      </c>
      <c r="J7294" t="s">
        <v>394</v>
      </c>
      <c r="K7294" t="s">
        <v>11</v>
      </c>
      <c r="L7294" t="s">
        <v>844</v>
      </c>
      <c r="M7294" t="s">
        <v>16</v>
      </c>
    </row>
    <row r="7295" spans="1:13">
      <c r="A7295" t="s">
        <v>851</v>
      </c>
      <c r="B7295" t="s">
        <v>687</v>
      </c>
      <c r="C7295" t="s">
        <v>687</v>
      </c>
      <c r="D7295" t="s">
        <v>3185</v>
      </c>
      <c r="E7295" t="s">
        <v>646</v>
      </c>
      <c r="F7295" t="s">
        <v>40</v>
      </c>
      <c r="G7295">
        <v>2050</v>
      </c>
      <c r="H7295" s="12">
        <v>2814</v>
      </c>
      <c r="I7295" t="s">
        <v>3183</v>
      </c>
      <c r="J7295" t="s">
        <v>394</v>
      </c>
      <c r="K7295" t="s">
        <v>11</v>
      </c>
      <c r="L7295" t="s">
        <v>844</v>
      </c>
      <c r="M7295" t="s">
        <v>16</v>
      </c>
    </row>
    <row r="7296" spans="1:13">
      <c r="A7296" t="s">
        <v>851</v>
      </c>
      <c r="B7296" t="s">
        <v>686</v>
      </c>
      <c r="C7296" t="s">
        <v>686</v>
      </c>
      <c r="D7296" t="s">
        <v>3185</v>
      </c>
      <c r="E7296" t="s">
        <v>646</v>
      </c>
      <c r="F7296" t="s">
        <v>40</v>
      </c>
      <c r="G7296">
        <v>2010</v>
      </c>
      <c r="H7296" s="12">
        <v>1439</v>
      </c>
      <c r="I7296" t="s">
        <v>3183</v>
      </c>
      <c r="J7296" t="s">
        <v>344</v>
      </c>
      <c r="K7296" t="s">
        <v>9</v>
      </c>
      <c r="L7296" t="s">
        <v>844</v>
      </c>
      <c r="M7296" t="s">
        <v>10</v>
      </c>
    </row>
    <row r="7297" spans="1:13">
      <c r="A7297" t="s">
        <v>851</v>
      </c>
      <c r="B7297" t="s">
        <v>686</v>
      </c>
      <c r="C7297" t="s">
        <v>686</v>
      </c>
      <c r="D7297" t="s">
        <v>3185</v>
      </c>
      <c r="E7297" t="s">
        <v>646</v>
      </c>
      <c r="F7297" t="s">
        <v>40</v>
      </c>
      <c r="G7297">
        <v>2015</v>
      </c>
      <c r="H7297" s="12">
        <v>1487</v>
      </c>
      <c r="I7297" t="s">
        <v>3183</v>
      </c>
      <c r="J7297" t="s">
        <v>344</v>
      </c>
      <c r="K7297" t="s">
        <v>9</v>
      </c>
      <c r="L7297" t="s">
        <v>844</v>
      </c>
      <c r="M7297" t="s">
        <v>10</v>
      </c>
    </row>
    <row r="7298" spans="1:13">
      <c r="A7298" t="s">
        <v>851</v>
      </c>
      <c r="B7298" t="s">
        <v>686</v>
      </c>
      <c r="C7298" t="s">
        <v>686</v>
      </c>
      <c r="D7298" t="s">
        <v>3185</v>
      </c>
      <c r="E7298" t="s">
        <v>646</v>
      </c>
      <c r="F7298" t="s">
        <v>40</v>
      </c>
      <c r="G7298">
        <v>2020</v>
      </c>
      <c r="H7298" s="12">
        <v>1455</v>
      </c>
      <c r="I7298" t="s">
        <v>3183</v>
      </c>
      <c r="J7298" t="s">
        <v>344</v>
      </c>
      <c r="K7298" t="s">
        <v>9</v>
      </c>
      <c r="L7298" t="s">
        <v>844</v>
      </c>
      <c r="M7298" t="s">
        <v>10</v>
      </c>
    </row>
    <row r="7299" spans="1:13">
      <c r="A7299" t="s">
        <v>851</v>
      </c>
      <c r="B7299" t="s">
        <v>686</v>
      </c>
      <c r="C7299" t="s">
        <v>686</v>
      </c>
      <c r="D7299" t="s">
        <v>3185</v>
      </c>
      <c r="E7299" t="s">
        <v>646</v>
      </c>
      <c r="F7299" t="s">
        <v>40</v>
      </c>
      <c r="G7299">
        <v>2030</v>
      </c>
      <c r="H7299" s="12">
        <v>1730</v>
      </c>
      <c r="I7299" t="s">
        <v>3183</v>
      </c>
      <c r="J7299" t="s">
        <v>344</v>
      </c>
      <c r="K7299" t="s">
        <v>9</v>
      </c>
      <c r="L7299" t="s">
        <v>844</v>
      </c>
      <c r="M7299" t="s">
        <v>10</v>
      </c>
    </row>
    <row r="7300" spans="1:13">
      <c r="A7300" t="s">
        <v>851</v>
      </c>
      <c r="B7300" t="s">
        <v>686</v>
      </c>
      <c r="C7300" t="s">
        <v>686</v>
      </c>
      <c r="D7300" t="s">
        <v>3185</v>
      </c>
      <c r="E7300" t="s">
        <v>646</v>
      </c>
      <c r="F7300" t="s">
        <v>40</v>
      </c>
      <c r="G7300">
        <v>2035</v>
      </c>
      <c r="H7300" s="12">
        <v>1855</v>
      </c>
      <c r="I7300" t="s">
        <v>3183</v>
      </c>
      <c r="J7300" t="s">
        <v>344</v>
      </c>
      <c r="K7300" t="s">
        <v>9</v>
      </c>
      <c r="L7300" t="s">
        <v>844</v>
      </c>
      <c r="M7300" t="s">
        <v>10</v>
      </c>
    </row>
    <row r="7301" spans="1:13">
      <c r="A7301" t="s">
        <v>851</v>
      </c>
      <c r="B7301" t="s">
        <v>686</v>
      </c>
      <c r="C7301" t="s">
        <v>686</v>
      </c>
      <c r="D7301" t="s">
        <v>3185</v>
      </c>
      <c r="E7301" t="s">
        <v>646</v>
      </c>
      <c r="F7301" t="s">
        <v>40</v>
      </c>
      <c r="G7301">
        <v>2040</v>
      </c>
      <c r="H7301" s="12">
        <v>1964</v>
      </c>
      <c r="I7301" t="s">
        <v>3183</v>
      </c>
      <c r="J7301" t="s">
        <v>344</v>
      </c>
      <c r="K7301" t="s">
        <v>9</v>
      </c>
      <c r="L7301" t="s">
        <v>844</v>
      </c>
      <c r="M7301" t="s">
        <v>10</v>
      </c>
    </row>
    <row r="7302" spans="1:13">
      <c r="A7302" t="s">
        <v>851</v>
      </c>
      <c r="B7302" t="s">
        <v>686</v>
      </c>
      <c r="C7302" t="s">
        <v>686</v>
      </c>
      <c r="D7302" t="s">
        <v>3185</v>
      </c>
      <c r="E7302" t="s">
        <v>646</v>
      </c>
      <c r="F7302" t="s">
        <v>40</v>
      </c>
      <c r="G7302">
        <v>2045</v>
      </c>
      <c r="H7302" s="12">
        <v>2056</v>
      </c>
      <c r="I7302" t="s">
        <v>3183</v>
      </c>
      <c r="J7302" t="s">
        <v>344</v>
      </c>
      <c r="K7302" t="s">
        <v>9</v>
      </c>
      <c r="L7302" t="s">
        <v>844</v>
      </c>
      <c r="M7302" t="s">
        <v>10</v>
      </c>
    </row>
    <row r="7303" spans="1:13">
      <c r="A7303" t="s">
        <v>851</v>
      </c>
      <c r="B7303" t="s">
        <v>686</v>
      </c>
      <c r="C7303" t="s">
        <v>686</v>
      </c>
      <c r="D7303" t="s">
        <v>3185</v>
      </c>
      <c r="E7303" t="s">
        <v>646</v>
      </c>
      <c r="F7303" t="s">
        <v>40</v>
      </c>
      <c r="G7303">
        <v>2050</v>
      </c>
      <c r="H7303" s="12">
        <v>2128</v>
      </c>
      <c r="I7303" t="s">
        <v>3183</v>
      </c>
      <c r="J7303" t="s">
        <v>344</v>
      </c>
      <c r="K7303" t="s">
        <v>9</v>
      </c>
      <c r="L7303" t="s">
        <v>844</v>
      </c>
      <c r="M7303" t="s">
        <v>10</v>
      </c>
    </row>
    <row r="7304" spans="1:13">
      <c r="A7304" t="s">
        <v>851</v>
      </c>
      <c r="B7304" t="s">
        <v>687</v>
      </c>
      <c r="C7304" t="s">
        <v>687</v>
      </c>
      <c r="D7304" t="s">
        <v>3185</v>
      </c>
      <c r="E7304" t="s">
        <v>646</v>
      </c>
      <c r="F7304" t="s">
        <v>40</v>
      </c>
      <c r="G7304">
        <v>2030</v>
      </c>
      <c r="H7304" s="12">
        <v>1862</v>
      </c>
      <c r="I7304" t="s">
        <v>3183</v>
      </c>
      <c r="J7304" t="s">
        <v>344</v>
      </c>
      <c r="K7304" t="s">
        <v>9</v>
      </c>
      <c r="L7304" t="s">
        <v>844</v>
      </c>
      <c r="M7304" t="s">
        <v>10</v>
      </c>
    </row>
    <row r="7305" spans="1:13">
      <c r="A7305" t="s">
        <v>851</v>
      </c>
      <c r="B7305" t="s">
        <v>687</v>
      </c>
      <c r="C7305" t="s">
        <v>687</v>
      </c>
      <c r="D7305" t="s">
        <v>3185</v>
      </c>
      <c r="E7305" t="s">
        <v>646</v>
      </c>
      <c r="F7305" t="s">
        <v>40</v>
      </c>
      <c r="G7305">
        <v>2035</v>
      </c>
      <c r="H7305" s="12">
        <v>2058</v>
      </c>
      <c r="I7305" t="s">
        <v>3183</v>
      </c>
      <c r="J7305" t="s">
        <v>344</v>
      </c>
      <c r="K7305" t="s">
        <v>9</v>
      </c>
      <c r="L7305" t="s">
        <v>844</v>
      </c>
      <c r="M7305" t="s">
        <v>10</v>
      </c>
    </row>
    <row r="7306" spans="1:13">
      <c r="A7306" t="s">
        <v>851</v>
      </c>
      <c r="B7306" t="s">
        <v>687</v>
      </c>
      <c r="C7306" t="s">
        <v>687</v>
      </c>
      <c r="D7306" t="s">
        <v>3185</v>
      </c>
      <c r="E7306" t="s">
        <v>646</v>
      </c>
      <c r="F7306" t="s">
        <v>40</v>
      </c>
      <c r="G7306">
        <v>2040</v>
      </c>
      <c r="H7306" s="12">
        <v>2220</v>
      </c>
      <c r="I7306" t="s">
        <v>3183</v>
      </c>
      <c r="J7306" t="s">
        <v>344</v>
      </c>
      <c r="K7306" t="s">
        <v>9</v>
      </c>
      <c r="L7306" t="s">
        <v>844</v>
      </c>
      <c r="M7306" t="s">
        <v>10</v>
      </c>
    </row>
    <row r="7307" spans="1:13">
      <c r="A7307" t="s">
        <v>851</v>
      </c>
      <c r="B7307" t="s">
        <v>687</v>
      </c>
      <c r="C7307" t="s">
        <v>687</v>
      </c>
      <c r="D7307" t="s">
        <v>3185</v>
      </c>
      <c r="E7307" t="s">
        <v>646</v>
      </c>
      <c r="F7307" t="s">
        <v>40</v>
      </c>
      <c r="G7307">
        <v>2045</v>
      </c>
      <c r="H7307" s="12">
        <v>2362</v>
      </c>
      <c r="I7307" t="s">
        <v>3183</v>
      </c>
      <c r="J7307" t="s">
        <v>344</v>
      </c>
      <c r="K7307" t="s">
        <v>9</v>
      </c>
      <c r="L7307" t="s">
        <v>844</v>
      </c>
      <c r="M7307" t="s">
        <v>10</v>
      </c>
    </row>
    <row r="7308" spans="1:13">
      <c r="A7308" t="s">
        <v>851</v>
      </c>
      <c r="B7308" t="s">
        <v>687</v>
      </c>
      <c r="C7308" t="s">
        <v>687</v>
      </c>
      <c r="D7308" t="s">
        <v>3185</v>
      </c>
      <c r="E7308" t="s">
        <v>646</v>
      </c>
      <c r="F7308" t="s">
        <v>40</v>
      </c>
      <c r="G7308">
        <v>2050</v>
      </c>
      <c r="H7308" s="12">
        <v>2485</v>
      </c>
      <c r="I7308" t="s">
        <v>3183</v>
      </c>
      <c r="J7308" t="s">
        <v>344</v>
      </c>
      <c r="K7308" t="s">
        <v>9</v>
      </c>
      <c r="L7308" t="s">
        <v>844</v>
      </c>
      <c r="M7308" t="s">
        <v>10</v>
      </c>
    </row>
    <row r="7309" spans="1:13">
      <c r="A7309" t="s">
        <v>851</v>
      </c>
      <c r="B7309" t="s">
        <v>687</v>
      </c>
      <c r="C7309" t="s">
        <v>687</v>
      </c>
      <c r="D7309" t="s">
        <v>3185</v>
      </c>
      <c r="E7309" t="s">
        <v>646</v>
      </c>
      <c r="F7309" t="s">
        <v>40</v>
      </c>
      <c r="G7309">
        <v>2030</v>
      </c>
      <c r="H7309" s="12">
        <v>773</v>
      </c>
      <c r="I7309" t="s">
        <v>3183</v>
      </c>
      <c r="J7309" t="s">
        <v>394</v>
      </c>
      <c r="K7309" t="s">
        <v>272</v>
      </c>
      <c r="L7309" t="s">
        <v>844</v>
      </c>
      <c r="M7309" t="s">
        <v>16</v>
      </c>
    </row>
    <row r="7310" spans="1:13">
      <c r="A7310" t="s">
        <v>851</v>
      </c>
      <c r="B7310" t="s">
        <v>687</v>
      </c>
      <c r="C7310" t="s">
        <v>687</v>
      </c>
      <c r="D7310" t="s">
        <v>3185</v>
      </c>
      <c r="E7310" t="s">
        <v>646</v>
      </c>
      <c r="F7310" t="s">
        <v>40</v>
      </c>
      <c r="G7310">
        <v>2035</v>
      </c>
      <c r="H7310" s="12">
        <v>728</v>
      </c>
      <c r="I7310" t="s">
        <v>3183</v>
      </c>
      <c r="J7310" t="s">
        <v>394</v>
      </c>
      <c r="K7310" t="s">
        <v>272</v>
      </c>
      <c r="L7310" t="s">
        <v>844</v>
      </c>
      <c r="M7310" t="s">
        <v>16</v>
      </c>
    </row>
    <row r="7311" spans="1:13">
      <c r="A7311" t="s">
        <v>851</v>
      </c>
      <c r="B7311" t="s">
        <v>687</v>
      </c>
      <c r="C7311" t="s">
        <v>687</v>
      </c>
      <c r="D7311" t="s">
        <v>3185</v>
      </c>
      <c r="E7311" t="s">
        <v>646</v>
      </c>
      <c r="F7311" t="s">
        <v>40</v>
      </c>
      <c r="G7311">
        <v>2040</v>
      </c>
      <c r="H7311" s="12">
        <v>678</v>
      </c>
      <c r="I7311" t="s">
        <v>3183</v>
      </c>
      <c r="J7311" t="s">
        <v>394</v>
      </c>
      <c r="K7311" t="s">
        <v>272</v>
      </c>
      <c r="L7311" t="s">
        <v>844</v>
      </c>
      <c r="M7311" t="s">
        <v>16</v>
      </c>
    </row>
    <row r="7312" spans="1:13">
      <c r="A7312" t="s">
        <v>851</v>
      </c>
      <c r="B7312" t="s">
        <v>687</v>
      </c>
      <c r="C7312" t="s">
        <v>687</v>
      </c>
      <c r="D7312" t="s">
        <v>3185</v>
      </c>
      <c r="E7312" t="s">
        <v>646</v>
      </c>
      <c r="F7312" t="s">
        <v>40</v>
      </c>
      <c r="G7312">
        <v>2045</v>
      </c>
      <c r="H7312" s="12">
        <v>617</v>
      </c>
      <c r="I7312" t="s">
        <v>3183</v>
      </c>
      <c r="J7312" t="s">
        <v>394</v>
      </c>
      <c r="K7312" t="s">
        <v>272</v>
      </c>
      <c r="L7312" t="s">
        <v>844</v>
      </c>
      <c r="M7312" t="s">
        <v>16</v>
      </c>
    </row>
    <row r="7313" spans="1:13">
      <c r="A7313" t="s">
        <v>851</v>
      </c>
      <c r="B7313" t="s">
        <v>687</v>
      </c>
      <c r="C7313" t="s">
        <v>687</v>
      </c>
      <c r="D7313" t="s">
        <v>3185</v>
      </c>
      <c r="E7313" t="s">
        <v>646</v>
      </c>
      <c r="F7313" t="s">
        <v>40</v>
      </c>
      <c r="G7313">
        <v>2050</v>
      </c>
      <c r="H7313" s="12">
        <v>582</v>
      </c>
      <c r="I7313" t="s">
        <v>3183</v>
      </c>
      <c r="J7313" t="s">
        <v>394</v>
      </c>
      <c r="K7313" t="s">
        <v>272</v>
      </c>
      <c r="L7313" t="s">
        <v>844</v>
      </c>
      <c r="M7313" t="s">
        <v>16</v>
      </c>
    </row>
    <row r="7314" spans="1:13">
      <c r="A7314" t="s">
        <v>851</v>
      </c>
      <c r="B7314" t="s">
        <v>686</v>
      </c>
      <c r="C7314" t="s">
        <v>686</v>
      </c>
      <c r="D7314" t="s">
        <v>3185</v>
      </c>
      <c r="E7314" t="s">
        <v>660</v>
      </c>
      <c r="F7314" t="s">
        <v>40</v>
      </c>
      <c r="G7314">
        <v>2010</v>
      </c>
      <c r="H7314" s="12">
        <v>1074</v>
      </c>
      <c r="I7314" t="s">
        <v>3183</v>
      </c>
      <c r="J7314" t="s">
        <v>5</v>
      </c>
      <c r="K7314" t="s">
        <v>657</v>
      </c>
      <c r="L7314" t="s">
        <v>844</v>
      </c>
      <c r="M7314" t="s">
        <v>5</v>
      </c>
    </row>
    <row r="7315" spans="1:13">
      <c r="A7315" t="s">
        <v>851</v>
      </c>
      <c r="B7315" t="s">
        <v>686</v>
      </c>
      <c r="C7315" t="s">
        <v>686</v>
      </c>
      <c r="D7315" t="s">
        <v>3185</v>
      </c>
      <c r="E7315" t="s">
        <v>660</v>
      </c>
      <c r="F7315" t="s">
        <v>40</v>
      </c>
      <c r="G7315">
        <v>2015</v>
      </c>
      <c r="H7315" s="12">
        <v>1429</v>
      </c>
      <c r="I7315" t="s">
        <v>3183</v>
      </c>
      <c r="J7315" t="s">
        <v>5</v>
      </c>
      <c r="K7315" t="s">
        <v>657</v>
      </c>
      <c r="L7315" t="s">
        <v>844</v>
      </c>
      <c r="M7315" t="s">
        <v>5</v>
      </c>
    </row>
    <row r="7316" spans="1:13">
      <c r="A7316" t="s">
        <v>851</v>
      </c>
      <c r="B7316" t="s">
        <v>686</v>
      </c>
      <c r="C7316" t="s">
        <v>686</v>
      </c>
      <c r="D7316" t="s">
        <v>3185</v>
      </c>
      <c r="E7316" t="s">
        <v>660</v>
      </c>
      <c r="F7316" t="s">
        <v>40</v>
      </c>
      <c r="G7316">
        <v>2020</v>
      </c>
      <c r="H7316" s="12">
        <v>1214</v>
      </c>
      <c r="I7316" t="s">
        <v>3183</v>
      </c>
      <c r="J7316" t="s">
        <v>5</v>
      </c>
      <c r="K7316" t="s">
        <v>657</v>
      </c>
      <c r="L7316" t="s">
        <v>844</v>
      </c>
      <c r="M7316" t="s">
        <v>5</v>
      </c>
    </row>
    <row r="7317" spans="1:13">
      <c r="A7317" t="s">
        <v>851</v>
      </c>
      <c r="B7317" t="s">
        <v>686</v>
      </c>
      <c r="C7317" t="s">
        <v>686</v>
      </c>
      <c r="D7317" t="s">
        <v>3185</v>
      </c>
      <c r="E7317" t="s">
        <v>660</v>
      </c>
      <c r="F7317" t="s">
        <v>40</v>
      </c>
      <c r="G7317">
        <v>2030</v>
      </c>
      <c r="H7317" s="12">
        <v>1225</v>
      </c>
      <c r="I7317" t="s">
        <v>3183</v>
      </c>
      <c r="J7317" t="s">
        <v>5</v>
      </c>
      <c r="K7317" t="s">
        <v>657</v>
      </c>
      <c r="L7317" t="s">
        <v>844</v>
      </c>
      <c r="M7317" t="s">
        <v>5</v>
      </c>
    </row>
    <row r="7318" spans="1:13">
      <c r="A7318" t="s">
        <v>851</v>
      </c>
      <c r="B7318" t="s">
        <v>686</v>
      </c>
      <c r="C7318" t="s">
        <v>686</v>
      </c>
      <c r="D7318" t="s">
        <v>3185</v>
      </c>
      <c r="E7318" t="s">
        <v>660</v>
      </c>
      <c r="F7318" t="s">
        <v>40</v>
      </c>
      <c r="G7318">
        <v>2035</v>
      </c>
      <c r="H7318" s="12">
        <v>1276</v>
      </c>
      <c r="I7318" t="s">
        <v>3183</v>
      </c>
      <c r="J7318" t="s">
        <v>5</v>
      </c>
      <c r="K7318" t="s">
        <v>657</v>
      </c>
      <c r="L7318" t="s">
        <v>844</v>
      </c>
      <c r="M7318" t="s">
        <v>5</v>
      </c>
    </row>
    <row r="7319" spans="1:13">
      <c r="A7319" t="s">
        <v>851</v>
      </c>
      <c r="B7319" t="s">
        <v>686</v>
      </c>
      <c r="C7319" t="s">
        <v>686</v>
      </c>
      <c r="D7319" t="s">
        <v>3185</v>
      </c>
      <c r="E7319" t="s">
        <v>660</v>
      </c>
      <c r="F7319" t="s">
        <v>40</v>
      </c>
      <c r="G7319">
        <v>2040</v>
      </c>
      <c r="H7319" s="12">
        <v>1358</v>
      </c>
      <c r="I7319" t="s">
        <v>3183</v>
      </c>
      <c r="J7319" t="s">
        <v>5</v>
      </c>
      <c r="K7319" t="s">
        <v>657</v>
      </c>
      <c r="L7319" t="s">
        <v>844</v>
      </c>
      <c r="M7319" t="s">
        <v>5</v>
      </c>
    </row>
    <row r="7320" spans="1:13">
      <c r="A7320" t="s">
        <v>851</v>
      </c>
      <c r="B7320" t="s">
        <v>686</v>
      </c>
      <c r="C7320" t="s">
        <v>686</v>
      </c>
      <c r="D7320" t="s">
        <v>3185</v>
      </c>
      <c r="E7320" t="s">
        <v>660</v>
      </c>
      <c r="F7320" t="s">
        <v>40</v>
      </c>
      <c r="G7320">
        <v>2045</v>
      </c>
      <c r="H7320" s="12">
        <v>1426</v>
      </c>
      <c r="I7320" t="s">
        <v>3183</v>
      </c>
      <c r="J7320" t="s">
        <v>5</v>
      </c>
      <c r="K7320" t="s">
        <v>657</v>
      </c>
      <c r="L7320" t="s">
        <v>844</v>
      </c>
      <c r="M7320" t="s">
        <v>5</v>
      </c>
    </row>
    <row r="7321" spans="1:13">
      <c r="A7321" t="s">
        <v>851</v>
      </c>
      <c r="B7321" t="s">
        <v>686</v>
      </c>
      <c r="C7321" t="s">
        <v>686</v>
      </c>
      <c r="D7321" t="s">
        <v>3185</v>
      </c>
      <c r="E7321" t="s">
        <v>660</v>
      </c>
      <c r="F7321" t="s">
        <v>40</v>
      </c>
      <c r="G7321">
        <v>2050</v>
      </c>
      <c r="H7321" s="12">
        <v>1496</v>
      </c>
      <c r="I7321" t="s">
        <v>3183</v>
      </c>
      <c r="J7321" t="s">
        <v>5</v>
      </c>
      <c r="K7321" t="s">
        <v>657</v>
      </c>
      <c r="L7321" t="s">
        <v>844</v>
      </c>
      <c r="M7321" t="s">
        <v>5</v>
      </c>
    </row>
    <row r="7322" spans="1:13">
      <c r="A7322" t="s">
        <v>851</v>
      </c>
      <c r="B7322" t="s">
        <v>687</v>
      </c>
      <c r="C7322" t="s">
        <v>687</v>
      </c>
      <c r="D7322" t="s">
        <v>3185</v>
      </c>
      <c r="E7322" t="s">
        <v>660</v>
      </c>
      <c r="F7322" t="s">
        <v>40</v>
      </c>
      <c r="G7322">
        <v>2030</v>
      </c>
      <c r="H7322" s="12">
        <v>798</v>
      </c>
      <c r="I7322" t="s">
        <v>3183</v>
      </c>
      <c r="J7322" t="s">
        <v>5</v>
      </c>
      <c r="K7322" t="s">
        <v>657</v>
      </c>
      <c r="L7322" t="s">
        <v>844</v>
      </c>
      <c r="M7322" t="s">
        <v>5</v>
      </c>
    </row>
    <row r="7323" spans="1:13">
      <c r="A7323" t="s">
        <v>851</v>
      </c>
      <c r="B7323" t="s">
        <v>687</v>
      </c>
      <c r="C7323" t="s">
        <v>687</v>
      </c>
      <c r="D7323" t="s">
        <v>3185</v>
      </c>
      <c r="E7323" t="s">
        <v>660</v>
      </c>
      <c r="F7323" t="s">
        <v>40</v>
      </c>
      <c r="G7323">
        <v>2035</v>
      </c>
      <c r="H7323" s="12">
        <v>738</v>
      </c>
      <c r="I7323" t="s">
        <v>3183</v>
      </c>
      <c r="J7323" t="s">
        <v>5</v>
      </c>
      <c r="K7323" t="s">
        <v>657</v>
      </c>
      <c r="L7323" t="s">
        <v>844</v>
      </c>
      <c r="M7323" t="s">
        <v>5</v>
      </c>
    </row>
    <row r="7324" spans="1:13">
      <c r="A7324" t="s">
        <v>851</v>
      </c>
      <c r="B7324" t="s">
        <v>687</v>
      </c>
      <c r="C7324" t="s">
        <v>687</v>
      </c>
      <c r="D7324" t="s">
        <v>3185</v>
      </c>
      <c r="E7324" t="s">
        <v>660</v>
      </c>
      <c r="F7324" t="s">
        <v>40</v>
      </c>
      <c r="G7324">
        <v>2040</v>
      </c>
      <c r="H7324" s="12">
        <v>692</v>
      </c>
      <c r="I7324" t="s">
        <v>3183</v>
      </c>
      <c r="J7324" t="s">
        <v>5</v>
      </c>
      <c r="K7324" t="s">
        <v>657</v>
      </c>
      <c r="L7324" t="s">
        <v>844</v>
      </c>
      <c r="M7324" t="s">
        <v>5</v>
      </c>
    </row>
    <row r="7325" spans="1:13">
      <c r="A7325" t="s">
        <v>851</v>
      </c>
      <c r="B7325" t="s">
        <v>687</v>
      </c>
      <c r="C7325" t="s">
        <v>687</v>
      </c>
      <c r="D7325" t="s">
        <v>3185</v>
      </c>
      <c r="E7325" t="s">
        <v>660</v>
      </c>
      <c r="F7325" t="s">
        <v>40</v>
      </c>
      <c r="G7325">
        <v>2045</v>
      </c>
      <c r="H7325" s="12">
        <v>627</v>
      </c>
      <c r="I7325" t="s">
        <v>3183</v>
      </c>
      <c r="J7325" t="s">
        <v>5</v>
      </c>
      <c r="K7325" t="s">
        <v>657</v>
      </c>
      <c r="L7325" t="s">
        <v>844</v>
      </c>
      <c r="M7325" t="s">
        <v>5</v>
      </c>
    </row>
    <row r="7326" spans="1:13">
      <c r="A7326" t="s">
        <v>851</v>
      </c>
      <c r="B7326" t="s">
        <v>687</v>
      </c>
      <c r="C7326" t="s">
        <v>687</v>
      </c>
      <c r="D7326" t="s">
        <v>3185</v>
      </c>
      <c r="E7326" t="s">
        <v>660</v>
      </c>
      <c r="F7326" t="s">
        <v>40</v>
      </c>
      <c r="G7326">
        <v>2050</v>
      </c>
      <c r="H7326" s="12">
        <v>585</v>
      </c>
      <c r="I7326" t="s">
        <v>3183</v>
      </c>
      <c r="J7326" t="s">
        <v>5</v>
      </c>
      <c r="K7326" t="s">
        <v>657</v>
      </c>
      <c r="L7326" t="s">
        <v>844</v>
      </c>
      <c r="M7326" t="s">
        <v>5</v>
      </c>
    </row>
    <row r="7327" spans="1:13">
      <c r="A7327" t="s">
        <v>851</v>
      </c>
      <c r="B7327" t="s">
        <v>686</v>
      </c>
      <c r="C7327" t="s">
        <v>686</v>
      </c>
      <c r="D7327" t="s">
        <v>3185</v>
      </c>
      <c r="E7327" t="s">
        <v>573</v>
      </c>
      <c r="F7327" t="s">
        <v>40</v>
      </c>
      <c r="G7327">
        <v>2050</v>
      </c>
      <c r="H7327" s="12">
        <v>656</v>
      </c>
      <c r="I7327" t="s">
        <v>3183</v>
      </c>
      <c r="J7327" t="s">
        <v>15</v>
      </c>
      <c r="K7327" t="s">
        <v>147</v>
      </c>
      <c r="L7327" t="s">
        <v>844</v>
      </c>
      <c r="M7327" t="s">
        <v>15</v>
      </c>
    </row>
    <row r="7328" spans="1:13">
      <c r="A7328" t="s">
        <v>851</v>
      </c>
      <c r="B7328" t="s">
        <v>687</v>
      </c>
      <c r="C7328" t="s">
        <v>687</v>
      </c>
      <c r="D7328" t="s">
        <v>3185</v>
      </c>
      <c r="E7328" t="s">
        <v>573</v>
      </c>
      <c r="F7328" t="s">
        <v>40</v>
      </c>
      <c r="G7328">
        <v>2030</v>
      </c>
      <c r="H7328" s="12">
        <v>369</v>
      </c>
      <c r="I7328" t="s">
        <v>3183</v>
      </c>
      <c r="J7328" t="s">
        <v>15</v>
      </c>
      <c r="K7328" t="s">
        <v>147</v>
      </c>
      <c r="L7328" t="s">
        <v>844</v>
      </c>
      <c r="M7328" t="s">
        <v>15</v>
      </c>
    </row>
    <row r="7329" spans="1:13">
      <c r="A7329" t="s">
        <v>851</v>
      </c>
      <c r="B7329" t="s">
        <v>687</v>
      </c>
      <c r="C7329" t="s">
        <v>687</v>
      </c>
      <c r="D7329" t="s">
        <v>3185</v>
      </c>
      <c r="E7329" t="s">
        <v>573</v>
      </c>
      <c r="F7329" t="s">
        <v>40</v>
      </c>
      <c r="G7329">
        <v>2035</v>
      </c>
      <c r="H7329" s="12">
        <v>632</v>
      </c>
      <c r="I7329" t="s">
        <v>3183</v>
      </c>
      <c r="J7329" t="s">
        <v>15</v>
      </c>
      <c r="K7329" t="s">
        <v>147</v>
      </c>
      <c r="L7329" t="s">
        <v>844</v>
      </c>
      <c r="M7329" t="s">
        <v>15</v>
      </c>
    </row>
    <row r="7330" spans="1:13">
      <c r="A7330" t="s">
        <v>851</v>
      </c>
      <c r="B7330" t="s">
        <v>687</v>
      </c>
      <c r="C7330" t="s">
        <v>687</v>
      </c>
      <c r="D7330" t="s">
        <v>3185</v>
      </c>
      <c r="E7330" t="s">
        <v>573</v>
      </c>
      <c r="F7330" t="s">
        <v>40</v>
      </c>
      <c r="G7330">
        <v>2040</v>
      </c>
      <c r="H7330" s="12">
        <v>817</v>
      </c>
      <c r="I7330" t="s">
        <v>3183</v>
      </c>
      <c r="J7330" t="s">
        <v>15</v>
      </c>
      <c r="K7330" t="s">
        <v>147</v>
      </c>
      <c r="L7330" t="s">
        <v>844</v>
      </c>
      <c r="M7330" t="s">
        <v>15</v>
      </c>
    </row>
    <row r="7331" spans="1:13">
      <c r="A7331" t="s">
        <v>851</v>
      </c>
      <c r="B7331" t="s">
        <v>687</v>
      </c>
      <c r="C7331" t="s">
        <v>687</v>
      </c>
      <c r="D7331" t="s">
        <v>3185</v>
      </c>
      <c r="E7331" t="s">
        <v>573</v>
      </c>
      <c r="F7331" t="s">
        <v>40</v>
      </c>
      <c r="G7331">
        <v>2045</v>
      </c>
      <c r="H7331" s="12">
        <v>838</v>
      </c>
      <c r="I7331" t="s">
        <v>3183</v>
      </c>
      <c r="J7331" t="s">
        <v>15</v>
      </c>
      <c r="K7331" t="s">
        <v>147</v>
      </c>
      <c r="L7331" t="s">
        <v>844</v>
      </c>
      <c r="M7331" t="s">
        <v>15</v>
      </c>
    </row>
    <row r="7332" spans="1:13">
      <c r="A7332" t="s">
        <v>851</v>
      </c>
      <c r="B7332" t="s">
        <v>687</v>
      </c>
      <c r="C7332" t="s">
        <v>687</v>
      </c>
      <c r="D7332" t="s">
        <v>3185</v>
      </c>
      <c r="E7332" t="s">
        <v>573</v>
      </c>
      <c r="F7332" t="s">
        <v>40</v>
      </c>
      <c r="G7332">
        <v>2050</v>
      </c>
      <c r="H7332" s="12">
        <v>767</v>
      </c>
      <c r="I7332" t="s">
        <v>3183</v>
      </c>
      <c r="J7332" t="s">
        <v>15</v>
      </c>
      <c r="K7332" t="s">
        <v>147</v>
      </c>
      <c r="L7332" t="s">
        <v>844</v>
      </c>
      <c r="M7332" t="s">
        <v>15</v>
      </c>
    </row>
    <row r="7333" spans="1:13">
      <c r="A7333" t="s">
        <v>851</v>
      </c>
      <c r="B7333" t="s">
        <v>686</v>
      </c>
      <c r="C7333" t="s">
        <v>686</v>
      </c>
      <c r="D7333" t="s">
        <v>3185</v>
      </c>
      <c r="E7333" t="s">
        <v>573</v>
      </c>
      <c r="F7333" t="s">
        <v>40</v>
      </c>
      <c r="G7333">
        <v>2010</v>
      </c>
      <c r="H7333" s="12">
        <v>1538</v>
      </c>
      <c r="I7333" t="s">
        <v>3183</v>
      </c>
      <c r="J7333" t="s">
        <v>6</v>
      </c>
      <c r="K7333" t="s">
        <v>147</v>
      </c>
      <c r="L7333" t="s">
        <v>844</v>
      </c>
      <c r="M7333" t="s">
        <v>659</v>
      </c>
    </row>
    <row r="7334" spans="1:13">
      <c r="A7334" t="s">
        <v>851</v>
      </c>
      <c r="B7334" t="s">
        <v>686</v>
      </c>
      <c r="C7334" t="s">
        <v>686</v>
      </c>
      <c r="D7334" t="s">
        <v>3185</v>
      </c>
      <c r="E7334" t="s">
        <v>573</v>
      </c>
      <c r="F7334" t="s">
        <v>40</v>
      </c>
      <c r="G7334">
        <v>2015</v>
      </c>
      <c r="H7334" s="12">
        <v>2285</v>
      </c>
      <c r="I7334" t="s">
        <v>3183</v>
      </c>
      <c r="J7334" t="s">
        <v>6</v>
      </c>
      <c r="K7334" t="s">
        <v>147</v>
      </c>
      <c r="L7334" t="s">
        <v>844</v>
      </c>
      <c r="M7334" t="s">
        <v>659</v>
      </c>
    </row>
    <row r="7335" spans="1:13">
      <c r="A7335" t="s">
        <v>851</v>
      </c>
      <c r="B7335" t="s">
        <v>686</v>
      </c>
      <c r="C7335" t="s">
        <v>686</v>
      </c>
      <c r="D7335" t="s">
        <v>3185</v>
      </c>
      <c r="E7335" t="s">
        <v>573</v>
      </c>
      <c r="F7335" t="s">
        <v>40</v>
      </c>
      <c r="G7335">
        <v>2020</v>
      </c>
      <c r="H7335" s="12">
        <v>1784</v>
      </c>
      <c r="I7335" t="s">
        <v>3183</v>
      </c>
      <c r="J7335" t="s">
        <v>6</v>
      </c>
      <c r="K7335" t="s">
        <v>147</v>
      </c>
      <c r="L7335" t="s">
        <v>844</v>
      </c>
      <c r="M7335" t="s">
        <v>659</v>
      </c>
    </row>
    <row r="7336" spans="1:13">
      <c r="A7336" t="s">
        <v>851</v>
      </c>
      <c r="B7336" t="s">
        <v>686</v>
      </c>
      <c r="C7336" t="s">
        <v>686</v>
      </c>
      <c r="D7336" t="s">
        <v>3185</v>
      </c>
      <c r="E7336" t="s">
        <v>573</v>
      </c>
      <c r="F7336" t="s">
        <v>40</v>
      </c>
      <c r="G7336">
        <v>2030</v>
      </c>
      <c r="H7336" s="12">
        <v>1506</v>
      </c>
      <c r="I7336" t="s">
        <v>3183</v>
      </c>
      <c r="J7336" t="s">
        <v>6</v>
      </c>
      <c r="K7336" t="s">
        <v>147</v>
      </c>
      <c r="L7336" t="s">
        <v>844</v>
      </c>
      <c r="M7336" t="s">
        <v>659</v>
      </c>
    </row>
    <row r="7337" spans="1:13">
      <c r="A7337" t="s">
        <v>851</v>
      </c>
      <c r="B7337" t="s">
        <v>686</v>
      </c>
      <c r="C7337" t="s">
        <v>686</v>
      </c>
      <c r="D7337" t="s">
        <v>3185</v>
      </c>
      <c r="E7337" t="s">
        <v>573</v>
      </c>
      <c r="F7337" t="s">
        <v>40</v>
      </c>
      <c r="G7337">
        <v>2035</v>
      </c>
      <c r="H7337" s="12">
        <v>1548</v>
      </c>
      <c r="I7337" t="s">
        <v>3183</v>
      </c>
      <c r="J7337" t="s">
        <v>6</v>
      </c>
      <c r="K7337" t="s">
        <v>147</v>
      </c>
      <c r="L7337" t="s">
        <v>844</v>
      </c>
      <c r="M7337" t="s">
        <v>659</v>
      </c>
    </row>
    <row r="7338" spans="1:13">
      <c r="A7338" t="s">
        <v>851</v>
      </c>
      <c r="B7338" t="s">
        <v>686</v>
      </c>
      <c r="C7338" t="s">
        <v>686</v>
      </c>
      <c r="D7338" t="s">
        <v>3185</v>
      </c>
      <c r="E7338" t="s">
        <v>573</v>
      </c>
      <c r="F7338" t="s">
        <v>40</v>
      </c>
      <c r="G7338">
        <v>2040</v>
      </c>
      <c r="H7338" s="12">
        <v>1558</v>
      </c>
      <c r="I7338" t="s">
        <v>3183</v>
      </c>
      <c r="J7338" t="s">
        <v>6</v>
      </c>
      <c r="K7338" t="s">
        <v>147</v>
      </c>
      <c r="L7338" t="s">
        <v>844</v>
      </c>
      <c r="M7338" t="s">
        <v>659</v>
      </c>
    </row>
    <row r="7339" spans="1:13">
      <c r="A7339" t="s">
        <v>851</v>
      </c>
      <c r="B7339" t="s">
        <v>686</v>
      </c>
      <c r="C7339" t="s">
        <v>686</v>
      </c>
      <c r="D7339" t="s">
        <v>3185</v>
      </c>
      <c r="E7339" t="s">
        <v>573</v>
      </c>
      <c r="F7339" t="s">
        <v>40</v>
      </c>
      <c r="G7339">
        <v>2045</v>
      </c>
      <c r="H7339" s="12">
        <v>1441</v>
      </c>
      <c r="I7339" t="s">
        <v>3183</v>
      </c>
      <c r="J7339" t="s">
        <v>6</v>
      </c>
      <c r="K7339" t="s">
        <v>147</v>
      </c>
      <c r="L7339" t="s">
        <v>844</v>
      </c>
      <c r="M7339" t="s">
        <v>659</v>
      </c>
    </row>
    <row r="7340" spans="1:13">
      <c r="A7340" t="s">
        <v>851</v>
      </c>
      <c r="B7340" t="s">
        <v>686</v>
      </c>
      <c r="C7340" t="s">
        <v>686</v>
      </c>
      <c r="D7340" t="s">
        <v>3185</v>
      </c>
      <c r="E7340" t="s">
        <v>573</v>
      </c>
      <c r="F7340" t="s">
        <v>40</v>
      </c>
      <c r="G7340">
        <v>2050</v>
      </c>
      <c r="H7340" s="12">
        <v>1354</v>
      </c>
      <c r="I7340" t="s">
        <v>3183</v>
      </c>
      <c r="J7340" t="s">
        <v>6</v>
      </c>
      <c r="K7340" t="s">
        <v>147</v>
      </c>
      <c r="L7340" t="s">
        <v>844</v>
      </c>
      <c r="M7340" t="s">
        <v>659</v>
      </c>
    </row>
    <row r="7341" spans="1:13">
      <c r="A7341" t="s">
        <v>851</v>
      </c>
      <c r="B7341" t="s">
        <v>687</v>
      </c>
      <c r="C7341" t="s">
        <v>687</v>
      </c>
      <c r="D7341" t="s">
        <v>3185</v>
      </c>
      <c r="E7341" t="s">
        <v>573</v>
      </c>
      <c r="F7341" t="s">
        <v>40</v>
      </c>
      <c r="G7341">
        <v>2030</v>
      </c>
      <c r="H7341" s="12">
        <v>1496</v>
      </c>
      <c r="I7341" t="s">
        <v>3183</v>
      </c>
      <c r="J7341" t="s">
        <v>6</v>
      </c>
      <c r="K7341" t="s">
        <v>147</v>
      </c>
      <c r="L7341" t="s">
        <v>844</v>
      </c>
      <c r="M7341" t="s">
        <v>659</v>
      </c>
    </row>
    <row r="7342" spans="1:13">
      <c r="A7342" t="s">
        <v>851</v>
      </c>
      <c r="B7342" t="s">
        <v>687</v>
      </c>
      <c r="C7342" t="s">
        <v>687</v>
      </c>
      <c r="D7342" t="s">
        <v>3185</v>
      </c>
      <c r="E7342" t="s">
        <v>573</v>
      </c>
      <c r="F7342" t="s">
        <v>40</v>
      </c>
      <c r="G7342">
        <v>2035</v>
      </c>
      <c r="H7342" s="12">
        <v>1287</v>
      </c>
      <c r="I7342" t="s">
        <v>3183</v>
      </c>
      <c r="J7342" t="s">
        <v>6</v>
      </c>
      <c r="K7342" t="s">
        <v>147</v>
      </c>
      <c r="L7342" t="s">
        <v>844</v>
      </c>
      <c r="M7342" t="s">
        <v>659</v>
      </c>
    </row>
    <row r="7343" spans="1:13">
      <c r="A7343" t="s">
        <v>851</v>
      </c>
      <c r="B7343" t="s">
        <v>687</v>
      </c>
      <c r="C7343" t="s">
        <v>687</v>
      </c>
      <c r="D7343" t="s">
        <v>3185</v>
      </c>
      <c r="E7343" t="s">
        <v>573</v>
      </c>
      <c r="F7343" t="s">
        <v>40</v>
      </c>
      <c r="G7343">
        <v>2040</v>
      </c>
      <c r="H7343" s="12">
        <v>1068</v>
      </c>
      <c r="I7343" t="s">
        <v>3183</v>
      </c>
      <c r="J7343" t="s">
        <v>6</v>
      </c>
      <c r="K7343" t="s">
        <v>147</v>
      </c>
      <c r="L7343" t="s">
        <v>844</v>
      </c>
      <c r="M7343" t="s">
        <v>659</v>
      </c>
    </row>
    <row r="7344" spans="1:13">
      <c r="A7344" t="s">
        <v>851</v>
      </c>
      <c r="B7344" t="s">
        <v>687</v>
      </c>
      <c r="C7344" t="s">
        <v>687</v>
      </c>
      <c r="D7344" t="s">
        <v>3185</v>
      </c>
      <c r="E7344" t="s">
        <v>573</v>
      </c>
      <c r="F7344" t="s">
        <v>40</v>
      </c>
      <c r="G7344">
        <v>2045</v>
      </c>
      <c r="H7344" s="12">
        <v>902</v>
      </c>
      <c r="I7344" t="s">
        <v>3183</v>
      </c>
      <c r="J7344" t="s">
        <v>6</v>
      </c>
      <c r="K7344" t="s">
        <v>147</v>
      </c>
      <c r="L7344" t="s">
        <v>844</v>
      </c>
      <c r="M7344" t="s">
        <v>659</v>
      </c>
    </row>
    <row r="7345" spans="1:13">
      <c r="A7345" t="s">
        <v>851</v>
      </c>
      <c r="B7345" t="s">
        <v>687</v>
      </c>
      <c r="C7345" t="s">
        <v>687</v>
      </c>
      <c r="D7345" t="s">
        <v>3185</v>
      </c>
      <c r="E7345" t="s">
        <v>573</v>
      </c>
      <c r="F7345" t="s">
        <v>40</v>
      </c>
      <c r="G7345">
        <v>2050</v>
      </c>
      <c r="H7345" s="12">
        <v>581</v>
      </c>
      <c r="I7345" t="s">
        <v>3183</v>
      </c>
      <c r="J7345" t="s">
        <v>6</v>
      </c>
      <c r="K7345" t="s">
        <v>147</v>
      </c>
      <c r="L7345" t="s">
        <v>844</v>
      </c>
      <c r="M7345" t="s">
        <v>659</v>
      </c>
    </row>
    <row r="7346" spans="1:13">
      <c r="A7346" t="s">
        <v>851</v>
      </c>
      <c r="B7346" t="s">
        <v>686</v>
      </c>
      <c r="C7346" t="s">
        <v>686</v>
      </c>
      <c r="D7346" t="s">
        <v>3185</v>
      </c>
      <c r="E7346" t="s">
        <v>573</v>
      </c>
      <c r="F7346" t="s">
        <v>40</v>
      </c>
      <c r="G7346">
        <v>2010</v>
      </c>
      <c r="H7346" s="12">
        <v>1312</v>
      </c>
      <c r="I7346" t="s">
        <v>3183</v>
      </c>
      <c r="J7346" t="s">
        <v>394</v>
      </c>
      <c r="K7346" t="s">
        <v>147</v>
      </c>
      <c r="L7346" t="s">
        <v>844</v>
      </c>
      <c r="M7346" t="s">
        <v>16</v>
      </c>
    </row>
    <row r="7347" spans="1:13">
      <c r="A7347" t="s">
        <v>851</v>
      </c>
      <c r="B7347" t="s">
        <v>686</v>
      </c>
      <c r="C7347" t="s">
        <v>686</v>
      </c>
      <c r="D7347" t="s">
        <v>3185</v>
      </c>
      <c r="E7347" t="s">
        <v>573</v>
      </c>
      <c r="F7347" t="s">
        <v>40</v>
      </c>
      <c r="G7347">
        <v>2015</v>
      </c>
      <c r="H7347" s="12">
        <v>1481</v>
      </c>
      <c r="I7347" t="s">
        <v>3183</v>
      </c>
      <c r="J7347" t="s">
        <v>394</v>
      </c>
      <c r="K7347" t="s">
        <v>147</v>
      </c>
      <c r="L7347" t="s">
        <v>844</v>
      </c>
      <c r="M7347" t="s">
        <v>16</v>
      </c>
    </row>
    <row r="7348" spans="1:13">
      <c r="A7348" t="s">
        <v>851</v>
      </c>
      <c r="B7348" t="s">
        <v>686</v>
      </c>
      <c r="C7348" t="s">
        <v>686</v>
      </c>
      <c r="D7348" t="s">
        <v>3185</v>
      </c>
      <c r="E7348" t="s">
        <v>573</v>
      </c>
      <c r="F7348" t="s">
        <v>40</v>
      </c>
      <c r="G7348">
        <v>2020</v>
      </c>
      <c r="H7348" s="12">
        <v>693</v>
      </c>
      <c r="I7348" t="s">
        <v>3183</v>
      </c>
      <c r="J7348" t="s">
        <v>394</v>
      </c>
      <c r="K7348" t="s">
        <v>147</v>
      </c>
      <c r="L7348" t="s">
        <v>844</v>
      </c>
      <c r="M7348" t="s">
        <v>16</v>
      </c>
    </row>
    <row r="7349" spans="1:13">
      <c r="A7349" t="s">
        <v>851</v>
      </c>
      <c r="B7349" t="s">
        <v>686</v>
      </c>
      <c r="C7349" t="s">
        <v>686</v>
      </c>
      <c r="D7349" t="s">
        <v>3185</v>
      </c>
      <c r="E7349" t="s">
        <v>573</v>
      </c>
      <c r="F7349" t="s">
        <v>40</v>
      </c>
      <c r="G7349">
        <v>2030</v>
      </c>
      <c r="H7349" s="12">
        <v>317</v>
      </c>
      <c r="I7349" t="s">
        <v>3183</v>
      </c>
      <c r="J7349" t="s">
        <v>394</v>
      </c>
      <c r="K7349" t="s">
        <v>147</v>
      </c>
      <c r="L7349" t="s">
        <v>844</v>
      </c>
      <c r="M7349" t="s">
        <v>16</v>
      </c>
    </row>
    <row r="7350" spans="1:13">
      <c r="A7350" t="s">
        <v>851</v>
      </c>
      <c r="B7350" t="s">
        <v>686</v>
      </c>
      <c r="C7350" t="s">
        <v>686</v>
      </c>
      <c r="D7350" t="s">
        <v>3185</v>
      </c>
      <c r="E7350" t="s">
        <v>573</v>
      </c>
      <c r="F7350" t="s">
        <v>40</v>
      </c>
      <c r="G7350">
        <v>2035</v>
      </c>
      <c r="H7350" s="12">
        <v>222</v>
      </c>
      <c r="I7350" t="s">
        <v>3183</v>
      </c>
      <c r="J7350" t="s">
        <v>394</v>
      </c>
      <c r="K7350" t="s">
        <v>147</v>
      </c>
      <c r="L7350" t="s">
        <v>844</v>
      </c>
      <c r="M7350" t="s">
        <v>16</v>
      </c>
    </row>
    <row r="7351" spans="1:13">
      <c r="A7351" t="s">
        <v>851</v>
      </c>
      <c r="B7351" t="s">
        <v>686</v>
      </c>
      <c r="C7351" t="s">
        <v>686</v>
      </c>
      <c r="D7351" t="s">
        <v>3185</v>
      </c>
      <c r="E7351" t="s">
        <v>573</v>
      </c>
      <c r="F7351" t="s">
        <v>40</v>
      </c>
      <c r="G7351">
        <v>2040</v>
      </c>
      <c r="H7351" s="12">
        <v>144</v>
      </c>
      <c r="I7351" t="s">
        <v>3183</v>
      </c>
      <c r="J7351" t="s">
        <v>394</v>
      </c>
      <c r="K7351" t="s">
        <v>147</v>
      </c>
      <c r="L7351" t="s">
        <v>844</v>
      </c>
      <c r="M7351" t="s">
        <v>16</v>
      </c>
    </row>
    <row r="7352" spans="1:13">
      <c r="A7352" t="s">
        <v>851</v>
      </c>
      <c r="B7352" t="s">
        <v>686</v>
      </c>
      <c r="C7352" t="s">
        <v>686</v>
      </c>
      <c r="D7352" t="s">
        <v>3185</v>
      </c>
      <c r="E7352" t="s">
        <v>573</v>
      </c>
      <c r="F7352" t="s">
        <v>40</v>
      </c>
      <c r="G7352">
        <v>2045</v>
      </c>
      <c r="H7352" s="12">
        <v>117</v>
      </c>
      <c r="I7352" t="s">
        <v>3183</v>
      </c>
      <c r="J7352" t="s">
        <v>394</v>
      </c>
      <c r="K7352" t="s">
        <v>147</v>
      </c>
      <c r="L7352" t="s">
        <v>844</v>
      </c>
      <c r="M7352" t="s">
        <v>16</v>
      </c>
    </row>
    <row r="7353" spans="1:13">
      <c r="A7353" t="s">
        <v>851</v>
      </c>
      <c r="B7353" t="s">
        <v>686</v>
      </c>
      <c r="C7353" t="s">
        <v>686</v>
      </c>
      <c r="D7353" t="s">
        <v>3185</v>
      </c>
      <c r="E7353" t="s">
        <v>573</v>
      </c>
      <c r="F7353" t="s">
        <v>40</v>
      </c>
      <c r="G7353">
        <v>2050</v>
      </c>
      <c r="H7353" s="12">
        <v>102</v>
      </c>
      <c r="I7353" t="s">
        <v>3183</v>
      </c>
      <c r="J7353" t="s">
        <v>394</v>
      </c>
      <c r="K7353" t="s">
        <v>147</v>
      </c>
      <c r="L7353" t="s">
        <v>844</v>
      </c>
      <c r="M7353" t="s">
        <v>16</v>
      </c>
    </row>
    <row r="7354" spans="1:13">
      <c r="A7354" t="s">
        <v>851</v>
      </c>
      <c r="B7354" t="s">
        <v>687</v>
      </c>
      <c r="C7354" t="s">
        <v>687</v>
      </c>
      <c r="D7354" t="s">
        <v>3185</v>
      </c>
      <c r="E7354" t="s">
        <v>573</v>
      </c>
      <c r="F7354" t="s">
        <v>40</v>
      </c>
      <c r="G7354">
        <v>2030</v>
      </c>
      <c r="H7354" s="12">
        <v>321</v>
      </c>
      <c r="I7354" t="s">
        <v>3183</v>
      </c>
      <c r="J7354" t="s">
        <v>394</v>
      </c>
      <c r="K7354" t="s">
        <v>147</v>
      </c>
      <c r="L7354" t="s">
        <v>844</v>
      </c>
      <c r="M7354" t="s">
        <v>16</v>
      </c>
    </row>
    <row r="7355" spans="1:13">
      <c r="A7355" t="s">
        <v>851</v>
      </c>
      <c r="B7355" t="s">
        <v>687</v>
      </c>
      <c r="C7355" t="s">
        <v>687</v>
      </c>
      <c r="D7355" t="s">
        <v>3185</v>
      </c>
      <c r="E7355" t="s">
        <v>573</v>
      </c>
      <c r="F7355" t="s">
        <v>40</v>
      </c>
      <c r="G7355">
        <v>2035</v>
      </c>
      <c r="H7355" s="12">
        <v>228</v>
      </c>
      <c r="I7355" t="s">
        <v>3183</v>
      </c>
      <c r="J7355" t="s">
        <v>394</v>
      </c>
      <c r="K7355" t="s">
        <v>147</v>
      </c>
      <c r="L7355" t="s">
        <v>844</v>
      </c>
      <c r="M7355" t="s">
        <v>16</v>
      </c>
    </row>
    <row r="7356" spans="1:13">
      <c r="A7356" t="s">
        <v>851</v>
      </c>
      <c r="B7356" t="s">
        <v>687</v>
      </c>
      <c r="C7356" t="s">
        <v>687</v>
      </c>
      <c r="D7356" t="s">
        <v>3185</v>
      </c>
      <c r="E7356" t="s">
        <v>573</v>
      </c>
      <c r="F7356" t="s">
        <v>40</v>
      </c>
      <c r="G7356">
        <v>2040</v>
      </c>
      <c r="H7356" s="12">
        <v>149</v>
      </c>
      <c r="I7356" t="s">
        <v>3183</v>
      </c>
      <c r="J7356" t="s">
        <v>394</v>
      </c>
      <c r="K7356" t="s">
        <v>147</v>
      </c>
      <c r="L7356" t="s">
        <v>844</v>
      </c>
      <c r="M7356" t="s">
        <v>16</v>
      </c>
    </row>
    <row r="7357" spans="1:13">
      <c r="A7357" t="s">
        <v>851</v>
      </c>
      <c r="B7357" t="s">
        <v>687</v>
      </c>
      <c r="C7357" t="s">
        <v>687</v>
      </c>
      <c r="D7357" t="s">
        <v>3185</v>
      </c>
      <c r="E7357" t="s">
        <v>573</v>
      </c>
      <c r="F7357" t="s">
        <v>40</v>
      </c>
      <c r="G7357">
        <v>2045</v>
      </c>
      <c r="H7357" s="12">
        <v>120</v>
      </c>
      <c r="I7357" t="s">
        <v>3183</v>
      </c>
      <c r="J7357" t="s">
        <v>394</v>
      </c>
      <c r="K7357" t="s">
        <v>147</v>
      </c>
      <c r="L7357" t="s">
        <v>844</v>
      </c>
      <c r="M7357" t="s">
        <v>16</v>
      </c>
    </row>
    <row r="7358" spans="1:13">
      <c r="A7358" t="s">
        <v>851</v>
      </c>
      <c r="B7358" t="s">
        <v>687</v>
      </c>
      <c r="C7358" t="s">
        <v>687</v>
      </c>
      <c r="D7358" t="s">
        <v>3185</v>
      </c>
      <c r="E7358" t="s">
        <v>573</v>
      </c>
      <c r="F7358" t="s">
        <v>40</v>
      </c>
      <c r="G7358">
        <v>2050</v>
      </c>
      <c r="H7358" s="12">
        <v>105</v>
      </c>
      <c r="I7358" t="s">
        <v>3183</v>
      </c>
      <c r="J7358" t="s">
        <v>394</v>
      </c>
      <c r="K7358" t="s">
        <v>147</v>
      </c>
      <c r="L7358" t="s">
        <v>844</v>
      </c>
      <c r="M7358" t="s">
        <v>16</v>
      </c>
    </row>
    <row r="7359" spans="1:13">
      <c r="A7359" t="s">
        <v>851</v>
      </c>
      <c r="B7359" t="s">
        <v>686</v>
      </c>
      <c r="C7359" t="s">
        <v>686</v>
      </c>
      <c r="D7359" t="s">
        <v>3185</v>
      </c>
      <c r="E7359" t="s">
        <v>573</v>
      </c>
      <c r="F7359" t="s">
        <v>40</v>
      </c>
      <c r="G7359">
        <v>2010</v>
      </c>
      <c r="H7359" s="12">
        <v>452</v>
      </c>
      <c r="I7359" t="s">
        <v>3183</v>
      </c>
      <c r="J7359" t="s">
        <v>5</v>
      </c>
      <c r="K7359" t="s">
        <v>147</v>
      </c>
      <c r="L7359" t="s">
        <v>844</v>
      </c>
      <c r="M7359" t="s">
        <v>5</v>
      </c>
    </row>
    <row r="7360" spans="1:13">
      <c r="A7360" t="s">
        <v>851</v>
      </c>
      <c r="B7360" t="s">
        <v>686</v>
      </c>
      <c r="C7360" t="s">
        <v>686</v>
      </c>
      <c r="D7360" t="s">
        <v>3185</v>
      </c>
      <c r="E7360" t="s">
        <v>573</v>
      </c>
      <c r="F7360" t="s">
        <v>40</v>
      </c>
      <c r="G7360">
        <v>2015</v>
      </c>
      <c r="H7360" s="12">
        <v>756</v>
      </c>
      <c r="I7360" t="s">
        <v>3183</v>
      </c>
      <c r="J7360" t="s">
        <v>5</v>
      </c>
      <c r="K7360" t="s">
        <v>147</v>
      </c>
      <c r="L7360" t="s">
        <v>844</v>
      </c>
      <c r="M7360" t="s">
        <v>5</v>
      </c>
    </row>
    <row r="7361" spans="1:13">
      <c r="A7361" t="s">
        <v>851</v>
      </c>
      <c r="B7361" t="s">
        <v>686</v>
      </c>
      <c r="C7361" t="s">
        <v>686</v>
      </c>
      <c r="D7361" t="s">
        <v>3185</v>
      </c>
      <c r="E7361" t="s">
        <v>573</v>
      </c>
      <c r="F7361" t="s">
        <v>40</v>
      </c>
      <c r="G7361">
        <v>2020</v>
      </c>
      <c r="H7361" s="12">
        <v>675</v>
      </c>
      <c r="I7361" t="s">
        <v>3183</v>
      </c>
      <c r="J7361" t="s">
        <v>5</v>
      </c>
      <c r="K7361" t="s">
        <v>147</v>
      </c>
      <c r="L7361" t="s">
        <v>844</v>
      </c>
      <c r="M7361" t="s">
        <v>5</v>
      </c>
    </row>
    <row r="7362" spans="1:13">
      <c r="A7362" t="s">
        <v>851</v>
      </c>
      <c r="B7362" t="s">
        <v>686</v>
      </c>
      <c r="C7362" t="s">
        <v>686</v>
      </c>
      <c r="D7362" t="s">
        <v>3185</v>
      </c>
      <c r="E7362" t="s">
        <v>573</v>
      </c>
      <c r="F7362" t="s">
        <v>40</v>
      </c>
      <c r="G7362">
        <v>2030</v>
      </c>
      <c r="H7362" s="12">
        <v>353</v>
      </c>
      <c r="I7362" t="s">
        <v>3183</v>
      </c>
      <c r="J7362" t="s">
        <v>5</v>
      </c>
      <c r="K7362" t="s">
        <v>147</v>
      </c>
      <c r="L7362" t="s">
        <v>844</v>
      </c>
      <c r="M7362" t="s">
        <v>5</v>
      </c>
    </row>
    <row r="7363" spans="1:13">
      <c r="A7363" t="s">
        <v>851</v>
      </c>
      <c r="B7363" t="s">
        <v>686</v>
      </c>
      <c r="C7363" t="s">
        <v>686</v>
      </c>
      <c r="D7363" t="s">
        <v>3185</v>
      </c>
      <c r="E7363" t="s">
        <v>573</v>
      </c>
      <c r="F7363" t="s">
        <v>40</v>
      </c>
      <c r="G7363">
        <v>2035</v>
      </c>
      <c r="H7363" s="12">
        <v>265</v>
      </c>
      <c r="I7363" t="s">
        <v>3183</v>
      </c>
      <c r="J7363" t="s">
        <v>5</v>
      </c>
      <c r="K7363" t="s">
        <v>147</v>
      </c>
      <c r="L7363" t="s">
        <v>844</v>
      </c>
      <c r="M7363" t="s">
        <v>5</v>
      </c>
    </row>
    <row r="7364" spans="1:13">
      <c r="A7364" t="s">
        <v>851</v>
      </c>
      <c r="B7364" t="s">
        <v>686</v>
      </c>
      <c r="C7364" t="s">
        <v>686</v>
      </c>
      <c r="D7364" t="s">
        <v>3185</v>
      </c>
      <c r="E7364" t="s">
        <v>573</v>
      </c>
      <c r="F7364" t="s">
        <v>40</v>
      </c>
      <c r="G7364">
        <v>2040</v>
      </c>
      <c r="H7364" s="12">
        <v>230</v>
      </c>
      <c r="I7364" t="s">
        <v>3183</v>
      </c>
      <c r="J7364" t="s">
        <v>5</v>
      </c>
      <c r="K7364" t="s">
        <v>147</v>
      </c>
      <c r="L7364" t="s">
        <v>844</v>
      </c>
      <c r="M7364" t="s">
        <v>5</v>
      </c>
    </row>
    <row r="7365" spans="1:13">
      <c r="A7365" t="s">
        <v>851</v>
      </c>
      <c r="B7365" t="s">
        <v>686</v>
      </c>
      <c r="C7365" t="s">
        <v>686</v>
      </c>
      <c r="D7365" t="s">
        <v>3185</v>
      </c>
      <c r="E7365" t="s">
        <v>573</v>
      </c>
      <c r="F7365" t="s">
        <v>40</v>
      </c>
      <c r="G7365">
        <v>2045</v>
      </c>
      <c r="H7365" s="12">
        <v>210</v>
      </c>
      <c r="I7365" t="s">
        <v>3183</v>
      </c>
      <c r="J7365" t="s">
        <v>5</v>
      </c>
      <c r="K7365" t="s">
        <v>147</v>
      </c>
      <c r="L7365" t="s">
        <v>844</v>
      </c>
      <c r="M7365" t="s">
        <v>5</v>
      </c>
    </row>
    <row r="7366" spans="1:13">
      <c r="A7366" t="s">
        <v>851</v>
      </c>
      <c r="B7366" t="s">
        <v>686</v>
      </c>
      <c r="C7366" t="s">
        <v>686</v>
      </c>
      <c r="D7366" t="s">
        <v>3185</v>
      </c>
      <c r="E7366" t="s">
        <v>573</v>
      </c>
      <c r="F7366" t="s">
        <v>40</v>
      </c>
      <c r="G7366">
        <v>2050</v>
      </c>
      <c r="H7366" s="12">
        <v>197</v>
      </c>
      <c r="I7366" t="s">
        <v>3183</v>
      </c>
      <c r="J7366" t="s">
        <v>5</v>
      </c>
      <c r="K7366" t="s">
        <v>147</v>
      </c>
      <c r="L7366" t="s">
        <v>844</v>
      </c>
      <c r="M7366" t="s">
        <v>5</v>
      </c>
    </row>
    <row r="7367" spans="1:13">
      <c r="A7367" t="s">
        <v>851</v>
      </c>
      <c r="B7367" t="s">
        <v>687</v>
      </c>
      <c r="C7367" t="s">
        <v>687</v>
      </c>
      <c r="D7367" t="s">
        <v>3185</v>
      </c>
      <c r="E7367" t="s">
        <v>573</v>
      </c>
      <c r="F7367" t="s">
        <v>40</v>
      </c>
      <c r="G7367">
        <v>2030</v>
      </c>
      <c r="H7367" s="12">
        <v>95</v>
      </c>
      <c r="I7367" t="s">
        <v>3183</v>
      </c>
      <c r="J7367" t="s">
        <v>5</v>
      </c>
      <c r="K7367" t="s">
        <v>147</v>
      </c>
      <c r="L7367" t="s">
        <v>844</v>
      </c>
      <c r="M7367" t="s">
        <v>5</v>
      </c>
    </row>
    <row r="7368" spans="1:13">
      <c r="A7368" t="s">
        <v>851</v>
      </c>
      <c r="B7368" t="s">
        <v>687</v>
      </c>
      <c r="C7368" t="s">
        <v>687</v>
      </c>
      <c r="D7368" t="s">
        <v>3185</v>
      </c>
      <c r="E7368" t="s">
        <v>573</v>
      </c>
      <c r="F7368" t="s">
        <v>40</v>
      </c>
      <c r="G7368">
        <v>2035</v>
      </c>
      <c r="H7368" s="12">
        <v>54</v>
      </c>
      <c r="I7368" t="s">
        <v>3183</v>
      </c>
      <c r="J7368" t="s">
        <v>5</v>
      </c>
      <c r="K7368" t="s">
        <v>147</v>
      </c>
      <c r="L7368" t="s">
        <v>844</v>
      </c>
      <c r="M7368" t="s">
        <v>5</v>
      </c>
    </row>
    <row r="7369" spans="1:13">
      <c r="A7369" t="s">
        <v>851</v>
      </c>
      <c r="B7369" t="s">
        <v>687</v>
      </c>
      <c r="C7369" t="s">
        <v>687</v>
      </c>
      <c r="D7369" t="s">
        <v>3185</v>
      </c>
      <c r="E7369" t="s">
        <v>573</v>
      </c>
      <c r="F7369" t="s">
        <v>40</v>
      </c>
      <c r="G7369">
        <v>2040</v>
      </c>
      <c r="H7369" s="12">
        <v>31</v>
      </c>
      <c r="I7369" t="s">
        <v>3183</v>
      </c>
      <c r="J7369" t="s">
        <v>5</v>
      </c>
      <c r="K7369" t="s">
        <v>147</v>
      </c>
      <c r="L7369" t="s">
        <v>844</v>
      </c>
      <c r="M7369" t="s">
        <v>5</v>
      </c>
    </row>
    <row r="7370" spans="1:13">
      <c r="A7370" t="s">
        <v>851</v>
      </c>
      <c r="B7370" t="s">
        <v>687</v>
      </c>
      <c r="C7370" t="s">
        <v>687</v>
      </c>
      <c r="D7370" t="s">
        <v>3185</v>
      </c>
      <c r="E7370" t="s">
        <v>573</v>
      </c>
      <c r="F7370" t="s">
        <v>40</v>
      </c>
      <c r="G7370">
        <v>2045</v>
      </c>
      <c r="H7370" s="12">
        <v>22</v>
      </c>
      <c r="I7370" t="s">
        <v>3183</v>
      </c>
      <c r="J7370" t="s">
        <v>5</v>
      </c>
      <c r="K7370" t="s">
        <v>147</v>
      </c>
      <c r="L7370" t="s">
        <v>844</v>
      </c>
      <c r="M7370" t="s">
        <v>5</v>
      </c>
    </row>
    <row r="7371" spans="1:13">
      <c r="A7371" t="s">
        <v>851</v>
      </c>
      <c r="B7371" t="s">
        <v>687</v>
      </c>
      <c r="C7371" t="s">
        <v>687</v>
      </c>
      <c r="D7371" t="s">
        <v>3185</v>
      </c>
      <c r="E7371" t="s">
        <v>573</v>
      </c>
      <c r="F7371" t="s">
        <v>40</v>
      </c>
      <c r="G7371">
        <v>2050</v>
      </c>
      <c r="H7371" s="12">
        <v>18</v>
      </c>
      <c r="I7371" t="s">
        <v>3183</v>
      </c>
      <c r="J7371" t="s">
        <v>5</v>
      </c>
      <c r="K7371" t="s">
        <v>147</v>
      </c>
      <c r="L7371" t="s">
        <v>844</v>
      </c>
      <c r="M7371" t="s">
        <v>5</v>
      </c>
    </row>
    <row r="7372" spans="1:13">
      <c r="A7372" t="s">
        <v>851</v>
      </c>
      <c r="B7372" t="s">
        <v>687</v>
      </c>
      <c r="C7372" t="s">
        <v>687</v>
      </c>
      <c r="D7372" t="s">
        <v>3185</v>
      </c>
      <c r="E7372" t="s">
        <v>660</v>
      </c>
      <c r="F7372" t="s">
        <v>40</v>
      </c>
      <c r="G7372">
        <v>2050</v>
      </c>
      <c r="H7372" s="12">
        <v>4839</v>
      </c>
      <c r="I7372" t="s">
        <v>3183</v>
      </c>
      <c r="J7372" t="s">
        <v>17</v>
      </c>
      <c r="K7372" t="s">
        <v>657</v>
      </c>
      <c r="L7372" t="s">
        <v>844</v>
      </c>
      <c r="M7372" t="s">
        <v>17</v>
      </c>
    </row>
    <row r="7373" spans="1:13">
      <c r="A7373" t="s">
        <v>851</v>
      </c>
      <c r="B7373" t="s">
        <v>686</v>
      </c>
      <c r="C7373" t="s">
        <v>686</v>
      </c>
      <c r="D7373" t="s">
        <v>3185</v>
      </c>
      <c r="E7373" t="s">
        <v>660</v>
      </c>
      <c r="F7373" t="s">
        <v>40</v>
      </c>
      <c r="G7373">
        <v>2010</v>
      </c>
      <c r="H7373" s="12">
        <v>12</v>
      </c>
      <c r="I7373" t="s">
        <v>3183</v>
      </c>
      <c r="J7373" t="s">
        <v>18</v>
      </c>
      <c r="K7373" t="s">
        <v>657</v>
      </c>
      <c r="L7373" t="s">
        <v>844</v>
      </c>
      <c r="M7373" t="s">
        <v>18</v>
      </c>
    </row>
    <row r="7374" spans="1:13">
      <c r="A7374" t="s">
        <v>851</v>
      </c>
      <c r="B7374" t="s">
        <v>686</v>
      </c>
      <c r="C7374" t="s">
        <v>686</v>
      </c>
      <c r="D7374" t="s">
        <v>3185</v>
      </c>
      <c r="E7374" t="s">
        <v>660</v>
      </c>
      <c r="F7374" t="s">
        <v>40</v>
      </c>
      <c r="G7374">
        <v>2015</v>
      </c>
      <c r="H7374" s="12">
        <v>113</v>
      </c>
      <c r="I7374" t="s">
        <v>3183</v>
      </c>
      <c r="J7374" t="s">
        <v>18</v>
      </c>
      <c r="K7374" t="s">
        <v>657</v>
      </c>
      <c r="L7374" t="s">
        <v>844</v>
      </c>
      <c r="M7374" t="s">
        <v>18</v>
      </c>
    </row>
    <row r="7375" spans="1:13">
      <c r="A7375" t="s">
        <v>851</v>
      </c>
      <c r="B7375" t="s">
        <v>686</v>
      </c>
      <c r="C7375" t="s">
        <v>686</v>
      </c>
      <c r="D7375" t="s">
        <v>3185</v>
      </c>
      <c r="E7375" t="s">
        <v>660</v>
      </c>
      <c r="F7375" t="s">
        <v>40</v>
      </c>
      <c r="G7375">
        <v>2020</v>
      </c>
      <c r="H7375" s="12">
        <v>306</v>
      </c>
      <c r="I7375" t="s">
        <v>3183</v>
      </c>
      <c r="J7375" t="s">
        <v>18</v>
      </c>
      <c r="K7375" t="s">
        <v>657</v>
      </c>
      <c r="L7375" t="s">
        <v>844</v>
      </c>
      <c r="M7375" t="s">
        <v>18</v>
      </c>
    </row>
    <row r="7376" spans="1:13">
      <c r="A7376" t="s">
        <v>851</v>
      </c>
      <c r="B7376" t="s">
        <v>686</v>
      </c>
      <c r="C7376" t="s">
        <v>686</v>
      </c>
      <c r="D7376" t="s">
        <v>3185</v>
      </c>
      <c r="E7376" t="s">
        <v>660</v>
      </c>
      <c r="F7376" t="s">
        <v>40</v>
      </c>
      <c r="G7376">
        <v>2030</v>
      </c>
      <c r="H7376" s="12">
        <v>790</v>
      </c>
      <c r="I7376" t="s">
        <v>3183</v>
      </c>
      <c r="J7376" t="s">
        <v>18</v>
      </c>
      <c r="K7376" t="s">
        <v>657</v>
      </c>
      <c r="L7376" t="s">
        <v>844</v>
      </c>
      <c r="M7376" t="s">
        <v>18</v>
      </c>
    </row>
    <row r="7377" spans="1:13">
      <c r="A7377" t="s">
        <v>851</v>
      </c>
      <c r="B7377" t="s">
        <v>686</v>
      </c>
      <c r="C7377" t="s">
        <v>686</v>
      </c>
      <c r="D7377" t="s">
        <v>3185</v>
      </c>
      <c r="E7377" t="s">
        <v>660</v>
      </c>
      <c r="F7377" t="s">
        <v>40</v>
      </c>
      <c r="G7377">
        <v>2035</v>
      </c>
      <c r="H7377" s="12">
        <v>957</v>
      </c>
      <c r="I7377" t="s">
        <v>3183</v>
      </c>
      <c r="J7377" t="s">
        <v>18</v>
      </c>
      <c r="K7377" t="s">
        <v>657</v>
      </c>
      <c r="L7377" t="s">
        <v>844</v>
      </c>
      <c r="M7377" t="s">
        <v>18</v>
      </c>
    </row>
    <row r="7378" spans="1:13">
      <c r="A7378" t="s">
        <v>851</v>
      </c>
      <c r="B7378" t="s">
        <v>686</v>
      </c>
      <c r="C7378" t="s">
        <v>686</v>
      </c>
      <c r="D7378" t="s">
        <v>3185</v>
      </c>
      <c r="E7378" t="s">
        <v>660</v>
      </c>
      <c r="F7378" t="s">
        <v>40</v>
      </c>
      <c r="G7378">
        <v>2040</v>
      </c>
      <c r="H7378" s="12">
        <v>1140</v>
      </c>
      <c r="I7378" t="s">
        <v>3183</v>
      </c>
      <c r="J7378" t="s">
        <v>18</v>
      </c>
      <c r="K7378" t="s">
        <v>657</v>
      </c>
      <c r="L7378" t="s">
        <v>844</v>
      </c>
      <c r="M7378" t="s">
        <v>18</v>
      </c>
    </row>
    <row r="7379" spans="1:13">
      <c r="A7379" t="s">
        <v>851</v>
      </c>
      <c r="B7379" t="s">
        <v>686</v>
      </c>
      <c r="C7379" t="s">
        <v>686</v>
      </c>
      <c r="D7379" t="s">
        <v>3185</v>
      </c>
      <c r="E7379" t="s">
        <v>660</v>
      </c>
      <c r="F7379" t="s">
        <v>40</v>
      </c>
      <c r="G7379">
        <v>2045</v>
      </c>
      <c r="H7379" s="12">
        <v>1391</v>
      </c>
      <c r="I7379" t="s">
        <v>3183</v>
      </c>
      <c r="J7379" t="s">
        <v>18</v>
      </c>
      <c r="K7379" t="s">
        <v>657</v>
      </c>
      <c r="L7379" t="s">
        <v>844</v>
      </c>
      <c r="M7379" t="s">
        <v>18</v>
      </c>
    </row>
    <row r="7380" spans="1:13">
      <c r="A7380" t="s">
        <v>851</v>
      </c>
      <c r="B7380" t="s">
        <v>686</v>
      </c>
      <c r="C7380" t="s">
        <v>686</v>
      </c>
      <c r="D7380" t="s">
        <v>3185</v>
      </c>
      <c r="E7380" t="s">
        <v>660</v>
      </c>
      <c r="F7380" t="s">
        <v>40</v>
      </c>
      <c r="G7380">
        <v>2050</v>
      </c>
      <c r="H7380" s="12">
        <v>1646</v>
      </c>
      <c r="I7380" t="s">
        <v>3183</v>
      </c>
      <c r="J7380" t="s">
        <v>18</v>
      </c>
      <c r="K7380" t="s">
        <v>657</v>
      </c>
      <c r="L7380" t="s">
        <v>844</v>
      </c>
      <c r="M7380" t="s">
        <v>18</v>
      </c>
    </row>
    <row r="7381" spans="1:13">
      <c r="A7381" t="s">
        <v>851</v>
      </c>
      <c r="B7381" t="s">
        <v>687</v>
      </c>
      <c r="C7381" t="s">
        <v>687</v>
      </c>
      <c r="D7381" t="s">
        <v>3185</v>
      </c>
      <c r="E7381" t="s">
        <v>660</v>
      </c>
      <c r="F7381" t="s">
        <v>40</v>
      </c>
      <c r="G7381">
        <v>2030</v>
      </c>
      <c r="H7381" s="12">
        <v>1039</v>
      </c>
      <c r="I7381" t="s">
        <v>3183</v>
      </c>
      <c r="J7381" t="s">
        <v>18</v>
      </c>
      <c r="K7381" t="s">
        <v>657</v>
      </c>
      <c r="L7381" t="s">
        <v>844</v>
      </c>
      <c r="M7381" t="s">
        <v>18</v>
      </c>
    </row>
    <row r="7382" spans="1:13">
      <c r="A7382" t="s">
        <v>851</v>
      </c>
      <c r="B7382" t="s">
        <v>687</v>
      </c>
      <c r="C7382" t="s">
        <v>687</v>
      </c>
      <c r="D7382" t="s">
        <v>3185</v>
      </c>
      <c r="E7382" t="s">
        <v>660</v>
      </c>
      <c r="F7382" t="s">
        <v>40</v>
      </c>
      <c r="G7382">
        <v>2035</v>
      </c>
      <c r="H7382" s="12">
        <v>1413</v>
      </c>
      <c r="I7382" t="s">
        <v>3183</v>
      </c>
      <c r="J7382" t="s">
        <v>18</v>
      </c>
      <c r="K7382" t="s">
        <v>657</v>
      </c>
      <c r="L7382" t="s">
        <v>844</v>
      </c>
      <c r="M7382" t="s">
        <v>18</v>
      </c>
    </row>
    <row r="7383" spans="1:13">
      <c r="A7383" t="s">
        <v>851</v>
      </c>
      <c r="B7383" t="s">
        <v>687</v>
      </c>
      <c r="C7383" t="s">
        <v>687</v>
      </c>
      <c r="D7383" t="s">
        <v>3185</v>
      </c>
      <c r="E7383" t="s">
        <v>660</v>
      </c>
      <c r="F7383" t="s">
        <v>40</v>
      </c>
      <c r="G7383">
        <v>2040</v>
      </c>
      <c r="H7383" s="12">
        <v>1879</v>
      </c>
      <c r="I7383" t="s">
        <v>3183</v>
      </c>
      <c r="J7383" t="s">
        <v>18</v>
      </c>
      <c r="K7383" t="s">
        <v>657</v>
      </c>
      <c r="L7383" t="s">
        <v>844</v>
      </c>
      <c r="M7383" t="s">
        <v>18</v>
      </c>
    </row>
    <row r="7384" spans="1:13">
      <c r="A7384" t="s">
        <v>851</v>
      </c>
      <c r="B7384" t="s">
        <v>687</v>
      </c>
      <c r="C7384" t="s">
        <v>687</v>
      </c>
      <c r="D7384" t="s">
        <v>3185</v>
      </c>
      <c r="E7384" t="s">
        <v>660</v>
      </c>
      <c r="F7384" t="s">
        <v>40</v>
      </c>
      <c r="G7384">
        <v>2045</v>
      </c>
      <c r="H7384" s="12">
        <v>2555</v>
      </c>
      <c r="I7384" t="s">
        <v>3183</v>
      </c>
      <c r="J7384" t="s">
        <v>18</v>
      </c>
      <c r="K7384" t="s">
        <v>657</v>
      </c>
      <c r="L7384" t="s">
        <v>844</v>
      </c>
      <c r="M7384" t="s">
        <v>18</v>
      </c>
    </row>
    <row r="7385" spans="1:13">
      <c r="A7385" t="s">
        <v>851</v>
      </c>
      <c r="B7385" t="s">
        <v>687</v>
      </c>
      <c r="C7385" t="s">
        <v>687</v>
      </c>
      <c r="D7385" t="s">
        <v>3185</v>
      </c>
      <c r="E7385" t="s">
        <v>660</v>
      </c>
      <c r="F7385" t="s">
        <v>40</v>
      </c>
      <c r="G7385">
        <v>2050</v>
      </c>
      <c r="H7385" s="12">
        <v>3215</v>
      </c>
      <c r="I7385" t="s">
        <v>3183</v>
      </c>
      <c r="J7385" t="s">
        <v>18</v>
      </c>
      <c r="K7385" t="s">
        <v>657</v>
      </c>
      <c r="L7385" t="s">
        <v>844</v>
      </c>
      <c r="M7385" t="s">
        <v>18</v>
      </c>
    </row>
    <row r="7386" spans="1:13">
      <c r="A7386" t="s">
        <v>851</v>
      </c>
      <c r="B7386" t="s">
        <v>686</v>
      </c>
      <c r="C7386" t="s">
        <v>686</v>
      </c>
      <c r="D7386" t="s">
        <v>3185</v>
      </c>
      <c r="E7386" t="s">
        <v>660</v>
      </c>
      <c r="F7386" t="s">
        <v>40</v>
      </c>
      <c r="G7386">
        <v>2010</v>
      </c>
      <c r="H7386" s="12">
        <v>2498</v>
      </c>
      <c r="I7386" t="s">
        <v>3183</v>
      </c>
      <c r="J7386" t="s">
        <v>14</v>
      </c>
      <c r="K7386" t="s">
        <v>657</v>
      </c>
      <c r="L7386" t="s">
        <v>844</v>
      </c>
      <c r="M7386" t="s">
        <v>14</v>
      </c>
    </row>
    <row r="7387" spans="1:13">
      <c r="A7387" t="s">
        <v>851</v>
      </c>
      <c r="B7387" t="s">
        <v>686</v>
      </c>
      <c r="C7387" t="s">
        <v>686</v>
      </c>
      <c r="D7387" t="s">
        <v>3185</v>
      </c>
      <c r="E7387" t="s">
        <v>660</v>
      </c>
      <c r="F7387" t="s">
        <v>40</v>
      </c>
      <c r="G7387">
        <v>2015</v>
      </c>
      <c r="H7387" s="12">
        <v>2401</v>
      </c>
      <c r="I7387" t="s">
        <v>3183</v>
      </c>
      <c r="J7387" t="s">
        <v>14</v>
      </c>
      <c r="K7387" t="s">
        <v>657</v>
      </c>
      <c r="L7387" t="s">
        <v>844</v>
      </c>
      <c r="M7387" t="s">
        <v>14</v>
      </c>
    </row>
    <row r="7388" spans="1:13">
      <c r="A7388" t="s">
        <v>851</v>
      </c>
      <c r="B7388" t="s">
        <v>686</v>
      </c>
      <c r="C7388" t="s">
        <v>686</v>
      </c>
      <c r="D7388" t="s">
        <v>3185</v>
      </c>
      <c r="E7388" t="s">
        <v>660</v>
      </c>
      <c r="F7388" t="s">
        <v>40</v>
      </c>
      <c r="G7388">
        <v>2020</v>
      </c>
      <c r="H7388" s="12">
        <v>2491</v>
      </c>
      <c r="I7388" t="s">
        <v>3183</v>
      </c>
      <c r="J7388" t="s">
        <v>14</v>
      </c>
      <c r="K7388" t="s">
        <v>657</v>
      </c>
      <c r="L7388" t="s">
        <v>844</v>
      </c>
      <c r="M7388" t="s">
        <v>14</v>
      </c>
    </row>
    <row r="7389" spans="1:13">
      <c r="A7389" t="s">
        <v>851</v>
      </c>
      <c r="B7389" t="s">
        <v>686</v>
      </c>
      <c r="C7389" t="s">
        <v>686</v>
      </c>
      <c r="D7389" t="s">
        <v>3185</v>
      </c>
      <c r="E7389" t="s">
        <v>660</v>
      </c>
      <c r="F7389" t="s">
        <v>40</v>
      </c>
      <c r="G7389">
        <v>2030</v>
      </c>
      <c r="H7389" s="12">
        <v>2761</v>
      </c>
      <c r="I7389" t="s">
        <v>3183</v>
      </c>
      <c r="J7389" t="s">
        <v>14</v>
      </c>
      <c r="K7389" t="s">
        <v>657</v>
      </c>
      <c r="L7389" t="s">
        <v>844</v>
      </c>
      <c r="M7389" t="s">
        <v>14</v>
      </c>
    </row>
    <row r="7390" spans="1:13">
      <c r="A7390" t="s">
        <v>851</v>
      </c>
      <c r="B7390" t="s">
        <v>686</v>
      </c>
      <c r="C7390" t="s">
        <v>686</v>
      </c>
      <c r="D7390" t="s">
        <v>3185</v>
      </c>
      <c r="E7390" t="s">
        <v>660</v>
      </c>
      <c r="F7390" t="s">
        <v>40</v>
      </c>
      <c r="G7390">
        <v>2035</v>
      </c>
      <c r="H7390" s="12">
        <v>2952</v>
      </c>
      <c r="I7390" t="s">
        <v>3183</v>
      </c>
      <c r="J7390" t="s">
        <v>14</v>
      </c>
      <c r="K7390" t="s">
        <v>657</v>
      </c>
      <c r="L7390" t="s">
        <v>844</v>
      </c>
      <c r="M7390" t="s">
        <v>14</v>
      </c>
    </row>
    <row r="7391" spans="1:13">
      <c r="A7391" t="s">
        <v>851</v>
      </c>
      <c r="B7391" t="s">
        <v>686</v>
      </c>
      <c r="C7391" t="s">
        <v>686</v>
      </c>
      <c r="D7391" t="s">
        <v>3185</v>
      </c>
      <c r="E7391" t="s">
        <v>660</v>
      </c>
      <c r="F7391" t="s">
        <v>40</v>
      </c>
      <c r="G7391">
        <v>2040</v>
      </c>
      <c r="H7391" s="12">
        <v>3183</v>
      </c>
      <c r="I7391" t="s">
        <v>3183</v>
      </c>
      <c r="J7391" t="s">
        <v>14</v>
      </c>
      <c r="K7391" t="s">
        <v>657</v>
      </c>
      <c r="L7391" t="s">
        <v>844</v>
      </c>
      <c r="M7391" t="s">
        <v>14</v>
      </c>
    </row>
    <row r="7392" spans="1:13">
      <c r="A7392" t="s">
        <v>851</v>
      </c>
      <c r="B7392" t="s">
        <v>686</v>
      </c>
      <c r="C7392" t="s">
        <v>686</v>
      </c>
      <c r="D7392" t="s">
        <v>3185</v>
      </c>
      <c r="E7392" t="s">
        <v>660</v>
      </c>
      <c r="F7392" t="s">
        <v>40</v>
      </c>
      <c r="G7392">
        <v>2045</v>
      </c>
      <c r="H7392" s="12">
        <v>3468</v>
      </c>
      <c r="I7392" t="s">
        <v>3183</v>
      </c>
      <c r="J7392" t="s">
        <v>14</v>
      </c>
      <c r="K7392" t="s">
        <v>657</v>
      </c>
      <c r="L7392" t="s">
        <v>844</v>
      </c>
      <c r="M7392" t="s">
        <v>14</v>
      </c>
    </row>
    <row r="7393" spans="1:13">
      <c r="A7393" t="s">
        <v>851</v>
      </c>
      <c r="B7393" t="s">
        <v>686</v>
      </c>
      <c r="C7393" t="s">
        <v>686</v>
      </c>
      <c r="D7393" t="s">
        <v>3185</v>
      </c>
      <c r="E7393" t="s">
        <v>660</v>
      </c>
      <c r="F7393" t="s">
        <v>40</v>
      </c>
      <c r="G7393">
        <v>2050</v>
      </c>
      <c r="H7393" s="12">
        <v>3777</v>
      </c>
      <c r="I7393" t="s">
        <v>3183</v>
      </c>
      <c r="J7393" t="s">
        <v>14</v>
      </c>
      <c r="K7393" t="s">
        <v>657</v>
      </c>
      <c r="L7393" t="s">
        <v>844</v>
      </c>
      <c r="M7393" t="s">
        <v>14</v>
      </c>
    </row>
    <row r="7394" spans="1:13">
      <c r="A7394" t="s">
        <v>851</v>
      </c>
      <c r="B7394" t="s">
        <v>687</v>
      </c>
      <c r="C7394" t="s">
        <v>687</v>
      </c>
      <c r="D7394" t="s">
        <v>3185</v>
      </c>
      <c r="E7394" t="s">
        <v>660</v>
      </c>
      <c r="F7394" t="s">
        <v>40</v>
      </c>
      <c r="G7394">
        <v>2030</v>
      </c>
      <c r="H7394" s="12">
        <v>2800</v>
      </c>
      <c r="I7394" t="s">
        <v>3183</v>
      </c>
      <c r="J7394" t="s">
        <v>14</v>
      </c>
      <c r="K7394" t="s">
        <v>657</v>
      </c>
      <c r="L7394" t="s">
        <v>844</v>
      </c>
      <c r="M7394" t="s">
        <v>14</v>
      </c>
    </row>
    <row r="7395" spans="1:13">
      <c r="A7395" t="s">
        <v>851</v>
      </c>
      <c r="B7395" t="s">
        <v>687</v>
      </c>
      <c r="C7395" t="s">
        <v>687</v>
      </c>
      <c r="D7395" t="s">
        <v>3185</v>
      </c>
      <c r="E7395" t="s">
        <v>660</v>
      </c>
      <c r="F7395" t="s">
        <v>40</v>
      </c>
      <c r="G7395">
        <v>2035</v>
      </c>
      <c r="H7395" s="12">
        <v>3024</v>
      </c>
      <c r="I7395" t="s">
        <v>3183</v>
      </c>
      <c r="J7395" t="s">
        <v>14</v>
      </c>
      <c r="K7395" t="s">
        <v>657</v>
      </c>
      <c r="L7395" t="s">
        <v>844</v>
      </c>
      <c r="M7395" t="s">
        <v>14</v>
      </c>
    </row>
    <row r="7396" spans="1:13">
      <c r="A7396" t="s">
        <v>851</v>
      </c>
      <c r="B7396" t="s">
        <v>687</v>
      </c>
      <c r="C7396" t="s">
        <v>687</v>
      </c>
      <c r="D7396" t="s">
        <v>3185</v>
      </c>
      <c r="E7396" t="s">
        <v>660</v>
      </c>
      <c r="F7396" t="s">
        <v>40</v>
      </c>
      <c r="G7396">
        <v>2040</v>
      </c>
      <c r="H7396" s="12">
        <v>3306</v>
      </c>
      <c r="I7396" t="s">
        <v>3183</v>
      </c>
      <c r="J7396" t="s">
        <v>14</v>
      </c>
      <c r="K7396" t="s">
        <v>657</v>
      </c>
      <c r="L7396" t="s">
        <v>844</v>
      </c>
      <c r="M7396" t="s">
        <v>14</v>
      </c>
    </row>
    <row r="7397" spans="1:13">
      <c r="A7397" t="s">
        <v>851</v>
      </c>
      <c r="B7397" t="s">
        <v>687</v>
      </c>
      <c r="C7397" t="s">
        <v>687</v>
      </c>
      <c r="D7397" t="s">
        <v>3185</v>
      </c>
      <c r="E7397" t="s">
        <v>660</v>
      </c>
      <c r="F7397" t="s">
        <v>40</v>
      </c>
      <c r="G7397">
        <v>2045</v>
      </c>
      <c r="H7397" s="12">
        <v>3573</v>
      </c>
      <c r="I7397" t="s">
        <v>3183</v>
      </c>
      <c r="J7397" t="s">
        <v>14</v>
      </c>
      <c r="K7397" t="s">
        <v>657</v>
      </c>
      <c r="L7397" t="s">
        <v>844</v>
      </c>
      <c r="M7397" t="s">
        <v>14</v>
      </c>
    </row>
    <row r="7398" spans="1:13">
      <c r="A7398" t="s">
        <v>851</v>
      </c>
      <c r="B7398" t="s">
        <v>687</v>
      </c>
      <c r="C7398" t="s">
        <v>687</v>
      </c>
      <c r="D7398" t="s">
        <v>3185</v>
      </c>
      <c r="E7398" t="s">
        <v>660</v>
      </c>
      <c r="F7398" t="s">
        <v>40</v>
      </c>
      <c r="G7398">
        <v>2050</v>
      </c>
      <c r="H7398" s="12">
        <v>3754</v>
      </c>
      <c r="I7398" t="s">
        <v>3183</v>
      </c>
      <c r="J7398" t="s">
        <v>14</v>
      </c>
      <c r="K7398" t="s">
        <v>657</v>
      </c>
      <c r="L7398" t="s">
        <v>844</v>
      </c>
      <c r="M7398" t="s">
        <v>14</v>
      </c>
    </row>
    <row r="7399" spans="1:13">
      <c r="A7399" t="s">
        <v>851</v>
      </c>
      <c r="B7399" t="s">
        <v>686</v>
      </c>
      <c r="C7399" t="s">
        <v>686</v>
      </c>
      <c r="D7399" t="s">
        <v>3185</v>
      </c>
      <c r="E7399" t="s">
        <v>660</v>
      </c>
      <c r="F7399" t="s">
        <v>40</v>
      </c>
      <c r="G7399">
        <v>2010</v>
      </c>
      <c r="H7399" s="12">
        <v>5239</v>
      </c>
      <c r="I7399" t="s">
        <v>3183</v>
      </c>
      <c r="J7399" t="s">
        <v>41</v>
      </c>
      <c r="K7399" t="s">
        <v>657</v>
      </c>
      <c r="L7399" t="s">
        <v>844</v>
      </c>
      <c r="M7399" t="s">
        <v>662</v>
      </c>
    </row>
    <row r="7400" spans="1:13">
      <c r="A7400" t="s">
        <v>851</v>
      </c>
      <c r="B7400" t="s">
        <v>686</v>
      </c>
      <c r="C7400" t="s">
        <v>686</v>
      </c>
      <c r="D7400" t="s">
        <v>3185</v>
      </c>
      <c r="E7400" t="s">
        <v>660</v>
      </c>
      <c r="F7400" t="s">
        <v>40</v>
      </c>
      <c r="G7400">
        <v>2015</v>
      </c>
      <c r="H7400" s="12">
        <v>6003</v>
      </c>
      <c r="I7400" t="s">
        <v>3183</v>
      </c>
      <c r="J7400" t="s">
        <v>41</v>
      </c>
      <c r="K7400" t="s">
        <v>657</v>
      </c>
      <c r="L7400" t="s">
        <v>844</v>
      </c>
      <c r="M7400" t="s">
        <v>662</v>
      </c>
    </row>
    <row r="7401" spans="1:13">
      <c r="A7401" t="s">
        <v>851</v>
      </c>
      <c r="B7401" t="s">
        <v>687</v>
      </c>
      <c r="C7401" t="s">
        <v>687</v>
      </c>
      <c r="D7401" t="s">
        <v>3185</v>
      </c>
      <c r="E7401" t="s">
        <v>660</v>
      </c>
      <c r="F7401" t="s">
        <v>40</v>
      </c>
      <c r="G7401">
        <v>2035</v>
      </c>
      <c r="H7401" s="12">
        <v>520</v>
      </c>
      <c r="I7401" t="s">
        <v>3183</v>
      </c>
      <c r="J7401" t="s">
        <v>41</v>
      </c>
      <c r="K7401" t="s">
        <v>657</v>
      </c>
      <c r="L7401" t="s">
        <v>844</v>
      </c>
      <c r="M7401" t="s">
        <v>661</v>
      </c>
    </row>
    <row r="7402" spans="1:13">
      <c r="A7402" t="s">
        <v>851</v>
      </c>
      <c r="B7402" t="s">
        <v>687</v>
      </c>
      <c r="C7402" t="s">
        <v>687</v>
      </c>
      <c r="D7402" t="s">
        <v>3185</v>
      </c>
      <c r="E7402" t="s">
        <v>660</v>
      </c>
      <c r="F7402" t="s">
        <v>40</v>
      </c>
      <c r="G7402">
        <v>2040</v>
      </c>
      <c r="H7402" s="12">
        <v>318</v>
      </c>
      <c r="I7402" t="s">
        <v>3183</v>
      </c>
      <c r="J7402" t="s">
        <v>41</v>
      </c>
      <c r="K7402" t="s">
        <v>657</v>
      </c>
      <c r="L7402" t="s">
        <v>844</v>
      </c>
      <c r="M7402" t="s">
        <v>661</v>
      </c>
    </row>
    <row r="7403" spans="1:13">
      <c r="A7403" t="s">
        <v>851</v>
      </c>
      <c r="B7403" t="s">
        <v>687</v>
      </c>
      <c r="C7403" t="s">
        <v>687</v>
      </c>
      <c r="D7403" t="s">
        <v>3185</v>
      </c>
      <c r="E7403" t="s">
        <v>660</v>
      </c>
      <c r="F7403" t="s">
        <v>40</v>
      </c>
      <c r="G7403">
        <v>2045</v>
      </c>
      <c r="H7403" s="12">
        <v>197</v>
      </c>
      <c r="I7403" t="s">
        <v>3183</v>
      </c>
      <c r="J7403" t="s">
        <v>41</v>
      </c>
      <c r="K7403" t="s">
        <v>657</v>
      </c>
      <c r="L7403" t="s">
        <v>844</v>
      </c>
      <c r="M7403" t="s">
        <v>661</v>
      </c>
    </row>
    <row r="7404" spans="1:13">
      <c r="A7404" t="s">
        <v>851</v>
      </c>
      <c r="B7404" t="s">
        <v>687</v>
      </c>
      <c r="C7404" t="s">
        <v>687</v>
      </c>
      <c r="D7404" t="s">
        <v>3185</v>
      </c>
      <c r="E7404" t="s">
        <v>660</v>
      </c>
      <c r="F7404" t="s">
        <v>40</v>
      </c>
      <c r="G7404">
        <v>2050</v>
      </c>
      <c r="H7404" s="12">
        <v>125</v>
      </c>
      <c r="I7404" t="s">
        <v>3183</v>
      </c>
      <c r="J7404" t="s">
        <v>41</v>
      </c>
      <c r="K7404" t="s">
        <v>657</v>
      </c>
      <c r="L7404" t="s">
        <v>844</v>
      </c>
      <c r="M7404" t="s">
        <v>661</v>
      </c>
    </row>
    <row r="7405" spans="1:13">
      <c r="A7405" t="s">
        <v>851</v>
      </c>
      <c r="B7405" t="s">
        <v>686</v>
      </c>
      <c r="C7405" t="s">
        <v>686</v>
      </c>
      <c r="D7405" t="s">
        <v>3185</v>
      </c>
      <c r="E7405" t="s">
        <v>660</v>
      </c>
      <c r="F7405" t="s">
        <v>40</v>
      </c>
      <c r="G7405">
        <v>2010</v>
      </c>
      <c r="H7405" s="12">
        <v>237</v>
      </c>
      <c r="I7405" t="s">
        <v>3183</v>
      </c>
      <c r="J7405" t="s">
        <v>15</v>
      </c>
      <c r="K7405" t="s">
        <v>657</v>
      </c>
      <c r="L7405" t="s">
        <v>844</v>
      </c>
      <c r="M7405" t="s">
        <v>15</v>
      </c>
    </row>
    <row r="7406" spans="1:13">
      <c r="A7406" t="s">
        <v>851</v>
      </c>
      <c r="B7406" t="s">
        <v>686</v>
      </c>
      <c r="C7406" t="s">
        <v>686</v>
      </c>
      <c r="D7406" t="s">
        <v>3185</v>
      </c>
      <c r="E7406" t="s">
        <v>660</v>
      </c>
      <c r="F7406" t="s">
        <v>40</v>
      </c>
      <c r="G7406">
        <v>2015</v>
      </c>
      <c r="H7406" s="12">
        <v>238</v>
      </c>
      <c r="I7406" t="s">
        <v>3183</v>
      </c>
      <c r="J7406" t="s">
        <v>15</v>
      </c>
      <c r="K7406" t="s">
        <v>657</v>
      </c>
      <c r="L7406" t="s">
        <v>844</v>
      </c>
      <c r="M7406" t="s">
        <v>15</v>
      </c>
    </row>
    <row r="7407" spans="1:13">
      <c r="A7407" t="s">
        <v>851</v>
      </c>
      <c r="B7407" t="s">
        <v>686</v>
      </c>
      <c r="C7407" t="s">
        <v>686</v>
      </c>
      <c r="D7407" t="s">
        <v>3185</v>
      </c>
      <c r="E7407" t="s">
        <v>660</v>
      </c>
      <c r="F7407" t="s">
        <v>40</v>
      </c>
      <c r="G7407">
        <v>2020</v>
      </c>
      <c r="H7407" s="12">
        <v>270</v>
      </c>
      <c r="I7407" t="s">
        <v>3183</v>
      </c>
      <c r="J7407" t="s">
        <v>15</v>
      </c>
      <c r="K7407" t="s">
        <v>657</v>
      </c>
      <c r="L7407" t="s">
        <v>844</v>
      </c>
      <c r="M7407" t="s">
        <v>15</v>
      </c>
    </row>
    <row r="7408" spans="1:13">
      <c r="A7408" t="s">
        <v>851</v>
      </c>
      <c r="B7408" t="s">
        <v>686</v>
      </c>
      <c r="C7408" t="s">
        <v>686</v>
      </c>
      <c r="D7408" t="s">
        <v>3185</v>
      </c>
      <c r="E7408" t="s">
        <v>660</v>
      </c>
      <c r="F7408" t="s">
        <v>40</v>
      </c>
      <c r="G7408">
        <v>2030</v>
      </c>
      <c r="H7408" s="12">
        <v>330</v>
      </c>
      <c r="I7408" t="s">
        <v>3183</v>
      </c>
      <c r="J7408" t="s">
        <v>15</v>
      </c>
      <c r="K7408" t="s">
        <v>657</v>
      </c>
      <c r="L7408" t="s">
        <v>844</v>
      </c>
      <c r="M7408" t="s">
        <v>15</v>
      </c>
    </row>
    <row r="7409" spans="1:13">
      <c r="A7409" t="s">
        <v>851</v>
      </c>
      <c r="B7409" t="s">
        <v>686</v>
      </c>
      <c r="C7409" t="s">
        <v>686</v>
      </c>
      <c r="D7409" t="s">
        <v>3185</v>
      </c>
      <c r="E7409" t="s">
        <v>660</v>
      </c>
      <c r="F7409" t="s">
        <v>40</v>
      </c>
      <c r="G7409">
        <v>2035</v>
      </c>
      <c r="H7409" s="12">
        <v>597</v>
      </c>
      <c r="I7409" t="s">
        <v>3183</v>
      </c>
      <c r="J7409" t="s">
        <v>15</v>
      </c>
      <c r="K7409" t="s">
        <v>657</v>
      </c>
      <c r="L7409" t="s">
        <v>844</v>
      </c>
      <c r="M7409" t="s">
        <v>15</v>
      </c>
    </row>
    <row r="7410" spans="1:13">
      <c r="A7410" t="s">
        <v>851</v>
      </c>
      <c r="B7410" t="s">
        <v>686</v>
      </c>
      <c r="C7410" t="s">
        <v>686</v>
      </c>
      <c r="D7410" t="s">
        <v>3185</v>
      </c>
      <c r="E7410" t="s">
        <v>660</v>
      </c>
      <c r="F7410" t="s">
        <v>40</v>
      </c>
      <c r="G7410">
        <v>2040</v>
      </c>
      <c r="H7410" s="12">
        <v>767</v>
      </c>
      <c r="I7410" t="s">
        <v>3183</v>
      </c>
      <c r="J7410" t="s">
        <v>15</v>
      </c>
      <c r="K7410" t="s">
        <v>657</v>
      </c>
      <c r="L7410" t="s">
        <v>844</v>
      </c>
      <c r="M7410" t="s">
        <v>15</v>
      </c>
    </row>
    <row r="7411" spans="1:13">
      <c r="A7411" t="s">
        <v>851</v>
      </c>
      <c r="B7411" t="s">
        <v>686</v>
      </c>
      <c r="C7411" t="s">
        <v>686</v>
      </c>
      <c r="D7411" t="s">
        <v>3185</v>
      </c>
      <c r="E7411" t="s">
        <v>660</v>
      </c>
      <c r="F7411" t="s">
        <v>40</v>
      </c>
      <c r="G7411">
        <v>2045</v>
      </c>
      <c r="H7411" s="12">
        <v>719</v>
      </c>
      <c r="I7411" t="s">
        <v>3183</v>
      </c>
      <c r="J7411" t="s">
        <v>15</v>
      </c>
      <c r="K7411" t="s">
        <v>657</v>
      </c>
      <c r="L7411" t="s">
        <v>844</v>
      </c>
      <c r="M7411" t="s">
        <v>15</v>
      </c>
    </row>
    <row r="7412" spans="1:13">
      <c r="A7412" t="s">
        <v>851</v>
      </c>
      <c r="B7412" t="s">
        <v>686</v>
      </c>
      <c r="C7412" t="s">
        <v>686</v>
      </c>
      <c r="D7412" t="s">
        <v>3185</v>
      </c>
      <c r="E7412" t="s">
        <v>660</v>
      </c>
      <c r="F7412" t="s">
        <v>40</v>
      </c>
      <c r="G7412">
        <v>2050</v>
      </c>
      <c r="H7412" s="12">
        <v>656</v>
      </c>
      <c r="I7412" t="s">
        <v>3183</v>
      </c>
      <c r="J7412" t="s">
        <v>15</v>
      </c>
      <c r="K7412" t="s">
        <v>657</v>
      </c>
      <c r="L7412" t="s">
        <v>844</v>
      </c>
      <c r="M7412" t="s">
        <v>15</v>
      </c>
    </row>
    <row r="7413" spans="1:13">
      <c r="A7413" t="s">
        <v>851</v>
      </c>
      <c r="B7413" t="s">
        <v>687</v>
      </c>
      <c r="C7413" t="s">
        <v>687</v>
      </c>
      <c r="D7413" t="s">
        <v>3185</v>
      </c>
      <c r="E7413" t="s">
        <v>660</v>
      </c>
      <c r="F7413" t="s">
        <v>40</v>
      </c>
      <c r="G7413">
        <v>2030</v>
      </c>
      <c r="H7413" s="12">
        <v>369</v>
      </c>
      <c r="I7413" t="s">
        <v>3183</v>
      </c>
      <c r="J7413" t="s">
        <v>15</v>
      </c>
      <c r="K7413" t="s">
        <v>657</v>
      </c>
      <c r="L7413" t="s">
        <v>844</v>
      </c>
      <c r="M7413" t="s">
        <v>15</v>
      </c>
    </row>
    <row r="7414" spans="1:13">
      <c r="A7414" t="s">
        <v>851</v>
      </c>
      <c r="B7414" t="s">
        <v>687</v>
      </c>
      <c r="C7414" t="s">
        <v>687</v>
      </c>
      <c r="D7414" t="s">
        <v>3185</v>
      </c>
      <c r="E7414" t="s">
        <v>660</v>
      </c>
      <c r="F7414" t="s">
        <v>40</v>
      </c>
      <c r="G7414">
        <v>2035</v>
      </c>
      <c r="H7414" s="12">
        <v>632</v>
      </c>
      <c r="I7414" t="s">
        <v>3183</v>
      </c>
      <c r="J7414" t="s">
        <v>15</v>
      </c>
      <c r="K7414" t="s">
        <v>657</v>
      </c>
      <c r="L7414" t="s">
        <v>844</v>
      </c>
      <c r="M7414" t="s">
        <v>15</v>
      </c>
    </row>
    <row r="7415" spans="1:13">
      <c r="A7415" t="s">
        <v>851</v>
      </c>
      <c r="B7415" t="s">
        <v>687</v>
      </c>
      <c r="C7415" t="s">
        <v>687</v>
      </c>
      <c r="D7415" t="s">
        <v>3185</v>
      </c>
      <c r="E7415" t="s">
        <v>660</v>
      </c>
      <c r="F7415" t="s">
        <v>40</v>
      </c>
      <c r="G7415">
        <v>2040</v>
      </c>
      <c r="H7415" s="12">
        <v>817</v>
      </c>
      <c r="I7415" t="s">
        <v>3183</v>
      </c>
      <c r="J7415" t="s">
        <v>15</v>
      </c>
      <c r="K7415" t="s">
        <v>657</v>
      </c>
      <c r="L7415" t="s">
        <v>844</v>
      </c>
      <c r="M7415" t="s">
        <v>15</v>
      </c>
    </row>
    <row r="7416" spans="1:13">
      <c r="A7416" t="s">
        <v>851</v>
      </c>
      <c r="B7416" t="s">
        <v>687</v>
      </c>
      <c r="C7416" t="s">
        <v>687</v>
      </c>
      <c r="D7416" t="s">
        <v>3185</v>
      </c>
      <c r="E7416" t="s">
        <v>660</v>
      </c>
      <c r="F7416" t="s">
        <v>40</v>
      </c>
      <c r="G7416">
        <v>2045</v>
      </c>
      <c r="H7416" s="12">
        <v>838</v>
      </c>
      <c r="I7416" t="s">
        <v>3183</v>
      </c>
      <c r="J7416" t="s">
        <v>15</v>
      </c>
      <c r="K7416" t="s">
        <v>657</v>
      </c>
      <c r="L7416" t="s">
        <v>844</v>
      </c>
      <c r="M7416" t="s">
        <v>15</v>
      </c>
    </row>
    <row r="7417" spans="1:13">
      <c r="A7417" t="s">
        <v>851</v>
      </c>
      <c r="B7417" t="s">
        <v>687</v>
      </c>
      <c r="C7417" t="s">
        <v>687</v>
      </c>
      <c r="D7417" t="s">
        <v>3185</v>
      </c>
      <c r="E7417" t="s">
        <v>660</v>
      </c>
      <c r="F7417" t="s">
        <v>40</v>
      </c>
      <c r="G7417">
        <v>2050</v>
      </c>
      <c r="H7417" s="12">
        <v>767</v>
      </c>
      <c r="I7417" t="s">
        <v>3183</v>
      </c>
      <c r="J7417" t="s">
        <v>15</v>
      </c>
      <c r="K7417" t="s">
        <v>657</v>
      </c>
      <c r="L7417" t="s">
        <v>844</v>
      </c>
      <c r="M7417" t="s">
        <v>15</v>
      </c>
    </row>
    <row r="7418" spans="1:13">
      <c r="A7418" t="s">
        <v>851</v>
      </c>
      <c r="B7418" t="s">
        <v>686</v>
      </c>
      <c r="C7418" t="s">
        <v>686</v>
      </c>
      <c r="D7418" t="s">
        <v>3185</v>
      </c>
      <c r="E7418" t="s">
        <v>660</v>
      </c>
      <c r="F7418" t="s">
        <v>40</v>
      </c>
      <c r="G7418">
        <v>2010</v>
      </c>
      <c r="H7418" s="12">
        <v>5194</v>
      </c>
      <c r="I7418" t="s">
        <v>3183</v>
      </c>
      <c r="J7418" t="s">
        <v>6</v>
      </c>
      <c r="K7418" t="s">
        <v>657</v>
      </c>
      <c r="L7418" t="s">
        <v>844</v>
      </c>
      <c r="M7418" t="s">
        <v>659</v>
      </c>
    </row>
    <row r="7419" spans="1:13">
      <c r="A7419" t="s">
        <v>851</v>
      </c>
      <c r="B7419" t="s">
        <v>686</v>
      </c>
      <c r="C7419" t="s">
        <v>686</v>
      </c>
      <c r="D7419" t="s">
        <v>3185</v>
      </c>
      <c r="E7419" t="s">
        <v>660</v>
      </c>
      <c r="F7419" t="s">
        <v>40</v>
      </c>
      <c r="G7419">
        <v>2015</v>
      </c>
      <c r="H7419" s="12">
        <v>6148</v>
      </c>
      <c r="I7419" t="s">
        <v>3183</v>
      </c>
      <c r="J7419" t="s">
        <v>6</v>
      </c>
      <c r="K7419" t="s">
        <v>657</v>
      </c>
      <c r="L7419" t="s">
        <v>844</v>
      </c>
      <c r="M7419" t="s">
        <v>659</v>
      </c>
    </row>
    <row r="7420" spans="1:13">
      <c r="A7420" t="s">
        <v>851</v>
      </c>
      <c r="B7420" t="s">
        <v>686</v>
      </c>
      <c r="C7420" t="s">
        <v>686</v>
      </c>
      <c r="D7420" t="s">
        <v>3185</v>
      </c>
      <c r="E7420" t="s">
        <v>660</v>
      </c>
      <c r="F7420" t="s">
        <v>40</v>
      </c>
      <c r="G7420">
        <v>2020</v>
      </c>
      <c r="H7420" s="12">
        <v>5203</v>
      </c>
      <c r="I7420" t="s">
        <v>3183</v>
      </c>
      <c r="J7420" t="s">
        <v>6</v>
      </c>
      <c r="K7420" t="s">
        <v>657</v>
      </c>
      <c r="L7420" t="s">
        <v>844</v>
      </c>
      <c r="M7420" t="s">
        <v>659</v>
      </c>
    </row>
    <row r="7421" spans="1:13">
      <c r="A7421" t="s">
        <v>851</v>
      </c>
      <c r="B7421" t="s">
        <v>686</v>
      </c>
      <c r="C7421" t="s">
        <v>686</v>
      </c>
      <c r="D7421" t="s">
        <v>3185</v>
      </c>
      <c r="E7421" t="s">
        <v>660</v>
      </c>
      <c r="F7421" t="s">
        <v>40</v>
      </c>
      <c r="G7421">
        <v>2030</v>
      </c>
      <c r="H7421" s="12">
        <v>5573</v>
      </c>
      <c r="I7421" t="s">
        <v>3183</v>
      </c>
      <c r="J7421" t="s">
        <v>6</v>
      </c>
      <c r="K7421" t="s">
        <v>657</v>
      </c>
      <c r="L7421" t="s">
        <v>844</v>
      </c>
      <c r="M7421" t="s">
        <v>659</v>
      </c>
    </row>
    <row r="7422" spans="1:13">
      <c r="A7422" t="s">
        <v>851</v>
      </c>
      <c r="B7422" t="s">
        <v>686</v>
      </c>
      <c r="C7422" t="s">
        <v>686</v>
      </c>
      <c r="D7422" t="s">
        <v>3185</v>
      </c>
      <c r="E7422" t="s">
        <v>660</v>
      </c>
      <c r="F7422" t="s">
        <v>40</v>
      </c>
      <c r="G7422">
        <v>2035</v>
      </c>
      <c r="H7422" s="12">
        <v>5940</v>
      </c>
      <c r="I7422" t="s">
        <v>3183</v>
      </c>
      <c r="J7422" t="s">
        <v>6</v>
      </c>
      <c r="K7422" t="s">
        <v>657</v>
      </c>
      <c r="L7422" t="s">
        <v>844</v>
      </c>
      <c r="M7422" t="s">
        <v>659</v>
      </c>
    </row>
    <row r="7423" spans="1:13">
      <c r="A7423" t="s">
        <v>851</v>
      </c>
      <c r="B7423" t="s">
        <v>686</v>
      </c>
      <c r="C7423" t="s">
        <v>686</v>
      </c>
      <c r="D7423" t="s">
        <v>3185</v>
      </c>
      <c r="E7423" t="s">
        <v>660</v>
      </c>
      <c r="F7423" t="s">
        <v>40</v>
      </c>
      <c r="G7423">
        <v>2040</v>
      </c>
      <c r="H7423" s="12">
        <v>6144</v>
      </c>
      <c r="I7423" t="s">
        <v>3183</v>
      </c>
      <c r="J7423" t="s">
        <v>6</v>
      </c>
      <c r="K7423" t="s">
        <v>657</v>
      </c>
      <c r="L7423" t="s">
        <v>844</v>
      </c>
      <c r="M7423" t="s">
        <v>659</v>
      </c>
    </row>
    <row r="7424" spans="1:13">
      <c r="A7424" t="s">
        <v>851</v>
      </c>
      <c r="B7424" t="s">
        <v>686</v>
      </c>
      <c r="C7424" t="s">
        <v>686</v>
      </c>
      <c r="D7424" t="s">
        <v>3185</v>
      </c>
      <c r="E7424" t="s">
        <v>660</v>
      </c>
      <c r="F7424" t="s">
        <v>40</v>
      </c>
      <c r="G7424">
        <v>2045</v>
      </c>
      <c r="H7424" s="12">
        <v>6231</v>
      </c>
      <c r="I7424" t="s">
        <v>3183</v>
      </c>
      <c r="J7424" t="s">
        <v>6</v>
      </c>
      <c r="K7424" t="s">
        <v>657</v>
      </c>
      <c r="L7424" t="s">
        <v>844</v>
      </c>
      <c r="M7424" t="s">
        <v>659</v>
      </c>
    </row>
    <row r="7425" spans="1:13">
      <c r="A7425" t="s">
        <v>851</v>
      </c>
      <c r="B7425" t="s">
        <v>686</v>
      </c>
      <c r="C7425" t="s">
        <v>686</v>
      </c>
      <c r="D7425" t="s">
        <v>3185</v>
      </c>
      <c r="E7425" t="s">
        <v>660</v>
      </c>
      <c r="F7425" t="s">
        <v>40</v>
      </c>
      <c r="G7425">
        <v>2050</v>
      </c>
      <c r="H7425" s="12">
        <v>6284</v>
      </c>
      <c r="I7425" t="s">
        <v>3183</v>
      </c>
      <c r="J7425" t="s">
        <v>6</v>
      </c>
      <c r="K7425" t="s">
        <v>657</v>
      </c>
      <c r="L7425" t="s">
        <v>844</v>
      </c>
      <c r="M7425" t="s">
        <v>659</v>
      </c>
    </row>
    <row r="7426" spans="1:13">
      <c r="A7426" t="s">
        <v>851</v>
      </c>
      <c r="B7426" t="s">
        <v>687</v>
      </c>
      <c r="C7426" t="s">
        <v>687</v>
      </c>
      <c r="D7426" t="s">
        <v>3185</v>
      </c>
      <c r="E7426" t="s">
        <v>660</v>
      </c>
      <c r="F7426" t="s">
        <v>40</v>
      </c>
      <c r="G7426">
        <v>2030</v>
      </c>
      <c r="H7426" s="12">
        <v>4950</v>
      </c>
      <c r="I7426" t="s">
        <v>3183</v>
      </c>
      <c r="J7426" t="s">
        <v>6</v>
      </c>
      <c r="K7426" t="s">
        <v>657</v>
      </c>
      <c r="L7426" t="s">
        <v>844</v>
      </c>
      <c r="M7426" t="s">
        <v>659</v>
      </c>
    </row>
    <row r="7427" spans="1:13">
      <c r="A7427" t="s">
        <v>851</v>
      </c>
      <c r="B7427" t="s">
        <v>687</v>
      </c>
      <c r="C7427" t="s">
        <v>687</v>
      </c>
      <c r="D7427" t="s">
        <v>3185</v>
      </c>
      <c r="E7427" t="s">
        <v>660</v>
      </c>
      <c r="F7427" t="s">
        <v>40</v>
      </c>
      <c r="G7427">
        <v>2035</v>
      </c>
      <c r="H7427" s="12">
        <v>4625</v>
      </c>
      <c r="I7427" t="s">
        <v>3183</v>
      </c>
      <c r="J7427" t="s">
        <v>6</v>
      </c>
      <c r="K7427" t="s">
        <v>657</v>
      </c>
      <c r="L7427" t="s">
        <v>844</v>
      </c>
      <c r="M7427" t="s">
        <v>659</v>
      </c>
    </row>
    <row r="7428" spans="1:13">
      <c r="A7428" t="s">
        <v>851</v>
      </c>
      <c r="B7428" t="s">
        <v>687</v>
      </c>
      <c r="C7428" t="s">
        <v>687</v>
      </c>
      <c r="D7428" t="s">
        <v>3185</v>
      </c>
      <c r="E7428" t="s">
        <v>660</v>
      </c>
      <c r="F7428" t="s">
        <v>40</v>
      </c>
      <c r="G7428">
        <v>2040</v>
      </c>
      <c r="H7428" s="12">
        <v>4175</v>
      </c>
      <c r="I7428" t="s">
        <v>3183</v>
      </c>
      <c r="J7428" t="s">
        <v>6</v>
      </c>
      <c r="K7428" t="s">
        <v>657</v>
      </c>
      <c r="L7428" t="s">
        <v>844</v>
      </c>
      <c r="M7428" t="s">
        <v>659</v>
      </c>
    </row>
    <row r="7429" spans="1:13">
      <c r="A7429" t="s">
        <v>851</v>
      </c>
      <c r="B7429" t="s">
        <v>687</v>
      </c>
      <c r="C7429" t="s">
        <v>687</v>
      </c>
      <c r="D7429" t="s">
        <v>3185</v>
      </c>
      <c r="E7429" t="s">
        <v>660</v>
      </c>
      <c r="F7429" t="s">
        <v>40</v>
      </c>
      <c r="G7429">
        <v>2045</v>
      </c>
      <c r="H7429" s="12">
        <v>3851</v>
      </c>
      <c r="I7429" t="s">
        <v>3183</v>
      </c>
      <c r="J7429" t="s">
        <v>6</v>
      </c>
      <c r="K7429" t="s">
        <v>657</v>
      </c>
      <c r="L7429" t="s">
        <v>844</v>
      </c>
      <c r="M7429" t="s">
        <v>659</v>
      </c>
    </row>
    <row r="7430" spans="1:13">
      <c r="A7430" t="s">
        <v>851</v>
      </c>
      <c r="B7430" t="s">
        <v>687</v>
      </c>
      <c r="C7430" t="s">
        <v>687</v>
      </c>
      <c r="D7430" t="s">
        <v>3185</v>
      </c>
      <c r="E7430" t="s">
        <v>660</v>
      </c>
      <c r="F7430" t="s">
        <v>40</v>
      </c>
      <c r="G7430">
        <v>2050</v>
      </c>
      <c r="H7430" s="12">
        <v>3382</v>
      </c>
      <c r="I7430" t="s">
        <v>3183</v>
      </c>
      <c r="J7430" t="s">
        <v>6</v>
      </c>
      <c r="K7430" t="s">
        <v>657</v>
      </c>
      <c r="L7430" t="s">
        <v>844</v>
      </c>
      <c r="M7430" t="s">
        <v>659</v>
      </c>
    </row>
    <row r="7431" spans="1:13">
      <c r="A7431" t="s">
        <v>851</v>
      </c>
      <c r="B7431" t="s">
        <v>686</v>
      </c>
      <c r="C7431" t="s">
        <v>686</v>
      </c>
      <c r="D7431" t="s">
        <v>3185</v>
      </c>
      <c r="E7431" t="s">
        <v>660</v>
      </c>
      <c r="F7431" t="s">
        <v>40</v>
      </c>
      <c r="G7431">
        <v>2010</v>
      </c>
      <c r="H7431" s="12">
        <v>11304</v>
      </c>
      <c r="I7431" t="s">
        <v>3183</v>
      </c>
      <c r="J7431" t="s">
        <v>394</v>
      </c>
      <c r="K7431" t="s">
        <v>657</v>
      </c>
      <c r="L7431" t="s">
        <v>844</v>
      </c>
      <c r="M7431" t="s">
        <v>16</v>
      </c>
    </row>
    <row r="7432" spans="1:13">
      <c r="A7432" t="s">
        <v>851</v>
      </c>
      <c r="B7432" t="s">
        <v>686</v>
      </c>
      <c r="C7432" t="s">
        <v>686</v>
      </c>
      <c r="D7432" t="s">
        <v>3185</v>
      </c>
      <c r="E7432" t="s">
        <v>660</v>
      </c>
      <c r="F7432" t="s">
        <v>40</v>
      </c>
      <c r="G7432">
        <v>2015</v>
      </c>
      <c r="H7432" s="12">
        <v>11844</v>
      </c>
      <c r="I7432" t="s">
        <v>3183</v>
      </c>
      <c r="J7432" t="s">
        <v>394</v>
      </c>
      <c r="K7432" t="s">
        <v>657</v>
      </c>
      <c r="L7432" t="s">
        <v>844</v>
      </c>
      <c r="M7432" t="s">
        <v>16</v>
      </c>
    </row>
    <row r="7433" spans="1:13">
      <c r="A7433" t="s">
        <v>851</v>
      </c>
      <c r="B7433" t="s">
        <v>686</v>
      </c>
      <c r="C7433" t="s">
        <v>686</v>
      </c>
      <c r="D7433" t="s">
        <v>3185</v>
      </c>
      <c r="E7433" t="s">
        <v>660</v>
      </c>
      <c r="F7433" t="s">
        <v>40</v>
      </c>
      <c r="G7433">
        <v>2020</v>
      </c>
      <c r="H7433" s="12">
        <v>9386</v>
      </c>
      <c r="I7433" t="s">
        <v>3183</v>
      </c>
      <c r="J7433" t="s">
        <v>394</v>
      </c>
      <c r="K7433" t="s">
        <v>657</v>
      </c>
      <c r="L7433" t="s">
        <v>844</v>
      </c>
      <c r="M7433" t="s">
        <v>16</v>
      </c>
    </row>
    <row r="7434" spans="1:13">
      <c r="A7434" t="s">
        <v>851</v>
      </c>
      <c r="B7434" t="s">
        <v>686</v>
      </c>
      <c r="C7434" t="s">
        <v>686</v>
      </c>
      <c r="D7434" t="s">
        <v>3185</v>
      </c>
      <c r="E7434" t="s">
        <v>660</v>
      </c>
      <c r="F7434" t="s">
        <v>40</v>
      </c>
      <c r="G7434">
        <v>2030</v>
      </c>
      <c r="H7434" s="12">
        <v>10823</v>
      </c>
      <c r="I7434" t="s">
        <v>3183</v>
      </c>
      <c r="J7434" t="s">
        <v>394</v>
      </c>
      <c r="K7434" t="s">
        <v>657</v>
      </c>
      <c r="L7434" t="s">
        <v>844</v>
      </c>
      <c r="M7434" t="s">
        <v>16</v>
      </c>
    </row>
    <row r="7435" spans="1:13">
      <c r="A7435" t="s">
        <v>851</v>
      </c>
      <c r="B7435" t="s">
        <v>686</v>
      </c>
      <c r="C7435" t="s">
        <v>686</v>
      </c>
      <c r="D7435" t="s">
        <v>3185</v>
      </c>
      <c r="E7435" t="s">
        <v>660</v>
      </c>
      <c r="F7435" t="s">
        <v>40</v>
      </c>
      <c r="G7435">
        <v>2035</v>
      </c>
      <c r="H7435" s="12">
        <v>11310</v>
      </c>
      <c r="I7435" t="s">
        <v>3183</v>
      </c>
      <c r="J7435" t="s">
        <v>394</v>
      </c>
      <c r="K7435" t="s">
        <v>657</v>
      </c>
      <c r="L7435" t="s">
        <v>844</v>
      </c>
      <c r="M7435" t="s">
        <v>16</v>
      </c>
    </row>
    <row r="7436" spans="1:13">
      <c r="A7436" t="s">
        <v>851</v>
      </c>
      <c r="B7436" t="s">
        <v>686</v>
      </c>
      <c r="C7436" t="s">
        <v>686</v>
      </c>
      <c r="D7436" t="s">
        <v>3185</v>
      </c>
      <c r="E7436" t="s">
        <v>660</v>
      </c>
      <c r="F7436" t="s">
        <v>40</v>
      </c>
      <c r="G7436">
        <v>2040</v>
      </c>
      <c r="H7436" s="12">
        <v>11509</v>
      </c>
      <c r="I7436" t="s">
        <v>3183</v>
      </c>
      <c r="J7436" t="s">
        <v>394</v>
      </c>
      <c r="K7436" t="s">
        <v>657</v>
      </c>
      <c r="L7436" t="s">
        <v>844</v>
      </c>
      <c r="M7436" t="s">
        <v>16</v>
      </c>
    </row>
    <row r="7437" spans="1:13">
      <c r="A7437" t="s">
        <v>851</v>
      </c>
      <c r="B7437" t="s">
        <v>686</v>
      </c>
      <c r="C7437" t="s">
        <v>686</v>
      </c>
      <c r="D7437" t="s">
        <v>3185</v>
      </c>
      <c r="E7437" t="s">
        <v>660</v>
      </c>
      <c r="F7437" t="s">
        <v>40</v>
      </c>
      <c r="G7437">
        <v>2045</v>
      </c>
      <c r="H7437" s="12">
        <v>11602</v>
      </c>
      <c r="I7437" t="s">
        <v>3183</v>
      </c>
      <c r="J7437" t="s">
        <v>394</v>
      </c>
      <c r="K7437" t="s">
        <v>657</v>
      </c>
      <c r="L7437" t="s">
        <v>844</v>
      </c>
      <c r="M7437" t="s">
        <v>16</v>
      </c>
    </row>
    <row r="7438" spans="1:13">
      <c r="A7438" t="s">
        <v>851</v>
      </c>
      <c r="B7438" t="s">
        <v>686</v>
      </c>
      <c r="C7438" t="s">
        <v>686</v>
      </c>
      <c r="D7438" t="s">
        <v>3185</v>
      </c>
      <c r="E7438" t="s">
        <v>660</v>
      </c>
      <c r="F7438" t="s">
        <v>40</v>
      </c>
      <c r="G7438">
        <v>2050</v>
      </c>
      <c r="H7438" s="12">
        <v>11499</v>
      </c>
      <c r="I7438" t="s">
        <v>3183</v>
      </c>
      <c r="J7438" t="s">
        <v>394</v>
      </c>
      <c r="K7438" t="s">
        <v>657</v>
      </c>
      <c r="L7438" t="s">
        <v>844</v>
      </c>
      <c r="M7438" t="s">
        <v>16</v>
      </c>
    </row>
    <row r="7439" spans="1:13">
      <c r="A7439" t="s">
        <v>851</v>
      </c>
      <c r="B7439" t="s">
        <v>687</v>
      </c>
      <c r="C7439" t="s">
        <v>687</v>
      </c>
      <c r="D7439" t="s">
        <v>3185</v>
      </c>
      <c r="E7439" t="s">
        <v>660</v>
      </c>
      <c r="F7439" t="s">
        <v>40</v>
      </c>
      <c r="G7439">
        <v>2030</v>
      </c>
      <c r="H7439" s="12">
        <v>9490</v>
      </c>
      <c r="I7439" t="s">
        <v>3183</v>
      </c>
      <c r="J7439" t="s">
        <v>394</v>
      </c>
      <c r="K7439" t="s">
        <v>657</v>
      </c>
      <c r="L7439" t="s">
        <v>844</v>
      </c>
      <c r="M7439" t="s">
        <v>16</v>
      </c>
    </row>
    <row r="7440" spans="1:13">
      <c r="A7440" t="s">
        <v>851</v>
      </c>
      <c r="B7440" t="s">
        <v>687</v>
      </c>
      <c r="C7440" t="s">
        <v>687</v>
      </c>
      <c r="D7440" t="s">
        <v>3185</v>
      </c>
      <c r="E7440" t="s">
        <v>660</v>
      </c>
      <c r="F7440" t="s">
        <v>40</v>
      </c>
      <c r="G7440">
        <v>2035</v>
      </c>
      <c r="H7440" s="12">
        <v>8413</v>
      </c>
      <c r="I7440" t="s">
        <v>3183</v>
      </c>
      <c r="J7440" t="s">
        <v>394</v>
      </c>
      <c r="K7440" t="s">
        <v>657</v>
      </c>
      <c r="L7440" t="s">
        <v>844</v>
      </c>
      <c r="M7440" t="s">
        <v>16</v>
      </c>
    </row>
    <row r="7441" spans="1:13">
      <c r="A7441" t="s">
        <v>851</v>
      </c>
      <c r="B7441" t="s">
        <v>687</v>
      </c>
      <c r="C7441" t="s">
        <v>687</v>
      </c>
      <c r="D7441" t="s">
        <v>3185</v>
      </c>
      <c r="E7441" t="s">
        <v>660</v>
      </c>
      <c r="F7441" t="s">
        <v>40</v>
      </c>
      <c r="G7441">
        <v>2040</v>
      </c>
      <c r="H7441" s="12">
        <v>7029</v>
      </c>
      <c r="I7441" t="s">
        <v>3183</v>
      </c>
      <c r="J7441" t="s">
        <v>394</v>
      </c>
      <c r="K7441" t="s">
        <v>657</v>
      </c>
      <c r="L7441" t="s">
        <v>844</v>
      </c>
      <c r="M7441" t="s">
        <v>16</v>
      </c>
    </row>
    <row r="7442" spans="1:13">
      <c r="A7442" t="s">
        <v>851</v>
      </c>
      <c r="B7442" t="s">
        <v>687</v>
      </c>
      <c r="C7442" t="s">
        <v>687</v>
      </c>
      <c r="D7442" t="s">
        <v>3185</v>
      </c>
      <c r="E7442" t="s">
        <v>660</v>
      </c>
      <c r="F7442" t="s">
        <v>40</v>
      </c>
      <c r="G7442">
        <v>2045</v>
      </c>
      <c r="H7442" s="12">
        <v>5811</v>
      </c>
      <c r="I7442" t="s">
        <v>3183</v>
      </c>
      <c r="J7442" t="s">
        <v>394</v>
      </c>
      <c r="K7442" t="s">
        <v>657</v>
      </c>
      <c r="L7442" t="s">
        <v>844</v>
      </c>
      <c r="M7442" t="s">
        <v>16</v>
      </c>
    </row>
    <row r="7443" spans="1:13">
      <c r="A7443" t="s">
        <v>851</v>
      </c>
      <c r="B7443" t="s">
        <v>687</v>
      </c>
      <c r="C7443" t="s">
        <v>687</v>
      </c>
      <c r="D7443" t="s">
        <v>3185</v>
      </c>
      <c r="E7443" t="s">
        <v>660</v>
      </c>
      <c r="F7443" t="s">
        <v>40</v>
      </c>
      <c r="G7443">
        <v>2050</v>
      </c>
      <c r="H7443" s="12">
        <v>4823</v>
      </c>
      <c r="I7443" t="s">
        <v>3183</v>
      </c>
      <c r="J7443" t="s">
        <v>394</v>
      </c>
      <c r="K7443" t="s">
        <v>657</v>
      </c>
      <c r="L7443" t="s">
        <v>844</v>
      </c>
      <c r="M7443" t="s">
        <v>16</v>
      </c>
    </row>
    <row r="7444" spans="1:13">
      <c r="A7444" t="s">
        <v>851</v>
      </c>
      <c r="B7444" t="s">
        <v>686</v>
      </c>
      <c r="C7444" t="s">
        <v>686</v>
      </c>
      <c r="D7444" t="s">
        <v>3185</v>
      </c>
      <c r="E7444" t="s">
        <v>646</v>
      </c>
      <c r="F7444" t="s">
        <v>40</v>
      </c>
      <c r="G7444">
        <v>2010</v>
      </c>
      <c r="H7444" s="12">
        <v>1009</v>
      </c>
      <c r="I7444" t="s">
        <v>3183</v>
      </c>
      <c r="J7444" t="s">
        <v>394</v>
      </c>
      <c r="K7444" t="s">
        <v>272</v>
      </c>
      <c r="L7444" t="s">
        <v>844</v>
      </c>
      <c r="M7444" t="s">
        <v>16</v>
      </c>
    </row>
    <row r="7445" spans="1:13">
      <c r="A7445" t="s">
        <v>851</v>
      </c>
      <c r="B7445" t="s">
        <v>686</v>
      </c>
      <c r="C7445" t="s">
        <v>686</v>
      </c>
      <c r="D7445" t="s">
        <v>3185</v>
      </c>
      <c r="E7445" t="s">
        <v>646</v>
      </c>
      <c r="F7445" t="s">
        <v>40</v>
      </c>
      <c r="G7445">
        <v>2015</v>
      </c>
      <c r="H7445" s="12">
        <v>934</v>
      </c>
      <c r="I7445" t="s">
        <v>3183</v>
      </c>
      <c r="J7445" t="s">
        <v>394</v>
      </c>
      <c r="K7445" t="s">
        <v>272</v>
      </c>
      <c r="L7445" t="s">
        <v>844</v>
      </c>
      <c r="M7445" t="s">
        <v>16</v>
      </c>
    </row>
    <row r="7446" spans="1:13">
      <c r="A7446" t="s">
        <v>851</v>
      </c>
      <c r="B7446" t="s">
        <v>686</v>
      </c>
      <c r="C7446" t="s">
        <v>686</v>
      </c>
      <c r="D7446" t="s">
        <v>3185</v>
      </c>
      <c r="E7446" t="s">
        <v>646</v>
      </c>
      <c r="F7446" t="s">
        <v>40</v>
      </c>
      <c r="G7446">
        <v>2020</v>
      </c>
      <c r="H7446" s="12">
        <v>729</v>
      </c>
      <c r="I7446" t="s">
        <v>3183</v>
      </c>
      <c r="J7446" t="s">
        <v>394</v>
      </c>
      <c r="K7446" t="s">
        <v>272</v>
      </c>
      <c r="L7446" t="s">
        <v>844</v>
      </c>
      <c r="M7446" t="s">
        <v>16</v>
      </c>
    </row>
    <row r="7447" spans="1:13">
      <c r="A7447" t="s">
        <v>851</v>
      </c>
      <c r="B7447" t="s">
        <v>686</v>
      </c>
      <c r="C7447" t="s">
        <v>686</v>
      </c>
      <c r="D7447" t="s">
        <v>3185</v>
      </c>
      <c r="E7447" t="s">
        <v>646</v>
      </c>
      <c r="F7447" t="s">
        <v>40</v>
      </c>
      <c r="G7447">
        <v>2030</v>
      </c>
      <c r="H7447" s="12">
        <v>792</v>
      </c>
      <c r="I7447" t="s">
        <v>3183</v>
      </c>
      <c r="J7447" t="s">
        <v>394</v>
      </c>
      <c r="K7447" t="s">
        <v>272</v>
      </c>
      <c r="L7447" t="s">
        <v>844</v>
      </c>
      <c r="M7447" t="s">
        <v>16</v>
      </c>
    </row>
    <row r="7448" spans="1:13">
      <c r="A7448" t="s">
        <v>851</v>
      </c>
      <c r="B7448" t="s">
        <v>686</v>
      </c>
      <c r="C7448" t="s">
        <v>686</v>
      </c>
      <c r="D7448" t="s">
        <v>3185</v>
      </c>
      <c r="E7448" t="s">
        <v>646</v>
      </c>
      <c r="F7448" t="s">
        <v>40</v>
      </c>
      <c r="G7448">
        <v>2035</v>
      </c>
      <c r="H7448" s="12">
        <v>764</v>
      </c>
      <c r="I7448" t="s">
        <v>3183</v>
      </c>
      <c r="J7448" t="s">
        <v>394</v>
      </c>
      <c r="K7448" t="s">
        <v>272</v>
      </c>
      <c r="L7448" t="s">
        <v>844</v>
      </c>
      <c r="M7448" t="s">
        <v>16</v>
      </c>
    </row>
    <row r="7449" spans="1:13">
      <c r="A7449" t="s">
        <v>851</v>
      </c>
      <c r="B7449" t="s">
        <v>686</v>
      </c>
      <c r="C7449" t="s">
        <v>686</v>
      </c>
      <c r="D7449" t="s">
        <v>3185</v>
      </c>
      <c r="E7449" t="s">
        <v>646</v>
      </c>
      <c r="F7449" t="s">
        <v>40</v>
      </c>
      <c r="G7449">
        <v>2040</v>
      </c>
      <c r="H7449" s="12">
        <v>732</v>
      </c>
      <c r="I7449" t="s">
        <v>3183</v>
      </c>
      <c r="J7449" t="s">
        <v>394</v>
      </c>
      <c r="K7449" t="s">
        <v>272</v>
      </c>
      <c r="L7449" t="s">
        <v>844</v>
      </c>
      <c r="M7449" t="s">
        <v>16</v>
      </c>
    </row>
    <row r="7450" spans="1:13">
      <c r="A7450" t="s">
        <v>851</v>
      </c>
      <c r="B7450" t="s">
        <v>686</v>
      </c>
      <c r="C7450" t="s">
        <v>686</v>
      </c>
      <c r="D7450" t="s">
        <v>3185</v>
      </c>
      <c r="E7450" t="s">
        <v>646</v>
      </c>
      <c r="F7450" t="s">
        <v>40</v>
      </c>
      <c r="G7450">
        <v>2045</v>
      </c>
      <c r="H7450" s="12">
        <v>697</v>
      </c>
      <c r="I7450" t="s">
        <v>3183</v>
      </c>
      <c r="J7450" t="s">
        <v>394</v>
      </c>
      <c r="K7450" t="s">
        <v>272</v>
      </c>
      <c r="L7450" t="s">
        <v>844</v>
      </c>
      <c r="M7450" t="s">
        <v>16</v>
      </c>
    </row>
    <row r="7451" spans="1:13">
      <c r="A7451" t="s">
        <v>851</v>
      </c>
      <c r="B7451" t="s">
        <v>686</v>
      </c>
      <c r="C7451" t="s">
        <v>686</v>
      </c>
      <c r="D7451" t="s">
        <v>3185</v>
      </c>
      <c r="E7451" t="s">
        <v>646</v>
      </c>
      <c r="F7451" t="s">
        <v>40</v>
      </c>
      <c r="G7451">
        <v>2050</v>
      </c>
      <c r="H7451" s="12">
        <v>688</v>
      </c>
      <c r="I7451" t="s">
        <v>3183</v>
      </c>
      <c r="J7451" t="s">
        <v>394</v>
      </c>
      <c r="K7451" t="s">
        <v>272</v>
      </c>
      <c r="L7451" t="s">
        <v>844</v>
      </c>
      <c r="M7451" t="s">
        <v>16</v>
      </c>
    </row>
    <row r="7452" spans="1:13">
      <c r="A7452" t="s">
        <v>851</v>
      </c>
      <c r="B7452" t="s">
        <v>686</v>
      </c>
      <c r="C7452" t="s">
        <v>686</v>
      </c>
      <c r="D7452" t="s">
        <v>3185</v>
      </c>
      <c r="E7452" t="s">
        <v>573</v>
      </c>
      <c r="F7452" t="s">
        <v>40</v>
      </c>
      <c r="G7452">
        <v>2010</v>
      </c>
      <c r="H7452" s="12">
        <v>237</v>
      </c>
      <c r="I7452" t="s">
        <v>3183</v>
      </c>
      <c r="J7452" t="s">
        <v>15</v>
      </c>
      <c r="K7452" t="s">
        <v>147</v>
      </c>
      <c r="L7452" t="s">
        <v>844</v>
      </c>
      <c r="M7452" t="s">
        <v>15</v>
      </c>
    </row>
    <row r="7453" spans="1:13">
      <c r="A7453" t="s">
        <v>851</v>
      </c>
      <c r="B7453" t="s">
        <v>686</v>
      </c>
      <c r="C7453" t="s">
        <v>686</v>
      </c>
      <c r="D7453" t="s">
        <v>3185</v>
      </c>
      <c r="E7453" t="s">
        <v>573</v>
      </c>
      <c r="F7453" t="s">
        <v>40</v>
      </c>
      <c r="G7453">
        <v>2015</v>
      </c>
      <c r="H7453" s="12">
        <v>238</v>
      </c>
      <c r="I7453" t="s">
        <v>3183</v>
      </c>
      <c r="J7453" t="s">
        <v>15</v>
      </c>
      <c r="K7453" t="s">
        <v>147</v>
      </c>
      <c r="L7453" t="s">
        <v>844</v>
      </c>
      <c r="M7453" t="s">
        <v>15</v>
      </c>
    </row>
    <row r="7454" spans="1:13">
      <c r="A7454" t="s">
        <v>851</v>
      </c>
      <c r="B7454" t="s">
        <v>686</v>
      </c>
      <c r="C7454" t="s">
        <v>686</v>
      </c>
      <c r="D7454" t="s">
        <v>3185</v>
      </c>
      <c r="E7454" t="s">
        <v>573</v>
      </c>
      <c r="F7454" t="s">
        <v>40</v>
      </c>
      <c r="G7454">
        <v>2020</v>
      </c>
      <c r="H7454" s="12">
        <v>270</v>
      </c>
      <c r="I7454" t="s">
        <v>3183</v>
      </c>
      <c r="J7454" t="s">
        <v>15</v>
      </c>
      <c r="K7454" t="s">
        <v>147</v>
      </c>
      <c r="L7454" t="s">
        <v>844</v>
      </c>
      <c r="M7454" t="s">
        <v>15</v>
      </c>
    </row>
    <row r="7455" spans="1:13">
      <c r="A7455" t="s">
        <v>851</v>
      </c>
      <c r="B7455" t="s">
        <v>686</v>
      </c>
      <c r="C7455" t="s">
        <v>686</v>
      </c>
      <c r="D7455" t="s">
        <v>3185</v>
      </c>
      <c r="E7455" t="s">
        <v>573</v>
      </c>
      <c r="F7455" t="s">
        <v>40</v>
      </c>
      <c r="G7455">
        <v>2030</v>
      </c>
      <c r="H7455" s="12">
        <v>330</v>
      </c>
      <c r="I7455" t="s">
        <v>3183</v>
      </c>
      <c r="J7455" t="s">
        <v>15</v>
      </c>
      <c r="K7455" t="s">
        <v>147</v>
      </c>
      <c r="L7455" t="s">
        <v>844</v>
      </c>
      <c r="M7455" t="s">
        <v>15</v>
      </c>
    </row>
    <row r="7456" spans="1:13">
      <c r="A7456" t="s">
        <v>851</v>
      </c>
      <c r="B7456" t="s">
        <v>686</v>
      </c>
      <c r="C7456" t="s">
        <v>686</v>
      </c>
      <c r="D7456" t="s">
        <v>3185</v>
      </c>
      <c r="E7456" t="s">
        <v>573</v>
      </c>
      <c r="F7456" t="s">
        <v>40</v>
      </c>
      <c r="G7456">
        <v>2035</v>
      </c>
      <c r="H7456" s="12">
        <v>597</v>
      </c>
      <c r="I7456" t="s">
        <v>3183</v>
      </c>
      <c r="J7456" t="s">
        <v>15</v>
      </c>
      <c r="K7456" t="s">
        <v>147</v>
      </c>
      <c r="L7456" t="s">
        <v>844</v>
      </c>
      <c r="M7456" t="s">
        <v>15</v>
      </c>
    </row>
    <row r="7457" spans="1:13">
      <c r="A7457" t="s">
        <v>851</v>
      </c>
      <c r="B7457" t="s">
        <v>686</v>
      </c>
      <c r="C7457" t="s">
        <v>686</v>
      </c>
      <c r="D7457" t="s">
        <v>3185</v>
      </c>
      <c r="E7457" t="s">
        <v>573</v>
      </c>
      <c r="F7457" t="s">
        <v>40</v>
      </c>
      <c r="G7457">
        <v>2040</v>
      </c>
      <c r="H7457" s="12">
        <v>767</v>
      </c>
      <c r="I7457" t="s">
        <v>3183</v>
      </c>
      <c r="J7457" t="s">
        <v>15</v>
      </c>
      <c r="K7457" t="s">
        <v>147</v>
      </c>
      <c r="L7457" t="s">
        <v>844</v>
      </c>
      <c r="M7457" t="s">
        <v>15</v>
      </c>
    </row>
    <row r="7458" spans="1:13">
      <c r="A7458" t="s">
        <v>851</v>
      </c>
      <c r="B7458" t="s">
        <v>686</v>
      </c>
      <c r="C7458" t="s">
        <v>686</v>
      </c>
      <c r="D7458" t="s">
        <v>3185</v>
      </c>
      <c r="E7458" t="s">
        <v>573</v>
      </c>
      <c r="F7458" t="s">
        <v>40</v>
      </c>
      <c r="G7458">
        <v>2045</v>
      </c>
      <c r="H7458" s="12">
        <v>719</v>
      </c>
      <c r="I7458" t="s">
        <v>3183</v>
      </c>
      <c r="J7458" t="s">
        <v>15</v>
      </c>
      <c r="K7458" t="s">
        <v>147</v>
      </c>
      <c r="L7458" t="s">
        <v>844</v>
      </c>
      <c r="M7458" t="s">
        <v>15</v>
      </c>
    </row>
    <row r="7459" spans="1:13">
      <c r="A7459" t="s">
        <v>851</v>
      </c>
      <c r="B7459" t="s">
        <v>687</v>
      </c>
      <c r="C7459" t="s">
        <v>687</v>
      </c>
      <c r="D7459" t="s">
        <v>3174</v>
      </c>
      <c r="E7459" t="s">
        <v>242</v>
      </c>
      <c r="F7459" t="s">
        <v>663</v>
      </c>
      <c r="G7459">
        <v>2050</v>
      </c>
      <c r="H7459" s="12">
        <v>87.55</v>
      </c>
      <c r="I7459" t="s">
        <v>3183</v>
      </c>
      <c r="J7459" t="s">
        <v>6</v>
      </c>
      <c r="K7459" t="s">
        <v>664</v>
      </c>
      <c r="L7459" t="s">
        <v>3184</v>
      </c>
      <c r="M7459" t="s">
        <v>659</v>
      </c>
    </row>
    <row r="7460" spans="1:13">
      <c r="A7460" t="s">
        <v>851</v>
      </c>
      <c r="B7460" t="s">
        <v>686</v>
      </c>
      <c r="C7460" t="s">
        <v>686</v>
      </c>
      <c r="D7460" t="s">
        <v>3185</v>
      </c>
      <c r="E7460" t="s">
        <v>660</v>
      </c>
      <c r="F7460" t="s">
        <v>40</v>
      </c>
      <c r="G7460">
        <v>2010</v>
      </c>
      <c r="H7460" s="12">
        <v>16</v>
      </c>
      <c r="I7460" t="s">
        <v>3183</v>
      </c>
      <c r="J7460" t="s">
        <v>17</v>
      </c>
      <c r="K7460" t="s">
        <v>657</v>
      </c>
      <c r="L7460" t="s">
        <v>844</v>
      </c>
      <c r="M7460" t="s">
        <v>17</v>
      </c>
    </row>
    <row r="7461" spans="1:13">
      <c r="A7461" t="s">
        <v>851</v>
      </c>
      <c r="B7461" t="s">
        <v>686</v>
      </c>
      <c r="C7461" t="s">
        <v>686</v>
      </c>
      <c r="D7461" t="s">
        <v>3185</v>
      </c>
      <c r="E7461" t="s">
        <v>660</v>
      </c>
      <c r="F7461" t="s">
        <v>40</v>
      </c>
      <c r="G7461">
        <v>2015</v>
      </c>
      <c r="H7461" s="12">
        <v>41</v>
      </c>
      <c r="I7461" t="s">
        <v>3183</v>
      </c>
      <c r="J7461" t="s">
        <v>17</v>
      </c>
      <c r="K7461" t="s">
        <v>657</v>
      </c>
      <c r="L7461" t="s">
        <v>844</v>
      </c>
      <c r="M7461" t="s">
        <v>17</v>
      </c>
    </row>
    <row r="7462" spans="1:13">
      <c r="A7462" t="s">
        <v>851</v>
      </c>
      <c r="B7462" t="s">
        <v>686</v>
      </c>
      <c r="C7462" t="s">
        <v>686</v>
      </c>
      <c r="D7462" t="s">
        <v>3185</v>
      </c>
      <c r="E7462" t="s">
        <v>660</v>
      </c>
      <c r="F7462" t="s">
        <v>40</v>
      </c>
      <c r="G7462">
        <v>2020</v>
      </c>
      <c r="H7462" s="12">
        <v>140</v>
      </c>
      <c r="I7462" t="s">
        <v>3183</v>
      </c>
      <c r="J7462" t="s">
        <v>17</v>
      </c>
      <c r="K7462" t="s">
        <v>657</v>
      </c>
      <c r="L7462" t="s">
        <v>844</v>
      </c>
      <c r="M7462" t="s">
        <v>17</v>
      </c>
    </row>
    <row r="7463" spans="1:13">
      <c r="A7463" t="s">
        <v>851</v>
      </c>
      <c r="B7463" t="s">
        <v>686</v>
      </c>
      <c r="C7463" t="s">
        <v>686</v>
      </c>
      <c r="D7463" t="s">
        <v>3185</v>
      </c>
      <c r="E7463" t="s">
        <v>660</v>
      </c>
      <c r="F7463" t="s">
        <v>40</v>
      </c>
      <c r="G7463">
        <v>2030</v>
      </c>
      <c r="H7463" s="12">
        <v>801</v>
      </c>
      <c r="I7463" t="s">
        <v>3183</v>
      </c>
      <c r="J7463" t="s">
        <v>17</v>
      </c>
      <c r="K7463" t="s">
        <v>657</v>
      </c>
      <c r="L7463" t="s">
        <v>844</v>
      </c>
      <c r="M7463" t="s">
        <v>17</v>
      </c>
    </row>
    <row r="7464" spans="1:13">
      <c r="A7464" t="s">
        <v>851</v>
      </c>
      <c r="B7464" t="s">
        <v>686</v>
      </c>
      <c r="C7464" t="s">
        <v>686</v>
      </c>
      <c r="D7464" t="s">
        <v>3185</v>
      </c>
      <c r="E7464" t="s">
        <v>660</v>
      </c>
      <c r="F7464" t="s">
        <v>40</v>
      </c>
      <c r="G7464">
        <v>2035</v>
      </c>
      <c r="H7464" s="12">
        <v>1116</v>
      </c>
      <c r="I7464" t="s">
        <v>3183</v>
      </c>
      <c r="J7464" t="s">
        <v>17</v>
      </c>
      <c r="K7464" t="s">
        <v>657</v>
      </c>
      <c r="L7464" t="s">
        <v>844</v>
      </c>
      <c r="M7464" t="s">
        <v>17</v>
      </c>
    </row>
    <row r="7465" spans="1:13">
      <c r="A7465" t="s">
        <v>851</v>
      </c>
      <c r="B7465" t="s">
        <v>686</v>
      </c>
      <c r="C7465" t="s">
        <v>686</v>
      </c>
      <c r="D7465" t="s">
        <v>3185</v>
      </c>
      <c r="E7465" t="s">
        <v>660</v>
      </c>
      <c r="F7465" t="s">
        <v>40</v>
      </c>
      <c r="G7465">
        <v>2040</v>
      </c>
      <c r="H7465" s="12">
        <v>1483</v>
      </c>
      <c r="I7465" t="s">
        <v>3183</v>
      </c>
      <c r="J7465" t="s">
        <v>17</v>
      </c>
      <c r="K7465" t="s">
        <v>657</v>
      </c>
      <c r="L7465" t="s">
        <v>844</v>
      </c>
      <c r="M7465" t="s">
        <v>17</v>
      </c>
    </row>
    <row r="7466" spans="1:13">
      <c r="A7466" t="s">
        <v>851</v>
      </c>
      <c r="B7466" t="s">
        <v>686</v>
      </c>
      <c r="C7466" t="s">
        <v>686</v>
      </c>
      <c r="D7466" t="s">
        <v>3185</v>
      </c>
      <c r="E7466" t="s">
        <v>660</v>
      </c>
      <c r="F7466" t="s">
        <v>40</v>
      </c>
      <c r="G7466">
        <v>2045</v>
      </c>
      <c r="H7466" s="12">
        <v>1921</v>
      </c>
      <c r="I7466" t="s">
        <v>3183</v>
      </c>
      <c r="J7466" t="s">
        <v>17</v>
      </c>
      <c r="K7466" t="s">
        <v>657</v>
      </c>
      <c r="L7466" t="s">
        <v>844</v>
      </c>
      <c r="M7466" t="s">
        <v>17</v>
      </c>
    </row>
    <row r="7467" spans="1:13">
      <c r="A7467" t="s">
        <v>851</v>
      </c>
      <c r="B7467" t="s">
        <v>686</v>
      </c>
      <c r="C7467" t="s">
        <v>686</v>
      </c>
      <c r="D7467" t="s">
        <v>3185</v>
      </c>
      <c r="E7467" t="s">
        <v>660</v>
      </c>
      <c r="F7467" t="s">
        <v>40</v>
      </c>
      <c r="G7467">
        <v>2050</v>
      </c>
      <c r="H7467" s="12">
        <v>2358</v>
      </c>
      <c r="I7467" t="s">
        <v>3183</v>
      </c>
      <c r="J7467" t="s">
        <v>17</v>
      </c>
      <c r="K7467" t="s">
        <v>657</v>
      </c>
      <c r="L7467" t="s">
        <v>844</v>
      </c>
      <c r="M7467" t="s">
        <v>17</v>
      </c>
    </row>
    <row r="7468" spans="1:13">
      <c r="A7468" t="s">
        <v>851</v>
      </c>
      <c r="B7468" t="s">
        <v>687</v>
      </c>
      <c r="C7468" t="s">
        <v>687</v>
      </c>
      <c r="D7468" t="s">
        <v>3185</v>
      </c>
      <c r="E7468" t="s">
        <v>660</v>
      </c>
      <c r="F7468" t="s">
        <v>40</v>
      </c>
      <c r="G7468">
        <v>2030</v>
      </c>
      <c r="H7468" s="12">
        <v>1254</v>
      </c>
      <c r="I7468" t="s">
        <v>3183</v>
      </c>
      <c r="J7468" t="s">
        <v>17</v>
      </c>
      <c r="K7468" t="s">
        <v>657</v>
      </c>
      <c r="L7468" t="s">
        <v>844</v>
      </c>
      <c r="M7468" t="s">
        <v>17</v>
      </c>
    </row>
    <row r="7469" spans="1:13">
      <c r="A7469" t="s">
        <v>851</v>
      </c>
      <c r="B7469" t="s">
        <v>687</v>
      </c>
      <c r="C7469" t="s">
        <v>687</v>
      </c>
      <c r="D7469" t="s">
        <v>3185</v>
      </c>
      <c r="E7469" t="s">
        <v>660</v>
      </c>
      <c r="F7469" t="s">
        <v>40</v>
      </c>
      <c r="G7469">
        <v>2035</v>
      </c>
      <c r="H7469" s="12">
        <v>2027</v>
      </c>
      <c r="I7469" t="s">
        <v>3183</v>
      </c>
      <c r="J7469" t="s">
        <v>17</v>
      </c>
      <c r="K7469" t="s">
        <v>657</v>
      </c>
      <c r="L7469" t="s">
        <v>844</v>
      </c>
      <c r="M7469" t="s">
        <v>17</v>
      </c>
    </row>
    <row r="7470" spans="1:13">
      <c r="A7470" t="s">
        <v>851</v>
      </c>
      <c r="B7470" t="s">
        <v>687</v>
      </c>
      <c r="C7470" t="s">
        <v>687</v>
      </c>
      <c r="D7470" t="s">
        <v>3185</v>
      </c>
      <c r="E7470" t="s">
        <v>660</v>
      </c>
      <c r="F7470" t="s">
        <v>40</v>
      </c>
      <c r="G7470">
        <v>2040</v>
      </c>
      <c r="H7470" s="12">
        <v>2920</v>
      </c>
      <c r="I7470" t="s">
        <v>3183</v>
      </c>
      <c r="J7470" t="s">
        <v>17</v>
      </c>
      <c r="K7470" t="s">
        <v>657</v>
      </c>
      <c r="L7470" t="s">
        <v>844</v>
      </c>
      <c r="M7470" t="s">
        <v>17</v>
      </c>
    </row>
    <row r="7471" spans="1:13">
      <c r="A7471" t="s">
        <v>851</v>
      </c>
      <c r="B7471" t="s">
        <v>687</v>
      </c>
      <c r="C7471" t="s">
        <v>687</v>
      </c>
      <c r="D7471" t="s">
        <v>3185</v>
      </c>
      <c r="E7471" t="s">
        <v>660</v>
      </c>
      <c r="F7471" t="s">
        <v>40</v>
      </c>
      <c r="G7471">
        <v>2045</v>
      </c>
      <c r="H7471" s="12">
        <v>3816</v>
      </c>
      <c r="I7471" t="s">
        <v>3183</v>
      </c>
      <c r="J7471" t="s">
        <v>17</v>
      </c>
      <c r="K7471" t="s">
        <v>657</v>
      </c>
      <c r="L7471" t="s">
        <v>844</v>
      </c>
      <c r="M7471" t="s">
        <v>17</v>
      </c>
    </row>
    <row r="7472" spans="1:13">
      <c r="A7472" t="s">
        <v>851</v>
      </c>
      <c r="B7472" t="s">
        <v>686</v>
      </c>
      <c r="C7472" t="s">
        <v>686</v>
      </c>
      <c r="D7472" t="s">
        <v>3185</v>
      </c>
      <c r="E7472" t="s">
        <v>660</v>
      </c>
      <c r="F7472" t="s">
        <v>40</v>
      </c>
      <c r="G7472">
        <v>2020</v>
      </c>
      <c r="H7472" s="12">
        <v>6600</v>
      </c>
      <c r="I7472" t="s">
        <v>3183</v>
      </c>
      <c r="J7472" t="s">
        <v>41</v>
      </c>
      <c r="K7472" t="s">
        <v>657</v>
      </c>
      <c r="L7472" t="s">
        <v>844</v>
      </c>
      <c r="M7472" t="s">
        <v>662</v>
      </c>
    </row>
    <row r="7473" spans="1:13">
      <c r="A7473" t="s">
        <v>851</v>
      </c>
      <c r="B7473" t="s">
        <v>686</v>
      </c>
      <c r="C7473" t="s">
        <v>686</v>
      </c>
      <c r="D7473" t="s">
        <v>3185</v>
      </c>
      <c r="E7473" t="s">
        <v>660</v>
      </c>
      <c r="F7473" t="s">
        <v>40</v>
      </c>
      <c r="G7473">
        <v>2030</v>
      </c>
      <c r="H7473" s="12">
        <v>8584</v>
      </c>
      <c r="I7473" t="s">
        <v>3183</v>
      </c>
      <c r="J7473" t="s">
        <v>41</v>
      </c>
      <c r="K7473" t="s">
        <v>657</v>
      </c>
      <c r="L7473" t="s">
        <v>844</v>
      </c>
      <c r="M7473" t="s">
        <v>662</v>
      </c>
    </row>
    <row r="7474" spans="1:13">
      <c r="A7474" t="s">
        <v>851</v>
      </c>
      <c r="B7474" t="s">
        <v>686</v>
      </c>
      <c r="C7474" t="s">
        <v>686</v>
      </c>
      <c r="D7474" t="s">
        <v>3185</v>
      </c>
      <c r="E7474" t="s">
        <v>660</v>
      </c>
      <c r="F7474" t="s">
        <v>40</v>
      </c>
      <c r="G7474">
        <v>2035</v>
      </c>
      <c r="H7474" s="12">
        <v>9311</v>
      </c>
      <c r="I7474" t="s">
        <v>3183</v>
      </c>
      <c r="J7474" t="s">
        <v>41</v>
      </c>
      <c r="K7474" t="s">
        <v>657</v>
      </c>
      <c r="L7474" t="s">
        <v>844</v>
      </c>
      <c r="M7474" t="s">
        <v>662</v>
      </c>
    </row>
    <row r="7475" spans="1:13">
      <c r="A7475" t="s">
        <v>851</v>
      </c>
      <c r="B7475" t="s">
        <v>686</v>
      </c>
      <c r="C7475" t="s">
        <v>686</v>
      </c>
      <c r="D7475" t="s">
        <v>3185</v>
      </c>
      <c r="E7475" t="s">
        <v>660</v>
      </c>
      <c r="F7475" t="s">
        <v>40</v>
      </c>
      <c r="G7475">
        <v>2040</v>
      </c>
      <c r="H7475" s="12">
        <v>10258</v>
      </c>
      <c r="I7475" t="s">
        <v>3183</v>
      </c>
      <c r="J7475" t="s">
        <v>41</v>
      </c>
      <c r="K7475" t="s">
        <v>657</v>
      </c>
      <c r="L7475" t="s">
        <v>844</v>
      </c>
      <c r="M7475" t="s">
        <v>662</v>
      </c>
    </row>
    <row r="7476" spans="1:13">
      <c r="A7476" t="s">
        <v>851</v>
      </c>
      <c r="B7476" t="s">
        <v>686</v>
      </c>
      <c r="C7476" t="s">
        <v>686</v>
      </c>
      <c r="D7476" t="s">
        <v>3185</v>
      </c>
      <c r="E7476" t="s">
        <v>660</v>
      </c>
      <c r="F7476" t="s">
        <v>40</v>
      </c>
      <c r="G7476">
        <v>2045</v>
      </c>
      <c r="H7476" s="12">
        <v>11092</v>
      </c>
      <c r="I7476" t="s">
        <v>3183</v>
      </c>
      <c r="J7476" t="s">
        <v>41</v>
      </c>
      <c r="K7476" t="s">
        <v>657</v>
      </c>
      <c r="L7476" t="s">
        <v>844</v>
      </c>
      <c r="M7476" t="s">
        <v>662</v>
      </c>
    </row>
    <row r="7477" spans="1:13">
      <c r="A7477" t="s">
        <v>851</v>
      </c>
      <c r="B7477" t="s">
        <v>686</v>
      </c>
      <c r="C7477" t="s">
        <v>686</v>
      </c>
      <c r="D7477" t="s">
        <v>3185</v>
      </c>
      <c r="E7477" t="s">
        <v>660</v>
      </c>
      <c r="F7477" t="s">
        <v>40</v>
      </c>
      <c r="G7477">
        <v>2050</v>
      </c>
      <c r="H7477" s="12">
        <v>11957</v>
      </c>
      <c r="I7477" t="s">
        <v>3183</v>
      </c>
      <c r="J7477" t="s">
        <v>41</v>
      </c>
      <c r="K7477" t="s">
        <v>657</v>
      </c>
      <c r="L7477" t="s">
        <v>844</v>
      </c>
      <c r="M7477" t="s">
        <v>662</v>
      </c>
    </row>
    <row r="7478" spans="1:13">
      <c r="A7478" t="s">
        <v>851</v>
      </c>
      <c r="B7478" t="s">
        <v>687</v>
      </c>
      <c r="C7478" t="s">
        <v>687</v>
      </c>
      <c r="D7478" t="s">
        <v>3185</v>
      </c>
      <c r="E7478" t="s">
        <v>660</v>
      </c>
      <c r="F7478" t="s">
        <v>40</v>
      </c>
      <c r="G7478">
        <v>2030</v>
      </c>
      <c r="H7478" s="12">
        <v>10966</v>
      </c>
      <c r="I7478" t="s">
        <v>3183</v>
      </c>
      <c r="J7478" t="s">
        <v>41</v>
      </c>
      <c r="K7478" t="s">
        <v>657</v>
      </c>
      <c r="L7478" t="s">
        <v>844</v>
      </c>
      <c r="M7478" t="s">
        <v>662</v>
      </c>
    </row>
    <row r="7479" spans="1:13">
      <c r="A7479" t="s">
        <v>851</v>
      </c>
      <c r="B7479" t="s">
        <v>687</v>
      </c>
      <c r="C7479" t="s">
        <v>687</v>
      </c>
      <c r="D7479" t="s">
        <v>3185</v>
      </c>
      <c r="E7479" t="s">
        <v>660</v>
      </c>
      <c r="F7479" t="s">
        <v>40</v>
      </c>
      <c r="G7479">
        <v>2035</v>
      </c>
      <c r="H7479" s="12">
        <v>12806</v>
      </c>
      <c r="I7479" t="s">
        <v>3183</v>
      </c>
      <c r="J7479" t="s">
        <v>41</v>
      </c>
      <c r="K7479" t="s">
        <v>657</v>
      </c>
      <c r="L7479" t="s">
        <v>844</v>
      </c>
      <c r="M7479" t="s">
        <v>662</v>
      </c>
    </row>
    <row r="7480" spans="1:13">
      <c r="A7480" t="s">
        <v>851</v>
      </c>
      <c r="B7480" t="s">
        <v>687</v>
      </c>
      <c r="C7480" t="s">
        <v>687</v>
      </c>
      <c r="D7480" t="s">
        <v>3185</v>
      </c>
      <c r="E7480" t="s">
        <v>660</v>
      </c>
      <c r="F7480" t="s">
        <v>40</v>
      </c>
      <c r="G7480">
        <v>2040</v>
      </c>
      <c r="H7480" s="12">
        <v>13910</v>
      </c>
      <c r="I7480" t="s">
        <v>3183</v>
      </c>
      <c r="J7480" t="s">
        <v>41</v>
      </c>
      <c r="K7480" t="s">
        <v>657</v>
      </c>
      <c r="L7480" t="s">
        <v>844</v>
      </c>
      <c r="M7480" t="s">
        <v>662</v>
      </c>
    </row>
    <row r="7481" spans="1:13">
      <c r="A7481" t="s">
        <v>851</v>
      </c>
      <c r="B7481" t="s">
        <v>687</v>
      </c>
      <c r="C7481" t="s">
        <v>687</v>
      </c>
      <c r="D7481" t="s">
        <v>3185</v>
      </c>
      <c r="E7481" t="s">
        <v>660</v>
      </c>
      <c r="F7481" t="s">
        <v>40</v>
      </c>
      <c r="G7481">
        <v>2045</v>
      </c>
      <c r="H7481" s="12">
        <v>13832</v>
      </c>
      <c r="I7481" t="s">
        <v>3183</v>
      </c>
      <c r="J7481" t="s">
        <v>41</v>
      </c>
      <c r="K7481" t="s">
        <v>657</v>
      </c>
      <c r="L7481" t="s">
        <v>844</v>
      </c>
      <c r="M7481" t="s">
        <v>662</v>
      </c>
    </row>
    <row r="7482" spans="1:13">
      <c r="A7482" t="s">
        <v>851</v>
      </c>
      <c r="B7482" t="s">
        <v>687</v>
      </c>
      <c r="C7482" t="s">
        <v>687</v>
      </c>
      <c r="D7482" t="s">
        <v>3185</v>
      </c>
      <c r="E7482" t="s">
        <v>660</v>
      </c>
      <c r="F7482" t="s">
        <v>40</v>
      </c>
      <c r="G7482">
        <v>2050</v>
      </c>
      <c r="H7482" s="12">
        <v>13859</v>
      </c>
      <c r="I7482" t="s">
        <v>3183</v>
      </c>
      <c r="J7482" t="s">
        <v>41</v>
      </c>
      <c r="K7482" t="s">
        <v>657</v>
      </c>
      <c r="L7482" t="s">
        <v>844</v>
      </c>
      <c r="M7482" t="s">
        <v>662</v>
      </c>
    </row>
    <row r="7483" spans="1:13">
      <c r="A7483" t="s">
        <v>851</v>
      </c>
      <c r="B7483" t="s">
        <v>686</v>
      </c>
      <c r="C7483" t="s">
        <v>686</v>
      </c>
      <c r="D7483" t="s">
        <v>3185</v>
      </c>
      <c r="E7483" t="s">
        <v>660</v>
      </c>
      <c r="F7483" t="s">
        <v>40</v>
      </c>
      <c r="G7483">
        <v>2010</v>
      </c>
      <c r="H7483" s="12">
        <v>1004</v>
      </c>
      <c r="I7483" t="s">
        <v>3183</v>
      </c>
      <c r="J7483" t="s">
        <v>41</v>
      </c>
      <c r="K7483" t="s">
        <v>657</v>
      </c>
      <c r="L7483" t="s">
        <v>844</v>
      </c>
      <c r="M7483" t="s">
        <v>661</v>
      </c>
    </row>
    <row r="7484" spans="1:13">
      <c r="A7484" t="s">
        <v>851</v>
      </c>
      <c r="B7484" t="s">
        <v>686</v>
      </c>
      <c r="C7484" t="s">
        <v>686</v>
      </c>
      <c r="D7484" t="s">
        <v>3185</v>
      </c>
      <c r="E7484" t="s">
        <v>660</v>
      </c>
      <c r="F7484" t="s">
        <v>40</v>
      </c>
      <c r="G7484">
        <v>2015</v>
      </c>
      <c r="H7484" s="12">
        <v>974</v>
      </c>
      <c r="I7484" t="s">
        <v>3183</v>
      </c>
      <c r="J7484" t="s">
        <v>41</v>
      </c>
      <c r="K7484" t="s">
        <v>657</v>
      </c>
      <c r="L7484" t="s">
        <v>844</v>
      </c>
      <c r="M7484" t="s">
        <v>661</v>
      </c>
    </row>
    <row r="7485" spans="1:13">
      <c r="A7485" t="s">
        <v>851</v>
      </c>
      <c r="B7485" t="s">
        <v>686</v>
      </c>
      <c r="C7485" t="s">
        <v>686</v>
      </c>
      <c r="D7485" t="s">
        <v>3185</v>
      </c>
      <c r="E7485" t="s">
        <v>660</v>
      </c>
      <c r="F7485" t="s">
        <v>40</v>
      </c>
      <c r="G7485">
        <v>2020</v>
      </c>
      <c r="H7485" s="12">
        <v>1024</v>
      </c>
      <c r="I7485" t="s">
        <v>3183</v>
      </c>
      <c r="J7485" t="s">
        <v>41</v>
      </c>
      <c r="K7485" t="s">
        <v>657</v>
      </c>
      <c r="L7485" t="s">
        <v>844</v>
      </c>
      <c r="M7485" t="s">
        <v>661</v>
      </c>
    </row>
    <row r="7486" spans="1:13">
      <c r="A7486" t="s">
        <v>851</v>
      </c>
      <c r="B7486" t="s">
        <v>686</v>
      </c>
      <c r="C7486" t="s">
        <v>686</v>
      </c>
      <c r="D7486" t="s">
        <v>3185</v>
      </c>
      <c r="E7486" t="s">
        <v>660</v>
      </c>
      <c r="F7486" t="s">
        <v>40</v>
      </c>
      <c r="G7486">
        <v>2030</v>
      </c>
      <c r="H7486" s="12">
        <v>956</v>
      </c>
      <c r="I7486" t="s">
        <v>3183</v>
      </c>
      <c r="J7486" t="s">
        <v>41</v>
      </c>
      <c r="K7486" t="s">
        <v>657</v>
      </c>
      <c r="L7486" t="s">
        <v>844</v>
      </c>
      <c r="M7486" t="s">
        <v>661</v>
      </c>
    </row>
    <row r="7487" spans="1:13">
      <c r="A7487" t="s">
        <v>851</v>
      </c>
      <c r="B7487" t="s">
        <v>686</v>
      </c>
      <c r="C7487" t="s">
        <v>686</v>
      </c>
      <c r="D7487" t="s">
        <v>3185</v>
      </c>
      <c r="E7487" t="s">
        <v>660</v>
      </c>
      <c r="F7487" t="s">
        <v>40</v>
      </c>
      <c r="G7487">
        <v>2035</v>
      </c>
      <c r="H7487" s="12">
        <v>906</v>
      </c>
      <c r="I7487" t="s">
        <v>3183</v>
      </c>
      <c r="J7487" t="s">
        <v>41</v>
      </c>
      <c r="K7487" t="s">
        <v>657</v>
      </c>
      <c r="L7487" t="s">
        <v>844</v>
      </c>
      <c r="M7487" t="s">
        <v>661</v>
      </c>
    </row>
    <row r="7488" spans="1:13">
      <c r="A7488" t="s">
        <v>851</v>
      </c>
      <c r="B7488" t="s">
        <v>686</v>
      </c>
      <c r="C7488" t="s">
        <v>686</v>
      </c>
      <c r="D7488" t="s">
        <v>3185</v>
      </c>
      <c r="E7488" t="s">
        <v>660</v>
      </c>
      <c r="F7488" t="s">
        <v>40</v>
      </c>
      <c r="G7488">
        <v>2040</v>
      </c>
      <c r="H7488" s="12">
        <v>810</v>
      </c>
      <c r="I7488" t="s">
        <v>3183</v>
      </c>
      <c r="J7488" t="s">
        <v>41</v>
      </c>
      <c r="K7488" t="s">
        <v>657</v>
      </c>
      <c r="L7488" t="s">
        <v>844</v>
      </c>
      <c r="M7488" t="s">
        <v>661</v>
      </c>
    </row>
    <row r="7489" spans="1:13">
      <c r="A7489" t="s">
        <v>851</v>
      </c>
      <c r="B7489" t="s">
        <v>686</v>
      </c>
      <c r="C7489" t="s">
        <v>686</v>
      </c>
      <c r="D7489" t="s">
        <v>3185</v>
      </c>
      <c r="E7489" t="s">
        <v>660</v>
      </c>
      <c r="F7489" t="s">
        <v>40</v>
      </c>
      <c r="G7489">
        <v>2045</v>
      </c>
      <c r="H7489" s="12">
        <v>683</v>
      </c>
      <c r="I7489" t="s">
        <v>3183</v>
      </c>
      <c r="J7489" t="s">
        <v>41</v>
      </c>
      <c r="K7489" t="s">
        <v>657</v>
      </c>
      <c r="L7489" t="s">
        <v>844</v>
      </c>
      <c r="M7489" t="s">
        <v>661</v>
      </c>
    </row>
    <row r="7490" spans="1:13">
      <c r="A7490" t="s">
        <v>851</v>
      </c>
      <c r="B7490" t="s">
        <v>686</v>
      </c>
      <c r="C7490" t="s">
        <v>686</v>
      </c>
      <c r="D7490" t="s">
        <v>3185</v>
      </c>
      <c r="E7490" t="s">
        <v>660</v>
      </c>
      <c r="F7490" t="s">
        <v>40</v>
      </c>
      <c r="G7490">
        <v>2050</v>
      </c>
      <c r="H7490" s="12">
        <v>498</v>
      </c>
      <c r="I7490" t="s">
        <v>3183</v>
      </c>
      <c r="J7490" t="s">
        <v>41</v>
      </c>
      <c r="K7490" t="s">
        <v>657</v>
      </c>
      <c r="L7490" t="s">
        <v>844</v>
      </c>
      <c r="M7490" t="s">
        <v>661</v>
      </c>
    </row>
    <row r="7491" spans="1:13">
      <c r="A7491" t="s">
        <v>851</v>
      </c>
      <c r="B7491" t="s">
        <v>687</v>
      </c>
      <c r="C7491" t="s">
        <v>687</v>
      </c>
      <c r="D7491" t="s">
        <v>3185</v>
      </c>
      <c r="E7491" t="s">
        <v>660</v>
      </c>
      <c r="F7491" t="s">
        <v>40</v>
      </c>
      <c r="G7491">
        <v>2030</v>
      </c>
      <c r="H7491" s="12">
        <v>674</v>
      </c>
      <c r="I7491" t="s">
        <v>3183</v>
      </c>
      <c r="J7491" t="s">
        <v>41</v>
      </c>
      <c r="K7491" t="s">
        <v>657</v>
      </c>
      <c r="L7491" t="s">
        <v>844</v>
      </c>
      <c r="M7491" t="s">
        <v>661</v>
      </c>
    </row>
    <row r="7492" spans="1:13">
      <c r="A7492" t="s">
        <v>851</v>
      </c>
      <c r="B7492" t="s">
        <v>686</v>
      </c>
      <c r="C7492" t="s">
        <v>686</v>
      </c>
      <c r="D7492" t="s">
        <v>3174</v>
      </c>
      <c r="E7492" t="s">
        <v>242</v>
      </c>
      <c r="F7492" t="s">
        <v>663</v>
      </c>
      <c r="G7492">
        <v>2040</v>
      </c>
      <c r="H7492" s="12">
        <v>4.3899999999999997</v>
      </c>
      <c r="I7492" t="s">
        <v>3183</v>
      </c>
      <c r="J7492" t="s">
        <v>394</v>
      </c>
      <c r="K7492" t="s">
        <v>147</v>
      </c>
      <c r="L7492" t="s">
        <v>3184</v>
      </c>
      <c r="M7492" t="s">
        <v>16</v>
      </c>
    </row>
    <row r="7493" spans="1:13">
      <c r="A7493" t="s">
        <v>851</v>
      </c>
      <c r="B7493" t="s">
        <v>686</v>
      </c>
      <c r="C7493" t="s">
        <v>686</v>
      </c>
      <c r="D7493" t="s">
        <v>3174</v>
      </c>
      <c r="E7493" t="s">
        <v>242</v>
      </c>
      <c r="F7493" t="s">
        <v>663</v>
      </c>
      <c r="G7493">
        <v>2045</v>
      </c>
      <c r="H7493" s="12">
        <v>2.66</v>
      </c>
      <c r="I7493" t="s">
        <v>3183</v>
      </c>
      <c r="J7493" t="s">
        <v>394</v>
      </c>
      <c r="K7493" t="s">
        <v>147</v>
      </c>
      <c r="L7493" t="s">
        <v>3184</v>
      </c>
      <c r="M7493" t="s">
        <v>16</v>
      </c>
    </row>
    <row r="7494" spans="1:13">
      <c r="A7494" t="s">
        <v>851</v>
      </c>
      <c r="B7494" t="s">
        <v>686</v>
      </c>
      <c r="C7494" t="s">
        <v>686</v>
      </c>
      <c r="D7494" t="s">
        <v>3174</v>
      </c>
      <c r="E7494" t="s">
        <v>242</v>
      </c>
      <c r="F7494" t="s">
        <v>663</v>
      </c>
      <c r="G7494">
        <v>2050</v>
      </c>
      <c r="H7494" s="12">
        <v>1.71</v>
      </c>
      <c r="I7494" t="s">
        <v>3183</v>
      </c>
      <c r="J7494" t="s">
        <v>394</v>
      </c>
      <c r="K7494" t="s">
        <v>147</v>
      </c>
      <c r="L7494" t="s">
        <v>3184</v>
      </c>
      <c r="M7494" t="s">
        <v>16</v>
      </c>
    </row>
    <row r="7495" spans="1:13">
      <c r="A7495" t="s">
        <v>851</v>
      </c>
      <c r="B7495" t="s">
        <v>687</v>
      </c>
      <c r="C7495" t="s">
        <v>687</v>
      </c>
      <c r="D7495" t="s">
        <v>3174</v>
      </c>
      <c r="E7495" t="s">
        <v>242</v>
      </c>
      <c r="F7495" t="s">
        <v>663</v>
      </c>
      <c r="G7495">
        <v>2030</v>
      </c>
      <c r="H7495" s="12">
        <v>4.58</v>
      </c>
      <c r="I7495" t="s">
        <v>3183</v>
      </c>
      <c r="J7495" t="s">
        <v>394</v>
      </c>
      <c r="K7495" t="s">
        <v>147</v>
      </c>
      <c r="L7495" t="s">
        <v>3184</v>
      </c>
      <c r="M7495" t="s">
        <v>16</v>
      </c>
    </row>
    <row r="7496" spans="1:13">
      <c r="A7496" t="s">
        <v>851</v>
      </c>
      <c r="B7496" t="s">
        <v>687</v>
      </c>
      <c r="C7496" t="s">
        <v>687</v>
      </c>
      <c r="D7496" t="s">
        <v>3174</v>
      </c>
      <c r="E7496" t="s">
        <v>242</v>
      </c>
      <c r="F7496" t="s">
        <v>663</v>
      </c>
      <c r="G7496">
        <v>2035</v>
      </c>
      <c r="H7496" s="12">
        <v>1.65</v>
      </c>
      <c r="I7496" t="s">
        <v>3183</v>
      </c>
      <c r="J7496" t="s">
        <v>394</v>
      </c>
      <c r="K7496" t="s">
        <v>147</v>
      </c>
      <c r="L7496" t="s">
        <v>3184</v>
      </c>
      <c r="M7496" t="s">
        <v>16</v>
      </c>
    </row>
    <row r="7497" spans="1:13">
      <c r="A7497" t="s">
        <v>851</v>
      </c>
      <c r="B7497" t="s">
        <v>687</v>
      </c>
      <c r="C7497" t="s">
        <v>687</v>
      </c>
      <c r="D7497" t="s">
        <v>3174</v>
      </c>
      <c r="E7497" t="s">
        <v>242</v>
      </c>
      <c r="F7497" t="s">
        <v>663</v>
      </c>
      <c r="G7497">
        <v>2040</v>
      </c>
      <c r="H7497" s="12">
        <v>0.75</v>
      </c>
      <c r="I7497" t="s">
        <v>3183</v>
      </c>
      <c r="J7497" t="s">
        <v>394</v>
      </c>
      <c r="K7497" t="s">
        <v>147</v>
      </c>
      <c r="L7497" t="s">
        <v>3184</v>
      </c>
      <c r="M7497" t="s">
        <v>16</v>
      </c>
    </row>
    <row r="7498" spans="1:13">
      <c r="A7498" t="s">
        <v>851</v>
      </c>
      <c r="B7498" t="s">
        <v>687</v>
      </c>
      <c r="C7498" t="s">
        <v>687</v>
      </c>
      <c r="D7498" t="s">
        <v>3174</v>
      </c>
      <c r="E7498" t="s">
        <v>242</v>
      </c>
      <c r="F7498" t="s">
        <v>663</v>
      </c>
      <c r="G7498">
        <v>2045</v>
      </c>
      <c r="H7498" s="12">
        <v>0.56999999999999995</v>
      </c>
      <c r="I7498" t="s">
        <v>3183</v>
      </c>
      <c r="J7498" t="s">
        <v>394</v>
      </c>
      <c r="K7498" t="s">
        <v>147</v>
      </c>
      <c r="L7498" t="s">
        <v>3184</v>
      </c>
      <c r="M7498" t="s">
        <v>16</v>
      </c>
    </row>
    <row r="7499" spans="1:13">
      <c r="A7499" t="s">
        <v>851</v>
      </c>
      <c r="B7499" t="s">
        <v>687</v>
      </c>
      <c r="C7499" t="s">
        <v>687</v>
      </c>
      <c r="D7499" t="s">
        <v>3174</v>
      </c>
      <c r="E7499" t="s">
        <v>242</v>
      </c>
      <c r="F7499" t="s">
        <v>663</v>
      </c>
      <c r="G7499">
        <v>2050</v>
      </c>
      <c r="H7499" s="12">
        <v>0.41</v>
      </c>
      <c r="I7499" t="s">
        <v>3183</v>
      </c>
      <c r="J7499" t="s">
        <v>394</v>
      </c>
      <c r="K7499" t="s">
        <v>147</v>
      </c>
      <c r="L7499" t="s">
        <v>3184</v>
      </c>
      <c r="M7499" t="s">
        <v>16</v>
      </c>
    </row>
    <row r="7500" spans="1:13">
      <c r="A7500" t="s">
        <v>851</v>
      </c>
      <c r="B7500" t="s">
        <v>686</v>
      </c>
      <c r="C7500" t="s">
        <v>686</v>
      </c>
      <c r="D7500" t="s">
        <v>3174</v>
      </c>
      <c r="E7500" t="s">
        <v>242</v>
      </c>
      <c r="F7500" t="s">
        <v>663</v>
      </c>
      <c r="G7500">
        <v>2010</v>
      </c>
      <c r="H7500" s="12">
        <v>434.73</v>
      </c>
      <c r="I7500" t="s">
        <v>3183</v>
      </c>
      <c r="J7500" t="s">
        <v>6</v>
      </c>
      <c r="K7500" t="s">
        <v>147</v>
      </c>
      <c r="L7500" t="s">
        <v>3184</v>
      </c>
      <c r="M7500" t="s">
        <v>659</v>
      </c>
    </row>
    <row r="7501" spans="1:13">
      <c r="A7501" t="s">
        <v>851</v>
      </c>
      <c r="B7501" t="s">
        <v>686</v>
      </c>
      <c r="C7501" t="s">
        <v>686</v>
      </c>
      <c r="D7501" t="s">
        <v>3174</v>
      </c>
      <c r="E7501" t="s">
        <v>242</v>
      </c>
      <c r="F7501" t="s">
        <v>663</v>
      </c>
      <c r="G7501">
        <v>2015</v>
      </c>
      <c r="H7501" s="12">
        <v>567.96</v>
      </c>
      <c r="I7501" t="s">
        <v>3183</v>
      </c>
      <c r="J7501" t="s">
        <v>6</v>
      </c>
      <c r="K7501" t="s">
        <v>147</v>
      </c>
      <c r="L7501" t="s">
        <v>3184</v>
      </c>
      <c r="M7501" t="s">
        <v>659</v>
      </c>
    </row>
    <row r="7502" spans="1:13">
      <c r="A7502" t="s">
        <v>851</v>
      </c>
      <c r="B7502" t="s">
        <v>686</v>
      </c>
      <c r="C7502" t="s">
        <v>686</v>
      </c>
      <c r="D7502" t="s">
        <v>3174</v>
      </c>
      <c r="E7502" t="s">
        <v>242</v>
      </c>
      <c r="F7502" t="s">
        <v>663</v>
      </c>
      <c r="G7502">
        <v>2020</v>
      </c>
      <c r="H7502" s="12">
        <v>679.07</v>
      </c>
      <c r="I7502" t="s">
        <v>3183</v>
      </c>
      <c r="J7502" t="s">
        <v>6</v>
      </c>
      <c r="K7502" t="s">
        <v>147</v>
      </c>
      <c r="L7502" t="s">
        <v>3184</v>
      </c>
      <c r="M7502" t="s">
        <v>659</v>
      </c>
    </row>
    <row r="7503" spans="1:13">
      <c r="A7503" t="s">
        <v>851</v>
      </c>
      <c r="B7503" t="s">
        <v>686</v>
      </c>
      <c r="C7503" t="s">
        <v>686</v>
      </c>
      <c r="D7503" t="s">
        <v>3174</v>
      </c>
      <c r="E7503" t="s">
        <v>242</v>
      </c>
      <c r="F7503" t="s">
        <v>663</v>
      </c>
      <c r="G7503">
        <v>2030</v>
      </c>
      <c r="H7503" s="12">
        <v>608.5</v>
      </c>
      <c r="I7503" t="s">
        <v>3183</v>
      </c>
      <c r="J7503" t="s">
        <v>6</v>
      </c>
      <c r="K7503" t="s">
        <v>147</v>
      </c>
      <c r="L7503" t="s">
        <v>3184</v>
      </c>
      <c r="M7503" t="s">
        <v>659</v>
      </c>
    </row>
    <row r="7504" spans="1:13">
      <c r="A7504" t="s">
        <v>851</v>
      </c>
      <c r="B7504" t="s">
        <v>686</v>
      </c>
      <c r="C7504" t="s">
        <v>686</v>
      </c>
      <c r="D7504" t="s">
        <v>3174</v>
      </c>
      <c r="E7504" t="s">
        <v>242</v>
      </c>
      <c r="F7504" t="s">
        <v>663</v>
      </c>
      <c r="G7504">
        <v>2010</v>
      </c>
      <c r="H7504" s="12">
        <v>122.85</v>
      </c>
      <c r="I7504" t="s">
        <v>3183</v>
      </c>
      <c r="J7504" t="s">
        <v>5</v>
      </c>
      <c r="K7504" t="s">
        <v>664</v>
      </c>
      <c r="L7504" t="s">
        <v>3184</v>
      </c>
      <c r="M7504" t="s">
        <v>5</v>
      </c>
    </row>
    <row r="7505" spans="1:13">
      <c r="A7505" t="s">
        <v>851</v>
      </c>
      <c r="B7505" t="s">
        <v>686</v>
      </c>
      <c r="C7505" t="s">
        <v>686</v>
      </c>
      <c r="D7505" t="s">
        <v>3174</v>
      </c>
      <c r="E7505" t="s">
        <v>242</v>
      </c>
      <c r="F7505" t="s">
        <v>663</v>
      </c>
      <c r="G7505">
        <v>2015</v>
      </c>
      <c r="H7505" s="12">
        <v>93.37</v>
      </c>
      <c r="I7505" t="s">
        <v>3183</v>
      </c>
      <c r="J7505" t="s">
        <v>5</v>
      </c>
      <c r="K7505" t="s">
        <v>664</v>
      </c>
      <c r="L7505" t="s">
        <v>3184</v>
      </c>
      <c r="M7505" t="s">
        <v>5</v>
      </c>
    </row>
    <row r="7506" spans="1:13">
      <c r="A7506" t="s">
        <v>851</v>
      </c>
      <c r="B7506" t="s">
        <v>686</v>
      </c>
      <c r="C7506" t="s">
        <v>686</v>
      </c>
      <c r="D7506" t="s">
        <v>3174</v>
      </c>
      <c r="E7506" t="s">
        <v>242</v>
      </c>
      <c r="F7506" t="s">
        <v>663</v>
      </c>
      <c r="G7506">
        <v>2020</v>
      </c>
      <c r="H7506" s="12">
        <v>64.09</v>
      </c>
      <c r="I7506" t="s">
        <v>3183</v>
      </c>
      <c r="J7506" t="s">
        <v>5</v>
      </c>
      <c r="K7506" t="s">
        <v>664</v>
      </c>
      <c r="L7506" t="s">
        <v>3184</v>
      </c>
      <c r="M7506" t="s">
        <v>5</v>
      </c>
    </row>
    <row r="7507" spans="1:13">
      <c r="A7507" t="s">
        <v>851</v>
      </c>
      <c r="B7507" t="s">
        <v>686</v>
      </c>
      <c r="C7507" t="s">
        <v>686</v>
      </c>
      <c r="D7507" t="s">
        <v>3174</v>
      </c>
      <c r="E7507" t="s">
        <v>242</v>
      </c>
      <c r="F7507" t="s">
        <v>663</v>
      </c>
      <c r="G7507">
        <v>2030</v>
      </c>
      <c r="H7507" s="12">
        <v>55.87</v>
      </c>
      <c r="I7507" t="s">
        <v>3183</v>
      </c>
      <c r="J7507" t="s">
        <v>5</v>
      </c>
      <c r="K7507" t="s">
        <v>664</v>
      </c>
      <c r="L7507" t="s">
        <v>3184</v>
      </c>
      <c r="M7507" t="s">
        <v>5</v>
      </c>
    </row>
    <row r="7508" spans="1:13">
      <c r="A7508" t="s">
        <v>851</v>
      </c>
      <c r="B7508" t="s">
        <v>686</v>
      </c>
      <c r="C7508" t="s">
        <v>686</v>
      </c>
      <c r="D7508" t="s">
        <v>3174</v>
      </c>
      <c r="E7508" t="s">
        <v>242</v>
      </c>
      <c r="F7508" t="s">
        <v>663</v>
      </c>
      <c r="G7508">
        <v>2035</v>
      </c>
      <c r="H7508" s="12">
        <v>50.55</v>
      </c>
      <c r="I7508" t="s">
        <v>3183</v>
      </c>
      <c r="J7508" t="s">
        <v>5</v>
      </c>
      <c r="K7508" t="s">
        <v>664</v>
      </c>
      <c r="L7508" t="s">
        <v>3184</v>
      </c>
      <c r="M7508" t="s">
        <v>5</v>
      </c>
    </row>
    <row r="7509" spans="1:13">
      <c r="A7509" t="s">
        <v>851</v>
      </c>
      <c r="B7509" t="s">
        <v>686</v>
      </c>
      <c r="C7509" t="s">
        <v>686</v>
      </c>
      <c r="D7509" t="s">
        <v>3174</v>
      </c>
      <c r="E7509" t="s">
        <v>242</v>
      </c>
      <c r="F7509" t="s">
        <v>663</v>
      </c>
      <c r="G7509">
        <v>2040</v>
      </c>
      <c r="H7509" s="12">
        <v>43.69</v>
      </c>
      <c r="I7509" t="s">
        <v>3183</v>
      </c>
      <c r="J7509" t="s">
        <v>5</v>
      </c>
      <c r="K7509" t="s">
        <v>664</v>
      </c>
      <c r="L7509" t="s">
        <v>3184</v>
      </c>
      <c r="M7509" t="s">
        <v>5</v>
      </c>
    </row>
    <row r="7510" spans="1:13">
      <c r="A7510" t="s">
        <v>851</v>
      </c>
      <c r="B7510" t="s">
        <v>686</v>
      </c>
      <c r="C7510" t="s">
        <v>686</v>
      </c>
      <c r="D7510" t="s">
        <v>3174</v>
      </c>
      <c r="E7510" t="s">
        <v>242</v>
      </c>
      <c r="F7510" t="s">
        <v>663</v>
      </c>
      <c r="G7510">
        <v>2045</v>
      </c>
      <c r="H7510" s="12">
        <v>37.93</v>
      </c>
      <c r="I7510" t="s">
        <v>3183</v>
      </c>
      <c r="J7510" t="s">
        <v>5</v>
      </c>
      <c r="K7510" t="s">
        <v>664</v>
      </c>
      <c r="L7510" t="s">
        <v>3184</v>
      </c>
      <c r="M7510" t="s">
        <v>5</v>
      </c>
    </row>
    <row r="7511" spans="1:13">
      <c r="A7511" t="s">
        <v>851</v>
      </c>
      <c r="B7511" t="s">
        <v>686</v>
      </c>
      <c r="C7511" t="s">
        <v>686</v>
      </c>
      <c r="D7511" t="s">
        <v>3174</v>
      </c>
      <c r="E7511" t="s">
        <v>242</v>
      </c>
      <c r="F7511" t="s">
        <v>663</v>
      </c>
      <c r="G7511">
        <v>2050</v>
      </c>
      <c r="H7511" s="12">
        <v>31.4</v>
      </c>
      <c r="I7511" t="s">
        <v>3183</v>
      </c>
      <c r="J7511" t="s">
        <v>5</v>
      </c>
      <c r="K7511" t="s">
        <v>664</v>
      </c>
      <c r="L7511" t="s">
        <v>3184</v>
      </c>
      <c r="M7511" t="s">
        <v>5</v>
      </c>
    </row>
    <row r="7512" spans="1:13">
      <c r="A7512" t="s">
        <v>851</v>
      </c>
      <c r="B7512" t="s">
        <v>687</v>
      </c>
      <c r="C7512" t="s">
        <v>687</v>
      </c>
      <c r="D7512" t="s">
        <v>3174</v>
      </c>
      <c r="E7512" t="s">
        <v>242</v>
      </c>
      <c r="F7512" t="s">
        <v>663</v>
      </c>
      <c r="G7512">
        <v>2030</v>
      </c>
      <c r="H7512" s="12">
        <v>45.05</v>
      </c>
      <c r="I7512" t="s">
        <v>3183</v>
      </c>
      <c r="J7512" t="s">
        <v>5</v>
      </c>
      <c r="K7512" t="s">
        <v>664</v>
      </c>
      <c r="L7512" t="s">
        <v>3184</v>
      </c>
      <c r="M7512" t="s">
        <v>5</v>
      </c>
    </row>
    <row r="7513" spans="1:13">
      <c r="A7513" t="s">
        <v>851</v>
      </c>
      <c r="B7513" t="s">
        <v>687</v>
      </c>
      <c r="C7513" t="s">
        <v>687</v>
      </c>
      <c r="D7513" t="s">
        <v>3174</v>
      </c>
      <c r="E7513" t="s">
        <v>242</v>
      </c>
      <c r="F7513" t="s">
        <v>663</v>
      </c>
      <c r="G7513">
        <v>2035</v>
      </c>
      <c r="H7513" s="12">
        <v>32.450000000000003</v>
      </c>
      <c r="I7513" t="s">
        <v>3183</v>
      </c>
      <c r="J7513" t="s">
        <v>5</v>
      </c>
      <c r="K7513" t="s">
        <v>664</v>
      </c>
      <c r="L7513" t="s">
        <v>3184</v>
      </c>
      <c r="M7513" t="s">
        <v>5</v>
      </c>
    </row>
    <row r="7514" spans="1:13">
      <c r="A7514" t="s">
        <v>851</v>
      </c>
      <c r="B7514" t="s">
        <v>687</v>
      </c>
      <c r="C7514" t="s">
        <v>687</v>
      </c>
      <c r="D7514" t="s">
        <v>3174</v>
      </c>
      <c r="E7514" t="s">
        <v>242</v>
      </c>
      <c r="F7514" t="s">
        <v>663</v>
      </c>
      <c r="G7514">
        <v>2040</v>
      </c>
      <c r="H7514" s="12">
        <v>20.41</v>
      </c>
      <c r="I7514" t="s">
        <v>3183</v>
      </c>
      <c r="J7514" t="s">
        <v>5</v>
      </c>
      <c r="K7514" t="s">
        <v>664</v>
      </c>
      <c r="L7514" t="s">
        <v>3184</v>
      </c>
      <c r="M7514" t="s">
        <v>5</v>
      </c>
    </row>
    <row r="7515" spans="1:13">
      <c r="A7515" t="s">
        <v>851</v>
      </c>
      <c r="B7515" t="s">
        <v>687</v>
      </c>
      <c r="C7515" t="s">
        <v>687</v>
      </c>
      <c r="D7515" t="s">
        <v>3174</v>
      </c>
      <c r="E7515" t="s">
        <v>242</v>
      </c>
      <c r="F7515" t="s">
        <v>663</v>
      </c>
      <c r="G7515">
        <v>2045</v>
      </c>
      <c r="H7515" s="12">
        <v>10.83</v>
      </c>
      <c r="I7515" t="s">
        <v>3183</v>
      </c>
      <c r="J7515" t="s">
        <v>5</v>
      </c>
      <c r="K7515" t="s">
        <v>664</v>
      </c>
      <c r="L7515" t="s">
        <v>3184</v>
      </c>
      <c r="M7515" t="s">
        <v>5</v>
      </c>
    </row>
    <row r="7516" spans="1:13">
      <c r="A7516" t="s">
        <v>851</v>
      </c>
      <c r="B7516" t="s">
        <v>687</v>
      </c>
      <c r="C7516" t="s">
        <v>687</v>
      </c>
      <c r="D7516" t="s">
        <v>3174</v>
      </c>
      <c r="E7516" t="s">
        <v>242</v>
      </c>
      <c r="F7516" t="s">
        <v>663</v>
      </c>
      <c r="G7516">
        <v>2050</v>
      </c>
      <c r="H7516" s="12">
        <v>3.04</v>
      </c>
      <c r="I7516" t="s">
        <v>3183</v>
      </c>
      <c r="J7516" t="s">
        <v>5</v>
      </c>
      <c r="K7516" t="s">
        <v>664</v>
      </c>
      <c r="L7516" t="s">
        <v>3184</v>
      </c>
      <c r="M7516" t="s">
        <v>5</v>
      </c>
    </row>
    <row r="7517" spans="1:13">
      <c r="A7517" t="s">
        <v>851</v>
      </c>
      <c r="B7517" t="s">
        <v>686</v>
      </c>
      <c r="C7517" t="s">
        <v>686</v>
      </c>
      <c r="D7517" t="s">
        <v>3174</v>
      </c>
      <c r="E7517" t="s">
        <v>242</v>
      </c>
      <c r="F7517" t="s">
        <v>663</v>
      </c>
      <c r="G7517">
        <v>2010</v>
      </c>
      <c r="H7517" s="12">
        <v>1904.1</v>
      </c>
      <c r="I7517" t="s">
        <v>3183</v>
      </c>
      <c r="J7517" t="s">
        <v>394</v>
      </c>
      <c r="K7517" t="s">
        <v>664</v>
      </c>
      <c r="L7517" t="s">
        <v>3184</v>
      </c>
      <c r="M7517" t="s">
        <v>16</v>
      </c>
    </row>
    <row r="7518" spans="1:13">
      <c r="A7518" t="s">
        <v>851</v>
      </c>
      <c r="B7518" t="s">
        <v>686</v>
      </c>
      <c r="C7518" t="s">
        <v>686</v>
      </c>
      <c r="D7518" t="s">
        <v>3174</v>
      </c>
      <c r="E7518" t="s">
        <v>242</v>
      </c>
      <c r="F7518" t="s">
        <v>663</v>
      </c>
      <c r="G7518">
        <v>2015</v>
      </c>
      <c r="H7518" s="12">
        <v>1847.5</v>
      </c>
      <c r="I7518" t="s">
        <v>3183</v>
      </c>
      <c r="J7518" t="s">
        <v>394</v>
      </c>
      <c r="K7518" t="s">
        <v>664</v>
      </c>
      <c r="L7518" t="s">
        <v>3184</v>
      </c>
      <c r="M7518" t="s">
        <v>16</v>
      </c>
    </row>
    <row r="7519" spans="1:13">
      <c r="A7519" t="s">
        <v>851</v>
      </c>
      <c r="B7519" t="s">
        <v>686</v>
      </c>
      <c r="C7519" t="s">
        <v>686</v>
      </c>
      <c r="D7519" t="s">
        <v>3174</v>
      </c>
      <c r="E7519" t="s">
        <v>242</v>
      </c>
      <c r="F7519" t="s">
        <v>663</v>
      </c>
      <c r="G7519">
        <v>2020</v>
      </c>
      <c r="H7519" s="12">
        <v>1613.92</v>
      </c>
      <c r="I7519" t="s">
        <v>3183</v>
      </c>
      <c r="J7519" t="s">
        <v>394</v>
      </c>
      <c r="K7519" t="s">
        <v>664</v>
      </c>
      <c r="L7519" t="s">
        <v>3184</v>
      </c>
      <c r="M7519" t="s">
        <v>16</v>
      </c>
    </row>
    <row r="7520" spans="1:13">
      <c r="A7520" t="s">
        <v>851</v>
      </c>
      <c r="B7520" t="s">
        <v>686</v>
      </c>
      <c r="C7520" t="s">
        <v>686</v>
      </c>
      <c r="D7520" t="s">
        <v>3174</v>
      </c>
      <c r="E7520" t="s">
        <v>242</v>
      </c>
      <c r="F7520" t="s">
        <v>663</v>
      </c>
      <c r="G7520">
        <v>2030</v>
      </c>
      <c r="H7520" s="12">
        <v>1565.21</v>
      </c>
      <c r="I7520" t="s">
        <v>3183</v>
      </c>
      <c r="J7520" t="s">
        <v>394</v>
      </c>
      <c r="K7520" t="s">
        <v>664</v>
      </c>
      <c r="L7520" t="s">
        <v>3184</v>
      </c>
      <c r="M7520" t="s">
        <v>16</v>
      </c>
    </row>
    <row r="7521" spans="1:13">
      <c r="A7521" t="s">
        <v>851</v>
      </c>
      <c r="B7521" t="s">
        <v>686</v>
      </c>
      <c r="C7521" t="s">
        <v>686</v>
      </c>
      <c r="D7521" t="s">
        <v>3174</v>
      </c>
      <c r="E7521" t="s">
        <v>242</v>
      </c>
      <c r="F7521" t="s">
        <v>663</v>
      </c>
      <c r="G7521">
        <v>2035</v>
      </c>
      <c r="H7521" s="12">
        <v>1394.62</v>
      </c>
      <c r="I7521" t="s">
        <v>3183</v>
      </c>
      <c r="J7521" t="s">
        <v>394</v>
      </c>
      <c r="K7521" t="s">
        <v>664</v>
      </c>
      <c r="L7521" t="s">
        <v>3184</v>
      </c>
      <c r="M7521" t="s">
        <v>16</v>
      </c>
    </row>
    <row r="7522" spans="1:13">
      <c r="A7522" t="s">
        <v>851</v>
      </c>
      <c r="B7522" t="s">
        <v>686</v>
      </c>
      <c r="C7522" t="s">
        <v>686</v>
      </c>
      <c r="D7522" t="s">
        <v>3174</v>
      </c>
      <c r="E7522" t="s">
        <v>242</v>
      </c>
      <c r="F7522" t="s">
        <v>663</v>
      </c>
      <c r="G7522">
        <v>2040</v>
      </c>
      <c r="H7522" s="12">
        <v>1244.97</v>
      </c>
      <c r="I7522" t="s">
        <v>3183</v>
      </c>
      <c r="J7522" t="s">
        <v>394</v>
      </c>
      <c r="K7522" t="s">
        <v>664</v>
      </c>
      <c r="L7522" t="s">
        <v>3184</v>
      </c>
      <c r="M7522" t="s">
        <v>16</v>
      </c>
    </row>
    <row r="7523" spans="1:13">
      <c r="A7523" t="s">
        <v>851</v>
      </c>
      <c r="B7523" t="s">
        <v>686</v>
      </c>
      <c r="C7523" t="s">
        <v>686</v>
      </c>
      <c r="D7523" t="s">
        <v>3174</v>
      </c>
      <c r="E7523" t="s">
        <v>242</v>
      </c>
      <c r="F7523" t="s">
        <v>663</v>
      </c>
      <c r="G7523">
        <v>2045</v>
      </c>
      <c r="H7523" s="12">
        <v>1148.02</v>
      </c>
      <c r="I7523" t="s">
        <v>3183</v>
      </c>
      <c r="J7523" t="s">
        <v>394</v>
      </c>
      <c r="K7523" t="s">
        <v>664</v>
      </c>
      <c r="L7523" t="s">
        <v>3184</v>
      </c>
      <c r="M7523" t="s">
        <v>16</v>
      </c>
    </row>
    <row r="7524" spans="1:13">
      <c r="A7524" t="s">
        <v>851</v>
      </c>
      <c r="B7524" t="s">
        <v>686</v>
      </c>
      <c r="C7524" t="s">
        <v>686</v>
      </c>
      <c r="D7524" t="s">
        <v>3174</v>
      </c>
      <c r="E7524" t="s">
        <v>242</v>
      </c>
      <c r="F7524" t="s">
        <v>663</v>
      </c>
      <c r="G7524">
        <v>2050</v>
      </c>
      <c r="H7524" s="12">
        <v>1063.99</v>
      </c>
      <c r="I7524" t="s">
        <v>3183</v>
      </c>
      <c r="J7524" t="s">
        <v>394</v>
      </c>
      <c r="K7524" t="s">
        <v>664</v>
      </c>
      <c r="L7524" t="s">
        <v>3184</v>
      </c>
      <c r="M7524" t="s">
        <v>16</v>
      </c>
    </row>
    <row r="7525" spans="1:13">
      <c r="A7525" t="s">
        <v>851</v>
      </c>
      <c r="B7525" t="s">
        <v>687</v>
      </c>
      <c r="C7525" t="s">
        <v>687</v>
      </c>
      <c r="D7525" t="s">
        <v>3174</v>
      </c>
      <c r="E7525" t="s">
        <v>242</v>
      </c>
      <c r="F7525" t="s">
        <v>663</v>
      </c>
      <c r="G7525">
        <v>2030</v>
      </c>
      <c r="H7525" s="12">
        <v>1358.11</v>
      </c>
      <c r="I7525" t="s">
        <v>3183</v>
      </c>
      <c r="J7525" t="s">
        <v>394</v>
      </c>
      <c r="K7525" t="s">
        <v>664</v>
      </c>
      <c r="L7525" t="s">
        <v>3184</v>
      </c>
      <c r="M7525" t="s">
        <v>16</v>
      </c>
    </row>
    <row r="7526" spans="1:13">
      <c r="A7526" t="s">
        <v>851</v>
      </c>
      <c r="B7526" t="s">
        <v>687</v>
      </c>
      <c r="C7526" t="s">
        <v>687</v>
      </c>
      <c r="D7526" t="s">
        <v>3174</v>
      </c>
      <c r="E7526" t="s">
        <v>242</v>
      </c>
      <c r="F7526" t="s">
        <v>663</v>
      </c>
      <c r="G7526">
        <v>2035</v>
      </c>
      <c r="H7526" s="12">
        <v>927.14</v>
      </c>
      <c r="I7526" t="s">
        <v>3183</v>
      </c>
      <c r="J7526" t="s">
        <v>394</v>
      </c>
      <c r="K7526" t="s">
        <v>664</v>
      </c>
      <c r="L7526" t="s">
        <v>3184</v>
      </c>
      <c r="M7526" t="s">
        <v>16</v>
      </c>
    </row>
    <row r="7527" spans="1:13">
      <c r="A7527" t="s">
        <v>851</v>
      </c>
      <c r="B7527" t="s">
        <v>687</v>
      </c>
      <c r="C7527" t="s">
        <v>687</v>
      </c>
      <c r="D7527" t="s">
        <v>3174</v>
      </c>
      <c r="E7527" t="s">
        <v>242</v>
      </c>
      <c r="F7527" t="s">
        <v>663</v>
      </c>
      <c r="G7527">
        <v>2040</v>
      </c>
      <c r="H7527" s="12">
        <v>554.11</v>
      </c>
      <c r="I7527" t="s">
        <v>3183</v>
      </c>
      <c r="J7527" t="s">
        <v>394</v>
      </c>
      <c r="K7527" t="s">
        <v>664</v>
      </c>
      <c r="L7527" t="s">
        <v>3184</v>
      </c>
      <c r="M7527" t="s">
        <v>16</v>
      </c>
    </row>
    <row r="7528" spans="1:13">
      <c r="A7528" t="s">
        <v>851</v>
      </c>
      <c r="B7528" t="s">
        <v>687</v>
      </c>
      <c r="C7528" t="s">
        <v>687</v>
      </c>
      <c r="D7528" t="s">
        <v>3174</v>
      </c>
      <c r="E7528" t="s">
        <v>242</v>
      </c>
      <c r="F7528" t="s">
        <v>663</v>
      </c>
      <c r="G7528">
        <v>2045</v>
      </c>
      <c r="H7528" s="12">
        <v>314.35000000000002</v>
      </c>
      <c r="I7528" t="s">
        <v>3183</v>
      </c>
      <c r="J7528" t="s">
        <v>394</v>
      </c>
      <c r="K7528" t="s">
        <v>664</v>
      </c>
      <c r="L7528" t="s">
        <v>3184</v>
      </c>
      <c r="M7528" t="s">
        <v>16</v>
      </c>
    </row>
    <row r="7529" spans="1:13">
      <c r="A7529" t="s">
        <v>851</v>
      </c>
      <c r="B7529" t="s">
        <v>687</v>
      </c>
      <c r="C7529" t="s">
        <v>687</v>
      </c>
      <c r="D7529" t="s">
        <v>3174</v>
      </c>
      <c r="E7529" t="s">
        <v>242</v>
      </c>
      <c r="F7529" t="s">
        <v>663</v>
      </c>
      <c r="G7529">
        <v>2050</v>
      </c>
      <c r="H7529" s="12">
        <v>156.32</v>
      </c>
      <c r="I7529" t="s">
        <v>3183</v>
      </c>
      <c r="J7529" t="s">
        <v>394</v>
      </c>
      <c r="K7529" t="s">
        <v>664</v>
      </c>
      <c r="L7529" t="s">
        <v>3184</v>
      </c>
      <c r="M7529" t="s">
        <v>16</v>
      </c>
    </row>
    <row r="7530" spans="1:13">
      <c r="A7530" t="s">
        <v>851</v>
      </c>
      <c r="B7530" t="s">
        <v>686</v>
      </c>
      <c r="C7530" t="s">
        <v>686</v>
      </c>
      <c r="D7530" t="s">
        <v>3174</v>
      </c>
      <c r="E7530" t="s">
        <v>242</v>
      </c>
      <c r="F7530" t="s">
        <v>663</v>
      </c>
      <c r="G7530">
        <v>2010</v>
      </c>
      <c r="H7530" s="12">
        <v>731.77</v>
      </c>
      <c r="I7530" t="s">
        <v>3183</v>
      </c>
      <c r="J7530" t="s">
        <v>6</v>
      </c>
      <c r="K7530" t="s">
        <v>664</v>
      </c>
      <c r="L7530" t="s">
        <v>3184</v>
      </c>
      <c r="M7530" t="s">
        <v>659</v>
      </c>
    </row>
    <row r="7531" spans="1:13">
      <c r="A7531" t="s">
        <v>851</v>
      </c>
      <c r="B7531" t="s">
        <v>686</v>
      </c>
      <c r="C7531" t="s">
        <v>686</v>
      </c>
      <c r="D7531" t="s">
        <v>3174</v>
      </c>
      <c r="E7531" t="s">
        <v>242</v>
      </c>
      <c r="F7531" t="s">
        <v>663</v>
      </c>
      <c r="G7531">
        <v>2015</v>
      </c>
      <c r="H7531" s="12">
        <v>755.96</v>
      </c>
      <c r="I7531" t="s">
        <v>3183</v>
      </c>
      <c r="J7531" t="s">
        <v>6</v>
      </c>
      <c r="K7531" t="s">
        <v>664</v>
      </c>
      <c r="L7531" t="s">
        <v>3184</v>
      </c>
      <c r="M7531" t="s">
        <v>659</v>
      </c>
    </row>
    <row r="7532" spans="1:13">
      <c r="A7532" t="s">
        <v>851</v>
      </c>
      <c r="B7532" t="s">
        <v>686</v>
      </c>
      <c r="C7532" t="s">
        <v>686</v>
      </c>
      <c r="D7532" t="s">
        <v>3174</v>
      </c>
      <c r="E7532" t="s">
        <v>242</v>
      </c>
      <c r="F7532" t="s">
        <v>663</v>
      </c>
      <c r="G7532">
        <v>2020</v>
      </c>
      <c r="H7532" s="12">
        <v>815.5</v>
      </c>
      <c r="I7532" t="s">
        <v>3183</v>
      </c>
      <c r="J7532" t="s">
        <v>6</v>
      </c>
      <c r="K7532" t="s">
        <v>664</v>
      </c>
      <c r="L7532" t="s">
        <v>3184</v>
      </c>
      <c r="M7532" t="s">
        <v>659</v>
      </c>
    </row>
    <row r="7533" spans="1:13">
      <c r="A7533" t="s">
        <v>851</v>
      </c>
      <c r="B7533" t="s">
        <v>686</v>
      </c>
      <c r="C7533" t="s">
        <v>686</v>
      </c>
      <c r="D7533" t="s">
        <v>3174</v>
      </c>
      <c r="E7533" t="s">
        <v>242</v>
      </c>
      <c r="F7533" t="s">
        <v>663</v>
      </c>
      <c r="G7533">
        <v>2030</v>
      </c>
      <c r="H7533" s="12">
        <v>795.48</v>
      </c>
      <c r="I7533" t="s">
        <v>3183</v>
      </c>
      <c r="J7533" t="s">
        <v>6</v>
      </c>
      <c r="K7533" t="s">
        <v>664</v>
      </c>
      <c r="L7533" t="s">
        <v>3184</v>
      </c>
      <c r="M7533" t="s">
        <v>659</v>
      </c>
    </row>
    <row r="7534" spans="1:13">
      <c r="A7534" t="s">
        <v>851</v>
      </c>
      <c r="B7534" t="s">
        <v>686</v>
      </c>
      <c r="C7534" t="s">
        <v>686</v>
      </c>
      <c r="D7534" t="s">
        <v>3174</v>
      </c>
      <c r="E7534" t="s">
        <v>242</v>
      </c>
      <c r="F7534" t="s">
        <v>663</v>
      </c>
      <c r="G7534">
        <v>2035</v>
      </c>
      <c r="H7534" s="12">
        <v>749.48</v>
      </c>
      <c r="I7534" t="s">
        <v>3183</v>
      </c>
      <c r="J7534" t="s">
        <v>6</v>
      </c>
      <c r="K7534" t="s">
        <v>664</v>
      </c>
      <c r="L7534" t="s">
        <v>3184</v>
      </c>
      <c r="M7534" t="s">
        <v>659</v>
      </c>
    </row>
    <row r="7535" spans="1:13">
      <c r="A7535" t="s">
        <v>851</v>
      </c>
      <c r="B7535" t="s">
        <v>686</v>
      </c>
      <c r="C7535" t="s">
        <v>686</v>
      </c>
      <c r="D7535" t="s">
        <v>3174</v>
      </c>
      <c r="E7535" t="s">
        <v>242</v>
      </c>
      <c r="F7535" t="s">
        <v>663</v>
      </c>
      <c r="G7535">
        <v>2040</v>
      </c>
      <c r="H7535" s="12">
        <v>698.06</v>
      </c>
      <c r="I7535" t="s">
        <v>3183</v>
      </c>
      <c r="J7535" t="s">
        <v>6</v>
      </c>
      <c r="K7535" t="s">
        <v>664</v>
      </c>
      <c r="L7535" t="s">
        <v>3184</v>
      </c>
      <c r="M7535" t="s">
        <v>659</v>
      </c>
    </row>
    <row r="7536" spans="1:13">
      <c r="A7536" t="s">
        <v>851</v>
      </c>
      <c r="B7536" t="s">
        <v>686</v>
      </c>
      <c r="C7536" t="s">
        <v>686</v>
      </c>
      <c r="D7536" t="s">
        <v>3174</v>
      </c>
      <c r="E7536" t="s">
        <v>242</v>
      </c>
      <c r="F7536" t="s">
        <v>663</v>
      </c>
      <c r="G7536">
        <v>2045</v>
      </c>
      <c r="H7536" s="12">
        <v>645.25</v>
      </c>
      <c r="I7536" t="s">
        <v>3183</v>
      </c>
      <c r="J7536" t="s">
        <v>6</v>
      </c>
      <c r="K7536" t="s">
        <v>664</v>
      </c>
      <c r="L7536" t="s">
        <v>3184</v>
      </c>
      <c r="M7536" t="s">
        <v>659</v>
      </c>
    </row>
    <row r="7537" spans="1:13">
      <c r="A7537" t="s">
        <v>851</v>
      </c>
      <c r="B7537" t="s">
        <v>686</v>
      </c>
      <c r="C7537" t="s">
        <v>686</v>
      </c>
      <c r="D7537" t="s">
        <v>3174</v>
      </c>
      <c r="E7537" t="s">
        <v>242</v>
      </c>
      <c r="F7537" t="s">
        <v>663</v>
      </c>
      <c r="G7537">
        <v>2050</v>
      </c>
      <c r="H7537" s="12">
        <v>596.01</v>
      </c>
      <c r="I7537" t="s">
        <v>3183</v>
      </c>
      <c r="J7537" t="s">
        <v>6</v>
      </c>
      <c r="K7537" t="s">
        <v>664</v>
      </c>
      <c r="L7537" t="s">
        <v>3184</v>
      </c>
      <c r="M7537" t="s">
        <v>659</v>
      </c>
    </row>
    <row r="7538" spans="1:13">
      <c r="A7538" t="s">
        <v>851</v>
      </c>
      <c r="B7538" t="s">
        <v>687</v>
      </c>
      <c r="C7538" t="s">
        <v>687</v>
      </c>
      <c r="D7538" t="s">
        <v>3174</v>
      </c>
      <c r="E7538" t="s">
        <v>242</v>
      </c>
      <c r="F7538" t="s">
        <v>663</v>
      </c>
      <c r="G7538">
        <v>2030</v>
      </c>
      <c r="H7538" s="12">
        <v>646.58000000000004</v>
      </c>
      <c r="I7538" t="s">
        <v>3183</v>
      </c>
      <c r="J7538" t="s">
        <v>6</v>
      </c>
      <c r="K7538" t="s">
        <v>664</v>
      </c>
      <c r="L7538" t="s">
        <v>3184</v>
      </c>
      <c r="M7538" t="s">
        <v>659</v>
      </c>
    </row>
    <row r="7539" spans="1:13">
      <c r="A7539" t="s">
        <v>851</v>
      </c>
      <c r="B7539" t="s">
        <v>687</v>
      </c>
      <c r="C7539" t="s">
        <v>687</v>
      </c>
      <c r="D7539" t="s">
        <v>3174</v>
      </c>
      <c r="E7539" t="s">
        <v>242</v>
      </c>
      <c r="F7539" t="s">
        <v>663</v>
      </c>
      <c r="G7539">
        <v>2035</v>
      </c>
      <c r="H7539" s="12">
        <v>476.86</v>
      </c>
      <c r="I7539" t="s">
        <v>3183</v>
      </c>
      <c r="J7539" t="s">
        <v>6</v>
      </c>
      <c r="K7539" t="s">
        <v>664</v>
      </c>
      <c r="L7539" t="s">
        <v>3184</v>
      </c>
      <c r="M7539" t="s">
        <v>659</v>
      </c>
    </row>
    <row r="7540" spans="1:13">
      <c r="A7540" t="s">
        <v>851</v>
      </c>
      <c r="B7540" t="s">
        <v>687</v>
      </c>
      <c r="C7540" t="s">
        <v>687</v>
      </c>
      <c r="D7540" t="s">
        <v>3174</v>
      </c>
      <c r="E7540" t="s">
        <v>242</v>
      </c>
      <c r="F7540" t="s">
        <v>663</v>
      </c>
      <c r="G7540">
        <v>2040</v>
      </c>
      <c r="H7540" s="12">
        <v>322.35000000000002</v>
      </c>
      <c r="I7540" t="s">
        <v>3183</v>
      </c>
      <c r="J7540" t="s">
        <v>6</v>
      </c>
      <c r="K7540" t="s">
        <v>664</v>
      </c>
      <c r="L7540" t="s">
        <v>3184</v>
      </c>
      <c r="M7540" t="s">
        <v>659</v>
      </c>
    </row>
    <row r="7541" spans="1:13">
      <c r="A7541" t="s">
        <v>851</v>
      </c>
      <c r="B7541" t="s">
        <v>687</v>
      </c>
      <c r="C7541" t="s">
        <v>687</v>
      </c>
      <c r="D7541" t="s">
        <v>3174</v>
      </c>
      <c r="E7541" t="s">
        <v>242</v>
      </c>
      <c r="F7541" t="s">
        <v>663</v>
      </c>
      <c r="G7541">
        <v>2045</v>
      </c>
      <c r="H7541" s="12">
        <v>189.47</v>
      </c>
      <c r="I7541" t="s">
        <v>3183</v>
      </c>
      <c r="J7541" t="s">
        <v>6</v>
      </c>
      <c r="K7541" t="s">
        <v>664</v>
      </c>
      <c r="L7541" t="s">
        <v>3184</v>
      </c>
      <c r="M7541" t="s">
        <v>659</v>
      </c>
    </row>
    <row r="7542" spans="1:13">
      <c r="A7542" t="s">
        <v>851</v>
      </c>
      <c r="B7542" t="s">
        <v>686</v>
      </c>
      <c r="C7542" t="s">
        <v>686</v>
      </c>
      <c r="D7542" t="s">
        <v>3174</v>
      </c>
      <c r="E7542" t="s">
        <v>242</v>
      </c>
      <c r="F7542" t="s">
        <v>663</v>
      </c>
      <c r="G7542">
        <v>2010</v>
      </c>
      <c r="H7542" s="12">
        <v>1857.82</v>
      </c>
      <c r="I7542" t="s">
        <v>3183</v>
      </c>
      <c r="J7542" t="s">
        <v>5</v>
      </c>
      <c r="K7542" t="s">
        <v>147</v>
      </c>
      <c r="L7542" t="s">
        <v>3184</v>
      </c>
      <c r="M7542" t="s">
        <v>5</v>
      </c>
    </row>
    <row r="7543" spans="1:13">
      <c r="A7543" t="s">
        <v>851</v>
      </c>
      <c r="B7543" t="s">
        <v>686</v>
      </c>
      <c r="C7543" t="s">
        <v>686</v>
      </c>
      <c r="D7543" t="s">
        <v>3174</v>
      </c>
      <c r="E7543" t="s">
        <v>242</v>
      </c>
      <c r="F7543" t="s">
        <v>663</v>
      </c>
      <c r="G7543">
        <v>2015</v>
      </c>
      <c r="H7543" s="12">
        <v>1370.58</v>
      </c>
      <c r="I7543" t="s">
        <v>3183</v>
      </c>
      <c r="J7543" t="s">
        <v>5</v>
      </c>
      <c r="K7543" t="s">
        <v>147</v>
      </c>
      <c r="L7543" t="s">
        <v>3184</v>
      </c>
      <c r="M7543" t="s">
        <v>5</v>
      </c>
    </row>
    <row r="7544" spans="1:13">
      <c r="A7544" t="s">
        <v>851</v>
      </c>
      <c r="B7544" t="s">
        <v>686</v>
      </c>
      <c r="C7544" t="s">
        <v>686</v>
      </c>
      <c r="D7544" t="s">
        <v>3174</v>
      </c>
      <c r="E7544" t="s">
        <v>242</v>
      </c>
      <c r="F7544" t="s">
        <v>663</v>
      </c>
      <c r="G7544">
        <v>2020</v>
      </c>
      <c r="H7544" s="12">
        <v>801.89</v>
      </c>
      <c r="I7544" t="s">
        <v>3183</v>
      </c>
      <c r="J7544" t="s">
        <v>5</v>
      </c>
      <c r="K7544" t="s">
        <v>147</v>
      </c>
      <c r="L7544" t="s">
        <v>3184</v>
      </c>
      <c r="M7544" t="s">
        <v>5</v>
      </c>
    </row>
    <row r="7545" spans="1:13">
      <c r="A7545" t="s">
        <v>851</v>
      </c>
      <c r="B7545" t="s">
        <v>686</v>
      </c>
      <c r="C7545" t="s">
        <v>686</v>
      </c>
      <c r="D7545" t="s">
        <v>3174</v>
      </c>
      <c r="E7545" t="s">
        <v>242</v>
      </c>
      <c r="F7545" t="s">
        <v>663</v>
      </c>
      <c r="G7545">
        <v>2030</v>
      </c>
      <c r="H7545" s="12">
        <v>179.61</v>
      </c>
      <c r="I7545" t="s">
        <v>3183</v>
      </c>
      <c r="J7545" t="s">
        <v>5</v>
      </c>
      <c r="K7545" t="s">
        <v>147</v>
      </c>
      <c r="L7545" t="s">
        <v>3184</v>
      </c>
      <c r="M7545" t="s">
        <v>5</v>
      </c>
    </row>
    <row r="7546" spans="1:13">
      <c r="A7546" t="s">
        <v>851</v>
      </c>
      <c r="B7546" t="s">
        <v>686</v>
      </c>
      <c r="C7546" t="s">
        <v>686</v>
      </c>
      <c r="D7546" t="s">
        <v>3174</v>
      </c>
      <c r="E7546" t="s">
        <v>242</v>
      </c>
      <c r="F7546" t="s">
        <v>663</v>
      </c>
      <c r="G7546">
        <v>2035</v>
      </c>
      <c r="H7546" s="12">
        <v>36.92</v>
      </c>
      <c r="I7546" t="s">
        <v>3183</v>
      </c>
      <c r="J7546" t="s">
        <v>5</v>
      </c>
      <c r="K7546" t="s">
        <v>147</v>
      </c>
      <c r="L7546" t="s">
        <v>3184</v>
      </c>
      <c r="M7546" t="s">
        <v>5</v>
      </c>
    </row>
    <row r="7547" spans="1:13">
      <c r="A7547" t="s">
        <v>851</v>
      </c>
      <c r="B7547" t="s">
        <v>686</v>
      </c>
      <c r="C7547" t="s">
        <v>686</v>
      </c>
      <c r="D7547" t="s">
        <v>3174</v>
      </c>
      <c r="E7547" t="s">
        <v>242</v>
      </c>
      <c r="F7547" t="s">
        <v>663</v>
      </c>
      <c r="G7547">
        <v>2040</v>
      </c>
      <c r="H7547" s="12">
        <v>18.89</v>
      </c>
      <c r="I7547" t="s">
        <v>3183</v>
      </c>
      <c r="J7547" t="s">
        <v>5</v>
      </c>
      <c r="K7547" t="s">
        <v>147</v>
      </c>
      <c r="L7547" t="s">
        <v>3184</v>
      </c>
      <c r="M7547" t="s">
        <v>5</v>
      </c>
    </row>
    <row r="7548" spans="1:13">
      <c r="A7548" t="s">
        <v>851</v>
      </c>
      <c r="B7548" t="s">
        <v>686</v>
      </c>
      <c r="C7548" t="s">
        <v>686</v>
      </c>
      <c r="D7548" t="s">
        <v>3174</v>
      </c>
      <c r="E7548" t="s">
        <v>242</v>
      </c>
      <c r="F7548" t="s">
        <v>663</v>
      </c>
      <c r="G7548">
        <v>2045</v>
      </c>
      <c r="H7548" s="12">
        <v>15.06</v>
      </c>
      <c r="I7548" t="s">
        <v>3183</v>
      </c>
      <c r="J7548" t="s">
        <v>5</v>
      </c>
      <c r="K7548" t="s">
        <v>147</v>
      </c>
      <c r="L7548" t="s">
        <v>3184</v>
      </c>
      <c r="M7548" t="s">
        <v>5</v>
      </c>
    </row>
    <row r="7549" spans="1:13">
      <c r="A7549" t="s">
        <v>851</v>
      </c>
      <c r="B7549" t="s">
        <v>686</v>
      </c>
      <c r="C7549" t="s">
        <v>686</v>
      </c>
      <c r="D7549" t="s">
        <v>3174</v>
      </c>
      <c r="E7549" t="s">
        <v>242</v>
      </c>
      <c r="F7549" t="s">
        <v>663</v>
      </c>
      <c r="G7549">
        <v>2050</v>
      </c>
      <c r="H7549" s="12">
        <v>14.49</v>
      </c>
      <c r="I7549" t="s">
        <v>3183</v>
      </c>
      <c r="J7549" t="s">
        <v>5</v>
      </c>
      <c r="K7549" t="s">
        <v>147</v>
      </c>
      <c r="L7549" t="s">
        <v>3184</v>
      </c>
      <c r="M7549" t="s">
        <v>5</v>
      </c>
    </row>
    <row r="7550" spans="1:13">
      <c r="A7550" t="s">
        <v>851</v>
      </c>
      <c r="B7550" t="s">
        <v>687</v>
      </c>
      <c r="C7550" t="s">
        <v>687</v>
      </c>
      <c r="D7550" t="s">
        <v>3174</v>
      </c>
      <c r="E7550" t="s">
        <v>242</v>
      </c>
      <c r="F7550" t="s">
        <v>663</v>
      </c>
      <c r="G7550">
        <v>2030</v>
      </c>
      <c r="H7550" s="12">
        <v>95.31</v>
      </c>
      <c r="I7550" t="s">
        <v>3183</v>
      </c>
      <c r="J7550" t="s">
        <v>5</v>
      </c>
      <c r="K7550" t="s">
        <v>147</v>
      </c>
      <c r="L7550" t="s">
        <v>3184</v>
      </c>
      <c r="M7550" t="s">
        <v>5</v>
      </c>
    </row>
    <row r="7551" spans="1:13">
      <c r="A7551" t="s">
        <v>851</v>
      </c>
      <c r="B7551" t="s">
        <v>687</v>
      </c>
      <c r="C7551" t="s">
        <v>687</v>
      </c>
      <c r="D7551" t="s">
        <v>3174</v>
      </c>
      <c r="E7551" t="s">
        <v>242</v>
      </c>
      <c r="F7551" t="s">
        <v>663</v>
      </c>
      <c r="G7551">
        <v>2035</v>
      </c>
      <c r="H7551" s="12">
        <v>1.7</v>
      </c>
      <c r="I7551" t="s">
        <v>3183</v>
      </c>
      <c r="J7551" t="s">
        <v>5</v>
      </c>
      <c r="K7551" t="s">
        <v>147</v>
      </c>
      <c r="L7551" t="s">
        <v>3184</v>
      </c>
      <c r="M7551" t="s">
        <v>5</v>
      </c>
    </row>
    <row r="7552" spans="1:13">
      <c r="A7552" t="s">
        <v>851</v>
      </c>
      <c r="B7552" t="s">
        <v>687</v>
      </c>
      <c r="C7552" t="s">
        <v>687</v>
      </c>
      <c r="D7552" t="s">
        <v>3174</v>
      </c>
      <c r="E7552" t="s">
        <v>242</v>
      </c>
      <c r="F7552" t="s">
        <v>663</v>
      </c>
      <c r="G7552">
        <v>2040</v>
      </c>
      <c r="H7552" s="12">
        <v>1.19</v>
      </c>
      <c r="I7552" t="s">
        <v>3183</v>
      </c>
      <c r="J7552" t="s">
        <v>5</v>
      </c>
      <c r="K7552" t="s">
        <v>147</v>
      </c>
      <c r="L7552" t="s">
        <v>3184</v>
      </c>
      <c r="M7552" t="s">
        <v>5</v>
      </c>
    </row>
    <row r="7553" spans="1:13">
      <c r="A7553" t="s">
        <v>851</v>
      </c>
      <c r="B7553" t="s">
        <v>687</v>
      </c>
      <c r="C7553" t="s">
        <v>687</v>
      </c>
      <c r="D7553" t="s">
        <v>3174</v>
      </c>
      <c r="E7553" t="s">
        <v>242</v>
      </c>
      <c r="F7553" t="s">
        <v>663</v>
      </c>
      <c r="G7553">
        <v>2045</v>
      </c>
      <c r="H7553" s="12">
        <v>1.19</v>
      </c>
      <c r="I7553" t="s">
        <v>3183</v>
      </c>
      <c r="J7553" t="s">
        <v>5</v>
      </c>
      <c r="K7553" t="s">
        <v>147</v>
      </c>
      <c r="L7553" t="s">
        <v>3184</v>
      </c>
      <c r="M7553" t="s">
        <v>5</v>
      </c>
    </row>
    <row r="7554" spans="1:13">
      <c r="A7554" t="s">
        <v>851</v>
      </c>
      <c r="B7554" t="s">
        <v>687</v>
      </c>
      <c r="C7554" t="s">
        <v>687</v>
      </c>
      <c r="D7554" t="s">
        <v>3174</v>
      </c>
      <c r="E7554" t="s">
        <v>242</v>
      </c>
      <c r="F7554" t="s">
        <v>663</v>
      </c>
      <c r="G7554">
        <v>2050</v>
      </c>
      <c r="H7554" s="12">
        <v>1.19</v>
      </c>
      <c r="I7554" t="s">
        <v>3183</v>
      </c>
      <c r="J7554" t="s">
        <v>5</v>
      </c>
      <c r="K7554" t="s">
        <v>147</v>
      </c>
      <c r="L7554" t="s">
        <v>3184</v>
      </c>
      <c r="M7554" t="s">
        <v>5</v>
      </c>
    </row>
    <row r="7555" spans="1:13">
      <c r="A7555" t="s">
        <v>851</v>
      </c>
      <c r="B7555" t="s">
        <v>686</v>
      </c>
      <c r="C7555" t="s">
        <v>686</v>
      </c>
      <c r="D7555" t="s">
        <v>3174</v>
      </c>
      <c r="E7555" t="s">
        <v>242</v>
      </c>
      <c r="F7555" t="s">
        <v>663</v>
      </c>
      <c r="G7555">
        <v>2010</v>
      </c>
      <c r="H7555" s="12">
        <v>36.54</v>
      </c>
      <c r="I7555" t="s">
        <v>3183</v>
      </c>
      <c r="J7555" t="s">
        <v>394</v>
      </c>
      <c r="K7555" t="s">
        <v>147</v>
      </c>
      <c r="L7555" t="s">
        <v>3184</v>
      </c>
      <c r="M7555" t="s">
        <v>16</v>
      </c>
    </row>
    <row r="7556" spans="1:13">
      <c r="A7556" t="s">
        <v>851</v>
      </c>
      <c r="B7556" t="s">
        <v>686</v>
      </c>
      <c r="C7556" t="s">
        <v>686</v>
      </c>
      <c r="D7556" t="s">
        <v>3174</v>
      </c>
      <c r="E7556" t="s">
        <v>242</v>
      </c>
      <c r="F7556" t="s">
        <v>663</v>
      </c>
      <c r="G7556">
        <v>2015</v>
      </c>
      <c r="H7556" s="12">
        <v>29.13</v>
      </c>
      <c r="I7556" t="s">
        <v>3183</v>
      </c>
      <c r="J7556" t="s">
        <v>394</v>
      </c>
      <c r="K7556" t="s">
        <v>147</v>
      </c>
      <c r="L7556" t="s">
        <v>3184</v>
      </c>
      <c r="M7556" t="s">
        <v>16</v>
      </c>
    </row>
    <row r="7557" spans="1:13">
      <c r="A7557" t="s">
        <v>851</v>
      </c>
      <c r="B7557" t="s">
        <v>686</v>
      </c>
      <c r="C7557" t="s">
        <v>686</v>
      </c>
      <c r="D7557" t="s">
        <v>3174</v>
      </c>
      <c r="E7557" t="s">
        <v>242</v>
      </c>
      <c r="F7557" t="s">
        <v>663</v>
      </c>
      <c r="G7557">
        <v>2020</v>
      </c>
      <c r="H7557" s="12">
        <v>28.09</v>
      </c>
      <c r="I7557" t="s">
        <v>3183</v>
      </c>
      <c r="J7557" t="s">
        <v>394</v>
      </c>
      <c r="K7557" t="s">
        <v>147</v>
      </c>
      <c r="L7557" t="s">
        <v>3184</v>
      </c>
      <c r="M7557" t="s">
        <v>16</v>
      </c>
    </row>
    <row r="7558" spans="1:13">
      <c r="A7558" t="s">
        <v>851</v>
      </c>
      <c r="B7558" t="s">
        <v>686</v>
      </c>
      <c r="C7558" t="s">
        <v>686</v>
      </c>
      <c r="D7558" t="s">
        <v>3174</v>
      </c>
      <c r="E7558" t="s">
        <v>242</v>
      </c>
      <c r="F7558" t="s">
        <v>663</v>
      </c>
      <c r="G7558">
        <v>2030</v>
      </c>
      <c r="H7558" s="12">
        <v>11.82</v>
      </c>
      <c r="I7558" t="s">
        <v>3183</v>
      </c>
      <c r="J7558" t="s">
        <v>394</v>
      </c>
      <c r="K7558" t="s">
        <v>147</v>
      </c>
      <c r="L7558" t="s">
        <v>3184</v>
      </c>
      <c r="M7558" t="s">
        <v>16</v>
      </c>
    </row>
    <row r="7559" spans="1:13">
      <c r="A7559" t="s">
        <v>851</v>
      </c>
      <c r="B7559" t="s">
        <v>686</v>
      </c>
      <c r="C7559" t="s">
        <v>686</v>
      </c>
      <c r="D7559" t="s">
        <v>3174</v>
      </c>
      <c r="E7559" t="s">
        <v>242</v>
      </c>
      <c r="F7559" t="s">
        <v>663</v>
      </c>
      <c r="G7559">
        <v>2035</v>
      </c>
      <c r="H7559" s="12">
        <v>8.35</v>
      </c>
      <c r="I7559" t="s">
        <v>3183</v>
      </c>
      <c r="J7559" t="s">
        <v>394</v>
      </c>
      <c r="K7559" t="s">
        <v>147</v>
      </c>
      <c r="L7559" t="s">
        <v>3184</v>
      </c>
      <c r="M7559" t="s">
        <v>16</v>
      </c>
    </row>
    <row r="7560" spans="1:13">
      <c r="A7560" t="s">
        <v>851</v>
      </c>
      <c r="B7560" t="s">
        <v>686</v>
      </c>
      <c r="C7560" t="s">
        <v>686</v>
      </c>
      <c r="D7560" t="s">
        <v>3174</v>
      </c>
      <c r="E7560" t="s">
        <v>242</v>
      </c>
      <c r="F7560" t="s">
        <v>663</v>
      </c>
      <c r="G7560">
        <v>2035</v>
      </c>
      <c r="H7560" s="12">
        <v>421.64</v>
      </c>
      <c r="I7560" t="s">
        <v>3183</v>
      </c>
      <c r="J7560" t="s">
        <v>6</v>
      </c>
      <c r="K7560" t="s">
        <v>147</v>
      </c>
      <c r="L7560" t="s">
        <v>3184</v>
      </c>
      <c r="M7560" t="s">
        <v>659</v>
      </c>
    </row>
    <row r="7561" spans="1:13">
      <c r="A7561" t="s">
        <v>851</v>
      </c>
      <c r="B7561" t="s">
        <v>686</v>
      </c>
      <c r="C7561" t="s">
        <v>686</v>
      </c>
      <c r="D7561" t="s">
        <v>3174</v>
      </c>
      <c r="E7561" t="s">
        <v>242</v>
      </c>
      <c r="F7561" t="s">
        <v>663</v>
      </c>
      <c r="G7561">
        <v>2040</v>
      </c>
      <c r="H7561" s="12">
        <v>327.58</v>
      </c>
      <c r="I7561" t="s">
        <v>3183</v>
      </c>
      <c r="J7561" t="s">
        <v>6</v>
      </c>
      <c r="K7561" t="s">
        <v>147</v>
      </c>
      <c r="L7561" t="s">
        <v>3184</v>
      </c>
      <c r="M7561" t="s">
        <v>659</v>
      </c>
    </row>
    <row r="7562" spans="1:13">
      <c r="A7562" t="s">
        <v>851</v>
      </c>
      <c r="B7562" t="s">
        <v>686</v>
      </c>
      <c r="C7562" t="s">
        <v>686</v>
      </c>
      <c r="D7562" t="s">
        <v>3174</v>
      </c>
      <c r="E7562" t="s">
        <v>242</v>
      </c>
      <c r="F7562" t="s">
        <v>663</v>
      </c>
      <c r="G7562">
        <v>2045</v>
      </c>
      <c r="H7562" s="12">
        <v>261.70999999999998</v>
      </c>
      <c r="I7562" t="s">
        <v>3183</v>
      </c>
      <c r="J7562" t="s">
        <v>6</v>
      </c>
      <c r="K7562" t="s">
        <v>147</v>
      </c>
      <c r="L7562" t="s">
        <v>3184</v>
      </c>
      <c r="M7562" t="s">
        <v>659</v>
      </c>
    </row>
    <row r="7563" spans="1:13">
      <c r="A7563" t="s">
        <v>851</v>
      </c>
      <c r="B7563" t="s">
        <v>686</v>
      </c>
      <c r="C7563" t="s">
        <v>686</v>
      </c>
      <c r="D7563" t="s">
        <v>3174</v>
      </c>
      <c r="E7563" t="s">
        <v>242</v>
      </c>
      <c r="F7563" t="s">
        <v>663</v>
      </c>
      <c r="G7563">
        <v>2050</v>
      </c>
      <c r="H7563" s="12">
        <v>214.5</v>
      </c>
      <c r="I7563" t="s">
        <v>3183</v>
      </c>
      <c r="J7563" t="s">
        <v>6</v>
      </c>
      <c r="K7563" t="s">
        <v>147</v>
      </c>
      <c r="L7563" t="s">
        <v>3184</v>
      </c>
      <c r="M7563" t="s">
        <v>659</v>
      </c>
    </row>
    <row r="7564" spans="1:13">
      <c r="A7564" t="s">
        <v>851</v>
      </c>
      <c r="B7564" t="s">
        <v>687</v>
      </c>
      <c r="C7564" t="s">
        <v>687</v>
      </c>
      <c r="D7564" t="s">
        <v>3174</v>
      </c>
      <c r="E7564" t="s">
        <v>242</v>
      </c>
      <c r="F7564" t="s">
        <v>663</v>
      </c>
      <c r="G7564">
        <v>2030</v>
      </c>
      <c r="H7564" s="12">
        <v>463.8</v>
      </c>
      <c r="I7564" t="s">
        <v>3183</v>
      </c>
      <c r="J7564" t="s">
        <v>6</v>
      </c>
      <c r="K7564" t="s">
        <v>147</v>
      </c>
      <c r="L7564" t="s">
        <v>3184</v>
      </c>
      <c r="M7564" t="s">
        <v>659</v>
      </c>
    </row>
    <row r="7565" spans="1:13">
      <c r="A7565" t="s">
        <v>851</v>
      </c>
      <c r="B7565" t="s">
        <v>687</v>
      </c>
      <c r="C7565" t="s">
        <v>687</v>
      </c>
      <c r="D7565" t="s">
        <v>3174</v>
      </c>
      <c r="E7565" t="s">
        <v>242</v>
      </c>
      <c r="F7565" t="s">
        <v>663</v>
      </c>
      <c r="G7565">
        <v>2035</v>
      </c>
      <c r="H7565" s="12">
        <v>181.47</v>
      </c>
      <c r="I7565" t="s">
        <v>3183</v>
      </c>
      <c r="J7565" t="s">
        <v>6</v>
      </c>
      <c r="K7565" t="s">
        <v>147</v>
      </c>
      <c r="L7565" t="s">
        <v>3184</v>
      </c>
      <c r="M7565" t="s">
        <v>659</v>
      </c>
    </row>
    <row r="7566" spans="1:13">
      <c r="A7566" t="s">
        <v>851</v>
      </c>
      <c r="B7566" t="s">
        <v>687</v>
      </c>
      <c r="C7566" t="s">
        <v>687</v>
      </c>
      <c r="D7566" t="s">
        <v>3174</v>
      </c>
      <c r="E7566" t="s">
        <v>242</v>
      </c>
      <c r="F7566" t="s">
        <v>663</v>
      </c>
      <c r="G7566">
        <v>2040</v>
      </c>
      <c r="H7566" s="12">
        <v>94.36</v>
      </c>
      <c r="I7566" t="s">
        <v>3183</v>
      </c>
      <c r="J7566" t="s">
        <v>6</v>
      </c>
      <c r="K7566" t="s">
        <v>147</v>
      </c>
      <c r="L7566" t="s">
        <v>3184</v>
      </c>
      <c r="M7566" t="s">
        <v>659</v>
      </c>
    </row>
    <row r="7567" spans="1:13">
      <c r="A7567" t="s">
        <v>851</v>
      </c>
      <c r="B7567" t="s">
        <v>687</v>
      </c>
      <c r="C7567" t="s">
        <v>687</v>
      </c>
      <c r="D7567" t="s">
        <v>3174</v>
      </c>
      <c r="E7567" t="s">
        <v>242</v>
      </c>
      <c r="F7567" t="s">
        <v>663</v>
      </c>
      <c r="G7567">
        <v>2045</v>
      </c>
      <c r="H7567" s="12">
        <v>70.52</v>
      </c>
      <c r="I7567" t="s">
        <v>3183</v>
      </c>
      <c r="J7567" t="s">
        <v>6</v>
      </c>
      <c r="K7567" t="s">
        <v>147</v>
      </c>
      <c r="L7567" t="s">
        <v>3184</v>
      </c>
      <c r="M7567" t="s">
        <v>659</v>
      </c>
    </row>
    <row r="7568" spans="1:13">
      <c r="A7568" t="s">
        <v>851</v>
      </c>
      <c r="B7568" t="s">
        <v>687</v>
      </c>
      <c r="C7568" t="s">
        <v>687</v>
      </c>
      <c r="D7568" t="s">
        <v>3174</v>
      </c>
      <c r="E7568" t="s">
        <v>242</v>
      </c>
      <c r="F7568" t="s">
        <v>663</v>
      </c>
      <c r="G7568">
        <v>2050</v>
      </c>
      <c r="H7568" s="12">
        <v>48.72</v>
      </c>
      <c r="I7568" t="s">
        <v>3183</v>
      </c>
      <c r="J7568" t="s">
        <v>6</v>
      </c>
      <c r="K7568" t="s">
        <v>147</v>
      </c>
      <c r="L7568" t="s">
        <v>3184</v>
      </c>
      <c r="M7568" t="s">
        <v>659</v>
      </c>
    </row>
    <row r="7569" spans="1:13">
      <c r="A7569" t="s">
        <v>851</v>
      </c>
      <c r="B7569" t="s">
        <v>687</v>
      </c>
      <c r="C7569" t="s">
        <v>687</v>
      </c>
      <c r="D7569" t="s">
        <v>3174</v>
      </c>
      <c r="E7569" t="s">
        <v>656</v>
      </c>
      <c r="F7569" t="s">
        <v>31</v>
      </c>
      <c r="G7569">
        <v>2045</v>
      </c>
      <c r="H7569" s="12">
        <v>6.47</v>
      </c>
      <c r="I7569" t="s">
        <v>3183</v>
      </c>
      <c r="J7569" t="s">
        <v>5</v>
      </c>
      <c r="K7569" t="s">
        <v>147</v>
      </c>
      <c r="L7569" t="s">
        <v>3184</v>
      </c>
      <c r="M7569" t="s">
        <v>665</v>
      </c>
    </row>
    <row r="7570" spans="1:13">
      <c r="A7570" t="s">
        <v>851</v>
      </c>
      <c r="B7570" t="s">
        <v>687</v>
      </c>
      <c r="C7570" t="s">
        <v>687</v>
      </c>
      <c r="D7570" t="s">
        <v>3174</v>
      </c>
      <c r="E7570" t="s">
        <v>656</v>
      </c>
      <c r="F7570" t="s">
        <v>31</v>
      </c>
      <c r="G7570">
        <v>2050</v>
      </c>
      <c r="H7570" s="12">
        <v>4.91</v>
      </c>
      <c r="I7570" t="s">
        <v>3183</v>
      </c>
      <c r="J7570" t="s">
        <v>5</v>
      </c>
      <c r="K7570" t="s">
        <v>147</v>
      </c>
      <c r="L7570" t="s">
        <v>3184</v>
      </c>
      <c r="M7570" t="s">
        <v>665</v>
      </c>
    </row>
    <row r="7571" spans="1:13">
      <c r="A7571" t="s">
        <v>851</v>
      </c>
      <c r="B7571" t="s">
        <v>686</v>
      </c>
      <c r="C7571" t="s">
        <v>686</v>
      </c>
      <c r="D7571" t="s">
        <v>3174</v>
      </c>
      <c r="E7571" t="s">
        <v>656</v>
      </c>
      <c r="F7571" t="s">
        <v>31</v>
      </c>
      <c r="G7571">
        <v>2010</v>
      </c>
      <c r="H7571" s="12">
        <v>455.1</v>
      </c>
      <c r="I7571" t="s">
        <v>3183</v>
      </c>
      <c r="J7571" t="s">
        <v>6</v>
      </c>
      <c r="K7571" t="s">
        <v>147</v>
      </c>
      <c r="L7571" t="s">
        <v>3184</v>
      </c>
      <c r="M7571" t="s">
        <v>666</v>
      </c>
    </row>
    <row r="7572" spans="1:13">
      <c r="A7572" t="s">
        <v>851</v>
      </c>
      <c r="B7572" t="s">
        <v>686</v>
      </c>
      <c r="C7572" t="s">
        <v>686</v>
      </c>
      <c r="D7572" t="s">
        <v>3174</v>
      </c>
      <c r="E7572" t="s">
        <v>656</v>
      </c>
      <c r="F7572" t="s">
        <v>31</v>
      </c>
      <c r="G7572">
        <v>2015</v>
      </c>
      <c r="H7572" s="12">
        <v>473.05</v>
      </c>
      <c r="I7572" t="s">
        <v>3183</v>
      </c>
      <c r="J7572" t="s">
        <v>6</v>
      </c>
      <c r="K7572" t="s">
        <v>147</v>
      </c>
      <c r="L7572" t="s">
        <v>3184</v>
      </c>
      <c r="M7572" t="s">
        <v>666</v>
      </c>
    </row>
    <row r="7573" spans="1:13">
      <c r="A7573" t="s">
        <v>851</v>
      </c>
      <c r="B7573" t="s">
        <v>686</v>
      </c>
      <c r="C7573" t="s">
        <v>686</v>
      </c>
      <c r="D7573" t="s">
        <v>3174</v>
      </c>
      <c r="E7573" t="s">
        <v>656</v>
      </c>
      <c r="F7573" t="s">
        <v>31</v>
      </c>
      <c r="G7573">
        <v>2020</v>
      </c>
      <c r="H7573" s="12">
        <v>501.62</v>
      </c>
      <c r="I7573" t="s">
        <v>3183</v>
      </c>
      <c r="J7573" t="s">
        <v>6</v>
      </c>
      <c r="K7573" t="s">
        <v>147</v>
      </c>
      <c r="L7573" t="s">
        <v>3184</v>
      </c>
      <c r="M7573" t="s">
        <v>666</v>
      </c>
    </row>
    <row r="7574" spans="1:13">
      <c r="A7574" t="s">
        <v>851</v>
      </c>
      <c r="B7574" t="s">
        <v>686</v>
      </c>
      <c r="C7574" t="s">
        <v>686</v>
      </c>
      <c r="D7574" t="s">
        <v>3174</v>
      </c>
      <c r="E7574" t="s">
        <v>656</v>
      </c>
      <c r="F7574" t="s">
        <v>31</v>
      </c>
      <c r="G7574">
        <v>2030</v>
      </c>
      <c r="H7574" s="12">
        <v>485.66</v>
      </c>
      <c r="I7574" t="s">
        <v>3183</v>
      </c>
      <c r="J7574" t="s">
        <v>6</v>
      </c>
      <c r="K7574" t="s">
        <v>147</v>
      </c>
      <c r="L7574" t="s">
        <v>3184</v>
      </c>
      <c r="M7574" t="s">
        <v>666</v>
      </c>
    </row>
    <row r="7575" spans="1:13">
      <c r="A7575" t="s">
        <v>851</v>
      </c>
      <c r="B7575" t="s">
        <v>686</v>
      </c>
      <c r="C7575" t="s">
        <v>686</v>
      </c>
      <c r="D7575" t="s">
        <v>3174</v>
      </c>
      <c r="E7575" t="s">
        <v>656</v>
      </c>
      <c r="F7575" t="s">
        <v>31</v>
      </c>
      <c r="G7575">
        <v>2035</v>
      </c>
      <c r="H7575" s="12">
        <v>464.02</v>
      </c>
      <c r="I7575" t="s">
        <v>3183</v>
      </c>
      <c r="J7575" t="s">
        <v>6</v>
      </c>
      <c r="K7575" t="s">
        <v>147</v>
      </c>
      <c r="L7575" t="s">
        <v>3184</v>
      </c>
      <c r="M7575" t="s">
        <v>666</v>
      </c>
    </row>
    <row r="7576" spans="1:13">
      <c r="A7576" t="s">
        <v>851</v>
      </c>
      <c r="B7576" t="s">
        <v>686</v>
      </c>
      <c r="C7576" t="s">
        <v>686</v>
      </c>
      <c r="D7576" t="s">
        <v>3174</v>
      </c>
      <c r="E7576" t="s">
        <v>656</v>
      </c>
      <c r="F7576" t="s">
        <v>31</v>
      </c>
      <c r="G7576">
        <v>2040</v>
      </c>
      <c r="H7576" s="12">
        <v>445.69</v>
      </c>
      <c r="I7576" t="s">
        <v>3183</v>
      </c>
      <c r="J7576" t="s">
        <v>6</v>
      </c>
      <c r="K7576" t="s">
        <v>147</v>
      </c>
      <c r="L7576" t="s">
        <v>3184</v>
      </c>
      <c r="M7576" t="s">
        <v>666</v>
      </c>
    </row>
    <row r="7577" spans="1:13">
      <c r="A7577" t="s">
        <v>851</v>
      </c>
      <c r="B7577" t="s">
        <v>686</v>
      </c>
      <c r="C7577" t="s">
        <v>686</v>
      </c>
      <c r="D7577" t="s">
        <v>3174</v>
      </c>
      <c r="E7577" t="s">
        <v>656</v>
      </c>
      <c r="F7577" t="s">
        <v>31</v>
      </c>
      <c r="G7577">
        <v>2045</v>
      </c>
      <c r="H7577" s="12">
        <v>422.79</v>
      </c>
      <c r="I7577" t="s">
        <v>3183</v>
      </c>
      <c r="J7577" t="s">
        <v>6</v>
      </c>
      <c r="K7577" t="s">
        <v>147</v>
      </c>
      <c r="L7577" t="s">
        <v>3184</v>
      </c>
      <c r="M7577" t="s">
        <v>666</v>
      </c>
    </row>
    <row r="7578" spans="1:13">
      <c r="A7578" t="s">
        <v>851</v>
      </c>
      <c r="B7578" t="s">
        <v>686</v>
      </c>
      <c r="C7578" t="s">
        <v>686</v>
      </c>
      <c r="D7578" t="s">
        <v>3174</v>
      </c>
      <c r="E7578" t="s">
        <v>656</v>
      </c>
      <c r="F7578" t="s">
        <v>31</v>
      </c>
      <c r="G7578">
        <v>2050</v>
      </c>
      <c r="H7578" s="12">
        <v>412.19</v>
      </c>
      <c r="I7578" t="s">
        <v>3183</v>
      </c>
      <c r="J7578" t="s">
        <v>6</v>
      </c>
      <c r="K7578" t="s">
        <v>147</v>
      </c>
      <c r="L7578" t="s">
        <v>3184</v>
      </c>
      <c r="M7578" t="s">
        <v>666</v>
      </c>
    </row>
    <row r="7579" spans="1:13">
      <c r="A7579" t="s">
        <v>851</v>
      </c>
      <c r="B7579" t="s">
        <v>687</v>
      </c>
      <c r="C7579" t="s">
        <v>687</v>
      </c>
      <c r="D7579" t="s">
        <v>3174</v>
      </c>
      <c r="E7579" t="s">
        <v>656</v>
      </c>
      <c r="F7579" t="s">
        <v>31</v>
      </c>
      <c r="G7579">
        <v>2030</v>
      </c>
      <c r="H7579" s="12">
        <v>454.17</v>
      </c>
      <c r="I7579" t="s">
        <v>3183</v>
      </c>
      <c r="J7579" t="s">
        <v>6</v>
      </c>
      <c r="K7579" t="s">
        <v>147</v>
      </c>
      <c r="L7579" t="s">
        <v>3184</v>
      </c>
      <c r="M7579" t="s">
        <v>666</v>
      </c>
    </row>
    <row r="7580" spans="1:13">
      <c r="A7580" t="s">
        <v>851</v>
      </c>
      <c r="B7580" t="s">
        <v>687</v>
      </c>
      <c r="C7580" t="s">
        <v>687</v>
      </c>
      <c r="D7580" t="s">
        <v>3174</v>
      </c>
      <c r="E7580" t="s">
        <v>656</v>
      </c>
      <c r="F7580" t="s">
        <v>31</v>
      </c>
      <c r="G7580">
        <v>2035</v>
      </c>
      <c r="H7580" s="12">
        <v>351.34</v>
      </c>
      <c r="I7580" t="s">
        <v>3183</v>
      </c>
      <c r="J7580" t="s">
        <v>6</v>
      </c>
      <c r="K7580" t="s">
        <v>147</v>
      </c>
      <c r="L7580" t="s">
        <v>3184</v>
      </c>
      <c r="M7580" t="s">
        <v>666</v>
      </c>
    </row>
    <row r="7581" spans="1:13">
      <c r="A7581" t="s">
        <v>851</v>
      </c>
      <c r="B7581" t="s">
        <v>687</v>
      </c>
      <c r="C7581" t="s">
        <v>687</v>
      </c>
      <c r="D7581" t="s">
        <v>3174</v>
      </c>
      <c r="E7581" t="s">
        <v>656</v>
      </c>
      <c r="F7581" t="s">
        <v>31</v>
      </c>
      <c r="G7581">
        <v>2040</v>
      </c>
      <c r="H7581" s="12">
        <v>282.67</v>
      </c>
      <c r="I7581" t="s">
        <v>3183</v>
      </c>
      <c r="J7581" t="s">
        <v>6</v>
      </c>
      <c r="K7581" t="s">
        <v>147</v>
      </c>
      <c r="L7581" t="s">
        <v>3184</v>
      </c>
      <c r="M7581" t="s">
        <v>666</v>
      </c>
    </row>
    <row r="7582" spans="1:13">
      <c r="A7582" t="s">
        <v>851</v>
      </c>
      <c r="B7582" t="s">
        <v>687</v>
      </c>
      <c r="C7582" t="s">
        <v>687</v>
      </c>
      <c r="D7582" t="s">
        <v>3174</v>
      </c>
      <c r="E7582" t="s">
        <v>656</v>
      </c>
      <c r="F7582" t="s">
        <v>31</v>
      </c>
      <c r="G7582">
        <v>2045</v>
      </c>
      <c r="H7582" s="12">
        <v>236.88</v>
      </c>
      <c r="I7582" t="s">
        <v>3183</v>
      </c>
      <c r="J7582" t="s">
        <v>6</v>
      </c>
      <c r="K7582" t="s">
        <v>147</v>
      </c>
      <c r="L7582" t="s">
        <v>3184</v>
      </c>
      <c r="M7582" t="s">
        <v>666</v>
      </c>
    </row>
    <row r="7583" spans="1:13">
      <c r="A7583" t="s">
        <v>851</v>
      </c>
      <c r="B7583" t="s">
        <v>687</v>
      </c>
      <c r="C7583" t="s">
        <v>687</v>
      </c>
      <c r="D7583" t="s">
        <v>3174</v>
      </c>
      <c r="E7583" t="s">
        <v>656</v>
      </c>
      <c r="F7583" t="s">
        <v>31</v>
      </c>
      <c r="G7583">
        <v>2050</v>
      </c>
      <c r="H7583" s="12">
        <v>166.35</v>
      </c>
      <c r="I7583" t="s">
        <v>3183</v>
      </c>
      <c r="J7583" t="s">
        <v>6</v>
      </c>
      <c r="K7583" t="s">
        <v>147</v>
      </c>
      <c r="L7583" t="s">
        <v>3184</v>
      </c>
      <c r="M7583" t="s">
        <v>666</v>
      </c>
    </row>
    <row r="7584" spans="1:13">
      <c r="A7584" t="s">
        <v>851</v>
      </c>
      <c r="B7584" t="s">
        <v>686</v>
      </c>
      <c r="C7584" t="s">
        <v>686</v>
      </c>
      <c r="D7584" t="s">
        <v>3174</v>
      </c>
      <c r="E7584" t="s">
        <v>656</v>
      </c>
      <c r="F7584" t="s">
        <v>31</v>
      </c>
      <c r="G7584">
        <v>2010</v>
      </c>
      <c r="H7584" s="12">
        <v>66.12</v>
      </c>
      <c r="I7584" t="s">
        <v>3183</v>
      </c>
      <c r="J7584" t="s">
        <v>394</v>
      </c>
      <c r="K7584" t="s">
        <v>147</v>
      </c>
      <c r="L7584" t="s">
        <v>3184</v>
      </c>
      <c r="M7584" t="s">
        <v>16</v>
      </c>
    </row>
    <row r="7585" spans="1:13">
      <c r="A7585" t="s">
        <v>851</v>
      </c>
      <c r="B7585" t="s">
        <v>686</v>
      </c>
      <c r="C7585" t="s">
        <v>686</v>
      </c>
      <c r="D7585" t="s">
        <v>3174</v>
      </c>
      <c r="E7585" t="s">
        <v>656</v>
      </c>
      <c r="F7585" t="s">
        <v>31</v>
      </c>
      <c r="G7585">
        <v>2015</v>
      </c>
      <c r="H7585" s="12">
        <v>58.63</v>
      </c>
      <c r="I7585" t="s">
        <v>3183</v>
      </c>
      <c r="J7585" t="s">
        <v>394</v>
      </c>
      <c r="K7585" t="s">
        <v>147</v>
      </c>
      <c r="L7585" t="s">
        <v>3184</v>
      </c>
      <c r="M7585" t="s">
        <v>16</v>
      </c>
    </row>
    <row r="7586" spans="1:13">
      <c r="A7586" t="s">
        <v>851</v>
      </c>
      <c r="B7586" t="s">
        <v>686</v>
      </c>
      <c r="C7586" t="s">
        <v>686</v>
      </c>
      <c r="D7586" t="s">
        <v>3174</v>
      </c>
      <c r="E7586" t="s">
        <v>656</v>
      </c>
      <c r="F7586" t="s">
        <v>31</v>
      </c>
      <c r="G7586">
        <v>2020</v>
      </c>
      <c r="H7586" s="12">
        <v>56.47</v>
      </c>
      <c r="I7586" t="s">
        <v>3183</v>
      </c>
      <c r="J7586" t="s">
        <v>394</v>
      </c>
      <c r="K7586" t="s">
        <v>147</v>
      </c>
      <c r="L7586" t="s">
        <v>3184</v>
      </c>
      <c r="M7586" t="s">
        <v>16</v>
      </c>
    </row>
    <row r="7587" spans="1:13">
      <c r="A7587" t="s">
        <v>851</v>
      </c>
      <c r="B7587" t="s">
        <v>686</v>
      </c>
      <c r="C7587" t="s">
        <v>686</v>
      </c>
      <c r="D7587" t="s">
        <v>3174</v>
      </c>
      <c r="E7587" t="s">
        <v>656</v>
      </c>
      <c r="F7587" t="s">
        <v>31</v>
      </c>
      <c r="G7587">
        <v>2030</v>
      </c>
      <c r="H7587" s="12">
        <v>24.24</v>
      </c>
      <c r="I7587" t="s">
        <v>3183</v>
      </c>
      <c r="J7587" t="s">
        <v>394</v>
      </c>
      <c r="K7587" t="s">
        <v>147</v>
      </c>
      <c r="L7587" t="s">
        <v>3184</v>
      </c>
      <c r="M7587" t="s">
        <v>16</v>
      </c>
    </row>
    <row r="7588" spans="1:13">
      <c r="A7588" t="s">
        <v>851</v>
      </c>
      <c r="B7588" t="s">
        <v>686</v>
      </c>
      <c r="C7588" t="s">
        <v>686</v>
      </c>
      <c r="D7588" t="s">
        <v>3174</v>
      </c>
      <c r="E7588" t="s">
        <v>656</v>
      </c>
      <c r="F7588" t="s">
        <v>31</v>
      </c>
      <c r="G7588">
        <v>2035</v>
      </c>
      <c r="H7588" s="12">
        <v>18.010000000000002</v>
      </c>
      <c r="I7588" t="s">
        <v>3183</v>
      </c>
      <c r="J7588" t="s">
        <v>394</v>
      </c>
      <c r="K7588" t="s">
        <v>147</v>
      </c>
      <c r="L7588" t="s">
        <v>3184</v>
      </c>
      <c r="M7588" t="s">
        <v>16</v>
      </c>
    </row>
    <row r="7589" spans="1:13">
      <c r="A7589" t="s">
        <v>851</v>
      </c>
      <c r="B7589" t="s">
        <v>686</v>
      </c>
      <c r="C7589" t="s">
        <v>686</v>
      </c>
      <c r="D7589" t="s">
        <v>3174</v>
      </c>
      <c r="E7589" t="s">
        <v>656</v>
      </c>
      <c r="F7589" t="s">
        <v>31</v>
      </c>
      <c r="G7589">
        <v>2040</v>
      </c>
      <c r="H7589" s="12">
        <v>11.02</v>
      </c>
      <c r="I7589" t="s">
        <v>3183</v>
      </c>
      <c r="J7589" t="s">
        <v>394</v>
      </c>
      <c r="K7589" t="s">
        <v>147</v>
      </c>
      <c r="L7589" t="s">
        <v>3184</v>
      </c>
      <c r="M7589" t="s">
        <v>16</v>
      </c>
    </row>
    <row r="7590" spans="1:13">
      <c r="A7590" t="s">
        <v>851</v>
      </c>
      <c r="B7590" t="s">
        <v>686</v>
      </c>
      <c r="C7590" t="s">
        <v>686</v>
      </c>
      <c r="D7590" t="s">
        <v>3174</v>
      </c>
      <c r="E7590" t="s">
        <v>656</v>
      </c>
      <c r="F7590" t="s">
        <v>31</v>
      </c>
      <c r="G7590">
        <v>2045</v>
      </c>
      <c r="H7590" s="12">
        <v>10.45</v>
      </c>
      <c r="I7590" t="s">
        <v>3183</v>
      </c>
      <c r="J7590" t="s">
        <v>394</v>
      </c>
      <c r="K7590" t="s">
        <v>147</v>
      </c>
      <c r="L7590" t="s">
        <v>3184</v>
      </c>
      <c r="M7590" t="s">
        <v>16</v>
      </c>
    </row>
    <row r="7591" spans="1:13">
      <c r="A7591" t="s">
        <v>851</v>
      </c>
      <c r="B7591" t="s">
        <v>686</v>
      </c>
      <c r="C7591" t="s">
        <v>686</v>
      </c>
      <c r="D7591" t="s">
        <v>3174</v>
      </c>
      <c r="E7591" t="s">
        <v>656</v>
      </c>
      <c r="F7591" t="s">
        <v>31</v>
      </c>
      <c r="G7591">
        <v>2050</v>
      </c>
      <c r="H7591" s="12">
        <v>9.6</v>
      </c>
      <c r="I7591" t="s">
        <v>3183</v>
      </c>
      <c r="J7591" t="s">
        <v>394</v>
      </c>
      <c r="K7591" t="s">
        <v>147</v>
      </c>
      <c r="L7591" t="s">
        <v>3184</v>
      </c>
      <c r="M7591" t="s">
        <v>16</v>
      </c>
    </row>
    <row r="7592" spans="1:13">
      <c r="A7592" t="s">
        <v>851</v>
      </c>
      <c r="B7592" t="s">
        <v>687</v>
      </c>
      <c r="C7592" t="s">
        <v>687</v>
      </c>
      <c r="D7592" t="s">
        <v>3174</v>
      </c>
      <c r="E7592" t="s">
        <v>656</v>
      </c>
      <c r="F7592" t="s">
        <v>31</v>
      </c>
      <c r="G7592">
        <v>2030</v>
      </c>
      <c r="H7592" s="12">
        <v>25.33</v>
      </c>
      <c r="I7592" t="s">
        <v>3183</v>
      </c>
      <c r="J7592" t="s">
        <v>394</v>
      </c>
      <c r="K7592" t="s">
        <v>147</v>
      </c>
      <c r="L7592" t="s">
        <v>3184</v>
      </c>
      <c r="M7592" t="s">
        <v>16</v>
      </c>
    </row>
    <row r="7593" spans="1:13">
      <c r="A7593" t="s">
        <v>851</v>
      </c>
      <c r="B7593" t="s">
        <v>687</v>
      </c>
      <c r="C7593" t="s">
        <v>687</v>
      </c>
      <c r="D7593" t="s">
        <v>3174</v>
      </c>
      <c r="E7593" t="s">
        <v>656</v>
      </c>
      <c r="F7593" t="s">
        <v>31</v>
      </c>
      <c r="G7593">
        <v>2035</v>
      </c>
      <c r="H7593" s="12">
        <v>18.600000000000001</v>
      </c>
      <c r="I7593" t="s">
        <v>3183</v>
      </c>
      <c r="J7593" t="s">
        <v>394</v>
      </c>
      <c r="K7593" t="s">
        <v>147</v>
      </c>
      <c r="L7593" t="s">
        <v>3184</v>
      </c>
      <c r="M7593" t="s">
        <v>16</v>
      </c>
    </row>
    <row r="7594" spans="1:13">
      <c r="A7594" t="s">
        <v>851</v>
      </c>
      <c r="B7594" t="s">
        <v>687</v>
      </c>
      <c r="C7594" t="s">
        <v>687</v>
      </c>
      <c r="D7594" t="s">
        <v>3174</v>
      </c>
      <c r="E7594" t="s">
        <v>656</v>
      </c>
      <c r="F7594" t="s">
        <v>31</v>
      </c>
      <c r="G7594">
        <v>2040</v>
      </c>
      <c r="H7594" s="12">
        <v>11.82</v>
      </c>
      <c r="I7594" t="s">
        <v>3183</v>
      </c>
      <c r="J7594" t="s">
        <v>394</v>
      </c>
      <c r="K7594" t="s">
        <v>147</v>
      </c>
      <c r="L7594" t="s">
        <v>3184</v>
      </c>
      <c r="M7594" t="s">
        <v>16</v>
      </c>
    </row>
    <row r="7595" spans="1:13">
      <c r="A7595" t="s">
        <v>851</v>
      </c>
      <c r="B7595" t="s">
        <v>687</v>
      </c>
      <c r="C7595" t="s">
        <v>687</v>
      </c>
      <c r="D7595" t="s">
        <v>3174</v>
      </c>
      <c r="E7595" t="s">
        <v>656</v>
      </c>
      <c r="F7595" t="s">
        <v>31</v>
      </c>
      <c r="G7595">
        <v>2045</v>
      </c>
      <c r="H7595" s="12">
        <v>9.02</v>
      </c>
      <c r="I7595" t="s">
        <v>3183</v>
      </c>
      <c r="J7595" t="s">
        <v>394</v>
      </c>
      <c r="K7595" t="s">
        <v>147</v>
      </c>
      <c r="L7595" t="s">
        <v>3184</v>
      </c>
      <c r="M7595" t="s">
        <v>16</v>
      </c>
    </row>
    <row r="7596" spans="1:13">
      <c r="A7596" t="s">
        <v>851</v>
      </c>
      <c r="B7596" t="s">
        <v>687</v>
      </c>
      <c r="C7596" t="s">
        <v>687</v>
      </c>
      <c r="D7596" t="s">
        <v>3174</v>
      </c>
      <c r="E7596" t="s">
        <v>656</v>
      </c>
      <c r="F7596" t="s">
        <v>31</v>
      </c>
      <c r="G7596">
        <v>2050</v>
      </c>
      <c r="H7596" s="12">
        <v>10.14</v>
      </c>
      <c r="I7596" t="s">
        <v>3183</v>
      </c>
      <c r="J7596" t="s">
        <v>394</v>
      </c>
      <c r="K7596" t="s">
        <v>147</v>
      </c>
      <c r="L7596" t="s">
        <v>3184</v>
      </c>
      <c r="M7596" t="s">
        <v>16</v>
      </c>
    </row>
    <row r="7597" spans="1:13">
      <c r="A7597" t="s">
        <v>851</v>
      </c>
      <c r="B7597" t="s">
        <v>686</v>
      </c>
      <c r="C7597" t="s">
        <v>686</v>
      </c>
      <c r="D7597" t="s">
        <v>3174</v>
      </c>
      <c r="E7597" t="s">
        <v>656</v>
      </c>
      <c r="F7597" t="s">
        <v>31</v>
      </c>
      <c r="G7597">
        <v>2010</v>
      </c>
      <c r="H7597" s="12">
        <v>0.4</v>
      </c>
      <c r="I7597" t="s">
        <v>3183</v>
      </c>
      <c r="J7597" t="s">
        <v>484</v>
      </c>
      <c r="K7597" t="s">
        <v>147</v>
      </c>
      <c r="L7597" t="s">
        <v>3184</v>
      </c>
      <c r="M7597" t="s">
        <v>667</v>
      </c>
    </row>
    <row r="7598" spans="1:13">
      <c r="A7598" t="s">
        <v>851</v>
      </c>
      <c r="B7598" t="s">
        <v>686</v>
      </c>
      <c r="C7598" t="s">
        <v>686</v>
      </c>
      <c r="D7598" t="s">
        <v>3174</v>
      </c>
      <c r="E7598" t="s">
        <v>656</v>
      </c>
      <c r="F7598" t="s">
        <v>31</v>
      </c>
      <c r="G7598">
        <v>2015</v>
      </c>
      <c r="H7598" s="12">
        <v>0.8</v>
      </c>
      <c r="I7598" t="s">
        <v>3183</v>
      </c>
      <c r="J7598" t="s">
        <v>484</v>
      </c>
      <c r="K7598" t="s">
        <v>147</v>
      </c>
      <c r="L7598" t="s">
        <v>3184</v>
      </c>
      <c r="M7598" t="s">
        <v>667</v>
      </c>
    </row>
    <row r="7599" spans="1:13">
      <c r="A7599" t="s">
        <v>851</v>
      </c>
      <c r="B7599" t="s">
        <v>686</v>
      </c>
      <c r="C7599" t="s">
        <v>686</v>
      </c>
      <c r="D7599" t="s">
        <v>3174</v>
      </c>
      <c r="E7599" t="s">
        <v>656</v>
      </c>
      <c r="F7599" t="s">
        <v>31</v>
      </c>
      <c r="G7599">
        <v>2020</v>
      </c>
      <c r="H7599" s="12">
        <v>3.67</v>
      </c>
      <c r="I7599" t="s">
        <v>3183</v>
      </c>
      <c r="J7599" t="s">
        <v>484</v>
      </c>
      <c r="K7599" t="s">
        <v>147</v>
      </c>
      <c r="L7599" t="s">
        <v>3184</v>
      </c>
      <c r="M7599" t="s">
        <v>667</v>
      </c>
    </row>
    <row r="7600" spans="1:13">
      <c r="A7600" t="s">
        <v>851</v>
      </c>
      <c r="B7600" t="s">
        <v>686</v>
      </c>
      <c r="C7600" t="s">
        <v>686</v>
      </c>
      <c r="D7600" t="s">
        <v>3174</v>
      </c>
      <c r="E7600" t="s">
        <v>656</v>
      </c>
      <c r="F7600" t="s">
        <v>31</v>
      </c>
      <c r="G7600">
        <v>2030</v>
      </c>
      <c r="H7600" s="12">
        <v>119.38</v>
      </c>
      <c r="I7600" t="s">
        <v>3183</v>
      </c>
      <c r="J7600" t="s">
        <v>484</v>
      </c>
      <c r="K7600" t="s">
        <v>147</v>
      </c>
      <c r="L7600" t="s">
        <v>3184</v>
      </c>
      <c r="M7600" t="s">
        <v>667</v>
      </c>
    </row>
    <row r="7601" spans="1:13">
      <c r="A7601" t="s">
        <v>851</v>
      </c>
      <c r="B7601" t="s">
        <v>686</v>
      </c>
      <c r="C7601" t="s">
        <v>686</v>
      </c>
      <c r="D7601" t="s">
        <v>3174</v>
      </c>
      <c r="E7601" t="s">
        <v>656</v>
      </c>
      <c r="F7601" t="s">
        <v>31</v>
      </c>
      <c r="G7601">
        <v>2035</v>
      </c>
      <c r="H7601" s="12">
        <v>208.17</v>
      </c>
      <c r="I7601" t="s">
        <v>3183</v>
      </c>
      <c r="J7601" t="s">
        <v>484</v>
      </c>
      <c r="K7601" t="s">
        <v>147</v>
      </c>
      <c r="L7601" t="s">
        <v>3184</v>
      </c>
      <c r="M7601" t="s">
        <v>667</v>
      </c>
    </row>
    <row r="7602" spans="1:13">
      <c r="A7602" t="s">
        <v>851</v>
      </c>
      <c r="B7602" t="s">
        <v>686</v>
      </c>
      <c r="C7602" t="s">
        <v>686</v>
      </c>
      <c r="D7602" t="s">
        <v>3174</v>
      </c>
      <c r="E7602" t="s">
        <v>656</v>
      </c>
      <c r="F7602" t="s">
        <v>31</v>
      </c>
      <c r="G7602">
        <v>2040</v>
      </c>
      <c r="H7602" s="12">
        <v>281.82</v>
      </c>
      <c r="I7602" t="s">
        <v>3183</v>
      </c>
      <c r="J7602" t="s">
        <v>484</v>
      </c>
      <c r="K7602" t="s">
        <v>147</v>
      </c>
      <c r="L7602" t="s">
        <v>3184</v>
      </c>
      <c r="M7602" t="s">
        <v>667</v>
      </c>
    </row>
    <row r="7603" spans="1:13">
      <c r="A7603" t="s">
        <v>851</v>
      </c>
      <c r="B7603" t="s">
        <v>686</v>
      </c>
      <c r="C7603" t="s">
        <v>686</v>
      </c>
      <c r="D7603" t="s">
        <v>3174</v>
      </c>
      <c r="E7603" t="s">
        <v>656</v>
      </c>
      <c r="F7603" t="s">
        <v>31</v>
      </c>
      <c r="G7603">
        <v>2045</v>
      </c>
      <c r="H7603" s="12">
        <v>340.83</v>
      </c>
      <c r="I7603" t="s">
        <v>3183</v>
      </c>
      <c r="J7603" t="s">
        <v>484</v>
      </c>
      <c r="K7603" t="s">
        <v>147</v>
      </c>
      <c r="L7603" t="s">
        <v>3184</v>
      </c>
      <c r="M7603" t="s">
        <v>667</v>
      </c>
    </row>
    <row r="7604" spans="1:13">
      <c r="A7604" t="s">
        <v>851</v>
      </c>
      <c r="B7604" t="s">
        <v>686</v>
      </c>
      <c r="C7604" t="s">
        <v>686</v>
      </c>
      <c r="D7604" t="s">
        <v>3174</v>
      </c>
      <c r="E7604" t="s">
        <v>656</v>
      </c>
      <c r="F7604" t="s">
        <v>31</v>
      </c>
      <c r="G7604">
        <v>2050</v>
      </c>
      <c r="H7604" s="12">
        <v>368.2</v>
      </c>
      <c r="I7604" t="s">
        <v>3183</v>
      </c>
      <c r="J7604" t="s">
        <v>484</v>
      </c>
      <c r="K7604" t="s">
        <v>147</v>
      </c>
      <c r="L7604" t="s">
        <v>3184</v>
      </c>
      <c r="M7604" t="s">
        <v>667</v>
      </c>
    </row>
    <row r="7605" spans="1:13">
      <c r="A7605" t="s">
        <v>851</v>
      </c>
      <c r="B7605" t="s">
        <v>687</v>
      </c>
      <c r="C7605" t="s">
        <v>687</v>
      </c>
      <c r="D7605" t="s">
        <v>3174</v>
      </c>
      <c r="E7605" t="s">
        <v>656</v>
      </c>
      <c r="F7605" t="s">
        <v>31</v>
      </c>
      <c r="G7605">
        <v>2030</v>
      </c>
      <c r="H7605" s="12">
        <v>147.43</v>
      </c>
      <c r="I7605" t="s">
        <v>3183</v>
      </c>
      <c r="J7605" t="s">
        <v>484</v>
      </c>
      <c r="K7605" t="s">
        <v>147</v>
      </c>
      <c r="L7605" t="s">
        <v>3184</v>
      </c>
      <c r="M7605" t="s">
        <v>667</v>
      </c>
    </row>
    <row r="7606" spans="1:13">
      <c r="A7606" t="s">
        <v>851</v>
      </c>
      <c r="B7606" t="s">
        <v>687</v>
      </c>
      <c r="C7606" t="s">
        <v>687</v>
      </c>
      <c r="D7606" t="s">
        <v>3174</v>
      </c>
      <c r="E7606" t="s">
        <v>656</v>
      </c>
      <c r="F7606" t="s">
        <v>31</v>
      </c>
      <c r="G7606">
        <v>2035</v>
      </c>
      <c r="H7606" s="12">
        <v>247.74</v>
      </c>
      <c r="I7606" t="s">
        <v>3183</v>
      </c>
      <c r="J7606" t="s">
        <v>484</v>
      </c>
      <c r="K7606" t="s">
        <v>147</v>
      </c>
      <c r="L7606" t="s">
        <v>3184</v>
      </c>
      <c r="M7606" t="s">
        <v>667</v>
      </c>
    </row>
    <row r="7607" spans="1:13">
      <c r="A7607" t="s">
        <v>851</v>
      </c>
      <c r="B7607" t="s">
        <v>687</v>
      </c>
      <c r="C7607" t="s">
        <v>687</v>
      </c>
      <c r="D7607" t="s">
        <v>3174</v>
      </c>
      <c r="E7607" t="s">
        <v>656</v>
      </c>
      <c r="F7607" t="s">
        <v>31</v>
      </c>
      <c r="G7607">
        <v>2040</v>
      </c>
      <c r="H7607" s="12">
        <v>311.11</v>
      </c>
      <c r="I7607" t="s">
        <v>3183</v>
      </c>
      <c r="J7607" t="s">
        <v>484</v>
      </c>
      <c r="K7607" t="s">
        <v>147</v>
      </c>
      <c r="L7607" t="s">
        <v>3184</v>
      </c>
      <c r="M7607" t="s">
        <v>667</v>
      </c>
    </row>
    <row r="7608" spans="1:13">
      <c r="A7608" t="s">
        <v>851</v>
      </c>
      <c r="B7608" t="s">
        <v>687</v>
      </c>
      <c r="C7608" t="s">
        <v>687</v>
      </c>
      <c r="D7608" t="s">
        <v>3174</v>
      </c>
      <c r="E7608" t="s">
        <v>656</v>
      </c>
      <c r="F7608" t="s">
        <v>31</v>
      </c>
      <c r="G7608">
        <v>2045</v>
      </c>
      <c r="H7608" s="12">
        <v>349.28</v>
      </c>
      <c r="I7608" t="s">
        <v>3183</v>
      </c>
      <c r="J7608" t="s">
        <v>484</v>
      </c>
      <c r="K7608" t="s">
        <v>147</v>
      </c>
      <c r="L7608" t="s">
        <v>3184</v>
      </c>
      <c r="M7608" t="s">
        <v>667</v>
      </c>
    </row>
    <row r="7609" spans="1:13">
      <c r="A7609" t="s">
        <v>851</v>
      </c>
      <c r="B7609" t="s">
        <v>687</v>
      </c>
      <c r="C7609" t="s">
        <v>687</v>
      </c>
      <c r="D7609" t="s">
        <v>3174</v>
      </c>
      <c r="E7609" t="s">
        <v>656</v>
      </c>
      <c r="F7609" t="s">
        <v>31</v>
      </c>
      <c r="G7609">
        <v>2050</v>
      </c>
      <c r="H7609" s="12">
        <v>382.71</v>
      </c>
      <c r="I7609" t="s">
        <v>3183</v>
      </c>
      <c r="J7609" t="s">
        <v>484</v>
      </c>
      <c r="K7609" t="s">
        <v>147</v>
      </c>
      <c r="L7609" t="s">
        <v>3184</v>
      </c>
      <c r="M7609" t="s">
        <v>667</v>
      </c>
    </row>
    <row r="7610" spans="1:13">
      <c r="A7610" t="s">
        <v>851</v>
      </c>
      <c r="B7610" t="s">
        <v>686</v>
      </c>
      <c r="C7610" t="s">
        <v>686</v>
      </c>
      <c r="D7610" t="s">
        <v>3174</v>
      </c>
      <c r="E7610" t="s">
        <v>656</v>
      </c>
      <c r="F7610" t="s">
        <v>31</v>
      </c>
      <c r="G7610">
        <v>2045</v>
      </c>
      <c r="H7610" s="12">
        <v>1141.3499999999999</v>
      </c>
      <c r="I7610" t="s">
        <v>3183</v>
      </c>
      <c r="J7610" t="s">
        <v>17</v>
      </c>
      <c r="K7610" t="s">
        <v>147</v>
      </c>
      <c r="L7610" t="s">
        <v>3184</v>
      </c>
      <c r="M7610" t="s">
        <v>671</v>
      </c>
    </row>
    <row r="7611" spans="1:13">
      <c r="A7611" t="s">
        <v>851</v>
      </c>
      <c r="B7611" t="s">
        <v>686</v>
      </c>
      <c r="C7611" t="s">
        <v>686</v>
      </c>
      <c r="D7611" t="s">
        <v>3174</v>
      </c>
      <c r="E7611" t="s">
        <v>656</v>
      </c>
      <c r="F7611" t="s">
        <v>31</v>
      </c>
      <c r="G7611">
        <v>2050</v>
      </c>
      <c r="H7611" s="12">
        <v>1291.6199999999999</v>
      </c>
      <c r="I7611" t="s">
        <v>3183</v>
      </c>
      <c r="J7611" t="s">
        <v>17</v>
      </c>
      <c r="K7611" t="s">
        <v>147</v>
      </c>
      <c r="L7611" t="s">
        <v>3184</v>
      </c>
      <c r="M7611" t="s">
        <v>671</v>
      </c>
    </row>
    <row r="7612" spans="1:13">
      <c r="A7612" t="s">
        <v>851</v>
      </c>
      <c r="B7612" t="s">
        <v>687</v>
      </c>
      <c r="C7612" t="s">
        <v>687</v>
      </c>
      <c r="D7612" t="s">
        <v>3174</v>
      </c>
      <c r="E7612" t="s">
        <v>656</v>
      </c>
      <c r="F7612" t="s">
        <v>31</v>
      </c>
      <c r="G7612">
        <v>2030</v>
      </c>
      <c r="H7612" s="12">
        <v>578.89</v>
      </c>
      <c r="I7612" t="s">
        <v>3183</v>
      </c>
      <c r="J7612" t="s">
        <v>17</v>
      </c>
      <c r="K7612" t="s">
        <v>147</v>
      </c>
      <c r="L7612" t="s">
        <v>3184</v>
      </c>
      <c r="M7612" t="s">
        <v>671</v>
      </c>
    </row>
    <row r="7613" spans="1:13">
      <c r="A7613" t="s">
        <v>851</v>
      </c>
      <c r="B7613" t="s">
        <v>687</v>
      </c>
      <c r="C7613" t="s">
        <v>687</v>
      </c>
      <c r="D7613" t="s">
        <v>3174</v>
      </c>
      <c r="E7613" t="s">
        <v>656</v>
      </c>
      <c r="F7613" t="s">
        <v>31</v>
      </c>
      <c r="G7613">
        <v>2035</v>
      </c>
      <c r="H7613" s="12">
        <v>927.58</v>
      </c>
      <c r="I7613" t="s">
        <v>3183</v>
      </c>
      <c r="J7613" t="s">
        <v>17</v>
      </c>
      <c r="K7613" t="s">
        <v>147</v>
      </c>
      <c r="L7613" t="s">
        <v>3184</v>
      </c>
      <c r="M7613" t="s">
        <v>671</v>
      </c>
    </row>
    <row r="7614" spans="1:13">
      <c r="A7614" t="s">
        <v>851</v>
      </c>
      <c r="B7614" t="s">
        <v>687</v>
      </c>
      <c r="C7614" t="s">
        <v>687</v>
      </c>
      <c r="D7614" t="s">
        <v>3174</v>
      </c>
      <c r="E7614" t="s">
        <v>656</v>
      </c>
      <c r="F7614" t="s">
        <v>31</v>
      </c>
      <c r="G7614">
        <v>2040</v>
      </c>
      <c r="H7614" s="12">
        <v>1169.4100000000001</v>
      </c>
      <c r="I7614" t="s">
        <v>3183</v>
      </c>
      <c r="J7614" t="s">
        <v>17</v>
      </c>
      <c r="K7614" t="s">
        <v>147</v>
      </c>
      <c r="L7614" t="s">
        <v>3184</v>
      </c>
      <c r="M7614" t="s">
        <v>671</v>
      </c>
    </row>
    <row r="7615" spans="1:13">
      <c r="A7615" t="s">
        <v>851</v>
      </c>
      <c r="B7615" t="s">
        <v>687</v>
      </c>
      <c r="C7615" t="s">
        <v>687</v>
      </c>
      <c r="D7615" t="s">
        <v>3174</v>
      </c>
      <c r="E7615" t="s">
        <v>656</v>
      </c>
      <c r="F7615" t="s">
        <v>31</v>
      </c>
      <c r="G7615">
        <v>2045</v>
      </c>
      <c r="H7615" s="12">
        <v>1407.81</v>
      </c>
      <c r="I7615" t="s">
        <v>3183</v>
      </c>
      <c r="J7615" t="s">
        <v>17</v>
      </c>
      <c r="K7615" t="s">
        <v>147</v>
      </c>
      <c r="L7615" t="s">
        <v>3184</v>
      </c>
      <c r="M7615" t="s">
        <v>671</v>
      </c>
    </row>
    <row r="7616" spans="1:13">
      <c r="A7616" t="s">
        <v>851</v>
      </c>
      <c r="B7616" t="s">
        <v>687</v>
      </c>
      <c r="C7616" t="s">
        <v>687</v>
      </c>
      <c r="D7616" t="s">
        <v>3174</v>
      </c>
      <c r="E7616" t="s">
        <v>656</v>
      </c>
      <c r="F7616" t="s">
        <v>31</v>
      </c>
      <c r="G7616">
        <v>2050</v>
      </c>
      <c r="H7616" s="12">
        <v>1609.03</v>
      </c>
      <c r="I7616" t="s">
        <v>3183</v>
      </c>
      <c r="J7616" t="s">
        <v>17</v>
      </c>
      <c r="K7616" t="s">
        <v>147</v>
      </c>
      <c r="L7616" t="s">
        <v>3184</v>
      </c>
      <c r="M7616" t="s">
        <v>671</v>
      </c>
    </row>
    <row r="7617" spans="1:13">
      <c r="A7617" t="s">
        <v>851</v>
      </c>
      <c r="B7617" t="s">
        <v>686</v>
      </c>
      <c r="C7617" t="s">
        <v>686</v>
      </c>
      <c r="D7617" t="s">
        <v>3174</v>
      </c>
      <c r="E7617" t="s">
        <v>656</v>
      </c>
      <c r="F7617" t="s">
        <v>31</v>
      </c>
      <c r="G7617">
        <v>2010</v>
      </c>
      <c r="H7617" s="12">
        <v>39.130000000000003</v>
      </c>
      <c r="I7617" t="s">
        <v>3183</v>
      </c>
      <c r="J7617" t="s">
        <v>18</v>
      </c>
      <c r="K7617" t="s">
        <v>147</v>
      </c>
      <c r="L7617" t="s">
        <v>3184</v>
      </c>
      <c r="M7617" t="s">
        <v>18</v>
      </c>
    </row>
    <row r="7618" spans="1:13">
      <c r="A7618" t="s">
        <v>851</v>
      </c>
      <c r="B7618" t="s">
        <v>686</v>
      </c>
      <c r="C7618" t="s">
        <v>686</v>
      </c>
      <c r="D7618" t="s">
        <v>3174</v>
      </c>
      <c r="E7618" t="s">
        <v>656</v>
      </c>
      <c r="F7618" t="s">
        <v>31</v>
      </c>
      <c r="G7618">
        <v>2015</v>
      </c>
      <c r="H7618" s="12">
        <v>72.569999999999993</v>
      </c>
      <c r="I7618" t="s">
        <v>3183</v>
      </c>
      <c r="J7618" t="s">
        <v>18</v>
      </c>
      <c r="K7618" t="s">
        <v>147</v>
      </c>
      <c r="L7618" t="s">
        <v>3184</v>
      </c>
      <c r="M7618" t="s">
        <v>18</v>
      </c>
    </row>
    <row r="7619" spans="1:13">
      <c r="A7619" t="s">
        <v>851</v>
      </c>
      <c r="B7619" t="s">
        <v>686</v>
      </c>
      <c r="C7619" t="s">
        <v>686</v>
      </c>
      <c r="D7619" t="s">
        <v>3174</v>
      </c>
      <c r="E7619" t="s">
        <v>656</v>
      </c>
      <c r="F7619" t="s">
        <v>31</v>
      </c>
      <c r="G7619">
        <v>2020</v>
      </c>
      <c r="H7619" s="12">
        <v>120.56</v>
      </c>
      <c r="I7619" t="s">
        <v>3183</v>
      </c>
      <c r="J7619" t="s">
        <v>18</v>
      </c>
      <c r="K7619" t="s">
        <v>147</v>
      </c>
      <c r="L7619" t="s">
        <v>3184</v>
      </c>
      <c r="M7619" t="s">
        <v>18</v>
      </c>
    </row>
    <row r="7620" spans="1:13">
      <c r="A7620" t="s">
        <v>851</v>
      </c>
      <c r="B7620" t="s">
        <v>686</v>
      </c>
      <c r="C7620" t="s">
        <v>686</v>
      </c>
      <c r="D7620" t="s">
        <v>3174</v>
      </c>
      <c r="E7620" t="s">
        <v>656</v>
      </c>
      <c r="F7620" t="s">
        <v>31</v>
      </c>
      <c r="G7620">
        <v>2030</v>
      </c>
      <c r="H7620" s="12">
        <v>298.45999999999998</v>
      </c>
      <c r="I7620" t="s">
        <v>3183</v>
      </c>
      <c r="J7620" t="s">
        <v>18</v>
      </c>
      <c r="K7620" t="s">
        <v>147</v>
      </c>
      <c r="L7620" t="s">
        <v>3184</v>
      </c>
      <c r="M7620" t="s">
        <v>18</v>
      </c>
    </row>
    <row r="7621" spans="1:13">
      <c r="A7621" t="s">
        <v>851</v>
      </c>
      <c r="B7621" t="s">
        <v>686</v>
      </c>
      <c r="C7621" t="s">
        <v>686</v>
      </c>
      <c r="D7621" t="s">
        <v>3174</v>
      </c>
      <c r="E7621" t="s">
        <v>656</v>
      </c>
      <c r="F7621" t="s">
        <v>31</v>
      </c>
      <c r="G7621">
        <v>2035</v>
      </c>
      <c r="H7621" s="12">
        <v>408.38</v>
      </c>
      <c r="I7621" t="s">
        <v>3183</v>
      </c>
      <c r="J7621" t="s">
        <v>18</v>
      </c>
      <c r="K7621" t="s">
        <v>147</v>
      </c>
      <c r="L7621" t="s">
        <v>3184</v>
      </c>
      <c r="M7621" t="s">
        <v>18</v>
      </c>
    </row>
    <row r="7622" spans="1:13">
      <c r="A7622" t="s">
        <v>851</v>
      </c>
      <c r="B7622" t="s">
        <v>686</v>
      </c>
      <c r="C7622" t="s">
        <v>686</v>
      </c>
      <c r="D7622" t="s">
        <v>3174</v>
      </c>
      <c r="E7622" t="s">
        <v>656</v>
      </c>
      <c r="F7622" t="s">
        <v>31</v>
      </c>
      <c r="G7622">
        <v>2040</v>
      </c>
      <c r="H7622" s="12">
        <v>467.05</v>
      </c>
      <c r="I7622" t="s">
        <v>3183</v>
      </c>
      <c r="J7622" t="s">
        <v>18</v>
      </c>
      <c r="K7622" t="s">
        <v>147</v>
      </c>
      <c r="L7622" t="s">
        <v>3184</v>
      </c>
      <c r="M7622" t="s">
        <v>18</v>
      </c>
    </row>
    <row r="7623" spans="1:13">
      <c r="A7623" t="s">
        <v>851</v>
      </c>
      <c r="B7623" t="s">
        <v>686</v>
      </c>
      <c r="C7623" t="s">
        <v>686</v>
      </c>
      <c r="D7623" t="s">
        <v>3174</v>
      </c>
      <c r="E7623" t="s">
        <v>656</v>
      </c>
      <c r="F7623" t="s">
        <v>31</v>
      </c>
      <c r="G7623">
        <v>2045</v>
      </c>
      <c r="H7623" s="12">
        <v>497.1</v>
      </c>
      <c r="I7623" t="s">
        <v>3183</v>
      </c>
      <c r="J7623" t="s">
        <v>18</v>
      </c>
      <c r="K7623" t="s">
        <v>147</v>
      </c>
      <c r="L7623" t="s">
        <v>3184</v>
      </c>
      <c r="M7623" t="s">
        <v>18</v>
      </c>
    </row>
    <row r="7624" spans="1:13">
      <c r="A7624" t="s">
        <v>851</v>
      </c>
      <c r="B7624" t="s">
        <v>686</v>
      </c>
      <c r="C7624" t="s">
        <v>686</v>
      </c>
      <c r="D7624" t="s">
        <v>3174</v>
      </c>
      <c r="E7624" t="s">
        <v>656</v>
      </c>
      <c r="F7624" t="s">
        <v>31</v>
      </c>
      <c r="G7624">
        <v>2050</v>
      </c>
      <c r="H7624" s="12">
        <v>508.81</v>
      </c>
      <c r="I7624" t="s">
        <v>3183</v>
      </c>
      <c r="J7624" t="s">
        <v>18</v>
      </c>
      <c r="K7624" t="s">
        <v>147</v>
      </c>
      <c r="L7624" t="s">
        <v>3184</v>
      </c>
      <c r="M7624" t="s">
        <v>18</v>
      </c>
    </row>
    <row r="7625" spans="1:13">
      <c r="A7625" t="s">
        <v>851</v>
      </c>
      <c r="B7625" t="s">
        <v>687</v>
      </c>
      <c r="C7625" t="s">
        <v>687</v>
      </c>
      <c r="D7625" t="s">
        <v>3174</v>
      </c>
      <c r="E7625" t="s">
        <v>656</v>
      </c>
      <c r="F7625" t="s">
        <v>31</v>
      </c>
      <c r="G7625">
        <v>2030</v>
      </c>
      <c r="H7625" s="12">
        <v>385.63</v>
      </c>
      <c r="I7625" t="s">
        <v>3183</v>
      </c>
      <c r="J7625" t="s">
        <v>18</v>
      </c>
      <c r="K7625" t="s">
        <v>147</v>
      </c>
      <c r="L7625" t="s">
        <v>3184</v>
      </c>
      <c r="M7625" t="s">
        <v>18</v>
      </c>
    </row>
    <row r="7626" spans="1:13">
      <c r="A7626" t="s">
        <v>851</v>
      </c>
      <c r="B7626" t="s">
        <v>687</v>
      </c>
      <c r="C7626" t="s">
        <v>687</v>
      </c>
      <c r="D7626" t="s">
        <v>3174</v>
      </c>
      <c r="E7626" t="s">
        <v>656</v>
      </c>
      <c r="F7626" t="s">
        <v>31</v>
      </c>
      <c r="G7626">
        <v>2035</v>
      </c>
      <c r="H7626" s="12">
        <v>583.82000000000005</v>
      </c>
      <c r="I7626" t="s">
        <v>3183</v>
      </c>
      <c r="J7626" t="s">
        <v>18</v>
      </c>
      <c r="K7626" t="s">
        <v>147</v>
      </c>
      <c r="L7626" t="s">
        <v>3184</v>
      </c>
      <c r="M7626" t="s">
        <v>18</v>
      </c>
    </row>
    <row r="7627" spans="1:13">
      <c r="A7627" t="s">
        <v>851</v>
      </c>
      <c r="B7627" t="s">
        <v>687</v>
      </c>
      <c r="C7627" t="s">
        <v>687</v>
      </c>
      <c r="D7627" t="s">
        <v>3174</v>
      </c>
      <c r="E7627" t="s">
        <v>656</v>
      </c>
      <c r="F7627" t="s">
        <v>31</v>
      </c>
      <c r="G7627">
        <v>2040</v>
      </c>
      <c r="H7627" s="12">
        <v>728.87</v>
      </c>
      <c r="I7627" t="s">
        <v>3183</v>
      </c>
      <c r="J7627" t="s">
        <v>18</v>
      </c>
      <c r="K7627" t="s">
        <v>147</v>
      </c>
      <c r="L7627" t="s">
        <v>3184</v>
      </c>
      <c r="M7627" t="s">
        <v>18</v>
      </c>
    </row>
    <row r="7628" spans="1:13">
      <c r="A7628" t="s">
        <v>851</v>
      </c>
      <c r="B7628" t="s">
        <v>687</v>
      </c>
      <c r="C7628" t="s">
        <v>687</v>
      </c>
      <c r="D7628" t="s">
        <v>3174</v>
      </c>
      <c r="E7628" t="s">
        <v>656</v>
      </c>
      <c r="F7628" t="s">
        <v>31</v>
      </c>
      <c r="G7628">
        <v>2045</v>
      </c>
      <c r="H7628" s="12">
        <v>758.28</v>
      </c>
      <c r="I7628" t="s">
        <v>3183</v>
      </c>
      <c r="J7628" t="s">
        <v>18</v>
      </c>
      <c r="K7628" t="s">
        <v>147</v>
      </c>
      <c r="L7628" t="s">
        <v>3184</v>
      </c>
      <c r="M7628" t="s">
        <v>18</v>
      </c>
    </row>
    <row r="7629" spans="1:13">
      <c r="A7629" t="s">
        <v>851</v>
      </c>
      <c r="B7629" t="s">
        <v>687</v>
      </c>
      <c r="C7629" t="s">
        <v>687</v>
      </c>
      <c r="D7629" t="s">
        <v>3174</v>
      </c>
      <c r="E7629" t="s">
        <v>656</v>
      </c>
      <c r="F7629" t="s">
        <v>31</v>
      </c>
      <c r="G7629">
        <v>2050</v>
      </c>
      <c r="H7629" s="12">
        <v>779.98</v>
      </c>
      <c r="I7629" t="s">
        <v>3183</v>
      </c>
      <c r="J7629" t="s">
        <v>18</v>
      </c>
      <c r="K7629" t="s">
        <v>147</v>
      </c>
      <c r="L7629" t="s">
        <v>3184</v>
      </c>
      <c r="M7629" t="s">
        <v>18</v>
      </c>
    </row>
    <row r="7630" spans="1:13">
      <c r="A7630" t="s">
        <v>851</v>
      </c>
      <c r="B7630" t="s">
        <v>686</v>
      </c>
      <c r="C7630" t="s">
        <v>686</v>
      </c>
      <c r="D7630" t="s">
        <v>3174</v>
      </c>
      <c r="E7630" t="s">
        <v>656</v>
      </c>
      <c r="F7630" t="s">
        <v>31</v>
      </c>
      <c r="G7630">
        <v>2010</v>
      </c>
      <c r="H7630" s="12">
        <v>101.02</v>
      </c>
      <c r="I7630" t="s">
        <v>3183</v>
      </c>
      <c r="J7630" t="s">
        <v>14</v>
      </c>
      <c r="K7630" t="s">
        <v>147</v>
      </c>
      <c r="L7630" t="s">
        <v>3184</v>
      </c>
      <c r="M7630" t="s">
        <v>14</v>
      </c>
    </row>
    <row r="7631" spans="1:13">
      <c r="A7631" t="s">
        <v>851</v>
      </c>
      <c r="B7631" t="s">
        <v>686</v>
      </c>
      <c r="C7631" t="s">
        <v>686</v>
      </c>
      <c r="D7631" t="s">
        <v>3174</v>
      </c>
      <c r="E7631" t="s">
        <v>656</v>
      </c>
      <c r="F7631" t="s">
        <v>31</v>
      </c>
      <c r="G7631">
        <v>2015</v>
      </c>
      <c r="H7631" s="12">
        <v>102.24</v>
      </c>
      <c r="I7631" t="s">
        <v>3183</v>
      </c>
      <c r="J7631" t="s">
        <v>14</v>
      </c>
      <c r="K7631" t="s">
        <v>147</v>
      </c>
      <c r="L7631" t="s">
        <v>3184</v>
      </c>
      <c r="M7631" t="s">
        <v>14</v>
      </c>
    </row>
    <row r="7632" spans="1:13">
      <c r="A7632" t="s">
        <v>851</v>
      </c>
      <c r="B7632" t="s">
        <v>686</v>
      </c>
      <c r="C7632" t="s">
        <v>686</v>
      </c>
      <c r="D7632" t="s">
        <v>3174</v>
      </c>
      <c r="E7632" t="s">
        <v>656</v>
      </c>
      <c r="F7632" t="s">
        <v>31</v>
      </c>
      <c r="G7632">
        <v>2020</v>
      </c>
      <c r="H7632" s="12">
        <v>103.04</v>
      </c>
      <c r="I7632" t="s">
        <v>3183</v>
      </c>
      <c r="J7632" t="s">
        <v>14</v>
      </c>
      <c r="K7632" t="s">
        <v>147</v>
      </c>
      <c r="L7632" t="s">
        <v>3184</v>
      </c>
      <c r="M7632" t="s">
        <v>14</v>
      </c>
    </row>
    <row r="7633" spans="1:13">
      <c r="A7633" t="s">
        <v>851</v>
      </c>
      <c r="B7633" t="s">
        <v>686</v>
      </c>
      <c r="C7633" t="s">
        <v>686</v>
      </c>
      <c r="D7633" t="s">
        <v>3174</v>
      </c>
      <c r="E7633" t="s">
        <v>656</v>
      </c>
      <c r="F7633" t="s">
        <v>31</v>
      </c>
      <c r="G7633">
        <v>2030</v>
      </c>
      <c r="H7633" s="12">
        <v>106.54</v>
      </c>
      <c r="I7633" t="s">
        <v>3183</v>
      </c>
      <c r="J7633" t="s">
        <v>14</v>
      </c>
      <c r="K7633" t="s">
        <v>147</v>
      </c>
      <c r="L7633" t="s">
        <v>3184</v>
      </c>
      <c r="M7633" t="s">
        <v>14</v>
      </c>
    </row>
    <row r="7634" spans="1:13">
      <c r="A7634" t="s">
        <v>851</v>
      </c>
      <c r="B7634" t="s">
        <v>686</v>
      </c>
      <c r="C7634" t="s">
        <v>686</v>
      </c>
      <c r="D7634" t="s">
        <v>3174</v>
      </c>
      <c r="E7634" t="s">
        <v>656</v>
      </c>
      <c r="F7634" t="s">
        <v>31</v>
      </c>
      <c r="G7634">
        <v>2035</v>
      </c>
      <c r="H7634" s="12">
        <v>108.35</v>
      </c>
      <c r="I7634" t="s">
        <v>3183</v>
      </c>
      <c r="J7634" t="s">
        <v>14</v>
      </c>
      <c r="K7634" t="s">
        <v>147</v>
      </c>
      <c r="L7634" t="s">
        <v>3184</v>
      </c>
      <c r="M7634" t="s">
        <v>14</v>
      </c>
    </row>
    <row r="7635" spans="1:13">
      <c r="A7635" t="s">
        <v>851</v>
      </c>
      <c r="B7635" t="s">
        <v>686</v>
      </c>
      <c r="C7635" t="s">
        <v>686</v>
      </c>
      <c r="D7635" t="s">
        <v>3174</v>
      </c>
      <c r="E7635" t="s">
        <v>656</v>
      </c>
      <c r="F7635" t="s">
        <v>31</v>
      </c>
      <c r="G7635">
        <v>2040</v>
      </c>
      <c r="H7635" s="12">
        <v>110.57</v>
      </c>
      <c r="I7635" t="s">
        <v>3183</v>
      </c>
      <c r="J7635" t="s">
        <v>14</v>
      </c>
      <c r="K7635" t="s">
        <v>147</v>
      </c>
      <c r="L7635" t="s">
        <v>3184</v>
      </c>
      <c r="M7635" t="s">
        <v>14</v>
      </c>
    </row>
    <row r="7636" spans="1:13">
      <c r="A7636" t="s">
        <v>851</v>
      </c>
      <c r="B7636" t="s">
        <v>686</v>
      </c>
      <c r="C7636" t="s">
        <v>686</v>
      </c>
      <c r="D7636" t="s">
        <v>3174</v>
      </c>
      <c r="E7636" t="s">
        <v>656</v>
      </c>
      <c r="F7636" t="s">
        <v>31</v>
      </c>
      <c r="G7636">
        <v>2045</v>
      </c>
      <c r="H7636" s="12">
        <v>112.18</v>
      </c>
      <c r="I7636" t="s">
        <v>3183</v>
      </c>
      <c r="J7636" t="s">
        <v>14</v>
      </c>
      <c r="K7636" t="s">
        <v>147</v>
      </c>
      <c r="L7636" t="s">
        <v>3184</v>
      </c>
      <c r="M7636" t="s">
        <v>14</v>
      </c>
    </row>
    <row r="7637" spans="1:13">
      <c r="A7637" t="s">
        <v>851</v>
      </c>
      <c r="B7637" t="s">
        <v>686</v>
      </c>
      <c r="C7637" t="s">
        <v>686</v>
      </c>
      <c r="D7637" t="s">
        <v>3174</v>
      </c>
      <c r="E7637" t="s">
        <v>656</v>
      </c>
      <c r="F7637" t="s">
        <v>31</v>
      </c>
      <c r="G7637">
        <v>2050</v>
      </c>
      <c r="H7637" s="12">
        <v>113.43</v>
      </c>
      <c r="I7637" t="s">
        <v>3183</v>
      </c>
      <c r="J7637" t="s">
        <v>14</v>
      </c>
      <c r="K7637" t="s">
        <v>147</v>
      </c>
      <c r="L7637" t="s">
        <v>3184</v>
      </c>
      <c r="M7637" t="s">
        <v>14</v>
      </c>
    </row>
    <row r="7638" spans="1:13">
      <c r="A7638" t="s">
        <v>851</v>
      </c>
      <c r="B7638" t="s">
        <v>687</v>
      </c>
      <c r="C7638" t="s">
        <v>687</v>
      </c>
      <c r="D7638" t="s">
        <v>3174</v>
      </c>
      <c r="E7638" t="s">
        <v>656</v>
      </c>
      <c r="F7638" t="s">
        <v>31</v>
      </c>
      <c r="G7638">
        <v>2030</v>
      </c>
      <c r="H7638" s="12">
        <v>107.82</v>
      </c>
      <c r="I7638" t="s">
        <v>3183</v>
      </c>
      <c r="J7638" t="s">
        <v>14</v>
      </c>
      <c r="K7638" t="s">
        <v>147</v>
      </c>
      <c r="L7638" t="s">
        <v>3184</v>
      </c>
      <c r="M7638" t="s">
        <v>14</v>
      </c>
    </row>
    <row r="7639" spans="1:13">
      <c r="A7639" t="s">
        <v>851</v>
      </c>
      <c r="B7639" t="s">
        <v>687</v>
      </c>
      <c r="C7639" t="s">
        <v>687</v>
      </c>
      <c r="D7639" t="s">
        <v>3174</v>
      </c>
      <c r="E7639" t="s">
        <v>656</v>
      </c>
      <c r="F7639" t="s">
        <v>31</v>
      </c>
      <c r="G7639">
        <v>2035</v>
      </c>
      <c r="H7639" s="12">
        <v>112.68</v>
      </c>
      <c r="I7639" t="s">
        <v>3183</v>
      </c>
      <c r="J7639" t="s">
        <v>14</v>
      </c>
      <c r="K7639" t="s">
        <v>147</v>
      </c>
      <c r="L7639" t="s">
        <v>3184</v>
      </c>
      <c r="M7639" t="s">
        <v>14</v>
      </c>
    </row>
    <row r="7640" spans="1:13">
      <c r="A7640" t="s">
        <v>851</v>
      </c>
      <c r="B7640" t="s">
        <v>687</v>
      </c>
      <c r="C7640" t="s">
        <v>687</v>
      </c>
      <c r="D7640" t="s">
        <v>3174</v>
      </c>
      <c r="E7640" t="s">
        <v>656</v>
      </c>
      <c r="F7640" t="s">
        <v>31</v>
      </c>
      <c r="G7640">
        <v>2040</v>
      </c>
      <c r="H7640" s="12">
        <v>115.41</v>
      </c>
      <c r="I7640" t="s">
        <v>3183</v>
      </c>
      <c r="J7640" t="s">
        <v>14</v>
      </c>
      <c r="K7640" t="s">
        <v>147</v>
      </c>
      <c r="L7640" t="s">
        <v>3184</v>
      </c>
      <c r="M7640" t="s">
        <v>14</v>
      </c>
    </row>
    <row r="7641" spans="1:13">
      <c r="A7641" t="s">
        <v>851</v>
      </c>
      <c r="B7641" t="s">
        <v>687</v>
      </c>
      <c r="C7641" t="s">
        <v>687</v>
      </c>
      <c r="D7641" t="s">
        <v>3174</v>
      </c>
      <c r="E7641" t="s">
        <v>656</v>
      </c>
      <c r="F7641" t="s">
        <v>31</v>
      </c>
      <c r="G7641">
        <v>2045</v>
      </c>
      <c r="H7641" s="12">
        <v>116.29</v>
      </c>
      <c r="I7641" t="s">
        <v>3183</v>
      </c>
      <c r="J7641" t="s">
        <v>14</v>
      </c>
      <c r="K7641" t="s">
        <v>147</v>
      </c>
      <c r="L7641" t="s">
        <v>3184</v>
      </c>
      <c r="M7641" t="s">
        <v>14</v>
      </c>
    </row>
    <row r="7642" spans="1:13">
      <c r="A7642" t="s">
        <v>851</v>
      </c>
      <c r="B7642" t="s">
        <v>687</v>
      </c>
      <c r="C7642" t="s">
        <v>687</v>
      </c>
      <c r="D7642" t="s">
        <v>3174</v>
      </c>
      <c r="E7642" t="s">
        <v>656</v>
      </c>
      <c r="F7642" t="s">
        <v>31</v>
      </c>
      <c r="G7642">
        <v>2050</v>
      </c>
      <c r="H7642" s="12">
        <v>116.63</v>
      </c>
      <c r="I7642" t="s">
        <v>3183</v>
      </c>
      <c r="J7642" t="s">
        <v>14</v>
      </c>
      <c r="K7642" t="s">
        <v>147</v>
      </c>
      <c r="L7642" t="s">
        <v>3184</v>
      </c>
      <c r="M7642" t="s">
        <v>14</v>
      </c>
    </row>
    <row r="7643" spans="1:13">
      <c r="A7643" t="s">
        <v>851</v>
      </c>
      <c r="B7643" t="s">
        <v>686</v>
      </c>
      <c r="C7643" t="s">
        <v>686</v>
      </c>
      <c r="D7643" t="s">
        <v>3174</v>
      </c>
      <c r="E7643" t="s">
        <v>656</v>
      </c>
      <c r="F7643" t="s">
        <v>31</v>
      </c>
      <c r="G7643">
        <v>2010</v>
      </c>
      <c r="H7643" s="12">
        <v>13.65</v>
      </c>
      <c r="I7643" t="s">
        <v>3183</v>
      </c>
      <c r="J7643" t="s">
        <v>41</v>
      </c>
      <c r="K7643" t="s">
        <v>147</v>
      </c>
      <c r="L7643" t="s">
        <v>3184</v>
      </c>
      <c r="M7643" t="s">
        <v>669</v>
      </c>
    </row>
    <row r="7644" spans="1:13">
      <c r="A7644" t="s">
        <v>851</v>
      </c>
      <c r="B7644" t="s">
        <v>686</v>
      </c>
      <c r="C7644" t="s">
        <v>686</v>
      </c>
      <c r="D7644" t="s">
        <v>3174</v>
      </c>
      <c r="E7644" t="s">
        <v>656</v>
      </c>
      <c r="F7644" t="s">
        <v>31</v>
      </c>
      <c r="G7644">
        <v>2015</v>
      </c>
      <c r="H7644" s="12">
        <v>16.559999999999999</v>
      </c>
      <c r="I7644" t="s">
        <v>3183</v>
      </c>
      <c r="J7644" t="s">
        <v>41</v>
      </c>
      <c r="K7644" t="s">
        <v>147</v>
      </c>
      <c r="L7644" t="s">
        <v>3184</v>
      </c>
      <c r="M7644" t="s">
        <v>669</v>
      </c>
    </row>
    <row r="7645" spans="1:13">
      <c r="A7645" t="s">
        <v>851</v>
      </c>
      <c r="B7645" t="s">
        <v>686</v>
      </c>
      <c r="C7645" t="s">
        <v>686</v>
      </c>
      <c r="D7645" t="s">
        <v>3174</v>
      </c>
      <c r="E7645" t="s">
        <v>656</v>
      </c>
      <c r="F7645" t="s">
        <v>31</v>
      </c>
      <c r="G7645">
        <v>2020</v>
      </c>
      <c r="H7645" s="12">
        <v>15.63</v>
      </c>
      <c r="I7645" t="s">
        <v>3183</v>
      </c>
      <c r="J7645" t="s">
        <v>41</v>
      </c>
      <c r="K7645" t="s">
        <v>147</v>
      </c>
      <c r="L7645" t="s">
        <v>3184</v>
      </c>
      <c r="M7645" t="s">
        <v>669</v>
      </c>
    </row>
    <row r="7646" spans="1:13">
      <c r="A7646" t="s">
        <v>851</v>
      </c>
      <c r="B7646" t="s">
        <v>686</v>
      </c>
      <c r="C7646" t="s">
        <v>686</v>
      </c>
      <c r="D7646" t="s">
        <v>3174</v>
      </c>
      <c r="E7646" t="s">
        <v>656</v>
      </c>
      <c r="F7646" t="s">
        <v>31</v>
      </c>
      <c r="G7646">
        <v>2030</v>
      </c>
      <c r="H7646" s="12">
        <v>17.48</v>
      </c>
      <c r="I7646" t="s">
        <v>3183</v>
      </c>
      <c r="J7646" t="s">
        <v>41</v>
      </c>
      <c r="K7646" t="s">
        <v>147</v>
      </c>
      <c r="L7646" t="s">
        <v>3184</v>
      </c>
      <c r="M7646" t="s">
        <v>669</v>
      </c>
    </row>
    <row r="7647" spans="1:13">
      <c r="A7647" t="s">
        <v>851</v>
      </c>
      <c r="B7647" t="s">
        <v>686</v>
      </c>
      <c r="C7647" t="s">
        <v>686</v>
      </c>
      <c r="D7647" t="s">
        <v>3174</v>
      </c>
      <c r="E7647" t="s">
        <v>656</v>
      </c>
      <c r="F7647" t="s">
        <v>31</v>
      </c>
      <c r="G7647">
        <v>2035</v>
      </c>
      <c r="H7647" s="12">
        <v>19.59</v>
      </c>
      <c r="I7647" t="s">
        <v>3183</v>
      </c>
      <c r="J7647" t="s">
        <v>41</v>
      </c>
      <c r="K7647" t="s">
        <v>147</v>
      </c>
      <c r="L7647" t="s">
        <v>3184</v>
      </c>
      <c r="M7647" t="s">
        <v>669</v>
      </c>
    </row>
    <row r="7648" spans="1:13">
      <c r="A7648" t="s">
        <v>851</v>
      </c>
      <c r="B7648" t="s">
        <v>686</v>
      </c>
      <c r="C7648" t="s">
        <v>686</v>
      </c>
      <c r="D7648" t="s">
        <v>3174</v>
      </c>
      <c r="E7648" t="s">
        <v>656</v>
      </c>
      <c r="F7648" t="s">
        <v>31</v>
      </c>
      <c r="G7648">
        <v>2040</v>
      </c>
      <c r="H7648" s="12">
        <v>21.78</v>
      </c>
      <c r="I7648" t="s">
        <v>3183</v>
      </c>
      <c r="J7648" t="s">
        <v>41</v>
      </c>
      <c r="K7648" t="s">
        <v>147</v>
      </c>
      <c r="L7648" t="s">
        <v>3184</v>
      </c>
      <c r="M7648" t="s">
        <v>669</v>
      </c>
    </row>
    <row r="7649" spans="1:13">
      <c r="A7649" t="s">
        <v>851</v>
      </c>
      <c r="B7649" t="s">
        <v>686</v>
      </c>
      <c r="C7649" t="s">
        <v>686</v>
      </c>
      <c r="D7649" t="s">
        <v>3174</v>
      </c>
      <c r="E7649" t="s">
        <v>656</v>
      </c>
      <c r="F7649" t="s">
        <v>31</v>
      </c>
      <c r="G7649">
        <v>2045</v>
      </c>
      <c r="H7649" s="12">
        <v>23.86</v>
      </c>
      <c r="I7649" t="s">
        <v>3183</v>
      </c>
      <c r="J7649" t="s">
        <v>41</v>
      </c>
      <c r="K7649" t="s">
        <v>147</v>
      </c>
      <c r="L7649" t="s">
        <v>3184</v>
      </c>
      <c r="M7649" t="s">
        <v>669</v>
      </c>
    </row>
    <row r="7650" spans="1:13">
      <c r="A7650" t="s">
        <v>851</v>
      </c>
      <c r="B7650" t="s">
        <v>686</v>
      </c>
      <c r="C7650" t="s">
        <v>686</v>
      </c>
      <c r="D7650" t="s">
        <v>3174</v>
      </c>
      <c r="E7650" t="s">
        <v>656</v>
      </c>
      <c r="F7650" t="s">
        <v>31</v>
      </c>
      <c r="G7650">
        <v>2050</v>
      </c>
      <c r="H7650" s="12">
        <v>26.22</v>
      </c>
      <c r="I7650" t="s">
        <v>3183</v>
      </c>
      <c r="J7650" t="s">
        <v>41</v>
      </c>
      <c r="K7650" t="s">
        <v>147</v>
      </c>
      <c r="L7650" t="s">
        <v>3184</v>
      </c>
      <c r="M7650" t="s">
        <v>669</v>
      </c>
    </row>
    <row r="7651" spans="1:13">
      <c r="A7651" t="s">
        <v>851</v>
      </c>
      <c r="B7651" t="s">
        <v>687</v>
      </c>
      <c r="C7651" t="s">
        <v>687</v>
      </c>
      <c r="D7651" t="s">
        <v>3174</v>
      </c>
      <c r="E7651" t="s">
        <v>656</v>
      </c>
      <c r="F7651" t="s">
        <v>31</v>
      </c>
      <c r="G7651">
        <v>2030</v>
      </c>
      <c r="H7651" s="12">
        <v>30.55</v>
      </c>
      <c r="I7651" t="s">
        <v>3183</v>
      </c>
      <c r="J7651" t="s">
        <v>41</v>
      </c>
      <c r="K7651" t="s">
        <v>147</v>
      </c>
      <c r="L7651" t="s">
        <v>3184</v>
      </c>
      <c r="M7651" t="s">
        <v>669</v>
      </c>
    </row>
    <row r="7652" spans="1:13">
      <c r="A7652" t="s">
        <v>851</v>
      </c>
      <c r="B7652" t="s">
        <v>687</v>
      </c>
      <c r="C7652" t="s">
        <v>687</v>
      </c>
      <c r="D7652" t="s">
        <v>3174</v>
      </c>
      <c r="E7652" t="s">
        <v>656</v>
      </c>
      <c r="F7652" t="s">
        <v>31</v>
      </c>
      <c r="G7652">
        <v>2035</v>
      </c>
      <c r="H7652" s="12">
        <v>56.29</v>
      </c>
      <c r="I7652" t="s">
        <v>3183</v>
      </c>
      <c r="J7652" t="s">
        <v>41</v>
      </c>
      <c r="K7652" t="s">
        <v>147</v>
      </c>
      <c r="L7652" t="s">
        <v>3184</v>
      </c>
      <c r="M7652" t="s">
        <v>669</v>
      </c>
    </row>
    <row r="7653" spans="1:13">
      <c r="A7653" t="s">
        <v>851</v>
      </c>
      <c r="B7653" t="s">
        <v>687</v>
      </c>
      <c r="C7653" t="s">
        <v>687</v>
      </c>
      <c r="D7653" t="s">
        <v>3174</v>
      </c>
      <c r="E7653" t="s">
        <v>656</v>
      </c>
      <c r="F7653" t="s">
        <v>31</v>
      </c>
      <c r="G7653">
        <v>2040</v>
      </c>
      <c r="H7653" s="12">
        <v>68.739999999999995</v>
      </c>
      <c r="I7653" t="s">
        <v>3183</v>
      </c>
      <c r="J7653" t="s">
        <v>41</v>
      </c>
      <c r="K7653" t="s">
        <v>147</v>
      </c>
      <c r="L7653" t="s">
        <v>3184</v>
      </c>
      <c r="M7653" t="s">
        <v>669</v>
      </c>
    </row>
    <row r="7654" spans="1:13">
      <c r="A7654" t="s">
        <v>851</v>
      </c>
      <c r="B7654" t="s">
        <v>687</v>
      </c>
      <c r="C7654" t="s">
        <v>687</v>
      </c>
      <c r="D7654" t="s">
        <v>3174</v>
      </c>
      <c r="E7654" t="s">
        <v>656</v>
      </c>
      <c r="F7654" t="s">
        <v>31</v>
      </c>
      <c r="G7654">
        <v>2045</v>
      </c>
      <c r="H7654" s="12">
        <v>75.48</v>
      </c>
      <c r="I7654" t="s">
        <v>3183</v>
      </c>
      <c r="J7654" t="s">
        <v>41</v>
      </c>
      <c r="K7654" t="s">
        <v>147</v>
      </c>
      <c r="L7654" t="s">
        <v>3184</v>
      </c>
      <c r="M7654" t="s">
        <v>669</v>
      </c>
    </row>
    <row r="7655" spans="1:13">
      <c r="A7655" t="s">
        <v>851</v>
      </c>
      <c r="B7655" t="s">
        <v>686</v>
      </c>
      <c r="C7655" t="s">
        <v>686</v>
      </c>
      <c r="D7655" t="s">
        <v>3174</v>
      </c>
      <c r="E7655" t="s">
        <v>656</v>
      </c>
      <c r="F7655" t="s">
        <v>31</v>
      </c>
      <c r="G7655">
        <v>2030</v>
      </c>
      <c r="H7655" s="12">
        <v>100.16</v>
      </c>
      <c r="I7655" t="s">
        <v>3183</v>
      </c>
      <c r="J7655" t="s">
        <v>15</v>
      </c>
      <c r="K7655" t="s">
        <v>147</v>
      </c>
      <c r="L7655" t="s">
        <v>3184</v>
      </c>
      <c r="M7655" t="s">
        <v>15</v>
      </c>
    </row>
    <row r="7656" spans="1:13">
      <c r="A7656" t="s">
        <v>851</v>
      </c>
      <c r="B7656" t="s">
        <v>686</v>
      </c>
      <c r="C7656" t="s">
        <v>686</v>
      </c>
      <c r="D7656" t="s">
        <v>3174</v>
      </c>
      <c r="E7656" t="s">
        <v>656</v>
      </c>
      <c r="F7656" t="s">
        <v>31</v>
      </c>
      <c r="G7656">
        <v>2035</v>
      </c>
      <c r="H7656" s="12">
        <v>99.81</v>
      </c>
      <c r="I7656" t="s">
        <v>3183</v>
      </c>
      <c r="J7656" t="s">
        <v>15</v>
      </c>
      <c r="K7656" t="s">
        <v>147</v>
      </c>
      <c r="L7656" t="s">
        <v>3184</v>
      </c>
      <c r="M7656" t="s">
        <v>15</v>
      </c>
    </row>
    <row r="7657" spans="1:13">
      <c r="A7657" t="s">
        <v>851</v>
      </c>
      <c r="B7657" t="s">
        <v>686</v>
      </c>
      <c r="C7657" t="s">
        <v>686</v>
      </c>
      <c r="D7657" t="s">
        <v>3174</v>
      </c>
      <c r="E7657" t="s">
        <v>656</v>
      </c>
      <c r="F7657" t="s">
        <v>31</v>
      </c>
      <c r="G7657">
        <v>2040</v>
      </c>
      <c r="H7657" s="12">
        <v>100.39</v>
      </c>
      <c r="I7657" t="s">
        <v>3183</v>
      </c>
      <c r="J7657" t="s">
        <v>15</v>
      </c>
      <c r="K7657" t="s">
        <v>147</v>
      </c>
      <c r="L7657" t="s">
        <v>3184</v>
      </c>
      <c r="M7657" t="s">
        <v>15</v>
      </c>
    </row>
    <row r="7658" spans="1:13">
      <c r="A7658" t="s">
        <v>851</v>
      </c>
      <c r="B7658" t="s">
        <v>686</v>
      </c>
      <c r="C7658" t="s">
        <v>686</v>
      </c>
      <c r="D7658" t="s">
        <v>3174</v>
      </c>
      <c r="E7658" t="s">
        <v>656</v>
      </c>
      <c r="F7658" t="s">
        <v>31</v>
      </c>
      <c r="G7658">
        <v>2045</v>
      </c>
      <c r="H7658" s="12">
        <v>96.79</v>
      </c>
      <c r="I7658" t="s">
        <v>3183</v>
      </c>
      <c r="J7658" t="s">
        <v>15</v>
      </c>
      <c r="K7658" t="s">
        <v>147</v>
      </c>
      <c r="L7658" t="s">
        <v>3184</v>
      </c>
      <c r="M7658" t="s">
        <v>15</v>
      </c>
    </row>
    <row r="7659" spans="1:13">
      <c r="A7659" t="s">
        <v>851</v>
      </c>
      <c r="B7659" t="s">
        <v>686</v>
      </c>
      <c r="C7659" t="s">
        <v>686</v>
      </c>
      <c r="D7659" t="s">
        <v>3174</v>
      </c>
      <c r="E7659" t="s">
        <v>656</v>
      </c>
      <c r="F7659" t="s">
        <v>31</v>
      </c>
      <c r="G7659">
        <v>2050</v>
      </c>
      <c r="H7659" s="12">
        <v>98.94</v>
      </c>
      <c r="I7659" t="s">
        <v>3183</v>
      </c>
      <c r="J7659" t="s">
        <v>15</v>
      </c>
      <c r="K7659" t="s">
        <v>147</v>
      </c>
      <c r="L7659" t="s">
        <v>3184</v>
      </c>
      <c r="M7659" t="s">
        <v>15</v>
      </c>
    </row>
    <row r="7660" spans="1:13">
      <c r="A7660" t="s">
        <v>851</v>
      </c>
      <c r="B7660" t="s">
        <v>687</v>
      </c>
      <c r="C7660" t="s">
        <v>687</v>
      </c>
      <c r="D7660" t="s">
        <v>3174</v>
      </c>
      <c r="E7660" t="s">
        <v>656</v>
      </c>
      <c r="F7660" t="s">
        <v>31</v>
      </c>
      <c r="G7660">
        <v>2030</v>
      </c>
      <c r="H7660" s="12">
        <v>102.52</v>
      </c>
      <c r="I7660" t="s">
        <v>3183</v>
      </c>
      <c r="J7660" t="s">
        <v>15</v>
      </c>
      <c r="K7660" t="s">
        <v>147</v>
      </c>
      <c r="L7660" t="s">
        <v>3184</v>
      </c>
      <c r="M7660" t="s">
        <v>15</v>
      </c>
    </row>
    <row r="7661" spans="1:13">
      <c r="A7661" t="s">
        <v>851</v>
      </c>
      <c r="B7661" t="s">
        <v>687</v>
      </c>
      <c r="C7661" t="s">
        <v>687</v>
      </c>
      <c r="D7661" t="s">
        <v>3174</v>
      </c>
      <c r="E7661" t="s">
        <v>656</v>
      </c>
      <c r="F7661" t="s">
        <v>31</v>
      </c>
      <c r="G7661">
        <v>2035</v>
      </c>
      <c r="H7661" s="12">
        <v>104.03</v>
      </c>
      <c r="I7661" t="s">
        <v>3183</v>
      </c>
      <c r="J7661" t="s">
        <v>15</v>
      </c>
      <c r="K7661" t="s">
        <v>147</v>
      </c>
      <c r="L7661" t="s">
        <v>3184</v>
      </c>
      <c r="M7661" t="s">
        <v>15</v>
      </c>
    </row>
    <row r="7662" spans="1:13">
      <c r="A7662" t="s">
        <v>851</v>
      </c>
      <c r="B7662" t="s">
        <v>687</v>
      </c>
      <c r="C7662" t="s">
        <v>687</v>
      </c>
      <c r="D7662" t="s">
        <v>3174</v>
      </c>
      <c r="E7662" t="s">
        <v>656</v>
      </c>
      <c r="F7662" t="s">
        <v>31</v>
      </c>
      <c r="G7662">
        <v>2040</v>
      </c>
      <c r="H7662" s="12">
        <v>109.69</v>
      </c>
      <c r="I7662" t="s">
        <v>3183</v>
      </c>
      <c r="J7662" t="s">
        <v>15</v>
      </c>
      <c r="K7662" t="s">
        <v>147</v>
      </c>
      <c r="L7662" t="s">
        <v>3184</v>
      </c>
      <c r="M7662" t="s">
        <v>15</v>
      </c>
    </row>
    <row r="7663" spans="1:13">
      <c r="A7663" t="s">
        <v>851</v>
      </c>
      <c r="B7663" t="s">
        <v>687</v>
      </c>
      <c r="C7663" t="s">
        <v>687</v>
      </c>
      <c r="D7663" t="s">
        <v>3174</v>
      </c>
      <c r="E7663" t="s">
        <v>656</v>
      </c>
      <c r="F7663" t="s">
        <v>31</v>
      </c>
      <c r="G7663">
        <v>2045</v>
      </c>
      <c r="H7663" s="12">
        <v>112.22</v>
      </c>
      <c r="I7663" t="s">
        <v>3183</v>
      </c>
      <c r="J7663" t="s">
        <v>15</v>
      </c>
      <c r="K7663" t="s">
        <v>147</v>
      </c>
      <c r="L7663" t="s">
        <v>3184</v>
      </c>
      <c r="M7663" t="s">
        <v>15</v>
      </c>
    </row>
    <row r="7664" spans="1:13">
      <c r="A7664" t="s">
        <v>851</v>
      </c>
      <c r="B7664" t="s">
        <v>687</v>
      </c>
      <c r="C7664" t="s">
        <v>687</v>
      </c>
      <c r="D7664" t="s">
        <v>3174</v>
      </c>
      <c r="E7664" t="s">
        <v>656</v>
      </c>
      <c r="F7664" t="s">
        <v>31</v>
      </c>
      <c r="G7664">
        <v>2050</v>
      </c>
      <c r="H7664" s="12">
        <v>119.05</v>
      </c>
      <c r="I7664" t="s">
        <v>3183</v>
      </c>
      <c r="J7664" t="s">
        <v>15</v>
      </c>
      <c r="K7664" t="s">
        <v>147</v>
      </c>
      <c r="L7664" t="s">
        <v>3184</v>
      </c>
      <c r="M7664" t="s">
        <v>15</v>
      </c>
    </row>
    <row r="7665" spans="1:13">
      <c r="A7665" t="s">
        <v>851</v>
      </c>
      <c r="B7665" t="s">
        <v>686</v>
      </c>
      <c r="C7665" t="s">
        <v>686</v>
      </c>
      <c r="D7665" t="s">
        <v>3174</v>
      </c>
      <c r="E7665" t="s">
        <v>656</v>
      </c>
      <c r="F7665" t="s">
        <v>31</v>
      </c>
      <c r="G7665">
        <v>2010</v>
      </c>
      <c r="H7665" s="12">
        <v>0</v>
      </c>
      <c r="I7665" t="s">
        <v>3183</v>
      </c>
      <c r="J7665" t="s">
        <v>8</v>
      </c>
      <c r="K7665" t="s">
        <v>147</v>
      </c>
      <c r="L7665" t="s">
        <v>3184</v>
      </c>
      <c r="M7665" t="s">
        <v>670</v>
      </c>
    </row>
    <row r="7666" spans="1:13">
      <c r="A7666" t="s">
        <v>851</v>
      </c>
      <c r="B7666" t="s">
        <v>686</v>
      </c>
      <c r="C7666" t="s">
        <v>686</v>
      </c>
      <c r="D7666" t="s">
        <v>3174</v>
      </c>
      <c r="E7666" t="s">
        <v>656</v>
      </c>
      <c r="F7666" t="s">
        <v>31</v>
      </c>
      <c r="G7666">
        <v>2015</v>
      </c>
      <c r="H7666" s="12">
        <v>0</v>
      </c>
      <c r="I7666" t="s">
        <v>3183</v>
      </c>
      <c r="J7666" t="s">
        <v>8</v>
      </c>
      <c r="K7666" t="s">
        <v>147</v>
      </c>
      <c r="L7666" t="s">
        <v>3184</v>
      </c>
      <c r="M7666" t="s">
        <v>670</v>
      </c>
    </row>
    <row r="7667" spans="1:13">
      <c r="A7667" t="s">
        <v>851</v>
      </c>
      <c r="B7667" t="s">
        <v>686</v>
      </c>
      <c r="C7667" t="s">
        <v>686</v>
      </c>
      <c r="D7667" t="s">
        <v>3174</v>
      </c>
      <c r="E7667" t="s">
        <v>656</v>
      </c>
      <c r="F7667" t="s">
        <v>31</v>
      </c>
      <c r="G7667">
        <v>2020</v>
      </c>
      <c r="H7667" s="12">
        <v>0</v>
      </c>
      <c r="I7667" t="s">
        <v>3183</v>
      </c>
      <c r="J7667" t="s">
        <v>8</v>
      </c>
      <c r="K7667" t="s">
        <v>147</v>
      </c>
      <c r="L7667" t="s">
        <v>3184</v>
      </c>
      <c r="M7667" t="s">
        <v>670</v>
      </c>
    </row>
    <row r="7668" spans="1:13">
      <c r="A7668" t="s">
        <v>851</v>
      </c>
      <c r="B7668" t="s">
        <v>686</v>
      </c>
      <c r="C7668" t="s">
        <v>686</v>
      </c>
      <c r="D7668" t="s">
        <v>3174</v>
      </c>
      <c r="E7668" t="s">
        <v>656</v>
      </c>
      <c r="F7668" t="s">
        <v>31</v>
      </c>
      <c r="G7668">
        <v>2030</v>
      </c>
      <c r="H7668" s="12">
        <v>0</v>
      </c>
      <c r="I7668" t="s">
        <v>3183</v>
      </c>
      <c r="J7668" t="s">
        <v>8</v>
      </c>
      <c r="K7668" t="s">
        <v>147</v>
      </c>
      <c r="L7668" t="s">
        <v>3184</v>
      </c>
      <c r="M7668" t="s">
        <v>670</v>
      </c>
    </row>
    <row r="7669" spans="1:13">
      <c r="A7669" t="s">
        <v>851</v>
      </c>
      <c r="B7669" t="s">
        <v>686</v>
      </c>
      <c r="C7669" t="s">
        <v>686</v>
      </c>
      <c r="D7669" t="s">
        <v>3174</v>
      </c>
      <c r="E7669" t="s">
        <v>656</v>
      </c>
      <c r="F7669" t="s">
        <v>31</v>
      </c>
      <c r="G7669">
        <v>2035</v>
      </c>
      <c r="H7669" s="12">
        <v>0</v>
      </c>
      <c r="I7669" t="s">
        <v>3183</v>
      </c>
      <c r="J7669" t="s">
        <v>8</v>
      </c>
      <c r="K7669" t="s">
        <v>147</v>
      </c>
      <c r="L7669" t="s">
        <v>3184</v>
      </c>
      <c r="M7669" t="s">
        <v>670</v>
      </c>
    </row>
    <row r="7670" spans="1:13">
      <c r="A7670" t="s">
        <v>851</v>
      </c>
      <c r="B7670" t="s">
        <v>686</v>
      </c>
      <c r="C7670" t="s">
        <v>686</v>
      </c>
      <c r="D7670" t="s">
        <v>3174</v>
      </c>
      <c r="E7670" t="s">
        <v>656</v>
      </c>
      <c r="F7670" t="s">
        <v>31</v>
      </c>
      <c r="G7670">
        <v>2040</v>
      </c>
      <c r="H7670" s="12">
        <v>0</v>
      </c>
      <c r="I7670" t="s">
        <v>3183</v>
      </c>
      <c r="J7670" t="s">
        <v>8</v>
      </c>
      <c r="K7670" t="s">
        <v>147</v>
      </c>
      <c r="L7670" t="s">
        <v>3184</v>
      </c>
      <c r="M7670" t="s">
        <v>670</v>
      </c>
    </row>
    <row r="7671" spans="1:13">
      <c r="A7671" t="s">
        <v>851</v>
      </c>
      <c r="B7671" t="s">
        <v>686</v>
      </c>
      <c r="C7671" t="s">
        <v>686</v>
      </c>
      <c r="D7671" t="s">
        <v>3174</v>
      </c>
      <c r="E7671" t="s">
        <v>656</v>
      </c>
      <c r="F7671" t="s">
        <v>31</v>
      </c>
      <c r="G7671">
        <v>2045</v>
      </c>
      <c r="H7671" s="12">
        <v>0</v>
      </c>
      <c r="I7671" t="s">
        <v>3183</v>
      </c>
      <c r="J7671" t="s">
        <v>8</v>
      </c>
      <c r="K7671" t="s">
        <v>147</v>
      </c>
      <c r="L7671" t="s">
        <v>3184</v>
      </c>
      <c r="M7671" t="s">
        <v>670</v>
      </c>
    </row>
    <row r="7672" spans="1:13">
      <c r="A7672" t="s">
        <v>851</v>
      </c>
      <c r="B7672" t="s">
        <v>686</v>
      </c>
      <c r="C7672" t="s">
        <v>686</v>
      </c>
      <c r="D7672" t="s">
        <v>3174</v>
      </c>
      <c r="E7672" t="s">
        <v>656</v>
      </c>
      <c r="F7672" t="s">
        <v>31</v>
      </c>
      <c r="G7672">
        <v>2050</v>
      </c>
      <c r="H7672" s="12">
        <v>0</v>
      </c>
      <c r="I7672" t="s">
        <v>3183</v>
      </c>
      <c r="J7672" t="s">
        <v>8</v>
      </c>
      <c r="K7672" t="s">
        <v>147</v>
      </c>
      <c r="L7672" t="s">
        <v>3184</v>
      </c>
      <c r="M7672" t="s">
        <v>670</v>
      </c>
    </row>
    <row r="7673" spans="1:13">
      <c r="A7673" t="s">
        <v>851</v>
      </c>
      <c r="B7673" t="s">
        <v>687</v>
      </c>
      <c r="C7673" t="s">
        <v>687</v>
      </c>
      <c r="D7673" t="s">
        <v>3174</v>
      </c>
      <c r="E7673" t="s">
        <v>656</v>
      </c>
      <c r="F7673" t="s">
        <v>31</v>
      </c>
      <c r="G7673">
        <v>2030</v>
      </c>
      <c r="H7673" s="12">
        <v>19.809999999999999</v>
      </c>
      <c r="I7673" t="s">
        <v>3183</v>
      </c>
      <c r="J7673" t="s">
        <v>8</v>
      </c>
      <c r="K7673" t="s">
        <v>147</v>
      </c>
      <c r="L7673" t="s">
        <v>3184</v>
      </c>
      <c r="M7673" t="s">
        <v>670</v>
      </c>
    </row>
    <row r="7674" spans="1:13">
      <c r="A7674" t="s">
        <v>851</v>
      </c>
      <c r="B7674" t="s">
        <v>687</v>
      </c>
      <c r="C7674" t="s">
        <v>687</v>
      </c>
      <c r="D7674" t="s">
        <v>3174</v>
      </c>
      <c r="E7674" t="s">
        <v>656</v>
      </c>
      <c r="F7674" t="s">
        <v>31</v>
      </c>
      <c r="G7674">
        <v>2035</v>
      </c>
      <c r="H7674" s="12">
        <v>78.63</v>
      </c>
      <c r="I7674" t="s">
        <v>3183</v>
      </c>
      <c r="J7674" t="s">
        <v>8</v>
      </c>
      <c r="K7674" t="s">
        <v>147</v>
      </c>
      <c r="L7674" t="s">
        <v>3184</v>
      </c>
      <c r="M7674" t="s">
        <v>670</v>
      </c>
    </row>
    <row r="7675" spans="1:13">
      <c r="A7675" t="s">
        <v>851</v>
      </c>
      <c r="B7675" t="s">
        <v>687</v>
      </c>
      <c r="C7675" t="s">
        <v>687</v>
      </c>
      <c r="D7675" t="s">
        <v>3174</v>
      </c>
      <c r="E7675" t="s">
        <v>656</v>
      </c>
      <c r="F7675" t="s">
        <v>31</v>
      </c>
      <c r="G7675">
        <v>2040</v>
      </c>
      <c r="H7675" s="12">
        <v>95.63</v>
      </c>
      <c r="I7675" t="s">
        <v>3183</v>
      </c>
      <c r="J7675" t="s">
        <v>8</v>
      </c>
      <c r="K7675" t="s">
        <v>147</v>
      </c>
      <c r="L7675" t="s">
        <v>3184</v>
      </c>
      <c r="M7675" t="s">
        <v>670</v>
      </c>
    </row>
    <row r="7676" spans="1:13">
      <c r="A7676" t="s">
        <v>851</v>
      </c>
      <c r="B7676" t="s">
        <v>687</v>
      </c>
      <c r="C7676" t="s">
        <v>687</v>
      </c>
      <c r="D7676" t="s">
        <v>3174</v>
      </c>
      <c r="E7676" t="s">
        <v>656</v>
      </c>
      <c r="F7676" t="s">
        <v>31</v>
      </c>
      <c r="G7676">
        <v>2045</v>
      </c>
      <c r="H7676" s="12">
        <v>92.84</v>
      </c>
      <c r="I7676" t="s">
        <v>3183</v>
      </c>
      <c r="J7676" t="s">
        <v>8</v>
      </c>
      <c r="K7676" t="s">
        <v>147</v>
      </c>
      <c r="L7676" t="s">
        <v>3184</v>
      </c>
      <c r="M7676" t="s">
        <v>670</v>
      </c>
    </row>
    <row r="7677" spans="1:13">
      <c r="A7677" t="s">
        <v>851</v>
      </c>
      <c r="B7677" t="s">
        <v>687</v>
      </c>
      <c r="C7677" t="s">
        <v>687</v>
      </c>
      <c r="D7677" t="s">
        <v>3174</v>
      </c>
      <c r="E7677" t="s">
        <v>656</v>
      </c>
      <c r="F7677" t="s">
        <v>31</v>
      </c>
      <c r="G7677">
        <v>2050</v>
      </c>
      <c r="H7677" s="12">
        <v>86.52</v>
      </c>
      <c r="I7677" t="s">
        <v>3183</v>
      </c>
      <c r="J7677" t="s">
        <v>8</v>
      </c>
      <c r="K7677" t="s">
        <v>147</v>
      </c>
      <c r="L7677" t="s">
        <v>3184</v>
      </c>
      <c r="M7677" t="s">
        <v>670</v>
      </c>
    </row>
    <row r="7678" spans="1:13">
      <c r="A7678" t="s">
        <v>851</v>
      </c>
      <c r="B7678" t="s">
        <v>686</v>
      </c>
      <c r="C7678" t="s">
        <v>686</v>
      </c>
      <c r="D7678" t="s">
        <v>3174</v>
      </c>
      <c r="E7678" t="s">
        <v>656</v>
      </c>
      <c r="F7678" t="s">
        <v>31</v>
      </c>
      <c r="G7678">
        <v>2010</v>
      </c>
      <c r="H7678" s="12">
        <v>325.12</v>
      </c>
      <c r="I7678" t="s">
        <v>3183</v>
      </c>
      <c r="J7678" t="s">
        <v>5</v>
      </c>
      <c r="K7678" t="s">
        <v>147</v>
      </c>
      <c r="L7678" t="s">
        <v>3184</v>
      </c>
      <c r="M7678" t="s">
        <v>665</v>
      </c>
    </row>
    <row r="7679" spans="1:13">
      <c r="A7679" t="s">
        <v>851</v>
      </c>
      <c r="B7679" t="s">
        <v>686</v>
      </c>
      <c r="C7679" t="s">
        <v>686</v>
      </c>
      <c r="D7679" t="s">
        <v>3174</v>
      </c>
      <c r="E7679" t="s">
        <v>656</v>
      </c>
      <c r="F7679" t="s">
        <v>31</v>
      </c>
      <c r="G7679">
        <v>2015</v>
      </c>
      <c r="H7679" s="12">
        <v>293.68</v>
      </c>
      <c r="I7679" t="s">
        <v>3183</v>
      </c>
      <c r="J7679" t="s">
        <v>5</v>
      </c>
      <c r="K7679" t="s">
        <v>147</v>
      </c>
      <c r="L7679" t="s">
        <v>3184</v>
      </c>
      <c r="M7679" t="s">
        <v>665</v>
      </c>
    </row>
    <row r="7680" spans="1:13">
      <c r="A7680" t="s">
        <v>851</v>
      </c>
      <c r="B7680" t="s">
        <v>686</v>
      </c>
      <c r="C7680" t="s">
        <v>686</v>
      </c>
      <c r="D7680" t="s">
        <v>3174</v>
      </c>
      <c r="E7680" t="s">
        <v>656</v>
      </c>
      <c r="F7680" t="s">
        <v>31</v>
      </c>
      <c r="G7680">
        <v>2020</v>
      </c>
      <c r="H7680" s="12">
        <v>240.69</v>
      </c>
      <c r="I7680" t="s">
        <v>3183</v>
      </c>
      <c r="J7680" t="s">
        <v>5</v>
      </c>
      <c r="K7680" t="s">
        <v>147</v>
      </c>
      <c r="L7680" t="s">
        <v>3184</v>
      </c>
      <c r="M7680" t="s">
        <v>665</v>
      </c>
    </row>
    <row r="7681" spans="1:13">
      <c r="A7681" t="s">
        <v>851</v>
      </c>
      <c r="B7681" t="s">
        <v>686</v>
      </c>
      <c r="C7681" t="s">
        <v>686</v>
      </c>
      <c r="D7681" t="s">
        <v>3174</v>
      </c>
      <c r="E7681" t="s">
        <v>656</v>
      </c>
      <c r="F7681" t="s">
        <v>31</v>
      </c>
      <c r="G7681">
        <v>2030</v>
      </c>
      <c r="H7681" s="12">
        <v>95.53</v>
      </c>
      <c r="I7681" t="s">
        <v>3183</v>
      </c>
      <c r="J7681" t="s">
        <v>5</v>
      </c>
      <c r="K7681" t="s">
        <v>147</v>
      </c>
      <c r="L7681" t="s">
        <v>3184</v>
      </c>
      <c r="M7681" t="s">
        <v>665</v>
      </c>
    </row>
    <row r="7682" spans="1:13">
      <c r="A7682" t="s">
        <v>851</v>
      </c>
      <c r="B7682" t="s">
        <v>686</v>
      </c>
      <c r="C7682" t="s">
        <v>686</v>
      </c>
      <c r="D7682" t="s">
        <v>3174</v>
      </c>
      <c r="E7682" t="s">
        <v>656</v>
      </c>
      <c r="F7682" t="s">
        <v>31</v>
      </c>
      <c r="G7682">
        <v>2035</v>
      </c>
      <c r="H7682" s="12">
        <v>39.78</v>
      </c>
      <c r="I7682" t="s">
        <v>3183</v>
      </c>
      <c r="J7682" t="s">
        <v>5</v>
      </c>
      <c r="K7682" t="s">
        <v>147</v>
      </c>
      <c r="L7682" t="s">
        <v>3184</v>
      </c>
      <c r="M7682" t="s">
        <v>665</v>
      </c>
    </row>
    <row r="7683" spans="1:13">
      <c r="A7683" t="s">
        <v>851</v>
      </c>
      <c r="B7683" t="s">
        <v>686</v>
      </c>
      <c r="C7683" t="s">
        <v>686</v>
      </c>
      <c r="D7683" t="s">
        <v>3174</v>
      </c>
      <c r="E7683" t="s">
        <v>656</v>
      </c>
      <c r="F7683" t="s">
        <v>31</v>
      </c>
      <c r="G7683">
        <v>2040</v>
      </c>
      <c r="H7683" s="12">
        <v>18.399999999999999</v>
      </c>
      <c r="I7683" t="s">
        <v>3183</v>
      </c>
      <c r="J7683" t="s">
        <v>5</v>
      </c>
      <c r="K7683" t="s">
        <v>147</v>
      </c>
      <c r="L7683" t="s">
        <v>3184</v>
      </c>
      <c r="M7683" t="s">
        <v>665</v>
      </c>
    </row>
    <row r="7684" spans="1:13">
      <c r="A7684" t="s">
        <v>851</v>
      </c>
      <c r="B7684" t="s">
        <v>686</v>
      </c>
      <c r="C7684" t="s">
        <v>686</v>
      </c>
      <c r="D7684" t="s">
        <v>3174</v>
      </c>
      <c r="E7684" t="s">
        <v>656</v>
      </c>
      <c r="F7684" t="s">
        <v>31</v>
      </c>
      <c r="G7684">
        <v>2045</v>
      </c>
      <c r="H7684" s="12">
        <v>8.8800000000000008</v>
      </c>
      <c r="I7684" t="s">
        <v>3183</v>
      </c>
      <c r="J7684" t="s">
        <v>5</v>
      </c>
      <c r="K7684" t="s">
        <v>147</v>
      </c>
      <c r="L7684" t="s">
        <v>3184</v>
      </c>
      <c r="M7684" t="s">
        <v>665</v>
      </c>
    </row>
    <row r="7685" spans="1:13">
      <c r="A7685" t="s">
        <v>851</v>
      </c>
      <c r="B7685" t="s">
        <v>686</v>
      </c>
      <c r="C7685" t="s">
        <v>686</v>
      </c>
      <c r="D7685" t="s">
        <v>3174</v>
      </c>
      <c r="E7685" t="s">
        <v>656</v>
      </c>
      <c r="F7685" t="s">
        <v>31</v>
      </c>
      <c r="G7685">
        <v>2050</v>
      </c>
      <c r="H7685" s="12">
        <v>5.37</v>
      </c>
      <c r="I7685" t="s">
        <v>3183</v>
      </c>
      <c r="J7685" t="s">
        <v>5</v>
      </c>
      <c r="K7685" t="s">
        <v>147</v>
      </c>
      <c r="L7685" t="s">
        <v>3184</v>
      </c>
      <c r="M7685" t="s">
        <v>665</v>
      </c>
    </row>
    <row r="7686" spans="1:13">
      <c r="A7686" t="s">
        <v>851</v>
      </c>
      <c r="B7686" t="s">
        <v>687</v>
      </c>
      <c r="C7686" t="s">
        <v>687</v>
      </c>
      <c r="D7686" t="s">
        <v>3174</v>
      </c>
      <c r="E7686" t="s">
        <v>656</v>
      </c>
      <c r="F7686" t="s">
        <v>31</v>
      </c>
      <c r="G7686">
        <v>2030</v>
      </c>
      <c r="H7686" s="12">
        <v>72.55</v>
      </c>
      <c r="I7686" t="s">
        <v>3183</v>
      </c>
      <c r="J7686" t="s">
        <v>5</v>
      </c>
      <c r="K7686" t="s">
        <v>147</v>
      </c>
      <c r="L7686" t="s">
        <v>3184</v>
      </c>
      <c r="M7686" t="s">
        <v>665</v>
      </c>
    </row>
    <row r="7687" spans="1:13">
      <c r="A7687" t="s">
        <v>851</v>
      </c>
      <c r="B7687" t="s">
        <v>687</v>
      </c>
      <c r="C7687" t="s">
        <v>687</v>
      </c>
      <c r="D7687" t="s">
        <v>3174</v>
      </c>
      <c r="E7687" t="s">
        <v>656</v>
      </c>
      <c r="F7687" t="s">
        <v>31</v>
      </c>
      <c r="G7687">
        <v>2035</v>
      </c>
      <c r="H7687" s="12">
        <v>18.989999999999998</v>
      </c>
      <c r="I7687" t="s">
        <v>3183</v>
      </c>
      <c r="J7687" t="s">
        <v>5</v>
      </c>
      <c r="K7687" t="s">
        <v>147</v>
      </c>
      <c r="L7687" t="s">
        <v>3184</v>
      </c>
      <c r="M7687" t="s">
        <v>665</v>
      </c>
    </row>
    <row r="7688" spans="1:13">
      <c r="A7688" t="s">
        <v>851</v>
      </c>
      <c r="B7688" t="s">
        <v>687</v>
      </c>
      <c r="C7688" t="s">
        <v>687</v>
      </c>
      <c r="D7688" t="s">
        <v>3174</v>
      </c>
      <c r="E7688" t="s">
        <v>656</v>
      </c>
      <c r="F7688" t="s">
        <v>31</v>
      </c>
      <c r="G7688">
        <v>2040</v>
      </c>
      <c r="H7688" s="12">
        <v>10.32</v>
      </c>
      <c r="I7688" t="s">
        <v>3183</v>
      </c>
      <c r="J7688" t="s">
        <v>5</v>
      </c>
      <c r="K7688" t="s">
        <v>147</v>
      </c>
      <c r="L7688" t="s">
        <v>3184</v>
      </c>
      <c r="M7688" t="s">
        <v>665</v>
      </c>
    </row>
    <row r="7689" spans="1:13">
      <c r="A7689" t="s">
        <v>851</v>
      </c>
      <c r="B7689" t="s">
        <v>687</v>
      </c>
      <c r="C7689" t="s">
        <v>687</v>
      </c>
      <c r="D7689" t="s">
        <v>3174</v>
      </c>
      <c r="E7689" t="s">
        <v>461</v>
      </c>
      <c r="F7689" t="s">
        <v>668</v>
      </c>
      <c r="G7689">
        <v>2030</v>
      </c>
      <c r="H7689" s="12">
        <v>51.3</v>
      </c>
      <c r="I7689" t="s">
        <v>3183</v>
      </c>
      <c r="J7689" t="s">
        <v>8</v>
      </c>
      <c r="K7689" t="s">
        <v>147</v>
      </c>
      <c r="L7689" t="s">
        <v>3184</v>
      </c>
      <c r="M7689" t="s">
        <v>670</v>
      </c>
    </row>
    <row r="7690" spans="1:13">
      <c r="A7690" t="s">
        <v>851</v>
      </c>
      <c r="B7690" t="s">
        <v>687</v>
      </c>
      <c r="C7690" t="s">
        <v>687</v>
      </c>
      <c r="D7690" t="s">
        <v>3174</v>
      </c>
      <c r="E7690" t="s">
        <v>461</v>
      </c>
      <c r="F7690" t="s">
        <v>668</v>
      </c>
      <c r="G7690">
        <v>2035</v>
      </c>
      <c r="H7690" s="12">
        <v>90.11</v>
      </c>
      <c r="I7690" t="s">
        <v>3183</v>
      </c>
      <c r="J7690" t="s">
        <v>8</v>
      </c>
      <c r="K7690" t="s">
        <v>147</v>
      </c>
      <c r="L7690" t="s">
        <v>3184</v>
      </c>
      <c r="M7690" t="s">
        <v>670</v>
      </c>
    </row>
    <row r="7691" spans="1:13">
      <c r="A7691" t="s">
        <v>851</v>
      </c>
      <c r="B7691" t="s">
        <v>687</v>
      </c>
      <c r="C7691" t="s">
        <v>687</v>
      </c>
      <c r="D7691" t="s">
        <v>3174</v>
      </c>
      <c r="E7691" t="s">
        <v>461</v>
      </c>
      <c r="F7691" t="s">
        <v>668</v>
      </c>
      <c r="G7691">
        <v>2040</v>
      </c>
      <c r="H7691" s="12">
        <v>104.63</v>
      </c>
      <c r="I7691" t="s">
        <v>3183</v>
      </c>
      <c r="J7691" t="s">
        <v>8</v>
      </c>
      <c r="K7691" t="s">
        <v>147</v>
      </c>
      <c r="L7691" t="s">
        <v>3184</v>
      </c>
      <c r="M7691" t="s">
        <v>670</v>
      </c>
    </row>
    <row r="7692" spans="1:13">
      <c r="A7692" t="s">
        <v>851</v>
      </c>
      <c r="B7692" t="s">
        <v>687</v>
      </c>
      <c r="C7692" t="s">
        <v>687</v>
      </c>
      <c r="D7692" t="s">
        <v>3174</v>
      </c>
      <c r="E7692" t="s">
        <v>461</v>
      </c>
      <c r="F7692" t="s">
        <v>668</v>
      </c>
      <c r="G7692">
        <v>2045</v>
      </c>
      <c r="H7692" s="12">
        <v>113.08</v>
      </c>
      <c r="I7692" t="s">
        <v>3183</v>
      </c>
      <c r="J7692" t="s">
        <v>8</v>
      </c>
      <c r="K7692" t="s">
        <v>147</v>
      </c>
      <c r="L7692" t="s">
        <v>3184</v>
      </c>
      <c r="M7692" t="s">
        <v>670</v>
      </c>
    </row>
    <row r="7693" spans="1:13">
      <c r="A7693" t="s">
        <v>851</v>
      </c>
      <c r="B7693" t="s">
        <v>687</v>
      </c>
      <c r="C7693" t="s">
        <v>687</v>
      </c>
      <c r="D7693" t="s">
        <v>3174</v>
      </c>
      <c r="E7693" t="s">
        <v>461</v>
      </c>
      <c r="F7693" t="s">
        <v>668</v>
      </c>
      <c r="G7693">
        <v>2050</v>
      </c>
      <c r="H7693" s="12">
        <v>124.2</v>
      </c>
      <c r="I7693" t="s">
        <v>3183</v>
      </c>
      <c r="J7693" t="s">
        <v>8</v>
      </c>
      <c r="K7693" t="s">
        <v>147</v>
      </c>
      <c r="L7693" t="s">
        <v>3184</v>
      </c>
      <c r="M7693" t="s">
        <v>670</v>
      </c>
    </row>
    <row r="7694" spans="1:13">
      <c r="A7694" t="s">
        <v>851</v>
      </c>
      <c r="B7694" t="s">
        <v>686</v>
      </c>
      <c r="C7694" t="s">
        <v>686</v>
      </c>
      <c r="D7694" t="s">
        <v>3174</v>
      </c>
      <c r="E7694" t="s">
        <v>461</v>
      </c>
      <c r="F7694" t="s">
        <v>668</v>
      </c>
      <c r="G7694">
        <v>2010</v>
      </c>
      <c r="H7694" s="12">
        <v>1994.19</v>
      </c>
      <c r="I7694" t="s">
        <v>3183</v>
      </c>
      <c r="J7694" t="s">
        <v>5</v>
      </c>
      <c r="K7694" t="s">
        <v>147</v>
      </c>
      <c r="L7694" t="s">
        <v>3184</v>
      </c>
      <c r="M7694" t="s">
        <v>665</v>
      </c>
    </row>
    <row r="7695" spans="1:13">
      <c r="A7695" t="s">
        <v>851</v>
      </c>
      <c r="B7695" t="s">
        <v>686</v>
      </c>
      <c r="C7695" t="s">
        <v>686</v>
      </c>
      <c r="D7695" t="s">
        <v>3174</v>
      </c>
      <c r="E7695" t="s">
        <v>461</v>
      </c>
      <c r="F7695" t="s">
        <v>668</v>
      </c>
      <c r="G7695">
        <v>2015</v>
      </c>
      <c r="H7695" s="12">
        <v>1471</v>
      </c>
      <c r="I7695" t="s">
        <v>3183</v>
      </c>
      <c r="J7695" t="s">
        <v>5</v>
      </c>
      <c r="K7695" t="s">
        <v>147</v>
      </c>
      <c r="L7695" t="s">
        <v>3184</v>
      </c>
      <c r="M7695" t="s">
        <v>665</v>
      </c>
    </row>
    <row r="7696" spans="1:13">
      <c r="A7696" t="s">
        <v>851</v>
      </c>
      <c r="B7696" t="s">
        <v>686</v>
      </c>
      <c r="C7696" t="s">
        <v>686</v>
      </c>
      <c r="D7696" t="s">
        <v>3174</v>
      </c>
      <c r="E7696" t="s">
        <v>461</v>
      </c>
      <c r="F7696" t="s">
        <v>668</v>
      </c>
      <c r="G7696">
        <v>2020</v>
      </c>
      <c r="H7696" s="12">
        <v>855.77</v>
      </c>
      <c r="I7696" t="s">
        <v>3183</v>
      </c>
      <c r="J7696" t="s">
        <v>5</v>
      </c>
      <c r="K7696" t="s">
        <v>147</v>
      </c>
      <c r="L7696" t="s">
        <v>3184</v>
      </c>
      <c r="M7696" t="s">
        <v>665</v>
      </c>
    </row>
    <row r="7697" spans="1:13">
      <c r="A7697" t="s">
        <v>851</v>
      </c>
      <c r="B7697" t="s">
        <v>686</v>
      </c>
      <c r="C7697" t="s">
        <v>686</v>
      </c>
      <c r="D7697" t="s">
        <v>3174</v>
      </c>
      <c r="E7697" t="s">
        <v>461</v>
      </c>
      <c r="F7697" t="s">
        <v>668</v>
      </c>
      <c r="G7697">
        <v>2030</v>
      </c>
      <c r="H7697" s="12">
        <v>200.75</v>
      </c>
      <c r="I7697" t="s">
        <v>3183</v>
      </c>
      <c r="J7697" t="s">
        <v>5</v>
      </c>
      <c r="K7697" t="s">
        <v>147</v>
      </c>
      <c r="L7697" t="s">
        <v>3184</v>
      </c>
      <c r="M7697" t="s">
        <v>665</v>
      </c>
    </row>
    <row r="7698" spans="1:13">
      <c r="A7698" t="s">
        <v>851</v>
      </c>
      <c r="B7698" t="s">
        <v>686</v>
      </c>
      <c r="C7698" t="s">
        <v>686</v>
      </c>
      <c r="D7698" t="s">
        <v>3174</v>
      </c>
      <c r="E7698" t="s">
        <v>461</v>
      </c>
      <c r="F7698" t="s">
        <v>668</v>
      </c>
      <c r="G7698">
        <v>2035</v>
      </c>
      <c r="H7698" s="12">
        <v>42.16</v>
      </c>
      <c r="I7698" t="s">
        <v>3183</v>
      </c>
      <c r="J7698" t="s">
        <v>5</v>
      </c>
      <c r="K7698" t="s">
        <v>147</v>
      </c>
      <c r="L7698" t="s">
        <v>3184</v>
      </c>
      <c r="M7698" t="s">
        <v>665</v>
      </c>
    </row>
    <row r="7699" spans="1:13">
      <c r="A7699" t="s">
        <v>851</v>
      </c>
      <c r="B7699" t="s">
        <v>686</v>
      </c>
      <c r="C7699" t="s">
        <v>686</v>
      </c>
      <c r="D7699" t="s">
        <v>3174</v>
      </c>
      <c r="E7699" t="s">
        <v>461</v>
      </c>
      <c r="F7699" t="s">
        <v>668</v>
      </c>
      <c r="G7699">
        <v>2040</v>
      </c>
      <c r="H7699" s="12">
        <v>20.39</v>
      </c>
      <c r="I7699" t="s">
        <v>3183</v>
      </c>
      <c r="J7699" t="s">
        <v>5</v>
      </c>
      <c r="K7699" t="s">
        <v>147</v>
      </c>
      <c r="L7699" t="s">
        <v>3184</v>
      </c>
      <c r="M7699" t="s">
        <v>665</v>
      </c>
    </row>
    <row r="7700" spans="1:13">
      <c r="A7700" t="s">
        <v>851</v>
      </c>
      <c r="B7700" t="s">
        <v>686</v>
      </c>
      <c r="C7700" t="s">
        <v>686</v>
      </c>
      <c r="D7700" t="s">
        <v>3174</v>
      </c>
      <c r="E7700" t="s">
        <v>461</v>
      </c>
      <c r="F7700" t="s">
        <v>668</v>
      </c>
      <c r="G7700">
        <v>2045</v>
      </c>
      <c r="H7700" s="12">
        <v>15.42</v>
      </c>
      <c r="I7700" t="s">
        <v>3183</v>
      </c>
      <c r="J7700" t="s">
        <v>5</v>
      </c>
      <c r="K7700" t="s">
        <v>147</v>
      </c>
      <c r="L7700" t="s">
        <v>3184</v>
      </c>
      <c r="M7700" t="s">
        <v>665</v>
      </c>
    </row>
    <row r="7701" spans="1:13">
      <c r="A7701" t="s">
        <v>851</v>
      </c>
      <c r="B7701" t="s">
        <v>686</v>
      </c>
      <c r="C7701" t="s">
        <v>686</v>
      </c>
      <c r="D7701" t="s">
        <v>3174</v>
      </c>
      <c r="E7701" t="s">
        <v>461</v>
      </c>
      <c r="F7701" t="s">
        <v>668</v>
      </c>
      <c r="G7701">
        <v>2050</v>
      </c>
      <c r="H7701" s="12">
        <v>13.63</v>
      </c>
      <c r="I7701" t="s">
        <v>3183</v>
      </c>
      <c r="J7701" t="s">
        <v>5</v>
      </c>
      <c r="K7701" t="s">
        <v>147</v>
      </c>
      <c r="L7701" t="s">
        <v>3184</v>
      </c>
      <c r="M7701" t="s">
        <v>665</v>
      </c>
    </row>
    <row r="7702" spans="1:13">
      <c r="A7702" t="s">
        <v>851</v>
      </c>
      <c r="B7702" t="s">
        <v>687</v>
      </c>
      <c r="C7702" t="s">
        <v>687</v>
      </c>
      <c r="D7702" t="s">
        <v>3174</v>
      </c>
      <c r="E7702" t="s">
        <v>461</v>
      </c>
      <c r="F7702" t="s">
        <v>668</v>
      </c>
      <c r="G7702">
        <v>2030</v>
      </c>
      <c r="H7702" s="12">
        <v>105.8</v>
      </c>
      <c r="I7702" t="s">
        <v>3183</v>
      </c>
      <c r="J7702" t="s">
        <v>5</v>
      </c>
      <c r="K7702" t="s">
        <v>147</v>
      </c>
      <c r="L7702" t="s">
        <v>3184</v>
      </c>
      <c r="M7702" t="s">
        <v>665</v>
      </c>
    </row>
    <row r="7703" spans="1:13">
      <c r="A7703" t="s">
        <v>851</v>
      </c>
      <c r="B7703" t="s">
        <v>687</v>
      </c>
      <c r="C7703" t="s">
        <v>687</v>
      </c>
      <c r="D7703" t="s">
        <v>3174</v>
      </c>
      <c r="E7703" t="s">
        <v>461</v>
      </c>
      <c r="F7703" t="s">
        <v>668</v>
      </c>
      <c r="G7703">
        <v>2035</v>
      </c>
      <c r="H7703" s="12">
        <v>0.72</v>
      </c>
      <c r="I7703" t="s">
        <v>3183</v>
      </c>
      <c r="J7703" t="s">
        <v>5</v>
      </c>
      <c r="K7703" t="s">
        <v>147</v>
      </c>
      <c r="L7703" t="s">
        <v>3184</v>
      </c>
      <c r="M7703" t="s">
        <v>665</v>
      </c>
    </row>
    <row r="7704" spans="1:13">
      <c r="A7704" t="s">
        <v>851</v>
      </c>
      <c r="B7704" t="s">
        <v>687</v>
      </c>
      <c r="C7704" t="s">
        <v>687</v>
      </c>
      <c r="D7704" t="s">
        <v>3174</v>
      </c>
      <c r="E7704" t="s">
        <v>461</v>
      </c>
      <c r="F7704" t="s">
        <v>668</v>
      </c>
      <c r="G7704">
        <v>2040</v>
      </c>
      <c r="H7704" s="12">
        <v>0</v>
      </c>
      <c r="I7704" t="s">
        <v>3183</v>
      </c>
      <c r="J7704" t="s">
        <v>5</v>
      </c>
      <c r="K7704" t="s">
        <v>147</v>
      </c>
      <c r="L7704" t="s">
        <v>3184</v>
      </c>
      <c r="M7704" t="s">
        <v>665</v>
      </c>
    </row>
    <row r="7705" spans="1:13">
      <c r="A7705" t="s">
        <v>851</v>
      </c>
      <c r="B7705" t="s">
        <v>687</v>
      </c>
      <c r="C7705" t="s">
        <v>687</v>
      </c>
      <c r="D7705" t="s">
        <v>3174</v>
      </c>
      <c r="E7705" t="s">
        <v>461</v>
      </c>
      <c r="F7705" t="s">
        <v>668</v>
      </c>
      <c r="G7705">
        <v>2045</v>
      </c>
      <c r="H7705" s="12">
        <v>0</v>
      </c>
      <c r="I7705" t="s">
        <v>3183</v>
      </c>
      <c r="J7705" t="s">
        <v>5</v>
      </c>
      <c r="K7705" t="s">
        <v>147</v>
      </c>
      <c r="L7705" t="s">
        <v>3184</v>
      </c>
      <c r="M7705" t="s">
        <v>665</v>
      </c>
    </row>
    <row r="7706" spans="1:13">
      <c r="A7706" t="s">
        <v>851</v>
      </c>
      <c r="B7706" t="s">
        <v>687</v>
      </c>
      <c r="C7706" t="s">
        <v>687</v>
      </c>
      <c r="D7706" t="s">
        <v>3174</v>
      </c>
      <c r="E7706" t="s">
        <v>461</v>
      </c>
      <c r="F7706" t="s">
        <v>668</v>
      </c>
      <c r="G7706">
        <v>2050</v>
      </c>
      <c r="H7706" s="12">
        <v>0</v>
      </c>
      <c r="I7706" t="s">
        <v>3183</v>
      </c>
      <c r="J7706" t="s">
        <v>5</v>
      </c>
      <c r="K7706" t="s">
        <v>147</v>
      </c>
      <c r="L7706" t="s">
        <v>3184</v>
      </c>
      <c r="M7706" t="s">
        <v>665</v>
      </c>
    </row>
    <row r="7707" spans="1:13">
      <c r="A7707" t="s">
        <v>851</v>
      </c>
      <c r="B7707" t="s">
        <v>686</v>
      </c>
      <c r="C7707" t="s">
        <v>686</v>
      </c>
      <c r="D7707" t="s">
        <v>3174</v>
      </c>
      <c r="E7707" t="s">
        <v>461</v>
      </c>
      <c r="F7707" t="s">
        <v>668</v>
      </c>
      <c r="G7707">
        <v>2010</v>
      </c>
      <c r="H7707" s="12">
        <v>1017.66</v>
      </c>
      <c r="I7707" t="s">
        <v>3183</v>
      </c>
      <c r="J7707" t="s">
        <v>6</v>
      </c>
      <c r="K7707" t="s">
        <v>147</v>
      </c>
      <c r="L7707" t="s">
        <v>3184</v>
      </c>
      <c r="M7707" t="s">
        <v>666</v>
      </c>
    </row>
    <row r="7708" spans="1:13">
      <c r="A7708" t="s">
        <v>851</v>
      </c>
      <c r="B7708" t="s">
        <v>686</v>
      </c>
      <c r="C7708" t="s">
        <v>686</v>
      </c>
      <c r="D7708" t="s">
        <v>3174</v>
      </c>
      <c r="E7708" t="s">
        <v>461</v>
      </c>
      <c r="F7708" t="s">
        <v>668</v>
      </c>
      <c r="G7708">
        <v>2015</v>
      </c>
      <c r="H7708" s="12">
        <v>1372.08</v>
      </c>
      <c r="I7708" t="s">
        <v>3183</v>
      </c>
      <c r="J7708" t="s">
        <v>6</v>
      </c>
      <c r="K7708" t="s">
        <v>147</v>
      </c>
      <c r="L7708" t="s">
        <v>3184</v>
      </c>
      <c r="M7708" t="s">
        <v>666</v>
      </c>
    </row>
    <row r="7709" spans="1:13">
      <c r="A7709" t="s">
        <v>851</v>
      </c>
      <c r="B7709" t="s">
        <v>686</v>
      </c>
      <c r="C7709" t="s">
        <v>686</v>
      </c>
      <c r="D7709" t="s">
        <v>3174</v>
      </c>
      <c r="E7709" t="s">
        <v>461</v>
      </c>
      <c r="F7709" t="s">
        <v>668</v>
      </c>
      <c r="G7709">
        <v>2020</v>
      </c>
      <c r="H7709" s="12">
        <v>1679.18</v>
      </c>
      <c r="I7709" t="s">
        <v>3183</v>
      </c>
      <c r="J7709" t="s">
        <v>6</v>
      </c>
      <c r="K7709" t="s">
        <v>147</v>
      </c>
      <c r="L7709" t="s">
        <v>3184</v>
      </c>
      <c r="M7709" t="s">
        <v>666</v>
      </c>
    </row>
    <row r="7710" spans="1:13">
      <c r="A7710" t="s">
        <v>851</v>
      </c>
      <c r="B7710" t="s">
        <v>686</v>
      </c>
      <c r="C7710" t="s">
        <v>686</v>
      </c>
      <c r="D7710" t="s">
        <v>3174</v>
      </c>
      <c r="E7710" t="s">
        <v>461</v>
      </c>
      <c r="F7710" t="s">
        <v>668</v>
      </c>
      <c r="G7710">
        <v>2030</v>
      </c>
      <c r="H7710" s="12">
        <v>1554.94</v>
      </c>
      <c r="I7710" t="s">
        <v>3183</v>
      </c>
      <c r="J7710" t="s">
        <v>6</v>
      </c>
      <c r="K7710" t="s">
        <v>147</v>
      </c>
      <c r="L7710" t="s">
        <v>3184</v>
      </c>
      <c r="M7710" t="s">
        <v>666</v>
      </c>
    </row>
    <row r="7711" spans="1:13">
      <c r="A7711" t="s">
        <v>851</v>
      </c>
      <c r="B7711" t="s">
        <v>686</v>
      </c>
      <c r="C7711" t="s">
        <v>686</v>
      </c>
      <c r="D7711" t="s">
        <v>3174</v>
      </c>
      <c r="E7711" t="s">
        <v>461</v>
      </c>
      <c r="F7711" t="s">
        <v>668</v>
      </c>
      <c r="G7711">
        <v>2035</v>
      </c>
      <c r="H7711" s="12">
        <v>1066.79</v>
      </c>
      <c r="I7711" t="s">
        <v>3183</v>
      </c>
      <c r="J7711" t="s">
        <v>6</v>
      </c>
      <c r="K7711" t="s">
        <v>147</v>
      </c>
      <c r="L7711" t="s">
        <v>3184</v>
      </c>
      <c r="M7711" t="s">
        <v>666</v>
      </c>
    </row>
    <row r="7712" spans="1:13">
      <c r="A7712" t="s">
        <v>851</v>
      </c>
      <c r="B7712" t="s">
        <v>686</v>
      </c>
      <c r="C7712" t="s">
        <v>686</v>
      </c>
      <c r="D7712" t="s">
        <v>3174</v>
      </c>
      <c r="E7712" t="s">
        <v>461</v>
      </c>
      <c r="F7712" t="s">
        <v>668</v>
      </c>
      <c r="G7712">
        <v>2040</v>
      </c>
      <c r="H7712" s="12">
        <v>833.64</v>
      </c>
      <c r="I7712" t="s">
        <v>3183</v>
      </c>
      <c r="J7712" t="s">
        <v>6</v>
      </c>
      <c r="K7712" t="s">
        <v>147</v>
      </c>
      <c r="L7712" t="s">
        <v>3184</v>
      </c>
      <c r="M7712" t="s">
        <v>666</v>
      </c>
    </row>
    <row r="7713" spans="1:13">
      <c r="A7713" t="s">
        <v>851</v>
      </c>
      <c r="B7713" t="s">
        <v>686</v>
      </c>
      <c r="C7713" t="s">
        <v>686</v>
      </c>
      <c r="D7713" t="s">
        <v>3174</v>
      </c>
      <c r="E7713" t="s">
        <v>461</v>
      </c>
      <c r="F7713" t="s">
        <v>668</v>
      </c>
      <c r="G7713">
        <v>2045</v>
      </c>
      <c r="H7713" s="12">
        <v>672.49</v>
      </c>
      <c r="I7713" t="s">
        <v>3183</v>
      </c>
      <c r="J7713" t="s">
        <v>6</v>
      </c>
      <c r="K7713" t="s">
        <v>147</v>
      </c>
      <c r="L7713" t="s">
        <v>3184</v>
      </c>
      <c r="M7713" t="s">
        <v>666</v>
      </c>
    </row>
    <row r="7714" spans="1:13">
      <c r="A7714" t="s">
        <v>851</v>
      </c>
      <c r="B7714" t="s">
        <v>686</v>
      </c>
      <c r="C7714" t="s">
        <v>686</v>
      </c>
      <c r="D7714" t="s">
        <v>3174</v>
      </c>
      <c r="E7714" t="s">
        <v>461</v>
      </c>
      <c r="F7714" t="s">
        <v>668</v>
      </c>
      <c r="G7714">
        <v>2050</v>
      </c>
      <c r="H7714" s="12">
        <v>548.41</v>
      </c>
      <c r="I7714" t="s">
        <v>3183</v>
      </c>
      <c r="J7714" t="s">
        <v>6</v>
      </c>
      <c r="K7714" t="s">
        <v>147</v>
      </c>
      <c r="L7714" t="s">
        <v>3184</v>
      </c>
      <c r="M7714" t="s">
        <v>666</v>
      </c>
    </row>
    <row r="7715" spans="1:13">
      <c r="A7715" t="s">
        <v>851</v>
      </c>
      <c r="B7715" t="s">
        <v>687</v>
      </c>
      <c r="C7715" t="s">
        <v>687</v>
      </c>
      <c r="D7715" t="s">
        <v>3174</v>
      </c>
      <c r="E7715" t="s">
        <v>461</v>
      </c>
      <c r="F7715" t="s">
        <v>668</v>
      </c>
      <c r="G7715">
        <v>2030</v>
      </c>
      <c r="H7715" s="12">
        <v>1198.32</v>
      </c>
      <c r="I7715" t="s">
        <v>3183</v>
      </c>
      <c r="J7715" t="s">
        <v>6</v>
      </c>
      <c r="K7715" t="s">
        <v>147</v>
      </c>
      <c r="L7715" t="s">
        <v>3184</v>
      </c>
      <c r="M7715" t="s">
        <v>666</v>
      </c>
    </row>
    <row r="7716" spans="1:13">
      <c r="A7716" t="s">
        <v>851</v>
      </c>
      <c r="B7716" t="s">
        <v>686</v>
      </c>
      <c r="C7716" t="s">
        <v>686</v>
      </c>
      <c r="D7716" t="s">
        <v>3174</v>
      </c>
      <c r="E7716" t="s">
        <v>461</v>
      </c>
      <c r="F7716" t="s">
        <v>668</v>
      </c>
      <c r="G7716">
        <v>2045</v>
      </c>
      <c r="H7716" s="12">
        <v>3.76</v>
      </c>
      <c r="I7716" t="s">
        <v>3183</v>
      </c>
      <c r="J7716" t="s">
        <v>394</v>
      </c>
      <c r="K7716" t="s">
        <v>147</v>
      </c>
      <c r="L7716" t="s">
        <v>3184</v>
      </c>
      <c r="M7716" t="s">
        <v>16</v>
      </c>
    </row>
    <row r="7717" spans="1:13">
      <c r="A7717" t="s">
        <v>851</v>
      </c>
      <c r="B7717" t="s">
        <v>686</v>
      </c>
      <c r="C7717" t="s">
        <v>686</v>
      </c>
      <c r="D7717" t="s">
        <v>3174</v>
      </c>
      <c r="E7717" t="s">
        <v>461</v>
      </c>
      <c r="F7717" t="s">
        <v>668</v>
      </c>
      <c r="G7717">
        <v>2050</v>
      </c>
      <c r="H7717" s="12">
        <v>2.4500000000000002</v>
      </c>
      <c r="I7717" t="s">
        <v>3183</v>
      </c>
      <c r="J7717" t="s">
        <v>394</v>
      </c>
      <c r="K7717" t="s">
        <v>147</v>
      </c>
      <c r="L7717" t="s">
        <v>3184</v>
      </c>
      <c r="M7717" t="s">
        <v>16</v>
      </c>
    </row>
    <row r="7718" spans="1:13">
      <c r="A7718" t="s">
        <v>851</v>
      </c>
      <c r="B7718" t="s">
        <v>687</v>
      </c>
      <c r="C7718" t="s">
        <v>687</v>
      </c>
      <c r="D7718" t="s">
        <v>3174</v>
      </c>
      <c r="E7718" t="s">
        <v>461</v>
      </c>
      <c r="F7718" t="s">
        <v>668</v>
      </c>
      <c r="G7718">
        <v>2030</v>
      </c>
      <c r="H7718" s="12">
        <v>7.05</v>
      </c>
      <c r="I7718" t="s">
        <v>3183</v>
      </c>
      <c r="J7718" t="s">
        <v>394</v>
      </c>
      <c r="K7718" t="s">
        <v>147</v>
      </c>
      <c r="L7718" t="s">
        <v>3184</v>
      </c>
      <c r="M7718" t="s">
        <v>16</v>
      </c>
    </row>
    <row r="7719" spans="1:13">
      <c r="A7719" t="s">
        <v>851</v>
      </c>
      <c r="B7719" t="s">
        <v>687</v>
      </c>
      <c r="C7719" t="s">
        <v>687</v>
      </c>
      <c r="D7719" t="s">
        <v>3174</v>
      </c>
      <c r="E7719" t="s">
        <v>461</v>
      </c>
      <c r="F7719" t="s">
        <v>668</v>
      </c>
      <c r="G7719">
        <v>2035</v>
      </c>
      <c r="H7719" s="12">
        <v>2.3199999999999998</v>
      </c>
      <c r="I7719" t="s">
        <v>3183</v>
      </c>
      <c r="J7719" t="s">
        <v>394</v>
      </c>
      <c r="K7719" t="s">
        <v>147</v>
      </c>
      <c r="L7719" t="s">
        <v>3184</v>
      </c>
      <c r="M7719" t="s">
        <v>16</v>
      </c>
    </row>
    <row r="7720" spans="1:13">
      <c r="A7720" t="s">
        <v>851</v>
      </c>
      <c r="B7720" t="s">
        <v>687</v>
      </c>
      <c r="C7720" t="s">
        <v>687</v>
      </c>
      <c r="D7720" t="s">
        <v>3174</v>
      </c>
      <c r="E7720" t="s">
        <v>461</v>
      </c>
      <c r="F7720" t="s">
        <v>668</v>
      </c>
      <c r="G7720">
        <v>2040</v>
      </c>
      <c r="H7720" s="12">
        <v>0.94</v>
      </c>
      <c r="I7720" t="s">
        <v>3183</v>
      </c>
      <c r="J7720" t="s">
        <v>394</v>
      </c>
      <c r="K7720" t="s">
        <v>147</v>
      </c>
      <c r="L7720" t="s">
        <v>3184</v>
      </c>
      <c r="M7720" t="s">
        <v>16</v>
      </c>
    </row>
    <row r="7721" spans="1:13">
      <c r="A7721" t="s">
        <v>851</v>
      </c>
      <c r="B7721" t="s">
        <v>687</v>
      </c>
      <c r="C7721" t="s">
        <v>687</v>
      </c>
      <c r="D7721" t="s">
        <v>3174</v>
      </c>
      <c r="E7721" t="s">
        <v>461</v>
      </c>
      <c r="F7721" t="s">
        <v>668</v>
      </c>
      <c r="G7721">
        <v>2045</v>
      </c>
      <c r="H7721" s="12">
        <v>0.72</v>
      </c>
      <c r="I7721" t="s">
        <v>3183</v>
      </c>
      <c r="J7721" t="s">
        <v>394</v>
      </c>
      <c r="K7721" t="s">
        <v>147</v>
      </c>
      <c r="L7721" t="s">
        <v>3184</v>
      </c>
      <c r="M7721" t="s">
        <v>16</v>
      </c>
    </row>
    <row r="7722" spans="1:13">
      <c r="A7722" t="s">
        <v>851</v>
      </c>
      <c r="B7722" t="s">
        <v>687</v>
      </c>
      <c r="C7722" t="s">
        <v>687</v>
      </c>
      <c r="D7722" t="s">
        <v>3174</v>
      </c>
      <c r="E7722" t="s">
        <v>461</v>
      </c>
      <c r="F7722" t="s">
        <v>668</v>
      </c>
      <c r="G7722">
        <v>2050</v>
      </c>
      <c r="H7722" s="12">
        <v>0.52</v>
      </c>
      <c r="I7722" t="s">
        <v>3183</v>
      </c>
      <c r="J7722" t="s">
        <v>394</v>
      </c>
      <c r="K7722" t="s">
        <v>147</v>
      </c>
      <c r="L7722" t="s">
        <v>3184</v>
      </c>
      <c r="M7722" t="s">
        <v>16</v>
      </c>
    </row>
    <row r="7723" spans="1:13">
      <c r="A7723" t="s">
        <v>851</v>
      </c>
      <c r="B7723" t="s">
        <v>686</v>
      </c>
      <c r="C7723" t="s">
        <v>686</v>
      </c>
      <c r="D7723" t="s">
        <v>3174</v>
      </c>
      <c r="E7723" t="s">
        <v>656</v>
      </c>
      <c r="F7723" t="s">
        <v>31</v>
      </c>
      <c r="G7723">
        <v>2010</v>
      </c>
      <c r="H7723" s="12">
        <v>2.5299999999999998</v>
      </c>
      <c r="I7723" t="s">
        <v>3183</v>
      </c>
      <c r="J7723" t="s">
        <v>17</v>
      </c>
      <c r="K7723" t="s">
        <v>147</v>
      </c>
      <c r="L7723" t="s">
        <v>3184</v>
      </c>
      <c r="M7723" t="s">
        <v>671</v>
      </c>
    </row>
    <row r="7724" spans="1:13">
      <c r="A7724" t="s">
        <v>851</v>
      </c>
      <c r="B7724" t="s">
        <v>686</v>
      </c>
      <c r="C7724" t="s">
        <v>686</v>
      </c>
      <c r="D7724" t="s">
        <v>3174</v>
      </c>
      <c r="E7724" t="s">
        <v>656</v>
      </c>
      <c r="F7724" t="s">
        <v>31</v>
      </c>
      <c r="G7724">
        <v>2015</v>
      </c>
      <c r="H7724" s="12">
        <v>26.33</v>
      </c>
      <c r="I7724" t="s">
        <v>3183</v>
      </c>
      <c r="J7724" t="s">
        <v>17</v>
      </c>
      <c r="K7724" t="s">
        <v>147</v>
      </c>
      <c r="L7724" t="s">
        <v>3184</v>
      </c>
      <c r="M7724" t="s">
        <v>671</v>
      </c>
    </row>
    <row r="7725" spans="1:13">
      <c r="A7725" t="s">
        <v>851</v>
      </c>
      <c r="B7725" t="s">
        <v>686</v>
      </c>
      <c r="C7725" t="s">
        <v>686</v>
      </c>
      <c r="D7725" t="s">
        <v>3174</v>
      </c>
      <c r="E7725" t="s">
        <v>656</v>
      </c>
      <c r="F7725" t="s">
        <v>31</v>
      </c>
      <c r="G7725">
        <v>2020</v>
      </c>
      <c r="H7725" s="12">
        <v>94.85</v>
      </c>
      <c r="I7725" t="s">
        <v>3183</v>
      </c>
      <c r="J7725" t="s">
        <v>17</v>
      </c>
      <c r="K7725" t="s">
        <v>147</v>
      </c>
      <c r="L7725" t="s">
        <v>3184</v>
      </c>
      <c r="M7725" t="s">
        <v>671</v>
      </c>
    </row>
    <row r="7726" spans="1:13">
      <c r="A7726" t="s">
        <v>851</v>
      </c>
      <c r="B7726" t="s">
        <v>686</v>
      </c>
      <c r="C7726" t="s">
        <v>686</v>
      </c>
      <c r="D7726" t="s">
        <v>3174</v>
      </c>
      <c r="E7726" t="s">
        <v>656</v>
      </c>
      <c r="F7726" t="s">
        <v>31</v>
      </c>
      <c r="G7726">
        <v>2030</v>
      </c>
      <c r="H7726" s="12">
        <v>456.57</v>
      </c>
      <c r="I7726" t="s">
        <v>3183</v>
      </c>
      <c r="J7726" t="s">
        <v>17</v>
      </c>
      <c r="K7726" t="s">
        <v>147</v>
      </c>
      <c r="L7726" t="s">
        <v>3184</v>
      </c>
      <c r="M7726" t="s">
        <v>671</v>
      </c>
    </row>
    <row r="7727" spans="1:13">
      <c r="A7727" t="s">
        <v>851</v>
      </c>
      <c r="B7727" t="s">
        <v>686</v>
      </c>
      <c r="C7727" t="s">
        <v>686</v>
      </c>
      <c r="D7727" t="s">
        <v>3174</v>
      </c>
      <c r="E7727" t="s">
        <v>656</v>
      </c>
      <c r="F7727" t="s">
        <v>31</v>
      </c>
      <c r="G7727">
        <v>2035</v>
      </c>
      <c r="H7727" s="12">
        <v>724.84</v>
      </c>
      <c r="I7727" t="s">
        <v>3183</v>
      </c>
      <c r="J7727" t="s">
        <v>17</v>
      </c>
      <c r="K7727" t="s">
        <v>147</v>
      </c>
      <c r="L7727" t="s">
        <v>3184</v>
      </c>
      <c r="M7727" t="s">
        <v>671</v>
      </c>
    </row>
    <row r="7728" spans="1:13">
      <c r="A7728" t="s">
        <v>851</v>
      </c>
      <c r="B7728" t="s">
        <v>686</v>
      </c>
      <c r="C7728" t="s">
        <v>686</v>
      </c>
      <c r="D7728" t="s">
        <v>3174</v>
      </c>
      <c r="E7728" t="s">
        <v>656</v>
      </c>
      <c r="F7728" t="s">
        <v>31</v>
      </c>
      <c r="G7728">
        <v>2040</v>
      </c>
      <c r="H7728" s="12">
        <v>958.43</v>
      </c>
      <c r="I7728" t="s">
        <v>3183</v>
      </c>
      <c r="J7728" t="s">
        <v>17</v>
      </c>
      <c r="K7728" t="s">
        <v>147</v>
      </c>
      <c r="L7728" t="s">
        <v>3184</v>
      </c>
      <c r="M7728" t="s">
        <v>671</v>
      </c>
    </row>
    <row r="7729" spans="1:13">
      <c r="A7729" t="s">
        <v>851</v>
      </c>
      <c r="B7729" t="s">
        <v>687</v>
      </c>
      <c r="C7729" t="s">
        <v>687</v>
      </c>
      <c r="D7729" t="s">
        <v>3174</v>
      </c>
      <c r="E7729" t="s">
        <v>656</v>
      </c>
      <c r="F7729" t="s">
        <v>31</v>
      </c>
      <c r="G7729">
        <v>2050</v>
      </c>
      <c r="H7729" s="12">
        <v>79.95</v>
      </c>
      <c r="I7729" t="s">
        <v>3183</v>
      </c>
      <c r="J7729" t="s">
        <v>41</v>
      </c>
      <c r="K7729" t="s">
        <v>147</v>
      </c>
      <c r="L7729" t="s">
        <v>3184</v>
      </c>
      <c r="M7729" t="s">
        <v>669</v>
      </c>
    </row>
    <row r="7730" spans="1:13">
      <c r="A7730" t="s">
        <v>851</v>
      </c>
      <c r="B7730" t="s">
        <v>686</v>
      </c>
      <c r="C7730" t="s">
        <v>686</v>
      </c>
      <c r="D7730" t="s">
        <v>3174</v>
      </c>
      <c r="E7730" t="s">
        <v>656</v>
      </c>
      <c r="F7730" t="s">
        <v>31</v>
      </c>
      <c r="G7730">
        <v>2010</v>
      </c>
      <c r="H7730" s="12">
        <v>109.51</v>
      </c>
      <c r="I7730" t="s">
        <v>3183</v>
      </c>
      <c r="J7730" t="s">
        <v>15</v>
      </c>
      <c r="K7730" t="s">
        <v>147</v>
      </c>
      <c r="L7730" t="s">
        <v>3184</v>
      </c>
      <c r="M7730" t="s">
        <v>15</v>
      </c>
    </row>
    <row r="7731" spans="1:13">
      <c r="A7731" t="s">
        <v>851</v>
      </c>
      <c r="B7731" t="s">
        <v>686</v>
      </c>
      <c r="C7731" t="s">
        <v>686</v>
      </c>
      <c r="D7731" t="s">
        <v>3174</v>
      </c>
      <c r="E7731" t="s">
        <v>656</v>
      </c>
      <c r="F7731" t="s">
        <v>31</v>
      </c>
      <c r="G7731">
        <v>2015</v>
      </c>
      <c r="H7731" s="12">
        <v>105.14</v>
      </c>
      <c r="I7731" t="s">
        <v>3183</v>
      </c>
      <c r="J7731" t="s">
        <v>15</v>
      </c>
      <c r="K7731" t="s">
        <v>147</v>
      </c>
      <c r="L7731" t="s">
        <v>3184</v>
      </c>
      <c r="M7731" t="s">
        <v>15</v>
      </c>
    </row>
    <row r="7732" spans="1:13">
      <c r="A7732" t="s">
        <v>851</v>
      </c>
      <c r="B7732" t="s">
        <v>686</v>
      </c>
      <c r="C7732" t="s">
        <v>686</v>
      </c>
      <c r="D7732" t="s">
        <v>3174</v>
      </c>
      <c r="E7732" t="s">
        <v>656</v>
      </c>
      <c r="F7732" t="s">
        <v>31</v>
      </c>
      <c r="G7732">
        <v>2020</v>
      </c>
      <c r="H7732" s="12">
        <v>101.91</v>
      </c>
      <c r="I7732" t="s">
        <v>3183</v>
      </c>
      <c r="J7732" t="s">
        <v>15</v>
      </c>
      <c r="K7732" t="s">
        <v>147</v>
      </c>
      <c r="L7732" t="s">
        <v>3184</v>
      </c>
      <c r="M7732" t="s">
        <v>15</v>
      </c>
    </row>
    <row r="7733" spans="1:13">
      <c r="A7733" t="s">
        <v>851</v>
      </c>
      <c r="B7733" t="s">
        <v>686</v>
      </c>
      <c r="C7733" t="s">
        <v>686</v>
      </c>
      <c r="D7733" t="s">
        <v>3174</v>
      </c>
      <c r="E7733" t="s">
        <v>461</v>
      </c>
      <c r="F7733" t="s">
        <v>668</v>
      </c>
      <c r="G7733">
        <v>2010</v>
      </c>
      <c r="H7733" s="12">
        <v>3.06</v>
      </c>
      <c r="I7733" t="s">
        <v>3183</v>
      </c>
      <c r="J7733" t="s">
        <v>17</v>
      </c>
      <c r="K7733" t="s">
        <v>147</v>
      </c>
      <c r="L7733" t="s">
        <v>3184</v>
      </c>
      <c r="M7733" t="s">
        <v>671</v>
      </c>
    </row>
    <row r="7734" spans="1:13">
      <c r="A7734" t="s">
        <v>851</v>
      </c>
      <c r="B7734" t="s">
        <v>686</v>
      </c>
      <c r="C7734" t="s">
        <v>686</v>
      </c>
      <c r="D7734" t="s">
        <v>3174</v>
      </c>
      <c r="E7734" t="s">
        <v>461</v>
      </c>
      <c r="F7734" t="s">
        <v>668</v>
      </c>
      <c r="G7734">
        <v>2015</v>
      </c>
      <c r="H7734" s="12">
        <v>32.090000000000003</v>
      </c>
      <c r="I7734" t="s">
        <v>3183</v>
      </c>
      <c r="J7734" t="s">
        <v>17</v>
      </c>
      <c r="K7734" t="s">
        <v>147</v>
      </c>
      <c r="L7734" t="s">
        <v>3184</v>
      </c>
      <c r="M7734" t="s">
        <v>671</v>
      </c>
    </row>
    <row r="7735" spans="1:13">
      <c r="A7735" t="s">
        <v>851</v>
      </c>
      <c r="B7735" t="s">
        <v>687</v>
      </c>
      <c r="C7735" t="s">
        <v>687</v>
      </c>
      <c r="D7735" t="s">
        <v>3174</v>
      </c>
      <c r="E7735" t="s">
        <v>461</v>
      </c>
      <c r="F7735" t="s">
        <v>668</v>
      </c>
      <c r="G7735">
        <v>2040</v>
      </c>
      <c r="H7735" s="12">
        <v>2544.7199999999998</v>
      </c>
      <c r="I7735" t="s">
        <v>3183</v>
      </c>
      <c r="J7735" t="s">
        <v>18</v>
      </c>
      <c r="K7735" t="s">
        <v>147</v>
      </c>
      <c r="L7735" t="s">
        <v>3184</v>
      </c>
      <c r="M7735" t="s">
        <v>18</v>
      </c>
    </row>
    <row r="7736" spans="1:13">
      <c r="A7736" t="s">
        <v>851</v>
      </c>
      <c r="B7736" t="s">
        <v>687</v>
      </c>
      <c r="C7736" t="s">
        <v>687</v>
      </c>
      <c r="D7736" t="s">
        <v>3174</v>
      </c>
      <c r="E7736" t="s">
        <v>461</v>
      </c>
      <c r="F7736" t="s">
        <v>668</v>
      </c>
      <c r="G7736">
        <v>2045</v>
      </c>
      <c r="H7736" s="12">
        <v>2704.84</v>
      </c>
      <c r="I7736" t="s">
        <v>3183</v>
      </c>
      <c r="J7736" t="s">
        <v>18</v>
      </c>
      <c r="K7736" t="s">
        <v>147</v>
      </c>
      <c r="L7736" t="s">
        <v>3184</v>
      </c>
      <c r="M7736" t="s">
        <v>18</v>
      </c>
    </row>
    <row r="7737" spans="1:13">
      <c r="A7737" t="s">
        <v>851</v>
      </c>
      <c r="B7737" t="s">
        <v>687</v>
      </c>
      <c r="C7737" t="s">
        <v>687</v>
      </c>
      <c r="D7737" t="s">
        <v>3174</v>
      </c>
      <c r="E7737" t="s">
        <v>461</v>
      </c>
      <c r="F7737" t="s">
        <v>668</v>
      </c>
      <c r="G7737">
        <v>2050</v>
      </c>
      <c r="H7737" s="12">
        <v>2800.57</v>
      </c>
      <c r="I7737" t="s">
        <v>3183</v>
      </c>
      <c r="J7737" t="s">
        <v>18</v>
      </c>
      <c r="K7737" t="s">
        <v>147</v>
      </c>
      <c r="L7737" t="s">
        <v>3184</v>
      </c>
      <c r="M7737" t="s">
        <v>18</v>
      </c>
    </row>
    <row r="7738" spans="1:13">
      <c r="A7738" t="s">
        <v>851</v>
      </c>
      <c r="B7738" t="s">
        <v>686</v>
      </c>
      <c r="C7738" t="s">
        <v>686</v>
      </c>
      <c r="D7738" t="s">
        <v>3174</v>
      </c>
      <c r="E7738" t="s">
        <v>461</v>
      </c>
      <c r="F7738" t="s">
        <v>668</v>
      </c>
      <c r="G7738">
        <v>2010</v>
      </c>
      <c r="H7738" s="12">
        <v>262.27</v>
      </c>
      <c r="I7738" t="s">
        <v>3183</v>
      </c>
      <c r="J7738" t="s">
        <v>14</v>
      </c>
      <c r="K7738" t="s">
        <v>147</v>
      </c>
      <c r="L7738" t="s">
        <v>3184</v>
      </c>
      <c r="M7738" t="s">
        <v>14</v>
      </c>
    </row>
    <row r="7739" spans="1:13">
      <c r="A7739" t="s">
        <v>851</v>
      </c>
      <c r="B7739" t="s">
        <v>686</v>
      </c>
      <c r="C7739" t="s">
        <v>686</v>
      </c>
      <c r="D7739" t="s">
        <v>3174</v>
      </c>
      <c r="E7739" t="s">
        <v>461</v>
      </c>
      <c r="F7739" t="s">
        <v>668</v>
      </c>
      <c r="G7739">
        <v>2015</v>
      </c>
      <c r="H7739" s="12">
        <v>251.02</v>
      </c>
      <c r="I7739" t="s">
        <v>3183</v>
      </c>
      <c r="J7739" t="s">
        <v>14</v>
      </c>
      <c r="K7739" t="s">
        <v>147</v>
      </c>
      <c r="L7739" t="s">
        <v>3184</v>
      </c>
      <c r="M7739" t="s">
        <v>14</v>
      </c>
    </row>
    <row r="7740" spans="1:13">
      <c r="A7740" t="s">
        <v>851</v>
      </c>
      <c r="B7740" t="s">
        <v>686</v>
      </c>
      <c r="C7740" t="s">
        <v>686</v>
      </c>
      <c r="D7740" t="s">
        <v>3174</v>
      </c>
      <c r="E7740" t="s">
        <v>461</v>
      </c>
      <c r="F7740" t="s">
        <v>668</v>
      </c>
      <c r="G7740">
        <v>2020</v>
      </c>
      <c r="H7740" s="12">
        <v>287.14</v>
      </c>
      <c r="I7740" t="s">
        <v>3183</v>
      </c>
      <c r="J7740" t="s">
        <v>14</v>
      </c>
      <c r="K7740" t="s">
        <v>147</v>
      </c>
      <c r="L7740" t="s">
        <v>3184</v>
      </c>
      <c r="M7740" t="s">
        <v>14</v>
      </c>
    </row>
    <row r="7741" spans="1:13">
      <c r="A7741" t="s">
        <v>851</v>
      </c>
      <c r="B7741" t="s">
        <v>686</v>
      </c>
      <c r="C7741" t="s">
        <v>686</v>
      </c>
      <c r="D7741" t="s">
        <v>3174</v>
      </c>
      <c r="E7741" t="s">
        <v>461</v>
      </c>
      <c r="F7741" t="s">
        <v>668</v>
      </c>
      <c r="G7741">
        <v>2030</v>
      </c>
      <c r="H7741" s="12">
        <v>312.5</v>
      </c>
      <c r="I7741" t="s">
        <v>3183</v>
      </c>
      <c r="J7741" t="s">
        <v>14</v>
      </c>
      <c r="K7741" t="s">
        <v>147</v>
      </c>
      <c r="L7741" t="s">
        <v>3184</v>
      </c>
      <c r="M7741" t="s">
        <v>14</v>
      </c>
    </row>
    <row r="7742" spans="1:13">
      <c r="A7742" t="s">
        <v>851</v>
      </c>
      <c r="B7742" t="s">
        <v>686</v>
      </c>
      <c r="C7742" t="s">
        <v>686</v>
      </c>
      <c r="D7742" t="s">
        <v>3174</v>
      </c>
      <c r="E7742" t="s">
        <v>461</v>
      </c>
      <c r="F7742" t="s">
        <v>668</v>
      </c>
      <c r="G7742">
        <v>2035</v>
      </c>
      <c r="H7742" s="12">
        <v>322.52999999999997</v>
      </c>
      <c r="I7742" t="s">
        <v>3183</v>
      </c>
      <c r="J7742" t="s">
        <v>14</v>
      </c>
      <c r="K7742" t="s">
        <v>147</v>
      </c>
      <c r="L7742" t="s">
        <v>3184</v>
      </c>
      <c r="M7742" t="s">
        <v>14</v>
      </c>
    </row>
    <row r="7743" spans="1:13">
      <c r="A7743" t="s">
        <v>851</v>
      </c>
      <c r="B7743" t="s">
        <v>686</v>
      </c>
      <c r="C7743" t="s">
        <v>686</v>
      </c>
      <c r="D7743" t="s">
        <v>3174</v>
      </c>
      <c r="E7743" t="s">
        <v>461</v>
      </c>
      <c r="F7743" t="s">
        <v>668</v>
      </c>
      <c r="G7743">
        <v>2040</v>
      </c>
      <c r="H7743" s="12">
        <v>333.73</v>
      </c>
      <c r="I7743" t="s">
        <v>3183</v>
      </c>
      <c r="J7743" t="s">
        <v>14</v>
      </c>
      <c r="K7743" t="s">
        <v>147</v>
      </c>
      <c r="L7743" t="s">
        <v>3184</v>
      </c>
      <c r="M7743" t="s">
        <v>14</v>
      </c>
    </row>
    <row r="7744" spans="1:13">
      <c r="A7744" t="s">
        <v>851</v>
      </c>
      <c r="B7744" t="s">
        <v>686</v>
      </c>
      <c r="C7744" t="s">
        <v>686</v>
      </c>
      <c r="D7744" t="s">
        <v>3174</v>
      </c>
      <c r="E7744" t="s">
        <v>461</v>
      </c>
      <c r="F7744" t="s">
        <v>668</v>
      </c>
      <c r="G7744">
        <v>2045</v>
      </c>
      <c r="H7744" s="12">
        <v>350.82</v>
      </c>
      <c r="I7744" t="s">
        <v>3183</v>
      </c>
      <c r="J7744" t="s">
        <v>14</v>
      </c>
      <c r="K7744" t="s">
        <v>147</v>
      </c>
      <c r="L7744" t="s">
        <v>3184</v>
      </c>
      <c r="M7744" t="s">
        <v>14</v>
      </c>
    </row>
    <row r="7745" spans="1:13">
      <c r="A7745" t="s">
        <v>851</v>
      </c>
      <c r="B7745" t="s">
        <v>686</v>
      </c>
      <c r="C7745" t="s">
        <v>686</v>
      </c>
      <c r="D7745" t="s">
        <v>3174</v>
      </c>
      <c r="E7745" t="s">
        <v>461</v>
      </c>
      <c r="F7745" t="s">
        <v>668</v>
      </c>
      <c r="G7745">
        <v>2050</v>
      </c>
      <c r="H7745" s="12">
        <v>368.16</v>
      </c>
      <c r="I7745" t="s">
        <v>3183</v>
      </c>
      <c r="J7745" t="s">
        <v>14</v>
      </c>
      <c r="K7745" t="s">
        <v>147</v>
      </c>
      <c r="L7745" t="s">
        <v>3184</v>
      </c>
      <c r="M7745" t="s">
        <v>14</v>
      </c>
    </row>
    <row r="7746" spans="1:13">
      <c r="A7746" t="s">
        <v>851</v>
      </c>
      <c r="B7746" t="s">
        <v>687</v>
      </c>
      <c r="C7746" t="s">
        <v>687</v>
      </c>
      <c r="D7746" t="s">
        <v>3174</v>
      </c>
      <c r="E7746" t="s">
        <v>461</v>
      </c>
      <c r="F7746" t="s">
        <v>668</v>
      </c>
      <c r="G7746">
        <v>2030</v>
      </c>
      <c r="H7746" s="12">
        <v>317.47000000000003</v>
      </c>
      <c r="I7746" t="s">
        <v>3183</v>
      </c>
      <c r="J7746" t="s">
        <v>14</v>
      </c>
      <c r="K7746" t="s">
        <v>147</v>
      </c>
      <c r="L7746" t="s">
        <v>3184</v>
      </c>
      <c r="M7746" t="s">
        <v>14</v>
      </c>
    </row>
    <row r="7747" spans="1:13">
      <c r="A7747" t="s">
        <v>851</v>
      </c>
      <c r="B7747" t="s">
        <v>687</v>
      </c>
      <c r="C7747" t="s">
        <v>687</v>
      </c>
      <c r="D7747" t="s">
        <v>3174</v>
      </c>
      <c r="E7747" t="s">
        <v>461</v>
      </c>
      <c r="F7747" t="s">
        <v>668</v>
      </c>
      <c r="G7747">
        <v>2035</v>
      </c>
      <c r="H7747" s="12">
        <v>336.13</v>
      </c>
      <c r="I7747" t="s">
        <v>3183</v>
      </c>
      <c r="J7747" t="s">
        <v>14</v>
      </c>
      <c r="K7747" t="s">
        <v>147</v>
      </c>
      <c r="L7747" t="s">
        <v>3184</v>
      </c>
      <c r="M7747" t="s">
        <v>14</v>
      </c>
    </row>
    <row r="7748" spans="1:13">
      <c r="A7748" t="s">
        <v>851</v>
      </c>
      <c r="B7748" t="s">
        <v>687</v>
      </c>
      <c r="C7748" t="s">
        <v>687</v>
      </c>
      <c r="D7748" t="s">
        <v>3174</v>
      </c>
      <c r="E7748" t="s">
        <v>461</v>
      </c>
      <c r="F7748" t="s">
        <v>668</v>
      </c>
      <c r="G7748">
        <v>2040</v>
      </c>
      <c r="H7748" s="12">
        <v>349.85</v>
      </c>
      <c r="I7748" t="s">
        <v>3183</v>
      </c>
      <c r="J7748" t="s">
        <v>14</v>
      </c>
      <c r="K7748" t="s">
        <v>147</v>
      </c>
      <c r="L7748" t="s">
        <v>3184</v>
      </c>
      <c r="M7748" t="s">
        <v>14</v>
      </c>
    </row>
    <row r="7749" spans="1:13">
      <c r="A7749" t="s">
        <v>851</v>
      </c>
      <c r="B7749" t="s">
        <v>687</v>
      </c>
      <c r="C7749" t="s">
        <v>687</v>
      </c>
      <c r="D7749" t="s">
        <v>3174</v>
      </c>
      <c r="E7749" t="s">
        <v>461</v>
      </c>
      <c r="F7749" t="s">
        <v>668</v>
      </c>
      <c r="G7749">
        <v>2045</v>
      </c>
      <c r="H7749" s="12">
        <v>364.26</v>
      </c>
      <c r="I7749" t="s">
        <v>3183</v>
      </c>
      <c r="J7749" t="s">
        <v>14</v>
      </c>
      <c r="K7749" t="s">
        <v>147</v>
      </c>
      <c r="L7749" t="s">
        <v>3184</v>
      </c>
      <c r="M7749" t="s">
        <v>14</v>
      </c>
    </row>
    <row r="7750" spans="1:13">
      <c r="A7750" t="s">
        <v>851</v>
      </c>
      <c r="B7750" t="s">
        <v>687</v>
      </c>
      <c r="C7750" t="s">
        <v>687</v>
      </c>
      <c r="D7750" t="s">
        <v>3174</v>
      </c>
      <c r="E7750" t="s">
        <v>461</v>
      </c>
      <c r="F7750" t="s">
        <v>668</v>
      </c>
      <c r="G7750">
        <v>2050</v>
      </c>
      <c r="H7750" s="12">
        <v>378.18</v>
      </c>
      <c r="I7750" t="s">
        <v>3183</v>
      </c>
      <c r="J7750" t="s">
        <v>14</v>
      </c>
      <c r="K7750" t="s">
        <v>147</v>
      </c>
      <c r="L7750" t="s">
        <v>3184</v>
      </c>
      <c r="M7750" t="s">
        <v>14</v>
      </c>
    </row>
    <row r="7751" spans="1:13">
      <c r="A7751" t="s">
        <v>851</v>
      </c>
      <c r="B7751" t="s">
        <v>686</v>
      </c>
      <c r="C7751" t="s">
        <v>686</v>
      </c>
      <c r="D7751" t="s">
        <v>3174</v>
      </c>
      <c r="E7751" t="s">
        <v>461</v>
      </c>
      <c r="F7751" t="s">
        <v>668</v>
      </c>
      <c r="G7751">
        <v>2010</v>
      </c>
      <c r="H7751" s="12">
        <v>66.11</v>
      </c>
      <c r="I7751" t="s">
        <v>3183</v>
      </c>
      <c r="J7751" t="s">
        <v>41</v>
      </c>
      <c r="K7751" t="s">
        <v>147</v>
      </c>
      <c r="L7751" t="s">
        <v>3184</v>
      </c>
      <c r="M7751" t="s">
        <v>669</v>
      </c>
    </row>
    <row r="7752" spans="1:13">
      <c r="A7752" t="s">
        <v>851</v>
      </c>
      <c r="B7752" t="s">
        <v>686</v>
      </c>
      <c r="C7752" t="s">
        <v>686</v>
      </c>
      <c r="D7752" t="s">
        <v>3174</v>
      </c>
      <c r="E7752" t="s">
        <v>461</v>
      </c>
      <c r="F7752" t="s">
        <v>668</v>
      </c>
      <c r="G7752">
        <v>2015</v>
      </c>
      <c r="H7752" s="12">
        <v>74.83</v>
      </c>
      <c r="I7752" t="s">
        <v>3183</v>
      </c>
      <c r="J7752" t="s">
        <v>41</v>
      </c>
      <c r="K7752" t="s">
        <v>147</v>
      </c>
      <c r="L7752" t="s">
        <v>3184</v>
      </c>
      <c r="M7752" t="s">
        <v>669</v>
      </c>
    </row>
    <row r="7753" spans="1:13">
      <c r="A7753" t="s">
        <v>851</v>
      </c>
      <c r="B7753" t="s">
        <v>686</v>
      </c>
      <c r="C7753" t="s">
        <v>686</v>
      </c>
      <c r="D7753" t="s">
        <v>3174</v>
      </c>
      <c r="E7753" t="s">
        <v>461</v>
      </c>
      <c r="F7753" t="s">
        <v>668</v>
      </c>
      <c r="G7753">
        <v>2020</v>
      </c>
      <c r="H7753" s="12">
        <v>66.02</v>
      </c>
      <c r="I7753" t="s">
        <v>3183</v>
      </c>
      <c r="J7753" t="s">
        <v>41</v>
      </c>
      <c r="K7753" t="s">
        <v>147</v>
      </c>
      <c r="L7753" t="s">
        <v>3184</v>
      </c>
      <c r="M7753" t="s">
        <v>669</v>
      </c>
    </row>
    <row r="7754" spans="1:13">
      <c r="A7754" t="s">
        <v>851</v>
      </c>
      <c r="B7754" t="s">
        <v>686</v>
      </c>
      <c r="C7754" t="s">
        <v>686</v>
      </c>
      <c r="D7754" t="s">
        <v>3174</v>
      </c>
      <c r="E7754" t="s">
        <v>461</v>
      </c>
      <c r="F7754" t="s">
        <v>668</v>
      </c>
      <c r="G7754">
        <v>2030</v>
      </c>
      <c r="H7754" s="12">
        <v>75.84</v>
      </c>
      <c r="I7754" t="s">
        <v>3183</v>
      </c>
      <c r="J7754" t="s">
        <v>41</v>
      </c>
      <c r="K7754" t="s">
        <v>147</v>
      </c>
      <c r="L7754" t="s">
        <v>3184</v>
      </c>
      <c r="M7754" t="s">
        <v>669</v>
      </c>
    </row>
    <row r="7755" spans="1:13">
      <c r="A7755" t="s">
        <v>851</v>
      </c>
      <c r="B7755" t="s">
        <v>686</v>
      </c>
      <c r="C7755" t="s">
        <v>686</v>
      </c>
      <c r="D7755" t="s">
        <v>3174</v>
      </c>
      <c r="E7755" t="s">
        <v>461</v>
      </c>
      <c r="F7755" t="s">
        <v>668</v>
      </c>
      <c r="G7755">
        <v>2035</v>
      </c>
      <c r="H7755" s="12">
        <v>85.34</v>
      </c>
      <c r="I7755" t="s">
        <v>3183</v>
      </c>
      <c r="J7755" t="s">
        <v>41</v>
      </c>
      <c r="K7755" t="s">
        <v>147</v>
      </c>
      <c r="L7755" t="s">
        <v>3184</v>
      </c>
      <c r="M7755" t="s">
        <v>669</v>
      </c>
    </row>
    <row r="7756" spans="1:13">
      <c r="A7756" t="s">
        <v>851</v>
      </c>
      <c r="B7756" t="s">
        <v>686</v>
      </c>
      <c r="C7756" t="s">
        <v>686</v>
      </c>
      <c r="D7756" t="s">
        <v>3174</v>
      </c>
      <c r="E7756" t="s">
        <v>461</v>
      </c>
      <c r="F7756" t="s">
        <v>668</v>
      </c>
      <c r="G7756">
        <v>2040</v>
      </c>
      <c r="H7756" s="12">
        <v>94.61</v>
      </c>
      <c r="I7756" t="s">
        <v>3183</v>
      </c>
      <c r="J7756" t="s">
        <v>41</v>
      </c>
      <c r="K7756" t="s">
        <v>147</v>
      </c>
      <c r="L7756" t="s">
        <v>3184</v>
      </c>
      <c r="M7756" t="s">
        <v>669</v>
      </c>
    </row>
    <row r="7757" spans="1:13">
      <c r="A7757" t="s">
        <v>851</v>
      </c>
      <c r="B7757" t="s">
        <v>686</v>
      </c>
      <c r="C7757" t="s">
        <v>686</v>
      </c>
      <c r="D7757" t="s">
        <v>3174</v>
      </c>
      <c r="E7757" t="s">
        <v>461</v>
      </c>
      <c r="F7757" t="s">
        <v>668</v>
      </c>
      <c r="G7757">
        <v>2045</v>
      </c>
      <c r="H7757" s="12">
        <v>102.44</v>
      </c>
      <c r="I7757" t="s">
        <v>3183</v>
      </c>
      <c r="J7757" t="s">
        <v>41</v>
      </c>
      <c r="K7757" t="s">
        <v>147</v>
      </c>
      <c r="L7757" t="s">
        <v>3184</v>
      </c>
      <c r="M7757" t="s">
        <v>669</v>
      </c>
    </row>
    <row r="7758" spans="1:13">
      <c r="A7758" t="s">
        <v>851</v>
      </c>
      <c r="B7758" t="s">
        <v>686</v>
      </c>
      <c r="C7758" t="s">
        <v>686</v>
      </c>
      <c r="D7758" t="s">
        <v>3174</v>
      </c>
      <c r="E7758" t="s">
        <v>461</v>
      </c>
      <c r="F7758" t="s">
        <v>668</v>
      </c>
      <c r="G7758">
        <v>2050</v>
      </c>
      <c r="H7758" s="12">
        <v>113.5</v>
      </c>
      <c r="I7758" t="s">
        <v>3183</v>
      </c>
      <c r="J7758" t="s">
        <v>41</v>
      </c>
      <c r="K7758" t="s">
        <v>147</v>
      </c>
      <c r="L7758" t="s">
        <v>3184</v>
      </c>
      <c r="M7758" t="s">
        <v>669</v>
      </c>
    </row>
    <row r="7759" spans="1:13">
      <c r="A7759" t="s">
        <v>851</v>
      </c>
      <c r="B7759" t="s">
        <v>687</v>
      </c>
      <c r="C7759" t="s">
        <v>687</v>
      </c>
      <c r="D7759" t="s">
        <v>3174</v>
      </c>
      <c r="E7759" t="s">
        <v>461</v>
      </c>
      <c r="F7759" t="s">
        <v>668</v>
      </c>
      <c r="G7759">
        <v>2030</v>
      </c>
      <c r="H7759" s="12">
        <v>126.48</v>
      </c>
      <c r="I7759" t="s">
        <v>3183</v>
      </c>
      <c r="J7759" t="s">
        <v>41</v>
      </c>
      <c r="K7759" t="s">
        <v>147</v>
      </c>
      <c r="L7759" t="s">
        <v>3184</v>
      </c>
      <c r="M7759" t="s">
        <v>669</v>
      </c>
    </row>
    <row r="7760" spans="1:13">
      <c r="A7760" t="s">
        <v>851</v>
      </c>
      <c r="B7760" t="s">
        <v>687</v>
      </c>
      <c r="C7760" t="s">
        <v>687</v>
      </c>
      <c r="D7760" t="s">
        <v>3174</v>
      </c>
      <c r="E7760" t="s">
        <v>461</v>
      </c>
      <c r="F7760" t="s">
        <v>668</v>
      </c>
      <c r="G7760">
        <v>2035</v>
      </c>
      <c r="H7760" s="12">
        <v>226.55</v>
      </c>
      <c r="I7760" t="s">
        <v>3183</v>
      </c>
      <c r="J7760" t="s">
        <v>41</v>
      </c>
      <c r="K7760" t="s">
        <v>147</v>
      </c>
      <c r="L7760" t="s">
        <v>3184</v>
      </c>
      <c r="M7760" t="s">
        <v>669</v>
      </c>
    </row>
    <row r="7761" spans="1:13">
      <c r="A7761" t="s">
        <v>851</v>
      </c>
      <c r="B7761" t="s">
        <v>687</v>
      </c>
      <c r="C7761" t="s">
        <v>687</v>
      </c>
      <c r="D7761" t="s">
        <v>3174</v>
      </c>
      <c r="E7761" t="s">
        <v>461</v>
      </c>
      <c r="F7761" t="s">
        <v>668</v>
      </c>
      <c r="G7761">
        <v>2040</v>
      </c>
      <c r="H7761" s="12">
        <v>263.85000000000002</v>
      </c>
      <c r="I7761" t="s">
        <v>3183</v>
      </c>
      <c r="J7761" t="s">
        <v>41</v>
      </c>
      <c r="K7761" t="s">
        <v>147</v>
      </c>
      <c r="L7761" t="s">
        <v>3184</v>
      </c>
      <c r="M7761" t="s">
        <v>669</v>
      </c>
    </row>
    <row r="7762" spans="1:13">
      <c r="A7762" t="s">
        <v>851</v>
      </c>
      <c r="B7762" t="s">
        <v>687</v>
      </c>
      <c r="C7762" t="s">
        <v>687</v>
      </c>
      <c r="D7762" t="s">
        <v>3174</v>
      </c>
      <c r="E7762" t="s">
        <v>461</v>
      </c>
      <c r="F7762" t="s">
        <v>668</v>
      </c>
      <c r="G7762">
        <v>2045</v>
      </c>
      <c r="H7762" s="12">
        <v>275.10000000000002</v>
      </c>
      <c r="I7762" t="s">
        <v>3183</v>
      </c>
      <c r="J7762" t="s">
        <v>41</v>
      </c>
      <c r="K7762" t="s">
        <v>147</v>
      </c>
      <c r="L7762" t="s">
        <v>3184</v>
      </c>
      <c r="M7762" t="s">
        <v>669</v>
      </c>
    </row>
    <row r="7763" spans="1:13">
      <c r="A7763" t="s">
        <v>851</v>
      </c>
      <c r="B7763" t="s">
        <v>687</v>
      </c>
      <c r="C7763" t="s">
        <v>687</v>
      </c>
      <c r="D7763" t="s">
        <v>3174</v>
      </c>
      <c r="E7763" t="s">
        <v>461</v>
      </c>
      <c r="F7763" t="s">
        <v>668</v>
      </c>
      <c r="G7763">
        <v>2050</v>
      </c>
      <c r="H7763" s="12">
        <v>287.39</v>
      </c>
      <c r="I7763" t="s">
        <v>3183</v>
      </c>
      <c r="J7763" t="s">
        <v>41</v>
      </c>
      <c r="K7763" t="s">
        <v>147</v>
      </c>
      <c r="L7763" t="s">
        <v>3184</v>
      </c>
      <c r="M7763" t="s">
        <v>669</v>
      </c>
    </row>
    <row r="7764" spans="1:13">
      <c r="A7764" t="s">
        <v>851</v>
      </c>
      <c r="B7764" t="s">
        <v>686</v>
      </c>
      <c r="C7764" t="s">
        <v>686</v>
      </c>
      <c r="D7764" t="s">
        <v>3174</v>
      </c>
      <c r="E7764" t="s">
        <v>461</v>
      </c>
      <c r="F7764" t="s">
        <v>668</v>
      </c>
      <c r="G7764">
        <v>2010</v>
      </c>
      <c r="H7764" s="12">
        <v>838.93</v>
      </c>
      <c r="I7764" t="s">
        <v>3183</v>
      </c>
      <c r="J7764" t="s">
        <v>15</v>
      </c>
      <c r="K7764" t="s">
        <v>147</v>
      </c>
      <c r="L7764" t="s">
        <v>3184</v>
      </c>
      <c r="M7764" t="s">
        <v>15</v>
      </c>
    </row>
    <row r="7765" spans="1:13">
      <c r="A7765" t="s">
        <v>851</v>
      </c>
      <c r="B7765" t="s">
        <v>686</v>
      </c>
      <c r="C7765" t="s">
        <v>686</v>
      </c>
      <c r="D7765" t="s">
        <v>3174</v>
      </c>
      <c r="E7765" t="s">
        <v>461</v>
      </c>
      <c r="F7765" t="s">
        <v>668</v>
      </c>
      <c r="G7765">
        <v>2015</v>
      </c>
      <c r="H7765" s="12">
        <v>830.29</v>
      </c>
      <c r="I7765" t="s">
        <v>3183</v>
      </c>
      <c r="J7765" t="s">
        <v>15</v>
      </c>
      <c r="K7765" t="s">
        <v>147</v>
      </c>
      <c r="L7765" t="s">
        <v>3184</v>
      </c>
      <c r="M7765" t="s">
        <v>15</v>
      </c>
    </row>
    <row r="7766" spans="1:13">
      <c r="A7766" t="s">
        <v>851</v>
      </c>
      <c r="B7766" t="s">
        <v>686</v>
      </c>
      <c r="C7766" t="s">
        <v>686</v>
      </c>
      <c r="D7766" t="s">
        <v>3174</v>
      </c>
      <c r="E7766" t="s">
        <v>461</v>
      </c>
      <c r="F7766" t="s">
        <v>668</v>
      </c>
      <c r="G7766">
        <v>2020</v>
      </c>
      <c r="H7766" s="12">
        <v>823.15</v>
      </c>
      <c r="I7766" t="s">
        <v>3183</v>
      </c>
      <c r="J7766" t="s">
        <v>15</v>
      </c>
      <c r="K7766" t="s">
        <v>147</v>
      </c>
      <c r="L7766" t="s">
        <v>3184</v>
      </c>
      <c r="M7766" t="s">
        <v>15</v>
      </c>
    </row>
    <row r="7767" spans="1:13">
      <c r="A7767" t="s">
        <v>851</v>
      </c>
      <c r="B7767" t="s">
        <v>686</v>
      </c>
      <c r="C7767" t="s">
        <v>686</v>
      </c>
      <c r="D7767" t="s">
        <v>3174</v>
      </c>
      <c r="E7767" t="s">
        <v>461</v>
      </c>
      <c r="F7767" t="s">
        <v>668</v>
      </c>
      <c r="G7767">
        <v>2030</v>
      </c>
      <c r="H7767" s="12">
        <v>806.61</v>
      </c>
      <c r="I7767" t="s">
        <v>3183</v>
      </c>
      <c r="J7767" t="s">
        <v>15</v>
      </c>
      <c r="K7767" t="s">
        <v>147</v>
      </c>
      <c r="L7767" t="s">
        <v>3184</v>
      </c>
      <c r="M7767" t="s">
        <v>15</v>
      </c>
    </row>
    <row r="7768" spans="1:13">
      <c r="A7768" t="s">
        <v>851</v>
      </c>
      <c r="B7768" t="s">
        <v>686</v>
      </c>
      <c r="C7768" t="s">
        <v>686</v>
      </c>
      <c r="D7768" t="s">
        <v>3174</v>
      </c>
      <c r="E7768" t="s">
        <v>461</v>
      </c>
      <c r="F7768" t="s">
        <v>668</v>
      </c>
      <c r="G7768">
        <v>2035</v>
      </c>
      <c r="H7768" s="12">
        <v>771.77</v>
      </c>
      <c r="I7768" t="s">
        <v>3183</v>
      </c>
      <c r="J7768" t="s">
        <v>15</v>
      </c>
      <c r="K7768" t="s">
        <v>147</v>
      </c>
      <c r="L7768" t="s">
        <v>3184</v>
      </c>
      <c r="M7768" t="s">
        <v>15</v>
      </c>
    </row>
    <row r="7769" spans="1:13">
      <c r="A7769" t="s">
        <v>851</v>
      </c>
      <c r="B7769" t="s">
        <v>686</v>
      </c>
      <c r="C7769" t="s">
        <v>686</v>
      </c>
      <c r="D7769" t="s">
        <v>3174</v>
      </c>
      <c r="E7769" t="s">
        <v>461</v>
      </c>
      <c r="F7769" t="s">
        <v>668</v>
      </c>
      <c r="G7769">
        <v>2040</v>
      </c>
      <c r="H7769" s="12">
        <v>772.32</v>
      </c>
      <c r="I7769" t="s">
        <v>3183</v>
      </c>
      <c r="J7769" t="s">
        <v>15</v>
      </c>
      <c r="K7769" t="s">
        <v>147</v>
      </c>
      <c r="L7769" t="s">
        <v>3184</v>
      </c>
      <c r="M7769" t="s">
        <v>15</v>
      </c>
    </row>
    <row r="7770" spans="1:13">
      <c r="A7770" t="s">
        <v>851</v>
      </c>
      <c r="B7770" t="s">
        <v>686</v>
      </c>
      <c r="C7770" t="s">
        <v>686</v>
      </c>
      <c r="D7770" t="s">
        <v>3174</v>
      </c>
      <c r="E7770" t="s">
        <v>461</v>
      </c>
      <c r="F7770" t="s">
        <v>668</v>
      </c>
      <c r="G7770">
        <v>2045</v>
      </c>
      <c r="H7770" s="12">
        <v>740.89</v>
      </c>
      <c r="I7770" t="s">
        <v>3183</v>
      </c>
      <c r="J7770" t="s">
        <v>15</v>
      </c>
      <c r="K7770" t="s">
        <v>147</v>
      </c>
      <c r="L7770" t="s">
        <v>3184</v>
      </c>
      <c r="M7770" t="s">
        <v>15</v>
      </c>
    </row>
    <row r="7771" spans="1:13">
      <c r="A7771" t="s">
        <v>851</v>
      </c>
      <c r="B7771" t="s">
        <v>686</v>
      </c>
      <c r="C7771" t="s">
        <v>686</v>
      </c>
      <c r="D7771" t="s">
        <v>3174</v>
      </c>
      <c r="E7771" t="s">
        <v>461</v>
      </c>
      <c r="F7771" t="s">
        <v>668</v>
      </c>
      <c r="G7771">
        <v>2050</v>
      </c>
      <c r="H7771" s="12">
        <v>754.77</v>
      </c>
      <c r="I7771" t="s">
        <v>3183</v>
      </c>
      <c r="J7771" t="s">
        <v>15</v>
      </c>
      <c r="K7771" t="s">
        <v>147</v>
      </c>
      <c r="L7771" t="s">
        <v>3184</v>
      </c>
      <c r="M7771" t="s">
        <v>15</v>
      </c>
    </row>
    <row r="7772" spans="1:13">
      <c r="A7772" t="s">
        <v>851</v>
      </c>
      <c r="B7772" t="s">
        <v>687</v>
      </c>
      <c r="C7772" t="s">
        <v>687</v>
      </c>
      <c r="D7772" t="s">
        <v>3174</v>
      </c>
      <c r="E7772" t="s">
        <v>461</v>
      </c>
      <c r="F7772" t="s">
        <v>668</v>
      </c>
      <c r="G7772">
        <v>2030</v>
      </c>
      <c r="H7772" s="12">
        <v>825.6</v>
      </c>
      <c r="I7772" t="s">
        <v>3183</v>
      </c>
      <c r="J7772" t="s">
        <v>15</v>
      </c>
      <c r="K7772" t="s">
        <v>147</v>
      </c>
      <c r="L7772" t="s">
        <v>3184</v>
      </c>
      <c r="M7772" t="s">
        <v>15</v>
      </c>
    </row>
    <row r="7773" spans="1:13">
      <c r="A7773" t="s">
        <v>851</v>
      </c>
      <c r="B7773" t="s">
        <v>687</v>
      </c>
      <c r="C7773" t="s">
        <v>687</v>
      </c>
      <c r="D7773" t="s">
        <v>3174</v>
      </c>
      <c r="E7773" t="s">
        <v>461</v>
      </c>
      <c r="F7773" t="s">
        <v>668</v>
      </c>
      <c r="G7773">
        <v>2035</v>
      </c>
      <c r="H7773" s="12">
        <v>800.66</v>
      </c>
      <c r="I7773" t="s">
        <v>3183</v>
      </c>
      <c r="J7773" t="s">
        <v>15</v>
      </c>
      <c r="K7773" t="s">
        <v>147</v>
      </c>
      <c r="L7773" t="s">
        <v>3184</v>
      </c>
      <c r="M7773" t="s">
        <v>15</v>
      </c>
    </row>
    <row r="7774" spans="1:13">
      <c r="A7774" t="s">
        <v>851</v>
      </c>
      <c r="B7774" t="s">
        <v>687</v>
      </c>
      <c r="C7774" t="s">
        <v>687</v>
      </c>
      <c r="D7774" t="s">
        <v>3174</v>
      </c>
      <c r="E7774" t="s">
        <v>461</v>
      </c>
      <c r="F7774" t="s">
        <v>668</v>
      </c>
      <c r="G7774">
        <v>2040</v>
      </c>
      <c r="H7774" s="12">
        <v>838.57</v>
      </c>
      <c r="I7774" t="s">
        <v>3183</v>
      </c>
      <c r="J7774" t="s">
        <v>15</v>
      </c>
      <c r="K7774" t="s">
        <v>147</v>
      </c>
      <c r="L7774" t="s">
        <v>3184</v>
      </c>
      <c r="M7774" t="s">
        <v>15</v>
      </c>
    </row>
    <row r="7775" spans="1:13">
      <c r="A7775" t="s">
        <v>851</v>
      </c>
      <c r="B7775" t="s">
        <v>687</v>
      </c>
      <c r="C7775" t="s">
        <v>687</v>
      </c>
      <c r="D7775" t="s">
        <v>3174</v>
      </c>
      <c r="E7775" t="s">
        <v>461</v>
      </c>
      <c r="F7775" t="s">
        <v>668</v>
      </c>
      <c r="G7775">
        <v>2045</v>
      </c>
      <c r="H7775" s="12">
        <v>858.21</v>
      </c>
      <c r="I7775" t="s">
        <v>3183</v>
      </c>
      <c r="J7775" t="s">
        <v>15</v>
      </c>
      <c r="K7775" t="s">
        <v>147</v>
      </c>
      <c r="L7775" t="s">
        <v>3184</v>
      </c>
      <c r="M7775" t="s">
        <v>15</v>
      </c>
    </row>
    <row r="7776" spans="1:13">
      <c r="A7776" t="s">
        <v>851</v>
      </c>
      <c r="B7776" t="s">
        <v>687</v>
      </c>
      <c r="C7776" t="s">
        <v>687</v>
      </c>
      <c r="D7776" t="s">
        <v>3174</v>
      </c>
      <c r="E7776" t="s">
        <v>461</v>
      </c>
      <c r="F7776" t="s">
        <v>668</v>
      </c>
      <c r="G7776">
        <v>2050</v>
      </c>
      <c r="H7776" s="12">
        <v>914.04</v>
      </c>
      <c r="I7776" t="s">
        <v>3183</v>
      </c>
      <c r="J7776" t="s">
        <v>15</v>
      </c>
      <c r="K7776" t="s">
        <v>147</v>
      </c>
      <c r="L7776" t="s">
        <v>3184</v>
      </c>
      <c r="M7776" t="s">
        <v>15</v>
      </c>
    </row>
    <row r="7777" spans="1:13">
      <c r="A7777" t="s">
        <v>851</v>
      </c>
      <c r="B7777" t="s">
        <v>686</v>
      </c>
      <c r="C7777" t="s">
        <v>686</v>
      </c>
      <c r="D7777" t="s">
        <v>3174</v>
      </c>
      <c r="E7777" t="s">
        <v>461</v>
      </c>
      <c r="F7777" t="s">
        <v>668</v>
      </c>
      <c r="G7777">
        <v>2010</v>
      </c>
      <c r="H7777" s="12">
        <v>0</v>
      </c>
      <c r="I7777" t="s">
        <v>3183</v>
      </c>
      <c r="J7777" t="s">
        <v>8</v>
      </c>
      <c r="K7777" t="s">
        <v>147</v>
      </c>
      <c r="L7777" t="s">
        <v>3184</v>
      </c>
      <c r="M7777" t="s">
        <v>670</v>
      </c>
    </row>
    <row r="7778" spans="1:13">
      <c r="A7778" t="s">
        <v>851</v>
      </c>
      <c r="B7778" t="s">
        <v>686</v>
      </c>
      <c r="C7778" t="s">
        <v>686</v>
      </c>
      <c r="D7778" t="s">
        <v>3174</v>
      </c>
      <c r="E7778" t="s">
        <v>461</v>
      </c>
      <c r="F7778" t="s">
        <v>668</v>
      </c>
      <c r="G7778">
        <v>2015</v>
      </c>
      <c r="H7778" s="12">
        <v>0</v>
      </c>
      <c r="I7778" t="s">
        <v>3183</v>
      </c>
      <c r="J7778" t="s">
        <v>8</v>
      </c>
      <c r="K7778" t="s">
        <v>147</v>
      </c>
      <c r="L7778" t="s">
        <v>3184</v>
      </c>
      <c r="M7778" t="s">
        <v>670</v>
      </c>
    </row>
    <row r="7779" spans="1:13">
      <c r="A7779" t="s">
        <v>851</v>
      </c>
      <c r="B7779" t="s">
        <v>686</v>
      </c>
      <c r="C7779" t="s">
        <v>686</v>
      </c>
      <c r="D7779" t="s">
        <v>3174</v>
      </c>
      <c r="E7779" t="s">
        <v>461</v>
      </c>
      <c r="F7779" t="s">
        <v>668</v>
      </c>
      <c r="G7779">
        <v>2020</v>
      </c>
      <c r="H7779" s="12">
        <v>0</v>
      </c>
      <c r="I7779" t="s">
        <v>3183</v>
      </c>
      <c r="J7779" t="s">
        <v>8</v>
      </c>
      <c r="K7779" t="s">
        <v>147</v>
      </c>
      <c r="L7779" t="s">
        <v>3184</v>
      </c>
      <c r="M7779" t="s">
        <v>670</v>
      </c>
    </row>
    <row r="7780" spans="1:13">
      <c r="A7780" t="s">
        <v>851</v>
      </c>
      <c r="B7780" t="s">
        <v>686</v>
      </c>
      <c r="C7780" t="s">
        <v>686</v>
      </c>
      <c r="D7780" t="s">
        <v>3174</v>
      </c>
      <c r="E7780" t="s">
        <v>461</v>
      </c>
      <c r="F7780" t="s">
        <v>668</v>
      </c>
      <c r="G7780">
        <v>2030</v>
      </c>
      <c r="H7780" s="12">
        <v>0</v>
      </c>
      <c r="I7780" t="s">
        <v>3183</v>
      </c>
      <c r="J7780" t="s">
        <v>8</v>
      </c>
      <c r="K7780" t="s">
        <v>147</v>
      </c>
      <c r="L7780" t="s">
        <v>3184</v>
      </c>
      <c r="M7780" t="s">
        <v>670</v>
      </c>
    </row>
    <row r="7781" spans="1:13">
      <c r="A7781" t="s">
        <v>851</v>
      </c>
      <c r="B7781" t="s">
        <v>686</v>
      </c>
      <c r="C7781" t="s">
        <v>686</v>
      </c>
      <c r="D7781" t="s">
        <v>3174</v>
      </c>
      <c r="E7781" t="s">
        <v>461</v>
      </c>
      <c r="F7781" t="s">
        <v>668</v>
      </c>
      <c r="G7781">
        <v>2035</v>
      </c>
      <c r="H7781" s="12">
        <v>0</v>
      </c>
      <c r="I7781" t="s">
        <v>3183</v>
      </c>
      <c r="J7781" t="s">
        <v>8</v>
      </c>
      <c r="K7781" t="s">
        <v>147</v>
      </c>
      <c r="L7781" t="s">
        <v>3184</v>
      </c>
      <c r="M7781" t="s">
        <v>670</v>
      </c>
    </row>
    <row r="7782" spans="1:13">
      <c r="A7782" t="s">
        <v>851</v>
      </c>
      <c r="B7782" t="s">
        <v>686</v>
      </c>
      <c r="C7782" t="s">
        <v>686</v>
      </c>
      <c r="D7782" t="s">
        <v>3174</v>
      </c>
      <c r="E7782" t="s">
        <v>461</v>
      </c>
      <c r="F7782" t="s">
        <v>668</v>
      </c>
      <c r="G7782">
        <v>2040</v>
      </c>
      <c r="H7782" s="12">
        <v>0</v>
      </c>
      <c r="I7782" t="s">
        <v>3183</v>
      </c>
      <c r="J7782" t="s">
        <v>8</v>
      </c>
      <c r="K7782" t="s">
        <v>147</v>
      </c>
      <c r="L7782" t="s">
        <v>3184</v>
      </c>
      <c r="M7782" t="s">
        <v>670</v>
      </c>
    </row>
    <row r="7783" spans="1:13">
      <c r="A7783" t="s">
        <v>851</v>
      </c>
      <c r="B7783" t="s">
        <v>686</v>
      </c>
      <c r="C7783" t="s">
        <v>686</v>
      </c>
      <c r="D7783" t="s">
        <v>3174</v>
      </c>
      <c r="E7783" t="s">
        <v>461</v>
      </c>
      <c r="F7783" t="s">
        <v>668</v>
      </c>
      <c r="G7783">
        <v>2045</v>
      </c>
      <c r="H7783" s="12">
        <v>0</v>
      </c>
      <c r="I7783" t="s">
        <v>3183</v>
      </c>
      <c r="J7783" t="s">
        <v>8</v>
      </c>
      <c r="K7783" t="s">
        <v>147</v>
      </c>
      <c r="L7783" t="s">
        <v>3184</v>
      </c>
      <c r="M7783" t="s">
        <v>670</v>
      </c>
    </row>
    <row r="7784" spans="1:13">
      <c r="A7784" t="s">
        <v>851</v>
      </c>
      <c r="B7784" t="s">
        <v>686</v>
      </c>
      <c r="C7784" t="s">
        <v>686</v>
      </c>
      <c r="D7784" t="s">
        <v>3174</v>
      </c>
      <c r="E7784" t="s">
        <v>461</v>
      </c>
      <c r="F7784" t="s">
        <v>668</v>
      </c>
      <c r="G7784">
        <v>2050</v>
      </c>
      <c r="H7784" s="12">
        <v>0</v>
      </c>
      <c r="I7784" t="s">
        <v>3183</v>
      </c>
      <c r="J7784" t="s">
        <v>8</v>
      </c>
      <c r="K7784" t="s">
        <v>147</v>
      </c>
      <c r="L7784" t="s">
        <v>3184</v>
      </c>
      <c r="M7784" t="s">
        <v>670</v>
      </c>
    </row>
    <row r="7785" spans="1:13">
      <c r="A7785" t="s">
        <v>851</v>
      </c>
      <c r="B7785" t="s">
        <v>687</v>
      </c>
      <c r="C7785" t="s">
        <v>687</v>
      </c>
      <c r="D7785" t="s">
        <v>3174</v>
      </c>
      <c r="E7785" t="s">
        <v>461</v>
      </c>
      <c r="F7785" t="s">
        <v>668</v>
      </c>
      <c r="G7785">
        <v>2035</v>
      </c>
      <c r="H7785" s="12">
        <v>452.69</v>
      </c>
      <c r="I7785" t="s">
        <v>3183</v>
      </c>
      <c r="J7785" t="s">
        <v>6</v>
      </c>
      <c r="K7785" t="s">
        <v>147</v>
      </c>
      <c r="L7785" t="s">
        <v>3184</v>
      </c>
      <c r="M7785" t="s">
        <v>666</v>
      </c>
    </row>
    <row r="7786" spans="1:13">
      <c r="A7786" t="s">
        <v>851</v>
      </c>
      <c r="B7786" t="s">
        <v>687</v>
      </c>
      <c r="C7786" t="s">
        <v>687</v>
      </c>
      <c r="D7786" t="s">
        <v>3174</v>
      </c>
      <c r="E7786" t="s">
        <v>461</v>
      </c>
      <c r="F7786" t="s">
        <v>668</v>
      </c>
      <c r="G7786">
        <v>2040</v>
      </c>
      <c r="H7786" s="12">
        <v>228.26</v>
      </c>
      <c r="I7786" t="s">
        <v>3183</v>
      </c>
      <c r="J7786" t="s">
        <v>6</v>
      </c>
      <c r="K7786" t="s">
        <v>147</v>
      </c>
      <c r="L7786" t="s">
        <v>3184</v>
      </c>
      <c r="M7786" t="s">
        <v>666</v>
      </c>
    </row>
    <row r="7787" spans="1:13">
      <c r="A7787" t="s">
        <v>851</v>
      </c>
      <c r="B7787" t="s">
        <v>687</v>
      </c>
      <c r="C7787" t="s">
        <v>687</v>
      </c>
      <c r="D7787" t="s">
        <v>3174</v>
      </c>
      <c r="E7787" t="s">
        <v>461</v>
      </c>
      <c r="F7787" t="s">
        <v>668</v>
      </c>
      <c r="G7787">
        <v>2045</v>
      </c>
      <c r="H7787" s="12">
        <v>170.12</v>
      </c>
      <c r="I7787" t="s">
        <v>3183</v>
      </c>
      <c r="J7787" t="s">
        <v>6</v>
      </c>
      <c r="K7787" t="s">
        <v>147</v>
      </c>
      <c r="L7787" t="s">
        <v>3184</v>
      </c>
      <c r="M7787" t="s">
        <v>666</v>
      </c>
    </row>
    <row r="7788" spans="1:13">
      <c r="A7788" t="s">
        <v>851</v>
      </c>
      <c r="B7788" t="s">
        <v>687</v>
      </c>
      <c r="C7788" t="s">
        <v>687</v>
      </c>
      <c r="D7788" t="s">
        <v>3174</v>
      </c>
      <c r="E7788" t="s">
        <v>461</v>
      </c>
      <c r="F7788" t="s">
        <v>668</v>
      </c>
      <c r="G7788">
        <v>2050</v>
      </c>
      <c r="H7788" s="12">
        <v>120.68</v>
      </c>
      <c r="I7788" t="s">
        <v>3183</v>
      </c>
      <c r="J7788" t="s">
        <v>6</v>
      </c>
      <c r="K7788" t="s">
        <v>147</v>
      </c>
      <c r="L7788" t="s">
        <v>3184</v>
      </c>
      <c r="M7788" t="s">
        <v>666</v>
      </c>
    </row>
    <row r="7789" spans="1:13">
      <c r="A7789" t="s">
        <v>851</v>
      </c>
      <c r="B7789" t="s">
        <v>686</v>
      </c>
      <c r="C7789" t="s">
        <v>686</v>
      </c>
      <c r="D7789" t="s">
        <v>3174</v>
      </c>
      <c r="E7789" t="s">
        <v>461</v>
      </c>
      <c r="F7789" t="s">
        <v>668</v>
      </c>
      <c r="G7789">
        <v>2010</v>
      </c>
      <c r="H7789" s="12">
        <v>48.09</v>
      </c>
      <c r="I7789" t="s">
        <v>3183</v>
      </c>
      <c r="J7789" t="s">
        <v>394</v>
      </c>
      <c r="K7789" t="s">
        <v>147</v>
      </c>
      <c r="L7789" t="s">
        <v>3184</v>
      </c>
      <c r="M7789" t="s">
        <v>16</v>
      </c>
    </row>
    <row r="7790" spans="1:13">
      <c r="A7790" t="s">
        <v>851</v>
      </c>
      <c r="B7790" t="s">
        <v>686</v>
      </c>
      <c r="C7790" t="s">
        <v>686</v>
      </c>
      <c r="D7790" t="s">
        <v>3174</v>
      </c>
      <c r="E7790" t="s">
        <v>461</v>
      </c>
      <c r="F7790" t="s">
        <v>668</v>
      </c>
      <c r="G7790">
        <v>2015</v>
      </c>
      <c r="H7790" s="12">
        <v>38.840000000000003</v>
      </c>
      <c r="I7790" t="s">
        <v>3183</v>
      </c>
      <c r="J7790" t="s">
        <v>394</v>
      </c>
      <c r="K7790" t="s">
        <v>147</v>
      </c>
      <c r="L7790" t="s">
        <v>3184</v>
      </c>
      <c r="M7790" t="s">
        <v>16</v>
      </c>
    </row>
    <row r="7791" spans="1:13">
      <c r="A7791" t="s">
        <v>851</v>
      </c>
      <c r="B7791" t="s">
        <v>686</v>
      </c>
      <c r="C7791" t="s">
        <v>686</v>
      </c>
      <c r="D7791" t="s">
        <v>3174</v>
      </c>
      <c r="E7791" t="s">
        <v>461</v>
      </c>
      <c r="F7791" t="s">
        <v>668</v>
      </c>
      <c r="G7791">
        <v>2020</v>
      </c>
      <c r="H7791" s="12">
        <v>37.409999999999997</v>
      </c>
      <c r="I7791" t="s">
        <v>3183</v>
      </c>
      <c r="J7791" t="s">
        <v>394</v>
      </c>
      <c r="K7791" t="s">
        <v>147</v>
      </c>
      <c r="L7791" t="s">
        <v>3184</v>
      </c>
      <c r="M7791" t="s">
        <v>16</v>
      </c>
    </row>
    <row r="7792" spans="1:13">
      <c r="A7792" t="s">
        <v>851</v>
      </c>
      <c r="B7792" t="s">
        <v>686</v>
      </c>
      <c r="C7792" t="s">
        <v>686</v>
      </c>
      <c r="D7792" t="s">
        <v>3174</v>
      </c>
      <c r="E7792" t="s">
        <v>461</v>
      </c>
      <c r="F7792" t="s">
        <v>668</v>
      </c>
      <c r="G7792">
        <v>2030</v>
      </c>
      <c r="H7792" s="12">
        <v>17.5</v>
      </c>
      <c r="I7792" t="s">
        <v>3183</v>
      </c>
      <c r="J7792" t="s">
        <v>394</v>
      </c>
      <c r="K7792" t="s">
        <v>147</v>
      </c>
      <c r="L7792" t="s">
        <v>3184</v>
      </c>
      <c r="M7792" t="s">
        <v>16</v>
      </c>
    </row>
    <row r="7793" spans="1:13">
      <c r="A7793" t="s">
        <v>851</v>
      </c>
      <c r="B7793" t="s">
        <v>686</v>
      </c>
      <c r="C7793" t="s">
        <v>686</v>
      </c>
      <c r="D7793" t="s">
        <v>3174</v>
      </c>
      <c r="E7793" t="s">
        <v>461</v>
      </c>
      <c r="F7793" t="s">
        <v>668</v>
      </c>
      <c r="G7793">
        <v>2035</v>
      </c>
      <c r="H7793" s="12">
        <v>12.26</v>
      </c>
      <c r="I7793" t="s">
        <v>3183</v>
      </c>
      <c r="J7793" t="s">
        <v>394</v>
      </c>
      <c r="K7793" t="s">
        <v>147</v>
      </c>
      <c r="L7793" t="s">
        <v>3184</v>
      </c>
      <c r="M7793" t="s">
        <v>16</v>
      </c>
    </row>
    <row r="7794" spans="1:13">
      <c r="A7794" t="s">
        <v>851</v>
      </c>
      <c r="B7794" t="s">
        <v>686</v>
      </c>
      <c r="C7794" t="s">
        <v>686</v>
      </c>
      <c r="D7794" t="s">
        <v>3174</v>
      </c>
      <c r="E7794" t="s">
        <v>461</v>
      </c>
      <c r="F7794" t="s">
        <v>668</v>
      </c>
      <c r="G7794">
        <v>2040</v>
      </c>
      <c r="H7794" s="12">
        <v>6.36</v>
      </c>
      <c r="I7794" t="s">
        <v>3183</v>
      </c>
      <c r="J7794" t="s">
        <v>394</v>
      </c>
      <c r="K7794" t="s">
        <v>147</v>
      </c>
      <c r="L7794" t="s">
        <v>3184</v>
      </c>
      <c r="M7794" t="s">
        <v>16</v>
      </c>
    </row>
    <row r="7795" spans="1:13">
      <c r="A7795" t="s">
        <v>851</v>
      </c>
      <c r="B7795" t="s">
        <v>686</v>
      </c>
      <c r="C7795" t="s">
        <v>686</v>
      </c>
      <c r="D7795" t="s">
        <v>3174</v>
      </c>
      <c r="E7795" t="s">
        <v>646</v>
      </c>
      <c r="F7795" t="s">
        <v>40</v>
      </c>
      <c r="G7795">
        <v>2010</v>
      </c>
      <c r="H7795" s="12">
        <v>683</v>
      </c>
      <c r="I7795" t="s">
        <v>3183</v>
      </c>
      <c r="J7795" t="s">
        <v>6</v>
      </c>
      <c r="K7795" t="s">
        <v>11</v>
      </c>
      <c r="L7795" t="s">
        <v>3184</v>
      </c>
      <c r="M7795" t="s">
        <v>659</v>
      </c>
    </row>
    <row r="7796" spans="1:13">
      <c r="A7796" t="s">
        <v>851</v>
      </c>
      <c r="B7796" t="s">
        <v>686</v>
      </c>
      <c r="C7796" t="s">
        <v>686</v>
      </c>
      <c r="D7796" t="s">
        <v>3174</v>
      </c>
      <c r="E7796" t="s">
        <v>646</v>
      </c>
      <c r="F7796" t="s">
        <v>40</v>
      </c>
      <c r="G7796">
        <v>2015</v>
      </c>
      <c r="H7796" s="12">
        <v>695</v>
      </c>
      <c r="I7796" t="s">
        <v>3183</v>
      </c>
      <c r="J7796" t="s">
        <v>6</v>
      </c>
      <c r="K7796" t="s">
        <v>11</v>
      </c>
      <c r="L7796" t="s">
        <v>3184</v>
      </c>
      <c r="M7796" t="s">
        <v>659</v>
      </c>
    </row>
    <row r="7797" spans="1:13">
      <c r="A7797" t="s">
        <v>851</v>
      </c>
      <c r="B7797" t="s">
        <v>686</v>
      </c>
      <c r="C7797" t="s">
        <v>686</v>
      </c>
      <c r="D7797" t="s">
        <v>3174</v>
      </c>
      <c r="E7797" t="s">
        <v>646</v>
      </c>
      <c r="F7797" t="s">
        <v>40</v>
      </c>
      <c r="G7797">
        <v>2020</v>
      </c>
      <c r="H7797" s="12">
        <v>1040</v>
      </c>
      <c r="I7797" t="s">
        <v>3183</v>
      </c>
      <c r="J7797" t="s">
        <v>6</v>
      </c>
      <c r="K7797" t="s">
        <v>11</v>
      </c>
      <c r="L7797" t="s">
        <v>3184</v>
      </c>
      <c r="M7797" t="s">
        <v>659</v>
      </c>
    </row>
    <row r="7798" spans="1:13">
      <c r="A7798" t="s">
        <v>851</v>
      </c>
      <c r="B7798" t="s">
        <v>686</v>
      </c>
      <c r="C7798" t="s">
        <v>686</v>
      </c>
      <c r="D7798" t="s">
        <v>3174</v>
      </c>
      <c r="E7798" t="s">
        <v>646</v>
      </c>
      <c r="F7798" t="s">
        <v>40</v>
      </c>
      <c r="G7798">
        <v>2030</v>
      </c>
      <c r="H7798" s="12">
        <v>999</v>
      </c>
      <c r="I7798" t="s">
        <v>3183</v>
      </c>
      <c r="J7798" t="s">
        <v>6</v>
      </c>
      <c r="K7798" t="s">
        <v>11</v>
      </c>
      <c r="L7798" t="s">
        <v>3184</v>
      </c>
      <c r="M7798" t="s">
        <v>659</v>
      </c>
    </row>
    <row r="7799" spans="1:13">
      <c r="A7799" t="s">
        <v>851</v>
      </c>
      <c r="B7799" t="s">
        <v>686</v>
      </c>
      <c r="C7799" t="s">
        <v>686</v>
      </c>
      <c r="D7799" t="s">
        <v>3174</v>
      </c>
      <c r="E7799" t="s">
        <v>646</v>
      </c>
      <c r="F7799" t="s">
        <v>40</v>
      </c>
      <c r="G7799">
        <v>2035</v>
      </c>
      <c r="H7799" s="12">
        <v>1001</v>
      </c>
      <c r="I7799" t="s">
        <v>3183</v>
      </c>
      <c r="J7799" t="s">
        <v>6</v>
      </c>
      <c r="K7799" t="s">
        <v>11</v>
      </c>
      <c r="L7799" t="s">
        <v>3184</v>
      </c>
      <c r="M7799" t="s">
        <v>659</v>
      </c>
    </row>
    <row r="7800" spans="1:13">
      <c r="A7800" t="s">
        <v>851</v>
      </c>
      <c r="B7800" t="s">
        <v>686</v>
      </c>
      <c r="C7800" t="s">
        <v>686</v>
      </c>
      <c r="D7800" t="s">
        <v>3174</v>
      </c>
      <c r="E7800" t="s">
        <v>646</v>
      </c>
      <c r="F7800" t="s">
        <v>40</v>
      </c>
      <c r="G7800">
        <v>2040</v>
      </c>
      <c r="H7800" s="12">
        <v>1002</v>
      </c>
      <c r="I7800" t="s">
        <v>3183</v>
      </c>
      <c r="J7800" t="s">
        <v>6</v>
      </c>
      <c r="K7800" t="s">
        <v>11</v>
      </c>
      <c r="L7800" t="s">
        <v>3184</v>
      </c>
      <c r="M7800" t="s">
        <v>659</v>
      </c>
    </row>
    <row r="7801" spans="1:13">
      <c r="A7801" t="s">
        <v>851</v>
      </c>
      <c r="B7801" t="s">
        <v>686</v>
      </c>
      <c r="C7801" t="s">
        <v>686</v>
      </c>
      <c r="D7801" t="s">
        <v>3174</v>
      </c>
      <c r="E7801" t="s">
        <v>646</v>
      </c>
      <c r="F7801" t="s">
        <v>40</v>
      </c>
      <c r="G7801">
        <v>2045</v>
      </c>
      <c r="H7801" s="12">
        <v>1018</v>
      </c>
      <c r="I7801" t="s">
        <v>3183</v>
      </c>
      <c r="J7801" t="s">
        <v>6</v>
      </c>
      <c r="K7801" t="s">
        <v>11</v>
      </c>
      <c r="L7801" t="s">
        <v>3184</v>
      </c>
      <c r="M7801" t="s">
        <v>659</v>
      </c>
    </row>
    <row r="7802" spans="1:13">
      <c r="A7802" t="s">
        <v>851</v>
      </c>
      <c r="B7802" t="s">
        <v>686</v>
      </c>
      <c r="C7802" t="s">
        <v>686</v>
      </c>
      <c r="D7802" t="s">
        <v>3174</v>
      </c>
      <c r="E7802" t="s">
        <v>646</v>
      </c>
      <c r="F7802" t="s">
        <v>40</v>
      </c>
      <c r="G7802">
        <v>2050</v>
      </c>
      <c r="H7802" s="12">
        <v>1036</v>
      </c>
      <c r="I7802" t="s">
        <v>3183</v>
      </c>
      <c r="J7802" t="s">
        <v>6</v>
      </c>
      <c r="K7802" t="s">
        <v>11</v>
      </c>
      <c r="L7802" t="s">
        <v>3184</v>
      </c>
      <c r="M7802" t="s">
        <v>659</v>
      </c>
    </row>
    <row r="7803" spans="1:13">
      <c r="A7803" t="s">
        <v>851</v>
      </c>
      <c r="B7803" t="s">
        <v>687</v>
      </c>
      <c r="C7803" t="s">
        <v>687</v>
      </c>
      <c r="D7803" t="s">
        <v>3174</v>
      </c>
      <c r="E7803" t="s">
        <v>646</v>
      </c>
      <c r="F7803" t="s">
        <v>40</v>
      </c>
      <c r="G7803">
        <v>2030</v>
      </c>
      <c r="H7803" s="12">
        <v>629</v>
      </c>
      <c r="I7803" t="s">
        <v>3183</v>
      </c>
      <c r="J7803" t="s">
        <v>6</v>
      </c>
      <c r="K7803" t="s">
        <v>11</v>
      </c>
      <c r="L7803" t="s">
        <v>3184</v>
      </c>
      <c r="M7803" t="s">
        <v>659</v>
      </c>
    </row>
    <row r="7804" spans="1:13">
      <c r="A7804" t="s">
        <v>851</v>
      </c>
      <c r="B7804" t="s">
        <v>687</v>
      </c>
      <c r="C7804" t="s">
        <v>687</v>
      </c>
      <c r="D7804" t="s">
        <v>3174</v>
      </c>
      <c r="E7804" t="s">
        <v>646</v>
      </c>
      <c r="F7804" t="s">
        <v>40</v>
      </c>
      <c r="G7804">
        <v>2035</v>
      </c>
      <c r="H7804" s="12">
        <v>432</v>
      </c>
      <c r="I7804" t="s">
        <v>3183</v>
      </c>
      <c r="J7804" t="s">
        <v>6</v>
      </c>
      <c r="K7804" t="s">
        <v>11</v>
      </c>
      <c r="L7804" t="s">
        <v>3184</v>
      </c>
      <c r="M7804" t="s">
        <v>659</v>
      </c>
    </row>
    <row r="7805" spans="1:13">
      <c r="A7805" t="s">
        <v>851</v>
      </c>
      <c r="B7805" t="s">
        <v>686</v>
      </c>
      <c r="C7805" t="s">
        <v>686</v>
      </c>
      <c r="D7805" t="s">
        <v>3174</v>
      </c>
      <c r="E7805" t="s">
        <v>646</v>
      </c>
      <c r="F7805" t="s">
        <v>40</v>
      </c>
      <c r="G7805">
        <v>2010</v>
      </c>
      <c r="H7805" s="12">
        <v>7627</v>
      </c>
      <c r="I7805" t="s">
        <v>3183</v>
      </c>
      <c r="J7805" t="s">
        <v>6</v>
      </c>
      <c r="K7805" t="s">
        <v>658</v>
      </c>
      <c r="L7805" t="s">
        <v>3184</v>
      </c>
      <c r="M7805" t="s">
        <v>659</v>
      </c>
    </row>
    <row r="7806" spans="1:13">
      <c r="A7806" t="s">
        <v>851</v>
      </c>
      <c r="B7806" t="s">
        <v>686</v>
      </c>
      <c r="C7806" t="s">
        <v>686</v>
      </c>
      <c r="D7806" t="s">
        <v>3174</v>
      </c>
      <c r="E7806" t="s">
        <v>646</v>
      </c>
      <c r="F7806" t="s">
        <v>40</v>
      </c>
      <c r="G7806">
        <v>2015</v>
      </c>
      <c r="H7806" s="12">
        <v>7617</v>
      </c>
      <c r="I7806" t="s">
        <v>3183</v>
      </c>
      <c r="J7806" t="s">
        <v>6</v>
      </c>
      <c r="K7806" t="s">
        <v>658</v>
      </c>
      <c r="L7806" t="s">
        <v>3184</v>
      </c>
      <c r="M7806" t="s">
        <v>659</v>
      </c>
    </row>
    <row r="7807" spans="1:13">
      <c r="A7807" t="s">
        <v>851</v>
      </c>
      <c r="B7807" t="s">
        <v>686</v>
      </c>
      <c r="C7807" t="s">
        <v>686</v>
      </c>
      <c r="D7807" t="s">
        <v>3174</v>
      </c>
      <c r="E7807" t="s">
        <v>646</v>
      </c>
      <c r="F7807" t="s">
        <v>40</v>
      </c>
      <c r="G7807">
        <v>2020</v>
      </c>
      <c r="H7807" s="12">
        <v>7725</v>
      </c>
      <c r="I7807" t="s">
        <v>3183</v>
      </c>
      <c r="J7807" t="s">
        <v>6</v>
      </c>
      <c r="K7807" t="s">
        <v>658</v>
      </c>
      <c r="L7807" t="s">
        <v>3184</v>
      </c>
      <c r="M7807" t="s">
        <v>659</v>
      </c>
    </row>
    <row r="7808" spans="1:13">
      <c r="A7808" t="s">
        <v>851</v>
      </c>
      <c r="B7808" t="s">
        <v>686</v>
      </c>
      <c r="C7808" t="s">
        <v>686</v>
      </c>
      <c r="D7808" t="s">
        <v>3174</v>
      </c>
      <c r="E7808" t="s">
        <v>646</v>
      </c>
      <c r="F7808" t="s">
        <v>40</v>
      </c>
      <c r="G7808">
        <v>2030</v>
      </c>
      <c r="H7808" s="12">
        <v>7038</v>
      </c>
      <c r="I7808" t="s">
        <v>3183</v>
      </c>
      <c r="J7808" t="s">
        <v>6</v>
      </c>
      <c r="K7808" t="s">
        <v>658</v>
      </c>
      <c r="L7808" t="s">
        <v>3184</v>
      </c>
      <c r="M7808" t="s">
        <v>659</v>
      </c>
    </row>
    <row r="7809" spans="1:13">
      <c r="A7809" t="s">
        <v>851</v>
      </c>
      <c r="B7809" t="s">
        <v>686</v>
      </c>
      <c r="C7809" t="s">
        <v>686</v>
      </c>
      <c r="D7809" t="s">
        <v>3174</v>
      </c>
      <c r="E7809" t="s">
        <v>646</v>
      </c>
      <c r="F7809" t="s">
        <v>40</v>
      </c>
      <c r="G7809">
        <v>2035</v>
      </c>
      <c r="H7809" s="12">
        <v>6571</v>
      </c>
      <c r="I7809" t="s">
        <v>3183</v>
      </c>
      <c r="J7809" t="s">
        <v>6</v>
      </c>
      <c r="K7809" t="s">
        <v>658</v>
      </c>
      <c r="L7809" t="s">
        <v>3184</v>
      </c>
      <c r="M7809" t="s">
        <v>659</v>
      </c>
    </row>
    <row r="7810" spans="1:13">
      <c r="A7810" t="s">
        <v>851</v>
      </c>
      <c r="B7810" t="s">
        <v>686</v>
      </c>
      <c r="C7810" t="s">
        <v>686</v>
      </c>
      <c r="D7810" t="s">
        <v>3174</v>
      </c>
      <c r="E7810" t="s">
        <v>646</v>
      </c>
      <c r="F7810" t="s">
        <v>40</v>
      </c>
      <c r="G7810">
        <v>2040</v>
      </c>
      <c r="H7810" s="12">
        <v>6151</v>
      </c>
      <c r="I7810" t="s">
        <v>3183</v>
      </c>
      <c r="J7810" t="s">
        <v>6</v>
      </c>
      <c r="K7810" t="s">
        <v>658</v>
      </c>
      <c r="L7810" t="s">
        <v>3184</v>
      </c>
      <c r="M7810" t="s">
        <v>659</v>
      </c>
    </row>
    <row r="7811" spans="1:13">
      <c r="A7811" t="s">
        <v>851</v>
      </c>
      <c r="B7811" t="s">
        <v>686</v>
      </c>
      <c r="C7811" t="s">
        <v>686</v>
      </c>
      <c r="D7811" t="s">
        <v>3174</v>
      </c>
      <c r="E7811" t="s">
        <v>646</v>
      </c>
      <c r="F7811" t="s">
        <v>40</v>
      </c>
      <c r="G7811">
        <v>2045</v>
      </c>
      <c r="H7811" s="12">
        <v>5681</v>
      </c>
      <c r="I7811" t="s">
        <v>3183</v>
      </c>
      <c r="J7811" t="s">
        <v>6</v>
      </c>
      <c r="K7811" t="s">
        <v>658</v>
      </c>
      <c r="L7811" t="s">
        <v>3184</v>
      </c>
      <c r="M7811" t="s">
        <v>659</v>
      </c>
    </row>
    <row r="7812" spans="1:13">
      <c r="A7812" t="s">
        <v>851</v>
      </c>
      <c r="B7812" t="s">
        <v>686</v>
      </c>
      <c r="C7812" t="s">
        <v>686</v>
      </c>
      <c r="D7812" t="s">
        <v>3174</v>
      </c>
      <c r="E7812" t="s">
        <v>646</v>
      </c>
      <c r="F7812" t="s">
        <v>40</v>
      </c>
      <c r="G7812">
        <v>2050</v>
      </c>
      <c r="H7812" s="12">
        <v>5185</v>
      </c>
      <c r="I7812" t="s">
        <v>3183</v>
      </c>
      <c r="J7812" t="s">
        <v>6</v>
      </c>
      <c r="K7812" t="s">
        <v>658</v>
      </c>
      <c r="L7812" t="s">
        <v>3184</v>
      </c>
      <c r="M7812" t="s">
        <v>659</v>
      </c>
    </row>
    <row r="7813" spans="1:13">
      <c r="A7813" t="s">
        <v>851</v>
      </c>
      <c r="B7813" t="s">
        <v>687</v>
      </c>
      <c r="C7813" t="s">
        <v>687</v>
      </c>
      <c r="D7813" t="s">
        <v>3174</v>
      </c>
      <c r="E7813" t="s">
        <v>646</v>
      </c>
      <c r="F7813" t="s">
        <v>40</v>
      </c>
      <c r="G7813">
        <v>2030</v>
      </c>
      <c r="H7813" s="12">
        <v>5818</v>
      </c>
      <c r="I7813" t="s">
        <v>3183</v>
      </c>
      <c r="J7813" t="s">
        <v>6</v>
      </c>
      <c r="K7813" t="s">
        <v>658</v>
      </c>
      <c r="L7813" t="s">
        <v>3184</v>
      </c>
      <c r="M7813" t="s">
        <v>659</v>
      </c>
    </row>
    <row r="7814" spans="1:13">
      <c r="A7814" t="s">
        <v>851</v>
      </c>
      <c r="B7814" t="s">
        <v>687</v>
      </c>
      <c r="C7814" t="s">
        <v>687</v>
      </c>
      <c r="D7814" t="s">
        <v>3174</v>
      </c>
      <c r="E7814" t="s">
        <v>646</v>
      </c>
      <c r="F7814" t="s">
        <v>40</v>
      </c>
      <c r="G7814">
        <v>2035</v>
      </c>
      <c r="H7814" s="12">
        <v>4022</v>
      </c>
      <c r="I7814" t="s">
        <v>3183</v>
      </c>
      <c r="J7814" t="s">
        <v>6</v>
      </c>
      <c r="K7814" t="s">
        <v>658</v>
      </c>
      <c r="L7814" t="s">
        <v>3184</v>
      </c>
      <c r="M7814" t="s">
        <v>659</v>
      </c>
    </row>
    <row r="7815" spans="1:13">
      <c r="A7815" t="s">
        <v>851</v>
      </c>
      <c r="B7815" t="s">
        <v>687</v>
      </c>
      <c r="C7815" t="s">
        <v>687</v>
      </c>
      <c r="D7815" t="s">
        <v>3174</v>
      </c>
      <c r="E7815" t="s">
        <v>646</v>
      </c>
      <c r="F7815" t="s">
        <v>40</v>
      </c>
      <c r="G7815">
        <v>2040</v>
      </c>
      <c r="H7815" s="12">
        <v>2504</v>
      </c>
      <c r="I7815" t="s">
        <v>3183</v>
      </c>
      <c r="J7815" t="s">
        <v>6</v>
      </c>
      <c r="K7815" t="s">
        <v>658</v>
      </c>
      <c r="L7815" t="s">
        <v>3184</v>
      </c>
      <c r="M7815" t="s">
        <v>659</v>
      </c>
    </row>
    <row r="7816" spans="1:13">
      <c r="A7816" t="s">
        <v>851</v>
      </c>
      <c r="B7816" t="s">
        <v>687</v>
      </c>
      <c r="C7816" t="s">
        <v>687</v>
      </c>
      <c r="D7816" t="s">
        <v>3174</v>
      </c>
      <c r="E7816" t="s">
        <v>646</v>
      </c>
      <c r="F7816" t="s">
        <v>40</v>
      </c>
      <c r="G7816">
        <v>2045</v>
      </c>
      <c r="H7816" s="12">
        <v>1203</v>
      </c>
      <c r="I7816" t="s">
        <v>3183</v>
      </c>
      <c r="J7816" t="s">
        <v>6</v>
      </c>
      <c r="K7816" t="s">
        <v>658</v>
      </c>
      <c r="L7816" t="s">
        <v>3184</v>
      </c>
      <c r="M7816" t="s">
        <v>659</v>
      </c>
    </row>
    <row r="7817" spans="1:13">
      <c r="A7817" t="s">
        <v>851</v>
      </c>
      <c r="B7817" t="s">
        <v>687</v>
      </c>
      <c r="C7817" t="s">
        <v>687</v>
      </c>
      <c r="D7817" t="s">
        <v>3174</v>
      </c>
      <c r="E7817" t="s">
        <v>646</v>
      </c>
      <c r="F7817" t="s">
        <v>40</v>
      </c>
      <c r="G7817">
        <v>2050</v>
      </c>
      <c r="H7817" s="12">
        <v>246</v>
      </c>
      <c r="I7817" t="s">
        <v>3183</v>
      </c>
      <c r="J7817" t="s">
        <v>6</v>
      </c>
      <c r="K7817" t="s">
        <v>658</v>
      </c>
      <c r="L7817" t="s">
        <v>3184</v>
      </c>
      <c r="M7817" t="s">
        <v>659</v>
      </c>
    </row>
    <row r="7818" spans="1:13">
      <c r="A7818" t="s">
        <v>851</v>
      </c>
      <c r="B7818" t="s">
        <v>686</v>
      </c>
      <c r="C7818" t="s">
        <v>686</v>
      </c>
      <c r="D7818" t="s">
        <v>3174</v>
      </c>
      <c r="E7818" t="s">
        <v>646</v>
      </c>
      <c r="F7818" t="s">
        <v>40</v>
      </c>
      <c r="G7818">
        <v>2010</v>
      </c>
      <c r="H7818" s="12">
        <v>63</v>
      </c>
      <c r="I7818" t="s">
        <v>3183</v>
      </c>
      <c r="J7818" t="s">
        <v>5</v>
      </c>
      <c r="K7818" t="s">
        <v>658</v>
      </c>
      <c r="L7818" t="s">
        <v>3184</v>
      </c>
      <c r="M7818" t="s">
        <v>5</v>
      </c>
    </row>
    <row r="7819" spans="1:13">
      <c r="A7819" t="s">
        <v>851</v>
      </c>
      <c r="B7819" t="s">
        <v>686</v>
      </c>
      <c r="C7819" t="s">
        <v>686</v>
      </c>
      <c r="D7819" t="s">
        <v>3174</v>
      </c>
      <c r="E7819" t="s">
        <v>646</v>
      </c>
      <c r="F7819" t="s">
        <v>40</v>
      </c>
      <c r="G7819">
        <v>2015</v>
      </c>
      <c r="H7819" s="12">
        <v>28</v>
      </c>
      <c r="I7819" t="s">
        <v>3183</v>
      </c>
      <c r="J7819" t="s">
        <v>5</v>
      </c>
      <c r="K7819" t="s">
        <v>658</v>
      </c>
      <c r="L7819" t="s">
        <v>3184</v>
      </c>
      <c r="M7819" t="s">
        <v>5</v>
      </c>
    </row>
    <row r="7820" spans="1:13">
      <c r="A7820" t="s">
        <v>851</v>
      </c>
      <c r="B7820" t="s">
        <v>686</v>
      </c>
      <c r="C7820" t="s">
        <v>686</v>
      </c>
      <c r="D7820" t="s">
        <v>3174</v>
      </c>
      <c r="E7820" t="s">
        <v>646</v>
      </c>
      <c r="F7820" t="s">
        <v>40</v>
      </c>
      <c r="G7820">
        <v>2020</v>
      </c>
      <c r="H7820" s="12">
        <v>14</v>
      </c>
      <c r="I7820" t="s">
        <v>3183</v>
      </c>
      <c r="J7820" t="s">
        <v>5</v>
      </c>
      <c r="K7820" t="s">
        <v>658</v>
      </c>
      <c r="L7820" t="s">
        <v>3184</v>
      </c>
      <c r="M7820" t="s">
        <v>5</v>
      </c>
    </row>
    <row r="7821" spans="1:13">
      <c r="A7821" t="s">
        <v>851</v>
      </c>
      <c r="B7821" t="s">
        <v>686</v>
      </c>
      <c r="C7821" t="s">
        <v>686</v>
      </c>
      <c r="D7821" t="s">
        <v>3174</v>
      </c>
      <c r="E7821" t="s">
        <v>646</v>
      </c>
      <c r="F7821" t="s">
        <v>40</v>
      </c>
      <c r="G7821">
        <v>2030</v>
      </c>
      <c r="H7821" s="12">
        <v>5</v>
      </c>
      <c r="I7821" t="s">
        <v>3183</v>
      </c>
      <c r="J7821" t="s">
        <v>5</v>
      </c>
      <c r="K7821" t="s">
        <v>658</v>
      </c>
      <c r="L7821" t="s">
        <v>3184</v>
      </c>
      <c r="M7821" t="s">
        <v>5</v>
      </c>
    </row>
    <row r="7822" spans="1:13">
      <c r="A7822" t="s">
        <v>851</v>
      </c>
      <c r="B7822" t="s">
        <v>686</v>
      </c>
      <c r="C7822" t="s">
        <v>686</v>
      </c>
      <c r="D7822" t="s">
        <v>3174</v>
      </c>
      <c r="E7822" t="s">
        <v>646</v>
      </c>
      <c r="F7822" t="s">
        <v>40</v>
      </c>
      <c r="G7822">
        <v>2035</v>
      </c>
      <c r="H7822" s="12">
        <v>4</v>
      </c>
      <c r="I7822" t="s">
        <v>3183</v>
      </c>
      <c r="J7822" t="s">
        <v>5</v>
      </c>
      <c r="K7822" t="s">
        <v>658</v>
      </c>
      <c r="L7822" t="s">
        <v>3184</v>
      </c>
      <c r="M7822" t="s">
        <v>5</v>
      </c>
    </row>
    <row r="7823" spans="1:13">
      <c r="A7823" t="s">
        <v>851</v>
      </c>
      <c r="B7823" t="s">
        <v>686</v>
      </c>
      <c r="C7823" t="s">
        <v>686</v>
      </c>
      <c r="D7823" t="s">
        <v>3174</v>
      </c>
      <c r="E7823" t="s">
        <v>646</v>
      </c>
      <c r="F7823" t="s">
        <v>40</v>
      </c>
      <c r="G7823">
        <v>2040</v>
      </c>
      <c r="H7823" s="12">
        <v>3</v>
      </c>
      <c r="I7823" t="s">
        <v>3183</v>
      </c>
      <c r="J7823" t="s">
        <v>5</v>
      </c>
      <c r="K7823" t="s">
        <v>658</v>
      </c>
      <c r="L7823" t="s">
        <v>3184</v>
      </c>
      <c r="M7823" t="s">
        <v>5</v>
      </c>
    </row>
    <row r="7824" spans="1:13">
      <c r="A7824" t="s">
        <v>851</v>
      </c>
      <c r="B7824" t="s">
        <v>686</v>
      </c>
      <c r="C7824" t="s">
        <v>686</v>
      </c>
      <c r="D7824" t="s">
        <v>3174</v>
      </c>
      <c r="E7824" t="s">
        <v>646</v>
      </c>
      <c r="F7824" t="s">
        <v>40</v>
      </c>
      <c r="G7824">
        <v>2045</v>
      </c>
      <c r="H7824" s="12">
        <v>1</v>
      </c>
      <c r="I7824" t="s">
        <v>3183</v>
      </c>
      <c r="J7824" t="s">
        <v>5</v>
      </c>
      <c r="K7824" t="s">
        <v>658</v>
      </c>
      <c r="L7824" t="s">
        <v>3184</v>
      </c>
      <c r="M7824" t="s">
        <v>5</v>
      </c>
    </row>
    <row r="7825" spans="1:13">
      <c r="A7825" t="s">
        <v>851</v>
      </c>
      <c r="B7825" t="s">
        <v>686</v>
      </c>
      <c r="C7825" t="s">
        <v>686</v>
      </c>
      <c r="D7825" t="s">
        <v>3174</v>
      </c>
      <c r="E7825" t="s">
        <v>646</v>
      </c>
      <c r="F7825" t="s">
        <v>40</v>
      </c>
      <c r="G7825">
        <v>2050</v>
      </c>
      <c r="H7825" s="12">
        <v>0</v>
      </c>
      <c r="I7825" t="s">
        <v>3183</v>
      </c>
      <c r="J7825" t="s">
        <v>5</v>
      </c>
      <c r="K7825" t="s">
        <v>658</v>
      </c>
      <c r="L7825" t="s">
        <v>3184</v>
      </c>
      <c r="M7825" t="s">
        <v>5</v>
      </c>
    </row>
    <row r="7826" spans="1:13">
      <c r="A7826" t="s">
        <v>851</v>
      </c>
      <c r="B7826" t="s">
        <v>687</v>
      </c>
      <c r="C7826" t="s">
        <v>687</v>
      </c>
      <c r="D7826" t="s">
        <v>3174</v>
      </c>
      <c r="E7826" t="s">
        <v>646</v>
      </c>
      <c r="F7826" t="s">
        <v>40</v>
      </c>
      <c r="G7826">
        <v>2030</v>
      </c>
      <c r="H7826" s="12">
        <v>6</v>
      </c>
      <c r="I7826" t="s">
        <v>3183</v>
      </c>
      <c r="J7826" t="s">
        <v>5</v>
      </c>
      <c r="K7826" t="s">
        <v>658</v>
      </c>
      <c r="L7826" t="s">
        <v>3184</v>
      </c>
      <c r="M7826" t="s">
        <v>5</v>
      </c>
    </row>
    <row r="7827" spans="1:13">
      <c r="A7827" t="s">
        <v>851</v>
      </c>
      <c r="B7827" t="s">
        <v>687</v>
      </c>
      <c r="C7827" t="s">
        <v>687</v>
      </c>
      <c r="D7827" t="s">
        <v>3174</v>
      </c>
      <c r="E7827" t="s">
        <v>646</v>
      </c>
      <c r="F7827" t="s">
        <v>40</v>
      </c>
      <c r="G7827">
        <v>2035</v>
      </c>
      <c r="H7827" s="12">
        <v>4</v>
      </c>
      <c r="I7827" t="s">
        <v>3183</v>
      </c>
      <c r="J7827" t="s">
        <v>5</v>
      </c>
      <c r="K7827" t="s">
        <v>658</v>
      </c>
      <c r="L7827" t="s">
        <v>3184</v>
      </c>
      <c r="M7827" t="s">
        <v>5</v>
      </c>
    </row>
    <row r="7828" spans="1:13">
      <c r="A7828" t="s">
        <v>851</v>
      </c>
      <c r="B7828" t="s">
        <v>687</v>
      </c>
      <c r="C7828" t="s">
        <v>687</v>
      </c>
      <c r="D7828" t="s">
        <v>3174</v>
      </c>
      <c r="E7828" t="s">
        <v>646</v>
      </c>
      <c r="F7828" t="s">
        <v>40</v>
      </c>
      <c r="G7828">
        <v>2040</v>
      </c>
      <c r="H7828" s="12">
        <v>2</v>
      </c>
      <c r="I7828" t="s">
        <v>3183</v>
      </c>
      <c r="J7828" t="s">
        <v>5</v>
      </c>
      <c r="K7828" t="s">
        <v>658</v>
      </c>
      <c r="L7828" t="s">
        <v>3184</v>
      </c>
      <c r="M7828" t="s">
        <v>5</v>
      </c>
    </row>
    <row r="7829" spans="1:13">
      <c r="A7829" t="s">
        <v>851</v>
      </c>
      <c r="B7829" t="s">
        <v>687</v>
      </c>
      <c r="C7829" t="s">
        <v>687</v>
      </c>
      <c r="D7829" t="s">
        <v>3174</v>
      </c>
      <c r="E7829" t="s">
        <v>646</v>
      </c>
      <c r="F7829" t="s">
        <v>40</v>
      </c>
      <c r="G7829">
        <v>2045</v>
      </c>
      <c r="H7829" s="12">
        <v>1</v>
      </c>
      <c r="I7829" t="s">
        <v>3183</v>
      </c>
      <c r="J7829" t="s">
        <v>5</v>
      </c>
      <c r="K7829" t="s">
        <v>658</v>
      </c>
      <c r="L7829" t="s">
        <v>3184</v>
      </c>
      <c r="M7829" t="s">
        <v>5</v>
      </c>
    </row>
    <row r="7830" spans="1:13">
      <c r="A7830" t="s">
        <v>851</v>
      </c>
      <c r="B7830" t="s">
        <v>687</v>
      </c>
      <c r="C7830" t="s">
        <v>687</v>
      </c>
      <c r="D7830" t="s">
        <v>3174</v>
      </c>
      <c r="E7830" t="s">
        <v>646</v>
      </c>
      <c r="F7830" t="s">
        <v>40</v>
      </c>
      <c r="G7830">
        <v>2050</v>
      </c>
      <c r="H7830" s="12">
        <v>0</v>
      </c>
      <c r="I7830" t="s">
        <v>3183</v>
      </c>
      <c r="J7830" t="s">
        <v>5</v>
      </c>
      <c r="K7830" t="s">
        <v>658</v>
      </c>
      <c r="L7830" t="s">
        <v>3184</v>
      </c>
      <c r="M7830" t="s">
        <v>5</v>
      </c>
    </row>
    <row r="7831" spans="1:13">
      <c r="A7831" t="s">
        <v>851</v>
      </c>
      <c r="B7831" t="s">
        <v>686</v>
      </c>
      <c r="C7831" t="s">
        <v>686</v>
      </c>
      <c r="D7831" t="s">
        <v>3174</v>
      </c>
      <c r="E7831" t="s">
        <v>461</v>
      </c>
      <c r="F7831" t="s">
        <v>668</v>
      </c>
      <c r="G7831">
        <v>2020</v>
      </c>
      <c r="H7831" s="12">
        <v>115.9</v>
      </c>
      <c r="I7831" t="s">
        <v>3183</v>
      </c>
      <c r="J7831" t="s">
        <v>17</v>
      </c>
      <c r="K7831" t="s">
        <v>147</v>
      </c>
      <c r="L7831" t="s">
        <v>3184</v>
      </c>
      <c r="M7831" t="s">
        <v>671</v>
      </c>
    </row>
    <row r="7832" spans="1:13">
      <c r="A7832" t="s">
        <v>851</v>
      </c>
      <c r="B7832" t="s">
        <v>686</v>
      </c>
      <c r="C7832" t="s">
        <v>686</v>
      </c>
      <c r="D7832" t="s">
        <v>3174</v>
      </c>
      <c r="E7832" t="s">
        <v>461</v>
      </c>
      <c r="F7832" t="s">
        <v>668</v>
      </c>
      <c r="G7832">
        <v>2030</v>
      </c>
      <c r="H7832" s="12">
        <v>668.41</v>
      </c>
      <c r="I7832" t="s">
        <v>3183</v>
      </c>
      <c r="J7832" t="s">
        <v>17</v>
      </c>
      <c r="K7832" t="s">
        <v>147</v>
      </c>
      <c r="L7832" t="s">
        <v>3184</v>
      </c>
      <c r="M7832" t="s">
        <v>671</v>
      </c>
    </row>
    <row r="7833" spans="1:13">
      <c r="A7833" t="s">
        <v>851</v>
      </c>
      <c r="B7833" t="s">
        <v>686</v>
      </c>
      <c r="C7833" t="s">
        <v>686</v>
      </c>
      <c r="D7833" t="s">
        <v>3174</v>
      </c>
      <c r="E7833" t="s">
        <v>461</v>
      </c>
      <c r="F7833" t="s">
        <v>668</v>
      </c>
      <c r="G7833">
        <v>2035</v>
      </c>
      <c r="H7833" s="12">
        <v>1150.05</v>
      </c>
      <c r="I7833" t="s">
        <v>3183</v>
      </c>
      <c r="J7833" t="s">
        <v>17</v>
      </c>
      <c r="K7833" t="s">
        <v>147</v>
      </c>
      <c r="L7833" t="s">
        <v>3184</v>
      </c>
      <c r="M7833" t="s">
        <v>671</v>
      </c>
    </row>
    <row r="7834" spans="1:13">
      <c r="A7834" t="s">
        <v>851</v>
      </c>
      <c r="B7834" t="s">
        <v>686</v>
      </c>
      <c r="C7834" t="s">
        <v>686</v>
      </c>
      <c r="D7834" t="s">
        <v>3174</v>
      </c>
      <c r="E7834" t="s">
        <v>461</v>
      </c>
      <c r="F7834" t="s">
        <v>668</v>
      </c>
      <c r="G7834">
        <v>2040</v>
      </c>
      <c r="H7834" s="12">
        <v>1614.3</v>
      </c>
      <c r="I7834" t="s">
        <v>3183</v>
      </c>
      <c r="J7834" t="s">
        <v>17</v>
      </c>
      <c r="K7834" t="s">
        <v>147</v>
      </c>
      <c r="L7834" t="s">
        <v>3184</v>
      </c>
      <c r="M7834" t="s">
        <v>671</v>
      </c>
    </row>
    <row r="7835" spans="1:13">
      <c r="A7835" t="s">
        <v>851</v>
      </c>
      <c r="B7835" t="s">
        <v>686</v>
      </c>
      <c r="C7835" t="s">
        <v>686</v>
      </c>
      <c r="D7835" t="s">
        <v>3174</v>
      </c>
      <c r="E7835" t="s">
        <v>461</v>
      </c>
      <c r="F7835" t="s">
        <v>668</v>
      </c>
      <c r="G7835">
        <v>2045</v>
      </c>
      <c r="H7835" s="12">
        <v>2011</v>
      </c>
      <c r="I7835" t="s">
        <v>3183</v>
      </c>
      <c r="J7835" t="s">
        <v>17</v>
      </c>
      <c r="K7835" t="s">
        <v>147</v>
      </c>
      <c r="L7835" t="s">
        <v>3184</v>
      </c>
      <c r="M7835" t="s">
        <v>671</v>
      </c>
    </row>
    <row r="7836" spans="1:13">
      <c r="A7836" t="s">
        <v>851</v>
      </c>
      <c r="B7836" t="s">
        <v>686</v>
      </c>
      <c r="C7836" t="s">
        <v>686</v>
      </c>
      <c r="D7836" t="s">
        <v>3174</v>
      </c>
      <c r="E7836" t="s">
        <v>461</v>
      </c>
      <c r="F7836" t="s">
        <v>668</v>
      </c>
      <c r="G7836">
        <v>2050</v>
      </c>
      <c r="H7836" s="12">
        <v>2350.35</v>
      </c>
      <c r="I7836" t="s">
        <v>3183</v>
      </c>
      <c r="J7836" t="s">
        <v>17</v>
      </c>
      <c r="K7836" t="s">
        <v>147</v>
      </c>
      <c r="L7836" t="s">
        <v>3184</v>
      </c>
      <c r="M7836" t="s">
        <v>671</v>
      </c>
    </row>
    <row r="7837" spans="1:13">
      <c r="A7837" t="s">
        <v>851</v>
      </c>
      <c r="B7837" t="s">
        <v>687</v>
      </c>
      <c r="C7837" t="s">
        <v>687</v>
      </c>
      <c r="D7837" t="s">
        <v>3174</v>
      </c>
      <c r="E7837" t="s">
        <v>461</v>
      </c>
      <c r="F7837" t="s">
        <v>668</v>
      </c>
      <c r="G7837">
        <v>2030</v>
      </c>
      <c r="H7837" s="12">
        <v>893.71</v>
      </c>
      <c r="I7837" t="s">
        <v>3183</v>
      </c>
      <c r="J7837" t="s">
        <v>17</v>
      </c>
      <c r="K7837" t="s">
        <v>147</v>
      </c>
      <c r="L7837" t="s">
        <v>3184</v>
      </c>
      <c r="M7837" t="s">
        <v>671</v>
      </c>
    </row>
    <row r="7838" spans="1:13">
      <c r="A7838" t="s">
        <v>851</v>
      </c>
      <c r="B7838" t="s">
        <v>687</v>
      </c>
      <c r="C7838" t="s">
        <v>687</v>
      </c>
      <c r="D7838" t="s">
        <v>3174</v>
      </c>
      <c r="E7838" t="s">
        <v>461</v>
      </c>
      <c r="F7838" t="s">
        <v>668</v>
      </c>
      <c r="G7838">
        <v>2035</v>
      </c>
      <c r="H7838" s="12">
        <v>1530.59</v>
      </c>
      <c r="I7838" t="s">
        <v>3183</v>
      </c>
      <c r="J7838" t="s">
        <v>17</v>
      </c>
      <c r="K7838" t="s">
        <v>147</v>
      </c>
      <c r="L7838" t="s">
        <v>3184</v>
      </c>
      <c r="M7838" t="s">
        <v>671</v>
      </c>
    </row>
    <row r="7839" spans="1:13">
      <c r="A7839" t="s">
        <v>851</v>
      </c>
      <c r="B7839" t="s">
        <v>687</v>
      </c>
      <c r="C7839" t="s">
        <v>687</v>
      </c>
      <c r="D7839" t="s">
        <v>3174</v>
      </c>
      <c r="E7839" t="s">
        <v>461</v>
      </c>
      <c r="F7839" t="s">
        <v>668</v>
      </c>
      <c r="G7839">
        <v>2040</v>
      </c>
      <c r="H7839" s="12">
        <v>2019.19</v>
      </c>
      <c r="I7839" t="s">
        <v>3183</v>
      </c>
      <c r="J7839" t="s">
        <v>17</v>
      </c>
      <c r="K7839" t="s">
        <v>147</v>
      </c>
      <c r="L7839" t="s">
        <v>3184</v>
      </c>
      <c r="M7839" t="s">
        <v>671</v>
      </c>
    </row>
    <row r="7840" spans="1:13">
      <c r="A7840" t="s">
        <v>851</v>
      </c>
      <c r="B7840" t="s">
        <v>687</v>
      </c>
      <c r="C7840" t="s">
        <v>687</v>
      </c>
      <c r="D7840" t="s">
        <v>3174</v>
      </c>
      <c r="E7840" t="s">
        <v>461</v>
      </c>
      <c r="F7840" t="s">
        <v>668</v>
      </c>
      <c r="G7840">
        <v>2045</v>
      </c>
      <c r="H7840" s="12">
        <v>2517.75</v>
      </c>
      <c r="I7840" t="s">
        <v>3183</v>
      </c>
      <c r="J7840" t="s">
        <v>17</v>
      </c>
      <c r="K7840" t="s">
        <v>147</v>
      </c>
      <c r="L7840" t="s">
        <v>3184</v>
      </c>
      <c r="M7840" t="s">
        <v>671</v>
      </c>
    </row>
    <row r="7841" spans="1:13">
      <c r="A7841" t="s">
        <v>851</v>
      </c>
      <c r="B7841" t="s">
        <v>687</v>
      </c>
      <c r="C7841" t="s">
        <v>687</v>
      </c>
      <c r="D7841" t="s">
        <v>3174</v>
      </c>
      <c r="E7841" t="s">
        <v>461</v>
      </c>
      <c r="F7841" t="s">
        <v>668</v>
      </c>
      <c r="G7841">
        <v>2050</v>
      </c>
      <c r="H7841" s="12">
        <v>2962.65</v>
      </c>
      <c r="I7841" t="s">
        <v>3183</v>
      </c>
      <c r="J7841" t="s">
        <v>17</v>
      </c>
      <c r="K7841" t="s">
        <v>147</v>
      </c>
      <c r="L7841" t="s">
        <v>3184</v>
      </c>
      <c r="M7841" t="s">
        <v>671</v>
      </c>
    </row>
    <row r="7842" spans="1:13">
      <c r="A7842" t="s">
        <v>851</v>
      </c>
      <c r="B7842" t="s">
        <v>686</v>
      </c>
      <c r="C7842" t="s">
        <v>686</v>
      </c>
      <c r="D7842" t="s">
        <v>3174</v>
      </c>
      <c r="E7842" t="s">
        <v>461</v>
      </c>
      <c r="F7842" t="s">
        <v>668</v>
      </c>
      <c r="G7842">
        <v>2010</v>
      </c>
      <c r="H7842" s="12">
        <v>95.15</v>
      </c>
      <c r="I7842" t="s">
        <v>3183</v>
      </c>
      <c r="J7842" t="s">
        <v>18</v>
      </c>
      <c r="K7842" t="s">
        <v>147</v>
      </c>
      <c r="L7842" t="s">
        <v>3184</v>
      </c>
      <c r="M7842" t="s">
        <v>18</v>
      </c>
    </row>
    <row r="7843" spans="1:13">
      <c r="A7843" t="s">
        <v>851</v>
      </c>
      <c r="B7843" t="s">
        <v>686</v>
      </c>
      <c r="C7843" t="s">
        <v>686</v>
      </c>
      <c r="D7843" t="s">
        <v>3174</v>
      </c>
      <c r="E7843" t="s">
        <v>461</v>
      </c>
      <c r="F7843" t="s">
        <v>668</v>
      </c>
      <c r="G7843">
        <v>2015</v>
      </c>
      <c r="H7843" s="12">
        <v>192.99</v>
      </c>
      <c r="I7843" t="s">
        <v>3183</v>
      </c>
      <c r="J7843" t="s">
        <v>18</v>
      </c>
      <c r="K7843" t="s">
        <v>147</v>
      </c>
      <c r="L7843" t="s">
        <v>3184</v>
      </c>
      <c r="M7843" t="s">
        <v>18</v>
      </c>
    </row>
    <row r="7844" spans="1:13">
      <c r="A7844" t="s">
        <v>851</v>
      </c>
      <c r="B7844" t="s">
        <v>686</v>
      </c>
      <c r="C7844" t="s">
        <v>686</v>
      </c>
      <c r="D7844" t="s">
        <v>3174</v>
      </c>
      <c r="E7844" t="s">
        <v>461</v>
      </c>
      <c r="F7844" t="s">
        <v>668</v>
      </c>
      <c r="G7844">
        <v>2020</v>
      </c>
      <c r="H7844" s="12">
        <v>341.82</v>
      </c>
      <c r="I7844" t="s">
        <v>3183</v>
      </c>
      <c r="J7844" t="s">
        <v>18</v>
      </c>
      <c r="K7844" t="s">
        <v>147</v>
      </c>
      <c r="L7844" t="s">
        <v>3184</v>
      </c>
      <c r="M7844" t="s">
        <v>18</v>
      </c>
    </row>
    <row r="7845" spans="1:13">
      <c r="A7845" t="s">
        <v>851</v>
      </c>
      <c r="B7845" t="s">
        <v>686</v>
      </c>
      <c r="C7845" t="s">
        <v>686</v>
      </c>
      <c r="D7845" t="s">
        <v>3174</v>
      </c>
      <c r="E7845" t="s">
        <v>461</v>
      </c>
      <c r="F7845" t="s">
        <v>668</v>
      </c>
      <c r="G7845">
        <v>2030</v>
      </c>
      <c r="H7845" s="12">
        <v>948.48</v>
      </c>
      <c r="I7845" t="s">
        <v>3183</v>
      </c>
      <c r="J7845" t="s">
        <v>18</v>
      </c>
      <c r="K7845" t="s">
        <v>147</v>
      </c>
      <c r="L7845" t="s">
        <v>3184</v>
      </c>
      <c r="M7845" t="s">
        <v>18</v>
      </c>
    </row>
    <row r="7846" spans="1:13">
      <c r="A7846" t="s">
        <v>851</v>
      </c>
      <c r="B7846" t="s">
        <v>686</v>
      </c>
      <c r="C7846" t="s">
        <v>686</v>
      </c>
      <c r="D7846" t="s">
        <v>3174</v>
      </c>
      <c r="E7846" t="s">
        <v>461</v>
      </c>
      <c r="F7846" t="s">
        <v>668</v>
      </c>
      <c r="G7846">
        <v>2035</v>
      </c>
      <c r="H7846" s="12">
        <v>1415.27</v>
      </c>
      <c r="I7846" t="s">
        <v>3183</v>
      </c>
      <c r="J7846" t="s">
        <v>18</v>
      </c>
      <c r="K7846" t="s">
        <v>147</v>
      </c>
      <c r="L7846" t="s">
        <v>3184</v>
      </c>
      <c r="M7846" t="s">
        <v>18</v>
      </c>
    </row>
    <row r="7847" spans="1:13">
      <c r="A7847" t="s">
        <v>851</v>
      </c>
      <c r="B7847" t="s">
        <v>686</v>
      </c>
      <c r="C7847" t="s">
        <v>686</v>
      </c>
      <c r="D7847" t="s">
        <v>3174</v>
      </c>
      <c r="E7847" t="s">
        <v>461</v>
      </c>
      <c r="F7847" t="s">
        <v>668</v>
      </c>
      <c r="G7847">
        <v>2040</v>
      </c>
      <c r="H7847" s="12">
        <v>1692.15</v>
      </c>
      <c r="I7847" t="s">
        <v>3183</v>
      </c>
      <c r="J7847" t="s">
        <v>18</v>
      </c>
      <c r="K7847" t="s">
        <v>147</v>
      </c>
      <c r="L7847" t="s">
        <v>3184</v>
      </c>
      <c r="M7847" t="s">
        <v>18</v>
      </c>
    </row>
    <row r="7848" spans="1:13">
      <c r="A7848" t="s">
        <v>851</v>
      </c>
      <c r="B7848" t="s">
        <v>686</v>
      </c>
      <c r="C7848" t="s">
        <v>686</v>
      </c>
      <c r="D7848" t="s">
        <v>3174</v>
      </c>
      <c r="E7848" t="s">
        <v>461</v>
      </c>
      <c r="F7848" t="s">
        <v>668</v>
      </c>
      <c r="G7848">
        <v>2045</v>
      </c>
      <c r="H7848" s="12">
        <v>1854.55</v>
      </c>
      <c r="I7848" t="s">
        <v>3183</v>
      </c>
      <c r="J7848" t="s">
        <v>18</v>
      </c>
      <c r="K7848" t="s">
        <v>147</v>
      </c>
      <c r="L7848" t="s">
        <v>3184</v>
      </c>
      <c r="M7848" t="s">
        <v>18</v>
      </c>
    </row>
    <row r="7849" spans="1:13">
      <c r="A7849" t="s">
        <v>851</v>
      </c>
      <c r="B7849" t="s">
        <v>686</v>
      </c>
      <c r="C7849" t="s">
        <v>686</v>
      </c>
      <c r="D7849" t="s">
        <v>3174</v>
      </c>
      <c r="E7849" t="s">
        <v>461</v>
      </c>
      <c r="F7849" t="s">
        <v>668</v>
      </c>
      <c r="G7849">
        <v>2050</v>
      </c>
      <c r="H7849" s="12">
        <v>1930.95</v>
      </c>
      <c r="I7849" t="s">
        <v>3183</v>
      </c>
      <c r="J7849" t="s">
        <v>18</v>
      </c>
      <c r="K7849" t="s">
        <v>147</v>
      </c>
      <c r="L7849" t="s">
        <v>3184</v>
      </c>
      <c r="M7849" t="s">
        <v>18</v>
      </c>
    </row>
    <row r="7850" spans="1:13">
      <c r="A7850" t="s">
        <v>851</v>
      </c>
      <c r="B7850" t="s">
        <v>687</v>
      </c>
      <c r="C7850" t="s">
        <v>687</v>
      </c>
      <c r="D7850" t="s">
        <v>3174</v>
      </c>
      <c r="E7850" t="s">
        <v>461</v>
      </c>
      <c r="F7850" t="s">
        <v>668</v>
      </c>
      <c r="G7850">
        <v>2030</v>
      </c>
      <c r="H7850" s="12">
        <v>1235.05</v>
      </c>
      <c r="I7850" t="s">
        <v>3183</v>
      </c>
      <c r="J7850" t="s">
        <v>18</v>
      </c>
      <c r="K7850" t="s">
        <v>147</v>
      </c>
      <c r="L7850" t="s">
        <v>3184</v>
      </c>
      <c r="M7850" t="s">
        <v>18</v>
      </c>
    </row>
    <row r="7851" spans="1:13">
      <c r="A7851" t="s">
        <v>851</v>
      </c>
      <c r="B7851" t="s">
        <v>687</v>
      </c>
      <c r="C7851" t="s">
        <v>687</v>
      </c>
      <c r="D7851" t="s">
        <v>3174</v>
      </c>
      <c r="E7851" t="s">
        <v>461</v>
      </c>
      <c r="F7851" t="s">
        <v>668</v>
      </c>
      <c r="G7851">
        <v>2035</v>
      </c>
      <c r="H7851" s="12">
        <v>1984.63</v>
      </c>
      <c r="I7851" t="s">
        <v>3183</v>
      </c>
      <c r="J7851" t="s">
        <v>18</v>
      </c>
      <c r="K7851" t="s">
        <v>147</v>
      </c>
      <c r="L7851" t="s">
        <v>3184</v>
      </c>
      <c r="M7851" t="s">
        <v>18</v>
      </c>
    </row>
    <row r="7852" spans="1:13">
      <c r="A7852" t="s">
        <v>851</v>
      </c>
      <c r="B7852" t="s">
        <v>686</v>
      </c>
      <c r="C7852" t="s">
        <v>686</v>
      </c>
      <c r="D7852" t="s">
        <v>3174</v>
      </c>
      <c r="E7852" t="s">
        <v>646</v>
      </c>
      <c r="F7852" t="s">
        <v>40</v>
      </c>
      <c r="G7852">
        <v>2010</v>
      </c>
      <c r="H7852" s="12">
        <v>23</v>
      </c>
      <c r="I7852" t="s">
        <v>3183</v>
      </c>
      <c r="J7852" t="s">
        <v>344</v>
      </c>
      <c r="K7852" t="s">
        <v>11</v>
      </c>
      <c r="L7852" t="s">
        <v>3184</v>
      </c>
      <c r="M7852" t="s">
        <v>10</v>
      </c>
    </row>
    <row r="7853" spans="1:13">
      <c r="A7853" t="s">
        <v>851</v>
      </c>
      <c r="B7853" t="s">
        <v>686</v>
      </c>
      <c r="C7853" t="s">
        <v>686</v>
      </c>
      <c r="D7853" t="s">
        <v>3174</v>
      </c>
      <c r="E7853" t="s">
        <v>646</v>
      </c>
      <c r="F7853" t="s">
        <v>40</v>
      </c>
      <c r="G7853">
        <v>2015</v>
      </c>
      <c r="H7853" s="12">
        <v>32</v>
      </c>
      <c r="I7853" t="s">
        <v>3183</v>
      </c>
      <c r="J7853" t="s">
        <v>344</v>
      </c>
      <c r="K7853" t="s">
        <v>11</v>
      </c>
      <c r="L7853" t="s">
        <v>3184</v>
      </c>
      <c r="M7853" t="s">
        <v>10</v>
      </c>
    </row>
    <row r="7854" spans="1:13">
      <c r="A7854" t="s">
        <v>851</v>
      </c>
      <c r="B7854" t="s">
        <v>686</v>
      </c>
      <c r="C7854" t="s">
        <v>686</v>
      </c>
      <c r="D7854" t="s">
        <v>3174</v>
      </c>
      <c r="E7854" t="s">
        <v>646</v>
      </c>
      <c r="F7854" t="s">
        <v>40</v>
      </c>
      <c r="G7854">
        <v>2020</v>
      </c>
      <c r="H7854" s="12">
        <v>37</v>
      </c>
      <c r="I7854" t="s">
        <v>3183</v>
      </c>
      <c r="J7854" t="s">
        <v>344</v>
      </c>
      <c r="K7854" t="s">
        <v>11</v>
      </c>
      <c r="L7854" t="s">
        <v>3184</v>
      </c>
      <c r="M7854" t="s">
        <v>10</v>
      </c>
    </row>
    <row r="7855" spans="1:13">
      <c r="A7855" t="s">
        <v>851</v>
      </c>
      <c r="B7855" t="s">
        <v>686</v>
      </c>
      <c r="C7855" t="s">
        <v>686</v>
      </c>
      <c r="D7855" t="s">
        <v>3174</v>
      </c>
      <c r="E7855" t="s">
        <v>646</v>
      </c>
      <c r="F7855" t="s">
        <v>40</v>
      </c>
      <c r="G7855">
        <v>2030</v>
      </c>
      <c r="H7855" s="12">
        <v>588</v>
      </c>
      <c r="I7855" t="s">
        <v>3183</v>
      </c>
      <c r="J7855" t="s">
        <v>344</v>
      </c>
      <c r="K7855" t="s">
        <v>11</v>
      </c>
      <c r="L7855" t="s">
        <v>3184</v>
      </c>
      <c r="M7855" t="s">
        <v>10</v>
      </c>
    </row>
    <row r="7856" spans="1:13">
      <c r="A7856" t="s">
        <v>851</v>
      </c>
      <c r="B7856" t="s">
        <v>686</v>
      </c>
      <c r="C7856" t="s">
        <v>686</v>
      </c>
      <c r="D7856" t="s">
        <v>3174</v>
      </c>
      <c r="E7856" t="s">
        <v>646</v>
      </c>
      <c r="F7856" t="s">
        <v>40</v>
      </c>
      <c r="G7856">
        <v>2035</v>
      </c>
      <c r="H7856" s="12">
        <v>1139</v>
      </c>
      <c r="I7856" t="s">
        <v>3183</v>
      </c>
      <c r="J7856" t="s">
        <v>344</v>
      </c>
      <c r="K7856" t="s">
        <v>11</v>
      </c>
      <c r="L7856" t="s">
        <v>3184</v>
      </c>
      <c r="M7856" t="s">
        <v>10</v>
      </c>
    </row>
    <row r="7857" spans="1:13">
      <c r="A7857" t="s">
        <v>851</v>
      </c>
      <c r="B7857" t="s">
        <v>686</v>
      </c>
      <c r="C7857" t="s">
        <v>686</v>
      </c>
      <c r="D7857" t="s">
        <v>3174</v>
      </c>
      <c r="E7857" t="s">
        <v>646</v>
      </c>
      <c r="F7857" t="s">
        <v>40</v>
      </c>
      <c r="G7857">
        <v>2040</v>
      </c>
      <c r="H7857" s="12">
        <v>1690</v>
      </c>
      <c r="I7857" t="s">
        <v>3183</v>
      </c>
      <c r="J7857" t="s">
        <v>344</v>
      </c>
      <c r="K7857" t="s">
        <v>11</v>
      </c>
      <c r="L7857" t="s">
        <v>3184</v>
      </c>
      <c r="M7857" t="s">
        <v>10</v>
      </c>
    </row>
    <row r="7858" spans="1:13">
      <c r="A7858" t="s">
        <v>851</v>
      </c>
      <c r="B7858" t="s">
        <v>686</v>
      </c>
      <c r="C7858" t="s">
        <v>686</v>
      </c>
      <c r="D7858" t="s">
        <v>3174</v>
      </c>
      <c r="E7858" t="s">
        <v>646</v>
      </c>
      <c r="F7858" t="s">
        <v>40</v>
      </c>
      <c r="G7858">
        <v>2045</v>
      </c>
      <c r="H7858" s="12">
        <v>2169</v>
      </c>
      <c r="I7858" t="s">
        <v>3183</v>
      </c>
      <c r="J7858" t="s">
        <v>344</v>
      </c>
      <c r="K7858" t="s">
        <v>11</v>
      </c>
      <c r="L7858" t="s">
        <v>3184</v>
      </c>
      <c r="M7858" t="s">
        <v>10</v>
      </c>
    </row>
    <row r="7859" spans="1:13">
      <c r="A7859" t="s">
        <v>851</v>
      </c>
      <c r="B7859" t="s">
        <v>686</v>
      </c>
      <c r="C7859" t="s">
        <v>686</v>
      </c>
      <c r="D7859" t="s">
        <v>3174</v>
      </c>
      <c r="E7859" t="s">
        <v>646</v>
      </c>
      <c r="F7859" t="s">
        <v>40</v>
      </c>
      <c r="G7859">
        <v>2050</v>
      </c>
      <c r="H7859" s="12">
        <v>2546</v>
      </c>
      <c r="I7859" t="s">
        <v>3183</v>
      </c>
      <c r="J7859" t="s">
        <v>344</v>
      </c>
      <c r="K7859" t="s">
        <v>11</v>
      </c>
      <c r="L7859" t="s">
        <v>3184</v>
      </c>
      <c r="M7859" t="s">
        <v>10</v>
      </c>
    </row>
    <row r="7860" spans="1:13">
      <c r="A7860" t="s">
        <v>851</v>
      </c>
      <c r="B7860" t="s">
        <v>687</v>
      </c>
      <c r="C7860" t="s">
        <v>687</v>
      </c>
      <c r="D7860" t="s">
        <v>3174</v>
      </c>
      <c r="E7860" t="s">
        <v>646</v>
      </c>
      <c r="F7860" t="s">
        <v>40</v>
      </c>
      <c r="G7860">
        <v>2030</v>
      </c>
      <c r="H7860" s="12">
        <v>968</v>
      </c>
      <c r="I7860" t="s">
        <v>3183</v>
      </c>
      <c r="J7860" t="s">
        <v>344</v>
      </c>
      <c r="K7860" t="s">
        <v>11</v>
      </c>
      <c r="L7860" t="s">
        <v>3184</v>
      </c>
      <c r="M7860" t="s">
        <v>10</v>
      </c>
    </row>
    <row r="7861" spans="1:13">
      <c r="A7861" t="s">
        <v>851</v>
      </c>
      <c r="B7861" t="s">
        <v>687</v>
      </c>
      <c r="C7861" t="s">
        <v>687</v>
      </c>
      <c r="D7861" t="s">
        <v>3174</v>
      </c>
      <c r="E7861" t="s">
        <v>646</v>
      </c>
      <c r="F7861" t="s">
        <v>40</v>
      </c>
      <c r="G7861">
        <v>2035</v>
      </c>
      <c r="H7861" s="12">
        <v>2193</v>
      </c>
      <c r="I7861" t="s">
        <v>3183</v>
      </c>
      <c r="J7861" t="s">
        <v>344</v>
      </c>
      <c r="K7861" t="s">
        <v>11</v>
      </c>
      <c r="L7861" t="s">
        <v>3184</v>
      </c>
      <c r="M7861" t="s">
        <v>10</v>
      </c>
    </row>
    <row r="7862" spans="1:13">
      <c r="A7862" t="s">
        <v>851</v>
      </c>
      <c r="B7862" t="s">
        <v>687</v>
      </c>
      <c r="C7862" t="s">
        <v>687</v>
      </c>
      <c r="D7862" t="s">
        <v>3174</v>
      </c>
      <c r="E7862" t="s">
        <v>646</v>
      </c>
      <c r="F7862" t="s">
        <v>40</v>
      </c>
      <c r="G7862">
        <v>2040</v>
      </c>
      <c r="H7862" s="12">
        <v>3448</v>
      </c>
      <c r="I7862" t="s">
        <v>3183</v>
      </c>
      <c r="J7862" t="s">
        <v>344</v>
      </c>
      <c r="K7862" t="s">
        <v>11</v>
      </c>
      <c r="L7862" t="s">
        <v>3184</v>
      </c>
      <c r="M7862" t="s">
        <v>10</v>
      </c>
    </row>
    <row r="7863" spans="1:13">
      <c r="A7863" t="s">
        <v>851</v>
      </c>
      <c r="B7863" t="s">
        <v>687</v>
      </c>
      <c r="C7863" t="s">
        <v>687</v>
      </c>
      <c r="D7863" t="s">
        <v>3174</v>
      </c>
      <c r="E7863" t="s">
        <v>646</v>
      </c>
      <c r="F7863" t="s">
        <v>40</v>
      </c>
      <c r="G7863">
        <v>2045</v>
      </c>
      <c r="H7863" s="12">
        <v>4464</v>
      </c>
      <c r="I7863" t="s">
        <v>3183</v>
      </c>
      <c r="J7863" t="s">
        <v>344</v>
      </c>
      <c r="K7863" t="s">
        <v>11</v>
      </c>
      <c r="L7863" t="s">
        <v>3184</v>
      </c>
      <c r="M7863" t="s">
        <v>10</v>
      </c>
    </row>
    <row r="7864" spans="1:13">
      <c r="A7864" t="s">
        <v>851</v>
      </c>
      <c r="B7864" t="s">
        <v>687</v>
      </c>
      <c r="C7864" t="s">
        <v>687</v>
      </c>
      <c r="D7864" t="s">
        <v>3174</v>
      </c>
      <c r="E7864" t="s">
        <v>646</v>
      </c>
      <c r="F7864" t="s">
        <v>40</v>
      </c>
      <c r="G7864">
        <v>2050</v>
      </c>
      <c r="H7864" s="12">
        <v>5281</v>
      </c>
      <c r="I7864" t="s">
        <v>3183</v>
      </c>
      <c r="J7864" t="s">
        <v>344</v>
      </c>
      <c r="K7864" t="s">
        <v>11</v>
      </c>
      <c r="L7864" t="s">
        <v>3184</v>
      </c>
      <c r="M7864" t="s">
        <v>10</v>
      </c>
    </row>
    <row r="7865" spans="1:13">
      <c r="A7865" t="s">
        <v>851</v>
      </c>
      <c r="B7865" t="s">
        <v>686</v>
      </c>
      <c r="C7865" t="s">
        <v>686</v>
      </c>
      <c r="D7865" t="s">
        <v>3174</v>
      </c>
      <c r="E7865" t="s">
        <v>646</v>
      </c>
      <c r="F7865" t="s">
        <v>40</v>
      </c>
      <c r="G7865">
        <v>2010</v>
      </c>
      <c r="H7865" s="12">
        <v>23259</v>
      </c>
      <c r="I7865" t="s">
        <v>3183</v>
      </c>
      <c r="J7865" t="s">
        <v>394</v>
      </c>
      <c r="K7865" t="s">
        <v>11</v>
      </c>
      <c r="L7865" t="s">
        <v>3184</v>
      </c>
      <c r="M7865" t="s">
        <v>16</v>
      </c>
    </row>
    <row r="7866" spans="1:13">
      <c r="A7866" t="s">
        <v>851</v>
      </c>
      <c r="B7866" t="s">
        <v>686</v>
      </c>
      <c r="C7866" t="s">
        <v>686</v>
      </c>
      <c r="D7866" t="s">
        <v>3174</v>
      </c>
      <c r="E7866" t="s">
        <v>646</v>
      </c>
      <c r="F7866" t="s">
        <v>40</v>
      </c>
      <c r="G7866">
        <v>2015</v>
      </c>
      <c r="H7866" s="12">
        <v>23505</v>
      </c>
      <c r="I7866" t="s">
        <v>3183</v>
      </c>
      <c r="J7866" t="s">
        <v>394</v>
      </c>
      <c r="K7866" t="s">
        <v>11</v>
      </c>
      <c r="L7866" t="s">
        <v>3184</v>
      </c>
      <c r="M7866" t="s">
        <v>16</v>
      </c>
    </row>
    <row r="7867" spans="1:13">
      <c r="A7867" t="s">
        <v>851</v>
      </c>
      <c r="B7867" t="s">
        <v>686</v>
      </c>
      <c r="C7867" t="s">
        <v>686</v>
      </c>
      <c r="D7867" t="s">
        <v>3174</v>
      </c>
      <c r="E7867" t="s">
        <v>646</v>
      </c>
      <c r="F7867" t="s">
        <v>40</v>
      </c>
      <c r="G7867">
        <v>2020</v>
      </c>
      <c r="H7867" s="12">
        <v>20495</v>
      </c>
      <c r="I7867" t="s">
        <v>3183</v>
      </c>
      <c r="J7867" t="s">
        <v>394</v>
      </c>
      <c r="K7867" t="s">
        <v>11</v>
      </c>
      <c r="L7867" t="s">
        <v>3184</v>
      </c>
      <c r="M7867" t="s">
        <v>16</v>
      </c>
    </row>
    <row r="7868" spans="1:13">
      <c r="A7868" t="s">
        <v>851</v>
      </c>
      <c r="B7868" t="s">
        <v>686</v>
      </c>
      <c r="C7868" t="s">
        <v>686</v>
      </c>
      <c r="D7868" t="s">
        <v>3174</v>
      </c>
      <c r="E7868" t="s">
        <v>646</v>
      </c>
      <c r="F7868" t="s">
        <v>40</v>
      </c>
      <c r="G7868">
        <v>2030</v>
      </c>
      <c r="H7868" s="12">
        <v>20262</v>
      </c>
      <c r="I7868" t="s">
        <v>3183</v>
      </c>
      <c r="J7868" t="s">
        <v>394</v>
      </c>
      <c r="K7868" t="s">
        <v>11</v>
      </c>
      <c r="L7868" t="s">
        <v>3184</v>
      </c>
      <c r="M7868" t="s">
        <v>16</v>
      </c>
    </row>
    <row r="7869" spans="1:13">
      <c r="A7869" t="s">
        <v>851</v>
      </c>
      <c r="B7869" t="s">
        <v>686</v>
      </c>
      <c r="C7869" t="s">
        <v>686</v>
      </c>
      <c r="D7869" t="s">
        <v>3174</v>
      </c>
      <c r="E7869" t="s">
        <v>646</v>
      </c>
      <c r="F7869" t="s">
        <v>40</v>
      </c>
      <c r="G7869">
        <v>2035</v>
      </c>
      <c r="H7869" s="12">
        <v>18166</v>
      </c>
      <c r="I7869" t="s">
        <v>3183</v>
      </c>
      <c r="J7869" t="s">
        <v>394</v>
      </c>
      <c r="K7869" t="s">
        <v>11</v>
      </c>
      <c r="L7869" t="s">
        <v>3184</v>
      </c>
      <c r="M7869" t="s">
        <v>16</v>
      </c>
    </row>
    <row r="7870" spans="1:13">
      <c r="A7870" t="s">
        <v>851</v>
      </c>
      <c r="B7870" t="s">
        <v>686</v>
      </c>
      <c r="C7870" t="s">
        <v>686</v>
      </c>
      <c r="D7870" t="s">
        <v>3174</v>
      </c>
      <c r="E7870" t="s">
        <v>646</v>
      </c>
      <c r="F7870" t="s">
        <v>40</v>
      </c>
      <c r="G7870">
        <v>2040</v>
      </c>
      <c r="H7870" s="12">
        <v>16252</v>
      </c>
      <c r="I7870" t="s">
        <v>3183</v>
      </c>
      <c r="J7870" t="s">
        <v>394</v>
      </c>
      <c r="K7870" t="s">
        <v>11</v>
      </c>
      <c r="L7870" t="s">
        <v>3184</v>
      </c>
      <c r="M7870" t="s">
        <v>16</v>
      </c>
    </row>
    <row r="7871" spans="1:13">
      <c r="A7871" t="s">
        <v>851</v>
      </c>
      <c r="B7871" t="s">
        <v>686</v>
      </c>
      <c r="C7871" t="s">
        <v>686</v>
      </c>
      <c r="D7871" t="s">
        <v>3174</v>
      </c>
      <c r="E7871" t="s">
        <v>646</v>
      </c>
      <c r="F7871" t="s">
        <v>40</v>
      </c>
      <c r="G7871">
        <v>2045</v>
      </c>
      <c r="H7871" s="12">
        <v>15037</v>
      </c>
      <c r="I7871" t="s">
        <v>3183</v>
      </c>
      <c r="J7871" t="s">
        <v>394</v>
      </c>
      <c r="K7871" t="s">
        <v>11</v>
      </c>
      <c r="L7871" t="s">
        <v>3184</v>
      </c>
      <c r="M7871" t="s">
        <v>16</v>
      </c>
    </row>
    <row r="7872" spans="1:13">
      <c r="A7872" t="s">
        <v>851</v>
      </c>
      <c r="B7872" t="s">
        <v>686</v>
      </c>
      <c r="C7872" t="s">
        <v>686</v>
      </c>
      <c r="D7872" t="s">
        <v>3174</v>
      </c>
      <c r="E7872" t="s">
        <v>646</v>
      </c>
      <c r="F7872" t="s">
        <v>40</v>
      </c>
      <c r="G7872">
        <v>2050</v>
      </c>
      <c r="H7872" s="12">
        <v>13978</v>
      </c>
      <c r="I7872" t="s">
        <v>3183</v>
      </c>
      <c r="J7872" t="s">
        <v>394</v>
      </c>
      <c r="K7872" t="s">
        <v>11</v>
      </c>
      <c r="L7872" t="s">
        <v>3184</v>
      </c>
      <c r="M7872" t="s">
        <v>16</v>
      </c>
    </row>
    <row r="7873" spans="1:13">
      <c r="A7873" t="s">
        <v>851</v>
      </c>
      <c r="B7873" t="s">
        <v>687</v>
      </c>
      <c r="C7873" t="s">
        <v>687</v>
      </c>
      <c r="D7873" t="s">
        <v>3174</v>
      </c>
      <c r="E7873" t="s">
        <v>646</v>
      </c>
      <c r="F7873" t="s">
        <v>40</v>
      </c>
      <c r="G7873">
        <v>2030</v>
      </c>
      <c r="H7873" s="12">
        <v>17662</v>
      </c>
      <c r="I7873" t="s">
        <v>3183</v>
      </c>
      <c r="J7873" t="s">
        <v>394</v>
      </c>
      <c r="K7873" t="s">
        <v>11</v>
      </c>
      <c r="L7873" t="s">
        <v>3184</v>
      </c>
      <c r="M7873" t="s">
        <v>16</v>
      </c>
    </row>
    <row r="7874" spans="1:13">
      <c r="A7874" t="s">
        <v>851</v>
      </c>
      <c r="B7874" t="s">
        <v>687</v>
      </c>
      <c r="C7874" t="s">
        <v>687</v>
      </c>
      <c r="D7874" t="s">
        <v>3174</v>
      </c>
      <c r="E7874" t="s">
        <v>646</v>
      </c>
      <c r="F7874" t="s">
        <v>40</v>
      </c>
      <c r="G7874">
        <v>2035</v>
      </c>
      <c r="H7874" s="12">
        <v>12122</v>
      </c>
      <c r="I7874" t="s">
        <v>3183</v>
      </c>
      <c r="J7874" t="s">
        <v>394</v>
      </c>
      <c r="K7874" t="s">
        <v>11</v>
      </c>
      <c r="L7874" t="s">
        <v>3184</v>
      </c>
      <c r="M7874" t="s">
        <v>16</v>
      </c>
    </row>
    <row r="7875" spans="1:13">
      <c r="A7875" t="s">
        <v>851</v>
      </c>
      <c r="B7875" t="s">
        <v>687</v>
      </c>
      <c r="C7875" t="s">
        <v>687</v>
      </c>
      <c r="D7875" t="s">
        <v>3174</v>
      </c>
      <c r="E7875" t="s">
        <v>646</v>
      </c>
      <c r="F7875" t="s">
        <v>40</v>
      </c>
      <c r="G7875">
        <v>2040</v>
      </c>
      <c r="H7875" s="12">
        <v>7205</v>
      </c>
      <c r="I7875" t="s">
        <v>3183</v>
      </c>
      <c r="J7875" t="s">
        <v>394</v>
      </c>
      <c r="K7875" t="s">
        <v>11</v>
      </c>
      <c r="L7875" t="s">
        <v>3184</v>
      </c>
      <c r="M7875" t="s">
        <v>16</v>
      </c>
    </row>
    <row r="7876" spans="1:13">
      <c r="A7876" t="s">
        <v>851</v>
      </c>
      <c r="B7876" t="s">
        <v>687</v>
      </c>
      <c r="C7876" t="s">
        <v>687</v>
      </c>
      <c r="D7876" t="s">
        <v>3174</v>
      </c>
      <c r="E7876" t="s">
        <v>646</v>
      </c>
      <c r="F7876" t="s">
        <v>40</v>
      </c>
      <c r="G7876">
        <v>2045</v>
      </c>
      <c r="H7876" s="12">
        <v>4042</v>
      </c>
      <c r="I7876" t="s">
        <v>3183</v>
      </c>
      <c r="J7876" t="s">
        <v>394</v>
      </c>
      <c r="K7876" t="s">
        <v>11</v>
      </c>
      <c r="L7876" t="s">
        <v>3184</v>
      </c>
      <c r="M7876" t="s">
        <v>16</v>
      </c>
    </row>
    <row r="7877" spans="1:13">
      <c r="A7877" t="s">
        <v>851</v>
      </c>
      <c r="B7877" t="s">
        <v>687</v>
      </c>
      <c r="C7877" t="s">
        <v>687</v>
      </c>
      <c r="D7877" t="s">
        <v>3174</v>
      </c>
      <c r="E7877" t="s">
        <v>646</v>
      </c>
      <c r="F7877" t="s">
        <v>40</v>
      </c>
      <c r="G7877">
        <v>2040</v>
      </c>
      <c r="H7877" s="12">
        <v>265</v>
      </c>
      <c r="I7877" t="s">
        <v>3183</v>
      </c>
      <c r="J7877" t="s">
        <v>6</v>
      </c>
      <c r="K7877" t="s">
        <v>11</v>
      </c>
      <c r="L7877" t="s">
        <v>3184</v>
      </c>
      <c r="M7877" t="s">
        <v>659</v>
      </c>
    </row>
    <row r="7878" spans="1:13">
      <c r="A7878" t="s">
        <v>851</v>
      </c>
      <c r="B7878" t="s">
        <v>687</v>
      </c>
      <c r="C7878" t="s">
        <v>687</v>
      </c>
      <c r="D7878" t="s">
        <v>3174</v>
      </c>
      <c r="E7878" t="s">
        <v>646</v>
      </c>
      <c r="F7878" t="s">
        <v>40</v>
      </c>
      <c r="G7878">
        <v>2045</v>
      </c>
      <c r="H7878" s="12">
        <v>136</v>
      </c>
      <c r="I7878" t="s">
        <v>3183</v>
      </c>
      <c r="J7878" t="s">
        <v>6</v>
      </c>
      <c r="K7878" t="s">
        <v>11</v>
      </c>
      <c r="L7878" t="s">
        <v>3184</v>
      </c>
      <c r="M7878" t="s">
        <v>659</v>
      </c>
    </row>
    <row r="7879" spans="1:13">
      <c r="A7879" t="s">
        <v>851</v>
      </c>
      <c r="B7879" t="s">
        <v>687</v>
      </c>
      <c r="C7879" t="s">
        <v>687</v>
      </c>
      <c r="D7879" t="s">
        <v>3174</v>
      </c>
      <c r="E7879" t="s">
        <v>646</v>
      </c>
      <c r="F7879" t="s">
        <v>40</v>
      </c>
      <c r="G7879">
        <v>2050</v>
      </c>
      <c r="H7879" s="12">
        <v>51</v>
      </c>
      <c r="I7879" t="s">
        <v>3183</v>
      </c>
      <c r="J7879" t="s">
        <v>6</v>
      </c>
      <c r="K7879" t="s">
        <v>11</v>
      </c>
      <c r="L7879" t="s">
        <v>3184</v>
      </c>
      <c r="M7879" t="s">
        <v>659</v>
      </c>
    </row>
    <row r="7880" spans="1:13">
      <c r="A7880" t="s">
        <v>851</v>
      </c>
      <c r="B7880" t="s">
        <v>686</v>
      </c>
      <c r="C7880" t="s">
        <v>686</v>
      </c>
      <c r="D7880" t="s">
        <v>3174</v>
      </c>
      <c r="E7880" t="s">
        <v>646</v>
      </c>
      <c r="F7880" t="s">
        <v>40</v>
      </c>
      <c r="G7880">
        <v>2010</v>
      </c>
      <c r="H7880" s="12">
        <v>10501</v>
      </c>
      <c r="I7880" t="s">
        <v>3183</v>
      </c>
      <c r="J7880" t="s">
        <v>344</v>
      </c>
      <c r="K7880" t="s">
        <v>658</v>
      </c>
      <c r="L7880" t="s">
        <v>3184</v>
      </c>
      <c r="M7880" t="s">
        <v>10</v>
      </c>
    </row>
    <row r="7881" spans="1:13">
      <c r="A7881" t="s">
        <v>851</v>
      </c>
      <c r="B7881" t="s">
        <v>686</v>
      </c>
      <c r="C7881" t="s">
        <v>686</v>
      </c>
      <c r="D7881" t="s">
        <v>3174</v>
      </c>
      <c r="E7881" t="s">
        <v>646</v>
      </c>
      <c r="F7881" t="s">
        <v>40</v>
      </c>
      <c r="G7881">
        <v>2015</v>
      </c>
      <c r="H7881" s="12">
        <v>10539</v>
      </c>
      <c r="I7881" t="s">
        <v>3183</v>
      </c>
      <c r="J7881" t="s">
        <v>344</v>
      </c>
      <c r="K7881" t="s">
        <v>658</v>
      </c>
      <c r="L7881" t="s">
        <v>3184</v>
      </c>
      <c r="M7881" t="s">
        <v>10</v>
      </c>
    </row>
    <row r="7882" spans="1:13">
      <c r="A7882" t="s">
        <v>851</v>
      </c>
      <c r="B7882" t="s">
        <v>686</v>
      </c>
      <c r="C7882" t="s">
        <v>686</v>
      </c>
      <c r="D7882" t="s">
        <v>3174</v>
      </c>
      <c r="E7882" t="s">
        <v>646</v>
      </c>
      <c r="F7882" t="s">
        <v>40</v>
      </c>
      <c r="G7882">
        <v>2020</v>
      </c>
      <c r="H7882" s="12">
        <v>10742</v>
      </c>
      <c r="I7882" t="s">
        <v>3183</v>
      </c>
      <c r="J7882" t="s">
        <v>344</v>
      </c>
      <c r="K7882" t="s">
        <v>658</v>
      </c>
      <c r="L7882" t="s">
        <v>3184</v>
      </c>
      <c r="M7882" t="s">
        <v>10</v>
      </c>
    </row>
    <row r="7883" spans="1:13">
      <c r="A7883" t="s">
        <v>851</v>
      </c>
      <c r="B7883" t="s">
        <v>686</v>
      </c>
      <c r="C7883" t="s">
        <v>686</v>
      </c>
      <c r="D7883" t="s">
        <v>3174</v>
      </c>
      <c r="E7883" t="s">
        <v>646</v>
      </c>
      <c r="F7883" t="s">
        <v>40</v>
      </c>
      <c r="G7883">
        <v>2030</v>
      </c>
      <c r="H7883" s="12">
        <v>11061</v>
      </c>
      <c r="I7883" t="s">
        <v>3183</v>
      </c>
      <c r="J7883" t="s">
        <v>344</v>
      </c>
      <c r="K7883" t="s">
        <v>658</v>
      </c>
      <c r="L7883" t="s">
        <v>3184</v>
      </c>
      <c r="M7883" t="s">
        <v>10</v>
      </c>
    </row>
    <row r="7884" spans="1:13">
      <c r="A7884" t="s">
        <v>851</v>
      </c>
      <c r="B7884" t="s">
        <v>686</v>
      </c>
      <c r="C7884" t="s">
        <v>686</v>
      </c>
      <c r="D7884" t="s">
        <v>3174</v>
      </c>
      <c r="E7884" t="s">
        <v>646</v>
      </c>
      <c r="F7884" t="s">
        <v>40</v>
      </c>
      <c r="G7884">
        <v>2035</v>
      </c>
      <c r="H7884" s="12">
        <v>11300</v>
      </c>
      <c r="I7884" t="s">
        <v>3183</v>
      </c>
      <c r="J7884" t="s">
        <v>344</v>
      </c>
      <c r="K7884" t="s">
        <v>658</v>
      </c>
      <c r="L7884" t="s">
        <v>3184</v>
      </c>
      <c r="M7884" t="s">
        <v>10</v>
      </c>
    </row>
    <row r="7885" spans="1:13">
      <c r="A7885" t="s">
        <v>851</v>
      </c>
      <c r="B7885" t="s">
        <v>686</v>
      </c>
      <c r="C7885" t="s">
        <v>686</v>
      </c>
      <c r="D7885" t="s">
        <v>3174</v>
      </c>
      <c r="E7885" t="s">
        <v>646</v>
      </c>
      <c r="F7885" t="s">
        <v>40</v>
      </c>
      <c r="G7885">
        <v>2040</v>
      </c>
      <c r="H7885" s="12">
        <v>11552</v>
      </c>
      <c r="I7885" t="s">
        <v>3183</v>
      </c>
      <c r="J7885" t="s">
        <v>344</v>
      </c>
      <c r="K7885" t="s">
        <v>658</v>
      </c>
      <c r="L7885" t="s">
        <v>3184</v>
      </c>
      <c r="M7885" t="s">
        <v>10</v>
      </c>
    </row>
    <row r="7886" spans="1:13">
      <c r="A7886" t="s">
        <v>851</v>
      </c>
      <c r="B7886" t="s">
        <v>686</v>
      </c>
      <c r="C7886" t="s">
        <v>686</v>
      </c>
      <c r="D7886" t="s">
        <v>3174</v>
      </c>
      <c r="E7886" t="s">
        <v>646</v>
      </c>
      <c r="F7886" t="s">
        <v>40</v>
      </c>
      <c r="G7886">
        <v>2045</v>
      </c>
      <c r="H7886" s="12">
        <v>11683</v>
      </c>
      <c r="I7886" t="s">
        <v>3183</v>
      </c>
      <c r="J7886" t="s">
        <v>344</v>
      </c>
      <c r="K7886" t="s">
        <v>658</v>
      </c>
      <c r="L7886" t="s">
        <v>3184</v>
      </c>
      <c r="M7886" t="s">
        <v>10</v>
      </c>
    </row>
    <row r="7887" spans="1:13">
      <c r="A7887" t="s">
        <v>851</v>
      </c>
      <c r="B7887" t="s">
        <v>686</v>
      </c>
      <c r="C7887" t="s">
        <v>686</v>
      </c>
      <c r="D7887" t="s">
        <v>3174</v>
      </c>
      <c r="E7887" t="s">
        <v>646</v>
      </c>
      <c r="F7887" t="s">
        <v>40</v>
      </c>
      <c r="G7887">
        <v>2050</v>
      </c>
      <c r="H7887" s="12">
        <v>11794</v>
      </c>
      <c r="I7887" t="s">
        <v>3183</v>
      </c>
      <c r="J7887" t="s">
        <v>344</v>
      </c>
      <c r="K7887" t="s">
        <v>658</v>
      </c>
      <c r="L7887" t="s">
        <v>3184</v>
      </c>
      <c r="M7887" t="s">
        <v>10</v>
      </c>
    </row>
    <row r="7888" spans="1:13">
      <c r="A7888" t="s">
        <v>851</v>
      </c>
      <c r="B7888" t="s">
        <v>687</v>
      </c>
      <c r="C7888" t="s">
        <v>687</v>
      </c>
      <c r="D7888" t="s">
        <v>3174</v>
      </c>
      <c r="E7888" t="s">
        <v>646</v>
      </c>
      <c r="F7888" t="s">
        <v>40</v>
      </c>
      <c r="G7888">
        <v>2030</v>
      </c>
      <c r="H7888" s="12">
        <v>10376</v>
      </c>
      <c r="I7888" t="s">
        <v>3183</v>
      </c>
      <c r="J7888" t="s">
        <v>344</v>
      </c>
      <c r="K7888" t="s">
        <v>658</v>
      </c>
      <c r="L7888" t="s">
        <v>3184</v>
      </c>
      <c r="M7888" t="s">
        <v>10</v>
      </c>
    </row>
    <row r="7889" spans="1:13">
      <c r="A7889" t="s">
        <v>851</v>
      </c>
      <c r="B7889" t="s">
        <v>687</v>
      </c>
      <c r="C7889" t="s">
        <v>687</v>
      </c>
      <c r="D7889" t="s">
        <v>3174</v>
      </c>
      <c r="E7889" t="s">
        <v>646</v>
      </c>
      <c r="F7889" t="s">
        <v>40</v>
      </c>
      <c r="G7889">
        <v>2035</v>
      </c>
      <c r="H7889" s="12">
        <v>10142</v>
      </c>
      <c r="I7889" t="s">
        <v>3183</v>
      </c>
      <c r="J7889" t="s">
        <v>344</v>
      </c>
      <c r="K7889" t="s">
        <v>658</v>
      </c>
      <c r="L7889" t="s">
        <v>3184</v>
      </c>
      <c r="M7889" t="s">
        <v>10</v>
      </c>
    </row>
    <row r="7890" spans="1:13">
      <c r="A7890" t="s">
        <v>851</v>
      </c>
      <c r="B7890" t="s">
        <v>687</v>
      </c>
      <c r="C7890" t="s">
        <v>687</v>
      </c>
      <c r="D7890" t="s">
        <v>3174</v>
      </c>
      <c r="E7890" t="s">
        <v>646</v>
      </c>
      <c r="F7890" t="s">
        <v>40</v>
      </c>
      <c r="G7890">
        <v>2040</v>
      </c>
      <c r="H7890" s="12">
        <v>10191</v>
      </c>
      <c r="I7890" t="s">
        <v>3183</v>
      </c>
      <c r="J7890" t="s">
        <v>344</v>
      </c>
      <c r="K7890" t="s">
        <v>658</v>
      </c>
      <c r="L7890" t="s">
        <v>3184</v>
      </c>
      <c r="M7890" t="s">
        <v>10</v>
      </c>
    </row>
    <row r="7891" spans="1:13">
      <c r="A7891" t="s">
        <v>851</v>
      </c>
      <c r="B7891" t="s">
        <v>687</v>
      </c>
      <c r="C7891" t="s">
        <v>687</v>
      </c>
      <c r="D7891" t="s">
        <v>3174</v>
      </c>
      <c r="E7891" t="s">
        <v>646</v>
      </c>
      <c r="F7891" t="s">
        <v>40</v>
      </c>
      <c r="G7891">
        <v>2045</v>
      </c>
      <c r="H7891" s="12">
        <v>10311</v>
      </c>
      <c r="I7891" t="s">
        <v>3183</v>
      </c>
      <c r="J7891" t="s">
        <v>344</v>
      </c>
      <c r="K7891" t="s">
        <v>658</v>
      </c>
      <c r="L7891" t="s">
        <v>3184</v>
      </c>
      <c r="M7891" t="s">
        <v>10</v>
      </c>
    </row>
    <row r="7892" spans="1:13">
      <c r="A7892" t="s">
        <v>851</v>
      </c>
      <c r="B7892" t="s">
        <v>687</v>
      </c>
      <c r="C7892" t="s">
        <v>687</v>
      </c>
      <c r="D7892" t="s">
        <v>3174</v>
      </c>
      <c r="E7892" t="s">
        <v>646</v>
      </c>
      <c r="F7892" t="s">
        <v>40</v>
      </c>
      <c r="G7892">
        <v>2050</v>
      </c>
      <c r="H7892" s="12">
        <v>10560</v>
      </c>
      <c r="I7892" t="s">
        <v>3183</v>
      </c>
      <c r="J7892" t="s">
        <v>344</v>
      </c>
      <c r="K7892" t="s">
        <v>658</v>
      </c>
      <c r="L7892" t="s">
        <v>3184</v>
      </c>
      <c r="M7892" t="s">
        <v>10</v>
      </c>
    </row>
    <row r="7893" spans="1:13">
      <c r="A7893" t="s">
        <v>851</v>
      </c>
      <c r="B7893" t="s">
        <v>686</v>
      </c>
      <c r="C7893" t="s">
        <v>686</v>
      </c>
      <c r="D7893" t="s">
        <v>3174</v>
      </c>
      <c r="E7893" t="s">
        <v>646</v>
      </c>
      <c r="F7893" t="s">
        <v>40</v>
      </c>
      <c r="G7893">
        <v>2010</v>
      </c>
      <c r="H7893" s="12">
        <v>4859</v>
      </c>
      <c r="I7893" t="s">
        <v>3183</v>
      </c>
      <c r="J7893" t="s">
        <v>6</v>
      </c>
      <c r="K7893" t="s">
        <v>9</v>
      </c>
      <c r="L7893" t="s">
        <v>3184</v>
      </c>
      <c r="M7893" t="s">
        <v>666</v>
      </c>
    </row>
    <row r="7894" spans="1:13">
      <c r="A7894" t="s">
        <v>851</v>
      </c>
      <c r="B7894" t="s">
        <v>686</v>
      </c>
      <c r="C7894" t="s">
        <v>686</v>
      </c>
      <c r="D7894" t="s">
        <v>3174</v>
      </c>
      <c r="E7894" t="s">
        <v>646</v>
      </c>
      <c r="F7894" t="s">
        <v>40</v>
      </c>
      <c r="G7894">
        <v>2015</v>
      </c>
      <c r="H7894" s="12">
        <v>5361</v>
      </c>
      <c r="I7894" t="s">
        <v>3183</v>
      </c>
      <c r="J7894" t="s">
        <v>6</v>
      </c>
      <c r="K7894" t="s">
        <v>9</v>
      </c>
      <c r="L7894" t="s">
        <v>3184</v>
      </c>
      <c r="M7894" t="s">
        <v>666</v>
      </c>
    </row>
    <row r="7895" spans="1:13">
      <c r="A7895" t="s">
        <v>851</v>
      </c>
      <c r="B7895" t="s">
        <v>686</v>
      </c>
      <c r="C7895" t="s">
        <v>686</v>
      </c>
      <c r="D7895" t="s">
        <v>3174</v>
      </c>
      <c r="E7895" t="s">
        <v>646</v>
      </c>
      <c r="F7895" t="s">
        <v>40</v>
      </c>
      <c r="G7895">
        <v>2020</v>
      </c>
      <c r="H7895" s="12">
        <v>6117</v>
      </c>
      <c r="I7895" t="s">
        <v>3183</v>
      </c>
      <c r="J7895" t="s">
        <v>6</v>
      </c>
      <c r="K7895" t="s">
        <v>9</v>
      </c>
      <c r="L7895" t="s">
        <v>3184</v>
      </c>
      <c r="M7895" t="s">
        <v>666</v>
      </c>
    </row>
    <row r="7896" spans="1:13">
      <c r="A7896" t="s">
        <v>851</v>
      </c>
      <c r="B7896" t="s">
        <v>686</v>
      </c>
      <c r="C7896" t="s">
        <v>686</v>
      </c>
      <c r="D7896" t="s">
        <v>3174</v>
      </c>
      <c r="E7896" t="s">
        <v>646</v>
      </c>
      <c r="F7896" t="s">
        <v>40</v>
      </c>
      <c r="G7896">
        <v>2030</v>
      </c>
      <c r="H7896" s="12">
        <v>6494</v>
      </c>
      <c r="I7896" t="s">
        <v>3183</v>
      </c>
      <c r="J7896" t="s">
        <v>6</v>
      </c>
      <c r="K7896" t="s">
        <v>9</v>
      </c>
      <c r="L7896" t="s">
        <v>3184</v>
      </c>
      <c r="M7896" t="s">
        <v>666</v>
      </c>
    </row>
    <row r="7897" spans="1:13">
      <c r="A7897" t="s">
        <v>851</v>
      </c>
      <c r="B7897" t="s">
        <v>686</v>
      </c>
      <c r="C7897" t="s">
        <v>686</v>
      </c>
      <c r="D7897" t="s">
        <v>3174</v>
      </c>
      <c r="E7897" t="s">
        <v>646</v>
      </c>
      <c r="F7897" t="s">
        <v>40</v>
      </c>
      <c r="G7897">
        <v>2035</v>
      </c>
      <c r="H7897" s="12">
        <v>6166</v>
      </c>
      <c r="I7897" t="s">
        <v>3183</v>
      </c>
      <c r="J7897" t="s">
        <v>6</v>
      </c>
      <c r="K7897" t="s">
        <v>9</v>
      </c>
      <c r="L7897" t="s">
        <v>3184</v>
      </c>
      <c r="M7897" t="s">
        <v>666</v>
      </c>
    </row>
    <row r="7898" spans="1:13">
      <c r="A7898" t="s">
        <v>851</v>
      </c>
      <c r="B7898" t="s">
        <v>686</v>
      </c>
      <c r="C7898" t="s">
        <v>686</v>
      </c>
      <c r="D7898" t="s">
        <v>3174</v>
      </c>
      <c r="E7898" t="s">
        <v>646</v>
      </c>
      <c r="F7898" t="s">
        <v>40</v>
      </c>
      <c r="G7898">
        <v>2040</v>
      </c>
      <c r="H7898" s="12">
        <v>5693</v>
      </c>
      <c r="I7898" t="s">
        <v>3183</v>
      </c>
      <c r="J7898" t="s">
        <v>6</v>
      </c>
      <c r="K7898" t="s">
        <v>9</v>
      </c>
      <c r="L7898" t="s">
        <v>3184</v>
      </c>
      <c r="M7898" t="s">
        <v>666</v>
      </c>
    </row>
    <row r="7899" spans="1:13">
      <c r="A7899" t="s">
        <v>851</v>
      </c>
      <c r="B7899" t="s">
        <v>686</v>
      </c>
      <c r="C7899" t="s">
        <v>686</v>
      </c>
      <c r="D7899" t="s">
        <v>3174</v>
      </c>
      <c r="E7899" t="s">
        <v>646</v>
      </c>
      <c r="F7899" t="s">
        <v>40</v>
      </c>
      <c r="G7899">
        <v>2045</v>
      </c>
      <c r="H7899" s="12">
        <v>5183</v>
      </c>
      <c r="I7899" t="s">
        <v>3183</v>
      </c>
      <c r="J7899" t="s">
        <v>6</v>
      </c>
      <c r="K7899" t="s">
        <v>9</v>
      </c>
      <c r="L7899" t="s">
        <v>3184</v>
      </c>
      <c r="M7899" t="s">
        <v>666</v>
      </c>
    </row>
    <row r="7900" spans="1:13">
      <c r="A7900" t="s">
        <v>851</v>
      </c>
      <c r="B7900" t="s">
        <v>686</v>
      </c>
      <c r="C7900" t="s">
        <v>686</v>
      </c>
      <c r="D7900" t="s">
        <v>3174</v>
      </c>
      <c r="E7900" t="s">
        <v>646</v>
      </c>
      <c r="F7900" t="s">
        <v>40</v>
      </c>
      <c r="G7900">
        <v>2050</v>
      </c>
      <c r="H7900" s="12">
        <v>4780</v>
      </c>
      <c r="I7900" t="s">
        <v>3183</v>
      </c>
      <c r="J7900" t="s">
        <v>6</v>
      </c>
      <c r="K7900" t="s">
        <v>9</v>
      </c>
      <c r="L7900" t="s">
        <v>3184</v>
      </c>
      <c r="M7900" t="s">
        <v>666</v>
      </c>
    </row>
    <row r="7901" spans="1:13">
      <c r="A7901" t="s">
        <v>851</v>
      </c>
      <c r="B7901" t="s">
        <v>687</v>
      </c>
      <c r="C7901" t="s">
        <v>687</v>
      </c>
      <c r="D7901" t="s">
        <v>3174</v>
      </c>
      <c r="E7901" t="s">
        <v>646</v>
      </c>
      <c r="F7901" t="s">
        <v>40</v>
      </c>
      <c r="G7901">
        <v>2030</v>
      </c>
      <c r="H7901" s="12">
        <v>5410</v>
      </c>
      <c r="I7901" t="s">
        <v>3183</v>
      </c>
      <c r="J7901" t="s">
        <v>6</v>
      </c>
      <c r="K7901" t="s">
        <v>9</v>
      </c>
      <c r="L7901" t="s">
        <v>3184</v>
      </c>
      <c r="M7901" t="s">
        <v>666</v>
      </c>
    </row>
    <row r="7902" spans="1:13">
      <c r="A7902" t="s">
        <v>851</v>
      </c>
      <c r="B7902" t="s">
        <v>687</v>
      </c>
      <c r="C7902" t="s">
        <v>687</v>
      </c>
      <c r="D7902" t="s">
        <v>3174</v>
      </c>
      <c r="E7902" t="s">
        <v>646</v>
      </c>
      <c r="F7902" t="s">
        <v>40</v>
      </c>
      <c r="G7902">
        <v>2035</v>
      </c>
      <c r="H7902" s="12">
        <v>4404</v>
      </c>
      <c r="I7902" t="s">
        <v>3183</v>
      </c>
      <c r="J7902" t="s">
        <v>6</v>
      </c>
      <c r="K7902" t="s">
        <v>9</v>
      </c>
      <c r="L7902" t="s">
        <v>3184</v>
      </c>
      <c r="M7902" t="s">
        <v>666</v>
      </c>
    </row>
    <row r="7903" spans="1:13">
      <c r="A7903" t="s">
        <v>851</v>
      </c>
      <c r="B7903" t="s">
        <v>687</v>
      </c>
      <c r="C7903" t="s">
        <v>687</v>
      </c>
      <c r="D7903" t="s">
        <v>3174</v>
      </c>
      <c r="E7903" t="s">
        <v>646</v>
      </c>
      <c r="F7903" t="s">
        <v>40</v>
      </c>
      <c r="G7903">
        <v>2040</v>
      </c>
      <c r="H7903" s="12">
        <v>3358</v>
      </c>
      <c r="I7903" t="s">
        <v>3183</v>
      </c>
      <c r="J7903" t="s">
        <v>6</v>
      </c>
      <c r="K7903" t="s">
        <v>9</v>
      </c>
      <c r="L7903" t="s">
        <v>3184</v>
      </c>
      <c r="M7903" t="s">
        <v>666</v>
      </c>
    </row>
    <row r="7904" spans="1:13">
      <c r="A7904" t="s">
        <v>851</v>
      </c>
      <c r="B7904" t="s">
        <v>687</v>
      </c>
      <c r="C7904" t="s">
        <v>687</v>
      </c>
      <c r="D7904" t="s">
        <v>3174</v>
      </c>
      <c r="E7904" t="s">
        <v>646</v>
      </c>
      <c r="F7904" t="s">
        <v>40</v>
      </c>
      <c r="G7904">
        <v>2045</v>
      </c>
      <c r="H7904" s="12">
        <v>2389</v>
      </c>
      <c r="I7904" t="s">
        <v>3183</v>
      </c>
      <c r="J7904" t="s">
        <v>6</v>
      </c>
      <c r="K7904" t="s">
        <v>9</v>
      </c>
      <c r="L7904" t="s">
        <v>3184</v>
      </c>
      <c r="M7904" t="s">
        <v>666</v>
      </c>
    </row>
    <row r="7905" spans="1:13">
      <c r="A7905" t="s">
        <v>851</v>
      </c>
      <c r="B7905" t="s">
        <v>687</v>
      </c>
      <c r="C7905" t="s">
        <v>687</v>
      </c>
      <c r="D7905" t="s">
        <v>3174</v>
      </c>
      <c r="E7905" t="s">
        <v>646</v>
      </c>
      <c r="F7905" t="s">
        <v>40</v>
      </c>
      <c r="G7905">
        <v>2050</v>
      </c>
      <c r="H7905" s="12">
        <v>1609</v>
      </c>
      <c r="I7905" t="s">
        <v>3183</v>
      </c>
      <c r="J7905" t="s">
        <v>6</v>
      </c>
      <c r="K7905" t="s">
        <v>9</v>
      </c>
      <c r="L7905" t="s">
        <v>3184</v>
      </c>
      <c r="M7905" t="s">
        <v>666</v>
      </c>
    </row>
    <row r="7906" spans="1:13">
      <c r="A7906" t="s">
        <v>851</v>
      </c>
      <c r="B7906" t="s">
        <v>686</v>
      </c>
      <c r="C7906" t="s">
        <v>686</v>
      </c>
      <c r="D7906" t="s">
        <v>3174</v>
      </c>
      <c r="E7906" t="s">
        <v>646</v>
      </c>
      <c r="F7906" t="s">
        <v>40</v>
      </c>
      <c r="G7906">
        <v>2010</v>
      </c>
      <c r="H7906" s="12">
        <v>1419</v>
      </c>
      <c r="I7906" t="s">
        <v>3183</v>
      </c>
      <c r="J7906" t="s">
        <v>5</v>
      </c>
      <c r="K7906" t="s">
        <v>9</v>
      </c>
      <c r="L7906" t="s">
        <v>3184</v>
      </c>
      <c r="M7906" t="s">
        <v>665</v>
      </c>
    </row>
    <row r="7907" spans="1:13">
      <c r="A7907" t="s">
        <v>851</v>
      </c>
      <c r="B7907" t="s">
        <v>686</v>
      </c>
      <c r="C7907" t="s">
        <v>686</v>
      </c>
      <c r="D7907" t="s">
        <v>3174</v>
      </c>
      <c r="E7907" t="s">
        <v>646</v>
      </c>
      <c r="F7907" t="s">
        <v>40</v>
      </c>
      <c r="G7907">
        <v>2015</v>
      </c>
      <c r="H7907" s="12">
        <v>1192</v>
      </c>
      <c r="I7907" t="s">
        <v>3183</v>
      </c>
      <c r="J7907" t="s">
        <v>5</v>
      </c>
      <c r="K7907" t="s">
        <v>9</v>
      </c>
      <c r="L7907" t="s">
        <v>3184</v>
      </c>
      <c r="M7907" t="s">
        <v>665</v>
      </c>
    </row>
    <row r="7908" spans="1:13">
      <c r="A7908" t="s">
        <v>851</v>
      </c>
      <c r="B7908" t="s">
        <v>686</v>
      </c>
      <c r="C7908" t="s">
        <v>686</v>
      </c>
      <c r="D7908" t="s">
        <v>3174</v>
      </c>
      <c r="E7908" t="s">
        <v>646</v>
      </c>
      <c r="F7908" t="s">
        <v>40</v>
      </c>
      <c r="G7908">
        <v>2020</v>
      </c>
      <c r="H7908" s="12">
        <v>819</v>
      </c>
      <c r="I7908" t="s">
        <v>3183</v>
      </c>
      <c r="J7908" t="s">
        <v>5</v>
      </c>
      <c r="K7908" t="s">
        <v>9</v>
      </c>
      <c r="L7908" t="s">
        <v>3184</v>
      </c>
      <c r="M7908" t="s">
        <v>665</v>
      </c>
    </row>
    <row r="7909" spans="1:13">
      <c r="A7909" t="s">
        <v>851</v>
      </c>
      <c r="B7909" t="s">
        <v>686</v>
      </c>
      <c r="C7909" t="s">
        <v>686</v>
      </c>
      <c r="D7909" t="s">
        <v>3174</v>
      </c>
      <c r="E7909" t="s">
        <v>646</v>
      </c>
      <c r="F7909" t="s">
        <v>40</v>
      </c>
      <c r="G7909">
        <v>2030</v>
      </c>
      <c r="H7909" s="12">
        <v>709</v>
      </c>
      <c r="I7909" t="s">
        <v>3183</v>
      </c>
      <c r="J7909" t="s">
        <v>5</v>
      </c>
      <c r="K7909" t="s">
        <v>9</v>
      </c>
      <c r="L7909" t="s">
        <v>3184</v>
      </c>
      <c r="M7909" t="s">
        <v>665</v>
      </c>
    </row>
    <row r="7910" spans="1:13">
      <c r="A7910" t="s">
        <v>851</v>
      </c>
      <c r="B7910" t="s">
        <v>686</v>
      </c>
      <c r="C7910" t="s">
        <v>686</v>
      </c>
      <c r="D7910" t="s">
        <v>3174</v>
      </c>
      <c r="E7910" t="s">
        <v>646</v>
      </c>
      <c r="F7910" t="s">
        <v>40</v>
      </c>
      <c r="G7910">
        <v>2035</v>
      </c>
      <c r="H7910" s="12">
        <v>601</v>
      </c>
      <c r="I7910" t="s">
        <v>3183</v>
      </c>
      <c r="J7910" t="s">
        <v>5</v>
      </c>
      <c r="K7910" t="s">
        <v>9</v>
      </c>
      <c r="L7910" t="s">
        <v>3184</v>
      </c>
      <c r="M7910" t="s">
        <v>665</v>
      </c>
    </row>
    <row r="7911" spans="1:13">
      <c r="A7911" t="s">
        <v>851</v>
      </c>
      <c r="B7911" t="s">
        <v>686</v>
      </c>
      <c r="C7911" t="s">
        <v>686</v>
      </c>
      <c r="D7911" t="s">
        <v>3174</v>
      </c>
      <c r="E7911" t="s">
        <v>646</v>
      </c>
      <c r="F7911" t="s">
        <v>40</v>
      </c>
      <c r="G7911">
        <v>2040</v>
      </c>
      <c r="H7911" s="12">
        <v>519</v>
      </c>
      <c r="I7911" t="s">
        <v>3183</v>
      </c>
      <c r="J7911" t="s">
        <v>5</v>
      </c>
      <c r="K7911" t="s">
        <v>9</v>
      </c>
      <c r="L7911" t="s">
        <v>3184</v>
      </c>
      <c r="M7911" t="s">
        <v>665</v>
      </c>
    </row>
    <row r="7912" spans="1:13">
      <c r="A7912" t="s">
        <v>851</v>
      </c>
      <c r="B7912" t="s">
        <v>686</v>
      </c>
      <c r="C7912" t="s">
        <v>686</v>
      </c>
      <c r="D7912" t="s">
        <v>3174</v>
      </c>
      <c r="E7912" t="s">
        <v>646</v>
      </c>
      <c r="F7912" t="s">
        <v>40</v>
      </c>
      <c r="G7912">
        <v>2045</v>
      </c>
      <c r="H7912" s="12">
        <v>483</v>
      </c>
      <c r="I7912" t="s">
        <v>3183</v>
      </c>
      <c r="J7912" t="s">
        <v>5</v>
      </c>
      <c r="K7912" t="s">
        <v>9</v>
      </c>
      <c r="L7912" t="s">
        <v>3184</v>
      </c>
      <c r="M7912" t="s">
        <v>665</v>
      </c>
    </row>
    <row r="7913" spans="1:13">
      <c r="A7913" t="s">
        <v>851</v>
      </c>
      <c r="B7913" t="s">
        <v>686</v>
      </c>
      <c r="C7913" t="s">
        <v>686</v>
      </c>
      <c r="D7913" t="s">
        <v>3174</v>
      </c>
      <c r="E7913" t="s">
        <v>646</v>
      </c>
      <c r="F7913" t="s">
        <v>40</v>
      </c>
      <c r="G7913">
        <v>2050</v>
      </c>
      <c r="H7913" s="12">
        <v>403</v>
      </c>
      <c r="I7913" t="s">
        <v>3183</v>
      </c>
      <c r="J7913" t="s">
        <v>5</v>
      </c>
      <c r="K7913" t="s">
        <v>9</v>
      </c>
      <c r="L7913" t="s">
        <v>3184</v>
      </c>
      <c r="M7913" t="s">
        <v>665</v>
      </c>
    </row>
    <row r="7914" spans="1:13">
      <c r="A7914" t="s">
        <v>851</v>
      </c>
      <c r="B7914" t="s">
        <v>687</v>
      </c>
      <c r="C7914" t="s">
        <v>687</v>
      </c>
      <c r="D7914" t="s">
        <v>3174</v>
      </c>
      <c r="E7914" t="s">
        <v>646</v>
      </c>
      <c r="F7914" t="s">
        <v>40</v>
      </c>
      <c r="G7914">
        <v>2030</v>
      </c>
      <c r="H7914" s="12">
        <v>580</v>
      </c>
      <c r="I7914" t="s">
        <v>3183</v>
      </c>
      <c r="J7914" t="s">
        <v>5</v>
      </c>
      <c r="K7914" t="s">
        <v>9</v>
      </c>
      <c r="L7914" t="s">
        <v>3184</v>
      </c>
      <c r="M7914" t="s">
        <v>665</v>
      </c>
    </row>
    <row r="7915" spans="1:13">
      <c r="A7915" t="s">
        <v>851</v>
      </c>
      <c r="B7915" t="s">
        <v>687</v>
      </c>
      <c r="C7915" t="s">
        <v>687</v>
      </c>
      <c r="D7915" t="s">
        <v>3174</v>
      </c>
      <c r="E7915" t="s">
        <v>646</v>
      </c>
      <c r="F7915" t="s">
        <v>40</v>
      </c>
      <c r="G7915">
        <v>2035</v>
      </c>
      <c r="H7915" s="12">
        <v>385</v>
      </c>
      <c r="I7915" t="s">
        <v>3183</v>
      </c>
      <c r="J7915" t="s">
        <v>5</v>
      </c>
      <c r="K7915" t="s">
        <v>9</v>
      </c>
      <c r="L7915" t="s">
        <v>3184</v>
      </c>
      <c r="M7915" t="s">
        <v>665</v>
      </c>
    </row>
    <row r="7916" spans="1:13">
      <c r="A7916" t="s">
        <v>851</v>
      </c>
      <c r="B7916" t="s">
        <v>687</v>
      </c>
      <c r="C7916" t="s">
        <v>687</v>
      </c>
      <c r="D7916" t="s">
        <v>3174</v>
      </c>
      <c r="E7916" t="s">
        <v>646</v>
      </c>
      <c r="F7916" t="s">
        <v>40</v>
      </c>
      <c r="G7916">
        <v>2040</v>
      </c>
      <c r="H7916" s="12">
        <v>248</v>
      </c>
      <c r="I7916" t="s">
        <v>3183</v>
      </c>
      <c r="J7916" t="s">
        <v>5</v>
      </c>
      <c r="K7916" t="s">
        <v>9</v>
      </c>
      <c r="L7916" t="s">
        <v>3184</v>
      </c>
      <c r="M7916" t="s">
        <v>665</v>
      </c>
    </row>
    <row r="7917" spans="1:13">
      <c r="A7917" t="s">
        <v>851</v>
      </c>
      <c r="B7917" t="s">
        <v>687</v>
      </c>
      <c r="C7917" t="s">
        <v>687</v>
      </c>
      <c r="D7917" t="s">
        <v>3174</v>
      </c>
      <c r="E7917" t="s">
        <v>646</v>
      </c>
      <c r="F7917" t="s">
        <v>40</v>
      </c>
      <c r="G7917">
        <v>2045</v>
      </c>
      <c r="H7917" s="12">
        <v>164</v>
      </c>
      <c r="I7917" t="s">
        <v>3183</v>
      </c>
      <c r="J7917" t="s">
        <v>5</v>
      </c>
      <c r="K7917" t="s">
        <v>9</v>
      </c>
      <c r="L7917" t="s">
        <v>3184</v>
      </c>
      <c r="M7917" t="s">
        <v>665</v>
      </c>
    </row>
    <row r="7918" spans="1:13">
      <c r="A7918" t="s">
        <v>851</v>
      </c>
      <c r="B7918" t="s">
        <v>687</v>
      </c>
      <c r="C7918" t="s">
        <v>687</v>
      </c>
      <c r="D7918" t="s">
        <v>3174</v>
      </c>
      <c r="E7918" t="s">
        <v>646</v>
      </c>
      <c r="F7918" t="s">
        <v>40</v>
      </c>
      <c r="G7918">
        <v>2050</v>
      </c>
      <c r="H7918" s="12">
        <v>68</v>
      </c>
      <c r="I7918" t="s">
        <v>3183</v>
      </c>
      <c r="J7918" t="s">
        <v>5</v>
      </c>
      <c r="K7918" t="s">
        <v>9</v>
      </c>
      <c r="L7918" t="s">
        <v>3184</v>
      </c>
      <c r="M7918" t="s">
        <v>665</v>
      </c>
    </row>
    <row r="7919" spans="1:13">
      <c r="A7919" t="s">
        <v>851</v>
      </c>
      <c r="B7919" t="s">
        <v>687</v>
      </c>
      <c r="C7919" t="s">
        <v>687</v>
      </c>
      <c r="D7919" t="s">
        <v>3174</v>
      </c>
      <c r="E7919" t="s">
        <v>646</v>
      </c>
      <c r="F7919" t="s">
        <v>40</v>
      </c>
      <c r="G7919">
        <v>2050</v>
      </c>
      <c r="H7919" s="12">
        <v>2006</v>
      </c>
      <c r="I7919" t="s">
        <v>3183</v>
      </c>
      <c r="J7919" t="s">
        <v>394</v>
      </c>
      <c r="K7919" t="s">
        <v>11</v>
      </c>
      <c r="L7919" t="s">
        <v>3184</v>
      </c>
      <c r="M7919" t="s">
        <v>16</v>
      </c>
    </row>
    <row r="7920" spans="1:13">
      <c r="A7920" t="s">
        <v>851</v>
      </c>
      <c r="B7920" t="s">
        <v>686</v>
      </c>
      <c r="C7920" t="s">
        <v>686</v>
      </c>
      <c r="D7920" t="s">
        <v>3174</v>
      </c>
      <c r="E7920" t="s">
        <v>646</v>
      </c>
      <c r="F7920" t="s">
        <v>40</v>
      </c>
      <c r="G7920">
        <v>2010</v>
      </c>
      <c r="H7920" s="12">
        <v>2989</v>
      </c>
      <c r="I7920" t="s">
        <v>3183</v>
      </c>
      <c r="J7920" t="s">
        <v>344</v>
      </c>
      <c r="K7920" t="s">
        <v>9</v>
      </c>
      <c r="L7920" t="s">
        <v>3184</v>
      </c>
      <c r="M7920" t="s">
        <v>10</v>
      </c>
    </row>
    <row r="7921" spans="1:13">
      <c r="A7921" t="s">
        <v>851</v>
      </c>
      <c r="B7921" t="s">
        <v>686</v>
      </c>
      <c r="C7921" t="s">
        <v>686</v>
      </c>
      <c r="D7921" t="s">
        <v>3174</v>
      </c>
      <c r="E7921" t="s">
        <v>646</v>
      </c>
      <c r="F7921" t="s">
        <v>40</v>
      </c>
      <c r="G7921">
        <v>2015</v>
      </c>
      <c r="H7921" s="12">
        <v>2924</v>
      </c>
      <c r="I7921" t="s">
        <v>3183</v>
      </c>
      <c r="J7921" t="s">
        <v>344</v>
      </c>
      <c r="K7921" t="s">
        <v>9</v>
      </c>
      <c r="L7921" t="s">
        <v>3184</v>
      </c>
      <c r="M7921" t="s">
        <v>10</v>
      </c>
    </row>
    <row r="7922" spans="1:13">
      <c r="A7922" t="s">
        <v>851</v>
      </c>
      <c r="B7922" t="s">
        <v>686</v>
      </c>
      <c r="C7922" t="s">
        <v>686</v>
      </c>
      <c r="D7922" t="s">
        <v>3174</v>
      </c>
      <c r="E7922" t="s">
        <v>646</v>
      </c>
      <c r="F7922" t="s">
        <v>40</v>
      </c>
      <c r="G7922">
        <v>2020</v>
      </c>
      <c r="H7922" s="12">
        <v>2578</v>
      </c>
      <c r="I7922" t="s">
        <v>3183</v>
      </c>
      <c r="J7922" t="s">
        <v>344</v>
      </c>
      <c r="K7922" t="s">
        <v>9</v>
      </c>
      <c r="L7922" t="s">
        <v>3184</v>
      </c>
      <c r="M7922" t="s">
        <v>10</v>
      </c>
    </row>
    <row r="7923" spans="1:13">
      <c r="A7923" t="s">
        <v>851</v>
      </c>
      <c r="B7923" t="s">
        <v>686</v>
      </c>
      <c r="C7923" t="s">
        <v>686</v>
      </c>
      <c r="D7923" t="s">
        <v>3174</v>
      </c>
      <c r="E7923" t="s">
        <v>646</v>
      </c>
      <c r="F7923" t="s">
        <v>40</v>
      </c>
      <c r="G7923">
        <v>2030</v>
      </c>
      <c r="H7923" s="12">
        <v>2966</v>
      </c>
      <c r="I7923" t="s">
        <v>3183</v>
      </c>
      <c r="J7923" t="s">
        <v>344</v>
      </c>
      <c r="K7923" t="s">
        <v>9</v>
      </c>
      <c r="L7923" t="s">
        <v>3184</v>
      </c>
      <c r="M7923" t="s">
        <v>10</v>
      </c>
    </row>
    <row r="7924" spans="1:13">
      <c r="A7924" t="s">
        <v>851</v>
      </c>
      <c r="B7924" t="s">
        <v>686</v>
      </c>
      <c r="C7924" t="s">
        <v>686</v>
      </c>
      <c r="D7924" t="s">
        <v>3174</v>
      </c>
      <c r="E7924" t="s">
        <v>646</v>
      </c>
      <c r="F7924" t="s">
        <v>40</v>
      </c>
      <c r="G7924">
        <v>2035</v>
      </c>
      <c r="H7924" s="12">
        <v>3301</v>
      </c>
      <c r="I7924" t="s">
        <v>3183</v>
      </c>
      <c r="J7924" t="s">
        <v>344</v>
      </c>
      <c r="K7924" t="s">
        <v>9</v>
      </c>
      <c r="L7924" t="s">
        <v>3184</v>
      </c>
      <c r="M7924" t="s">
        <v>10</v>
      </c>
    </row>
    <row r="7925" spans="1:13">
      <c r="A7925" t="s">
        <v>851</v>
      </c>
      <c r="B7925" t="s">
        <v>686</v>
      </c>
      <c r="C7925" t="s">
        <v>686</v>
      </c>
      <c r="D7925" t="s">
        <v>3174</v>
      </c>
      <c r="E7925" t="s">
        <v>646</v>
      </c>
      <c r="F7925" t="s">
        <v>40</v>
      </c>
      <c r="G7925">
        <v>2040</v>
      </c>
      <c r="H7925" s="12">
        <v>3654</v>
      </c>
      <c r="I7925" t="s">
        <v>3183</v>
      </c>
      <c r="J7925" t="s">
        <v>344</v>
      </c>
      <c r="K7925" t="s">
        <v>9</v>
      </c>
      <c r="L7925" t="s">
        <v>3184</v>
      </c>
      <c r="M7925" t="s">
        <v>10</v>
      </c>
    </row>
    <row r="7926" spans="1:13">
      <c r="A7926" t="s">
        <v>851</v>
      </c>
      <c r="B7926" t="s">
        <v>686</v>
      </c>
      <c r="C7926" t="s">
        <v>686</v>
      </c>
      <c r="D7926" t="s">
        <v>3174</v>
      </c>
      <c r="E7926" t="s">
        <v>646</v>
      </c>
      <c r="F7926" t="s">
        <v>40</v>
      </c>
      <c r="G7926">
        <v>2045</v>
      </c>
      <c r="H7926" s="12">
        <v>4047</v>
      </c>
      <c r="I7926" t="s">
        <v>3183</v>
      </c>
      <c r="J7926" t="s">
        <v>344</v>
      </c>
      <c r="K7926" t="s">
        <v>9</v>
      </c>
      <c r="L7926" t="s">
        <v>3184</v>
      </c>
      <c r="M7926" t="s">
        <v>10</v>
      </c>
    </row>
    <row r="7927" spans="1:13">
      <c r="A7927" t="s">
        <v>851</v>
      </c>
      <c r="B7927" t="s">
        <v>686</v>
      </c>
      <c r="C7927" t="s">
        <v>686</v>
      </c>
      <c r="D7927" t="s">
        <v>3174</v>
      </c>
      <c r="E7927" t="s">
        <v>646</v>
      </c>
      <c r="F7927" t="s">
        <v>40</v>
      </c>
      <c r="G7927">
        <v>2050</v>
      </c>
      <c r="H7927" s="12">
        <v>4421</v>
      </c>
      <c r="I7927" t="s">
        <v>3183</v>
      </c>
      <c r="J7927" t="s">
        <v>344</v>
      </c>
      <c r="K7927" t="s">
        <v>9</v>
      </c>
      <c r="L7927" t="s">
        <v>3184</v>
      </c>
      <c r="M7927" t="s">
        <v>10</v>
      </c>
    </row>
    <row r="7928" spans="1:13">
      <c r="A7928" t="s">
        <v>851</v>
      </c>
      <c r="B7928" t="s">
        <v>687</v>
      </c>
      <c r="C7928" t="s">
        <v>687</v>
      </c>
      <c r="D7928" t="s">
        <v>3174</v>
      </c>
      <c r="E7928" t="s">
        <v>646</v>
      </c>
      <c r="F7928" t="s">
        <v>40</v>
      </c>
      <c r="G7928">
        <v>2030</v>
      </c>
      <c r="H7928" s="12">
        <v>3223</v>
      </c>
      <c r="I7928" t="s">
        <v>3183</v>
      </c>
      <c r="J7928" t="s">
        <v>344</v>
      </c>
      <c r="K7928" t="s">
        <v>9</v>
      </c>
      <c r="L7928" t="s">
        <v>3184</v>
      </c>
      <c r="M7928" t="s">
        <v>10</v>
      </c>
    </row>
    <row r="7929" spans="1:13">
      <c r="A7929" t="s">
        <v>851</v>
      </c>
      <c r="B7929" t="s">
        <v>687</v>
      </c>
      <c r="C7929" t="s">
        <v>687</v>
      </c>
      <c r="D7929" t="s">
        <v>3174</v>
      </c>
      <c r="E7929" t="s">
        <v>646</v>
      </c>
      <c r="F7929" t="s">
        <v>40</v>
      </c>
      <c r="G7929">
        <v>2035</v>
      </c>
      <c r="H7929" s="12">
        <v>3618</v>
      </c>
      <c r="I7929" t="s">
        <v>3183</v>
      </c>
      <c r="J7929" t="s">
        <v>344</v>
      </c>
      <c r="K7929" t="s">
        <v>9</v>
      </c>
      <c r="L7929" t="s">
        <v>3184</v>
      </c>
      <c r="M7929" t="s">
        <v>10</v>
      </c>
    </row>
    <row r="7930" spans="1:13">
      <c r="A7930" t="s">
        <v>851</v>
      </c>
      <c r="B7930" t="s">
        <v>687</v>
      </c>
      <c r="C7930" t="s">
        <v>687</v>
      </c>
      <c r="D7930" t="s">
        <v>3174</v>
      </c>
      <c r="E7930" t="s">
        <v>646</v>
      </c>
      <c r="F7930" t="s">
        <v>40</v>
      </c>
      <c r="G7930">
        <v>2040</v>
      </c>
      <c r="H7930" s="12">
        <v>3994</v>
      </c>
      <c r="I7930" t="s">
        <v>3183</v>
      </c>
      <c r="J7930" t="s">
        <v>344</v>
      </c>
      <c r="K7930" t="s">
        <v>9</v>
      </c>
      <c r="L7930" t="s">
        <v>3184</v>
      </c>
      <c r="M7930" t="s">
        <v>10</v>
      </c>
    </row>
    <row r="7931" spans="1:13">
      <c r="A7931" t="s">
        <v>851</v>
      </c>
      <c r="B7931" t="s">
        <v>687</v>
      </c>
      <c r="C7931" t="s">
        <v>687</v>
      </c>
      <c r="D7931" t="s">
        <v>3174</v>
      </c>
      <c r="E7931" t="s">
        <v>646</v>
      </c>
      <c r="F7931" t="s">
        <v>40</v>
      </c>
      <c r="G7931">
        <v>2045</v>
      </c>
      <c r="H7931" s="12">
        <v>4405</v>
      </c>
      <c r="I7931" t="s">
        <v>3183</v>
      </c>
      <c r="J7931" t="s">
        <v>344</v>
      </c>
      <c r="K7931" t="s">
        <v>9</v>
      </c>
      <c r="L7931" t="s">
        <v>3184</v>
      </c>
      <c r="M7931" t="s">
        <v>10</v>
      </c>
    </row>
    <row r="7932" spans="1:13">
      <c r="A7932" t="s">
        <v>851</v>
      </c>
      <c r="B7932" t="s">
        <v>687</v>
      </c>
      <c r="C7932" t="s">
        <v>687</v>
      </c>
      <c r="D7932" t="s">
        <v>3174</v>
      </c>
      <c r="E7932" t="s">
        <v>646</v>
      </c>
      <c r="F7932" t="s">
        <v>40</v>
      </c>
      <c r="G7932">
        <v>2050</v>
      </c>
      <c r="H7932" s="12">
        <v>4773</v>
      </c>
      <c r="I7932" t="s">
        <v>3183</v>
      </c>
      <c r="J7932" t="s">
        <v>344</v>
      </c>
      <c r="K7932" t="s">
        <v>9</v>
      </c>
      <c r="L7932" t="s">
        <v>3184</v>
      </c>
      <c r="M7932" t="s">
        <v>10</v>
      </c>
    </row>
    <row r="7933" spans="1:13">
      <c r="A7933" t="s">
        <v>851</v>
      </c>
      <c r="B7933" t="s">
        <v>686</v>
      </c>
      <c r="C7933" t="s">
        <v>686</v>
      </c>
      <c r="D7933" t="s">
        <v>3174</v>
      </c>
      <c r="E7933" t="s">
        <v>573</v>
      </c>
      <c r="F7933" t="s">
        <v>40</v>
      </c>
      <c r="G7933">
        <v>2040</v>
      </c>
      <c r="H7933" s="12">
        <v>56</v>
      </c>
      <c r="I7933" t="s">
        <v>3183</v>
      </c>
      <c r="J7933" t="s">
        <v>394</v>
      </c>
      <c r="K7933" t="s">
        <v>147</v>
      </c>
      <c r="L7933" t="s">
        <v>3184</v>
      </c>
      <c r="M7933" t="s">
        <v>16</v>
      </c>
    </row>
    <row r="7934" spans="1:13">
      <c r="A7934" t="s">
        <v>851</v>
      </c>
      <c r="B7934" t="s">
        <v>686</v>
      </c>
      <c r="C7934" t="s">
        <v>686</v>
      </c>
      <c r="D7934" t="s">
        <v>3174</v>
      </c>
      <c r="E7934" t="s">
        <v>573</v>
      </c>
      <c r="F7934" t="s">
        <v>40</v>
      </c>
      <c r="G7934">
        <v>2045</v>
      </c>
      <c r="H7934" s="12">
        <v>34</v>
      </c>
      <c r="I7934" t="s">
        <v>3183</v>
      </c>
      <c r="J7934" t="s">
        <v>394</v>
      </c>
      <c r="K7934" t="s">
        <v>147</v>
      </c>
      <c r="L7934" t="s">
        <v>3184</v>
      </c>
      <c r="M7934" t="s">
        <v>16</v>
      </c>
    </row>
    <row r="7935" spans="1:13">
      <c r="A7935" t="s">
        <v>851</v>
      </c>
      <c r="B7935" t="s">
        <v>686</v>
      </c>
      <c r="C7935" t="s">
        <v>686</v>
      </c>
      <c r="D7935" t="s">
        <v>3174</v>
      </c>
      <c r="E7935" t="s">
        <v>573</v>
      </c>
      <c r="F7935" t="s">
        <v>40</v>
      </c>
      <c r="G7935">
        <v>2050</v>
      </c>
      <c r="H7935" s="12">
        <v>22</v>
      </c>
      <c r="I7935" t="s">
        <v>3183</v>
      </c>
      <c r="J7935" t="s">
        <v>394</v>
      </c>
      <c r="K7935" t="s">
        <v>147</v>
      </c>
      <c r="L7935" t="s">
        <v>3184</v>
      </c>
      <c r="M7935" t="s">
        <v>16</v>
      </c>
    </row>
    <row r="7936" spans="1:13">
      <c r="A7936" t="s">
        <v>851</v>
      </c>
      <c r="B7936" t="s">
        <v>687</v>
      </c>
      <c r="C7936" t="s">
        <v>687</v>
      </c>
      <c r="D7936" t="s">
        <v>3174</v>
      </c>
      <c r="E7936" t="s">
        <v>573</v>
      </c>
      <c r="F7936" t="s">
        <v>40</v>
      </c>
      <c r="G7936">
        <v>2030</v>
      </c>
      <c r="H7936" s="12">
        <v>58</v>
      </c>
      <c r="I7936" t="s">
        <v>3183</v>
      </c>
      <c r="J7936" t="s">
        <v>394</v>
      </c>
      <c r="K7936" t="s">
        <v>147</v>
      </c>
      <c r="L7936" t="s">
        <v>3184</v>
      </c>
      <c r="M7936" t="s">
        <v>16</v>
      </c>
    </row>
    <row r="7937" spans="1:13">
      <c r="A7937" t="s">
        <v>851</v>
      </c>
      <c r="B7937" t="s">
        <v>687</v>
      </c>
      <c r="C7937" t="s">
        <v>687</v>
      </c>
      <c r="D7937" t="s">
        <v>3174</v>
      </c>
      <c r="E7937" t="s">
        <v>573</v>
      </c>
      <c r="F7937" t="s">
        <v>40</v>
      </c>
      <c r="G7937">
        <v>2035</v>
      </c>
      <c r="H7937" s="12">
        <v>21</v>
      </c>
      <c r="I7937" t="s">
        <v>3183</v>
      </c>
      <c r="J7937" t="s">
        <v>394</v>
      </c>
      <c r="K7937" t="s">
        <v>147</v>
      </c>
      <c r="L7937" t="s">
        <v>3184</v>
      </c>
      <c r="M7937" t="s">
        <v>16</v>
      </c>
    </row>
    <row r="7938" spans="1:13">
      <c r="A7938" t="s">
        <v>851</v>
      </c>
      <c r="B7938" t="s">
        <v>687</v>
      </c>
      <c r="C7938" t="s">
        <v>687</v>
      </c>
      <c r="D7938" t="s">
        <v>3174</v>
      </c>
      <c r="E7938" t="s">
        <v>573</v>
      </c>
      <c r="F7938" t="s">
        <v>40</v>
      </c>
      <c r="G7938">
        <v>2040</v>
      </c>
      <c r="H7938" s="12">
        <v>10</v>
      </c>
      <c r="I7938" t="s">
        <v>3183</v>
      </c>
      <c r="J7938" t="s">
        <v>394</v>
      </c>
      <c r="K7938" t="s">
        <v>147</v>
      </c>
      <c r="L7938" t="s">
        <v>3184</v>
      </c>
      <c r="M7938" t="s">
        <v>16</v>
      </c>
    </row>
    <row r="7939" spans="1:13">
      <c r="A7939" t="s">
        <v>851</v>
      </c>
      <c r="B7939" t="s">
        <v>687</v>
      </c>
      <c r="C7939" t="s">
        <v>687</v>
      </c>
      <c r="D7939" t="s">
        <v>3174</v>
      </c>
      <c r="E7939" t="s">
        <v>573</v>
      </c>
      <c r="F7939" t="s">
        <v>40</v>
      </c>
      <c r="G7939">
        <v>2045</v>
      </c>
      <c r="H7939" s="12">
        <v>7</v>
      </c>
      <c r="I7939" t="s">
        <v>3183</v>
      </c>
      <c r="J7939" t="s">
        <v>394</v>
      </c>
      <c r="K7939" t="s">
        <v>147</v>
      </c>
      <c r="L7939" t="s">
        <v>3184</v>
      </c>
      <c r="M7939" t="s">
        <v>16</v>
      </c>
    </row>
    <row r="7940" spans="1:13">
      <c r="A7940" t="s">
        <v>851</v>
      </c>
      <c r="B7940" t="s">
        <v>687</v>
      </c>
      <c r="C7940" t="s">
        <v>687</v>
      </c>
      <c r="D7940" t="s">
        <v>3174</v>
      </c>
      <c r="E7940" t="s">
        <v>573</v>
      </c>
      <c r="F7940" t="s">
        <v>40</v>
      </c>
      <c r="G7940">
        <v>2050</v>
      </c>
      <c r="H7940" s="12">
        <v>5</v>
      </c>
      <c r="I7940" t="s">
        <v>3183</v>
      </c>
      <c r="J7940" t="s">
        <v>394</v>
      </c>
      <c r="K7940" t="s">
        <v>147</v>
      </c>
      <c r="L7940" t="s">
        <v>3184</v>
      </c>
      <c r="M7940" t="s">
        <v>16</v>
      </c>
    </row>
    <row r="7941" spans="1:13">
      <c r="A7941" t="s">
        <v>851</v>
      </c>
      <c r="B7941" t="s">
        <v>686</v>
      </c>
      <c r="C7941" t="s">
        <v>686</v>
      </c>
      <c r="D7941" t="s">
        <v>3174</v>
      </c>
      <c r="E7941" t="s">
        <v>573</v>
      </c>
      <c r="F7941" t="s">
        <v>40</v>
      </c>
      <c r="G7941">
        <v>2010</v>
      </c>
      <c r="H7941" s="12">
        <v>19375</v>
      </c>
      <c r="I7941" t="s">
        <v>3183</v>
      </c>
      <c r="J7941" t="s">
        <v>5</v>
      </c>
      <c r="K7941" t="s">
        <v>147</v>
      </c>
      <c r="L7941" t="s">
        <v>3184</v>
      </c>
      <c r="M7941" t="s">
        <v>5</v>
      </c>
    </row>
    <row r="7942" spans="1:13">
      <c r="A7942" t="s">
        <v>851</v>
      </c>
      <c r="B7942" t="s">
        <v>686</v>
      </c>
      <c r="C7942" t="s">
        <v>686</v>
      </c>
      <c r="D7942" t="s">
        <v>3174</v>
      </c>
      <c r="E7942" t="s">
        <v>573</v>
      </c>
      <c r="F7942" t="s">
        <v>40</v>
      </c>
      <c r="G7942">
        <v>2015</v>
      </c>
      <c r="H7942" s="12">
        <v>14268</v>
      </c>
      <c r="I7942" t="s">
        <v>3183</v>
      </c>
      <c r="J7942" t="s">
        <v>5</v>
      </c>
      <c r="K7942" t="s">
        <v>147</v>
      </c>
      <c r="L7942" t="s">
        <v>3184</v>
      </c>
      <c r="M7942" t="s">
        <v>5</v>
      </c>
    </row>
    <row r="7943" spans="1:13">
      <c r="A7943" t="s">
        <v>851</v>
      </c>
      <c r="B7943" t="s">
        <v>686</v>
      </c>
      <c r="C7943" t="s">
        <v>686</v>
      </c>
      <c r="D7943" t="s">
        <v>3174</v>
      </c>
      <c r="E7943" t="s">
        <v>573</v>
      </c>
      <c r="F7943" t="s">
        <v>40</v>
      </c>
      <c r="G7943">
        <v>2020</v>
      </c>
      <c r="H7943" s="12">
        <v>8341</v>
      </c>
      <c r="I7943" t="s">
        <v>3183</v>
      </c>
      <c r="J7943" t="s">
        <v>5</v>
      </c>
      <c r="K7943" t="s">
        <v>147</v>
      </c>
      <c r="L7943" t="s">
        <v>3184</v>
      </c>
      <c r="M7943" t="s">
        <v>5</v>
      </c>
    </row>
    <row r="7944" spans="1:13">
      <c r="A7944" t="s">
        <v>851</v>
      </c>
      <c r="B7944" t="s">
        <v>686</v>
      </c>
      <c r="C7944" t="s">
        <v>686</v>
      </c>
      <c r="D7944" t="s">
        <v>3174</v>
      </c>
      <c r="E7944" t="s">
        <v>573</v>
      </c>
      <c r="F7944" t="s">
        <v>40</v>
      </c>
      <c r="G7944">
        <v>2030</v>
      </c>
      <c r="H7944" s="12">
        <v>1869</v>
      </c>
      <c r="I7944" t="s">
        <v>3183</v>
      </c>
      <c r="J7944" t="s">
        <v>5</v>
      </c>
      <c r="K7944" t="s">
        <v>147</v>
      </c>
      <c r="L7944" t="s">
        <v>3184</v>
      </c>
      <c r="M7944" t="s">
        <v>5</v>
      </c>
    </row>
    <row r="7945" spans="1:13">
      <c r="A7945" t="s">
        <v>851</v>
      </c>
      <c r="B7945" t="s">
        <v>686</v>
      </c>
      <c r="C7945" t="s">
        <v>686</v>
      </c>
      <c r="D7945" t="s">
        <v>3174</v>
      </c>
      <c r="E7945" t="s">
        <v>573</v>
      </c>
      <c r="F7945" t="s">
        <v>40</v>
      </c>
      <c r="G7945">
        <v>2035</v>
      </c>
      <c r="H7945" s="12">
        <v>503</v>
      </c>
      <c r="I7945" t="s">
        <v>3183</v>
      </c>
      <c r="J7945" t="s">
        <v>5</v>
      </c>
      <c r="K7945" t="s">
        <v>147</v>
      </c>
      <c r="L7945" t="s">
        <v>3184</v>
      </c>
      <c r="M7945" t="s">
        <v>5</v>
      </c>
    </row>
    <row r="7946" spans="1:13">
      <c r="A7946" t="s">
        <v>851</v>
      </c>
      <c r="B7946" t="s">
        <v>686</v>
      </c>
      <c r="C7946" t="s">
        <v>686</v>
      </c>
      <c r="D7946" t="s">
        <v>3174</v>
      </c>
      <c r="E7946" t="s">
        <v>573</v>
      </c>
      <c r="F7946" t="s">
        <v>40</v>
      </c>
      <c r="G7946">
        <v>2040</v>
      </c>
      <c r="H7946" s="12">
        <v>383</v>
      </c>
      <c r="I7946" t="s">
        <v>3183</v>
      </c>
      <c r="J7946" t="s">
        <v>5</v>
      </c>
      <c r="K7946" t="s">
        <v>147</v>
      </c>
      <c r="L7946" t="s">
        <v>3184</v>
      </c>
      <c r="M7946" t="s">
        <v>5</v>
      </c>
    </row>
    <row r="7947" spans="1:13">
      <c r="A7947" t="s">
        <v>851</v>
      </c>
      <c r="B7947" t="s">
        <v>686</v>
      </c>
      <c r="C7947" t="s">
        <v>686</v>
      </c>
      <c r="D7947" t="s">
        <v>3174</v>
      </c>
      <c r="E7947" t="s">
        <v>573</v>
      </c>
      <c r="F7947" t="s">
        <v>40</v>
      </c>
      <c r="G7947">
        <v>2045</v>
      </c>
      <c r="H7947" s="12">
        <v>356</v>
      </c>
      <c r="I7947" t="s">
        <v>3183</v>
      </c>
      <c r="J7947" t="s">
        <v>5</v>
      </c>
      <c r="K7947" t="s">
        <v>147</v>
      </c>
      <c r="L7947" t="s">
        <v>3184</v>
      </c>
      <c r="M7947" t="s">
        <v>5</v>
      </c>
    </row>
    <row r="7948" spans="1:13">
      <c r="A7948" t="s">
        <v>851</v>
      </c>
      <c r="B7948" t="s">
        <v>686</v>
      </c>
      <c r="C7948" t="s">
        <v>686</v>
      </c>
      <c r="D7948" t="s">
        <v>3174</v>
      </c>
      <c r="E7948" t="s">
        <v>573</v>
      </c>
      <c r="F7948" t="s">
        <v>40</v>
      </c>
      <c r="G7948">
        <v>2050</v>
      </c>
      <c r="H7948" s="12">
        <v>330</v>
      </c>
      <c r="I7948" t="s">
        <v>3183</v>
      </c>
      <c r="J7948" t="s">
        <v>5</v>
      </c>
      <c r="K7948" t="s">
        <v>147</v>
      </c>
      <c r="L7948" t="s">
        <v>3184</v>
      </c>
      <c r="M7948" t="s">
        <v>5</v>
      </c>
    </row>
    <row r="7949" spans="1:13">
      <c r="A7949" t="s">
        <v>851</v>
      </c>
      <c r="B7949" t="s">
        <v>687</v>
      </c>
      <c r="C7949" t="s">
        <v>687</v>
      </c>
      <c r="D7949" t="s">
        <v>3174</v>
      </c>
      <c r="E7949" t="s">
        <v>573</v>
      </c>
      <c r="F7949" t="s">
        <v>40</v>
      </c>
      <c r="G7949">
        <v>2030</v>
      </c>
      <c r="H7949" s="12">
        <v>1221</v>
      </c>
      <c r="I7949" t="s">
        <v>3183</v>
      </c>
      <c r="J7949" t="s">
        <v>5</v>
      </c>
      <c r="K7949" t="s">
        <v>147</v>
      </c>
      <c r="L7949" t="s">
        <v>3184</v>
      </c>
      <c r="M7949" t="s">
        <v>5</v>
      </c>
    </row>
    <row r="7950" spans="1:13">
      <c r="A7950" t="s">
        <v>851</v>
      </c>
      <c r="B7950" t="s">
        <v>687</v>
      </c>
      <c r="C7950" t="s">
        <v>687</v>
      </c>
      <c r="D7950" t="s">
        <v>3174</v>
      </c>
      <c r="E7950" t="s">
        <v>573</v>
      </c>
      <c r="F7950" t="s">
        <v>40</v>
      </c>
      <c r="G7950">
        <v>2035</v>
      </c>
      <c r="H7950" s="12">
        <v>391</v>
      </c>
      <c r="I7950" t="s">
        <v>3183</v>
      </c>
      <c r="J7950" t="s">
        <v>5</v>
      </c>
      <c r="K7950" t="s">
        <v>147</v>
      </c>
      <c r="L7950" t="s">
        <v>3184</v>
      </c>
      <c r="M7950" t="s">
        <v>5</v>
      </c>
    </row>
    <row r="7951" spans="1:13">
      <c r="A7951" t="s">
        <v>851</v>
      </c>
      <c r="B7951" t="s">
        <v>687</v>
      </c>
      <c r="C7951" t="s">
        <v>687</v>
      </c>
      <c r="D7951" t="s">
        <v>3174</v>
      </c>
      <c r="E7951" t="s">
        <v>573</v>
      </c>
      <c r="F7951" t="s">
        <v>40</v>
      </c>
      <c r="G7951">
        <v>2040</v>
      </c>
      <c r="H7951" s="12">
        <v>412</v>
      </c>
      <c r="I7951" t="s">
        <v>3183</v>
      </c>
      <c r="J7951" t="s">
        <v>5</v>
      </c>
      <c r="K7951" t="s">
        <v>147</v>
      </c>
      <c r="L7951" t="s">
        <v>3184</v>
      </c>
      <c r="M7951" t="s">
        <v>5</v>
      </c>
    </row>
    <row r="7952" spans="1:13">
      <c r="A7952" t="s">
        <v>851</v>
      </c>
      <c r="B7952" t="s">
        <v>687</v>
      </c>
      <c r="C7952" t="s">
        <v>687</v>
      </c>
      <c r="D7952" t="s">
        <v>3174</v>
      </c>
      <c r="E7952" t="s">
        <v>573</v>
      </c>
      <c r="F7952" t="s">
        <v>40</v>
      </c>
      <c r="G7952">
        <v>2045</v>
      </c>
      <c r="H7952" s="12">
        <v>413</v>
      </c>
      <c r="I7952" t="s">
        <v>3183</v>
      </c>
      <c r="J7952" t="s">
        <v>5</v>
      </c>
      <c r="K7952" t="s">
        <v>147</v>
      </c>
      <c r="L7952" t="s">
        <v>3184</v>
      </c>
      <c r="M7952" t="s">
        <v>5</v>
      </c>
    </row>
    <row r="7953" spans="1:13">
      <c r="A7953" t="s">
        <v>851</v>
      </c>
      <c r="B7953" t="s">
        <v>687</v>
      </c>
      <c r="C7953" t="s">
        <v>687</v>
      </c>
      <c r="D7953" t="s">
        <v>3174</v>
      </c>
      <c r="E7953" t="s">
        <v>573</v>
      </c>
      <c r="F7953" t="s">
        <v>40</v>
      </c>
      <c r="G7953">
        <v>2050</v>
      </c>
      <c r="H7953" s="12">
        <v>413</v>
      </c>
      <c r="I7953" t="s">
        <v>3183</v>
      </c>
      <c r="J7953" t="s">
        <v>5</v>
      </c>
      <c r="K7953" t="s">
        <v>147</v>
      </c>
      <c r="L7953" t="s">
        <v>3184</v>
      </c>
      <c r="M7953" t="s">
        <v>5</v>
      </c>
    </row>
    <row r="7954" spans="1:13">
      <c r="A7954" t="s">
        <v>851</v>
      </c>
      <c r="B7954" t="s">
        <v>687</v>
      </c>
      <c r="C7954" t="s">
        <v>687</v>
      </c>
      <c r="D7954" t="s">
        <v>3174</v>
      </c>
      <c r="E7954" t="s">
        <v>660</v>
      </c>
      <c r="F7954" t="s">
        <v>40</v>
      </c>
      <c r="G7954">
        <v>2045</v>
      </c>
      <c r="H7954" s="12">
        <v>9362</v>
      </c>
      <c r="I7954" t="s">
        <v>3183</v>
      </c>
      <c r="J7954" t="s">
        <v>15</v>
      </c>
      <c r="K7954" t="s">
        <v>657</v>
      </c>
      <c r="L7954" t="s">
        <v>3184</v>
      </c>
      <c r="M7954" t="s">
        <v>15</v>
      </c>
    </row>
    <row r="7955" spans="1:13">
      <c r="A7955" t="s">
        <v>851</v>
      </c>
      <c r="B7955" t="s">
        <v>687</v>
      </c>
      <c r="C7955" t="s">
        <v>687</v>
      </c>
      <c r="D7955" t="s">
        <v>3174</v>
      </c>
      <c r="E7955" t="s">
        <v>660</v>
      </c>
      <c r="F7955" t="s">
        <v>40</v>
      </c>
      <c r="G7955">
        <v>2050</v>
      </c>
      <c r="H7955" s="12">
        <v>9971</v>
      </c>
      <c r="I7955" t="s">
        <v>3183</v>
      </c>
      <c r="J7955" t="s">
        <v>15</v>
      </c>
      <c r="K7955" t="s">
        <v>657</v>
      </c>
      <c r="L7955" t="s">
        <v>3184</v>
      </c>
      <c r="M7955" t="s">
        <v>15</v>
      </c>
    </row>
    <row r="7956" spans="1:13">
      <c r="A7956" t="s">
        <v>851</v>
      </c>
      <c r="B7956" t="s">
        <v>686</v>
      </c>
      <c r="C7956" t="s">
        <v>686</v>
      </c>
      <c r="D7956" t="s">
        <v>3174</v>
      </c>
      <c r="E7956" t="s">
        <v>660</v>
      </c>
      <c r="F7956" t="s">
        <v>40</v>
      </c>
      <c r="G7956">
        <v>2010</v>
      </c>
      <c r="H7956" s="12">
        <v>23280</v>
      </c>
      <c r="I7956" t="s">
        <v>3183</v>
      </c>
      <c r="J7956" t="s">
        <v>6</v>
      </c>
      <c r="K7956" t="s">
        <v>657</v>
      </c>
      <c r="L7956" t="s">
        <v>3184</v>
      </c>
      <c r="M7956" t="s">
        <v>659</v>
      </c>
    </row>
    <row r="7957" spans="1:13">
      <c r="A7957" t="s">
        <v>851</v>
      </c>
      <c r="B7957" t="s">
        <v>686</v>
      </c>
      <c r="C7957" t="s">
        <v>686</v>
      </c>
      <c r="D7957" t="s">
        <v>3174</v>
      </c>
      <c r="E7957" t="s">
        <v>660</v>
      </c>
      <c r="F7957" t="s">
        <v>40</v>
      </c>
      <c r="G7957">
        <v>2015</v>
      </c>
      <c r="H7957" s="12">
        <v>27064</v>
      </c>
      <c r="I7957" t="s">
        <v>3183</v>
      </c>
      <c r="J7957" t="s">
        <v>6</v>
      </c>
      <c r="K7957" t="s">
        <v>657</v>
      </c>
      <c r="L7957" t="s">
        <v>3184</v>
      </c>
      <c r="M7957" t="s">
        <v>659</v>
      </c>
    </row>
    <row r="7958" spans="1:13">
      <c r="A7958" t="s">
        <v>851</v>
      </c>
      <c r="B7958" t="s">
        <v>686</v>
      </c>
      <c r="C7958" t="s">
        <v>686</v>
      </c>
      <c r="D7958" t="s">
        <v>3174</v>
      </c>
      <c r="E7958" t="s">
        <v>660</v>
      </c>
      <c r="F7958" t="s">
        <v>40</v>
      </c>
      <c r="G7958">
        <v>2020</v>
      </c>
      <c r="H7958" s="12">
        <v>30119</v>
      </c>
      <c r="I7958" t="s">
        <v>3183</v>
      </c>
      <c r="J7958" t="s">
        <v>6</v>
      </c>
      <c r="K7958" t="s">
        <v>657</v>
      </c>
      <c r="L7958" t="s">
        <v>3184</v>
      </c>
      <c r="M7958" t="s">
        <v>659</v>
      </c>
    </row>
    <row r="7959" spans="1:13">
      <c r="A7959" t="s">
        <v>851</v>
      </c>
      <c r="B7959" t="s">
        <v>686</v>
      </c>
      <c r="C7959" t="s">
        <v>686</v>
      </c>
      <c r="D7959" t="s">
        <v>3174</v>
      </c>
      <c r="E7959" t="s">
        <v>660</v>
      </c>
      <c r="F7959" t="s">
        <v>40</v>
      </c>
      <c r="G7959">
        <v>2030</v>
      </c>
      <c r="H7959" s="12">
        <v>29733</v>
      </c>
      <c r="I7959" t="s">
        <v>3183</v>
      </c>
      <c r="J7959" t="s">
        <v>6</v>
      </c>
      <c r="K7959" t="s">
        <v>657</v>
      </c>
      <c r="L7959" t="s">
        <v>3184</v>
      </c>
      <c r="M7959" t="s">
        <v>659</v>
      </c>
    </row>
    <row r="7960" spans="1:13">
      <c r="A7960" t="s">
        <v>851</v>
      </c>
      <c r="B7960" t="s">
        <v>686</v>
      </c>
      <c r="C7960" t="s">
        <v>686</v>
      </c>
      <c r="D7960" t="s">
        <v>3174</v>
      </c>
      <c r="E7960" t="s">
        <v>660</v>
      </c>
      <c r="F7960" t="s">
        <v>40</v>
      </c>
      <c r="G7960">
        <v>2035</v>
      </c>
      <c r="H7960" s="12">
        <v>25909</v>
      </c>
      <c r="I7960" t="s">
        <v>3183</v>
      </c>
      <c r="J7960" t="s">
        <v>6</v>
      </c>
      <c r="K7960" t="s">
        <v>657</v>
      </c>
      <c r="L7960" t="s">
        <v>3184</v>
      </c>
      <c r="M7960" t="s">
        <v>659</v>
      </c>
    </row>
    <row r="7961" spans="1:13">
      <c r="A7961" t="s">
        <v>851</v>
      </c>
      <c r="B7961" t="s">
        <v>686</v>
      </c>
      <c r="C7961" t="s">
        <v>686</v>
      </c>
      <c r="D7961" t="s">
        <v>3174</v>
      </c>
      <c r="E7961" t="s">
        <v>660</v>
      </c>
      <c r="F7961" t="s">
        <v>40</v>
      </c>
      <c r="G7961">
        <v>2040</v>
      </c>
      <c r="H7961" s="12">
        <v>23568</v>
      </c>
      <c r="I7961" t="s">
        <v>3183</v>
      </c>
      <c r="J7961" t="s">
        <v>6</v>
      </c>
      <c r="K7961" t="s">
        <v>657</v>
      </c>
      <c r="L7961" t="s">
        <v>3184</v>
      </c>
      <c r="M7961" t="s">
        <v>659</v>
      </c>
    </row>
    <row r="7962" spans="1:13">
      <c r="A7962" t="s">
        <v>851</v>
      </c>
      <c r="B7962" t="s">
        <v>686</v>
      </c>
      <c r="C7962" t="s">
        <v>686</v>
      </c>
      <c r="D7962" t="s">
        <v>3174</v>
      </c>
      <c r="E7962" t="s">
        <v>660</v>
      </c>
      <c r="F7962" t="s">
        <v>40</v>
      </c>
      <c r="G7962">
        <v>2045</v>
      </c>
      <c r="H7962" s="12">
        <v>21485</v>
      </c>
      <c r="I7962" t="s">
        <v>3183</v>
      </c>
      <c r="J7962" t="s">
        <v>6</v>
      </c>
      <c r="K7962" t="s">
        <v>657</v>
      </c>
      <c r="L7962" t="s">
        <v>3184</v>
      </c>
      <c r="M7962" t="s">
        <v>659</v>
      </c>
    </row>
    <row r="7963" spans="1:13">
      <c r="A7963" t="s">
        <v>851</v>
      </c>
      <c r="B7963" t="s">
        <v>686</v>
      </c>
      <c r="C7963" t="s">
        <v>686</v>
      </c>
      <c r="D7963" t="s">
        <v>3174</v>
      </c>
      <c r="E7963" t="s">
        <v>660</v>
      </c>
      <c r="F7963" t="s">
        <v>40</v>
      </c>
      <c r="G7963">
        <v>2050</v>
      </c>
      <c r="H7963" s="12">
        <v>19791</v>
      </c>
      <c r="I7963" t="s">
        <v>3183</v>
      </c>
      <c r="J7963" t="s">
        <v>6</v>
      </c>
      <c r="K7963" t="s">
        <v>657</v>
      </c>
      <c r="L7963" t="s">
        <v>3184</v>
      </c>
      <c r="M7963" t="s">
        <v>659</v>
      </c>
    </row>
    <row r="7964" spans="1:13">
      <c r="A7964" t="s">
        <v>851</v>
      </c>
      <c r="B7964" t="s">
        <v>687</v>
      </c>
      <c r="C7964" t="s">
        <v>687</v>
      </c>
      <c r="D7964" t="s">
        <v>3174</v>
      </c>
      <c r="E7964" t="s">
        <v>660</v>
      </c>
      <c r="F7964" t="s">
        <v>40</v>
      </c>
      <c r="G7964">
        <v>2030</v>
      </c>
      <c r="H7964" s="12">
        <v>24618</v>
      </c>
      <c r="I7964" t="s">
        <v>3183</v>
      </c>
      <c r="J7964" t="s">
        <v>6</v>
      </c>
      <c r="K7964" t="s">
        <v>657</v>
      </c>
      <c r="L7964" t="s">
        <v>3184</v>
      </c>
      <c r="M7964" t="s">
        <v>659</v>
      </c>
    </row>
    <row r="7965" spans="1:13">
      <c r="A7965" t="s">
        <v>851</v>
      </c>
      <c r="B7965" t="s">
        <v>687</v>
      </c>
      <c r="C7965" t="s">
        <v>687</v>
      </c>
      <c r="D7965" t="s">
        <v>3174</v>
      </c>
      <c r="E7965" t="s">
        <v>660</v>
      </c>
      <c r="F7965" t="s">
        <v>40</v>
      </c>
      <c r="G7965">
        <v>2035</v>
      </c>
      <c r="H7965" s="12">
        <v>17061</v>
      </c>
      <c r="I7965" t="s">
        <v>3183</v>
      </c>
      <c r="J7965" t="s">
        <v>6</v>
      </c>
      <c r="K7965" t="s">
        <v>657</v>
      </c>
      <c r="L7965" t="s">
        <v>3184</v>
      </c>
      <c r="M7965" t="s">
        <v>659</v>
      </c>
    </row>
    <row r="7966" spans="1:13">
      <c r="A7966" t="s">
        <v>851</v>
      </c>
      <c r="B7966" t="s">
        <v>687</v>
      </c>
      <c r="C7966" t="s">
        <v>687</v>
      </c>
      <c r="D7966" t="s">
        <v>3174</v>
      </c>
      <c r="E7966" t="s">
        <v>660</v>
      </c>
      <c r="F7966" t="s">
        <v>40</v>
      </c>
      <c r="G7966">
        <v>2040</v>
      </c>
      <c r="H7966" s="12">
        <v>13166</v>
      </c>
      <c r="I7966" t="s">
        <v>3183</v>
      </c>
      <c r="J7966" t="s">
        <v>6</v>
      </c>
      <c r="K7966" t="s">
        <v>657</v>
      </c>
      <c r="L7966" t="s">
        <v>3184</v>
      </c>
      <c r="M7966" t="s">
        <v>659</v>
      </c>
    </row>
    <row r="7967" spans="1:13">
      <c r="A7967" t="s">
        <v>851</v>
      </c>
      <c r="B7967" t="s">
        <v>687</v>
      </c>
      <c r="C7967" t="s">
        <v>687</v>
      </c>
      <c r="D7967" t="s">
        <v>3174</v>
      </c>
      <c r="E7967" t="s">
        <v>660</v>
      </c>
      <c r="F7967" t="s">
        <v>40</v>
      </c>
      <c r="G7967">
        <v>2045</v>
      </c>
      <c r="H7967" s="12">
        <v>10540</v>
      </c>
      <c r="I7967" t="s">
        <v>3183</v>
      </c>
      <c r="J7967" t="s">
        <v>6</v>
      </c>
      <c r="K7967" t="s">
        <v>657</v>
      </c>
      <c r="L7967" t="s">
        <v>3184</v>
      </c>
      <c r="M7967" t="s">
        <v>659</v>
      </c>
    </row>
    <row r="7968" spans="1:13">
      <c r="A7968" t="s">
        <v>851</v>
      </c>
      <c r="B7968" t="s">
        <v>687</v>
      </c>
      <c r="C7968" t="s">
        <v>687</v>
      </c>
      <c r="D7968" t="s">
        <v>3174</v>
      </c>
      <c r="E7968" t="s">
        <v>660</v>
      </c>
      <c r="F7968" t="s">
        <v>40</v>
      </c>
      <c r="G7968">
        <v>2050</v>
      </c>
      <c r="H7968" s="12">
        <v>8651</v>
      </c>
      <c r="I7968" t="s">
        <v>3183</v>
      </c>
      <c r="J7968" t="s">
        <v>6</v>
      </c>
      <c r="K7968" t="s">
        <v>657</v>
      </c>
      <c r="L7968" t="s">
        <v>3184</v>
      </c>
      <c r="M7968" t="s">
        <v>659</v>
      </c>
    </row>
    <row r="7969" spans="1:13">
      <c r="A7969" t="s">
        <v>851</v>
      </c>
      <c r="B7969" t="s">
        <v>686</v>
      </c>
      <c r="C7969" t="s">
        <v>686</v>
      </c>
      <c r="D7969" t="s">
        <v>3174</v>
      </c>
      <c r="E7969" t="s">
        <v>660</v>
      </c>
      <c r="F7969" t="s">
        <v>40</v>
      </c>
      <c r="G7969">
        <v>2010</v>
      </c>
      <c r="H7969" s="12">
        <v>33768</v>
      </c>
      <c r="I7969" t="s">
        <v>3183</v>
      </c>
      <c r="J7969" t="s">
        <v>394</v>
      </c>
      <c r="K7969" t="s">
        <v>657</v>
      </c>
      <c r="L7969" t="s">
        <v>3184</v>
      </c>
      <c r="M7969" t="s">
        <v>16</v>
      </c>
    </row>
    <row r="7970" spans="1:13">
      <c r="A7970" t="s">
        <v>851</v>
      </c>
      <c r="B7970" t="s">
        <v>686</v>
      </c>
      <c r="C7970" t="s">
        <v>686</v>
      </c>
      <c r="D7970" t="s">
        <v>3174</v>
      </c>
      <c r="E7970" t="s">
        <v>660</v>
      </c>
      <c r="F7970" t="s">
        <v>40</v>
      </c>
      <c r="G7970">
        <v>2015</v>
      </c>
      <c r="H7970" s="12">
        <v>33056</v>
      </c>
      <c r="I7970" t="s">
        <v>3183</v>
      </c>
      <c r="J7970" t="s">
        <v>394</v>
      </c>
      <c r="K7970" t="s">
        <v>657</v>
      </c>
      <c r="L7970" t="s">
        <v>3184</v>
      </c>
      <c r="M7970" t="s">
        <v>16</v>
      </c>
    </row>
    <row r="7971" spans="1:13">
      <c r="A7971" t="s">
        <v>851</v>
      </c>
      <c r="B7971" t="s">
        <v>686</v>
      </c>
      <c r="C7971" t="s">
        <v>686</v>
      </c>
      <c r="D7971" t="s">
        <v>3174</v>
      </c>
      <c r="E7971" t="s">
        <v>660</v>
      </c>
      <c r="F7971" t="s">
        <v>40</v>
      </c>
      <c r="G7971">
        <v>2020</v>
      </c>
      <c r="H7971" s="12">
        <v>29391</v>
      </c>
      <c r="I7971" t="s">
        <v>3183</v>
      </c>
      <c r="J7971" t="s">
        <v>394</v>
      </c>
      <c r="K7971" t="s">
        <v>657</v>
      </c>
      <c r="L7971" t="s">
        <v>3184</v>
      </c>
      <c r="M7971" t="s">
        <v>16</v>
      </c>
    </row>
    <row r="7972" spans="1:13">
      <c r="A7972" t="s">
        <v>851</v>
      </c>
      <c r="B7972" t="s">
        <v>686</v>
      </c>
      <c r="C7972" t="s">
        <v>686</v>
      </c>
      <c r="D7972" t="s">
        <v>3174</v>
      </c>
      <c r="E7972" t="s">
        <v>660</v>
      </c>
      <c r="F7972" t="s">
        <v>40</v>
      </c>
      <c r="G7972">
        <v>2030</v>
      </c>
      <c r="H7972" s="12">
        <v>30285</v>
      </c>
      <c r="I7972" t="s">
        <v>3183</v>
      </c>
      <c r="J7972" t="s">
        <v>394</v>
      </c>
      <c r="K7972" t="s">
        <v>657</v>
      </c>
      <c r="L7972" t="s">
        <v>3184</v>
      </c>
      <c r="M7972" t="s">
        <v>16</v>
      </c>
    </row>
    <row r="7973" spans="1:13">
      <c r="A7973" t="s">
        <v>851</v>
      </c>
      <c r="B7973" t="s">
        <v>686</v>
      </c>
      <c r="C7973" t="s">
        <v>686</v>
      </c>
      <c r="D7973" t="s">
        <v>3174</v>
      </c>
      <c r="E7973" t="s">
        <v>660</v>
      </c>
      <c r="F7973" t="s">
        <v>40</v>
      </c>
      <c r="G7973">
        <v>2035</v>
      </c>
      <c r="H7973" s="12">
        <v>28067</v>
      </c>
      <c r="I7973" t="s">
        <v>3183</v>
      </c>
      <c r="J7973" t="s">
        <v>394</v>
      </c>
      <c r="K7973" t="s">
        <v>657</v>
      </c>
      <c r="L7973" t="s">
        <v>3184</v>
      </c>
      <c r="M7973" t="s">
        <v>16</v>
      </c>
    </row>
    <row r="7974" spans="1:13">
      <c r="A7974" t="s">
        <v>851</v>
      </c>
      <c r="B7974" t="s">
        <v>686</v>
      </c>
      <c r="C7974" t="s">
        <v>686</v>
      </c>
      <c r="D7974" t="s">
        <v>3174</v>
      </c>
      <c r="E7974" t="s">
        <v>660</v>
      </c>
      <c r="F7974" t="s">
        <v>40</v>
      </c>
      <c r="G7974">
        <v>2040</v>
      </c>
      <c r="H7974" s="12">
        <v>26199</v>
      </c>
      <c r="I7974" t="s">
        <v>3183</v>
      </c>
      <c r="J7974" t="s">
        <v>394</v>
      </c>
      <c r="K7974" t="s">
        <v>657</v>
      </c>
      <c r="L7974" t="s">
        <v>3184</v>
      </c>
      <c r="M7974" t="s">
        <v>16</v>
      </c>
    </row>
    <row r="7975" spans="1:13">
      <c r="A7975" t="s">
        <v>851</v>
      </c>
      <c r="B7975" t="s">
        <v>686</v>
      </c>
      <c r="C7975" t="s">
        <v>686</v>
      </c>
      <c r="D7975" t="s">
        <v>3174</v>
      </c>
      <c r="E7975" t="s">
        <v>660</v>
      </c>
      <c r="F7975" t="s">
        <v>40</v>
      </c>
      <c r="G7975">
        <v>2045</v>
      </c>
      <c r="H7975" s="12">
        <v>24888</v>
      </c>
      <c r="I7975" t="s">
        <v>3183</v>
      </c>
      <c r="J7975" t="s">
        <v>394</v>
      </c>
      <c r="K7975" t="s">
        <v>657</v>
      </c>
      <c r="L7975" t="s">
        <v>3184</v>
      </c>
      <c r="M7975" t="s">
        <v>16</v>
      </c>
    </row>
    <row r="7976" spans="1:13">
      <c r="A7976" t="s">
        <v>851</v>
      </c>
      <c r="B7976" t="s">
        <v>686</v>
      </c>
      <c r="C7976" t="s">
        <v>686</v>
      </c>
      <c r="D7976" t="s">
        <v>3174</v>
      </c>
      <c r="E7976" t="s">
        <v>660</v>
      </c>
      <c r="F7976" t="s">
        <v>40</v>
      </c>
      <c r="G7976">
        <v>2050</v>
      </c>
      <c r="H7976" s="12">
        <v>23596</v>
      </c>
      <c r="I7976" t="s">
        <v>3183</v>
      </c>
      <c r="J7976" t="s">
        <v>394</v>
      </c>
      <c r="K7976" t="s">
        <v>657</v>
      </c>
      <c r="L7976" t="s">
        <v>3184</v>
      </c>
      <c r="M7976" t="s">
        <v>16</v>
      </c>
    </row>
    <row r="7977" spans="1:13">
      <c r="A7977" t="s">
        <v>851</v>
      </c>
      <c r="B7977" t="s">
        <v>687</v>
      </c>
      <c r="C7977" t="s">
        <v>687</v>
      </c>
      <c r="D7977" t="s">
        <v>3174</v>
      </c>
      <c r="E7977" t="s">
        <v>660</v>
      </c>
      <c r="F7977" t="s">
        <v>40</v>
      </c>
      <c r="G7977">
        <v>2030</v>
      </c>
      <c r="H7977" s="12">
        <v>26944</v>
      </c>
      <c r="I7977" t="s">
        <v>3183</v>
      </c>
      <c r="J7977" t="s">
        <v>394</v>
      </c>
      <c r="K7977" t="s">
        <v>657</v>
      </c>
      <c r="L7977" t="s">
        <v>3184</v>
      </c>
      <c r="M7977" t="s">
        <v>16</v>
      </c>
    </row>
    <row r="7978" spans="1:13">
      <c r="A7978" t="s">
        <v>851</v>
      </c>
      <c r="B7978" t="s">
        <v>687</v>
      </c>
      <c r="C7978" t="s">
        <v>687</v>
      </c>
      <c r="D7978" t="s">
        <v>3174</v>
      </c>
      <c r="E7978" t="s">
        <v>660</v>
      </c>
      <c r="F7978" t="s">
        <v>40</v>
      </c>
      <c r="G7978">
        <v>2035</v>
      </c>
      <c r="H7978" s="12">
        <v>20588</v>
      </c>
      <c r="I7978" t="s">
        <v>3183</v>
      </c>
      <c r="J7978" t="s">
        <v>394</v>
      </c>
      <c r="K7978" t="s">
        <v>657</v>
      </c>
      <c r="L7978" t="s">
        <v>3184</v>
      </c>
      <c r="M7978" t="s">
        <v>16</v>
      </c>
    </row>
    <row r="7979" spans="1:13">
      <c r="A7979" t="s">
        <v>851</v>
      </c>
      <c r="B7979" t="s">
        <v>687</v>
      </c>
      <c r="C7979" t="s">
        <v>687</v>
      </c>
      <c r="D7979" t="s">
        <v>3174</v>
      </c>
      <c r="E7979" t="s">
        <v>660</v>
      </c>
      <c r="F7979" t="s">
        <v>40</v>
      </c>
      <c r="G7979">
        <v>2040</v>
      </c>
      <c r="H7979" s="12">
        <v>14951</v>
      </c>
      <c r="I7979" t="s">
        <v>3183</v>
      </c>
      <c r="J7979" t="s">
        <v>394</v>
      </c>
      <c r="K7979" t="s">
        <v>657</v>
      </c>
      <c r="L7979" t="s">
        <v>3184</v>
      </c>
      <c r="M7979" t="s">
        <v>16</v>
      </c>
    </row>
    <row r="7980" spans="1:13">
      <c r="A7980" t="s">
        <v>851</v>
      </c>
      <c r="B7980" t="s">
        <v>687</v>
      </c>
      <c r="C7980" t="s">
        <v>687</v>
      </c>
      <c r="D7980" t="s">
        <v>3174</v>
      </c>
      <c r="E7980" t="s">
        <v>660</v>
      </c>
      <c r="F7980" t="s">
        <v>40</v>
      </c>
      <c r="G7980">
        <v>2045</v>
      </c>
      <c r="H7980" s="12">
        <v>11057</v>
      </c>
      <c r="I7980" t="s">
        <v>3183</v>
      </c>
      <c r="J7980" t="s">
        <v>394</v>
      </c>
      <c r="K7980" t="s">
        <v>657</v>
      </c>
      <c r="L7980" t="s">
        <v>3184</v>
      </c>
      <c r="M7980" t="s">
        <v>16</v>
      </c>
    </row>
    <row r="7981" spans="1:13">
      <c r="A7981" t="s">
        <v>851</v>
      </c>
      <c r="B7981" t="s">
        <v>687</v>
      </c>
      <c r="C7981" t="s">
        <v>687</v>
      </c>
      <c r="D7981" t="s">
        <v>3174</v>
      </c>
      <c r="E7981" t="s">
        <v>660</v>
      </c>
      <c r="F7981" t="s">
        <v>40</v>
      </c>
      <c r="G7981">
        <v>2050</v>
      </c>
      <c r="H7981" s="12">
        <v>8342</v>
      </c>
      <c r="I7981" t="s">
        <v>3183</v>
      </c>
      <c r="J7981" t="s">
        <v>394</v>
      </c>
      <c r="K7981" t="s">
        <v>657</v>
      </c>
      <c r="L7981" t="s">
        <v>3184</v>
      </c>
      <c r="M7981" t="s">
        <v>16</v>
      </c>
    </row>
    <row r="7982" spans="1:13">
      <c r="A7982" t="s">
        <v>851</v>
      </c>
      <c r="B7982" t="s">
        <v>686</v>
      </c>
      <c r="C7982" t="s">
        <v>686</v>
      </c>
      <c r="D7982" t="s">
        <v>3174</v>
      </c>
      <c r="E7982" t="s">
        <v>646</v>
      </c>
      <c r="F7982" t="s">
        <v>40</v>
      </c>
      <c r="G7982">
        <v>2010</v>
      </c>
      <c r="H7982" s="12">
        <v>5017</v>
      </c>
      <c r="I7982" t="s">
        <v>3183</v>
      </c>
      <c r="J7982" t="s">
        <v>394</v>
      </c>
      <c r="K7982" t="s">
        <v>272</v>
      </c>
      <c r="L7982" t="s">
        <v>3184</v>
      </c>
      <c r="M7982" t="s">
        <v>16</v>
      </c>
    </row>
    <row r="7983" spans="1:13">
      <c r="A7983" t="s">
        <v>851</v>
      </c>
      <c r="B7983" t="s">
        <v>686</v>
      </c>
      <c r="C7983" t="s">
        <v>686</v>
      </c>
      <c r="D7983" t="s">
        <v>3174</v>
      </c>
      <c r="E7983" t="s">
        <v>646</v>
      </c>
      <c r="F7983" t="s">
        <v>40</v>
      </c>
      <c r="G7983">
        <v>2015</v>
      </c>
      <c r="H7983" s="12">
        <v>5000</v>
      </c>
      <c r="I7983" t="s">
        <v>3183</v>
      </c>
      <c r="J7983" t="s">
        <v>394</v>
      </c>
      <c r="K7983" t="s">
        <v>272</v>
      </c>
      <c r="L7983" t="s">
        <v>3184</v>
      </c>
      <c r="M7983" t="s">
        <v>16</v>
      </c>
    </row>
    <row r="7984" spans="1:13">
      <c r="A7984" t="s">
        <v>851</v>
      </c>
      <c r="B7984" t="s">
        <v>686</v>
      </c>
      <c r="C7984" t="s">
        <v>686</v>
      </c>
      <c r="D7984" t="s">
        <v>3174</v>
      </c>
      <c r="E7984" t="s">
        <v>646</v>
      </c>
      <c r="F7984" t="s">
        <v>40</v>
      </c>
      <c r="G7984">
        <v>2020</v>
      </c>
      <c r="H7984" s="12">
        <v>5581</v>
      </c>
      <c r="I7984" t="s">
        <v>3183</v>
      </c>
      <c r="J7984" t="s">
        <v>394</v>
      </c>
      <c r="K7984" t="s">
        <v>272</v>
      </c>
      <c r="L7984" t="s">
        <v>3184</v>
      </c>
      <c r="M7984" t="s">
        <v>16</v>
      </c>
    </row>
    <row r="7985" spans="1:13">
      <c r="A7985" t="s">
        <v>851</v>
      </c>
      <c r="B7985" t="s">
        <v>686</v>
      </c>
      <c r="C7985" t="s">
        <v>686</v>
      </c>
      <c r="D7985" t="s">
        <v>3174</v>
      </c>
      <c r="E7985" t="s">
        <v>646</v>
      </c>
      <c r="F7985" t="s">
        <v>40</v>
      </c>
      <c r="G7985">
        <v>2030</v>
      </c>
      <c r="H7985" s="12">
        <v>6816</v>
      </c>
      <c r="I7985" t="s">
        <v>3183</v>
      </c>
      <c r="J7985" t="s">
        <v>394</v>
      </c>
      <c r="K7985" t="s">
        <v>272</v>
      </c>
      <c r="L7985" t="s">
        <v>3184</v>
      </c>
      <c r="M7985" t="s">
        <v>16</v>
      </c>
    </row>
    <row r="7986" spans="1:13">
      <c r="A7986" t="s">
        <v>851</v>
      </c>
      <c r="B7986" t="s">
        <v>686</v>
      </c>
      <c r="C7986" t="s">
        <v>686</v>
      </c>
      <c r="D7986" t="s">
        <v>3174</v>
      </c>
      <c r="E7986" t="s">
        <v>646</v>
      </c>
      <c r="F7986" t="s">
        <v>40</v>
      </c>
      <c r="G7986">
        <v>2035</v>
      </c>
      <c r="H7986" s="12">
        <v>6983</v>
      </c>
      <c r="I7986" t="s">
        <v>3183</v>
      </c>
      <c r="J7986" t="s">
        <v>394</v>
      </c>
      <c r="K7986" t="s">
        <v>272</v>
      </c>
      <c r="L7986" t="s">
        <v>3184</v>
      </c>
      <c r="M7986" t="s">
        <v>16</v>
      </c>
    </row>
    <row r="7987" spans="1:13">
      <c r="A7987" t="s">
        <v>851</v>
      </c>
      <c r="B7987" t="s">
        <v>686</v>
      </c>
      <c r="C7987" t="s">
        <v>686</v>
      </c>
      <c r="D7987" t="s">
        <v>3174</v>
      </c>
      <c r="E7987" t="s">
        <v>646</v>
      </c>
      <c r="F7987" t="s">
        <v>40</v>
      </c>
      <c r="G7987">
        <v>2040</v>
      </c>
      <c r="H7987" s="12">
        <v>7172</v>
      </c>
      <c r="I7987" t="s">
        <v>3183</v>
      </c>
      <c r="J7987" t="s">
        <v>394</v>
      </c>
      <c r="K7987" t="s">
        <v>272</v>
      </c>
      <c r="L7987" t="s">
        <v>3184</v>
      </c>
      <c r="M7987" t="s">
        <v>16</v>
      </c>
    </row>
    <row r="7988" spans="1:13">
      <c r="A7988" t="s">
        <v>851</v>
      </c>
      <c r="B7988" t="s">
        <v>686</v>
      </c>
      <c r="C7988" t="s">
        <v>686</v>
      </c>
      <c r="D7988" t="s">
        <v>3174</v>
      </c>
      <c r="E7988" t="s">
        <v>646</v>
      </c>
      <c r="F7988" t="s">
        <v>40</v>
      </c>
      <c r="G7988">
        <v>2045</v>
      </c>
      <c r="H7988" s="12">
        <v>7305</v>
      </c>
      <c r="I7988" t="s">
        <v>3183</v>
      </c>
      <c r="J7988" t="s">
        <v>394</v>
      </c>
      <c r="K7988" t="s">
        <v>272</v>
      </c>
      <c r="L7988" t="s">
        <v>3184</v>
      </c>
      <c r="M7988" t="s">
        <v>16</v>
      </c>
    </row>
    <row r="7989" spans="1:13">
      <c r="A7989" t="s">
        <v>851</v>
      </c>
      <c r="B7989" t="s">
        <v>686</v>
      </c>
      <c r="C7989" t="s">
        <v>686</v>
      </c>
      <c r="D7989" t="s">
        <v>3174</v>
      </c>
      <c r="E7989" t="s">
        <v>646</v>
      </c>
      <c r="F7989" t="s">
        <v>40</v>
      </c>
      <c r="G7989">
        <v>2050</v>
      </c>
      <c r="H7989" s="12">
        <v>7260</v>
      </c>
      <c r="I7989" t="s">
        <v>3183</v>
      </c>
      <c r="J7989" t="s">
        <v>394</v>
      </c>
      <c r="K7989" t="s">
        <v>272</v>
      </c>
      <c r="L7989" t="s">
        <v>3184</v>
      </c>
      <c r="M7989" t="s">
        <v>16</v>
      </c>
    </row>
    <row r="7990" spans="1:13">
      <c r="A7990" t="s">
        <v>851</v>
      </c>
      <c r="B7990" t="s">
        <v>686</v>
      </c>
      <c r="C7990" t="s">
        <v>686</v>
      </c>
      <c r="D7990" t="s">
        <v>3174</v>
      </c>
      <c r="E7990" t="s">
        <v>573</v>
      </c>
      <c r="F7990" t="s">
        <v>40</v>
      </c>
      <c r="G7990">
        <v>2010</v>
      </c>
      <c r="H7990" s="12">
        <v>9152</v>
      </c>
      <c r="I7990" t="s">
        <v>3183</v>
      </c>
      <c r="J7990" t="s">
        <v>15</v>
      </c>
      <c r="K7990" t="s">
        <v>147</v>
      </c>
      <c r="L7990" t="s">
        <v>3184</v>
      </c>
      <c r="M7990" t="s">
        <v>15</v>
      </c>
    </row>
    <row r="7991" spans="1:13">
      <c r="A7991" t="s">
        <v>851</v>
      </c>
      <c r="B7991" t="s">
        <v>686</v>
      </c>
      <c r="C7991" t="s">
        <v>686</v>
      </c>
      <c r="D7991" t="s">
        <v>3174</v>
      </c>
      <c r="E7991" t="s">
        <v>573</v>
      </c>
      <c r="F7991" t="s">
        <v>40</v>
      </c>
      <c r="G7991">
        <v>2015</v>
      </c>
      <c r="H7991" s="12">
        <v>9058</v>
      </c>
      <c r="I7991" t="s">
        <v>3183</v>
      </c>
      <c r="J7991" t="s">
        <v>15</v>
      </c>
      <c r="K7991" t="s">
        <v>147</v>
      </c>
      <c r="L7991" t="s">
        <v>3184</v>
      </c>
      <c r="M7991" t="s">
        <v>15</v>
      </c>
    </row>
    <row r="7992" spans="1:13">
      <c r="A7992" t="s">
        <v>851</v>
      </c>
      <c r="B7992" t="s">
        <v>686</v>
      </c>
      <c r="C7992" t="s">
        <v>686</v>
      </c>
      <c r="D7992" t="s">
        <v>3174</v>
      </c>
      <c r="E7992" t="s">
        <v>573</v>
      </c>
      <c r="F7992" t="s">
        <v>40</v>
      </c>
      <c r="G7992">
        <v>2020</v>
      </c>
      <c r="H7992" s="12">
        <v>8980</v>
      </c>
      <c r="I7992" t="s">
        <v>3183</v>
      </c>
      <c r="J7992" t="s">
        <v>15</v>
      </c>
      <c r="K7992" t="s">
        <v>147</v>
      </c>
      <c r="L7992" t="s">
        <v>3184</v>
      </c>
      <c r="M7992" t="s">
        <v>15</v>
      </c>
    </row>
    <row r="7993" spans="1:13">
      <c r="A7993" t="s">
        <v>851</v>
      </c>
      <c r="B7993" t="s">
        <v>686</v>
      </c>
      <c r="C7993" t="s">
        <v>686</v>
      </c>
      <c r="D7993" t="s">
        <v>3174</v>
      </c>
      <c r="E7993" t="s">
        <v>573</v>
      </c>
      <c r="F7993" t="s">
        <v>40</v>
      </c>
      <c r="G7993">
        <v>2030</v>
      </c>
      <c r="H7993" s="12">
        <v>8799</v>
      </c>
      <c r="I7993" t="s">
        <v>3183</v>
      </c>
      <c r="J7993" t="s">
        <v>15</v>
      </c>
      <c r="K7993" t="s">
        <v>147</v>
      </c>
      <c r="L7993" t="s">
        <v>3184</v>
      </c>
      <c r="M7993" t="s">
        <v>15</v>
      </c>
    </row>
    <row r="7994" spans="1:13">
      <c r="A7994" t="s">
        <v>851</v>
      </c>
      <c r="B7994" t="s">
        <v>686</v>
      </c>
      <c r="C7994" t="s">
        <v>686</v>
      </c>
      <c r="D7994" t="s">
        <v>3174</v>
      </c>
      <c r="E7994" t="s">
        <v>573</v>
      </c>
      <c r="F7994" t="s">
        <v>40</v>
      </c>
      <c r="G7994">
        <v>2035</v>
      </c>
      <c r="H7994" s="12">
        <v>8419</v>
      </c>
      <c r="I7994" t="s">
        <v>3183</v>
      </c>
      <c r="J7994" t="s">
        <v>15</v>
      </c>
      <c r="K7994" t="s">
        <v>147</v>
      </c>
      <c r="L7994" t="s">
        <v>3184</v>
      </c>
      <c r="M7994" t="s">
        <v>15</v>
      </c>
    </row>
    <row r="7995" spans="1:13">
      <c r="A7995" t="s">
        <v>851</v>
      </c>
      <c r="B7995" t="s">
        <v>686</v>
      </c>
      <c r="C7995" t="s">
        <v>686</v>
      </c>
      <c r="D7995" t="s">
        <v>3174</v>
      </c>
      <c r="E7995" t="s">
        <v>573</v>
      </c>
      <c r="F7995" t="s">
        <v>40</v>
      </c>
      <c r="G7995">
        <v>2040</v>
      </c>
      <c r="H7995" s="12">
        <v>8425</v>
      </c>
      <c r="I7995" t="s">
        <v>3183</v>
      </c>
      <c r="J7995" t="s">
        <v>15</v>
      </c>
      <c r="K7995" t="s">
        <v>147</v>
      </c>
      <c r="L7995" t="s">
        <v>3184</v>
      </c>
      <c r="M7995" t="s">
        <v>15</v>
      </c>
    </row>
    <row r="7996" spans="1:13">
      <c r="A7996" t="s">
        <v>851</v>
      </c>
      <c r="B7996" t="s">
        <v>686</v>
      </c>
      <c r="C7996" t="s">
        <v>686</v>
      </c>
      <c r="D7996" t="s">
        <v>3174</v>
      </c>
      <c r="E7996" t="s">
        <v>573</v>
      </c>
      <c r="F7996" t="s">
        <v>40</v>
      </c>
      <c r="G7996">
        <v>2045</v>
      </c>
      <c r="H7996" s="12">
        <v>8082</v>
      </c>
      <c r="I7996" t="s">
        <v>3183</v>
      </c>
      <c r="J7996" t="s">
        <v>15</v>
      </c>
      <c r="K7996" t="s">
        <v>147</v>
      </c>
      <c r="L7996" t="s">
        <v>3184</v>
      </c>
      <c r="M7996" t="s">
        <v>15</v>
      </c>
    </row>
    <row r="7997" spans="1:13">
      <c r="A7997" t="s">
        <v>851</v>
      </c>
      <c r="B7997" t="s">
        <v>686</v>
      </c>
      <c r="C7997" t="s">
        <v>686</v>
      </c>
      <c r="D7997" t="s">
        <v>3174</v>
      </c>
      <c r="E7997" t="s">
        <v>573</v>
      </c>
      <c r="F7997" t="s">
        <v>40</v>
      </c>
      <c r="G7997">
        <v>2050</v>
      </c>
      <c r="H7997" s="12">
        <v>8234</v>
      </c>
      <c r="I7997" t="s">
        <v>3183</v>
      </c>
      <c r="J7997" t="s">
        <v>15</v>
      </c>
      <c r="K7997" t="s">
        <v>147</v>
      </c>
      <c r="L7997" t="s">
        <v>3184</v>
      </c>
      <c r="M7997" t="s">
        <v>15</v>
      </c>
    </row>
    <row r="7998" spans="1:13">
      <c r="A7998" t="s">
        <v>851</v>
      </c>
      <c r="B7998" t="s">
        <v>687</v>
      </c>
      <c r="C7998" t="s">
        <v>687</v>
      </c>
      <c r="D7998" t="s">
        <v>3174</v>
      </c>
      <c r="E7998" t="s">
        <v>573</v>
      </c>
      <c r="F7998" t="s">
        <v>40</v>
      </c>
      <c r="G7998">
        <v>2030</v>
      </c>
      <c r="H7998" s="12">
        <v>9007</v>
      </c>
      <c r="I7998" t="s">
        <v>3183</v>
      </c>
      <c r="J7998" t="s">
        <v>15</v>
      </c>
      <c r="K7998" t="s">
        <v>147</v>
      </c>
      <c r="L7998" t="s">
        <v>3184</v>
      </c>
      <c r="M7998" t="s">
        <v>15</v>
      </c>
    </row>
    <row r="7999" spans="1:13">
      <c r="A7999" t="s">
        <v>851</v>
      </c>
      <c r="B7999" t="s">
        <v>687</v>
      </c>
      <c r="C7999" t="s">
        <v>687</v>
      </c>
      <c r="D7999" t="s">
        <v>3174</v>
      </c>
      <c r="E7999" t="s">
        <v>573</v>
      </c>
      <c r="F7999" t="s">
        <v>40</v>
      </c>
      <c r="G7999">
        <v>2035</v>
      </c>
      <c r="H7999" s="12">
        <v>8734</v>
      </c>
      <c r="I7999" t="s">
        <v>3183</v>
      </c>
      <c r="J7999" t="s">
        <v>15</v>
      </c>
      <c r="K7999" t="s">
        <v>147</v>
      </c>
      <c r="L7999" t="s">
        <v>3184</v>
      </c>
      <c r="M7999" t="s">
        <v>15</v>
      </c>
    </row>
    <row r="8000" spans="1:13">
      <c r="A8000" t="s">
        <v>851</v>
      </c>
      <c r="B8000" t="s">
        <v>687</v>
      </c>
      <c r="C8000" t="s">
        <v>687</v>
      </c>
      <c r="D8000" t="s">
        <v>3174</v>
      </c>
      <c r="E8000" t="s">
        <v>573</v>
      </c>
      <c r="F8000" t="s">
        <v>40</v>
      </c>
      <c r="G8000">
        <v>2040</v>
      </c>
      <c r="H8000" s="12">
        <v>9148</v>
      </c>
      <c r="I8000" t="s">
        <v>3183</v>
      </c>
      <c r="J8000" t="s">
        <v>15</v>
      </c>
      <c r="K8000" t="s">
        <v>147</v>
      </c>
      <c r="L8000" t="s">
        <v>3184</v>
      </c>
      <c r="M8000" t="s">
        <v>15</v>
      </c>
    </row>
    <row r="8001" spans="1:13">
      <c r="A8001" t="s">
        <v>851</v>
      </c>
      <c r="B8001" t="s">
        <v>687</v>
      </c>
      <c r="C8001" t="s">
        <v>687</v>
      </c>
      <c r="D8001" t="s">
        <v>3174</v>
      </c>
      <c r="E8001" t="s">
        <v>573</v>
      </c>
      <c r="F8001" t="s">
        <v>40</v>
      </c>
      <c r="G8001">
        <v>2045</v>
      </c>
      <c r="H8001" s="12">
        <v>9362</v>
      </c>
      <c r="I8001" t="s">
        <v>3183</v>
      </c>
      <c r="J8001" t="s">
        <v>15</v>
      </c>
      <c r="K8001" t="s">
        <v>147</v>
      </c>
      <c r="L8001" t="s">
        <v>3184</v>
      </c>
      <c r="M8001" t="s">
        <v>15</v>
      </c>
    </row>
    <row r="8002" spans="1:13">
      <c r="A8002" t="s">
        <v>851</v>
      </c>
      <c r="B8002" t="s">
        <v>687</v>
      </c>
      <c r="C8002" t="s">
        <v>687</v>
      </c>
      <c r="D8002" t="s">
        <v>3174</v>
      </c>
      <c r="E8002" t="s">
        <v>573</v>
      </c>
      <c r="F8002" t="s">
        <v>40</v>
      </c>
      <c r="G8002">
        <v>2050</v>
      </c>
      <c r="H8002" s="12">
        <v>9971</v>
      </c>
      <c r="I8002" t="s">
        <v>3183</v>
      </c>
      <c r="J8002" t="s">
        <v>15</v>
      </c>
      <c r="K8002" t="s">
        <v>147</v>
      </c>
      <c r="L8002" t="s">
        <v>3184</v>
      </c>
      <c r="M8002" t="s">
        <v>15</v>
      </c>
    </row>
    <row r="8003" spans="1:13">
      <c r="A8003" t="s">
        <v>851</v>
      </c>
      <c r="B8003" t="s">
        <v>686</v>
      </c>
      <c r="C8003" t="s">
        <v>686</v>
      </c>
      <c r="D8003" t="s">
        <v>3174</v>
      </c>
      <c r="E8003" t="s">
        <v>573</v>
      </c>
      <c r="F8003" t="s">
        <v>40</v>
      </c>
      <c r="G8003">
        <v>2010</v>
      </c>
      <c r="H8003" s="12">
        <v>7748</v>
      </c>
      <c r="I8003" t="s">
        <v>3183</v>
      </c>
      <c r="J8003" t="s">
        <v>6</v>
      </c>
      <c r="K8003" t="s">
        <v>147</v>
      </c>
      <c r="L8003" t="s">
        <v>3184</v>
      </c>
      <c r="M8003" t="s">
        <v>659</v>
      </c>
    </row>
    <row r="8004" spans="1:13">
      <c r="A8004" t="s">
        <v>851</v>
      </c>
      <c r="B8004" t="s">
        <v>686</v>
      </c>
      <c r="C8004" t="s">
        <v>686</v>
      </c>
      <c r="D8004" t="s">
        <v>3174</v>
      </c>
      <c r="E8004" t="s">
        <v>573</v>
      </c>
      <c r="F8004" t="s">
        <v>40</v>
      </c>
      <c r="G8004">
        <v>2015</v>
      </c>
      <c r="H8004" s="12">
        <v>10120</v>
      </c>
      <c r="I8004" t="s">
        <v>3183</v>
      </c>
      <c r="J8004" t="s">
        <v>6</v>
      </c>
      <c r="K8004" t="s">
        <v>147</v>
      </c>
      <c r="L8004" t="s">
        <v>3184</v>
      </c>
      <c r="M8004" t="s">
        <v>659</v>
      </c>
    </row>
    <row r="8005" spans="1:13">
      <c r="A8005" t="s">
        <v>851</v>
      </c>
      <c r="B8005" t="s">
        <v>686</v>
      </c>
      <c r="C8005" t="s">
        <v>686</v>
      </c>
      <c r="D8005" t="s">
        <v>3174</v>
      </c>
      <c r="E8005" t="s">
        <v>573</v>
      </c>
      <c r="F8005" t="s">
        <v>40</v>
      </c>
      <c r="G8005">
        <v>2020</v>
      </c>
      <c r="H8005" s="12">
        <v>12098</v>
      </c>
      <c r="I8005" t="s">
        <v>3183</v>
      </c>
      <c r="J8005" t="s">
        <v>6</v>
      </c>
      <c r="K8005" t="s">
        <v>147</v>
      </c>
      <c r="L8005" t="s">
        <v>3184</v>
      </c>
      <c r="M8005" t="s">
        <v>659</v>
      </c>
    </row>
    <row r="8006" spans="1:13">
      <c r="A8006" t="s">
        <v>851</v>
      </c>
      <c r="B8006" t="s">
        <v>686</v>
      </c>
      <c r="C8006" t="s">
        <v>686</v>
      </c>
      <c r="D8006" t="s">
        <v>3174</v>
      </c>
      <c r="E8006" t="s">
        <v>573</v>
      </c>
      <c r="F8006" t="s">
        <v>40</v>
      </c>
      <c r="G8006">
        <v>2030</v>
      </c>
      <c r="H8006" s="12">
        <v>10847</v>
      </c>
      <c r="I8006" t="s">
        <v>3183</v>
      </c>
      <c r="J8006" t="s">
        <v>6</v>
      </c>
      <c r="K8006" t="s">
        <v>147</v>
      </c>
      <c r="L8006" t="s">
        <v>3184</v>
      </c>
      <c r="M8006" t="s">
        <v>659</v>
      </c>
    </row>
    <row r="8007" spans="1:13">
      <c r="A8007" t="s">
        <v>851</v>
      </c>
      <c r="B8007" t="s">
        <v>686</v>
      </c>
      <c r="C8007" t="s">
        <v>686</v>
      </c>
      <c r="D8007" t="s">
        <v>3174</v>
      </c>
      <c r="E8007" t="s">
        <v>573</v>
      </c>
      <c r="F8007" t="s">
        <v>40</v>
      </c>
      <c r="G8007">
        <v>2035</v>
      </c>
      <c r="H8007" s="12">
        <v>7712</v>
      </c>
      <c r="I8007" t="s">
        <v>3183</v>
      </c>
      <c r="J8007" t="s">
        <v>6</v>
      </c>
      <c r="K8007" t="s">
        <v>147</v>
      </c>
      <c r="L8007" t="s">
        <v>3184</v>
      </c>
      <c r="M8007" t="s">
        <v>659</v>
      </c>
    </row>
    <row r="8008" spans="1:13">
      <c r="A8008" t="s">
        <v>851</v>
      </c>
      <c r="B8008" t="s">
        <v>686</v>
      </c>
      <c r="C8008" t="s">
        <v>686</v>
      </c>
      <c r="D8008" t="s">
        <v>3174</v>
      </c>
      <c r="E8008" t="s">
        <v>573</v>
      </c>
      <c r="F8008" t="s">
        <v>40</v>
      </c>
      <c r="G8008">
        <v>2040</v>
      </c>
      <c r="H8008" s="12">
        <v>6267</v>
      </c>
      <c r="I8008" t="s">
        <v>3183</v>
      </c>
      <c r="J8008" t="s">
        <v>6</v>
      </c>
      <c r="K8008" t="s">
        <v>147</v>
      </c>
      <c r="L8008" t="s">
        <v>3184</v>
      </c>
      <c r="M8008" t="s">
        <v>659</v>
      </c>
    </row>
    <row r="8009" spans="1:13">
      <c r="A8009" t="s">
        <v>851</v>
      </c>
      <c r="B8009" t="s">
        <v>686</v>
      </c>
      <c r="C8009" t="s">
        <v>686</v>
      </c>
      <c r="D8009" t="s">
        <v>3174</v>
      </c>
      <c r="E8009" t="s">
        <v>573</v>
      </c>
      <c r="F8009" t="s">
        <v>40</v>
      </c>
      <c r="G8009">
        <v>2045</v>
      </c>
      <c r="H8009" s="12">
        <v>5145</v>
      </c>
      <c r="I8009" t="s">
        <v>3183</v>
      </c>
      <c r="J8009" t="s">
        <v>6</v>
      </c>
      <c r="K8009" t="s">
        <v>147</v>
      </c>
      <c r="L8009" t="s">
        <v>3184</v>
      </c>
      <c r="M8009" t="s">
        <v>659</v>
      </c>
    </row>
    <row r="8010" spans="1:13">
      <c r="A8010" t="s">
        <v>851</v>
      </c>
      <c r="B8010" t="s">
        <v>686</v>
      </c>
      <c r="C8010" t="s">
        <v>686</v>
      </c>
      <c r="D8010" t="s">
        <v>3174</v>
      </c>
      <c r="E8010" t="s">
        <v>573</v>
      </c>
      <c r="F8010" t="s">
        <v>40</v>
      </c>
      <c r="G8010">
        <v>2050</v>
      </c>
      <c r="H8010" s="12">
        <v>4324</v>
      </c>
      <c r="I8010" t="s">
        <v>3183</v>
      </c>
      <c r="J8010" t="s">
        <v>6</v>
      </c>
      <c r="K8010" t="s">
        <v>147</v>
      </c>
      <c r="L8010" t="s">
        <v>3184</v>
      </c>
      <c r="M8010" t="s">
        <v>659</v>
      </c>
    </row>
    <row r="8011" spans="1:13">
      <c r="A8011" t="s">
        <v>851</v>
      </c>
      <c r="B8011" t="s">
        <v>687</v>
      </c>
      <c r="C8011" t="s">
        <v>687</v>
      </c>
      <c r="D8011" t="s">
        <v>3174</v>
      </c>
      <c r="E8011" t="s">
        <v>573</v>
      </c>
      <c r="F8011" t="s">
        <v>40</v>
      </c>
      <c r="G8011">
        <v>2030</v>
      </c>
      <c r="H8011" s="12">
        <v>8507</v>
      </c>
      <c r="I8011" t="s">
        <v>3183</v>
      </c>
      <c r="J8011" t="s">
        <v>6</v>
      </c>
      <c r="K8011" t="s">
        <v>147</v>
      </c>
      <c r="L8011" t="s">
        <v>3184</v>
      </c>
      <c r="M8011" t="s">
        <v>659</v>
      </c>
    </row>
    <row r="8012" spans="1:13">
      <c r="A8012" t="s">
        <v>851</v>
      </c>
      <c r="B8012" t="s">
        <v>687</v>
      </c>
      <c r="C8012" t="s">
        <v>687</v>
      </c>
      <c r="D8012" t="s">
        <v>3174</v>
      </c>
      <c r="E8012" t="s">
        <v>573</v>
      </c>
      <c r="F8012" t="s">
        <v>40</v>
      </c>
      <c r="G8012">
        <v>2035</v>
      </c>
      <c r="H8012" s="12">
        <v>3920</v>
      </c>
      <c r="I8012" t="s">
        <v>3183</v>
      </c>
      <c r="J8012" t="s">
        <v>6</v>
      </c>
      <c r="K8012" t="s">
        <v>147</v>
      </c>
      <c r="L8012" t="s">
        <v>3184</v>
      </c>
      <c r="M8012" t="s">
        <v>659</v>
      </c>
    </row>
    <row r="8013" spans="1:13">
      <c r="A8013" t="s">
        <v>851</v>
      </c>
      <c r="B8013" t="s">
        <v>687</v>
      </c>
      <c r="C8013" t="s">
        <v>687</v>
      </c>
      <c r="D8013" t="s">
        <v>3174</v>
      </c>
      <c r="E8013" t="s">
        <v>573</v>
      </c>
      <c r="F8013" t="s">
        <v>40</v>
      </c>
      <c r="G8013">
        <v>2040</v>
      </c>
      <c r="H8013" s="12">
        <v>2653</v>
      </c>
      <c r="I8013" t="s">
        <v>3183</v>
      </c>
      <c r="J8013" t="s">
        <v>6</v>
      </c>
      <c r="K8013" t="s">
        <v>147</v>
      </c>
      <c r="L8013" t="s">
        <v>3184</v>
      </c>
      <c r="M8013" t="s">
        <v>659</v>
      </c>
    </row>
    <row r="8014" spans="1:13">
      <c r="A8014" t="s">
        <v>851</v>
      </c>
      <c r="B8014" t="s">
        <v>687</v>
      </c>
      <c r="C8014" t="s">
        <v>687</v>
      </c>
      <c r="D8014" t="s">
        <v>3174</v>
      </c>
      <c r="E8014" t="s">
        <v>573</v>
      </c>
      <c r="F8014" t="s">
        <v>40</v>
      </c>
      <c r="G8014">
        <v>2045</v>
      </c>
      <c r="H8014" s="12">
        <v>2370</v>
      </c>
      <c r="I8014" t="s">
        <v>3183</v>
      </c>
      <c r="J8014" t="s">
        <v>6</v>
      </c>
      <c r="K8014" t="s">
        <v>147</v>
      </c>
      <c r="L8014" t="s">
        <v>3184</v>
      </c>
      <c r="M8014" t="s">
        <v>659</v>
      </c>
    </row>
    <row r="8015" spans="1:13">
      <c r="A8015" t="s">
        <v>851</v>
      </c>
      <c r="B8015" t="s">
        <v>687</v>
      </c>
      <c r="C8015" t="s">
        <v>687</v>
      </c>
      <c r="D8015" t="s">
        <v>3174</v>
      </c>
      <c r="E8015" t="s">
        <v>573</v>
      </c>
      <c r="F8015" t="s">
        <v>40</v>
      </c>
      <c r="G8015">
        <v>2050</v>
      </c>
      <c r="H8015" s="12">
        <v>2023</v>
      </c>
      <c r="I8015" t="s">
        <v>3183</v>
      </c>
      <c r="J8015" t="s">
        <v>6</v>
      </c>
      <c r="K8015" t="s">
        <v>147</v>
      </c>
      <c r="L8015" t="s">
        <v>3184</v>
      </c>
      <c r="M8015" t="s">
        <v>659</v>
      </c>
    </row>
    <row r="8016" spans="1:13">
      <c r="A8016" t="s">
        <v>851</v>
      </c>
      <c r="B8016" t="s">
        <v>686</v>
      </c>
      <c r="C8016" t="s">
        <v>686</v>
      </c>
      <c r="D8016" t="s">
        <v>3174</v>
      </c>
      <c r="E8016" t="s">
        <v>573</v>
      </c>
      <c r="F8016" t="s">
        <v>40</v>
      </c>
      <c r="G8016">
        <v>2010</v>
      </c>
      <c r="H8016" s="12">
        <v>454</v>
      </c>
      <c r="I8016" t="s">
        <v>3183</v>
      </c>
      <c r="J8016" t="s">
        <v>394</v>
      </c>
      <c r="K8016" t="s">
        <v>147</v>
      </c>
      <c r="L8016" t="s">
        <v>3184</v>
      </c>
      <c r="M8016" t="s">
        <v>16</v>
      </c>
    </row>
    <row r="8017" spans="1:13">
      <c r="A8017" t="s">
        <v>851</v>
      </c>
      <c r="B8017" t="s">
        <v>686</v>
      </c>
      <c r="C8017" t="s">
        <v>686</v>
      </c>
      <c r="D8017" t="s">
        <v>3174</v>
      </c>
      <c r="E8017" t="s">
        <v>573</v>
      </c>
      <c r="F8017" t="s">
        <v>40</v>
      </c>
      <c r="G8017">
        <v>2015</v>
      </c>
      <c r="H8017" s="12">
        <v>372</v>
      </c>
      <c r="I8017" t="s">
        <v>3183</v>
      </c>
      <c r="J8017" t="s">
        <v>394</v>
      </c>
      <c r="K8017" t="s">
        <v>147</v>
      </c>
      <c r="L8017" t="s">
        <v>3184</v>
      </c>
      <c r="M8017" t="s">
        <v>16</v>
      </c>
    </row>
    <row r="8018" spans="1:13">
      <c r="A8018" t="s">
        <v>851</v>
      </c>
      <c r="B8018" t="s">
        <v>686</v>
      </c>
      <c r="C8018" t="s">
        <v>686</v>
      </c>
      <c r="D8018" t="s">
        <v>3174</v>
      </c>
      <c r="E8018" t="s">
        <v>573</v>
      </c>
      <c r="F8018" t="s">
        <v>40</v>
      </c>
      <c r="G8018">
        <v>2020</v>
      </c>
      <c r="H8018" s="12">
        <v>358</v>
      </c>
      <c r="I8018" t="s">
        <v>3183</v>
      </c>
      <c r="J8018" t="s">
        <v>394</v>
      </c>
      <c r="K8018" t="s">
        <v>147</v>
      </c>
      <c r="L8018" t="s">
        <v>3184</v>
      </c>
      <c r="M8018" t="s">
        <v>16</v>
      </c>
    </row>
    <row r="8019" spans="1:13">
      <c r="A8019" t="s">
        <v>851</v>
      </c>
      <c r="B8019" t="s">
        <v>686</v>
      </c>
      <c r="C8019" t="s">
        <v>686</v>
      </c>
      <c r="D8019" t="s">
        <v>3174</v>
      </c>
      <c r="E8019" t="s">
        <v>573</v>
      </c>
      <c r="F8019" t="s">
        <v>40</v>
      </c>
      <c r="G8019">
        <v>2030</v>
      </c>
      <c r="H8019" s="12">
        <v>151</v>
      </c>
      <c r="I8019" t="s">
        <v>3183</v>
      </c>
      <c r="J8019" t="s">
        <v>394</v>
      </c>
      <c r="K8019" t="s">
        <v>147</v>
      </c>
      <c r="L8019" t="s">
        <v>3184</v>
      </c>
      <c r="M8019" t="s">
        <v>16</v>
      </c>
    </row>
    <row r="8020" spans="1:13">
      <c r="A8020" t="s">
        <v>851</v>
      </c>
      <c r="B8020" t="s">
        <v>686</v>
      </c>
      <c r="C8020" t="s">
        <v>686</v>
      </c>
      <c r="D8020" t="s">
        <v>3174</v>
      </c>
      <c r="E8020" t="s">
        <v>573</v>
      </c>
      <c r="F8020" t="s">
        <v>40</v>
      </c>
      <c r="G8020">
        <v>2035</v>
      </c>
      <c r="H8020" s="12">
        <v>106</v>
      </c>
      <c r="I8020" t="s">
        <v>3183</v>
      </c>
      <c r="J8020" t="s">
        <v>394</v>
      </c>
      <c r="K8020" t="s">
        <v>147</v>
      </c>
      <c r="L8020" t="s">
        <v>3184</v>
      </c>
      <c r="M8020" t="s">
        <v>16</v>
      </c>
    </row>
    <row r="8021" spans="1:13">
      <c r="A8021" t="s">
        <v>851</v>
      </c>
      <c r="B8021" t="s">
        <v>687</v>
      </c>
      <c r="C8021" t="s">
        <v>687</v>
      </c>
      <c r="D8021" t="s">
        <v>3174</v>
      </c>
      <c r="E8021" t="s">
        <v>660</v>
      </c>
      <c r="F8021" t="s">
        <v>40</v>
      </c>
      <c r="G8021">
        <v>2040</v>
      </c>
      <c r="H8021" s="12">
        <v>9161</v>
      </c>
      <c r="I8021" t="s">
        <v>3183</v>
      </c>
      <c r="J8021" t="s">
        <v>18</v>
      </c>
      <c r="K8021" t="s">
        <v>657</v>
      </c>
      <c r="L8021" t="s">
        <v>3184</v>
      </c>
      <c r="M8021" t="s">
        <v>18</v>
      </c>
    </row>
    <row r="8022" spans="1:13">
      <c r="A8022" t="s">
        <v>851</v>
      </c>
      <c r="B8022" t="s">
        <v>687</v>
      </c>
      <c r="C8022" t="s">
        <v>687</v>
      </c>
      <c r="D8022" t="s">
        <v>3174</v>
      </c>
      <c r="E8022" t="s">
        <v>660</v>
      </c>
      <c r="F8022" t="s">
        <v>40</v>
      </c>
      <c r="G8022">
        <v>2045</v>
      </c>
      <c r="H8022" s="12">
        <v>9737</v>
      </c>
      <c r="I8022" t="s">
        <v>3183</v>
      </c>
      <c r="J8022" t="s">
        <v>18</v>
      </c>
      <c r="K8022" t="s">
        <v>657</v>
      </c>
      <c r="L8022" t="s">
        <v>3184</v>
      </c>
      <c r="M8022" t="s">
        <v>18</v>
      </c>
    </row>
    <row r="8023" spans="1:13">
      <c r="A8023" t="s">
        <v>851</v>
      </c>
      <c r="B8023" t="s">
        <v>687</v>
      </c>
      <c r="C8023" t="s">
        <v>687</v>
      </c>
      <c r="D8023" t="s">
        <v>3174</v>
      </c>
      <c r="E8023" t="s">
        <v>660</v>
      </c>
      <c r="F8023" t="s">
        <v>40</v>
      </c>
      <c r="G8023">
        <v>2050</v>
      </c>
      <c r="H8023" s="12">
        <v>10082</v>
      </c>
      <c r="I8023" t="s">
        <v>3183</v>
      </c>
      <c r="J8023" t="s">
        <v>18</v>
      </c>
      <c r="K8023" t="s">
        <v>657</v>
      </c>
      <c r="L8023" t="s">
        <v>3184</v>
      </c>
      <c r="M8023" t="s">
        <v>18</v>
      </c>
    </row>
    <row r="8024" spans="1:13">
      <c r="A8024" t="s">
        <v>851</v>
      </c>
      <c r="B8024" t="s">
        <v>686</v>
      </c>
      <c r="C8024" t="s">
        <v>686</v>
      </c>
      <c r="D8024" t="s">
        <v>3174</v>
      </c>
      <c r="E8024" t="s">
        <v>660</v>
      </c>
      <c r="F8024" t="s">
        <v>40</v>
      </c>
      <c r="G8024">
        <v>2010</v>
      </c>
      <c r="H8024" s="12">
        <v>944</v>
      </c>
      <c r="I8024" t="s">
        <v>3183</v>
      </c>
      <c r="J8024" t="s">
        <v>14</v>
      </c>
      <c r="K8024" t="s">
        <v>657</v>
      </c>
      <c r="L8024" t="s">
        <v>3184</v>
      </c>
      <c r="M8024" t="s">
        <v>14</v>
      </c>
    </row>
    <row r="8025" spans="1:13">
      <c r="A8025" t="s">
        <v>851</v>
      </c>
      <c r="B8025" t="s">
        <v>686</v>
      </c>
      <c r="C8025" t="s">
        <v>686</v>
      </c>
      <c r="D8025" t="s">
        <v>3174</v>
      </c>
      <c r="E8025" t="s">
        <v>660</v>
      </c>
      <c r="F8025" t="s">
        <v>40</v>
      </c>
      <c r="G8025">
        <v>2015</v>
      </c>
      <c r="H8025" s="12">
        <v>904</v>
      </c>
      <c r="I8025" t="s">
        <v>3183</v>
      </c>
      <c r="J8025" t="s">
        <v>14</v>
      </c>
      <c r="K8025" t="s">
        <v>657</v>
      </c>
      <c r="L8025" t="s">
        <v>3184</v>
      </c>
      <c r="M8025" t="s">
        <v>14</v>
      </c>
    </row>
    <row r="8026" spans="1:13">
      <c r="A8026" t="s">
        <v>851</v>
      </c>
      <c r="B8026" t="s">
        <v>686</v>
      </c>
      <c r="C8026" t="s">
        <v>686</v>
      </c>
      <c r="D8026" t="s">
        <v>3174</v>
      </c>
      <c r="E8026" t="s">
        <v>660</v>
      </c>
      <c r="F8026" t="s">
        <v>40</v>
      </c>
      <c r="G8026">
        <v>2020</v>
      </c>
      <c r="H8026" s="12">
        <v>1034</v>
      </c>
      <c r="I8026" t="s">
        <v>3183</v>
      </c>
      <c r="J8026" t="s">
        <v>14</v>
      </c>
      <c r="K8026" t="s">
        <v>657</v>
      </c>
      <c r="L8026" t="s">
        <v>3184</v>
      </c>
      <c r="M8026" t="s">
        <v>14</v>
      </c>
    </row>
    <row r="8027" spans="1:13">
      <c r="A8027" t="s">
        <v>851</v>
      </c>
      <c r="B8027" t="s">
        <v>686</v>
      </c>
      <c r="C8027" t="s">
        <v>686</v>
      </c>
      <c r="D8027" t="s">
        <v>3174</v>
      </c>
      <c r="E8027" t="s">
        <v>660</v>
      </c>
      <c r="F8027" t="s">
        <v>40</v>
      </c>
      <c r="G8027">
        <v>2030</v>
      </c>
      <c r="H8027" s="12">
        <v>1125</v>
      </c>
      <c r="I8027" t="s">
        <v>3183</v>
      </c>
      <c r="J8027" t="s">
        <v>14</v>
      </c>
      <c r="K8027" t="s">
        <v>657</v>
      </c>
      <c r="L8027" t="s">
        <v>3184</v>
      </c>
      <c r="M8027" t="s">
        <v>14</v>
      </c>
    </row>
    <row r="8028" spans="1:13">
      <c r="A8028" t="s">
        <v>851</v>
      </c>
      <c r="B8028" t="s">
        <v>686</v>
      </c>
      <c r="C8028" t="s">
        <v>686</v>
      </c>
      <c r="D8028" t="s">
        <v>3174</v>
      </c>
      <c r="E8028" t="s">
        <v>660</v>
      </c>
      <c r="F8028" t="s">
        <v>40</v>
      </c>
      <c r="G8028">
        <v>2035</v>
      </c>
      <c r="H8028" s="12">
        <v>1161</v>
      </c>
      <c r="I8028" t="s">
        <v>3183</v>
      </c>
      <c r="J8028" t="s">
        <v>14</v>
      </c>
      <c r="K8028" t="s">
        <v>657</v>
      </c>
      <c r="L8028" t="s">
        <v>3184</v>
      </c>
      <c r="M8028" t="s">
        <v>14</v>
      </c>
    </row>
    <row r="8029" spans="1:13">
      <c r="A8029" t="s">
        <v>851</v>
      </c>
      <c r="B8029" t="s">
        <v>686</v>
      </c>
      <c r="C8029" t="s">
        <v>686</v>
      </c>
      <c r="D8029" t="s">
        <v>3174</v>
      </c>
      <c r="E8029" t="s">
        <v>660</v>
      </c>
      <c r="F8029" t="s">
        <v>40</v>
      </c>
      <c r="G8029">
        <v>2040</v>
      </c>
      <c r="H8029" s="12">
        <v>1201</v>
      </c>
      <c r="I8029" t="s">
        <v>3183</v>
      </c>
      <c r="J8029" t="s">
        <v>14</v>
      </c>
      <c r="K8029" t="s">
        <v>657</v>
      </c>
      <c r="L8029" t="s">
        <v>3184</v>
      </c>
      <c r="M8029" t="s">
        <v>14</v>
      </c>
    </row>
    <row r="8030" spans="1:13">
      <c r="A8030" t="s">
        <v>851</v>
      </c>
      <c r="B8030" t="s">
        <v>686</v>
      </c>
      <c r="C8030" t="s">
        <v>686</v>
      </c>
      <c r="D8030" t="s">
        <v>3174</v>
      </c>
      <c r="E8030" t="s">
        <v>660</v>
      </c>
      <c r="F8030" t="s">
        <v>40</v>
      </c>
      <c r="G8030">
        <v>2045</v>
      </c>
      <c r="H8030" s="12">
        <v>1263</v>
      </c>
      <c r="I8030" t="s">
        <v>3183</v>
      </c>
      <c r="J8030" t="s">
        <v>14</v>
      </c>
      <c r="K8030" t="s">
        <v>657</v>
      </c>
      <c r="L8030" t="s">
        <v>3184</v>
      </c>
      <c r="M8030" t="s">
        <v>14</v>
      </c>
    </row>
    <row r="8031" spans="1:13">
      <c r="A8031" t="s">
        <v>851</v>
      </c>
      <c r="B8031" t="s">
        <v>686</v>
      </c>
      <c r="C8031" t="s">
        <v>686</v>
      </c>
      <c r="D8031" t="s">
        <v>3174</v>
      </c>
      <c r="E8031" t="s">
        <v>660</v>
      </c>
      <c r="F8031" t="s">
        <v>40</v>
      </c>
      <c r="G8031">
        <v>2050</v>
      </c>
      <c r="H8031" s="12">
        <v>1325</v>
      </c>
      <c r="I8031" t="s">
        <v>3183</v>
      </c>
      <c r="J8031" t="s">
        <v>14</v>
      </c>
      <c r="K8031" t="s">
        <v>657</v>
      </c>
      <c r="L8031" t="s">
        <v>3184</v>
      </c>
      <c r="M8031" t="s">
        <v>14</v>
      </c>
    </row>
    <row r="8032" spans="1:13">
      <c r="A8032" t="s">
        <v>851</v>
      </c>
      <c r="B8032" t="s">
        <v>687</v>
      </c>
      <c r="C8032" t="s">
        <v>687</v>
      </c>
      <c r="D8032" t="s">
        <v>3174</v>
      </c>
      <c r="E8032" t="s">
        <v>660</v>
      </c>
      <c r="F8032" t="s">
        <v>40</v>
      </c>
      <c r="G8032">
        <v>2030</v>
      </c>
      <c r="H8032" s="12">
        <v>1143</v>
      </c>
      <c r="I8032" t="s">
        <v>3183</v>
      </c>
      <c r="J8032" t="s">
        <v>14</v>
      </c>
      <c r="K8032" t="s">
        <v>657</v>
      </c>
      <c r="L8032" t="s">
        <v>3184</v>
      </c>
      <c r="M8032" t="s">
        <v>14</v>
      </c>
    </row>
    <row r="8033" spans="1:13">
      <c r="A8033" t="s">
        <v>851</v>
      </c>
      <c r="B8033" t="s">
        <v>687</v>
      </c>
      <c r="C8033" t="s">
        <v>687</v>
      </c>
      <c r="D8033" t="s">
        <v>3174</v>
      </c>
      <c r="E8033" t="s">
        <v>660</v>
      </c>
      <c r="F8033" t="s">
        <v>40</v>
      </c>
      <c r="G8033">
        <v>2035</v>
      </c>
      <c r="H8033" s="12">
        <v>1210</v>
      </c>
      <c r="I8033" t="s">
        <v>3183</v>
      </c>
      <c r="J8033" t="s">
        <v>14</v>
      </c>
      <c r="K8033" t="s">
        <v>657</v>
      </c>
      <c r="L8033" t="s">
        <v>3184</v>
      </c>
      <c r="M8033" t="s">
        <v>14</v>
      </c>
    </row>
    <row r="8034" spans="1:13">
      <c r="A8034" t="s">
        <v>851</v>
      </c>
      <c r="B8034" t="s">
        <v>687</v>
      </c>
      <c r="C8034" t="s">
        <v>687</v>
      </c>
      <c r="D8034" t="s">
        <v>3174</v>
      </c>
      <c r="E8034" t="s">
        <v>660</v>
      </c>
      <c r="F8034" t="s">
        <v>40</v>
      </c>
      <c r="G8034">
        <v>2040</v>
      </c>
      <c r="H8034" s="12">
        <v>1259</v>
      </c>
      <c r="I8034" t="s">
        <v>3183</v>
      </c>
      <c r="J8034" t="s">
        <v>14</v>
      </c>
      <c r="K8034" t="s">
        <v>657</v>
      </c>
      <c r="L8034" t="s">
        <v>3184</v>
      </c>
      <c r="M8034" t="s">
        <v>14</v>
      </c>
    </row>
    <row r="8035" spans="1:13">
      <c r="A8035" t="s">
        <v>851</v>
      </c>
      <c r="B8035" t="s">
        <v>687</v>
      </c>
      <c r="C8035" t="s">
        <v>687</v>
      </c>
      <c r="D8035" t="s">
        <v>3174</v>
      </c>
      <c r="E8035" t="s">
        <v>660</v>
      </c>
      <c r="F8035" t="s">
        <v>40</v>
      </c>
      <c r="G8035">
        <v>2045</v>
      </c>
      <c r="H8035" s="12">
        <v>1311</v>
      </c>
      <c r="I8035" t="s">
        <v>3183</v>
      </c>
      <c r="J8035" t="s">
        <v>14</v>
      </c>
      <c r="K8035" t="s">
        <v>657</v>
      </c>
      <c r="L8035" t="s">
        <v>3184</v>
      </c>
      <c r="M8035" t="s">
        <v>14</v>
      </c>
    </row>
    <row r="8036" spans="1:13">
      <c r="A8036" t="s">
        <v>851</v>
      </c>
      <c r="B8036" t="s">
        <v>687</v>
      </c>
      <c r="C8036" t="s">
        <v>687</v>
      </c>
      <c r="D8036" t="s">
        <v>3174</v>
      </c>
      <c r="E8036" t="s">
        <v>660</v>
      </c>
      <c r="F8036" t="s">
        <v>40</v>
      </c>
      <c r="G8036">
        <v>2050</v>
      </c>
      <c r="H8036" s="12">
        <v>1361</v>
      </c>
      <c r="I8036" t="s">
        <v>3183</v>
      </c>
      <c r="J8036" t="s">
        <v>14</v>
      </c>
      <c r="K8036" t="s">
        <v>657</v>
      </c>
      <c r="L8036" t="s">
        <v>3184</v>
      </c>
      <c r="M8036" t="s">
        <v>14</v>
      </c>
    </row>
    <row r="8037" spans="1:13">
      <c r="A8037" t="s">
        <v>851</v>
      </c>
      <c r="B8037" t="s">
        <v>686</v>
      </c>
      <c r="C8037" t="s">
        <v>686</v>
      </c>
      <c r="D8037" t="s">
        <v>3174</v>
      </c>
      <c r="E8037" t="s">
        <v>660</v>
      </c>
      <c r="F8037" t="s">
        <v>40</v>
      </c>
      <c r="G8037">
        <v>2010</v>
      </c>
      <c r="H8037" s="12">
        <v>5011</v>
      </c>
      <c r="I8037" t="s">
        <v>3183</v>
      </c>
      <c r="J8037" t="s">
        <v>41</v>
      </c>
      <c r="K8037" t="s">
        <v>657</v>
      </c>
      <c r="L8037" t="s">
        <v>3184</v>
      </c>
      <c r="M8037" t="s">
        <v>662</v>
      </c>
    </row>
    <row r="8038" spans="1:13">
      <c r="A8038" t="s">
        <v>851</v>
      </c>
      <c r="B8038" t="s">
        <v>686</v>
      </c>
      <c r="C8038" t="s">
        <v>686</v>
      </c>
      <c r="D8038" t="s">
        <v>3174</v>
      </c>
      <c r="E8038" t="s">
        <v>660</v>
      </c>
      <c r="F8038" t="s">
        <v>40</v>
      </c>
      <c r="G8038">
        <v>2015</v>
      </c>
      <c r="H8038" s="12">
        <v>6129</v>
      </c>
      <c r="I8038" t="s">
        <v>3183</v>
      </c>
      <c r="J8038" t="s">
        <v>41</v>
      </c>
      <c r="K8038" t="s">
        <v>657</v>
      </c>
      <c r="L8038" t="s">
        <v>3184</v>
      </c>
      <c r="M8038" t="s">
        <v>662</v>
      </c>
    </row>
    <row r="8039" spans="1:13">
      <c r="A8039" t="s">
        <v>851</v>
      </c>
      <c r="B8039" t="s">
        <v>686</v>
      </c>
      <c r="C8039" t="s">
        <v>686</v>
      </c>
      <c r="D8039" t="s">
        <v>3174</v>
      </c>
      <c r="E8039" t="s">
        <v>660</v>
      </c>
      <c r="F8039" t="s">
        <v>40</v>
      </c>
      <c r="G8039">
        <v>2020</v>
      </c>
      <c r="H8039" s="12">
        <v>6094</v>
      </c>
      <c r="I8039" t="s">
        <v>3183</v>
      </c>
      <c r="J8039" t="s">
        <v>41</v>
      </c>
      <c r="K8039" t="s">
        <v>657</v>
      </c>
      <c r="L8039" t="s">
        <v>3184</v>
      </c>
      <c r="M8039" t="s">
        <v>662</v>
      </c>
    </row>
    <row r="8040" spans="1:13">
      <c r="A8040" t="s">
        <v>851</v>
      </c>
      <c r="B8040" t="s">
        <v>686</v>
      </c>
      <c r="C8040" t="s">
        <v>686</v>
      </c>
      <c r="D8040" t="s">
        <v>3174</v>
      </c>
      <c r="E8040" t="s">
        <v>660</v>
      </c>
      <c r="F8040" t="s">
        <v>40</v>
      </c>
      <c r="G8040">
        <v>2030</v>
      </c>
      <c r="H8040" s="12">
        <v>7939</v>
      </c>
      <c r="I8040" t="s">
        <v>3183</v>
      </c>
      <c r="J8040" t="s">
        <v>41</v>
      </c>
      <c r="K8040" t="s">
        <v>657</v>
      </c>
      <c r="L8040" t="s">
        <v>3184</v>
      </c>
      <c r="M8040" t="s">
        <v>662</v>
      </c>
    </row>
    <row r="8041" spans="1:13">
      <c r="A8041" t="s">
        <v>851</v>
      </c>
      <c r="B8041" t="s">
        <v>686</v>
      </c>
      <c r="C8041" t="s">
        <v>686</v>
      </c>
      <c r="D8041" t="s">
        <v>3174</v>
      </c>
      <c r="E8041" t="s">
        <v>660</v>
      </c>
      <c r="F8041" t="s">
        <v>40</v>
      </c>
      <c r="G8041">
        <v>2035</v>
      </c>
      <c r="H8041" s="12">
        <v>8557</v>
      </c>
      <c r="I8041" t="s">
        <v>3183</v>
      </c>
      <c r="J8041" t="s">
        <v>41</v>
      </c>
      <c r="K8041" t="s">
        <v>657</v>
      </c>
      <c r="L8041" t="s">
        <v>3184</v>
      </c>
      <c r="M8041" t="s">
        <v>662</v>
      </c>
    </row>
    <row r="8042" spans="1:13">
      <c r="A8042" t="s">
        <v>851</v>
      </c>
      <c r="B8042" t="s">
        <v>686</v>
      </c>
      <c r="C8042" t="s">
        <v>686</v>
      </c>
      <c r="D8042" t="s">
        <v>3174</v>
      </c>
      <c r="E8042" t="s">
        <v>660</v>
      </c>
      <c r="F8042" t="s">
        <v>40</v>
      </c>
      <c r="G8042">
        <v>2040</v>
      </c>
      <c r="H8042" s="12">
        <v>8843</v>
      </c>
      <c r="I8042" t="s">
        <v>3183</v>
      </c>
      <c r="J8042" t="s">
        <v>41</v>
      </c>
      <c r="K8042" t="s">
        <v>657</v>
      </c>
      <c r="L8042" t="s">
        <v>3184</v>
      </c>
      <c r="M8042" t="s">
        <v>662</v>
      </c>
    </row>
    <row r="8043" spans="1:13">
      <c r="A8043" t="s">
        <v>851</v>
      </c>
      <c r="B8043" t="s">
        <v>686</v>
      </c>
      <c r="C8043" t="s">
        <v>686</v>
      </c>
      <c r="D8043" t="s">
        <v>3174</v>
      </c>
      <c r="E8043" t="s">
        <v>660</v>
      </c>
      <c r="F8043" t="s">
        <v>40</v>
      </c>
      <c r="G8043">
        <v>2045</v>
      </c>
      <c r="H8043" s="12">
        <v>8910</v>
      </c>
      <c r="I8043" t="s">
        <v>3183</v>
      </c>
      <c r="J8043" t="s">
        <v>41</v>
      </c>
      <c r="K8043" t="s">
        <v>657</v>
      </c>
      <c r="L8043" t="s">
        <v>3184</v>
      </c>
      <c r="M8043" t="s">
        <v>662</v>
      </c>
    </row>
    <row r="8044" spans="1:13">
      <c r="A8044" t="s">
        <v>851</v>
      </c>
      <c r="B8044" t="s">
        <v>686</v>
      </c>
      <c r="C8044" t="s">
        <v>686</v>
      </c>
      <c r="D8044" t="s">
        <v>3174</v>
      </c>
      <c r="E8044" t="s">
        <v>660</v>
      </c>
      <c r="F8044" t="s">
        <v>40</v>
      </c>
      <c r="G8044">
        <v>2050</v>
      </c>
      <c r="H8044" s="12">
        <v>8923</v>
      </c>
      <c r="I8044" t="s">
        <v>3183</v>
      </c>
      <c r="J8044" t="s">
        <v>41</v>
      </c>
      <c r="K8044" t="s">
        <v>657</v>
      </c>
      <c r="L8044" t="s">
        <v>3184</v>
      </c>
      <c r="M8044" t="s">
        <v>662</v>
      </c>
    </row>
    <row r="8045" spans="1:13">
      <c r="A8045" t="s">
        <v>851</v>
      </c>
      <c r="B8045" t="s">
        <v>687</v>
      </c>
      <c r="C8045" t="s">
        <v>687</v>
      </c>
      <c r="D8045" t="s">
        <v>3174</v>
      </c>
      <c r="E8045" t="s">
        <v>660</v>
      </c>
      <c r="F8045" t="s">
        <v>40</v>
      </c>
      <c r="G8045">
        <v>2030</v>
      </c>
      <c r="H8045" s="12">
        <v>10455</v>
      </c>
      <c r="I8045" t="s">
        <v>3183</v>
      </c>
      <c r="J8045" t="s">
        <v>41</v>
      </c>
      <c r="K8045" t="s">
        <v>657</v>
      </c>
      <c r="L8045" t="s">
        <v>3184</v>
      </c>
      <c r="M8045" t="s">
        <v>662</v>
      </c>
    </row>
    <row r="8046" spans="1:13">
      <c r="A8046" t="s">
        <v>851</v>
      </c>
      <c r="B8046" t="s">
        <v>687</v>
      </c>
      <c r="C8046" t="s">
        <v>687</v>
      </c>
      <c r="D8046" t="s">
        <v>3174</v>
      </c>
      <c r="E8046" t="s">
        <v>660</v>
      </c>
      <c r="F8046" t="s">
        <v>40</v>
      </c>
      <c r="G8046">
        <v>2035</v>
      </c>
      <c r="H8046" s="12">
        <v>13259</v>
      </c>
      <c r="I8046" t="s">
        <v>3183</v>
      </c>
      <c r="J8046" t="s">
        <v>41</v>
      </c>
      <c r="K8046" t="s">
        <v>657</v>
      </c>
      <c r="L8046" t="s">
        <v>3184</v>
      </c>
      <c r="M8046" t="s">
        <v>662</v>
      </c>
    </row>
    <row r="8047" spans="1:13">
      <c r="A8047" t="s">
        <v>851</v>
      </c>
      <c r="B8047" t="s">
        <v>687</v>
      </c>
      <c r="C8047" t="s">
        <v>687</v>
      </c>
      <c r="D8047" t="s">
        <v>3174</v>
      </c>
      <c r="E8047" t="s">
        <v>660</v>
      </c>
      <c r="F8047" t="s">
        <v>40</v>
      </c>
      <c r="G8047">
        <v>2040</v>
      </c>
      <c r="H8047" s="12">
        <v>14947</v>
      </c>
      <c r="I8047" t="s">
        <v>3183</v>
      </c>
      <c r="J8047" t="s">
        <v>41</v>
      </c>
      <c r="K8047" t="s">
        <v>657</v>
      </c>
      <c r="L8047" t="s">
        <v>3184</v>
      </c>
      <c r="M8047" t="s">
        <v>662</v>
      </c>
    </row>
    <row r="8048" spans="1:13">
      <c r="A8048" t="s">
        <v>851</v>
      </c>
      <c r="B8048" t="s">
        <v>687</v>
      </c>
      <c r="C8048" t="s">
        <v>687</v>
      </c>
      <c r="D8048" t="s">
        <v>3174</v>
      </c>
      <c r="E8048" t="s">
        <v>660</v>
      </c>
      <c r="F8048" t="s">
        <v>40</v>
      </c>
      <c r="G8048">
        <v>2045</v>
      </c>
      <c r="H8048" s="12">
        <v>15212</v>
      </c>
      <c r="I8048" t="s">
        <v>3183</v>
      </c>
      <c r="J8048" t="s">
        <v>41</v>
      </c>
      <c r="K8048" t="s">
        <v>657</v>
      </c>
      <c r="L8048" t="s">
        <v>3184</v>
      </c>
      <c r="M8048" t="s">
        <v>662</v>
      </c>
    </row>
    <row r="8049" spans="1:13">
      <c r="A8049" t="s">
        <v>851</v>
      </c>
      <c r="B8049" t="s">
        <v>687</v>
      </c>
      <c r="C8049" t="s">
        <v>687</v>
      </c>
      <c r="D8049" t="s">
        <v>3174</v>
      </c>
      <c r="E8049" t="s">
        <v>660</v>
      </c>
      <c r="F8049" t="s">
        <v>40</v>
      </c>
      <c r="G8049">
        <v>2050</v>
      </c>
      <c r="H8049" s="12">
        <v>15718</v>
      </c>
      <c r="I8049" t="s">
        <v>3183</v>
      </c>
      <c r="J8049" t="s">
        <v>41</v>
      </c>
      <c r="K8049" t="s">
        <v>657</v>
      </c>
      <c r="L8049" t="s">
        <v>3184</v>
      </c>
      <c r="M8049" t="s">
        <v>662</v>
      </c>
    </row>
    <row r="8050" spans="1:13">
      <c r="A8050" t="s">
        <v>851</v>
      </c>
      <c r="B8050" t="s">
        <v>686</v>
      </c>
      <c r="C8050" t="s">
        <v>686</v>
      </c>
      <c r="D8050" t="s">
        <v>3174</v>
      </c>
      <c r="E8050" t="s">
        <v>660</v>
      </c>
      <c r="F8050" t="s">
        <v>40</v>
      </c>
      <c r="G8050">
        <v>2010</v>
      </c>
      <c r="H8050" s="12">
        <v>0</v>
      </c>
      <c r="I8050" t="s">
        <v>3183</v>
      </c>
      <c r="J8050" t="s">
        <v>41</v>
      </c>
      <c r="K8050" t="s">
        <v>657</v>
      </c>
      <c r="L8050" t="s">
        <v>3184</v>
      </c>
      <c r="M8050" t="s">
        <v>661</v>
      </c>
    </row>
    <row r="8051" spans="1:13">
      <c r="A8051" t="s">
        <v>851</v>
      </c>
      <c r="B8051" t="s">
        <v>686</v>
      </c>
      <c r="C8051" t="s">
        <v>686</v>
      </c>
      <c r="D8051" t="s">
        <v>3174</v>
      </c>
      <c r="E8051" t="s">
        <v>660</v>
      </c>
      <c r="F8051" t="s">
        <v>40</v>
      </c>
      <c r="G8051">
        <v>2015</v>
      </c>
      <c r="H8051" s="12">
        <v>0</v>
      </c>
      <c r="I8051" t="s">
        <v>3183</v>
      </c>
      <c r="J8051" t="s">
        <v>41</v>
      </c>
      <c r="K8051" t="s">
        <v>657</v>
      </c>
      <c r="L8051" t="s">
        <v>3184</v>
      </c>
      <c r="M8051" t="s">
        <v>661</v>
      </c>
    </row>
    <row r="8052" spans="1:13">
      <c r="A8052" t="s">
        <v>851</v>
      </c>
      <c r="B8052" t="s">
        <v>686</v>
      </c>
      <c r="C8052" t="s">
        <v>686</v>
      </c>
      <c r="D8052" t="s">
        <v>3174</v>
      </c>
      <c r="E8052" t="s">
        <v>660</v>
      </c>
      <c r="F8052" t="s">
        <v>40</v>
      </c>
      <c r="G8052">
        <v>2020</v>
      </c>
      <c r="H8052" s="12">
        <v>0</v>
      </c>
      <c r="I8052" t="s">
        <v>3183</v>
      </c>
      <c r="J8052" t="s">
        <v>41</v>
      </c>
      <c r="K8052" t="s">
        <v>657</v>
      </c>
      <c r="L8052" t="s">
        <v>3184</v>
      </c>
      <c r="M8052" t="s">
        <v>661</v>
      </c>
    </row>
    <row r="8053" spans="1:13">
      <c r="A8053" t="s">
        <v>851</v>
      </c>
      <c r="B8053" t="s">
        <v>686</v>
      </c>
      <c r="C8053" t="s">
        <v>686</v>
      </c>
      <c r="D8053" t="s">
        <v>3174</v>
      </c>
      <c r="E8053" t="s">
        <v>660</v>
      </c>
      <c r="F8053" t="s">
        <v>40</v>
      </c>
      <c r="G8053">
        <v>2030</v>
      </c>
      <c r="H8053" s="12">
        <v>0</v>
      </c>
      <c r="I8053" t="s">
        <v>3183</v>
      </c>
      <c r="J8053" t="s">
        <v>41</v>
      </c>
      <c r="K8053" t="s">
        <v>657</v>
      </c>
      <c r="L8053" t="s">
        <v>3184</v>
      </c>
      <c r="M8053" t="s">
        <v>661</v>
      </c>
    </row>
    <row r="8054" spans="1:13">
      <c r="A8054" t="s">
        <v>851</v>
      </c>
      <c r="B8054" t="s">
        <v>686</v>
      </c>
      <c r="C8054" t="s">
        <v>686</v>
      </c>
      <c r="D8054" t="s">
        <v>3174</v>
      </c>
      <c r="E8054" t="s">
        <v>660</v>
      </c>
      <c r="F8054" t="s">
        <v>40</v>
      </c>
      <c r="G8054">
        <v>2035</v>
      </c>
      <c r="H8054" s="12">
        <v>0</v>
      </c>
      <c r="I8054" t="s">
        <v>3183</v>
      </c>
      <c r="J8054" t="s">
        <v>41</v>
      </c>
      <c r="K8054" t="s">
        <v>657</v>
      </c>
      <c r="L8054" t="s">
        <v>3184</v>
      </c>
      <c r="M8054" t="s">
        <v>661</v>
      </c>
    </row>
    <row r="8055" spans="1:13">
      <c r="A8055" t="s">
        <v>851</v>
      </c>
      <c r="B8055" t="s">
        <v>686</v>
      </c>
      <c r="C8055" t="s">
        <v>686</v>
      </c>
      <c r="D8055" t="s">
        <v>3174</v>
      </c>
      <c r="E8055" t="s">
        <v>660</v>
      </c>
      <c r="F8055" t="s">
        <v>40</v>
      </c>
      <c r="G8055">
        <v>2040</v>
      </c>
      <c r="H8055" s="12">
        <v>0</v>
      </c>
      <c r="I8055" t="s">
        <v>3183</v>
      </c>
      <c r="J8055" t="s">
        <v>41</v>
      </c>
      <c r="K8055" t="s">
        <v>657</v>
      </c>
      <c r="L8055" t="s">
        <v>3184</v>
      </c>
      <c r="M8055" t="s">
        <v>661</v>
      </c>
    </row>
    <row r="8056" spans="1:13">
      <c r="A8056" t="s">
        <v>851</v>
      </c>
      <c r="B8056" t="s">
        <v>686</v>
      </c>
      <c r="C8056" t="s">
        <v>686</v>
      </c>
      <c r="D8056" t="s">
        <v>3174</v>
      </c>
      <c r="E8056" t="s">
        <v>660</v>
      </c>
      <c r="F8056" t="s">
        <v>40</v>
      </c>
      <c r="G8056">
        <v>2045</v>
      </c>
      <c r="H8056" s="12">
        <v>0</v>
      </c>
      <c r="I8056" t="s">
        <v>3183</v>
      </c>
      <c r="J8056" t="s">
        <v>41</v>
      </c>
      <c r="K8056" t="s">
        <v>657</v>
      </c>
      <c r="L8056" t="s">
        <v>3184</v>
      </c>
      <c r="M8056" t="s">
        <v>661</v>
      </c>
    </row>
    <row r="8057" spans="1:13">
      <c r="A8057" t="s">
        <v>851</v>
      </c>
      <c r="B8057" t="s">
        <v>686</v>
      </c>
      <c r="C8057" t="s">
        <v>686</v>
      </c>
      <c r="D8057" t="s">
        <v>3174</v>
      </c>
      <c r="E8057" t="s">
        <v>660</v>
      </c>
      <c r="F8057" t="s">
        <v>40</v>
      </c>
      <c r="G8057">
        <v>2050</v>
      </c>
      <c r="H8057" s="12">
        <v>0</v>
      </c>
      <c r="I8057" t="s">
        <v>3183</v>
      </c>
      <c r="J8057" t="s">
        <v>41</v>
      </c>
      <c r="K8057" t="s">
        <v>657</v>
      </c>
      <c r="L8057" t="s">
        <v>3184</v>
      </c>
      <c r="M8057" t="s">
        <v>661</v>
      </c>
    </row>
    <row r="8058" spans="1:13">
      <c r="A8058" t="s">
        <v>851</v>
      </c>
      <c r="B8058" t="s">
        <v>687</v>
      </c>
      <c r="C8058" t="s">
        <v>687</v>
      </c>
      <c r="D8058" t="s">
        <v>3174</v>
      </c>
      <c r="E8058" t="s">
        <v>660</v>
      </c>
      <c r="F8058" t="s">
        <v>40</v>
      </c>
      <c r="G8058">
        <v>2030</v>
      </c>
      <c r="H8058" s="12">
        <v>0</v>
      </c>
      <c r="I8058" t="s">
        <v>3183</v>
      </c>
      <c r="J8058" t="s">
        <v>41</v>
      </c>
      <c r="K8058" t="s">
        <v>657</v>
      </c>
      <c r="L8058" t="s">
        <v>3184</v>
      </c>
      <c r="M8058" t="s">
        <v>661</v>
      </c>
    </row>
    <row r="8059" spans="1:13">
      <c r="A8059" t="s">
        <v>851</v>
      </c>
      <c r="B8059" t="s">
        <v>687</v>
      </c>
      <c r="C8059" t="s">
        <v>687</v>
      </c>
      <c r="D8059" t="s">
        <v>3174</v>
      </c>
      <c r="E8059" t="s">
        <v>660</v>
      </c>
      <c r="F8059" t="s">
        <v>40</v>
      </c>
      <c r="G8059">
        <v>2035</v>
      </c>
      <c r="H8059" s="12">
        <v>0</v>
      </c>
      <c r="I8059" t="s">
        <v>3183</v>
      </c>
      <c r="J8059" t="s">
        <v>41</v>
      </c>
      <c r="K8059" t="s">
        <v>657</v>
      </c>
      <c r="L8059" t="s">
        <v>3184</v>
      </c>
      <c r="M8059" t="s">
        <v>661</v>
      </c>
    </row>
    <row r="8060" spans="1:13">
      <c r="A8060" t="s">
        <v>851</v>
      </c>
      <c r="B8060" t="s">
        <v>687</v>
      </c>
      <c r="C8060" t="s">
        <v>687</v>
      </c>
      <c r="D8060" t="s">
        <v>3174</v>
      </c>
      <c r="E8060" t="s">
        <v>660</v>
      </c>
      <c r="F8060" t="s">
        <v>40</v>
      </c>
      <c r="G8060">
        <v>2040</v>
      </c>
      <c r="H8060" s="12">
        <v>0</v>
      </c>
      <c r="I8060" t="s">
        <v>3183</v>
      </c>
      <c r="J8060" t="s">
        <v>41</v>
      </c>
      <c r="K8060" t="s">
        <v>657</v>
      </c>
      <c r="L8060" t="s">
        <v>3184</v>
      </c>
      <c r="M8060" t="s">
        <v>661</v>
      </c>
    </row>
    <row r="8061" spans="1:13">
      <c r="A8061" t="s">
        <v>851</v>
      </c>
      <c r="B8061" t="s">
        <v>687</v>
      </c>
      <c r="C8061" t="s">
        <v>687</v>
      </c>
      <c r="D8061" t="s">
        <v>3174</v>
      </c>
      <c r="E8061" t="s">
        <v>660</v>
      </c>
      <c r="F8061" t="s">
        <v>40</v>
      </c>
      <c r="G8061">
        <v>2045</v>
      </c>
      <c r="H8061" s="12">
        <v>0</v>
      </c>
      <c r="I8061" t="s">
        <v>3183</v>
      </c>
      <c r="J8061" t="s">
        <v>41</v>
      </c>
      <c r="K8061" t="s">
        <v>657</v>
      </c>
      <c r="L8061" t="s">
        <v>3184</v>
      </c>
      <c r="M8061" t="s">
        <v>661</v>
      </c>
    </row>
    <row r="8062" spans="1:13">
      <c r="A8062" t="s">
        <v>851</v>
      </c>
      <c r="B8062" t="s">
        <v>687</v>
      </c>
      <c r="C8062" t="s">
        <v>687</v>
      </c>
      <c r="D8062" t="s">
        <v>3174</v>
      </c>
      <c r="E8062" t="s">
        <v>660</v>
      </c>
      <c r="F8062" t="s">
        <v>40</v>
      </c>
      <c r="G8062">
        <v>2050</v>
      </c>
      <c r="H8062" s="12">
        <v>0</v>
      </c>
      <c r="I8062" t="s">
        <v>3183</v>
      </c>
      <c r="J8062" t="s">
        <v>41</v>
      </c>
      <c r="K8062" t="s">
        <v>657</v>
      </c>
      <c r="L8062" t="s">
        <v>3184</v>
      </c>
      <c r="M8062" t="s">
        <v>661</v>
      </c>
    </row>
    <row r="8063" spans="1:13">
      <c r="A8063" t="s">
        <v>851</v>
      </c>
      <c r="B8063" t="s">
        <v>686</v>
      </c>
      <c r="C8063" t="s">
        <v>686</v>
      </c>
      <c r="D8063" t="s">
        <v>3174</v>
      </c>
      <c r="E8063" t="s">
        <v>660</v>
      </c>
      <c r="F8063" t="s">
        <v>40</v>
      </c>
      <c r="G8063">
        <v>2010</v>
      </c>
      <c r="H8063" s="12">
        <v>9152</v>
      </c>
      <c r="I8063" t="s">
        <v>3183</v>
      </c>
      <c r="J8063" t="s">
        <v>15</v>
      </c>
      <c r="K8063" t="s">
        <v>657</v>
      </c>
      <c r="L8063" t="s">
        <v>3184</v>
      </c>
      <c r="M8063" t="s">
        <v>15</v>
      </c>
    </row>
    <row r="8064" spans="1:13">
      <c r="A8064" t="s">
        <v>851</v>
      </c>
      <c r="B8064" t="s">
        <v>686</v>
      </c>
      <c r="C8064" t="s">
        <v>686</v>
      </c>
      <c r="D8064" t="s">
        <v>3174</v>
      </c>
      <c r="E8064" t="s">
        <v>660</v>
      </c>
      <c r="F8064" t="s">
        <v>40</v>
      </c>
      <c r="G8064">
        <v>2015</v>
      </c>
      <c r="H8064" s="12">
        <v>9058</v>
      </c>
      <c r="I8064" t="s">
        <v>3183</v>
      </c>
      <c r="J8064" t="s">
        <v>15</v>
      </c>
      <c r="K8064" t="s">
        <v>657</v>
      </c>
      <c r="L8064" t="s">
        <v>3184</v>
      </c>
      <c r="M8064" t="s">
        <v>15</v>
      </c>
    </row>
    <row r="8065" spans="1:13">
      <c r="A8065" t="s">
        <v>851</v>
      </c>
      <c r="B8065" t="s">
        <v>686</v>
      </c>
      <c r="C8065" t="s">
        <v>686</v>
      </c>
      <c r="D8065" t="s">
        <v>3174</v>
      </c>
      <c r="E8065" t="s">
        <v>660</v>
      </c>
      <c r="F8065" t="s">
        <v>40</v>
      </c>
      <c r="G8065">
        <v>2020</v>
      </c>
      <c r="H8065" s="12">
        <v>8980</v>
      </c>
      <c r="I8065" t="s">
        <v>3183</v>
      </c>
      <c r="J8065" t="s">
        <v>15</v>
      </c>
      <c r="K8065" t="s">
        <v>657</v>
      </c>
      <c r="L8065" t="s">
        <v>3184</v>
      </c>
      <c r="M8065" t="s">
        <v>15</v>
      </c>
    </row>
    <row r="8066" spans="1:13">
      <c r="A8066" t="s">
        <v>851</v>
      </c>
      <c r="B8066" t="s">
        <v>686</v>
      </c>
      <c r="C8066" t="s">
        <v>686</v>
      </c>
      <c r="D8066" t="s">
        <v>3174</v>
      </c>
      <c r="E8066" t="s">
        <v>660</v>
      </c>
      <c r="F8066" t="s">
        <v>40</v>
      </c>
      <c r="G8066">
        <v>2030</v>
      </c>
      <c r="H8066" s="12">
        <v>8799</v>
      </c>
      <c r="I8066" t="s">
        <v>3183</v>
      </c>
      <c r="J8066" t="s">
        <v>15</v>
      </c>
      <c r="K8066" t="s">
        <v>657</v>
      </c>
      <c r="L8066" t="s">
        <v>3184</v>
      </c>
      <c r="M8066" t="s">
        <v>15</v>
      </c>
    </row>
    <row r="8067" spans="1:13">
      <c r="A8067" t="s">
        <v>851</v>
      </c>
      <c r="B8067" t="s">
        <v>686</v>
      </c>
      <c r="C8067" t="s">
        <v>686</v>
      </c>
      <c r="D8067" t="s">
        <v>3174</v>
      </c>
      <c r="E8067" t="s">
        <v>660</v>
      </c>
      <c r="F8067" t="s">
        <v>40</v>
      </c>
      <c r="G8067">
        <v>2035</v>
      </c>
      <c r="H8067" s="12">
        <v>8419</v>
      </c>
      <c r="I8067" t="s">
        <v>3183</v>
      </c>
      <c r="J8067" t="s">
        <v>15</v>
      </c>
      <c r="K8067" t="s">
        <v>657</v>
      </c>
      <c r="L8067" t="s">
        <v>3184</v>
      </c>
      <c r="M8067" t="s">
        <v>15</v>
      </c>
    </row>
    <row r="8068" spans="1:13">
      <c r="A8068" t="s">
        <v>851</v>
      </c>
      <c r="B8068" t="s">
        <v>686</v>
      </c>
      <c r="C8068" t="s">
        <v>686</v>
      </c>
      <c r="D8068" t="s">
        <v>3174</v>
      </c>
      <c r="E8068" t="s">
        <v>660</v>
      </c>
      <c r="F8068" t="s">
        <v>40</v>
      </c>
      <c r="G8068">
        <v>2040</v>
      </c>
      <c r="H8068" s="12">
        <v>8425</v>
      </c>
      <c r="I8068" t="s">
        <v>3183</v>
      </c>
      <c r="J8068" t="s">
        <v>15</v>
      </c>
      <c r="K8068" t="s">
        <v>657</v>
      </c>
      <c r="L8068" t="s">
        <v>3184</v>
      </c>
      <c r="M8068" t="s">
        <v>15</v>
      </c>
    </row>
    <row r="8069" spans="1:13">
      <c r="A8069" t="s">
        <v>851</v>
      </c>
      <c r="B8069" t="s">
        <v>686</v>
      </c>
      <c r="C8069" t="s">
        <v>686</v>
      </c>
      <c r="D8069" t="s">
        <v>3174</v>
      </c>
      <c r="E8069" t="s">
        <v>660</v>
      </c>
      <c r="F8069" t="s">
        <v>40</v>
      </c>
      <c r="G8069">
        <v>2045</v>
      </c>
      <c r="H8069" s="12">
        <v>8082</v>
      </c>
      <c r="I8069" t="s">
        <v>3183</v>
      </c>
      <c r="J8069" t="s">
        <v>15</v>
      </c>
      <c r="K8069" t="s">
        <v>657</v>
      </c>
      <c r="L8069" t="s">
        <v>3184</v>
      </c>
      <c r="M8069" t="s">
        <v>15</v>
      </c>
    </row>
    <row r="8070" spans="1:13">
      <c r="A8070" t="s">
        <v>851</v>
      </c>
      <c r="B8070" t="s">
        <v>686</v>
      </c>
      <c r="C8070" t="s">
        <v>686</v>
      </c>
      <c r="D8070" t="s">
        <v>3174</v>
      </c>
      <c r="E8070" t="s">
        <v>660</v>
      </c>
      <c r="F8070" t="s">
        <v>40</v>
      </c>
      <c r="G8070">
        <v>2050</v>
      </c>
      <c r="H8070" s="12">
        <v>8234</v>
      </c>
      <c r="I8070" t="s">
        <v>3183</v>
      </c>
      <c r="J8070" t="s">
        <v>15</v>
      </c>
      <c r="K8070" t="s">
        <v>657</v>
      </c>
      <c r="L8070" t="s">
        <v>3184</v>
      </c>
      <c r="M8070" t="s">
        <v>15</v>
      </c>
    </row>
    <row r="8071" spans="1:13">
      <c r="A8071" t="s">
        <v>851</v>
      </c>
      <c r="B8071" t="s">
        <v>687</v>
      </c>
      <c r="C8071" t="s">
        <v>687</v>
      </c>
      <c r="D8071" t="s">
        <v>3174</v>
      </c>
      <c r="E8071" t="s">
        <v>660</v>
      </c>
      <c r="F8071" t="s">
        <v>40</v>
      </c>
      <c r="G8071">
        <v>2030</v>
      </c>
      <c r="H8071" s="12">
        <v>9007</v>
      </c>
      <c r="I8071" t="s">
        <v>3183</v>
      </c>
      <c r="J8071" t="s">
        <v>15</v>
      </c>
      <c r="K8071" t="s">
        <v>657</v>
      </c>
      <c r="L8071" t="s">
        <v>3184</v>
      </c>
      <c r="M8071" t="s">
        <v>15</v>
      </c>
    </row>
    <row r="8072" spans="1:13">
      <c r="A8072" t="s">
        <v>851</v>
      </c>
      <c r="B8072" t="s">
        <v>687</v>
      </c>
      <c r="C8072" t="s">
        <v>687</v>
      </c>
      <c r="D8072" t="s">
        <v>3174</v>
      </c>
      <c r="E8072" t="s">
        <v>660</v>
      </c>
      <c r="F8072" t="s">
        <v>40</v>
      </c>
      <c r="G8072">
        <v>2035</v>
      </c>
      <c r="H8072" s="12">
        <v>8734</v>
      </c>
      <c r="I8072" t="s">
        <v>3183</v>
      </c>
      <c r="J8072" t="s">
        <v>15</v>
      </c>
      <c r="K8072" t="s">
        <v>657</v>
      </c>
      <c r="L8072" t="s">
        <v>3184</v>
      </c>
      <c r="M8072" t="s">
        <v>15</v>
      </c>
    </row>
    <row r="8073" spans="1:13">
      <c r="A8073" t="s">
        <v>851</v>
      </c>
      <c r="B8073" t="s">
        <v>687</v>
      </c>
      <c r="C8073" t="s">
        <v>687</v>
      </c>
      <c r="D8073" t="s">
        <v>3174</v>
      </c>
      <c r="E8073" t="s">
        <v>660</v>
      </c>
      <c r="F8073" t="s">
        <v>40</v>
      </c>
      <c r="G8073">
        <v>2040</v>
      </c>
      <c r="H8073" s="12">
        <v>9148</v>
      </c>
      <c r="I8073" t="s">
        <v>3183</v>
      </c>
      <c r="J8073" t="s">
        <v>15</v>
      </c>
      <c r="K8073" t="s">
        <v>657</v>
      </c>
      <c r="L8073" t="s">
        <v>3184</v>
      </c>
      <c r="M8073" t="s">
        <v>15</v>
      </c>
    </row>
    <row r="8074" spans="1:13">
      <c r="A8074" t="s">
        <v>851</v>
      </c>
      <c r="B8074" t="s">
        <v>687</v>
      </c>
      <c r="C8074" t="s">
        <v>687</v>
      </c>
      <c r="D8074" t="s">
        <v>3174</v>
      </c>
      <c r="E8074" t="s">
        <v>646</v>
      </c>
      <c r="F8074" t="s">
        <v>40</v>
      </c>
      <c r="G8074">
        <v>2030</v>
      </c>
      <c r="H8074" s="12">
        <v>6632</v>
      </c>
      <c r="I8074" t="s">
        <v>3183</v>
      </c>
      <c r="J8074" t="s">
        <v>394</v>
      </c>
      <c r="K8074" t="s">
        <v>272</v>
      </c>
      <c r="L8074" t="s">
        <v>3184</v>
      </c>
      <c r="M8074" t="s">
        <v>16</v>
      </c>
    </row>
    <row r="8075" spans="1:13">
      <c r="A8075" t="s">
        <v>851</v>
      </c>
      <c r="B8075" t="s">
        <v>687</v>
      </c>
      <c r="C8075" t="s">
        <v>687</v>
      </c>
      <c r="D8075" t="s">
        <v>3174</v>
      </c>
      <c r="E8075" t="s">
        <v>646</v>
      </c>
      <c r="F8075" t="s">
        <v>40</v>
      </c>
      <c r="G8075">
        <v>2035</v>
      </c>
      <c r="H8075" s="12">
        <v>6552</v>
      </c>
      <c r="I8075" t="s">
        <v>3183</v>
      </c>
      <c r="J8075" t="s">
        <v>394</v>
      </c>
      <c r="K8075" t="s">
        <v>272</v>
      </c>
      <c r="L8075" t="s">
        <v>3184</v>
      </c>
      <c r="M8075" t="s">
        <v>16</v>
      </c>
    </row>
    <row r="8076" spans="1:13">
      <c r="A8076" t="s">
        <v>851</v>
      </c>
      <c r="B8076" t="s">
        <v>687</v>
      </c>
      <c r="C8076" t="s">
        <v>687</v>
      </c>
      <c r="D8076" t="s">
        <v>3174</v>
      </c>
      <c r="E8076" t="s">
        <v>646</v>
      </c>
      <c r="F8076" t="s">
        <v>40</v>
      </c>
      <c r="G8076">
        <v>2040</v>
      </c>
      <c r="H8076" s="12">
        <v>6324</v>
      </c>
      <c r="I8076" t="s">
        <v>3183</v>
      </c>
      <c r="J8076" t="s">
        <v>394</v>
      </c>
      <c r="K8076" t="s">
        <v>272</v>
      </c>
      <c r="L8076" t="s">
        <v>3184</v>
      </c>
      <c r="M8076" t="s">
        <v>16</v>
      </c>
    </row>
    <row r="8077" spans="1:13">
      <c r="A8077" t="s">
        <v>851</v>
      </c>
      <c r="B8077" t="s">
        <v>687</v>
      </c>
      <c r="C8077" t="s">
        <v>687</v>
      </c>
      <c r="D8077" t="s">
        <v>3174</v>
      </c>
      <c r="E8077" t="s">
        <v>646</v>
      </c>
      <c r="F8077" t="s">
        <v>40</v>
      </c>
      <c r="G8077">
        <v>2045</v>
      </c>
      <c r="H8077" s="12">
        <v>6085</v>
      </c>
      <c r="I8077" t="s">
        <v>3183</v>
      </c>
      <c r="J8077" t="s">
        <v>394</v>
      </c>
      <c r="K8077" t="s">
        <v>272</v>
      </c>
      <c r="L8077" t="s">
        <v>3184</v>
      </c>
      <c r="M8077" t="s">
        <v>16</v>
      </c>
    </row>
    <row r="8078" spans="1:13">
      <c r="A8078" t="s">
        <v>851</v>
      </c>
      <c r="B8078" t="s">
        <v>687</v>
      </c>
      <c r="C8078" t="s">
        <v>687</v>
      </c>
      <c r="D8078" t="s">
        <v>3174</v>
      </c>
      <c r="E8078" t="s">
        <v>646</v>
      </c>
      <c r="F8078" t="s">
        <v>40</v>
      </c>
      <c r="G8078">
        <v>2050</v>
      </c>
      <c r="H8078" s="12">
        <v>5838</v>
      </c>
      <c r="I8078" t="s">
        <v>3183</v>
      </c>
      <c r="J8078" t="s">
        <v>394</v>
      </c>
      <c r="K8078" t="s">
        <v>272</v>
      </c>
      <c r="L8078" t="s">
        <v>3184</v>
      </c>
      <c r="M8078" t="s">
        <v>16</v>
      </c>
    </row>
    <row r="8079" spans="1:13">
      <c r="A8079" t="s">
        <v>851</v>
      </c>
      <c r="B8079" t="s">
        <v>686</v>
      </c>
      <c r="C8079" t="s">
        <v>686</v>
      </c>
      <c r="D8079" t="s">
        <v>3174</v>
      </c>
      <c r="E8079" t="s">
        <v>660</v>
      </c>
      <c r="F8079" t="s">
        <v>40</v>
      </c>
      <c r="G8079">
        <v>2010</v>
      </c>
      <c r="H8079" s="12">
        <v>21017</v>
      </c>
      <c r="I8079" t="s">
        <v>3183</v>
      </c>
      <c r="J8079" t="s">
        <v>5</v>
      </c>
      <c r="K8079" t="s">
        <v>657</v>
      </c>
      <c r="L8079" t="s">
        <v>3184</v>
      </c>
      <c r="M8079" t="s">
        <v>5</v>
      </c>
    </row>
    <row r="8080" spans="1:13">
      <c r="A8080" t="s">
        <v>851</v>
      </c>
      <c r="B8080" t="s">
        <v>686</v>
      </c>
      <c r="C8080" t="s">
        <v>686</v>
      </c>
      <c r="D8080" t="s">
        <v>3174</v>
      </c>
      <c r="E8080" t="s">
        <v>660</v>
      </c>
      <c r="F8080" t="s">
        <v>40</v>
      </c>
      <c r="G8080">
        <v>2015</v>
      </c>
      <c r="H8080" s="12">
        <v>15682</v>
      </c>
      <c r="I8080" t="s">
        <v>3183</v>
      </c>
      <c r="J8080" t="s">
        <v>5</v>
      </c>
      <c r="K8080" t="s">
        <v>657</v>
      </c>
      <c r="L8080" t="s">
        <v>3184</v>
      </c>
      <c r="M8080" t="s">
        <v>5</v>
      </c>
    </row>
    <row r="8081" spans="1:13">
      <c r="A8081" t="s">
        <v>851</v>
      </c>
      <c r="B8081" t="s">
        <v>686</v>
      </c>
      <c r="C8081" t="s">
        <v>686</v>
      </c>
      <c r="D8081" t="s">
        <v>3174</v>
      </c>
      <c r="E8081" t="s">
        <v>660</v>
      </c>
      <c r="F8081" t="s">
        <v>40</v>
      </c>
      <c r="G8081">
        <v>2020</v>
      </c>
      <c r="H8081" s="12">
        <v>9304</v>
      </c>
      <c r="I8081" t="s">
        <v>3183</v>
      </c>
      <c r="J8081" t="s">
        <v>5</v>
      </c>
      <c r="K8081" t="s">
        <v>657</v>
      </c>
      <c r="L8081" t="s">
        <v>3184</v>
      </c>
      <c r="M8081" t="s">
        <v>5</v>
      </c>
    </row>
    <row r="8082" spans="1:13">
      <c r="A8082" t="s">
        <v>851</v>
      </c>
      <c r="B8082" t="s">
        <v>686</v>
      </c>
      <c r="C8082" t="s">
        <v>686</v>
      </c>
      <c r="D8082" t="s">
        <v>3174</v>
      </c>
      <c r="E8082" t="s">
        <v>660</v>
      </c>
      <c r="F8082" t="s">
        <v>40</v>
      </c>
      <c r="G8082">
        <v>2030</v>
      </c>
      <c r="H8082" s="12">
        <v>2640</v>
      </c>
      <c r="I8082" t="s">
        <v>3183</v>
      </c>
      <c r="J8082" t="s">
        <v>5</v>
      </c>
      <c r="K8082" t="s">
        <v>657</v>
      </c>
      <c r="L8082" t="s">
        <v>3184</v>
      </c>
      <c r="M8082" t="s">
        <v>5</v>
      </c>
    </row>
    <row r="8083" spans="1:13">
      <c r="A8083" t="s">
        <v>851</v>
      </c>
      <c r="B8083" t="s">
        <v>686</v>
      </c>
      <c r="C8083" t="s">
        <v>686</v>
      </c>
      <c r="D8083" t="s">
        <v>3174</v>
      </c>
      <c r="E8083" t="s">
        <v>660</v>
      </c>
      <c r="F8083" t="s">
        <v>40</v>
      </c>
      <c r="G8083">
        <v>2035</v>
      </c>
      <c r="H8083" s="12">
        <v>1161</v>
      </c>
      <c r="I8083" t="s">
        <v>3183</v>
      </c>
      <c r="J8083" t="s">
        <v>5</v>
      </c>
      <c r="K8083" t="s">
        <v>657</v>
      </c>
      <c r="L8083" t="s">
        <v>3184</v>
      </c>
      <c r="M8083" t="s">
        <v>5</v>
      </c>
    </row>
    <row r="8084" spans="1:13">
      <c r="A8084" t="s">
        <v>851</v>
      </c>
      <c r="B8084" t="s">
        <v>686</v>
      </c>
      <c r="C8084" t="s">
        <v>686</v>
      </c>
      <c r="D8084" t="s">
        <v>3174</v>
      </c>
      <c r="E8084" t="s">
        <v>660</v>
      </c>
      <c r="F8084" t="s">
        <v>40</v>
      </c>
      <c r="G8084">
        <v>2040</v>
      </c>
      <c r="H8084" s="12">
        <v>950</v>
      </c>
      <c r="I8084" t="s">
        <v>3183</v>
      </c>
      <c r="J8084" t="s">
        <v>5</v>
      </c>
      <c r="K8084" t="s">
        <v>657</v>
      </c>
      <c r="L8084" t="s">
        <v>3184</v>
      </c>
      <c r="M8084" t="s">
        <v>5</v>
      </c>
    </row>
    <row r="8085" spans="1:13">
      <c r="A8085" t="s">
        <v>851</v>
      </c>
      <c r="B8085" t="s">
        <v>686</v>
      </c>
      <c r="C8085" t="s">
        <v>686</v>
      </c>
      <c r="D8085" t="s">
        <v>3174</v>
      </c>
      <c r="E8085" t="s">
        <v>660</v>
      </c>
      <c r="F8085" t="s">
        <v>40</v>
      </c>
      <c r="G8085">
        <v>2045</v>
      </c>
      <c r="H8085" s="12">
        <v>879</v>
      </c>
      <c r="I8085" t="s">
        <v>3183</v>
      </c>
      <c r="J8085" t="s">
        <v>5</v>
      </c>
      <c r="K8085" t="s">
        <v>657</v>
      </c>
      <c r="L8085" t="s">
        <v>3184</v>
      </c>
      <c r="M8085" t="s">
        <v>5</v>
      </c>
    </row>
    <row r="8086" spans="1:13">
      <c r="A8086" t="s">
        <v>851</v>
      </c>
      <c r="B8086" t="s">
        <v>686</v>
      </c>
      <c r="C8086" t="s">
        <v>686</v>
      </c>
      <c r="D8086" t="s">
        <v>3174</v>
      </c>
      <c r="E8086" t="s">
        <v>660</v>
      </c>
      <c r="F8086" t="s">
        <v>40</v>
      </c>
      <c r="G8086">
        <v>2050</v>
      </c>
      <c r="H8086" s="12">
        <v>763</v>
      </c>
      <c r="I8086" t="s">
        <v>3183</v>
      </c>
      <c r="J8086" t="s">
        <v>5</v>
      </c>
      <c r="K8086" t="s">
        <v>657</v>
      </c>
      <c r="L8086" t="s">
        <v>3184</v>
      </c>
      <c r="M8086" t="s">
        <v>5</v>
      </c>
    </row>
    <row r="8087" spans="1:13">
      <c r="A8087" t="s">
        <v>851</v>
      </c>
      <c r="B8087" t="s">
        <v>687</v>
      </c>
      <c r="C8087" t="s">
        <v>687</v>
      </c>
      <c r="D8087" t="s">
        <v>3174</v>
      </c>
      <c r="E8087" t="s">
        <v>660</v>
      </c>
      <c r="F8087" t="s">
        <v>40</v>
      </c>
      <c r="G8087">
        <v>2030</v>
      </c>
      <c r="H8087" s="12">
        <v>1858</v>
      </c>
      <c r="I8087" t="s">
        <v>3183</v>
      </c>
      <c r="J8087" t="s">
        <v>5</v>
      </c>
      <c r="K8087" t="s">
        <v>657</v>
      </c>
      <c r="L8087" t="s">
        <v>3184</v>
      </c>
      <c r="M8087" t="s">
        <v>5</v>
      </c>
    </row>
    <row r="8088" spans="1:13">
      <c r="A8088" t="s">
        <v>851</v>
      </c>
      <c r="B8088" t="s">
        <v>687</v>
      </c>
      <c r="C8088" t="s">
        <v>687</v>
      </c>
      <c r="D8088" t="s">
        <v>3174</v>
      </c>
      <c r="E8088" t="s">
        <v>660</v>
      </c>
      <c r="F8088" t="s">
        <v>40</v>
      </c>
      <c r="G8088">
        <v>2035</v>
      </c>
      <c r="H8088" s="12">
        <v>824</v>
      </c>
      <c r="I8088" t="s">
        <v>3183</v>
      </c>
      <c r="J8088" t="s">
        <v>5</v>
      </c>
      <c r="K8088" t="s">
        <v>657</v>
      </c>
      <c r="L8088" t="s">
        <v>3184</v>
      </c>
      <c r="M8088" t="s">
        <v>5</v>
      </c>
    </row>
    <row r="8089" spans="1:13">
      <c r="A8089" t="s">
        <v>851</v>
      </c>
      <c r="B8089" t="s">
        <v>687</v>
      </c>
      <c r="C8089" t="s">
        <v>687</v>
      </c>
      <c r="D8089" t="s">
        <v>3174</v>
      </c>
      <c r="E8089" t="s">
        <v>660</v>
      </c>
      <c r="F8089" t="s">
        <v>40</v>
      </c>
      <c r="G8089">
        <v>2040</v>
      </c>
      <c r="H8089" s="12">
        <v>696</v>
      </c>
      <c r="I8089" t="s">
        <v>3183</v>
      </c>
      <c r="J8089" t="s">
        <v>5</v>
      </c>
      <c r="K8089" t="s">
        <v>657</v>
      </c>
      <c r="L8089" t="s">
        <v>3184</v>
      </c>
      <c r="M8089" t="s">
        <v>5</v>
      </c>
    </row>
    <row r="8090" spans="1:13">
      <c r="A8090" t="s">
        <v>851</v>
      </c>
      <c r="B8090" t="s">
        <v>687</v>
      </c>
      <c r="C8090" t="s">
        <v>687</v>
      </c>
      <c r="D8090" t="s">
        <v>3174</v>
      </c>
      <c r="E8090" t="s">
        <v>660</v>
      </c>
      <c r="F8090" t="s">
        <v>40</v>
      </c>
      <c r="G8090">
        <v>2045</v>
      </c>
      <c r="H8090" s="12">
        <v>602</v>
      </c>
      <c r="I8090" t="s">
        <v>3183</v>
      </c>
      <c r="J8090" t="s">
        <v>5</v>
      </c>
      <c r="K8090" t="s">
        <v>657</v>
      </c>
      <c r="L8090" t="s">
        <v>3184</v>
      </c>
      <c r="M8090" t="s">
        <v>5</v>
      </c>
    </row>
    <row r="8091" spans="1:13">
      <c r="A8091" t="s">
        <v>851</v>
      </c>
      <c r="B8091" t="s">
        <v>687</v>
      </c>
      <c r="C8091" t="s">
        <v>687</v>
      </c>
      <c r="D8091" t="s">
        <v>3174</v>
      </c>
      <c r="E8091" t="s">
        <v>660</v>
      </c>
      <c r="F8091" t="s">
        <v>40</v>
      </c>
      <c r="G8091">
        <v>2050</v>
      </c>
      <c r="H8091" s="12">
        <v>495</v>
      </c>
      <c r="I8091" t="s">
        <v>3183</v>
      </c>
      <c r="J8091" t="s">
        <v>5</v>
      </c>
      <c r="K8091" t="s">
        <v>657</v>
      </c>
      <c r="L8091" t="s">
        <v>3184</v>
      </c>
      <c r="M8091" t="s">
        <v>5</v>
      </c>
    </row>
    <row r="8092" spans="1:13">
      <c r="A8092" t="s">
        <v>851</v>
      </c>
      <c r="B8092" t="s">
        <v>686</v>
      </c>
      <c r="C8092" t="s">
        <v>686</v>
      </c>
      <c r="D8092" t="s">
        <v>3185</v>
      </c>
      <c r="E8092" t="s">
        <v>242</v>
      </c>
      <c r="F8092" t="s">
        <v>663</v>
      </c>
      <c r="G8092">
        <v>2010</v>
      </c>
      <c r="H8092" s="12">
        <v>158.96</v>
      </c>
      <c r="I8092" t="s">
        <v>3183</v>
      </c>
      <c r="J8092" t="s">
        <v>5</v>
      </c>
      <c r="K8092" t="s">
        <v>664</v>
      </c>
      <c r="L8092" t="s">
        <v>652</v>
      </c>
      <c r="M8092" t="s">
        <v>5</v>
      </c>
    </row>
    <row r="8093" spans="1:13">
      <c r="A8093" t="s">
        <v>851</v>
      </c>
      <c r="B8093" t="s">
        <v>686</v>
      </c>
      <c r="C8093" t="s">
        <v>686</v>
      </c>
      <c r="D8093" t="s">
        <v>3174</v>
      </c>
      <c r="E8093" t="s">
        <v>660</v>
      </c>
      <c r="F8093" t="s">
        <v>40</v>
      </c>
      <c r="G8093">
        <v>2010</v>
      </c>
      <c r="H8093" s="12">
        <v>98</v>
      </c>
      <c r="I8093" t="s">
        <v>3183</v>
      </c>
      <c r="J8093" t="s">
        <v>17</v>
      </c>
      <c r="K8093" t="s">
        <v>657</v>
      </c>
      <c r="L8093" t="s">
        <v>3184</v>
      </c>
      <c r="M8093" t="s">
        <v>17</v>
      </c>
    </row>
    <row r="8094" spans="1:13">
      <c r="A8094" t="s">
        <v>851</v>
      </c>
      <c r="B8094" t="s">
        <v>686</v>
      </c>
      <c r="C8094" t="s">
        <v>686</v>
      </c>
      <c r="D8094" t="s">
        <v>3174</v>
      </c>
      <c r="E8094" t="s">
        <v>660</v>
      </c>
      <c r="F8094" t="s">
        <v>40</v>
      </c>
      <c r="G8094">
        <v>2015</v>
      </c>
      <c r="H8094" s="12">
        <v>242</v>
      </c>
      <c r="I8094" t="s">
        <v>3183</v>
      </c>
      <c r="J8094" t="s">
        <v>17</v>
      </c>
      <c r="K8094" t="s">
        <v>657</v>
      </c>
      <c r="L8094" t="s">
        <v>3184</v>
      </c>
      <c r="M8094" t="s">
        <v>17</v>
      </c>
    </row>
    <row r="8095" spans="1:13">
      <c r="A8095" t="s">
        <v>851</v>
      </c>
      <c r="B8095" t="s">
        <v>686</v>
      </c>
      <c r="C8095" t="s">
        <v>686</v>
      </c>
      <c r="D8095" t="s">
        <v>3174</v>
      </c>
      <c r="E8095" t="s">
        <v>660</v>
      </c>
      <c r="F8095" t="s">
        <v>40</v>
      </c>
      <c r="G8095">
        <v>2020</v>
      </c>
      <c r="H8095" s="12">
        <v>561</v>
      </c>
      <c r="I8095" t="s">
        <v>3183</v>
      </c>
      <c r="J8095" t="s">
        <v>17</v>
      </c>
      <c r="K8095" t="s">
        <v>657</v>
      </c>
      <c r="L8095" t="s">
        <v>3184</v>
      </c>
      <c r="M8095" t="s">
        <v>17</v>
      </c>
    </row>
    <row r="8096" spans="1:13">
      <c r="A8096" t="s">
        <v>851</v>
      </c>
      <c r="B8096" t="s">
        <v>686</v>
      </c>
      <c r="C8096" t="s">
        <v>686</v>
      </c>
      <c r="D8096" t="s">
        <v>3174</v>
      </c>
      <c r="E8096" t="s">
        <v>660</v>
      </c>
      <c r="F8096" t="s">
        <v>40</v>
      </c>
      <c r="G8096">
        <v>2030</v>
      </c>
      <c r="H8096" s="12">
        <v>2710</v>
      </c>
      <c r="I8096" t="s">
        <v>3183</v>
      </c>
      <c r="J8096" t="s">
        <v>17</v>
      </c>
      <c r="K8096" t="s">
        <v>657</v>
      </c>
      <c r="L8096" t="s">
        <v>3184</v>
      </c>
      <c r="M8096" t="s">
        <v>17</v>
      </c>
    </row>
    <row r="8097" spans="1:13">
      <c r="A8097" t="s">
        <v>851</v>
      </c>
      <c r="B8097" t="s">
        <v>686</v>
      </c>
      <c r="C8097" t="s">
        <v>686</v>
      </c>
      <c r="D8097" t="s">
        <v>3174</v>
      </c>
      <c r="E8097" t="s">
        <v>660</v>
      </c>
      <c r="F8097" t="s">
        <v>40</v>
      </c>
      <c r="G8097">
        <v>2035</v>
      </c>
      <c r="H8097" s="12">
        <v>4554</v>
      </c>
      <c r="I8097" t="s">
        <v>3183</v>
      </c>
      <c r="J8097" t="s">
        <v>17</v>
      </c>
      <c r="K8097" t="s">
        <v>657</v>
      </c>
      <c r="L8097" t="s">
        <v>3184</v>
      </c>
      <c r="M8097" t="s">
        <v>17</v>
      </c>
    </row>
    <row r="8098" spans="1:13">
      <c r="A8098" t="s">
        <v>851</v>
      </c>
      <c r="B8098" t="s">
        <v>686</v>
      </c>
      <c r="C8098" t="s">
        <v>686</v>
      </c>
      <c r="D8098" t="s">
        <v>3174</v>
      </c>
      <c r="E8098" t="s">
        <v>660</v>
      </c>
      <c r="F8098" t="s">
        <v>40</v>
      </c>
      <c r="G8098">
        <v>2040</v>
      </c>
      <c r="H8098" s="12">
        <v>6385</v>
      </c>
      <c r="I8098" t="s">
        <v>3183</v>
      </c>
      <c r="J8098" t="s">
        <v>17</v>
      </c>
      <c r="K8098" t="s">
        <v>657</v>
      </c>
      <c r="L8098" t="s">
        <v>3184</v>
      </c>
      <c r="M8098" t="s">
        <v>17</v>
      </c>
    </row>
    <row r="8099" spans="1:13">
      <c r="A8099" t="s">
        <v>851</v>
      </c>
      <c r="B8099" t="s">
        <v>686</v>
      </c>
      <c r="C8099" t="s">
        <v>686</v>
      </c>
      <c r="D8099" t="s">
        <v>3174</v>
      </c>
      <c r="E8099" t="s">
        <v>660</v>
      </c>
      <c r="F8099" t="s">
        <v>40</v>
      </c>
      <c r="G8099">
        <v>2045</v>
      </c>
      <c r="H8099" s="12">
        <v>7927</v>
      </c>
      <c r="I8099" t="s">
        <v>3183</v>
      </c>
      <c r="J8099" t="s">
        <v>17</v>
      </c>
      <c r="K8099" t="s">
        <v>657</v>
      </c>
      <c r="L8099" t="s">
        <v>3184</v>
      </c>
      <c r="M8099" t="s">
        <v>17</v>
      </c>
    </row>
    <row r="8100" spans="1:13">
      <c r="A8100" t="s">
        <v>851</v>
      </c>
      <c r="B8100" t="s">
        <v>686</v>
      </c>
      <c r="C8100" t="s">
        <v>686</v>
      </c>
      <c r="D8100" t="s">
        <v>3174</v>
      </c>
      <c r="E8100" t="s">
        <v>660</v>
      </c>
      <c r="F8100" t="s">
        <v>40</v>
      </c>
      <c r="G8100">
        <v>2050</v>
      </c>
      <c r="H8100" s="12">
        <v>9260</v>
      </c>
      <c r="I8100" t="s">
        <v>3183</v>
      </c>
      <c r="J8100" t="s">
        <v>17</v>
      </c>
      <c r="K8100" t="s">
        <v>657</v>
      </c>
      <c r="L8100" t="s">
        <v>3184</v>
      </c>
      <c r="M8100" t="s">
        <v>17</v>
      </c>
    </row>
    <row r="8101" spans="1:13">
      <c r="A8101" t="s">
        <v>851</v>
      </c>
      <c r="B8101" t="s">
        <v>687</v>
      </c>
      <c r="C8101" t="s">
        <v>687</v>
      </c>
      <c r="D8101" t="s">
        <v>3174</v>
      </c>
      <c r="E8101" t="s">
        <v>660</v>
      </c>
      <c r="F8101" t="s">
        <v>40</v>
      </c>
      <c r="G8101">
        <v>2030</v>
      </c>
      <c r="H8101" s="12">
        <v>3854</v>
      </c>
      <c r="I8101" t="s">
        <v>3183</v>
      </c>
      <c r="J8101" t="s">
        <v>17</v>
      </c>
      <c r="K8101" t="s">
        <v>657</v>
      </c>
      <c r="L8101" t="s">
        <v>3184</v>
      </c>
      <c r="M8101" t="s">
        <v>17</v>
      </c>
    </row>
    <row r="8102" spans="1:13">
      <c r="A8102" t="s">
        <v>851</v>
      </c>
      <c r="B8102" t="s">
        <v>687</v>
      </c>
      <c r="C8102" t="s">
        <v>687</v>
      </c>
      <c r="D8102" t="s">
        <v>3174</v>
      </c>
      <c r="E8102" t="s">
        <v>660</v>
      </c>
      <c r="F8102" t="s">
        <v>40</v>
      </c>
      <c r="G8102">
        <v>2035</v>
      </c>
      <c r="H8102" s="12">
        <v>6528</v>
      </c>
      <c r="I8102" t="s">
        <v>3183</v>
      </c>
      <c r="J8102" t="s">
        <v>17</v>
      </c>
      <c r="K8102" t="s">
        <v>657</v>
      </c>
      <c r="L8102" t="s">
        <v>3184</v>
      </c>
      <c r="M8102" t="s">
        <v>17</v>
      </c>
    </row>
    <row r="8103" spans="1:13">
      <c r="A8103" t="s">
        <v>851</v>
      </c>
      <c r="B8103" t="s">
        <v>687</v>
      </c>
      <c r="C8103" t="s">
        <v>687</v>
      </c>
      <c r="D8103" t="s">
        <v>3174</v>
      </c>
      <c r="E8103" t="s">
        <v>660</v>
      </c>
      <c r="F8103" t="s">
        <v>40</v>
      </c>
      <c r="G8103">
        <v>2040</v>
      </c>
      <c r="H8103" s="12">
        <v>8711</v>
      </c>
      <c r="I8103" t="s">
        <v>3183</v>
      </c>
      <c r="J8103" t="s">
        <v>17</v>
      </c>
      <c r="K8103" t="s">
        <v>657</v>
      </c>
      <c r="L8103" t="s">
        <v>3184</v>
      </c>
      <c r="M8103" t="s">
        <v>17</v>
      </c>
    </row>
    <row r="8104" spans="1:13">
      <c r="A8104" t="s">
        <v>851</v>
      </c>
      <c r="B8104" t="s">
        <v>687</v>
      </c>
      <c r="C8104" t="s">
        <v>687</v>
      </c>
      <c r="D8104" t="s">
        <v>3174</v>
      </c>
      <c r="E8104" t="s">
        <v>660</v>
      </c>
      <c r="F8104" t="s">
        <v>40</v>
      </c>
      <c r="G8104">
        <v>2045</v>
      </c>
      <c r="H8104" s="12">
        <v>10737</v>
      </c>
      <c r="I8104" t="s">
        <v>3183</v>
      </c>
      <c r="J8104" t="s">
        <v>17</v>
      </c>
      <c r="K8104" t="s">
        <v>657</v>
      </c>
      <c r="L8104" t="s">
        <v>3184</v>
      </c>
      <c r="M8104" t="s">
        <v>17</v>
      </c>
    </row>
    <row r="8105" spans="1:13">
      <c r="A8105" t="s">
        <v>851</v>
      </c>
      <c r="B8105" t="s">
        <v>687</v>
      </c>
      <c r="C8105" t="s">
        <v>687</v>
      </c>
      <c r="D8105" t="s">
        <v>3174</v>
      </c>
      <c r="E8105" t="s">
        <v>660</v>
      </c>
      <c r="F8105" t="s">
        <v>40</v>
      </c>
      <c r="G8105">
        <v>2050</v>
      </c>
      <c r="H8105" s="12">
        <v>12530</v>
      </c>
      <c r="I8105" t="s">
        <v>3183</v>
      </c>
      <c r="J8105" t="s">
        <v>17</v>
      </c>
      <c r="K8105" t="s">
        <v>657</v>
      </c>
      <c r="L8105" t="s">
        <v>3184</v>
      </c>
      <c r="M8105" t="s">
        <v>17</v>
      </c>
    </row>
    <row r="8106" spans="1:13">
      <c r="A8106" t="s">
        <v>851</v>
      </c>
      <c r="B8106" t="s">
        <v>686</v>
      </c>
      <c r="C8106" t="s">
        <v>686</v>
      </c>
      <c r="D8106" t="s">
        <v>3174</v>
      </c>
      <c r="E8106" t="s">
        <v>660</v>
      </c>
      <c r="F8106" t="s">
        <v>40</v>
      </c>
      <c r="G8106">
        <v>2010</v>
      </c>
      <c r="H8106" s="12">
        <v>343</v>
      </c>
      <c r="I8106" t="s">
        <v>3183</v>
      </c>
      <c r="J8106" t="s">
        <v>18</v>
      </c>
      <c r="K8106" t="s">
        <v>657</v>
      </c>
      <c r="L8106" t="s">
        <v>3184</v>
      </c>
      <c r="M8106" t="s">
        <v>18</v>
      </c>
    </row>
    <row r="8107" spans="1:13">
      <c r="A8107" t="s">
        <v>851</v>
      </c>
      <c r="B8107" t="s">
        <v>686</v>
      </c>
      <c r="C8107" t="s">
        <v>686</v>
      </c>
      <c r="D8107" t="s">
        <v>3174</v>
      </c>
      <c r="E8107" t="s">
        <v>660</v>
      </c>
      <c r="F8107" t="s">
        <v>40</v>
      </c>
      <c r="G8107">
        <v>2015</v>
      </c>
      <c r="H8107" s="12">
        <v>695</v>
      </c>
      <c r="I8107" t="s">
        <v>3183</v>
      </c>
      <c r="J8107" t="s">
        <v>18</v>
      </c>
      <c r="K8107" t="s">
        <v>657</v>
      </c>
      <c r="L8107" t="s">
        <v>3184</v>
      </c>
      <c r="M8107" t="s">
        <v>18</v>
      </c>
    </row>
    <row r="8108" spans="1:13">
      <c r="A8108" t="s">
        <v>851</v>
      </c>
      <c r="B8108" t="s">
        <v>686</v>
      </c>
      <c r="C8108" t="s">
        <v>686</v>
      </c>
      <c r="D8108" t="s">
        <v>3174</v>
      </c>
      <c r="E8108" t="s">
        <v>660</v>
      </c>
      <c r="F8108" t="s">
        <v>40</v>
      </c>
      <c r="G8108">
        <v>2020</v>
      </c>
      <c r="H8108" s="12">
        <v>1231</v>
      </c>
      <c r="I8108" t="s">
        <v>3183</v>
      </c>
      <c r="J8108" t="s">
        <v>18</v>
      </c>
      <c r="K8108" t="s">
        <v>657</v>
      </c>
      <c r="L8108" t="s">
        <v>3184</v>
      </c>
      <c r="M8108" t="s">
        <v>18</v>
      </c>
    </row>
    <row r="8109" spans="1:13">
      <c r="A8109" t="s">
        <v>851</v>
      </c>
      <c r="B8109" t="s">
        <v>686</v>
      </c>
      <c r="C8109" t="s">
        <v>686</v>
      </c>
      <c r="D8109" t="s">
        <v>3174</v>
      </c>
      <c r="E8109" t="s">
        <v>660</v>
      </c>
      <c r="F8109" t="s">
        <v>40</v>
      </c>
      <c r="G8109">
        <v>2030</v>
      </c>
      <c r="H8109" s="12">
        <v>3415</v>
      </c>
      <c r="I8109" t="s">
        <v>3183</v>
      </c>
      <c r="J8109" t="s">
        <v>18</v>
      </c>
      <c r="K8109" t="s">
        <v>657</v>
      </c>
      <c r="L8109" t="s">
        <v>3184</v>
      </c>
      <c r="M8109" t="s">
        <v>18</v>
      </c>
    </row>
    <row r="8110" spans="1:13">
      <c r="A8110" t="s">
        <v>851</v>
      </c>
      <c r="B8110" t="s">
        <v>686</v>
      </c>
      <c r="C8110" t="s">
        <v>686</v>
      </c>
      <c r="D8110" t="s">
        <v>3174</v>
      </c>
      <c r="E8110" t="s">
        <v>660</v>
      </c>
      <c r="F8110" t="s">
        <v>40</v>
      </c>
      <c r="G8110">
        <v>2035</v>
      </c>
      <c r="H8110" s="12">
        <v>5095</v>
      </c>
      <c r="I8110" t="s">
        <v>3183</v>
      </c>
      <c r="J8110" t="s">
        <v>18</v>
      </c>
      <c r="K8110" t="s">
        <v>657</v>
      </c>
      <c r="L8110" t="s">
        <v>3184</v>
      </c>
      <c r="M8110" t="s">
        <v>18</v>
      </c>
    </row>
    <row r="8111" spans="1:13">
      <c r="A8111" t="s">
        <v>851</v>
      </c>
      <c r="B8111" t="s">
        <v>686</v>
      </c>
      <c r="C8111" t="s">
        <v>686</v>
      </c>
      <c r="D8111" t="s">
        <v>3174</v>
      </c>
      <c r="E8111" t="s">
        <v>660</v>
      </c>
      <c r="F8111" t="s">
        <v>40</v>
      </c>
      <c r="G8111">
        <v>2040</v>
      </c>
      <c r="H8111" s="12">
        <v>6092</v>
      </c>
      <c r="I8111" t="s">
        <v>3183</v>
      </c>
      <c r="J8111" t="s">
        <v>18</v>
      </c>
      <c r="K8111" t="s">
        <v>657</v>
      </c>
      <c r="L8111" t="s">
        <v>3184</v>
      </c>
      <c r="M8111" t="s">
        <v>18</v>
      </c>
    </row>
    <row r="8112" spans="1:13">
      <c r="A8112" t="s">
        <v>851</v>
      </c>
      <c r="B8112" t="s">
        <v>686</v>
      </c>
      <c r="C8112" t="s">
        <v>686</v>
      </c>
      <c r="D8112" t="s">
        <v>3174</v>
      </c>
      <c r="E8112" t="s">
        <v>660</v>
      </c>
      <c r="F8112" t="s">
        <v>40</v>
      </c>
      <c r="G8112">
        <v>2045</v>
      </c>
      <c r="H8112" s="12">
        <v>6676</v>
      </c>
      <c r="I8112" t="s">
        <v>3183</v>
      </c>
      <c r="J8112" t="s">
        <v>18</v>
      </c>
      <c r="K8112" t="s">
        <v>657</v>
      </c>
      <c r="L8112" t="s">
        <v>3184</v>
      </c>
      <c r="M8112" t="s">
        <v>18</v>
      </c>
    </row>
    <row r="8113" spans="1:13">
      <c r="A8113" t="s">
        <v>851</v>
      </c>
      <c r="B8113" t="s">
        <v>686</v>
      </c>
      <c r="C8113" t="s">
        <v>686</v>
      </c>
      <c r="D8113" t="s">
        <v>3174</v>
      </c>
      <c r="E8113" t="s">
        <v>660</v>
      </c>
      <c r="F8113" t="s">
        <v>40</v>
      </c>
      <c r="G8113">
        <v>2050</v>
      </c>
      <c r="H8113" s="12">
        <v>6951</v>
      </c>
      <c r="I8113" t="s">
        <v>3183</v>
      </c>
      <c r="J8113" t="s">
        <v>18</v>
      </c>
      <c r="K8113" t="s">
        <v>657</v>
      </c>
      <c r="L8113" t="s">
        <v>3184</v>
      </c>
      <c r="M8113" t="s">
        <v>18</v>
      </c>
    </row>
    <row r="8114" spans="1:13">
      <c r="A8114" t="s">
        <v>851</v>
      </c>
      <c r="B8114" t="s">
        <v>687</v>
      </c>
      <c r="C8114" t="s">
        <v>687</v>
      </c>
      <c r="D8114" t="s">
        <v>3174</v>
      </c>
      <c r="E8114" t="s">
        <v>660</v>
      </c>
      <c r="F8114" t="s">
        <v>40</v>
      </c>
      <c r="G8114">
        <v>2030</v>
      </c>
      <c r="H8114" s="12">
        <v>4446</v>
      </c>
      <c r="I8114" t="s">
        <v>3183</v>
      </c>
      <c r="J8114" t="s">
        <v>18</v>
      </c>
      <c r="K8114" t="s">
        <v>657</v>
      </c>
      <c r="L8114" t="s">
        <v>3184</v>
      </c>
      <c r="M8114" t="s">
        <v>18</v>
      </c>
    </row>
    <row r="8115" spans="1:13">
      <c r="A8115" t="s">
        <v>851</v>
      </c>
      <c r="B8115" t="s">
        <v>687</v>
      </c>
      <c r="C8115" t="s">
        <v>687</v>
      </c>
      <c r="D8115" t="s">
        <v>3174</v>
      </c>
      <c r="E8115" t="s">
        <v>660</v>
      </c>
      <c r="F8115" t="s">
        <v>40</v>
      </c>
      <c r="G8115">
        <v>2035</v>
      </c>
      <c r="H8115" s="12">
        <v>7145</v>
      </c>
      <c r="I8115" t="s">
        <v>3183</v>
      </c>
      <c r="J8115" t="s">
        <v>18</v>
      </c>
      <c r="K8115" t="s">
        <v>657</v>
      </c>
      <c r="L8115" t="s">
        <v>3184</v>
      </c>
      <c r="M8115" t="s">
        <v>18</v>
      </c>
    </row>
    <row r="8116" spans="1:13">
      <c r="A8116" t="s">
        <v>851</v>
      </c>
      <c r="B8116" t="s">
        <v>686</v>
      </c>
      <c r="C8116" t="s">
        <v>686</v>
      </c>
      <c r="D8116" t="s">
        <v>3185</v>
      </c>
      <c r="E8116" t="s">
        <v>242</v>
      </c>
      <c r="F8116" t="s">
        <v>663</v>
      </c>
      <c r="G8116">
        <v>2015</v>
      </c>
      <c r="H8116" s="12">
        <v>684.12</v>
      </c>
      <c r="I8116" t="s">
        <v>3183</v>
      </c>
      <c r="J8116" t="s">
        <v>6</v>
      </c>
      <c r="K8116" t="s">
        <v>147</v>
      </c>
      <c r="L8116" t="s">
        <v>652</v>
      </c>
      <c r="M8116" t="s">
        <v>659</v>
      </c>
    </row>
    <row r="8117" spans="1:13">
      <c r="A8117" t="s">
        <v>851</v>
      </c>
      <c r="B8117" t="s">
        <v>686</v>
      </c>
      <c r="C8117" t="s">
        <v>686</v>
      </c>
      <c r="D8117" t="s">
        <v>3185</v>
      </c>
      <c r="E8117" t="s">
        <v>242</v>
      </c>
      <c r="F8117" t="s">
        <v>663</v>
      </c>
      <c r="G8117">
        <v>2020</v>
      </c>
      <c r="H8117" s="12">
        <v>790.58</v>
      </c>
      <c r="I8117" t="s">
        <v>3183</v>
      </c>
      <c r="J8117" t="s">
        <v>6</v>
      </c>
      <c r="K8117" t="s">
        <v>147</v>
      </c>
      <c r="L8117" t="s">
        <v>652</v>
      </c>
      <c r="M8117" t="s">
        <v>659</v>
      </c>
    </row>
    <row r="8118" spans="1:13">
      <c r="A8118" t="s">
        <v>851</v>
      </c>
      <c r="B8118" t="s">
        <v>686</v>
      </c>
      <c r="C8118" t="s">
        <v>686</v>
      </c>
      <c r="D8118" t="s">
        <v>3185</v>
      </c>
      <c r="E8118" t="s">
        <v>242</v>
      </c>
      <c r="F8118" t="s">
        <v>663</v>
      </c>
      <c r="G8118">
        <v>2030</v>
      </c>
      <c r="H8118" s="12">
        <v>764.13</v>
      </c>
      <c r="I8118" t="s">
        <v>3183</v>
      </c>
      <c r="J8118" t="s">
        <v>6</v>
      </c>
      <c r="K8118" t="s">
        <v>147</v>
      </c>
      <c r="L8118" t="s">
        <v>652</v>
      </c>
      <c r="M8118" t="s">
        <v>659</v>
      </c>
    </row>
    <row r="8119" spans="1:13">
      <c r="A8119" t="s">
        <v>851</v>
      </c>
      <c r="B8119" t="s">
        <v>686</v>
      </c>
      <c r="C8119" t="s">
        <v>686</v>
      </c>
      <c r="D8119" t="s">
        <v>3185</v>
      </c>
      <c r="E8119" t="s">
        <v>242</v>
      </c>
      <c r="F8119" t="s">
        <v>663</v>
      </c>
      <c r="G8119">
        <v>2035</v>
      </c>
      <c r="H8119" s="12">
        <v>578.01</v>
      </c>
      <c r="I8119" t="s">
        <v>3183</v>
      </c>
      <c r="J8119" t="s">
        <v>6</v>
      </c>
      <c r="K8119" t="s">
        <v>147</v>
      </c>
      <c r="L8119" t="s">
        <v>652</v>
      </c>
      <c r="M8119" t="s">
        <v>659</v>
      </c>
    </row>
    <row r="8120" spans="1:13">
      <c r="A8120" t="s">
        <v>851</v>
      </c>
      <c r="B8120" t="s">
        <v>686</v>
      </c>
      <c r="C8120" t="s">
        <v>686</v>
      </c>
      <c r="D8120" t="s">
        <v>3185</v>
      </c>
      <c r="E8120" t="s">
        <v>242</v>
      </c>
      <c r="F8120" t="s">
        <v>663</v>
      </c>
      <c r="G8120">
        <v>2040</v>
      </c>
      <c r="H8120" s="12">
        <v>477.19</v>
      </c>
      <c r="I8120" t="s">
        <v>3183</v>
      </c>
      <c r="J8120" t="s">
        <v>6</v>
      </c>
      <c r="K8120" t="s">
        <v>147</v>
      </c>
      <c r="L8120" t="s">
        <v>652</v>
      </c>
      <c r="M8120" t="s">
        <v>659</v>
      </c>
    </row>
    <row r="8121" spans="1:13">
      <c r="A8121" t="s">
        <v>851</v>
      </c>
      <c r="B8121" t="s">
        <v>686</v>
      </c>
      <c r="C8121" t="s">
        <v>686</v>
      </c>
      <c r="D8121" t="s">
        <v>3185</v>
      </c>
      <c r="E8121" t="s">
        <v>242</v>
      </c>
      <c r="F8121" t="s">
        <v>663</v>
      </c>
      <c r="G8121">
        <v>2045</v>
      </c>
      <c r="H8121" s="12">
        <v>411.68</v>
      </c>
      <c r="I8121" t="s">
        <v>3183</v>
      </c>
      <c r="J8121" t="s">
        <v>6</v>
      </c>
      <c r="K8121" t="s">
        <v>147</v>
      </c>
      <c r="L8121" t="s">
        <v>652</v>
      </c>
      <c r="M8121" t="s">
        <v>659</v>
      </c>
    </row>
    <row r="8122" spans="1:13">
      <c r="A8122" t="s">
        <v>851</v>
      </c>
      <c r="B8122" t="s">
        <v>686</v>
      </c>
      <c r="C8122" t="s">
        <v>686</v>
      </c>
      <c r="D8122" t="s">
        <v>3185</v>
      </c>
      <c r="E8122" t="s">
        <v>242</v>
      </c>
      <c r="F8122" t="s">
        <v>663</v>
      </c>
      <c r="G8122">
        <v>2050</v>
      </c>
      <c r="H8122" s="12">
        <v>357.99</v>
      </c>
      <c r="I8122" t="s">
        <v>3183</v>
      </c>
      <c r="J8122" t="s">
        <v>6</v>
      </c>
      <c r="K8122" t="s">
        <v>147</v>
      </c>
      <c r="L8122" t="s">
        <v>652</v>
      </c>
      <c r="M8122" t="s">
        <v>659</v>
      </c>
    </row>
    <row r="8123" spans="1:13">
      <c r="A8123" t="s">
        <v>851</v>
      </c>
      <c r="B8123" t="s">
        <v>687</v>
      </c>
      <c r="C8123" t="s">
        <v>687</v>
      </c>
      <c r="D8123" t="s">
        <v>3185</v>
      </c>
      <c r="E8123" t="s">
        <v>242</v>
      </c>
      <c r="F8123" t="s">
        <v>663</v>
      </c>
      <c r="G8123">
        <v>2030</v>
      </c>
      <c r="H8123" s="12">
        <v>593.27</v>
      </c>
      <c r="I8123" t="s">
        <v>3183</v>
      </c>
      <c r="J8123" t="s">
        <v>6</v>
      </c>
      <c r="K8123" t="s">
        <v>147</v>
      </c>
      <c r="L8123" t="s">
        <v>652</v>
      </c>
      <c r="M8123" t="s">
        <v>659</v>
      </c>
    </row>
    <row r="8124" spans="1:13">
      <c r="A8124" t="s">
        <v>851</v>
      </c>
      <c r="B8124" t="s">
        <v>687</v>
      </c>
      <c r="C8124" t="s">
        <v>687</v>
      </c>
      <c r="D8124" t="s">
        <v>3185</v>
      </c>
      <c r="E8124" t="s">
        <v>242</v>
      </c>
      <c r="F8124" t="s">
        <v>663</v>
      </c>
      <c r="G8124">
        <v>2035</v>
      </c>
      <c r="H8124" s="12">
        <v>300.51</v>
      </c>
      <c r="I8124" t="s">
        <v>3183</v>
      </c>
      <c r="J8124" t="s">
        <v>6</v>
      </c>
      <c r="K8124" t="s">
        <v>147</v>
      </c>
      <c r="L8124" t="s">
        <v>652</v>
      </c>
      <c r="M8124" t="s">
        <v>659</v>
      </c>
    </row>
    <row r="8125" spans="1:13">
      <c r="A8125" t="s">
        <v>851</v>
      </c>
      <c r="B8125" t="s">
        <v>687</v>
      </c>
      <c r="C8125" t="s">
        <v>687</v>
      </c>
      <c r="D8125" t="s">
        <v>3185</v>
      </c>
      <c r="E8125" t="s">
        <v>242</v>
      </c>
      <c r="F8125" t="s">
        <v>663</v>
      </c>
      <c r="G8125">
        <v>2040</v>
      </c>
      <c r="H8125" s="12">
        <v>212.42</v>
      </c>
      <c r="I8125" t="s">
        <v>3183</v>
      </c>
      <c r="J8125" t="s">
        <v>6</v>
      </c>
      <c r="K8125" t="s">
        <v>147</v>
      </c>
      <c r="L8125" t="s">
        <v>652</v>
      </c>
      <c r="M8125" t="s">
        <v>659</v>
      </c>
    </row>
    <row r="8126" spans="1:13">
      <c r="A8126" t="s">
        <v>851</v>
      </c>
      <c r="B8126" t="s">
        <v>687</v>
      </c>
      <c r="C8126" t="s">
        <v>687</v>
      </c>
      <c r="D8126" t="s">
        <v>3185</v>
      </c>
      <c r="E8126" t="s">
        <v>242</v>
      </c>
      <c r="F8126" t="s">
        <v>663</v>
      </c>
      <c r="G8126">
        <v>2045</v>
      </c>
      <c r="H8126" s="12">
        <v>189.24</v>
      </c>
      <c r="I8126" t="s">
        <v>3183</v>
      </c>
      <c r="J8126" t="s">
        <v>6</v>
      </c>
      <c r="K8126" t="s">
        <v>147</v>
      </c>
      <c r="L8126" t="s">
        <v>652</v>
      </c>
      <c r="M8126" t="s">
        <v>659</v>
      </c>
    </row>
    <row r="8127" spans="1:13">
      <c r="A8127" t="s">
        <v>851</v>
      </c>
      <c r="B8127" t="s">
        <v>687</v>
      </c>
      <c r="C8127" t="s">
        <v>687</v>
      </c>
      <c r="D8127" t="s">
        <v>3185</v>
      </c>
      <c r="E8127" t="s">
        <v>242</v>
      </c>
      <c r="F8127" t="s">
        <v>663</v>
      </c>
      <c r="G8127">
        <v>2050</v>
      </c>
      <c r="H8127" s="12">
        <v>159.32</v>
      </c>
      <c r="I8127" t="s">
        <v>3183</v>
      </c>
      <c r="J8127" t="s">
        <v>6</v>
      </c>
      <c r="K8127" t="s">
        <v>147</v>
      </c>
      <c r="L8127" t="s">
        <v>652</v>
      </c>
      <c r="M8127" t="s">
        <v>659</v>
      </c>
    </row>
    <row r="8128" spans="1:13">
      <c r="A8128" t="s">
        <v>851</v>
      </c>
      <c r="B8128" t="s">
        <v>686</v>
      </c>
      <c r="C8128" t="s">
        <v>686</v>
      </c>
      <c r="D8128" t="s">
        <v>3185</v>
      </c>
      <c r="E8128" t="s">
        <v>242</v>
      </c>
      <c r="F8128" t="s">
        <v>663</v>
      </c>
      <c r="G8128">
        <v>2015</v>
      </c>
      <c r="H8128" s="12">
        <v>123.78</v>
      </c>
      <c r="I8128" t="s">
        <v>3183</v>
      </c>
      <c r="J8128" t="s">
        <v>5</v>
      </c>
      <c r="K8128" t="s">
        <v>664</v>
      </c>
      <c r="L8128" t="s">
        <v>652</v>
      </c>
      <c r="M8128" t="s">
        <v>5</v>
      </c>
    </row>
    <row r="8129" spans="1:13">
      <c r="A8129" t="s">
        <v>851</v>
      </c>
      <c r="B8129" t="s">
        <v>686</v>
      </c>
      <c r="C8129" t="s">
        <v>686</v>
      </c>
      <c r="D8129" t="s">
        <v>3185</v>
      </c>
      <c r="E8129" t="s">
        <v>242</v>
      </c>
      <c r="F8129" t="s">
        <v>663</v>
      </c>
      <c r="G8129">
        <v>2020</v>
      </c>
      <c r="H8129" s="12">
        <v>90.21</v>
      </c>
      <c r="I8129" t="s">
        <v>3183</v>
      </c>
      <c r="J8129" t="s">
        <v>5</v>
      </c>
      <c r="K8129" t="s">
        <v>664</v>
      </c>
      <c r="L8129" t="s">
        <v>652</v>
      </c>
      <c r="M8129" t="s">
        <v>5</v>
      </c>
    </row>
    <row r="8130" spans="1:13">
      <c r="A8130" t="s">
        <v>851</v>
      </c>
      <c r="B8130" t="s">
        <v>686</v>
      </c>
      <c r="C8130" t="s">
        <v>686</v>
      </c>
      <c r="D8130" t="s">
        <v>3185</v>
      </c>
      <c r="E8130" t="s">
        <v>242</v>
      </c>
      <c r="F8130" t="s">
        <v>663</v>
      </c>
      <c r="G8130">
        <v>2030</v>
      </c>
      <c r="H8130" s="12">
        <v>91.42</v>
      </c>
      <c r="I8130" t="s">
        <v>3183</v>
      </c>
      <c r="J8130" t="s">
        <v>5</v>
      </c>
      <c r="K8130" t="s">
        <v>664</v>
      </c>
      <c r="L8130" t="s">
        <v>652</v>
      </c>
      <c r="M8130" t="s">
        <v>5</v>
      </c>
    </row>
    <row r="8131" spans="1:13">
      <c r="A8131" t="s">
        <v>851</v>
      </c>
      <c r="B8131" t="s">
        <v>686</v>
      </c>
      <c r="C8131" t="s">
        <v>686</v>
      </c>
      <c r="D8131" t="s">
        <v>3185</v>
      </c>
      <c r="E8131" t="s">
        <v>242</v>
      </c>
      <c r="F8131" t="s">
        <v>663</v>
      </c>
      <c r="G8131">
        <v>2035</v>
      </c>
      <c r="H8131" s="12">
        <v>88.77</v>
      </c>
      <c r="I8131" t="s">
        <v>3183</v>
      </c>
      <c r="J8131" t="s">
        <v>5</v>
      </c>
      <c r="K8131" t="s">
        <v>664</v>
      </c>
      <c r="L8131" t="s">
        <v>652</v>
      </c>
      <c r="M8131" t="s">
        <v>5</v>
      </c>
    </row>
    <row r="8132" spans="1:13">
      <c r="A8132" t="s">
        <v>851</v>
      </c>
      <c r="B8132" t="s">
        <v>686</v>
      </c>
      <c r="C8132" t="s">
        <v>686</v>
      </c>
      <c r="D8132" t="s">
        <v>3185</v>
      </c>
      <c r="E8132" t="s">
        <v>242</v>
      </c>
      <c r="F8132" t="s">
        <v>663</v>
      </c>
      <c r="G8132">
        <v>2040</v>
      </c>
      <c r="H8132" s="12">
        <v>83.67</v>
      </c>
      <c r="I8132" t="s">
        <v>3183</v>
      </c>
      <c r="J8132" t="s">
        <v>5</v>
      </c>
      <c r="K8132" t="s">
        <v>664</v>
      </c>
      <c r="L8132" t="s">
        <v>652</v>
      </c>
      <c r="M8132" t="s">
        <v>5</v>
      </c>
    </row>
    <row r="8133" spans="1:13">
      <c r="A8133" t="s">
        <v>851</v>
      </c>
      <c r="B8133" t="s">
        <v>686</v>
      </c>
      <c r="C8133" t="s">
        <v>686</v>
      </c>
      <c r="D8133" t="s">
        <v>3185</v>
      </c>
      <c r="E8133" t="s">
        <v>242</v>
      </c>
      <c r="F8133" t="s">
        <v>663</v>
      </c>
      <c r="G8133">
        <v>2045</v>
      </c>
      <c r="H8133" s="12">
        <v>79.260000000000005</v>
      </c>
      <c r="I8133" t="s">
        <v>3183</v>
      </c>
      <c r="J8133" t="s">
        <v>5</v>
      </c>
      <c r="K8133" t="s">
        <v>664</v>
      </c>
      <c r="L8133" t="s">
        <v>652</v>
      </c>
      <c r="M8133" t="s">
        <v>5</v>
      </c>
    </row>
    <row r="8134" spans="1:13">
      <c r="A8134" t="s">
        <v>851</v>
      </c>
      <c r="B8134" t="s">
        <v>686</v>
      </c>
      <c r="C8134" t="s">
        <v>686</v>
      </c>
      <c r="D8134" t="s">
        <v>3185</v>
      </c>
      <c r="E8134" t="s">
        <v>242</v>
      </c>
      <c r="F8134" t="s">
        <v>663</v>
      </c>
      <c r="G8134">
        <v>2050</v>
      </c>
      <c r="H8134" s="12">
        <v>73.62</v>
      </c>
      <c r="I8134" t="s">
        <v>3183</v>
      </c>
      <c r="J8134" t="s">
        <v>5</v>
      </c>
      <c r="K8134" t="s">
        <v>664</v>
      </c>
      <c r="L8134" t="s">
        <v>652</v>
      </c>
      <c r="M8134" t="s">
        <v>5</v>
      </c>
    </row>
    <row r="8135" spans="1:13">
      <c r="A8135" t="s">
        <v>851</v>
      </c>
      <c r="B8135" t="s">
        <v>687</v>
      </c>
      <c r="C8135" t="s">
        <v>687</v>
      </c>
      <c r="D8135" t="s">
        <v>3185</v>
      </c>
      <c r="E8135" t="s">
        <v>242</v>
      </c>
      <c r="F8135" t="s">
        <v>663</v>
      </c>
      <c r="G8135">
        <v>2030</v>
      </c>
      <c r="H8135" s="12">
        <v>75.680000000000007</v>
      </c>
      <c r="I8135" t="s">
        <v>3183</v>
      </c>
      <c r="J8135" t="s">
        <v>5</v>
      </c>
      <c r="K8135" t="s">
        <v>664</v>
      </c>
      <c r="L8135" t="s">
        <v>652</v>
      </c>
      <c r="M8135" t="s">
        <v>5</v>
      </c>
    </row>
    <row r="8136" spans="1:13">
      <c r="A8136" t="s">
        <v>851</v>
      </c>
      <c r="B8136" t="s">
        <v>687</v>
      </c>
      <c r="C8136" t="s">
        <v>687</v>
      </c>
      <c r="D8136" t="s">
        <v>3185</v>
      </c>
      <c r="E8136" t="s">
        <v>242</v>
      </c>
      <c r="F8136" t="s">
        <v>663</v>
      </c>
      <c r="G8136">
        <v>2035</v>
      </c>
      <c r="H8136" s="12">
        <v>62.88</v>
      </c>
      <c r="I8136" t="s">
        <v>3183</v>
      </c>
      <c r="J8136" t="s">
        <v>5</v>
      </c>
      <c r="K8136" t="s">
        <v>664</v>
      </c>
      <c r="L8136" t="s">
        <v>652</v>
      </c>
      <c r="M8136" t="s">
        <v>5</v>
      </c>
    </row>
    <row r="8137" spans="1:13">
      <c r="A8137" t="s">
        <v>851</v>
      </c>
      <c r="B8137" t="s">
        <v>687</v>
      </c>
      <c r="C8137" t="s">
        <v>687</v>
      </c>
      <c r="D8137" t="s">
        <v>3185</v>
      </c>
      <c r="E8137" t="s">
        <v>242</v>
      </c>
      <c r="F8137" t="s">
        <v>663</v>
      </c>
      <c r="G8137">
        <v>2040</v>
      </c>
      <c r="H8137" s="12">
        <v>50.42</v>
      </c>
      <c r="I8137" t="s">
        <v>3183</v>
      </c>
      <c r="J8137" t="s">
        <v>5</v>
      </c>
      <c r="K8137" t="s">
        <v>664</v>
      </c>
      <c r="L8137" t="s">
        <v>652</v>
      </c>
      <c r="M8137" t="s">
        <v>5</v>
      </c>
    </row>
    <row r="8138" spans="1:13">
      <c r="A8138" t="s">
        <v>851</v>
      </c>
      <c r="B8138" t="s">
        <v>687</v>
      </c>
      <c r="C8138" t="s">
        <v>687</v>
      </c>
      <c r="D8138" t="s">
        <v>3185</v>
      </c>
      <c r="E8138" t="s">
        <v>242</v>
      </c>
      <c r="F8138" t="s">
        <v>663</v>
      </c>
      <c r="G8138">
        <v>2045</v>
      </c>
      <c r="H8138" s="12">
        <v>40.799999999999997</v>
      </c>
      <c r="I8138" t="s">
        <v>3183</v>
      </c>
      <c r="J8138" t="s">
        <v>5</v>
      </c>
      <c r="K8138" t="s">
        <v>664</v>
      </c>
      <c r="L8138" t="s">
        <v>652</v>
      </c>
      <c r="M8138" t="s">
        <v>5</v>
      </c>
    </row>
    <row r="8139" spans="1:13">
      <c r="A8139" t="s">
        <v>851</v>
      </c>
      <c r="B8139" t="s">
        <v>687</v>
      </c>
      <c r="C8139" t="s">
        <v>687</v>
      </c>
      <c r="D8139" t="s">
        <v>3185</v>
      </c>
      <c r="E8139" t="s">
        <v>242</v>
      </c>
      <c r="F8139" t="s">
        <v>663</v>
      </c>
      <c r="G8139">
        <v>2050</v>
      </c>
      <c r="H8139" s="12">
        <v>33.200000000000003</v>
      </c>
      <c r="I8139" t="s">
        <v>3183</v>
      </c>
      <c r="J8139" t="s">
        <v>5</v>
      </c>
      <c r="K8139" t="s">
        <v>664</v>
      </c>
      <c r="L8139" t="s">
        <v>652</v>
      </c>
      <c r="M8139" t="s">
        <v>5</v>
      </c>
    </row>
    <row r="8140" spans="1:13">
      <c r="A8140" t="s">
        <v>851</v>
      </c>
      <c r="B8140" t="s">
        <v>686</v>
      </c>
      <c r="C8140" t="s">
        <v>686</v>
      </c>
      <c r="D8140" t="s">
        <v>3185</v>
      </c>
      <c r="E8140" t="s">
        <v>242</v>
      </c>
      <c r="F8140" t="s">
        <v>663</v>
      </c>
      <c r="G8140">
        <v>2010</v>
      </c>
      <c r="H8140" s="12">
        <v>2316.29</v>
      </c>
      <c r="I8140" t="s">
        <v>3183</v>
      </c>
      <c r="J8140" t="s">
        <v>394</v>
      </c>
      <c r="K8140" t="s">
        <v>664</v>
      </c>
      <c r="L8140" t="s">
        <v>652</v>
      </c>
      <c r="M8140" t="s">
        <v>16</v>
      </c>
    </row>
    <row r="8141" spans="1:13">
      <c r="A8141" t="s">
        <v>851</v>
      </c>
      <c r="B8141" t="s">
        <v>686</v>
      </c>
      <c r="C8141" t="s">
        <v>686</v>
      </c>
      <c r="D8141" t="s">
        <v>3185</v>
      </c>
      <c r="E8141" t="s">
        <v>242</v>
      </c>
      <c r="F8141" t="s">
        <v>663</v>
      </c>
      <c r="G8141">
        <v>2015</v>
      </c>
      <c r="H8141" s="12">
        <v>2265.0500000000002</v>
      </c>
      <c r="I8141" t="s">
        <v>3183</v>
      </c>
      <c r="J8141" t="s">
        <v>394</v>
      </c>
      <c r="K8141" t="s">
        <v>664</v>
      </c>
      <c r="L8141" t="s">
        <v>652</v>
      </c>
      <c r="M8141" t="s">
        <v>16</v>
      </c>
    </row>
    <row r="8142" spans="1:13">
      <c r="A8142" t="s">
        <v>851</v>
      </c>
      <c r="B8142" t="s">
        <v>686</v>
      </c>
      <c r="C8142" t="s">
        <v>686</v>
      </c>
      <c r="D8142" t="s">
        <v>3185</v>
      </c>
      <c r="E8142" t="s">
        <v>242</v>
      </c>
      <c r="F8142" t="s">
        <v>663</v>
      </c>
      <c r="G8142">
        <v>2020</v>
      </c>
      <c r="H8142" s="12">
        <v>1951.29</v>
      </c>
      <c r="I8142" t="s">
        <v>3183</v>
      </c>
      <c r="J8142" t="s">
        <v>394</v>
      </c>
      <c r="K8142" t="s">
        <v>664</v>
      </c>
      <c r="L8142" t="s">
        <v>652</v>
      </c>
      <c r="M8142" t="s">
        <v>16</v>
      </c>
    </row>
    <row r="8143" spans="1:13">
      <c r="A8143" t="s">
        <v>851</v>
      </c>
      <c r="B8143" t="s">
        <v>686</v>
      </c>
      <c r="C8143" t="s">
        <v>686</v>
      </c>
      <c r="D8143" t="s">
        <v>3185</v>
      </c>
      <c r="E8143" t="s">
        <v>242</v>
      </c>
      <c r="F8143" t="s">
        <v>663</v>
      </c>
      <c r="G8143">
        <v>2030</v>
      </c>
      <c r="H8143" s="12">
        <v>1933.51</v>
      </c>
      <c r="I8143" t="s">
        <v>3183</v>
      </c>
      <c r="J8143" t="s">
        <v>394</v>
      </c>
      <c r="K8143" t="s">
        <v>664</v>
      </c>
      <c r="L8143" t="s">
        <v>652</v>
      </c>
      <c r="M8143" t="s">
        <v>16</v>
      </c>
    </row>
    <row r="8144" spans="1:13">
      <c r="A8144" t="s">
        <v>851</v>
      </c>
      <c r="B8144" t="s">
        <v>686</v>
      </c>
      <c r="C8144" t="s">
        <v>686</v>
      </c>
      <c r="D8144" t="s">
        <v>3185</v>
      </c>
      <c r="E8144" t="s">
        <v>242</v>
      </c>
      <c r="F8144" t="s">
        <v>663</v>
      </c>
      <c r="G8144">
        <v>2035</v>
      </c>
      <c r="H8144" s="12">
        <v>1753.38</v>
      </c>
      <c r="I8144" t="s">
        <v>3183</v>
      </c>
      <c r="J8144" t="s">
        <v>394</v>
      </c>
      <c r="K8144" t="s">
        <v>664</v>
      </c>
      <c r="L8144" t="s">
        <v>652</v>
      </c>
      <c r="M8144" t="s">
        <v>16</v>
      </c>
    </row>
    <row r="8145" spans="1:13">
      <c r="A8145" t="s">
        <v>851</v>
      </c>
      <c r="B8145" t="s">
        <v>686</v>
      </c>
      <c r="C8145" t="s">
        <v>686</v>
      </c>
      <c r="D8145" t="s">
        <v>3185</v>
      </c>
      <c r="E8145" t="s">
        <v>242</v>
      </c>
      <c r="F8145" t="s">
        <v>663</v>
      </c>
      <c r="G8145">
        <v>2040</v>
      </c>
      <c r="H8145" s="12">
        <v>1594.43</v>
      </c>
      <c r="I8145" t="s">
        <v>3183</v>
      </c>
      <c r="J8145" t="s">
        <v>394</v>
      </c>
      <c r="K8145" t="s">
        <v>664</v>
      </c>
      <c r="L8145" t="s">
        <v>652</v>
      </c>
      <c r="M8145" t="s">
        <v>16</v>
      </c>
    </row>
    <row r="8146" spans="1:13">
      <c r="A8146" t="s">
        <v>851</v>
      </c>
      <c r="B8146" t="s">
        <v>686</v>
      </c>
      <c r="C8146" t="s">
        <v>686</v>
      </c>
      <c r="D8146" t="s">
        <v>3185</v>
      </c>
      <c r="E8146" t="s">
        <v>242</v>
      </c>
      <c r="F8146" t="s">
        <v>663</v>
      </c>
      <c r="G8146">
        <v>2045</v>
      </c>
      <c r="H8146" s="12">
        <v>1491.82</v>
      </c>
      <c r="I8146" t="s">
        <v>3183</v>
      </c>
      <c r="J8146" t="s">
        <v>394</v>
      </c>
      <c r="K8146" t="s">
        <v>664</v>
      </c>
      <c r="L8146" t="s">
        <v>652</v>
      </c>
      <c r="M8146" t="s">
        <v>16</v>
      </c>
    </row>
    <row r="8147" spans="1:13">
      <c r="A8147" t="s">
        <v>851</v>
      </c>
      <c r="B8147" t="s">
        <v>686</v>
      </c>
      <c r="C8147" t="s">
        <v>686</v>
      </c>
      <c r="D8147" t="s">
        <v>3185</v>
      </c>
      <c r="E8147" t="s">
        <v>242</v>
      </c>
      <c r="F8147" t="s">
        <v>663</v>
      </c>
      <c r="G8147">
        <v>2050</v>
      </c>
      <c r="H8147" s="12">
        <v>1399.75</v>
      </c>
      <c r="I8147" t="s">
        <v>3183</v>
      </c>
      <c r="J8147" t="s">
        <v>394</v>
      </c>
      <c r="K8147" t="s">
        <v>664</v>
      </c>
      <c r="L8147" t="s">
        <v>652</v>
      </c>
      <c r="M8147" t="s">
        <v>16</v>
      </c>
    </row>
    <row r="8148" spans="1:13">
      <c r="A8148" t="s">
        <v>851</v>
      </c>
      <c r="B8148" t="s">
        <v>687</v>
      </c>
      <c r="C8148" t="s">
        <v>687</v>
      </c>
      <c r="D8148" t="s">
        <v>3185</v>
      </c>
      <c r="E8148" t="s">
        <v>242</v>
      </c>
      <c r="F8148" t="s">
        <v>663</v>
      </c>
      <c r="G8148">
        <v>2030</v>
      </c>
      <c r="H8148" s="12">
        <v>1660.16</v>
      </c>
      <c r="I8148" t="s">
        <v>3183</v>
      </c>
      <c r="J8148" t="s">
        <v>394</v>
      </c>
      <c r="K8148" t="s">
        <v>664</v>
      </c>
      <c r="L8148" t="s">
        <v>652</v>
      </c>
      <c r="M8148" t="s">
        <v>16</v>
      </c>
    </row>
    <row r="8149" spans="1:13">
      <c r="A8149" t="s">
        <v>851</v>
      </c>
      <c r="B8149" t="s">
        <v>687</v>
      </c>
      <c r="C8149" t="s">
        <v>687</v>
      </c>
      <c r="D8149" t="s">
        <v>3185</v>
      </c>
      <c r="E8149" t="s">
        <v>242</v>
      </c>
      <c r="F8149" t="s">
        <v>663</v>
      </c>
      <c r="G8149">
        <v>2035</v>
      </c>
      <c r="H8149" s="12">
        <v>1180.4100000000001</v>
      </c>
      <c r="I8149" t="s">
        <v>3183</v>
      </c>
      <c r="J8149" t="s">
        <v>394</v>
      </c>
      <c r="K8149" t="s">
        <v>664</v>
      </c>
      <c r="L8149" t="s">
        <v>652</v>
      </c>
      <c r="M8149" t="s">
        <v>16</v>
      </c>
    </row>
    <row r="8150" spans="1:13">
      <c r="A8150" t="s">
        <v>851</v>
      </c>
      <c r="B8150" t="s">
        <v>687</v>
      </c>
      <c r="C8150" t="s">
        <v>687</v>
      </c>
      <c r="D8150" t="s">
        <v>3185</v>
      </c>
      <c r="E8150" t="s">
        <v>242</v>
      </c>
      <c r="F8150" t="s">
        <v>663</v>
      </c>
      <c r="G8150">
        <v>2040</v>
      </c>
      <c r="H8150" s="12">
        <v>755.51</v>
      </c>
      <c r="I8150" t="s">
        <v>3183</v>
      </c>
      <c r="J8150" t="s">
        <v>394</v>
      </c>
      <c r="K8150" t="s">
        <v>664</v>
      </c>
      <c r="L8150" t="s">
        <v>652</v>
      </c>
      <c r="M8150" t="s">
        <v>16</v>
      </c>
    </row>
    <row r="8151" spans="1:13">
      <c r="A8151" t="s">
        <v>851</v>
      </c>
      <c r="B8151" t="s">
        <v>687</v>
      </c>
      <c r="C8151" t="s">
        <v>687</v>
      </c>
      <c r="D8151" t="s">
        <v>3185</v>
      </c>
      <c r="E8151" t="s">
        <v>242</v>
      </c>
      <c r="F8151" t="s">
        <v>663</v>
      </c>
      <c r="G8151">
        <v>2045</v>
      </c>
      <c r="H8151" s="12">
        <v>475.11</v>
      </c>
      <c r="I8151" t="s">
        <v>3183</v>
      </c>
      <c r="J8151" t="s">
        <v>394</v>
      </c>
      <c r="K8151" t="s">
        <v>664</v>
      </c>
      <c r="L8151" t="s">
        <v>652</v>
      </c>
      <c r="M8151" t="s">
        <v>16</v>
      </c>
    </row>
    <row r="8152" spans="1:13">
      <c r="A8152" t="s">
        <v>851</v>
      </c>
      <c r="B8152" t="s">
        <v>687</v>
      </c>
      <c r="C8152" t="s">
        <v>687</v>
      </c>
      <c r="D8152" t="s">
        <v>3185</v>
      </c>
      <c r="E8152" t="s">
        <v>242</v>
      </c>
      <c r="F8152" t="s">
        <v>663</v>
      </c>
      <c r="G8152">
        <v>2050</v>
      </c>
      <c r="H8152" s="12">
        <v>297.70999999999998</v>
      </c>
      <c r="I8152" t="s">
        <v>3183</v>
      </c>
      <c r="J8152" t="s">
        <v>394</v>
      </c>
      <c r="K8152" t="s">
        <v>664</v>
      </c>
      <c r="L8152" t="s">
        <v>652</v>
      </c>
      <c r="M8152" t="s">
        <v>16</v>
      </c>
    </row>
    <row r="8153" spans="1:13">
      <c r="A8153" t="s">
        <v>851</v>
      </c>
      <c r="B8153" t="s">
        <v>686</v>
      </c>
      <c r="C8153" t="s">
        <v>686</v>
      </c>
      <c r="D8153" t="s">
        <v>3185</v>
      </c>
      <c r="E8153" t="s">
        <v>242</v>
      </c>
      <c r="F8153" t="s">
        <v>663</v>
      </c>
      <c r="G8153">
        <v>2010</v>
      </c>
      <c r="H8153" s="12">
        <v>853.36</v>
      </c>
      <c r="I8153" t="s">
        <v>3183</v>
      </c>
      <c r="J8153" t="s">
        <v>6</v>
      </c>
      <c r="K8153" t="s">
        <v>664</v>
      </c>
      <c r="L8153" t="s">
        <v>652</v>
      </c>
      <c r="M8153" t="s">
        <v>659</v>
      </c>
    </row>
    <row r="8154" spans="1:13">
      <c r="A8154" t="s">
        <v>851</v>
      </c>
      <c r="B8154" t="s">
        <v>686</v>
      </c>
      <c r="C8154" t="s">
        <v>686</v>
      </c>
      <c r="D8154" t="s">
        <v>3185</v>
      </c>
      <c r="E8154" t="s">
        <v>242</v>
      </c>
      <c r="F8154" t="s">
        <v>663</v>
      </c>
      <c r="G8154">
        <v>2015</v>
      </c>
      <c r="H8154" s="12">
        <v>892.47</v>
      </c>
      <c r="I8154" t="s">
        <v>3183</v>
      </c>
      <c r="J8154" t="s">
        <v>6</v>
      </c>
      <c r="K8154" t="s">
        <v>664</v>
      </c>
      <c r="L8154" t="s">
        <v>652</v>
      </c>
      <c r="M8154" t="s">
        <v>659</v>
      </c>
    </row>
    <row r="8155" spans="1:13">
      <c r="A8155" t="s">
        <v>851</v>
      </c>
      <c r="B8155" t="s">
        <v>686</v>
      </c>
      <c r="C8155" t="s">
        <v>686</v>
      </c>
      <c r="D8155" t="s">
        <v>3185</v>
      </c>
      <c r="E8155" t="s">
        <v>242</v>
      </c>
      <c r="F8155" t="s">
        <v>663</v>
      </c>
      <c r="G8155">
        <v>2020</v>
      </c>
      <c r="H8155" s="12">
        <v>952.06</v>
      </c>
      <c r="I8155" t="s">
        <v>3183</v>
      </c>
      <c r="J8155" t="s">
        <v>6</v>
      </c>
      <c r="K8155" t="s">
        <v>664</v>
      </c>
      <c r="L8155" t="s">
        <v>652</v>
      </c>
      <c r="M8155" t="s">
        <v>659</v>
      </c>
    </row>
    <row r="8156" spans="1:13">
      <c r="A8156" t="s">
        <v>851</v>
      </c>
      <c r="B8156" t="s">
        <v>686</v>
      </c>
      <c r="C8156" t="s">
        <v>686</v>
      </c>
      <c r="D8156" t="s">
        <v>3185</v>
      </c>
      <c r="E8156" t="s">
        <v>242</v>
      </c>
      <c r="F8156" t="s">
        <v>663</v>
      </c>
      <c r="G8156">
        <v>2030</v>
      </c>
      <c r="H8156" s="12">
        <v>939.27</v>
      </c>
      <c r="I8156" t="s">
        <v>3183</v>
      </c>
      <c r="J8156" t="s">
        <v>6</v>
      </c>
      <c r="K8156" t="s">
        <v>664</v>
      </c>
      <c r="L8156" t="s">
        <v>652</v>
      </c>
      <c r="M8156" t="s">
        <v>659</v>
      </c>
    </row>
    <row r="8157" spans="1:13">
      <c r="A8157" t="s">
        <v>851</v>
      </c>
      <c r="B8157" t="s">
        <v>686</v>
      </c>
      <c r="C8157" t="s">
        <v>686</v>
      </c>
      <c r="D8157" t="s">
        <v>3185</v>
      </c>
      <c r="E8157" t="s">
        <v>242</v>
      </c>
      <c r="F8157" t="s">
        <v>663</v>
      </c>
      <c r="G8157">
        <v>2035</v>
      </c>
      <c r="H8157" s="12">
        <v>897.3</v>
      </c>
      <c r="I8157" t="s">
        <v>3183</v>
      </c>
      <c r="J8157" t="s">
        <v>6</v>
      </c>
      <c r="K8157" t="s">
        <v>664</v>
      </c>
      <c r="L8157" t="s">
        <v>652</v>
      </c>
      <c r="M8157" t="s">
        <v>659</v>
      </c>
    </row>
    <row r="8158" spans="1:13">
      <c r="A8158" t="s">
        <v>851</v>
      </c>
      <c r="B8158" t="s">
        <v>686</v>
      </c>
      <c r="C8158" t="s">
        <v>686</v>
      </c>
      <c r="D8158" t="s">
        <v>3185</v>
      </c>
      <c r="E8158" t="s">
        <v>242</v>
      </c>
      <c r="F8158" t="s">
        <v>663</v>
      </c>
      <c r="G8158">
        <v>2040</v>
      </c>
      <c r="H8158" s="12">
        <v>848.95</v>
      </c>
      <c r="I8158" t="s">
        <v>3183</v>
      </c>
      <c r="J8158" t="s">
        <v>6</v>
      </c>
      <c r="K8158" t="s">
        <v>664</v>
      </c>
      <c r="L8158" t="s">
        <v>652</v>
      </c>
      <c r="M8158" t="s">
        <v>659</v>
      </c>
    </row>
    <row r="8159" spans="1:13">
      <c r="A8159" t="s">
        <v>851</v>
      </c>
      <c r="B8159" t="s">
        <v>686</v>
      </c>
      <c r="C8159" t="s">
        <v>686</v>
      </c>
      <c r="D8159" t="s">
        <v>3185</v>
      </c>
      <c r="E8159" t="s">
        <v>242</v>
      </c>
      <c r="F8159" t="s">
        <v>663</v>
      </c>
      <c r="G8159">
        <v>2045</v>
      </c>
      <c r="H8159" s="12">
        <v>797.34</v>
      </c>
      <c r="I8159" t="s">
        <v>3183</v>
      </c>
      <c r="J8159" t="s">
        <v>6</v>
      </c>
      <c r="K8159" t="s">
        <v>664</v>
      </c>
      <c r="L8159" t="s">
        <v>652</v>
      </c>
      <c r="M8159" t="s">
        <v>659</v>
      </c>
    </row>
    <row r="8160" spans="1:13">
      <c r="A8160" t="s">
        <v>851</v>
      </c>
      <c r="B8160" t="s">
        <v>686</v>
      </c>
      <c r="C8160" t="s">
        <v>686</v>
      </c>
      <c r="D8160" t="s">
        <v>3185</v>
      </c>
      <c r="E8160" t="s">
        <v>242</v>
      </c>
      <c r="F8160" t="s">
        <v>663</v>
      </c>
      <c r="G8160">
        <v>2050</v>
      </c>
      <c r="H8160" s="12">
        <v>747.73</v>
      </c>
      <c r="I8160" t="s">
        <v>3183</v>
      </c>
      <c r="J8160" t="s">
        <v>6</v>
      </c>
      <c r="K8160" t="s">
        <v>664</v>
      </c>
      <c r="L8160" t="s">
        <v>652</v>
      </c>
      <c r="M8160" t="s">
        <v>659</v>
      </c>
    </row>
    <row r="8161" spans="1:13">
      <c r="A8161" t="s">
        <v>851</v>
      </c>
      <c r="B8161" t="s">
        <v>687</v>
      </c>
      <c r="C8161" t="s">
        <v>687</v>
      </c>
      <c r="D8161" t="s">
        <v>3185</v>
      </c>
      <c r="E8161" t="s">
        <v>242</v>
      </c>
      <c r="F8161" t="s">
        <v>663</v>
      </c>
      <c r="G8161">
        <v>2030</v>
      </c>
      <c r="H8161" s="12">
        <v>758.57</v>
      </c>
      <c r="I8161" t="s">
        <v>3183</v>
      </c>
      <c r="J8161" t="s">
        <v>6</v>
      </c>
      <c r="K8161" t="s">
        <v>664</v>
      </c>
      <c r="L8161" t="s">
        <v>652</v>
      </c>
      <c r="M8161" t="s">
        <v>659</v>
      </c>
    </row>
    <row r="8162" spans="1:13">
      <c r="A8162" t="s">
        <v>851</v>
      </c>
      <c r="B8162" t="s">
        <v>687</v>
      </c>
      <c r="C8162" t="s">
        <v>687</v>
      </c>
      <c r="D8162" t="s">
        <v>3185</v>
      </c>
      <c r="E8162" t="s">
        <v>242</v>
      </c>
      <c r="F8162" t="s">
        <v>663</v>
      </c>
      <c r="G8162">
        <v>2035</v>
      </c>
      <c r="H8162" s="12">
        <v>570.75</v>
      </c>
      <c r="I8162" t="s">
        <v>3183</v>
      </c>
      <c r="J8162" t="s">
        <v>6</v>
      </c>
      <c r="K8162" t="s">
        <v>664</v>
      </c>
      <c r="L8162" t="s">
        <v>652</v>
      </c>
      <c r="M8162" t="s">
        <v>659</v>
      </c>
    </row>
    <row r="8163" spans="1:13">
      <c r="A8163" t="s">
        <v>851</v>
      </c>
      <c r="B8163" t="s">
        <v>687</v>
      </c>
      <c r="C8163" t="s">
        <v>687</v>
      </c>
      <c r="D8163" t="s">
        <v>3185</v>
      </c>
      <c r="E8163" t="s">
        <v>242</v>
      </c>
      <c r="F8163" t="s">
        <v>663</v>
      </c>
      <c r="G8163">
        <v>2040</v>
      </c>
      <c r="H8163" s="12">
        <v>400.04</v>
      </c>
      <c r="I8163" t="s">
        <v>3183</v>
      </c>
      <c r="J8163" t="s">
        <v>6</v>
      </c>
      <c r="K8163" t="s">
        <v>664</v>
      </c>
      <c r="L8163" t="s">
        <v>652</v>
      </c>
      <c r="M8163" t="s">
        <v>659</v>
      </c>
    </row>
    <row r="8164" spans="1:13">
      <c r="A8164" t="s">
        <v>851</v>
      </c>
      <c r="B8164" t="s">
        <v>687</v>
      </c>
      <c r="C8164" t="s">
        <v>687</v>
      </c>
      <c r="D8164" t="s">
        <v>3185</v>
      </c>
      <c r="E8164" t="s">
        <v>242</v>
      </c>
      <c r="F8164" t="s">
        <v>663</v>
      </c>
      <c r="G8164">
        <v>2045</v>
      </c>
      <c r="H8164" s="12">
        <v>254.46</v>
      </c>
      <c r="I8164" t="s">
        <v>3183</v>
      </c>
      <c r="J8164" t="s">
        <v>6</v>
      </c>
      <c r="K8164" t="s">
        <v>664</v>
      </c>
      <c r="L8164" t="s">
        <v>652</v>
      </c>
      <c r="M8164" t="s">
        <v>659</v>
      </c>
    </row>
    <row r="8165" spans="1:13">
      <c r="A8165" t="s">
        <v>851</v>
      </c>
      <c r="B8165" t="s">
        <v>687</v>
      </c>
      <c r="C8165" t="s">
        <v>687</v>
      </c>
      <c r="D8165" t="s">
        <v>3185</v>
      </c>
      <c r="E8165" t="s">
        <v>242</v>
      </c>
      <c r="F8165" t="s">
        <v>663</v>
      </c>
      <c r="G8165">
        <v>2050</v>
      </c>
      <c r="H8165" s="12">
        <v>142.88</v>
      </c>
      <c r="I8165" t="s">
        <v>3183</v>
      </c>
      <c r="J8165" t="s">
        <v>6</v>
      </c>
      <c r="K8165" t="s">
        <v>664</v>
      </c>
      <c r="L8165" t="s">
        <v>652</v>
      </c>
      <c r="M8165" t="s">
        <v>659</v>
      </c>
    </row>
    <row r="8166" spans="1:13">
      <c r="A8166" t="s">
        <v>851</v>
      </c>
      <c r="B8166" t="s">
        <v>686</v>
      </c>
      <c r="C8166" t="s">
        <v>686</v>
      </c>
      <c r="D8166" t="s">
        <v>3185</v>
      </c>
      <c r="E8166" t="s">
        <v>242</v>
      </c>
      <c r="F8166" t="s">
        <v>663</v>
      </c>
      <c r="G8166">
        <v>2010</v>
      </c>
      <c r="H8166" s="12">
        <v>1969.52</v>
      </c>
      <c r="I8166" t="s">
        <v>3183</v>
      </c>
      <c r="J8166" t="s">
        <v>5</v>
      </c>
      <c r="K8166" t="s">
        <v>147</v>
      </c>
      <c r="L8166" t="s">
        <v>652</v>
      </c>
      <c r="M8166" t="s">
        <v>5</v>
      </c>
    </row>
    <row r="8167" spans="1:13">
      <c r="A8167" t="s">
        <v>851</v>
      </c>
      <c r="B8167" t="s">
        <v>686</v>
      </c>
      <c r="C8167" t="s">
        <v>686</v>
      </c>
      <c r="D8167" t="s">
        <v>3185</v>
      </c>
      <c r="E8167" t="s">
        <v>242</v>
      </c>
      <c r="F8167" t="s">
        <v>663</v>
      </c>
      <c r="G8167">
        <v>2015</v>
      </c>
      <c r="H8167" s="12">
        <v>1463.44</v>
      </c>
      <c r="I8167" t="s">
        <v>3183</v>
      </c>
      <c r="J8167" t="s">
        <v>5</v>
      </c>
      <c r="K8167" t="s">
        <v>147</v>
      </c>
      <c r="L8167" t="s">
        <v>652</v>
      </c>
      <c r="M8167" t="s">
        <v>5</v>
      </c>
    </row>
    <row r="8168" spans="1:13">
      <c r="A8168" t="s">
        <v>851</v>
      </c>
      <c r="B8168" t="s">
        <v>686</v>
      </c>
      <c r="C8168" t="s">
        <v>686</v>
      </c>
      <c r="D8168" t="s">
        <v>3185</v>
      </c>
      <c r="E8168" t="s">
        <v>242</v>
      </c>
      <c r="F8168" t="s">
        <v>663</v>
      </c>
      <c r="G8168">
        <v>2020</v>
      </c>
      <c r="H8168" s="12">
        <v>854.39</v>
      </c>
      <c r="I8168" t="s">
        <v>3183</v>
      </c>
      <c r="J8168" t="s">
        <v>5</v>
      </c>
      <c r="K8168" t="s">
        <v>147</v>
      </c>
      <c r="L8168" t="s">
        <v>652</v>
      </c>
      <c r="M8168" t="s">
        <v>5</v>
      </c>
    </row>
    <row r="8169" spans="1:13">
      <c r="A8169" t="s">
        <v>851</v>
      </c>
      <c r="B8169" t="s">
        <v>686</v>
      </c>
      <c r="C8169" t="s">
        <v>686</v>
      </c>
      <c r="D8169" t="s">
        <v>3185</v>
      </c>
      <c r="E8169" t="s">
        <v>242</v>
      </c>
      <c r="F8169" t="s">
        <v>663</v>
      </c>
      <c r="G8169">
        <v>2030</v>
      </c>
      <c r="H8169" s="12">
        <v>191.63</v>
      </c>
      <c r="I8169" t="s">
        <v>3183</v>
      </c>
      <c r="J8169" t="s">
        <v>5</v>
      </c>
      <c r="K8169" t="s">
        <v>147</v>
      </c>
      <c r="L8169" t="s">
        <v>652</v>
      </c>
      <c r="M8169" t="s">
        <v>5</v>
      </c>
    </row>
    <row r="8170" spans="1:13">
      <c r="A8170" t="s">
        <v>851</v>
      </c>
      <c r="B8170" t="s">
        <v>686</v>
      </c>
      <c r="C8170" t="s">
        <v>686</v>
      </c>
      <c r="D8170" t="s">
        <v>3185</v>
      </c>
      <c r="E8170" t="s">
        <v>242</v>
      </c>
      <c r="F8170" t="s">
        <v>663</v>
      </c>
      <c r="G8170">
        <v>2035</v>
      </c>
      <c r="H8170" s="12">
        <v>45.08</v>
      </c>
      <c r="I8170" t="s">
        <v>3183</v>
      </c>
      <c r="J8170" t="s">
        <v>5</v>
      </c>
      <c r="K8170" t="s">
        <v>147</v>
      </c>
      <c r="L8170" t="s">
        <v>652</v>
      </c>
      <c r="M8170" t="s">
        <v>5</v>
      </c>
    </row>
    <row r="8171" spans="1:13">
      <c r="A8171" t="s">
        <v>851</v>
      </c>
      <c r="B8171" t="s">
        <v>686</v>
      </c>
      <c r="C8171" t="s">
        <v>686</v>
      </c>
      <c r="D8171" t="s">
        <v>3185</v>
      </c>
      <c r="E8171" t="s">
        <v>242</v>
      </c>
      <c r="F8171" t="s">
        <v>663</v>
      </c>
      <c r="G8171">
        <v>2040</v>
      </c>
      <c r="H8171" s="12">
        <v>25.16</v>
      </c>
      <c r="I8171" t="s">
        <v>3183</v>
      </c>
      <c r="J8171" t="s">
        <v>5</v>
      </c>
      <c r="K8171" t="s">
        <v>147</v>
      </c>
      <c r="L8171" t="s">
        <v>652</v>
      </c>
      <c r="M8171" t="s">
        <v>5</v>
      </c>
    </row>
    <row r="8172" spans="1:13">
      <c r="A8172" t="s">
        <v>851</v>
      </c>
      <c r="B8172" t="s">
        <v>686</v>
      </c>
      <c r="C8172" t="s">
        <v>686</v>
      </c>
      <c r="D8172" t="s">
        <v>3185</v>
      </c>
      <c r="E8172" t="s">
        <v>242</v>
      </c>
      <c r="F8172" t="s">
        <v>663</v>
      </c>
      <c r="G8172">
        <v>2045</v>
      </c>
      <c r="H8172" s="12">
        <v>17.47</v>
      </c>
      <c r="I8172" t="s">
        <v>3183</v>
      </c>
      <c r="J8172" t="s">
        <v>5</v>
      </c>
      <c r="K8172" t="s">
        <v>147</v>
      </c>
      <c r="L8172" t="s">
        <v>652</v>
      </c>
      <c r="M8172" t="s">
        <v>5</v>
      </c>
    </row>
    <row r="8173" spans="1:13">
      <c r="A8173" t="s">
        <v>851</v>
      </c>
      <c r="B8173" t="s">
        <v>686</v>
      </c>
      <c r="C8173" t="s">
        <v>686</v>
      </c>
      <c r="D8173" t="s">
        <v>3185</v>
      </c>
      <c r="E8173" t="s">
        <v>242</v>
      </c>
      <c r="F8173" t="s">
        <v>663</v>
      </c>
      <c r="G8173">
        <v>2050</v>
      </c>
      <c r="H8173" s="12">
        <v>14.52</v>
      </c>
      <c r="I8173" t="s">
        <v>3183</v>
      </c>
      <c r="J8173" t="s">
        <v>5</v>
      </c>
      <c r="K8173" t="s">
        <v>147</v>
      </c>
      <c r="L8173" t="s">
        <v>652</v>
      </c>
      <c r="M8173" t="s">
        <v>5</v>
      </c>
    </row>
    <row r="8174" spans="1:13">
      <c r="A8174" t="s">
        <v>851</v>
      </c>
      <c r="B8174" t="s">
        <v>687</v>
      </c>
      <c r="C8174" t="s">
        <v>687</v>
      </c>
      <c r="D8174" t="s">
        <v>3185</v>
      </c>
      <c r="E8174" t="s">
        <v>242</v>
      </c>
      <c r="F8174" t="s">
        <v>663</v>
      </c>
      <c r="G8174">
        <v>2030</v>
      </c>
      <c r="H8174" s="12">
        <v>107.12</v>
      </c>
      <c r="I8174" t="s">
        <v>3183</v>
      </c>
      <c r="J8174" t="s">
        <v>5</v>
      </c>
      <c r="K8174" t="s">
        <v>147</v>
      </c>
      <c r="L8174" t="s">
        <v>652</v>
      </c>
      <c r="M8174" t="s">
        <v>5</v>
      </c>
    </row>
    <row r="8175" spans="1:13">
      <c r="A8175" t="s">
        <v>851</v>
      </c>
      <c r="B8175" t="s">
        <v>687</v>
      </c>
      <c r="C8175" t="s">
        <v>687</v>
      </c>
      <c r="D8175" t="s">
        <v>3185</v>
      </c>
      <c r="E8175" t="s">
        <v>242</v>
      </c>
      <c r="F8175" t="s">
        <v>663</v>
      </c>
      <c r="G8175">
        <v>2035</v>
      </c>
      <c r="H8175" s="12">
        <v>7.09</v>
      </c>
      <c r="I8175" t="s">
        <v>3183</v>
      </c>
      <c r="J8175" t="s">
        <v>5</v>
      </c>
      <c r="K8175" t="s">
        <v>147</v>
      </c>
      <c r="L8175" t="s">
        <v>652</v>
      </c>
      <c r="M8175" t="s">
        <v>5</v>
      </c>
    </row>
    <row r="8176" spans="1:13">
      <c r="A8176" t="s">
        <v>851</v>
      </c>
      <c r="B8176" t="s">
        <v>687</v>
      </c>
      <c r="C8176" t="s">
        <v>687</v>
      </c>
      <c r="D8176" t="s">
        <v>3185</v>
      </c>
      <c r="E8176" t="s">
        <v>242</v>
      </c>
      <c r="F8176" t="s">
        <v>663</v>
      </c>
      <c r="G8176">
        <v>2040</v>
      </c>
      <c r="H8176" s="12">
        <v>3.11</v>
      </c>
      <c r="I8176" t="s">
        <v>3183</v>
      </c>
      <c r="J8176" t="s">
        <v>5</v>
      </c>
      <c r="K8176" t="s">
        <v>147</v>
      </c>
      <c r="L8176" t="s">
        <v>652</v>
      </c>
      <c r="M8176" t="s">
        <v>5</v>
      </c>
    </row>
    <row r="8177" spans="1:13">
      <c r="A8177" t="s">
        <v>851</v>
      </c>
      <c r="B8177" t="s">
        <v>687</v>
      </c>
      <c r="C8177" t="s">
        <v>687</v>
      </c>
      <c r="D8177" t="s">
        <v>3185</v>
      </c>
      <c r="E8177" t="s">
        <v>242</v>
      </c>
      <c r="F8177" t="s">
        <v>663</v>
      </c>
      <c r="G8177">
        <v>2045</v>
      </c>
      <c r="H8177" s="12">
        <v>1.82</v>
      </c>
      <c r="I8177" t="s">
        <v>3183</v>
      </c>
      <c r="J8177" t="s">
        <v>5</v>
      </c>
      <c r="K8177" t="s">
        <v>147</v>
      </c>
      <c r="L8177" t="s">
        <v>652</v>
      </c>
      <c r="M8177" t="s">
        <v>5</v>
      </c>
    </row>
    <row r="8178" spans="1:13">
      <c r="A8178" t="s">
        <v>851</v>
      </c>
      <c r="B8178" t="s">
        <v>687</v>
      </c>
      <c r="C8178" t="s">
        <v>687</v>
      </c>
      <c r="D8178" t="s">
        <v>3185</v>
      </c>
      <c r="E8178" t="s">
        <v>242</v>
      </c>
      <c r="F8178" t="s">
        <v>663</v>
      </c>
      <c r="G8178">
        <v>2050</v>
      </c>
      <c r="H8178" s="12">
        <v>1.21</v>
      </c>
      <c r="I8178" t="s">
        <v>3183</v>
      </c>
      <c r="J8178" t="s">
        <v>5</v>
      </c>
      <c r="K8178" t="s">
        <v>147</v>
      </c>
      <c r="L8178" t="s">
        <v>652</v>
      </c>
      <c r="M8178" t="s">
        <v>5</v>
      </c>
    </row>
    <row r="8179" spans="1:13">
      <c r="A8179" t="s">
        <v>851</v>
      </c>
      <c r="B8179" t="s">
        <v>686</v>
      </c>
      <c r="C8179" t="s">
        <v>686</v>
      </c>
      <c r="D8179" t="s">
        <v>3185</v>
      </c>
      <c r="E8179" t="s">
        <v>242</v>
      </c>
      <c r="F8179" t="s">
        <v>663</v>
      </c>
      <c r="G8179">
        <v>2010</v>
      </c>
      <c r="H8179" s="12">
        <v>78.39</v>
      </c>
      <c r="I8179" t="s">
        <v>3183</v>
      </c>
      <c r="J8179" t="s">
        <v>394</v>
      </c>
      <c r="K8179" t="s">
        <v>147</v>
      </c>
      <c r="L8179" t="s">
        <v>652</v>
      </c>
      <c r="M8179" t="s">
        <v>16</v>
      </c>
    </row>
    <row r="8180" spans="1:13">
      <c r="A8180" t="s">
        <v>851</v>
      </c>
      <c r="B8180" t="s">
        <v>686</v>
      </c>
      <c r="C8180" t="s">
        <v>686</v>
      </c>
      <c r="D8180" t="s">
        <v>3185</v>
      </c>
      <c r="E8180" t="s">
        <v>242</v>
      </c>
      <c r="F8180" t="s">
        <v>663</v>
      </c>
      <c r="G8180">
        <v>2015</v>
      </c>
      <c r="H8180" s="12">
        <v>61.5</v>
      </c>
      <c r="I8180" t="s">
        <v>3183</v>
      </c>
      <c r="J8180" t="s">
        <v>394</v>
      </c>
      <c r="K8180" t="s">
        <v>147</v>
      </c>
      <c r="L8180" t="s">
        <v>652</v>
      </c>
      <c r="M8180" t="s">
        <v>16</v>
      </c>
    </row>
    <row r="8181" spans="1:13">
      <c r="A8181" t="s">
        <v>851</v>
      </c>
      <c r="B8181" t="s">
        <v>686</v>
      </c>
      <c r="C8181" t="s">
        <v>686</v>
      </c>
      <c r="D8181" t="s">
        <v>3185</v>
      </c>
      <c r="E8181" t="s">
        <v>242</v>
      </c>
      <c r="F8181" t="s">
        <v>663</v>
      </c>
      <c r="G8181">
        <v>2020</v>
      </c>
      <c r="H8181" s="12">
        <v>67.849999999999994</v>
      </c>
      <c r="I8181" t="s">
        <v>3183</v>
      </c>
      <c r="J8181" t="s">
        <v>394</v>
      </c>
      <c r="K8181" t="s">
        <v>147</v>
      </c>
      <c r="L8181" t="s">
        <v>652</v>
      </c>
      <c r="M8181" t="s">
        <v>16</v>
      </c>
    </row>
    <row r="8182" spans="1:13">
      <c r="A8182" t="s">
        <v>851</v>
      </c>
      <c r="B8182" t="s">
        <v>686</v>
      </c>
      <c r="C8182" t="s">
        <v>686</v>
      </c>
      <c r="D8182" t="s">
        <v>3185</v>
      </c>
      <c r="E8182" t="s">
        <v>242</v>
      </c>
      <c r="F8182" t="s">
        <v>663</v>
      </c>
      <c r="G8182">
        <v>2030</v>
      </c>
      <c r="H8182" s="12">
        <v>15.46</v>
      </c>
      <c r="I8182" t="s">
        <v>3183</v>
      </c>
      <c r="J8182" t="s">
        <v>394</v>
      </c>
      <c r="K8182" t="s">
        <v>147</v>
      </c>
      <c r="L8182" t="s">
        <v>652</v>
      </c>
      <c r="M8182" t="s">
        <v>16</v>
      </c>
    </row>
    <row r="8183" spans="1:13">
      <c r="A8183" t="s">
        <v>851</v>
      </c>
      <c r="B8183" t="s">
        <v>686</v>
      </c>
      <c r="C8183" t="s">
        <v>686</v>
      </c>
      <c r="D8183" t="s">
        <v>3185</v>
      </c>
      <c r="E8183" t="s">
        <v>242</v>
      </c>
      <c r="F8183" t="s">
        <v>663</v>
      </c>
      <c r="G8183">
        <v>2035</v>
      </c>
      <c r="H8183" s="12">
        <v>11.17</v>
      </c>
      <c r="I8183" t="s">
        <v>3183</v>
      </c>
      <c r="J8183" t="s">
        <v>394</v>
      </c>
      <c r="K8183" t="s">
        <v>147</v>
      </c>
      <c r="L8183" t="s">
        <v>652</v>
      </c>
      <c r="M8183" t="s">
        <v>16</v>
      </c>
    </row>
    <row r="8184" spans="1:13">
      <c r="A8184" t="s">
        <v>851</v>
      </c>
      <c r="B8184" t="s">
        <v>686</v>
      </c>
      <c r="C8184" t="s">
        <v>686</v>
      </c>
      <c r="D8184" t="s">
        <v>3185</v>
      </c>
      <c r="E8184" t="s">
        <v>242</v>
      </c>
      <c r="F8184" t="s">
        <v>663</v>
      </c>
      <c r="G8184">
        <v>2040</v>
      </c>
      <c r="H8184" s="12">
        <v>5.76</v>
      </c>
      <c r="I8184" t="s">
        <v>3183</v>
      </c>
      <c r="J8184" t="s">
        <v>394</v>
      </c>
      <c r="K8184" t="s">
        <v>147</v>
      </c>
      <c r="L8184" t="s">
        <v>652</v>
      </c>
      <c r="M8184" t="s">
        <v>16</v>
      </c>
    </row>
    <row r="8185" spans="1:13">
      <c r="A8185" t="s">
        <v>851</v>
      </c>
      <c r="B8185" t="s">
        <v>686</v>
      </c>
      <c r="C8185" t="s">
        <v>686</v>
      </c>
      <c r="D8185" t="s">
        <v>3185</v>
      </c>
      <c r="E8185" t="s">
        <v>242</v>
      </c>
      <c r="F8185" t="s">
        <v>663</v>
      </c>
      <c r="G8185">
        <v>2045</v>
      </c>
      <c r="H8185" s="12">
        <v>3.74</v>
      </c>
      <c r="I8185" t="s">
        <v>3183</v>
      </c>
      <c r="J8185" t="s">
        <v>394</v>
      </c>
      <c r="K8185" t="s">
        <v>147</v>
      </c>
      <c r="L8185" t="s">
        <v>652</v>
      </c>
      <c r="M8185" t="s">
        <v>16</v>
      </c>
    </row>
    <row r="8186" spans="1:13">
      <c r="A8186" t="s">
        <v>851</v>
      </c>
      <c r="B8186" t="s">
        <v>686</v>
      </c>
      <c r="C8186" t="s">
        <v>686</v>
      </c>
      <c r="D8186" t="s">
        <v>3185</v>
      </c>
      <c r="E8186" t="s">
        <v>242</v>
      </c>
      <c r="F8186" t="s">
        <v>663</v>
      </c>
      <c r="G8186">
        <v>2050</v>
      </c>
      <c r="H8186" s="12">
        <v>2.4700000000000002</v>
      </c>
      <c r="I8186" t="s">
        <v>3183</v>
      </c>
      <c r="J8186" t="s">
        <v>394</v>
      </c>
      <c r="K8186" t="s">
        <v>147</v>
      </c>
      <c r="L8186" t="s">
        <v>652</v>
      </c>
      <c r="M8186" t="s">
        <v>16</v>
      </c>
    </row>
    <row r="8187" spans="1:13">
      <c r="A8187" t="s">
        <v>851</v>
      </c>
      <c r="B8187" t="s">
        <v>687</v>
      </c>
      <c r="C8187" t="s">
        <v>687</v>
      </c>
      <c r="D8187" t="s">
        <v>3185</v>
      </c>
      <c r="E8187" t="s">
        <v>242</v>
      </c>
      <c r="F8187" t="s">
        <v>663</v>
      </c>
      <c r="G8187">
        <v>2030</v>
      </c>
      <c r="H8187" s="12">
        <v>7.33</v>
      </c>
      <c r="I8187" t="s">
        <v>3183</v>
      </c>
      <c r="J8187" t="s">
        <v>394</v>
      </c>
      <c r="K8187" t="s">
        <v>147</v>
      </c>
      <c r="L8187" t="s">
        <v>652</v>
      </c>
      <c r="M8187" t="s">
        <v>16</v>
      </c>
    </row>
    <row r="8188" spans="1:13">
      <c r="A8188" t="s">
        <v>851</v>
      </c>
      <c r="B8188" t="s">
        <v>687</v>
      </c>
      <c r="C8188" t="s">
        <v>687</v>
      </c>
      <c r="D8188" t="s">
        <v>3185</v>
      </c>
      <c r="E8188" t="s">
        <v>242</v>
      </c>
      <c r="F8188" t="s">
        <v>663</v>
      </c>
      <c r="G8188">
        <v>2035</v>
      </c>
      <c r="H8188" s="12">
        <v>3.32</v>
      </c>
      <c r="I8188" t="s">
        <v>3183</v>
      </c>
      <c r="J8188" t="s">
        <v>394</v>
      </c>
      <c r="K8188" t="s">
        <v>147</v>
      </c>
      <c r="L8188" t="s">
        <v>652</v>
      </c>
      <c r="M8188" t="s">
        <v>16</v>
      </c>
    </row>
    <row r="8189" spans="1:13">
      <c r="A8189" t="s">
        <v>851</v>
      </c>
      <c r="B8189" t="s">
        <v>687</v>
      </c>
      <c r="C8189" t="s">
        <v>687</v>
      </c>
      <c r="D8189" t="s">
        <v>3185</v>
      </c>
      <c r="E8189" t="s">
        <v>242</v>
      </c>
      <c r="F8189" t="s">
        <v>663</v>
      </c>
      <c r="G8189">
        <v>2040</v>
      </c>
      <c r="H8189" s="12">
        <v>1.41</v>
      </c>
      <c r="I8189" t="s">
        <v>3183</v>
      </c>
      <c r="J8189" t="s">
        <v>394</v>
      </c>
      <c r="K8189" t="s">
        <v>147</v>
      </c>
      <c r="L8189" t="s">
        <v>652</v>
      </c>
      <c r="M8189" t="s">
        <v>16</v>
      </c>
    </row>
    <row r="8190" spans="1:13">
      <c r="A8190" t="s">
        <v>851</v>
      </c>
      <c r="B8190" t="s">
        <v>687</v>
      </c>
      <c r="C8190" t="s">
        <v>687</v>
      </c>
      <c r="D8190" t="s">
        <v>3185</v>
      </c>
      <c r="E8190" t="s">
        <v>242</v>
      </c>
      <c r="F8190" t="s">
        <v>663</v>
      </c>
      <c r="G8190">
        <v>2045</v>
      </c>
      <c r="H8190" s="12">
        <v>1.02</v>
      </c>
      <c r="I8190" t="s">
        <v>3183</v>
      </c>
      <c r="J8190" t="s">
        <v>394</v>
      </c>
      <c r="K8190" t="s">
        <v>147</v>
      </c>
      <c r="L8190" t="s">
        <v>652</v>
      </c>
      <c r="M8190" t="s">
        <v>16</v>
      </c>
    </row>
    <row r="8191" spans="1:13">
      <c r="A8191" t="s">
        <v>851</v>
      </c>
      <c r="B8191" t="s">
        <v>687</v>
      </c>
      <c r="C8191" t="s">
        <v>687</v>
      </c>
      <c r="D8191" t="s">
        <v>3185</v>
      </c>
      <c r="E8191" t="s">
        <v>242</v>
      </c>
      <c r="F8191" t="s">
        <v>663</v>
      </c>
      <c r="G8191">
        <v>2050</v>
      </c>
      <c r="H8191" s="12">
        <v>0.61</v>
      </c>
      <c r="I8191" t="s">
        <v>3183</v>
      </c>
      <c r="J8191" t="s">
        <v>394</v>
      </c>
      <c r="K8191" t="s">
        <v>147</v>
      </c>
      <c r="L8191" t="s">
        <v>652</v>
      </c>
      <c r="M8191" t="s">
        <v>16</v>
      </c>
    </row>
    <row r="8192" spans="1:13">
      <c r="A8192" t="s">
        <v>851</v>
      </c>
      <c r="B8192" t="s">
        <v>686</v>
      </c>
      <c r="C8192" t="s">
        <v>686</v>
      </c>
      <c r="D8192" t="s">
        <v>3185</v>
      </c>
      <c r="E8192" t="s">
        <v>242</v>
      </c>
      <c r="F8192" t="s">
        <v>663</v>
      </c>
      <c r="G8192">
        <v>2010</v>
      </c>
      <c r="H8192" s="12">
        <v>530.71</v>
      </c>
      <c r="I8192" t="s">
        <v>3183</v>
      </c>
      <c r="J8192" t="s">
        <v>6</v>
      </c>
      <c r="K8192" t="s">
        <v>147</v>
      </c>
      <c r="L8192" t="s">
        <v>652</v>
      </c>
      <c r="M8192" t="s">
        <v>659</v>
      </c>
    </row>
    <row r="8193" spans="1:13">
      <c r="A8193" t="s">
        <v>851</v>
      </c>
      <c r="B8193" t="s">
        <v>687</v>
      </c>
      <c r="C8193" t="s">
        <v>687</v>
      </c>
      <c r="D8193" t="s">
        <v>3185</v>
      </c>
      <c r="E8193" t="s">
        <v>656</v>
      </c>
      <c r="F8193" t="s">
        <v>31</v>
      </c>
      <c r="G8193">
        <v>2040</v>
      </c>
      <c r="H8193" s="12">
        <v>129.68</v>
      </c>
      <c r="I8193" t="s">
        <v>3183</v>
      </c>
      <c r="J8193" t="s">
        <v>15</v>
      </c>
      <c r="K8193" t="s">
        <v>147</v>
      </c>
      <c r="L8193" t="s">
        <v>652</v>
      </c>
      <c r="M8193" t="s">
        <v>15</v>
      </c>
    </row>
    <row r="8194" spans="1:13">
      <c r="A8194" t="s">
        <v>851</v>
      </c>
      <c r="B8194" t="s">
        <v>687</v>
      </c>
      <c r="C8194" t="s">
        <v>687</v>
      </c>
      <c r="D8194" t="s">
        <v>3185</v>
      </c>
      <c r="E8194" t="s">
        <v>656</v>
      </c>
      <c r="F8194" t="s">
        <v>31</v>
      </c>
      <c r="G8194">
        <v>2045</v>
      </c>
      <c r="H8194" s="12">
        <v>134.05000000000001</v>
      </c>
      <c r="I8194" t="s">
        <v>3183</v>
      </c>
      <c r="J8194" t="s">
        <v>15</v>
      </c>
      <c r="K8194" t="s">
        <v>147</v>
      </c>
      <c r="L8194" t="s">
        <v>652</v>
      </c>
      <c r="M8194" t="s">
        <v>15</v>
      </c>
    </row>
    <row r="8195" spans="1:13">
      <c r="A8195" t="s">
        <v>851</v>
      </c>
      <c r="B8195" t="s">
        <v>687</v>
      </c>
      <c r="C8195" t="s">
        <v>687</v>
      </c>
      <c r="D8195" t="s">
        <v>3185</v>
      </c>
      <c r="E8195" t="s">
        <v>656</v>
      </c>
      <c r="F8195" t="s">
        <v>31</v>
      </c>
      <c r="G8195">
        <v>2050</v>
      </c>
      <c r="H8195" s="12">
        <v>142.88</v>
      </c>
      <c r="I8195" t="s">
        <v>3183</v>
      </c>
      <c r="J8195" t="s">
        <v>15</v>
      </c>
      <c r="K8195" t="s">
        <v>147</v>
      </c>
      <c r="L8195" t="s">
        <v>652</v>
      </c>
      <c r="M8195" t="s">
        <v>15</v>
      </c>
    </row>
    <row r="8196" spans="1:13">
      <c r="A8196" t="s">
        <v>851</v>
      </c>
      <c r="B8196" t="s">
        <v>686</v>
      </c>
      <c r="C8196" t="s">
        <v>686</v>
      </c>
      <c r="D8196" t="s">
        <v>3185</v>
      </c>
      <c r="E8196" t="s">
        <v>656</v>
      </c>
      <c r="F8196" t="s">
        <v>31</v>
      </c>
      <c r="G8196">
        <v>2010</v>
      </c>
      <c r="H8196" s="12">
        <v>0</v>
      </c>
      <c r="I8196" t="s">
        <v>3183</v>
      </c>
      <c r="J8196" t="s">
        <v>8</v>
      </c>
      <c r="K8196" t="s">
        <v>147</v>
      </c>
      <c r="L8196" t="s">
        <v>652</v>
      </c>
      <c r="M8196" t="s">
        <v>670</v>
      </c>
    </row>
    <row r="8197" spans="1:13">
      <c r="A8197" t="s">
        <v>851</v>
      </c>
      <c r="B8197" t="s">
        <v>686</v>
      </c>
      <c r="C8197" t="s">
        <v>686</v>
      </c>
      <c r="D8197" t="s">
        <v>3185</v>
      </c>
      <c r="E8197" t="s">
        <v>656</v>
      </c>
      <c r="F8197" t="s">
        <v>31</v>
      </c>
      <c r="G8197">
        <v>2015</v>
      </c>
      <c r="H8197" s="12">
        <v>0</v>
      </c>
      <c r="I8197" t="s">
        <v>3183</v>
      </c>
      <c r="J8197" t="s">
        <v>8</v>
      </c>
      <c r="K8197" t="s">
        <v>147</v>
      </c>
      <c r="L8197" t="s">
        <v>652</v>
      </c>
      <c r="M8197" t="s">
        <v>670</v>
      </c>
    </row>
    <row r="8198" spans="1:13">
      <c r="A8198" t="s">
        <v>851</v>
      </c>
      <c r="B8198" t="s">
        <v>686</v>
      </c>
      <c r="C8198" t="s">
        <v>686</v>
      </c>
      <c r="D8198" t="s">
        <v>3185</v>
      </c>
      <c r="E8198" t="s">
        <v>656</v>
      </c>
      <c r="F8198" t="s">
        <v>31</v>
      </c>
      <c r="G8198">
        <v>2020</v>
      </c>
      <c r="H8198" s="12">
        <v>0</v>
      </c>
      <c r="I8198" t="s">
        <v>3183</v>
      </c>
      <c r="J8198" t="s">
        <v>8</v>
      </c>
      <c r="K8198" t="s">
        <v>147</v>
      </c>
      <c r="L8198" t="s">
        <v>652</v>
      </c>
      <c r="M8198" t="s">
        <v>670</v>
      </c>
    </row>
    <row r="8199" spans="1:13">
      <c r="A8199" t="s">
        <v>851</v>
      </c>
      <c r="B8199" t="s">
        <v>686</v>
      </c>
      <c r="C8199" t="s">
        <v>686</v>
      </c>
      <c r="D8199" t="s">
        <v>3185</v>
      </c>
      <c r="E8199" t="s">
        <v>656</v>
      </c>
      <c r="F8199" t="s">
        <v>31</v>
      </c>
      <c r="G8199">
        <v>2030</v>
      </c>
      <c r="H8199" s="12">
        <v>0</v>
      </c>
      <c r="I8199" t="s">
        <v>3183</v>
      </c>
      <c r="J8199" t="s">
        <v>8</v>
      </c>
      <c r="K8199" t="s">
        <v>147</v>
      </c>
      <c r="L8199" t="s">
        <v>652</v>
      </c>
      <c r="M8199" t="s">
        <v>670</v>
      </c>
    </row>
    <row r="8200" spans="1:13">
      <c r="A8200" t="s">
        <v>851</v>
      </c>
      <c r="B8200" t="s">
        <v>686</v>
      </c>
      <c r="C8200" t="s">
        <v>686</v>
      </c>
      <c r="D8200" t="s">
        <v>3185</v>
      </c>
      <c r="E8200" t="s">
        <v>656</v>
      </c>
      <c r="F8200" t="s">
        <v>31</v>
      </c>
      <c r="G8200">
        <v>2035</v>
      </c>
      <c r="H8200" s="12">
        <v>0</v>
      </c>
      <c r="I8200" t="s">
        <v>3183</v>
      </c>
      <c r="J8200" t="s">
        <v>8</v>
      </c>
      <c r="K8200" t="s">
        <v>147</v>
      </c>
      <c r="L8200" t="s">
        <v>652</v>
      </c>
      <c r="M8200" t="s">
        <v>670</v>
      </c>
    </row>
    <row r="8201" spans="1:13">
      <c r="A8201" t="s">
        <v>851</v>
      </c>
      <c r="B8201" t="s">
        <v>686</v>
      </c>
      <c r="C8201" t="s">
        <v>686</v>
      </c>
      <c r="D8201" t="s">
        <v>3185</v>
      </c>
      <c r="E8201" t="s">
        <v>656</v>
      </c>
      <c r="F8201" t="s">
        <v>31</v>
      </c>
      <c r="G8201">
        <v>2040</v>
      </c>
      <c r="H8201" s="12">
        <v>0</v>
      </c>
      <c r="I8201" t="s">
        <v>3183</v>
      </c>
      <c r="J8201" t="s">
        <v>8</v>
      </c>
      <c r="K8201" t="s">
        <v>147</v>
      </c>
      <c r="L8201" t="s">
        <v>652</v>
      </c>
      <c r="M8201" t="s">
        <v>670</v>
      </c>
    </row>
    <row r="8202" spans="1:13">
      <c r="A8202" t="s">
        <v>851</v>
      </c>
      <c r="B8202" t="s">
        <v>686</v>
      </c>
      <c r="C8202" t="s">
        <v>686</v>
      </c>
      <c r="D8202" t="s">
        <v>3185</v>
      </c>
      <c r="E8202" t="s">
        <v>656</v>
      </c>
      <c r="F8202" t="s">
        <v>31</v>
      </c>
      <c r="G8202">
        <v>2045</v>
      </c>
      <c r="H8202" s="12">
        <v>0</v>
      </c>
      <c r="I8202" t="s">
        <v>3183</v>
      </c>
      <c r="J8202" t="s">
        <v>8</v>
      </c>
      <c r="K8202" t="s">
        <v>147</v>
      </c>
      <c r="L8202" t="s">
        <v>652</v>
      </c>
      <c r="M8202" t="s">
        <v>670</v>
      </c>
    </row>
    <row r="8203" spans="1:13">
      <c r="A8203" t="s">
        <v>851</v>
      </c>
      <c r="B8203" t="s">
        <v>686</v>
      </c>
      <c r="C8203" t="s">
        <v>686</v>
      </c>
      <c r="D8203" t="s">
        <v>3185</v>
      </c>
      <c r="E8203" t="s">
        <v>656</v>
      </c>
      <c r="F8203" t="s">
        <v>31</v>
      </c>
      <c r="G8203">
        <v>2050</v>
      </c>
      <c r="H8203" s="12">
        <v>0</v>
      </c>
      <c r="I8203" t="s">
        <v>3183</v>
      </c>
      <c r="J8203" t="s">
        <v>8</v>
      </c>
      <c r="K8203" t="s">
        <v>147</v>
      </c>
      <c r="L8203" t="s">
        <v>652</v>
      </c>
      <c r="M8203" t="s">
        <v>670</v>
      </c>
    </row>
    <row r="8204" spans="1:13">
      <c r="A8204" t="s">
        <v>851</v>
      </c>
      <c r="B8204" t="s">
        <v>687</v>
      </c>
      <c r="C8204" t="s">
        <v>687</v>
      </c>
      <c r="D8204" t="s">
        <v>3185</v>
      </c>
      <c r="E8204" t="s">
        <v>656</v>
      </c>
      <c r="F8204" t="s">
        <v>31</v>
      </c>
      <c r="G8204">
        <v>2030</v>
      </c>
      <c r="H8204" s="12">
        <v>19.850000000000001</v>
      </c>
      <c r="I8204" t="s">
        <v>3183</v>
      </c>
      <c r="J8204" t="s">
        <v>8</v>
      </c>
      <c r="K8204" t="s">
        <v>147</v>
      </c>
      <c r="L8204" t="s">
        <v>652</v>
      </c>
      <c r="M8204" t="s">
        <v>670</v>
      </c>
    </row>
    <row r="8205" spans="1:13">
      <c r="A8205" t="s">
        <v>851</v>
      </c>
      <c r="B8205" t="s">
        <v>687</v>
      </c>
      <c r="C8205" t="s">
        <v>687</v>
      </c>
      <c r="D8205" t="s">
        <v>3185</v>
      </c>
      <c r="E8205" t="s">
        <v>656</v>
      </c>
      <c r="F8205" t="s">
        <v>31</v>
      </c>
      <c r="G8205">
        <v>2035</v>
      </c>
      <c r="H8205" s="12">
        <v>78.92</v>
      </c>
      <c r="I8205" t="s">
        <v>3183</v>
      </c>
      <c r="J8205" t="s">
        <v>8</v>
      </c>
      <c r="K8205" t="s">
        <v>147</v>
      </c>
      <c r="L8205" t="s">
        <v>652</v>
      </c>
      <c r="M8205" t="s">
        <v>670</v>
      </c>
    </row>
    <row r="8206" spans="1:13">
      <c r="A8206" t="s">
        <v>851</v>
      </c>
      <c r="B8206" t="s">
        <v>687</v>
      </c>
      <c r="C8206" t="s">
        <v>687</v>
      </c>
      <c r="D8206" t="s">
        <v>3185</v>
      </c>
      <c r="E8206" t="s">
        <v>656</v>
      </c>
      <c r="F8206" t="s">
        <v>31</v>
      </c>
      <c r="G8206">
        <v>2040</v>
      </c>
      <c r="H8206" s="12">
        <v>96.06</v>
      </c>
      <c r="I8206" t="s">
        <v>3183</v>
      </c>
      <c r="J8206" t="s">
        <v>8</v>
      </c>
      <c r="K8206" t="s">
        <v>147</v>
      </c>
      <c r="L8206" t="s">
        <v>652</v>
      </c>
      <c r="M8206" t="s">
        <v>670</v>
      </c>
    </row>
    <row r="8207" spans="1:13">
      <c r="A8207" t="s">
        <v>851</v>
      </c>
      <c r="B8207" t="s">
        <v>687</v>
      </c>
      <c r="C8207" t="s">
        <v>687</v>
      </c>
      <c r="D8207" t="s">
        <v>3185</v>
      </c>
      <c r="E8207" t="s">
        <v>656</v>
      </c>
      <c r="F8207" t="s">
        <v>31</v>
      </c>
      <c r="G8207">
        <v>2045</v>
      </c>
      <c r="H8207" s="12">
        <v>93.04</v>
      </c>
      <c r="I8207" t="s">
        <v>3183</v>
      </c>
      <c r="J8207" t="s">
        <v>8</v>
      </c>
      <c r="K8207" t="s">
        <v>147</v>
      </c>
      <c r="L8207" t="s">
        <v>652</v>
      </c>
      <c r="M8207" t="s">
        <v>670</v>
      </c>
    </row>
    <row r="8208" spans="1:13">
      <c r="A8208" t="s">
        <v>851</v>
      </c>
      <c r="B8208" t="s">
        <v>687</v>
      </c>
      <c r="C8208" t="s">
        <v>687</v>
      </c>
      <c r="D8208" t="s">
        <v>3185</v>
      </c>
      <c r="E8208" t="s">
        <v>656</v>
      </c>
      <c r="F8208" t="s">
        <v>31</v>
      </c>
      <c r="G8208">
        <v>2050</v>
      </c>
      <c r="H8208" s="12">
        <v>86.67</v>
      </c>
      <c r="I8208" t="s">
        <v>3183</v>
      </c>
      <c r="J8208" t="s">
        <v>8</v>
      </c>
      <c r="K8208" t="s">
        <v>147</v>
      </c>
      <c r="L8208" t="s">
        <v>652</v>
      </c>
      <c r="M8208" t="s">
        <v>670</v>
      </c>
    </row>
    <row r="8209" spans="1:13">
      <c r="A8209" t="s">
        <v>851</v>
      </c>
      <c r="B8209" t="s">
        <v>686</v>
      </c>
      <c r="C8209" t="s">
        <v>686</v>
      </c>
      <c r="D8209" t="s">
        <v>3185</v>
      </c>
      <c r="E8209" t="s">
        <v>656</v>
      </c>
      <c r="F8209" t="s">
        <v>31</v>
      </c>
      <c r="G8209">
        <v>2010</v>
      </c>
      <c r="H8209" s="12">
        <v>341.99</v>
      </c>
      <c r="I8209" t="s">
        <v>3183</v>
      </c>
      <c r="J8209" t="s">
        <v>5</v>
      </c>
      <c r="K8209" t="s">
        <v>147</v>
      </c>
      <c r="L8209" t="s">
        <v>652</v>
      </c>
      <c r="M8209" t="s">
        <v>665</v>
      </c>
    </row>
    <row r="8210" spans="1:13">
      <c r="A8210" t="s">
        <v>851</v>
      </c>
      <c r="B8210" t="s">
        <v>686</v>
      </c>
      <c r="C8210" t="s">
        <v>686</v>
      </c>
      <c r="D8210" t="s">
        <v>3185</v>
      </c>
      <c r="E8210" t="s">
        <v>656</v>
      </c>
      <c r="F8210" t="s">
        <v>31</v>
      </c>
      <c r="G8210">
        <v>2015</v>
      </c>
      <c r="H8210" s="12">
        <v>307.35000000000002</v>
      </c>
      <c r="I8210" t="s">
        <v>3183</v>
      </c>
      <c r="J8210" t="s">
        <v>5</v>
      </c>
      <c r="K8210" t="s">
        <v>147</v>
      </c>
      <c r="L8210" t="s">
        <v>652</v>
      </c>
      <c r="M8210" t="s">
        <v>665</v>
      </c>
    </row>
    <row r="8211" spans="1:13">
      <c r="A8211" t="s">
        <v>851</v>
      </c>
      <c r="B8211" t="s">
        <v>686</v>
      </c>
      <c r="C8211" t="s">
        <v>686</v>
      </c>
      <c r="D8211" t="s">
        <v>3185</v>
      </c>
      <c r="E8211" t="s">
        <v>656</v>
      </c>
      <c r="F8211" t="s">
        <v>31</v>
      </c>
      <c r="G8211">
        <v>2020</v>
      </c>
      <c r="H8211" s="12">
        <v>251.97</v>
      </c>
      <c r="I8211" t="s">
        <v>3183</v>
      </c>
      <c r="J8211" t="s">
        <v>5</v>
      </c>
      <c r="K8211" t="s">
        <v>147</v>
      </c>
      <c r="L8211" t="s">
        <v>652</v>
      </c>
      <c r="M8211" t="s">
        <v>665</v>
      </c>
    </row>
    <row r="8212" spans="1:13">
      <c r="A8212" t="s">
        <v>851</v>
      </c>
      <c r="B8212" t="s">
        <v>686</v>
      </c>
      <c r="C8212" t="s">
        <v>686</v>
      </c>
      <c r="D8212" t="s">
        <v>3185</v>
      </c>
      <c r="E8212" t="s">
        <v>656</v>
      </c>
      <c r="F8212" t="s">
        <v>31</v>
      </c>
      <c r="G8212">
        <v>2030</v>
      </c>
      <c r="H8212" s="12">
        <v>99.77</v>
      </c>
      <c r="I8212" t="s">
        <v>3183</v>
      </c>
      <c r="J8212" t="s">
        <v>5</v>
      </c>
      <c r="K8212" t="s">
        <v>147</v>
      </c>
      <c r="L8212" t="s">
        <v>652</v>
      </c>
      <c r="M8212" t="s">
        <v>665</v>
      </c>
    </row>
    <row r="8213" spans="1:13">
      <c r="A8213" t="s">
        <v>851</v>
      </c>
      <c r="B8213" t="s">
        <v>686</v>
      </c>
      <c r="C8213" t="s">
        <v>686</v>
      </c>
      <c r="D8213" t="s">
        <v>3185</v>
      </c>
      <c r="E8213" t="s">
        <v>656</v>
      </c>
      <c r="F8213" t="s">
        <v>31</v>
      </c>
      <c r="G8213">
        <v>2035</v>
      </c>
      <c r="H8213" s="12">
        <v>42.28</v>
      </c>
      <c r="I8213" t="s">
        <v>3183</v>
      </c>
      <c r="J8213" t="s">
        <v>5</v>
      </c>
      <c r="K8213" t="s">
        <v>147</v>
      </c>
      <c r="L8213" t="s">
        <v>652</v>
      </c>
      <c r="M8213" t="s">
        <v>665</v>
      </c>
    </row>
    <row r="8214" spans="1:13">
      <c r="A8214" t="s">
        <v>851</v>
      </c>
      <c r="B8214" t="s">
        <v>686</v>
      </c>
      <c r="C8214" t="s">
        <v>686</v>
      </c>
      <c r="D8214" t="s">
        <v>3185</v>
      </c>
      <c r="E8214" t="s">
        <v>656</v>
      </c>
      <c r="F8214" t="s">
        <v>31</v>
      </c>
      <c r="G8214">
        <v>2035</v>
      </c>
      <c r="H8214" s="12">
        <v>572.54</v>
      </c>
      <c r="I8214" t="s">
        <v>3183</v>
      </c>
      <c r="J8214" t="s">
        <v>6</v>
      </c>
      <c r="K8214" t="s">
        <v>147</v>
      </c>
      <c r="L8214" t="s">
        <v>652</v>
      </c>
      <c r="M8214" t="s">
        <v>666</v>
      </c>
    </row>
    <row r="8215" spans="1:13">
      <c r="A8215" t="s">
        <v>851</v>
      </c>
      <c r="B8215" t="s">
        <v>686</v>
      </c>
      <c r="C8215" t="s">
        <v>686</v>
      </c>
      <c r="D8215" t="s">
        <v>3185</v>
      </c>
      <c r="E8215" t="s">
        <v>656</v>
      </c>
      <c r="F8215" t="s">
        <v>31</v>
      </c>
      <c r="G8215">
        <v>2040</v>
      </c>
      <c r="H8215" s="12">
        <v>565.86</v>
      </c>
      <c r="I8215" t="s">
        <v>3183</v>
      </c>
      <c r="J8215" t="s">
        <v>6</v>
      </c>
      <c r="K8215" t="s">
        <v>147</v>
      </c>
      <c r="L8215" t="s">
        <v>652</v>
      </c>
      <c r="M8215" t="s">
        <v>666</v>
      </c>
    </row>
    <row r="8216" spans="1:13">
      <c r="A8216" t="s">
        <v>851</v>
      </c>
      <c r="B8216" t="s">
        <v>686</v>
      </c>
      <c r="C8216" t="s">
        <v>686</v>
      </c>
      <c r="D8216" t="s">
        <v>3185</v>
      </c>
      <c r="E8216" t="s">
        <v>656</v>
      </c>
      <c r="F8216" t="s">
        <v>31</v>
      </c>
      <c r="G8216">
        <v>2045</v>
      </c>
      <c r="H8216" s="12">
        <v>550.63</v>
      </c>
      <c r="I8216" t="s">
        <v>3183</v>
      </c>
      <c r="J8216" t="s">
        <v>6</v>
      </c>
      <c r="K8216" t="s">
        <v>147</v>
      </c>
      <c r="L8216" t="s">
        <v>652</v>
      </c>
      <c r="M8216" t="s">
        <v>666</v>
      </c>
    </row>
    <row r="8217" spans="1:13">
      <c r="A8217" t="s">
        <v>851</v>
      </c>
      <c r="B8217" t="s">
        <v>686</v>
      </c>
      <c r="C8217" t="s">
        <v>686</v>
      </c>
      <c r="D8217" t="s">
        <v>3185</v>
      </c>
      <c r="E8217" t="s">
        <v>656</v>
      </c>
      <c r="F8217" t="s">
        <v>31</v>
      </c>
      <c r="G8217">
        <v>2050</v>
      </c>
      <c r="H8217" s="12">
        <v>548.55999999999995</v>
      </c>
      <c r="I8217" t="s">
        <v>3183</v>
      </c>
      <c r="J8217" t="s">
        <v>6</v>
      </c>
      <c r="K8217" t="s">
        <v>147</v>
      </c>
      <c r="L8217" t="s">
        <v>652</v>
      </c>
      <c r="M8217" t="s">
        <v>666</v>
      </c>
    </row>
    <row r="8218" spans="1:13">
      <c r="A8218" t="s">
        <v>851</v>
      </c>
      <c r="B8218" t="s">
        <v>687</v>
      </c>
      <c r="C8218" t="s">
        <v>687</v>
      </c>
      <c r="D8218" t="s">
        <v>3185</v>
      </c>
      <c r="E8218" t="s">
        <v>656</v>
      </c>
      <c r="F8218" t="s">
        <v>31</v>
      </c>
      <c r="G8218">
        <v>2030</v>
      </c>
      <c r="H8218" s="12">
        <v>547.48</v>
      </c>
      <c r="I8218" t="s">
        <v>3183</v>
      </c>
      <c r="J8218" t="s">
        <v>6</v>
      </c>
      <c r="K8218" t="s">
        <v>147</v>
      </c>
      <c r="L8218" t="s">
        <v>652</v>
      </c>
      <c r="M8218" t="s">
        <v>666</v>
      </c>
    </row>
    <row r="8219" spans="1:13">
      <c r="A8219" t="s">
        <v>851</v>
      </c>
      <c r="B8219" t="s">
        <v>687</v>
      </c>
      <c r="C8219" t="s">
        <v>687</v>
      </c>
      <c r="D8219" t="s">
        <v>3185</v>
      </c>
      <c r="E8219" t="s">
        <v>656</v>
      </c>
      <c r="F8219" t="s">
        <v>31</v>
      </c>
      <c r="G8219">
        <v>2035</v>
      </c>
      <c r="H8219" s="12">
        <v>453.61</v>
      </c>
      <c r="I8219" t="s">
        <v>3183</v>
      </c>
      <c r="J8219" t="s">
        <v>6</v>
      </c>
      <c r="K8219" t="s">
        <v>147</v>
      </c>
      <c r="L8219" t="s">
        <v>652</v>
      </c>
      <c r="M8219" t="s">
        <v>666</v>
      </c>
    </row>
    <row r="8220" spans="1:13">
      <c r="A8220" t="s">
        <v>851</v>
      </c>
      <c r="B8220" t="s">
        <v>687</v>
      </c>
      <c r="C8220" t="s">
        <v>687</v>
      </c>
      <c r="D8220" t="s">
        <v>3185</v>
      </c>
      <c r="E8220" t="s">
        <v>656</v>
      </c>
      <c r="F8220" t="s">
        <v>31</v>
      </c>
      <c r="G8220">
        <v>2040</v>
      </c>
      <c r="H8220" s="12">
        <v>393.33</v>
      </c>
      <c r="I8220" t="s">
        <v>3183</v>
      </c>
      <c r="J8220" t="s">
        <v>6</v>
      </c>
      <c r="K8220" t="s">
        <v>147</v>
      </c>
      <c r="L8220" t="s">
        <v>652</v>
      </c>
      <c r="M8220" t="s">
        <v>666</v>
      </c>
    </row>
    <row r="8221" spans="1:13">
      <c r="A8221" t="s">
        <v>851</v>
      </c>
      <c r="B8221" t="s">
        <v>687</v>
      </c>
      <c r="C8221" t="s">
        <v>687</v>
      </c>
      <c r="D8221" t="s">
        <v>3185</v>
      </c>
      <c r="E8221" t="s">
        <v>656</v>
      </c>
      <c r="F8221" t="s">
        <v>31</v>
      </c>
      <c r="G8221">
        <v>2045</v>
      </c>
      <c r="H8221" s="12">
        <v>354.8</v>
      </c>
      <c r="I8221" t="s">
        <v>3183</v>
      </c>
      <c r="J8221" t="s">
        <v>6</v>
      </c>
      <c r="K8221" t="s">
        <v>147</v>
      </c>
      <c r="L8221" t="s">
        <v>652</v>
      </c>
      <c r="M8221" t="s">
        <v>666</v>
      </c>
    </row>
    <row r="8222" spans="1:13">
      <c r="A8222" t="s">
        <v>851</v>
      </c>
      <c r="B8222" t="s">
        <v>687</v>
      </c>
      <c r="C8222" t="s">
        <v>687</v>
      </c>
      <c r="D8222" t="s">
        <v>3185</v>
      </c>
      <c r="E8222" t="s">
        <v>656</v>
      </c>
      <c r="F8222" t="s">
        <v>31</v>
      </c>
      <c r="G8222">
        <v>2050</v>
      </c>
      <c r="H8222" s="12">
        <v>280.64</v>
      </c>
      <c r="I8222" t="s">
        <v>3183</v>
      </c>
      <c r="J8222" t="s">
        <v>6</v>
      </c>
      <c r="K8222" t="s">
        <v>147</v>
      </c>
      <c r="L8222" t="s">
        <v>652</v>
      </c>
      <c r="M8222" t="s">
        <v>666</v>
      </c>
    </row>
    <row r="8223" spans="1:13">
      <c r="A8223" t="s">
        <v>851</v>
      </c>
      <c r="B8223" t="s">
        <v>686</v>
      </c>
      <c r="C8223" t="s">
        <v>686</v>
      </c>
      <c r="D8223" t="s">
        <v>3185</v>
      </c>
      <c r="E8223" t="s">
        <v>656</v>
      </c>
      <c r="F8223" t="s">
        <v>31</v>
      </c>
      <c r="G8223">
        <v>2010</v>
      </c>
      <c r="H8223" s="12">
        <v>88.01</v>
      </c>
      <c r="I8223" t="s">
        <v>3183</v>
      </c>
      <c r="J8223" t="s">
        <v>394</v>
      </c>
      <c r="K8223" t="s">
        <v>147</v>
      </c>
      <c r="L8223" t="s">
        <v>652</v>
      </c>
      <c r="M8223" t="s">
        <v>16</v>
      </c>
    </row>
    <row r="8224" spans="1:13">
      <c r="A8224" t="s">
        <v>851</v>
      </c>
      <c r="B8224" t="s">
        <v>686</v>
      </c>
      <c r="C8224" t="s">
        <v>686</v>
      </c>
      <c r="D8224" t="s">
        <v>3185</v>
      </c>
      <c r="E8224" t="s">
        <v>656</v>
      </c>
      <c r="F8224" t="s">
        <v>31</v>
      </c>
      <c r="G8224">
        <v>2015</v>
      </c>
      <c r="H8224" s="12">
        <v>80.09</v>
      </c>
      <c r="I8224" t="s">
        <v>3183</v>
      </c>
      <c r="J8224" t="s">
        <v>394</v>
      </c>
      <c r="K8224" t="s">
        <v>147</v>
      </c>
      <c r="L8224" t="s">
        <v>652</v>
      </c>
      <c r="M8224" t="s">
        <v>16</v>
      </c>
    </row>
    <row r="8225" spans="1:13">
      <c r="A8225" t="s">
        <v>851</v>
      </c>
      <c r="B8225" t="s">
        <v>686</v>
      </c>
      <c r="C8225" t="s">
        <v>686</v>
      </c>
      <c r="D8225" t="s">
        <v>3185</v>
      </c>
      <c r="E8225" t="s">
        <v>656</v>
      </c>
      <c r="F8225" t="s">
        <v>31</v>
      </c>
      <c r="G8225">
        <v>2020</v>
      </c>
      <c r="H8225" s="12">
        <v>78.12</v>
      </c>
      <c r="I8225" t="s">
        <v>3183</v>
      </c>
      <c r="J8225" t="s">
        <v>394</v>
      </c>
      <c r="K8225" t="s">
        <v>147</v>
      </c>
      <c r="L8225" t="s">
        <v>652</v>
      </c>
      <c r="M8225" t="s">
        <v>16</v>
      </c>
    </row>
    <row r="8226" spans="1:13">
      <c r="A8226" t="s">
        <v>851</v>
      </c>
      <c r="B8226" t="s">
        <v>686</v>
      </c>
      <c r="C8226" t="s">
        <v>686</v>
      </c>
      <c r="D8226" t="s">
        <v>3185</v>
      </c>
      <c r="E8226" t="s">
        <v>656</v>
      </c>
      <c r="F8226" t="s">
        <v>31</v>
      </c>
      <c r="G8226">
        <v>2030</v>
      </c>
      <c r="H8226" s="12">
        <v>31.27</v>
      </c>
      <c r="I8226" t="s">
        <v>3183</v>
      </c>
      <c r="J8226" t="s">
        <v>394</v>
      </c>
      <c r="K8226" t="s">
        <v>147</v>
      </c>
      <c r="L8226" t="s">
        <v>652</v>
      </c>
      <c r="M8226" t="s">
        <v>16</v>
      </c>
    </row>
    <row r="8227" spans="1:13">
      <c r="A8227" t="s">
        <v>851</v>
      </c>
      <c r="B8227" t="s">
        <v>686</v>
      </c>
      <c r="C8227" t="s">
        <v>686</v>
      </c>
      <c r="D8227" t="s">
        <v>3185</v>
      </c>
      <c r="E8227" t="s">
        <v>656</v>
      </c>
      <c r="F8227" t="s">
        <v>31</v>
      </c>
      <c r="G8227">
        <v>2035</v>
      </c>
      <c r="H8227" s="12">
        <v>23.39</v>
      </c>
      <c r="I8227" t="s">
        <v>3183</v>
      </c>
      <c r="J8227" t="s">
        <v>394</v>
      </c>
      <c r="K8227" t="s">
        <v>147</v>
      </c>
      <c r="L8227" t="s">
        <v>652</v>
      </c>
      <c r="M8227" t="s">
        <v>16</v>
      </c>
    </row>
    <row r="8228" spans="1:13">
      <c r="A8228" t="s">
        <v>851</v>
      </c>
      <c r="B8228" t="s">
        <v>686</v>
      </c>
      <c r="C8228" t="s">
        <v>686</v>
      </c>
      <c r="D8228" t="s">
        <v>3185</v>
      </c>
      <c r="E8228" t="s">
        <v>656</v>
      </c>
      <c r="F8228" t="s">
        <v>31</v>
      </c>
      <c r="G8228">
        <v>2040</v>
      </c>
      <c r="H8228" s="12">
        <v>14.08</v>
      </c>
      <c r="I8228" t="s">
        <v>3183</v>
      </c>
      <c r="J8228" t="s">
        <v>394</v>
      </c>
      <c r="K8228" t="s">
        <v>147</v>
      </c>
      <c r="L8228" t="s">
        <v>652</v>
      </c>
      <c r="M8228" t="s">
        <v>16</v>
      </c>
    </row>
    <row r="8229" spans="1:13">
      <c r="A8229" t="s">
        <v>851</v>
      </c>
      <c r="B8229" t="s">
        <v>686</v>
      </c>
      <c r="C8229" t="s">
        <v>686</v>
      </c>
      <c r="D8229" t="s">
        <v>3185</v>
      </c>
      <c r="E8229" t="s">
        <v>656</v>
      </c>
      <c r="F8229" t="s">
        <v>31</v>
      </c>
      <c r="G8229">
        <v>2045</v>
      </c>
      <c r="H8229" s="12">
        <v>13.14</v>
      </c>
      <c r="I8229" t="s">
        <v>3183</v>
      </c>
      <c r="J8229" t="s">
        <v>394</v>
      </c>
      <c r="K8229" t="s">
        <v>147</v>
      </c>
      <c r="L8229" t="s">
        <v>652</v>
      </c>
      <c r="M8229" t="s">
        <v>16</v>
      </c>
    </row>
    <row r="8230" spans="1:13">
      <c r="A8230" t="s">
        <v>851</v>
      </c>
      <c r="B8230" t="s">
        <v>686</v>
      </c>
      <c r="C8230" t="s">
        <v>686</v>
      </c>
      <c r="D8230" t="s">
        <v>3185</v>
      </c>
      <c r="E8230" t="s">
        <v>656</v>
      </c>
      <c r="F8230" t="s">
        <v>31</v>
      </c>
      <c r="G8230">
        <v>2050</v>
      </c>
      <c r="H8230" s="12">
        <v>11.4</v>
      </c>
      <c r="I8230" t="s">
        <v>3183</v>
      </c>
      <c r="J8230" t="s">
        <v>394</v>
      </c>
      <c r="K8230" t="s">
        <v>147</v>
      </c>
      <c r="L8230" t="s">
        <v>652</v>
      </c>
      <c r="M8230" t="s">
        <v>16</v>
      </c>
    </row>
    <row r="8231" spans="1:13">
      <c r="A8231" t="s">
        <v>851</v>
      </c>
      <c r="B8231" t="s">
        <v>687</v>
      </c>
      <c r="C8231" t="s">
        <v>687</v>
      </c>
      <c r="D8231" t="s">
        <v>3185</v>
      </c>
      <c r="E8231" t="s">
        <v>656</v>
      </c>
      <c r="F8231" t="s">
        <v>31</v>
      </c>
      <c r="G8231">
        <v>2030</v>
      </c>
      <c r="H8231" s="12">
        <v>32.36</v>
      </c>
      <c r="I8231" t="s">
        <v>3183</v>
      </c>
      <c r="J8231" t="s">
        <v>394</v>
      </c>
      <c r="K8231" t="s">
        <v>147</v>
      </c>
      <c r="L8231" t="s">
        <v>652</v>
      </c>
      <c r="M8231" t="s">
        <v>16</v>
      </c>
    </row>
    <row r="8232" spans="1:13">
      <c r="A8232" t="s">
        <v>851</v>
      </c>
      <c r="B8232" t="s">
        <v>687</v>
      </c>
      <c r="C8232" t="s">
        <v>687</v>
      </c>
      <c r="D8232" t="s">
        <v>3185</v>
      </c>
      <c r="E8232" t="s">
        <v>656</v>
      </c>
      <c r="F8232" t="s">
        <v>31</v>
      </c>
      <c r="G8232">
        <v>2035</v>
      </c>
      <c r="H8232" s="12">
        <v>23.98</v>
      </c>
      <c r="I8232" t="s">
        <v>3183</v>
      </c>
      <c r="J8232" t="s">
        <v>394</v>
      </c>
      <c r="K8232" t="s">
        <v>147</v>
      </c>
      <c r="L8232" t="s">
        <v>652</v>
      </c>
      <c r="M8232" t="s">
        <v>16</v>
      </c>
    </row>
    <row r="8233" spans="1:13">
      <c r="A8233" t="s">
        <v>851</v>
      </c>
      <c r="B8233" t="s">
        <v>687</v>
      </c>
      <c r="C8233" t="s">
        <v>687</v>
      </c>
      <c r="D8233" t="s">
        <v>3185</v>
      </c>
      <c r="E8233" t="s">
        <v>656</v>
      </c>
      <c r="F8233" t="s">
        <v>31</v>
      </c>
      <c r="G8233">
        <v>2040</v>
      </c>
      <c r="H8233" s="12">
        <v>14.88</v>
      </c>
      <c r="I8233" t="s">
        <v>3183</v>
      </c>
      <c r="J8233" t="s">
        <v>394</v>
      </c>
      <c r="K8233" t="s">
        <v>147</v>
      </c>
      <c r="L8233" t="s">
        <v>652</v>
      </c>
      <c r="M8233" t="s">
        <v>16</v>
      </c>
    </row>
    <row r="8234" spans="1:13">
      <c r="A8234" t="s">
        <v>851</v>
      </c>
      <c r="B8234" t="s">
        <v>687</v>
      </c>
      <c r="C8234" t="s">
        <v>687</v>
      </c>
      <c r="D8234" t="s">
        <v>3185</v>
      </c>
      <c r="E8234" t="s">
        <v>656</v>
      </c>
      <c r="F8234" t="s">
        <v>31</v>
      </c>
      <c r="G8234">
        <v>2045</v>
      </c>
      <c r="H8234" s="12">
        <v>11.71</v>
      </c>
      <c r="I8234" t="s">
        <v>3183</v>
      </c>
      <c r="J8234" t="s">
        <v>394</v>
      </c>
      <c r="K8234" t="s">
        <v>147</v>
      </c>
      <c r="L8234" t="s">
        <v>652</v>
      </c>
      <c r="M8234" t="s">
        <v>16</v>
      </c>
    </row>
    <row r="8235" spans="1:13">
      <c r="A8235" t="s">
        <v>851</v>
      </c>
      <c r="B8235" t="s">
        <v>687</v>
      </c>
      <c r="C8235" t="s">
        <v>687</v>
      </c>
      <c r="D8235" t="s">
        <v>3185</v>
      </c>
      <c r="E8235" t="s">
        <v>656</v>
      </c>
      <c r="F8235" t="s">
        <v>31</v>
      </c>
      <c r="G8235">
        <v>2050</v>
      </c>
      <c r="H8235" s="12">
        <v>11.93</v>
      </c>
      <c r="I8235" t="s">
        <v>3183</v>
      </c>
      <c r="J8235" t="s">
        <v>394</v>
      </c>
      <c r="K8235" t="s">
        <v>147</v>
      </c>
      <c r="L8235" t="s">
        <v>652</v>
      </c>
      <c r="M8235" t="s">
        <v>16</v>
      </c>
    </row>
    <row r="8236" spans="1:13">
      <c r="A8236" t="s">
        <v>851</v>
      </c>
      <c r="B8236" t="s">
        <v>686</v>
      </c>
      <c r="C8236" t="s">
        <v>686</v>
      </c>
      <c r="D8236" t="s">
        <v>3185</v>
      </c>
      <c r="E8236" t="s">
        <v>656</v>
      </c>
      <c r="F8236" t="s">
        <v>31</v>
      </c>
      <c r="G8236">
        <v>2010</v>
      </c>
      <c r="H8236" s="12">
        <v>0.42</v>
      </c>
      <c r="I8236" t="s">
        <v>3183</v>
      </c>
      <c r="J8236" t="s">
        <v>484</v>
      </c>
      <c r="K8236" t="s">
        <v>147</v>
      </c>
      <c r="L8236" t="s">
        <v>652</v>
      </c>
      <c r="M8236" t="s">
        <v>667</v>
      </c>
    </row>
    <row r="8237" spans="1:13">
      <c r="A8237" t="s">
        <v>851</v>
      </c>
      <c r="B8237" t="s">
        <v>686</v>
      </c>
      <c r="C8237" t="s">
        <v>686</v>
      </c>
      <c r="D8237" t="s">
        <v>3185</v>
      </c>
      <c r="E8237" t="s">
        <v>656</v>
      </c>
      <c r="F8237" t="s">
        <v>31</v>
      </c>
      <c r="G8237">
        <v>2015</v>
      </c>
      <c r="H8237" s="12">
        <v>0.83</v>
      </c>
      <c r="I8237" t="s">
        <v>3183</v>
      </c>
      <c r="J8237" t="s">
        <v>484</v>
      </c>
      <c r="K8237" t="s">
        <v>147</v>
      </c>
      <c r="L8237" t="s">
        <v>652</v>
      </c>
      <c r="M8237" t="s">
        <v>667</v>
      </c>
    </row>
    <row r="8238" spans="1:13">
      <c r="A8238" t="s">
        <v>851</v>
      </c>
      <c r="B8238" t="s">
        <v>686</v>
      </c>
      <c r="C8238" t="s">
        <v>686</v>
      </c>
      <c r="D8238" t="s">
        <v>3185</v>
      </c>
      <c r="E8238" t="s">
        <v>656</v>
      </c>
      <c r="F8238" t="s">
        <v>31</v>
      </c>
      <c r="G8238">
        <v>2020</v>
      </c>
      <c r="H8238" s="12">
        <v>3.89</v>
      </c>
      <c r="I8238" t="s">
        <v>3183</v>
      </c>
      <c r="J8238" t="s">
        <v>484</v>
      </c>
      <c r="K8238" t="s">
        <v>147</v>
      </c>
      <c r="L8238" t="s">
        <v>652</v>
      </c>
      <c r="M8238" t="s">
        <v>667</v>
      </c>
    </row>
    <row r="8239" spans="1:13">
      <c r="A8239" t="s">
        <v>851</v>
      </c>
      <c r="B8239" t="s">
        <v>686</v>
      </c>
      <c r="C8239" t="s">
        <v>686</v>
      </c>
      <c r="D8239" t="s">
        <v>3185</v>
      </c>
      <c r="E8239" t="s">
        <v>656</v>
      </c>
      <c r="F8239" t="s">
        <v>31</v>
      </c>
      <c r="G8239">
        <v>2030</v>
      </c>
      <c r="H8239" s="12">
        <v>122.53</v>
      </c>
      <c r="I8239" t="s">
        <v>3183</v>
      </c>
      <c r="J8239" t="s">
        <v>484</v>
      </c>
      <c r="K8239" t="s">
        <v>147</v>
      </c>
      <c r="L8239" t="s">
        <v>652</v>
      </c>
      <c r="M8239" t="s">
        <v>667</v>
      </c>
    </row>
    <row r="8240" spans="1:13">
      <c r="A8240" t="s">
        <v>851</v>
      </c>
      <c r="B8240" t="s">
        <v>686</v>
      </c>
      <c r="C8240" t="s">
        <v>686</v>
      </c>
      <c r="D8240" t="s">
        <v>3185</v>
      </c>
      <c r="E8240" t="s">
        <v>656</v>
      </c>
      <c r="F8240" t="s">
        <v>31</v>
      </c>
      <c r="G8240">
        <v>2035</v>
      </c>
      <c r="H8240" s="12">
        <v>213.96</v>
      </c>
      <c r="I8240" t="s">
        <v>3183</v>
      </c>
      <c r="J8240" t="s">
        <v>484</v>
      </c>
      <c r="K8240" t="s">
        <v>147</v>
      </c>
      <c r="L8240" t="s">
        <v>652</v>
      </c>
      <c r="M8240" t="s">
        <v>667</v>
      </c>
    </row>
    <row r="8241" spans="1:13">
      <c r="A8241" t="s">
        <v>851</v>
      </c>
      <c r="B8241" t="s">
        <v>686</v>
      </c>
      <c r="C8241" t="s">
        <v>686</v>
      </c>
      <c r="D8241" t="s">
        <v>3185</v>
      </c>
      <c r="E8241" t="s">
        <v>656</v>
      </c>
      <c r="F8241" t="s">
        <v>31</v>
      </c>
      <c r="G8241">
        <v>2040</v>
      </c>
      <c r="H8241" s="12">
        <v>291.92</v>
      </c>
      <c r="I8241" t="s">
        <v>3183</v>
      </c>
      <c r="J8241" t="s">
        <v>484</v>
      </c>
      <c r="K8241" t="s">
        <v>147</v>
      </c>
      <c r="L8241" t="s">
        <v>652</v>
      </c>
      <c r="M8241" t="s">
        <v>667</v>
      </c>
    </row>
    <row r="8242" spans="1:13">
      <c r="A8242" t="s">
        <v>851</v>
      </c>
      <c r="B8242" t="s">
        <v>686</v>
      </c>
      <c r="C8242" t="s">
        <v>686</v>
      </c>
      <c r="D8242" t="s">
        <v>3185</v>
      </c>
      <c r="E8242" t="s">
        <v>656</v>
      </c>
      <c r="F8242" t="s">
        <v>31</v>
      </c>
      <c r="G8242">
        <v>2045</v>
      </c>
      <c r="H8242" s="12">
        <v>355.07</v>
      </c>
      <c r="I8242" t="s">
        <v>3183</v>
      </c>
      <c r="J8242" t="s">
        <v>484</v>
      </c>
      <c r="K8242" t="s">
        <v>147</v>
      </c>
      <c r="L8242" t="s">
        <v>652</v>
      </c>
      <c r="M8242" t="s">
        <v>667</v>
      </c>
    </row>
    <row r="8243" spans="1:13">
      <c r="A8243" t="s">
        <v>851</v>
      </c>
      <c r="B8243" t="s">
        <v>686</v>
      </c>
      <c r="C8243" t="s">
        <v>686</v>
      </c>
      <c r="D8243" t="s">
        <v>3185</v>
      </c>
      <c r="E8243" t="s">
        <v>656</v>
      </c>
      <c r="F8243" t="s">
        <v>31</v>
      </c>
      <c r="G8243">
        <v>2050</v>
      </c>
      <c r="H8243" s="12">
        <v>389.58</v>
      </c>
      <c r="I8243" t="s">
        <v>3183</v>
      </c>
      <c r="J8243" t="s">
        <v>484</v>
      </c>
      <c r="K8243" t="s">
        <v>147</v>
      </c>
      <c r="L8243" t="s">
        <v>652</v>
      </c>
      <c r="M8243" t="s">
        <v>667</v>
      </c>
    </row>
    <row r="8244" spans="1:13">
      <c r="A8244" t="s">
        <v>851</v>
      </c>
      <c r="B8244" t="s">
        <v>687</v>
      </c>
      <c r="C8244" t="s">
        <v>687</v>
      </c>
      <c r="D8244" t="s">
        <v>3185</v>
      </c>
      <c r="E8244" t="s">
        <v>656</v>
      </c>
      <c r="F8244" t="s">
        <v>31</v>
      </c>
      <c r="G8244">
        <v>2030</v>
      </c>
      <c r="H8244" s="12">
        <v>157.29</v>
      </c>
      <c r="I8244" t="s">
        <v>3183</v>
      </c>
      <c r="J8244" t="s">
        <v>484</v>
      </c>
      <c r="K8244" t="s">
        <v>147</v>
      </c>
      <c r="L8244" t="s">
        <v>652</v>
      </c>
      <c r="M8244" t="s">
        <v>667</v>
      </c>
    </row>
    <row r="8245" spans="1:13">
      <c r="A8245" t="s">
        <v>851</v>
      </c>
      <c r="B8245" t="s">
        <v>687</v>
      </c>
      <c r="C8245" t="s">
        <v>687</v>
      </c>
      <c r="D8245" t="s">
        <v>3185</v>
      </c>
      <c r="E8245" t="s">
        <v>656</v>
      </c>
      <c r="F8245" t="s">
        <v>31</v>
      </c>
      <c r="G8245">
        <v>2035</v>
      </c>
      <c r="H8245" s="12">
        <v>267.16000000000003</v>
      </c>
      <c r="I8245" t="s">
        <v>3183</v>
      </c>
      <c r="J8245" t="s">
        <v>484</v>
      </c>
      <c r="K8245" t="s">
        <v>147</v>
      </c>
      <c r="L8245" t="s">
        <v>652</v>
      </c>
      <c r="M8245" t="s">
        <v>667</v>
      </c>
    </row>
    <row r="8246" spans="1:13">
      <c r="A8246" t="s">
        <v>851</v>
      </c>
      <c r="B8246" t="s">
        <v>687</v>
      </c>
      <c r="C8246" t="s">
        <v>687</v>
      </c>
      <c r="D8246" t="s">
        <v>3185</v>
      </c>
      <c r="E8246" t="s">
        <v>656</v>
      </c>
      <c r="F8246" t="s">
        <v>31</v>
      </c>
      <c r="G8246">
        <v>2040</v>
      </c>
      <c r="H8246" s="12">
        <v>341.2</v>
      </c>
      <c r="I8246" t="s">
        <v>3183</v>
      </c>
      <c r="J8246" t="s">
        <v>484</v>
      </c>
      <c r="K8246" t="s">
        <v>147</v>
      </c>
      <c r="L8246" t="s">
        <v>652</v>
      </c>
      <c r="M8246" t="s">
        <v>667</v>
      </c>
    </row>
    <row r="8247" spans="1:13">
      <c r="A8247" t="s">
        <v>851</v>
      </c>
      <c r="B8247" t="s">
        <v>687</v>
      </c>
      <c r="C8247" t="s">
        <v>687</v>
      </c>
      <c r="D8247" t="s">
        <v>3185</v>
      </c>
      <c r="E8247" t="s">
        <v>656</v>
      </c>
      <c r="F8247" t="s">
        <v>31</v>
      </c>
      <c r="G8247">
        <v>2045</v>
      </c>
      <c r="H8247" s="12">
        <v>388.73</v>
      </c>
      <c r="I8247" t="s">
        <v>3183</v>
      </c>
      <c r="J8247" t="s">
        <v>484</v>
      </c>
      <c r="K8247" t="s">
        <v>147</v>
      </c>
      <c r="L8247" t="s">
        <v>652</v>
      </c>
      <c r="M8247" t="s">
        <v>667</v>
      </c>
    </row>
    <row r="8248" spans="1:13">
      <c r="A8248" t="s">
        <v>851</v>
      </c>
      <c r="B8248" t="s">
        <v>687</v>
      </c>
      <c r="C8248" t="s">
        <v>687</v>
      </c>
      <c r="D8248" t="s">
        <v>3185</v>
      </c>
      <c r="E8248" t="s">
        <v>656</v>
      </c>
      <c r="F8248" t="s">
        <v>31</v>
      </c>
      <c r="G8248">
        <v>2050</v>
      </c>
      <c r="H8248" s="12">
        <v>432.28</v>
      </c>
      <c r="I8248" t="s">
        <v>3183</v>
      </c>
      <c r="J8248" t="s">
        <v>484</v>
      </c>
      <c r="K8248" t="s">
        <v>147</v>
      </c>
      <c r="L8248" t="s">
        <v>652</v>
      </c>
      <c r="M8248" t="s">
        <v>667</v>
      </c>
    </row>
    <row r="8249" spans="1:13">
      <c r="A8249" t="s">
        <v>851</v>
      </c>
      <c r="B8249" t="s">
        <v>686</v>
      </c>
      <c r="C8249" t="s">
        <v>686</v>
      </c>
      <c r="D8249" t="s">
        <v>3185</v>
      </c>
      <c r="E8249" t="s">
        <v>656</v>
      </c>
      <c r="F8249" t="s">
        <v>31</v>
      </c>
      <c r="G8249">
        <v>2015</v>
      </c>
      <c r="H8249" s="12">
        <v>87.06</v>
      </c>
      <c r="I8249" t="s">
        <v>3183</v>
      </c>
      <c r="J8249" t="s">
        <v>18</v>
      </c>
      <c r="K8249" t="s">
        <v>147</v>
      </c>
      <c r="L8249" t="s">
        <v>652</v>
      </c>
      <c r="M8249" t="s">
        <v>18</v>
      </c>
    </row>
    <row r="8250" spans="1:13">
      <c r="A8250" t="s">
        <v>851</v>
      </c>
      <c r="B8250" t="s">
        <v>686</v>
      </c>
      <c r="C8250" t="s">
        <v>686</v>
      </c>
      <c r="D8250" t="s">
        <v>3185</v>
      </c>
      <c r="E8250" t="s">
        <v>656</v>
      </c>
      <c r="F8250" t="s">
        <v>31</v>
      </c>
      <c r="G8250">
        <v>2020</v>
      </c>
      <c r="H8250" s="12">
        <v>141.13999999999999</v>
      </c>
      <c r="I8250" t="s">
        <v>3183</v>
      </c>
      <c r="J8250" t="s">
        <v>18</v>
      </c>
      <c r="K8250" t="s">
        <v>147</v>
      </c>
      <c r="L8250" t="s">
        <v>652</v>
      </c>
      <c r="M8250" t="s">
        <v>18</v>
      </c>
    </row>
    <row r="8251" spans="1:13">
      <c r="A8251" t="s">
        <v>851</v>
      </c>
      <c r="B8251" t="s">
        <v>686</v>
      </c>
      <c r="C8251" t="s">
        <v>686</v>
      </c>
      <c r="D8251" t="s">
        <v>3185</v>
      </c>
      <c r="E8251" t="s">
        <v>656</v>
      </c>
      <c r="F8251" t="s">
        <v>31</v>
      </c>
      <c r="G8251">
        <v>2030</v>
      </c>
      <c r="H8251" s="12">
        <v>335.06</v>
      </c>
      <c r="I8251" t="s">
        <v>3183</v>
      </c>
      <c r="J8251" t="s">
        <v>18</v>
      </c>
      <c r="K8251" t="s">
        <v>147</v>
      </c>
      <c r="L8251" t="s">
        <v>652</v>
      </c>
      <c r="M8251" t="s">
        <v>18</v>
      </c>
    </row>
    <row r="8252" spans="1:13">
      <c r="A8252" t="s">
        <v>851</v>
      </c>
      <c r="B8252" t="s">
        <v>686</v>
      </c>
      <c r="C8252" t="s">
        <v>686</v>
      </c>
      <c r="D8252" t="s">
        <v>3185</v>
      </c>
      <c r="E8252" t="s">
        <v>656</v>
      </c>
      <c r="F8252" t="s">
        <v>31</v>
      </c>
      <c r="G8252">
        <v>2035</v>
      </c>
      <c r="H8252" s="12">
        <v>456.66</v>
      </c>
      <c r="I8252" t="s">
        <v>3183</v>
      </c>
      <c r="J8252" t="s">
        <v>18</v>
      </c>
      <c r="K8252" t="s">
        <v>147</v>
      </c>
      <c r="L8252" t="s">
        <v>652</v>
      </c>
      <c r="M8252" t="s">
        <v>18</v>
      </c>
    </row>
    <row r="8253" spans="1:13">
      <c r="A8253" t="s">
        <v>851</v>
      </c>
      <c r="B8253" t="s">
        <v>686</v>
      </c>
      <c r="C8253" t="s">
        <v>686</v>
      </c>
      <c r="D8253" t="s">
        <v>3185</v>
      </c>
      <c r="E8253" t="s">
        <v>656</v>
      </c>
      <c r="F8253" t="s">
        <v>31</v>
      </c>
      <c r="G8253">
        <v>2040</v>
      </c>
      <c r="H8253" s="12">
        <v>531.16</v>
      </c>
      <c r="I8253" t="s">
        <v>3183</v>
      </c>
      <c r="J8253" t="s">
        <v>18</v>
      </c>
      <c r="K8253" t="s">
        <v>147</v>
      </c>
      <c r="L8253" t="s">
        <v>652</v>
      </c>
      <c r="M8253" t="s">
        <v>18</v>
      </c>
    </row>
    <row r="8254" spans="1:13">
      <c r="A8254" t="s">
        <v>851</v>
      </c>
      <c r="B8254" t="s">
        <v>686</v>
      </c>
      <c r="C8254" t="s">
        <v>686</v>
      </c>
      <c r="D8254" t="s">
        <v>3185</v>
      </c>
      <c r="E8254" t="s">
        <v>656</v>
      </c>
      <c r="F8254" t="s">
        <v>31</v>
      </c>
      <c r="G8254">
        <v>2045</v>
      </c>
      <c r="H8254" s="12">
        <v>570.9</v>
      </c>
      <c r="I8254" t="s">
        <v>3183</v>
      </c>
      <c r="J8254" t="s">
        <v>18</v>
      </c>
      <c r="K8254" t="s">
        <v>147</v>
      </c>
      <c r="L8254" t="s">
        <v>652</v>
      </c>
      <c r="M8254" t="s">
        <v>18</v>
      </c>
    </row>
    <row r="8255" spans="1:13">
      <c r="A8255" t="s">
        <v>851</v>
      </c>
      <c r="B8255" t="s">
        <v>686</v>
      </c>
      <c r="C8255" t="s">
        <v>686</v>
      </c>
      <c r="D8255" t="s">
        <v>3185</v>
      </c>
      <c r="E8255" t="s">
        <v>656</v>
      </c>
      <c r="F8255" t="s">
        <v>31</v>
      </c>
      <c r="G8255">
        <v>2050</v>
      </c>
      <c r="H8255" s="12">
        <v>593.03</v>
      </c>
      <c r="I8255" t="s">
        <v>3183</v>
      </c>
      <c r="J8255" t="s">
        <v>18</v>
      </c>
      <c r="K8255" t="s">
        <v>147</v>
      </c>
      <c r="L8255" t="s">
        <v>652</v>
      </c>
      <c r="M8255" t="s">
        <v>18</v>
      </c>
    </row>
    <row r="8256" spans="1:13">
      <c r="A8256" t="s">
        <v>851</v>
      </c>
      <c r="B8256" t="s">
        <v>687</v>
      </c>
      <c r="C8256" t="s">
        <v>687</v>
      </c>
      <c r="D8256" t="s">
        <v>3185</v>
      </c>
      <c r="E8256" t="s">
        <v>656</v>
      </c>
      <c r="F8256" t="s">
        <v>31</v>
      </c>
      <c r="G8256">
        <v>2030</v>
      </c>
      <c r="H8256" s="12">
        <v>449.58</v>
      </c>
      <c r="I8256" t="s">
        <v>3183</v>
      </c>
      <c r="J8256" t="s">
        <v>18</v>
      </c>
      <c r="K8256" t="s">
        <v>147</v>
      </c>
      <c r="L8256" t="s">
        <v>652</v>
      </c>
      <c r="M8256" t="s">
        <v>18</v>
      </c>
    </row>
    <row r="8257" spans="1:13">
      <c r="A8257" t="s">
        <v>851</v>
      </c>
      <c r="B8257" t="s">
        <v>687</v>
      </c>
      <c r="C8257" t="s">
        <v>687</v>
      </c>
      <c r="D8257" t="s">
        <v>3185</v>
      </c>
      <c r="E8257" t="s">
        <v>656</v>
      </c>
      <c r="F8257" t="s">
        <v>31</v>
      </c>
      <c r="G8257">
        <v>2035</v>
      </c>
      <c r="H8257" s="12">
        <v>675.61</v>
      </c>
      <c r="I8257" t="s">
        <v>3183</v>
      </c>
      <c r="J8257" t="s">
        <v>18</v>
      </c>
      <c r="K8257" t="s">
        <v>147</v>
      </c>
      <c r="L8257" t="s">
        <v>652</v>
      </c>
      <c r="M8257" t="s">
        <v>18</v>
      </c>
    </row>
    <row r="8258" spans="1:13">
      <c r="A8258" t="s">
        <v>851</v>
      </c>
      <c r="B8258" t="s">
        <v>687</v>
      </c>
      <c r="C8258" t="s">
        <v>687</v>
      </c>
      <c r="D8258" t="s">
        <v>3185</v>
      </c>
      <c r="E8258" t="s">
        <v>656</v>
      </c>
      <c r="F8258" t="s">
        <v>31</v>
      </c>
      <c r="G8258">
        <v>2040</v>
      </c>
      <c r="H8258" s="12">
        <v>844.07</v>
      </c>
      <c r="I8258" t="s">
        <v>3183</v>
      </c>
      <c r="J8258" t="s">
        <v>18</v>
      </c>
      <c r="K8258" t="s">
        <v>147</v>
      </c>
      <c r="L8258" t="s">
        <v>652</v>
      </c>
      <c r="M8258" t="s">
        <v>18</v>
      </c>
    </row>
    <row r="8259" spans="1:13">
      <c r="A8259" t="s">
        <v>851</v>
      </c>
      <c r="B8259" t="s">
        <v>687</v>
      </c>
      <c r="C8259" t="s">
        <v>687</v>
      </c>
      <c r="D8259" t="s">
        <v>3185</v>
      </c>
      <c r="E8259" t="s">
        <v>656</v>
      </c>
      <c r="F8259" t="s">
        <v>31</v>
      </c>
      <c r="G8259">
        <v>2045</v>
      </c>
      <c r="H8259" s="12">
        <v>893.48</v>
      </c>
      <c r="I8259" t="s">
        <v>3183</v>
      </c>
      <c r="J8259" t="s">
        <v>18</v>
      </c>
      <c r="K8259" t="s">
        <v>147</v>
      </c>
      <c r="L8259" t="s">
        <v>652</v>
      </c>
      <c r="M8259" t="s">
        <v>18</v>
      </c>
    </row>
    <row r="8260" spans="1:13">
      <c r="A8260" t="s">
        <v>851</v>
      </c>
      <c r="B8260" t="s">
        <v>687</v>
      </c>
      <c r="C8260" t="s">
        <v>687</v>
      </c>
      <c r="D8260" t="s">
        <v>3185</v>
      </c>
      <c r="E8260" t="s">
        <v>656</v>
      </c>
      <c r="F8260" t="s">
        <v>31</v>
      </c>
      <c r="G8260">
        <v>2050</v>
      </c>
      <c r="H8260" s="12">
        <v>925.66</v>
      </c>
      <c r="I8260" t="s">
        <v>3183</v>
      </c>
      <c r="J8260" t="s">
        <v>18</v>
      </c>
      <c r="K8260" t="s">
        <v>147</v>
      </c>
      <c r="L8260" t="s">
        <v>652</v>
      </c>
      <c r="M8260" t="s">
        <v>18</v>
      </c>
    </row>
    <row r="8261" spans="1:13">
      <c r="A8261" t="s">
        <v>851</v>
      </c>
      <c r="B8261" t="s">
        <v>686</v>
      </c>
      <c r="C8261" t="s">
        <v>686</v>
      </c>
      <c r="D8261" t="s">
        <v>3185</v>
      </c>
      <c r="E8261" t="s">
        <v>656</v>
      </c>
      <c r="F8261" t="s">
        <v>31</v>
      </c>
      <c r="G8261">
        <v>2010</v>
      </c>
      <c r="H8261" s="12">
        <v>187.7</v>
      </c>
      <c r="I8261" t="s">
        <v>3183</v>
      </c>
      <c r="J8261" t="s">
        <v>14</v>
      </c>
      <c r="K8261" t="s">
        <v>147</v>
      </c>
      <c r="L8261" t="s">
        <v>652</v>
      </c>
      <c r="M8261" t="s">
        <v>14</v>
      </c>
    </row>
    <row r="8262" spans="1:13">
      <c r="A8262" t="s">
        <v>851</v>
      </c>
      <c r="B8262" t="s">
        <v>686</v>
      </c>
      <c r="C8262" t="s">
        <v>686</v>
      </c>
      <c r="D8262" t="s">
        <v>3185</v>
      </c>
      <c r="E8262" t="s">
        <v>656</v>
      </c>
      <c r="F8262" t="s">
        <v>31</v>
      </c>
      <c r="G8262">
        <v>2015</v>
      </c>
      <c r="H8262" s="12">
        <v>193.87</v>
      </c>
      <c r="I8262" t="s">
        <v>3183</v>
      </c>
      <c r="J8262" t="s">
        <v>14</v>
      </c>
      <c r="K8262" t="s">
        <v>147</v>
      </c>
      <c r="L8262" t="s">
        <v>652</v>
      </c>
      <c r="M8262" t="s">
        <v>14</v>
      </c>
    </row>
    <row r="8263" spans="1:13">
      <c r="A8263" t="s">
        <v>851</v>
      </c>
      <c r="B8263" t="s">
        <v>686</v>
      </c>
      <c r="C8263" t="s">
        <v>686</v>
      </c>
      <c r="D8263" t="s">
        <v>3185</v>
      </c>
      <c r="E8263" t="s">
        <v>656</v>
      </c>
      <c r="F8263" t="s">
        <v>31</v>
      </c>
      <c r="G8263">
        <v>2020</v>
      </c>
      <c r="H8263" s="12">
        <v>197.28</v>
      </c>
      <c r="I8263" t="s">
        <v>3183</v>
      </c>
      <c r="J8263" t="s">
        <v>14</v>
      </c>
      <c r="K8263" t="s">
        <v>147</v>
      </c>
      <c r="L8263" t="s">
        <v>652</v>
      </c>
      <c r="M8263" t="s">
        <v>14</v>
      </c>
    </row>
    <row r="8264" spans="1:13">
      <c r="A8264" t="s">
        <v>851</v>
      </c>
      <c r="B8264" t="s">
        <v>686</v>
      </c>
      <c r="C8264" t="s">
        <v>686</v>
      </c>
      <c r="D8264" t="s">
        <v>3185</v>
      </c>
      <c r="E8264" t="s">
        <v>656</v>
      </c>
      <c r="F8264" t="s">
        <v>31</v>
      </c>
      <c r="G8264">
        <v>2030</v>
      </c>
      <c r="H8264" s="12">
        <v>203.84</v>
      </c>
      <c r="I8264" t="s">
        <v>3183</v>
      </c>
      <c r="J8264" t="s">
        <v>14</v>
      </c>
      <c r="K8264" t="s">
        <v>147</v>
      </c>
      <c r="L8264" t="s">
        <v>652</v>
      </c>
      <c r="M8264" t="s">
        <v>14</v>
      </c>
    </row>
    <row r="8265" spans="1:13">
      <c r="A8265" t="s">
        <v>851</v>
      </c>
      <c r="B8265" t="s">
        <v>686</v>
      </c>
      <c r="C8265" t="s">
        <v>686</v>
      </c>
      <c r="D8265" t="s">
        <v>3185</v>
      </c>
      <c r="E8265" t="s">
        <v>656</v>
      </c>
      <c r="F8265" t="s">
        <v>31</v>
      </c>
      <c r="G8265">
        <v>2035</v>
      </c>
      <c r="H8265" s="12">
        <v>207.39</v>
      </c>
      <c r="I8265" t="s">
        <v>3183</v>
      </c>
      <c r="J8265" t="s">
        <v>14</v>
      </c>
      <c r="K8265" t="s">
        <v>147</v>
      </c>
      <c r="L8265" t="s">
        <v>652</v>
      </c>
      <c r="M8265" t="s">
        <v>14</v>
      </c>
    </row>
    <row r="8266" spans="1:13">
      <c r="A8266" t="s">
        <v>851</v>
      </c>
      <c r="B8266" t="s">
        <v>686</v>
      </c>
      <c r="C8266" t="s">
        <v>686</v>
      </c>
      <c r="D8266" t="s">
        <v>3185</v>
      </c>
      <c r="E8266" t="s">
        <v>656</v>
      </c>
      <c r="F8266" t="s">
        <v>31</v>
      </c>
      <c r="G8266">
        <v>2040</v>
      </c>
      <c r="H8266" s="12">
        <v>211.1</v>
      </c>
      <c r="I8266" t="s">
        <v>3183</v>
      </c>
      <c r="J8266" t="s">
        <v>14</v>
      </c>
      <c r="K8266" t="s">
        <v>147</v>
      </c>
      <c r="L8266" t="s">
        <v>652</v>
      </c>
      <c r="M8266" t="s">
        <v>14</v>
      </c>
    </row>
    <row r="8267" spans="1:13">
      <c r="A8267" t="s">
        <v>851</v>
      </c>
      <c r="B8267" t="s">
        <v>686</v>
      </c>
      <c r="C8267" t="s">
        <v>686</v>
      </c>
      <c r="D8267" t="s">
        <v>3185</v>
      </c>
      <c r="E8267" t="s">
        <v>656</v>
      </c>
      <c r="F8267" t="s">
        <v>31</v>
      </c>
      <c r="G8267">
        <v>2045</v>
      </c>
      <c r="H8267" s="12">
        <v>213.72</v>
      </c>
      <c r="I8267" t="s">
        <v>3183</v>
      </c>
      <c r="J8267" t="s">
        <v>14</v>
      </c>
      <c r="K8267" t="s">
        <v>147</v>
      </c>
      <c r="L8267" t="s">
        <v>652</v>
      </c>
      <c r="M8267" t="s">
        <v>14</v>
      </c>
    </row>
    <row r="8268" spans="1:13">
      <c r="A8268" t="s">
        <v>851</v>
      </c>
      <c r="B8268" t="s">
        <v>686</v>
      </c>
      <c r="C8268" t="s">
        <v>686</v>
      </c>
      <c r="D8268" t="s">
        <v>3185</v>
      </c>
      <c r="E8268" t="s">
        <v>656</v>
      </c>
      <c r="F8268" t="s">
        <v>31</v>
      </c>
      <c r="G8268">
        <v>2050</v>
      </c>
      <c r="H8268" s="12">
        <v>216.05</v>
      </c>
      <c r="I8268" t="s">
        <v>3183</v>
      </c>
      <c r="J8268" t="s">
        <v>14</v>
      </c>
      <c r="K8268" t="s">
        <v>147</v>
      </c>
      <c r="L8268" t="s">
        <v>652</v>
      </c>
      <c r="M8268" t="s">
        <v>14</v>
      </c>
    </row>
    <row r="8269" spans="1:13">
      <c r="A8269" t="s">
        <v>851</v>
      </c>
      <c r="B8269" t="s">
        <v>687</v>
      </c>
      <c r="C8269" t="s">
        <v>687</v>
      </c>
      <c r="D8269" t="s">
        <v>3185</v>
      </c>
      <c r="E8269" t="s">
        <v>656</v>
      </c>
      <c r="F8269" t="s">
        <v>31</v>
      </c>
      <c r="G8269">
        <v>2030</v>
      </c>
      <c r="H8269" s="12">
        <v>206.69</v>
      </c>
      <c r="I8269" t="s">
        <v>3183</v>
      </c>
      <c r="J8269" t="s">
        <v>14</v>
      </c>
      <c r="K8269" t="s">
        <v>147</v>
      </c>
      <c r="L8269" t="s">
        <v>652</v>
      </c>
      <c r="M8269" t="s">
        <v>14</v>
      </c>
    </row>
    <row r="8270" spans="1:13">
      <c r="A8270" t="s">
        <v>851</v>
      </c>
      <c r="B8270" t="s">
        <v>687</v>
      </c>
      <c r="C8270" t="s">
        <v>687</v>
      </c>
      <c r="D8270" t="s">
        <v>3185</v>
      </c>
      <c r="E8270" t="s">
        <v>656</v>
      </c>
      <c r="F8270" t="s">
        <v>31</v>
      </c>
      <c r="G8270">
        <v>2035</v>
      </c>
      <c r="H8270" s="12">
        <v>213.42</v>
      </c>
      <c r="I8270" t="s">
        <v>3183</v>
      </c>
      <c r="J8270" t="s">
        <v>14</v>
      </c>
      <c r="K8270" t="s">
        <v>147</v>
      </c>
      <c r="L8270" t="s">
        <v>652</v>
      </c>
      <c r="M8270" t="s">
        <v>14</v>
      </c>
    </row>
    <row r="8271" spans="1:13">
      <c r="A8271" t="s">
        <v>851</v>
      </c>
      <c r="B8271" t="s">
        <v>687</v>
      </c>
      <c r="C8271" t="s">
        <v>687</v>
      </c>
      <c r="D8271" t="s">
        <v>3185</v>
      </c>
      <c r="E8271" t="s">
        <v>656</v>
      </c>
      <c r="F8271" t="s">
        <v>31</v>
      </c>
      <c r="G8271">
        <v>2040</v>
      </c>
      <c r="H8271" s="12">
        <v>218.01</v>
      </c>
      <c r="I8271" t="s">
        <v>3183</v>
      </c>
      <c r="J8271" t="s">
        <v>14</v>
      </c>
      <c r="K8271" t="s">
        <v>147</v>
      </c>
      <c r="L8271" t="s">
        <v>652</v>
      </c>
      <c r="M8271" t="s">
        <v>14</v>
      </c>
    </row>
    <row r="8272" spans="1:13">
      <c r="A8272" t="s">
        <v>851</v>
      </c>
      <c r="B8272" t="s">
        <v>687</v>
      </c>
      <c r="C8272" t="s">
        <v>687</v>
      </c>
      <c r="D8272" t="s">
        <v>3185</v>
      </c>
      <c r="E8272" t="s">
        <v>656</v>
      </c>
      <c r="F8272" t="s">
        <v>31</v>
      </c>
      <c r="G8272">
        <v>2045</v>
      </c>
      <c r="H8272" s="12">
        <v>220.67</v>
      </c>
      <c r="I8272" t="s">
        <v>3183</v>
      </c>
      <c r="J8272" t="s">
        <v>14</v>
      </c>
      <c r="K8272" t="s">
        <v>147</v>
      </c>
      <c r="L8272" t="s">
        <v>652</v>
      </c>
      <c r="M8272" t="s">
        <v>14</v>
      </c>
    </row>
    <row r="8273" spans="1:13">
      <c r="A8273" t="s">
        <v>851</v>
      </c>
      <c r="B8273" t="s">
        <v>687</v>
      </c>
      <c r="C8273" t="s">
        <v>687</v>
      </c>
      <c r="D8273" t="s">
        <v>3185</v>
      </c>
      <c r="E8273" t="s">
        <v>656</v>
      </c>
      <c r="F8273" t="s">
        <v>31</v>
      </c>
      <c r="G8273">
        <v>2050</v>
      </c>
      <c r="H8273" s="12">
        <v>222.76</v>
      </c>
      <c r="I8273" t="s">
        <v>3183</v>
      </c>
      <c r="J8273" t="s">
        <v>14</v>
      </c>
      <c r="K8273" t="s">
        <v>147</v>
      </c>
      <c r="L8273" t="s">
        <v>652</v>
      </c>
      <c r="M8273" t="s">
        <v>14</v>
      </c>
    </row>
    <row r="8274" spans="1:13">
      <c r="A8274" t="s">
        <v>851</v>
      </c>
      <c r="B8274" t="s">
        <v>686</v>
      </c>
      <c r="C8274" t="s">
        <v>686</v>
      </c>
      <c r="D8274" t="s">
        <v>3185</v>
      </c>
      <c r="E8274" t="s">
        <v>656</v>
      </c>
      <c r="F8274" t="s">
        <v>31</v>
      </c>
      <c r="G8274">
        <v>2010</v>
      </c>
      <c r="H8274" s="12">
        <v>16.989999999999998</v>
      </c>
      <c r="I8274" t="s">
        <v>3183</v>
      </c>
      <c r="J8274" t="s">
        <v>41</v>
      </c>
      <c r="K8274" t="s">
        <v>147</v>
      </c>
      <c r="L8274" t="s">
        <v>652</v>
      </c>
      <c r="M8274" t="s">
        <v>669</v>
      </c>
    </row>
    <row r="8275" spans="1:13">
      <c r="A8275" t="s">
        <v>851</v>
      </c>
      <c r="B8275" t="s">
        <v>686</v>
      </c>
      <c r="C8275" t="s">
        <v>686</v>
      </c>
      <c r="D8275" t="s">
        <v>3185</v>
      </c>
      <c r="E8275" t="s">
        <v>656</v>
      </c>
      <c r="F8275" t="s">
        <v>31</v>
      </c>
      <c r="G8275">
        <v>2015</v>
      </c>
      <c r="H8275" s="12">
        <v>21.21</v>
      </c>
      <c r="I8275" t="s">
        <v>3183</v>
      </c>
      <c r="J8275" t="s">
        <v>41</v>
      </c>
      <c r="K8275" t="s">
        <v>147</v>
      </c>
      <c r="L8275" t="s">
        <v>652</v>
      </c>
      <c r="M8275" t="s">
        <v>669</v>
      </c>
    </row>
    <row r="8276" spans="1:13">
      <c r="A8276" t="s">
        <v>851</v>
      </c>
      <c r="B8276" t="s">
        <v>686</v>
      </c>
      <c r="C8276" t="s">
        <v>686</v>
      </c>
      <c r="D8276" t="s">
        <v>3185</v>
      </c>
      <c r="E8276" t="s">
        <v>656</v>
      </c>
      <c r="F8276" t="s">
        <v>31</v>
      </c>
      <c r="G8276">
        <v>2020</v>
      </c>
      <c r="H8276" s="12">
        <v>20.53</v>
      </c>
      <c r="I8276" t="s">
        <v>3183</v>
      </c>
      <c r="J8276" t="s">
        <v>41</v>
      </c>
      <c r="K8276" t="s">
        <v>147</v>
      </c>
      <c r="L8276" t="s">
        <v>652</v>
      </c>
      <c r="M8276" t="s">
        <v>669</v>
      </c>
    </row>
    <row r="8277" spans="1:13">
      <c r="A8277" t="s">
        <v>851</v>
      </c>
      <c r="B8277" t="s">
        <v>686</v>
      </c>
      <c r="C8277" t="s">
        <v>686</v>
      </c>
      <c r="D8277" t="s">
        <v>3185</v>
      </c>
      <c r="E8277" t="s">
        <v>656</v>
      </c>
      <c r="F8277" t="s">
        <v>31</v>
      </c>
      <c r="G8277">
        <v>2030</v>
      </c>
      <c r="H8277" s="12">
        <v>24.04</v>
      </c>
      <c r="I8277" t="s">
        <v>3183</v>
      </c>
      <c r="J8277" t="s">
        <v>41</v>
      </c>
      <c r="K8277" t="s">
        <v>147</v>
      </c>
      <c r="L8277" t="s">
        <v>652</v>
      </c>
      <c r="M8277" t="s">
        <v>669</v>
      </c>
    </row>
    <row r="8278" spans="1:13">
      <c r="A8278" t="s">
        <v>851</v>
      </c>
      <c r="B8278" t="s">
        <v>686</v>
      </c>
      <c r="C8278" t="s">
        <v>686</v>
      </c>
      <c r="D8278" t="s">
        <v>3185</v>
      </c>
      <c r="E8278" t="s">
        <v>656</v>
      </c>
      <c r="F8278" t="s">
        <v>31</v>
      </c>
      <c r="G8278">
        <v>2035</v>
      </c>
      <c r="H8278" s="12">
        <v>26.82</v>
      </c>
      <c r="I8278" t="s">
        <v>3183</v>
      </c>
      <c r="J8278" t="s">
        <v>41</v>
      </c>
      <c r="K8278" t="s">
        <v>147</v>
      </c>
      <c r="L8278" t="s">
        <v>652</v>
      </c>
      <c r="M8278" t="s">
        <v>669</v>
      </c>
    </row>
    <row r="8279" spans="1:13">
      <c r="A8279" t="s">
        <v>851</v>
      </c>
      <c r="B8279" t="s">
        <v>686</v>
      </c>
      <c r="C8279" t="s">
        <v>686</v>
      </c>
      <c r="D8279" t="s">
        <v>3185</v>
      </c>
      <c r="E8279" t="s">
        <v>656</v>
      </c>
      <c r="F8279" t="s">
        <v>31</v>
      </c>
      <c r="G8279">
        <v>2040</v>
      </c>
      <c r="H8279" s="12">
        <v>29.78</v>
      </c>
      <c r="I8279" t="s">
        <v>3183</v>
      </c>
      <c r="J8279" t="s">
        <v>41</v>
      </c>
      <c r="K8279" t="s">
        <v>147</v>
      </c>
      <c r="L8279" t="s">
        <v>652</v>
      </c>
      <c r="M8279" t="s">
        <v>669</v>
      </c>
    </row>
    <row r="8280" spans="1:13">
      <c r="A8280" t="s">
        <v>851</v>
      </c>
      <c r="B8280" t="s">
        <v>686</v>
      </c>
      <c r="C8280" t="s">
        <v>686</v>
      </c>
      <c r="D8280" t="s">
        <v>3185</v>
      </c>
      <c r="E8280" t="s">
        <v>656</v>
      </c>
      <c r="F8280" t="s">
        <v>31</v>
      </c>
      <c r="G8280">
        <v>2045</v>
      </c>
      <c r="H8280" s="12">
        <v>32.67</v>
      </c>
      <c r="I8280" t="s">
        <v>3183</v>
      </c>
      <c r="J8280" t="s">
        <v>41</v>
      </c>
      <c r="K8280" t="s">
        <v>147</v>
      </c>
      <c r="L8280" t="s">
        <v>652</v>
      </c>
      <c r="M8280" t="s">
        <v>669</v>
      </c>
    </row>
    <row r="8281" spans="1:13">
      <c r="A8281" t="s">
        <v>851</v>
      </c>
      <c r="B8281" t="s">
        <v>686</v>
      </c>
      <c r="C8281" t="s">
        <v>686</v>
      </c>
      <c r="D8281" t="s">
        <v>3185</v>
      </c>
      <c r="E8281" t="s">
        <v>656</v>
      </c>
      <c r="F8281" t="s">
        <v>31</v>
      </c>
      <c r="G8281">
        <v>2050</v>
      </c>
      <c r="H8281" s="12">
        <v>35.880000000000003</v>
      </c>
      <c r="I8281" t="s">
        <v>3183</v>
      </c>
      <c r="J8281" t="s">
        <v>41</v>
      </c>
      <c r="K8281" t="s">
        <v>147</v>
      </c>
      <c r="L8281" t="s">
        <v>652</v>
      </c>
      <c r="M8281" t="s">
        <v>669</v>
      </c>
    </row>
    <row r="8282" spans="1:13">
      <c r="A8282" t="s">
        <v>851</v>
      </c>
      <c r="B8282" t="s">
        <v>687</v>
      </c>
      <c r="C8282" t="s">
        <v>687</v>
      </c>
      <c r="D8282" t="s">
        <v>3185</v>
      </c>
      <c r="E8282" t="s">
        <v>656</v>
      </c>
      <c r="F8282" t="s">
        <v>31</v>
      </c>
      <c r="G8282">
        <v>2030</v>
      </c>
      <c r="H8282" s="12">
        <v>38.61</v>
      </c>
      <c r="I8282" t="s">
        <v>3183</v>
      </c>
      <c r="J8282" t="s">
        <v>41</v>
      </c>
      <c r="K8282" t="s">
        <v>147</v>
      </c>
      <c r="L8282" t="s">
        <v>652</v>
      </c>
      <c r="M8282" t="s">
        <v>669</v>
      </c>
    </row>
    <row r="8283" spans="1:13">
      <c r="A8283" t="s">
        <v>851</v>
      </c>
      <c r="B8283" t="s">
        <v>687</v>
      </c>
      <c r="C8283" t="s">
        <v>687</v>
      </c>
      <c r="D8283" t="s">
        <v>3185</v>
      </c>
      <c r="E8283" t="s">
        <v>656</v>
      </c>
      <c r="F8283" t="s">
        <v>31</v>
      </c>
      <c r="G8283">
        <v>2035</v>
      </c>
      <c r="H8283" s="12">
        <v>65.67</v>
      </c>
      <c r="I8283" t="s">
        <v>3183</v>
      </c>
      <c r="J8283" t="s">
        <v>41</v>
      </c>
      <c r="K8283" t="s">
        <v>147</v>
      </c>
      <c r="L8283" t="s">
        <v>652</v>
      </c>
      <c r="M8283" t="s">
        <v>669</v>
      </c>
    </row>
    <row r="8284" spans="1:13">
      <c r="A8284" t="s">
        <v>851</v>
      </c>
      <c r="B8284" t="s">
        <v>687</v>
      </c>
      <c r="C8284" t="s">
        <v>687</v>
      </c>
      <c r="D8284" t="s">
        <v>3185</v>
      </c>
      <c r="E8284" t="s">
        <v>656</v>
      </c>
      <c r="F8284" t="s">
        <v>31</v>
      </c>
      <c r="G8284">
        <v>2040</v>
      </c>
      <c r="H8284" s="12">
        <v>79.92</v>
      </c>
      <c r="I8284" t="s">
        <v>3183</v>
      </c>
      <c r="J8284" t="s">
        <v>41</v>
      </c>
      <c r="K8284" t="s">
        <v>147</v>
      </c>
      <c r="L8284" t="s">
        <v>652</v>
      </c>
      <c r="M8284" t="s">
        <v>669</v>
      </c>
    </row>
    <row r="8285" spans="1:13">
      <c r="A8285" t="s">
        <v>851</v>
      </c>
      <c r="B8285" t="s">
        <v>687</v>
      </c>
      <c r="C8285" t="s">
        <v>687</v>
      </c>
      <c r="D8285" t="s">
        <v>3185</v>
      </c>
      <c r="E8285" t="s">
        <v>656</v>
      </c>
      <c r="F8285" t="s">
        <v>31</v>
      </c>
      <c r="G8285">
        <v>2045</v>
      </c>
      <c r="H8285" s="12">
        <v>88.11</v>
      </c>
      <c r="I8285" t="s">
        <v>3183</v>
      </c>
      <c r="J8285" t="s">
        <v>41</v>
      </c>
      <c r="K8285" t="s">
        <v>147</v>
      </c>
      <c r="L8285" t="s">
        <v>652</v>
      </c>
      <c r="M8285" t="s">
        <v>669</v>
      </c>
    </row>
    <row r="8286" spans="1:13">
      <c r="A8286" t="s">
        <v>851</v>
      </c>
      <c r="B8286" t="s">
        <v>687</v>
      </c>
      <c r="C8286" t="s">
        <v>687</v>
      </c>
      <c r="D8286" t="s">
        <v>3185</v>
      </c>
      <c r="E8286" t="s">
        <v>656</v>
      </c>
      <c r="F8286" t="s">
        <v>31</v>
      </c>
      <c r="G8286">
        <v>2050</v>
      </c>
      <c r="H8286" s="12">
        <v>93.52</v>
      </c>
      <c r="I8286" t="s">
        <v>3183</v>
      </c>
      <c r="J8286" t="s">
        <v>41</v>
      </c>
      <c r="K8286" t="s">
        <v>147</v>
      </c>
      <c r="L8286" t="s">
        <v>652</v>
      </c>
      <c r="M8286" t="s">
        <v>669</v>
      </c>
    </row>
    <row r="8287" spans="1:13">
      <c r="A8287" t="s">
        <v>851</v>
      </c>
      <c r="B8287" t="s">
        <v>686</v>
      </c>
      <c r="C8287" t="s">
        <v>686</v>
      </c>
      <c r="D8287" t="s">
        <v>3185</v>
      </c>
      <c r="E8287" t="s">
        <v>656</v>
      </c>
      <c r="F8287" t="s">
        <v>31</v>
      </c>
      <c r="G8287">
        <v>2010</v>
      </c>
      <c r="H8287" s="12">
        <v>126.31</v>
      </c>
      <c r="I8287" t="s">
        <v>3183</v>
      </c>
      <c r="J8287" t="s">
        <v>15</v>
      </c>
      <c r="K8287" t="s">
        <v>147</v>
      </c>
      <c r="L8287" t="s">
        <v>652</v>
      </c>
      <c r="M8287" t="s">
        <v>15</v>
      </c>
    </row>
    <row r="8288" spans="1:13">
      <c r="A8288" t="s">
        <v>851</v>
      </c>
      <c r="B8288" t="s">
        <v>686</v>
      </c>
      <c r="C8288" t="s">
        <v>686</v>
      </c>
      <c r="D8288" t="s">
        <v>3185</v>
      </c>
      <c r="E8288" t="s">
        <v>656</v>
      </c>
      <c r="F8288" t="s">
        <v>31</v>
      </c>
      <c r="G8288">
        <v>2015</v>
      </c>
      <c r="H8288" s="12">
        <v>121.26</v>
      </c>
      <c r="I8288" t="s">
        <v>3183</v>
      </c>
      <c r="J8288" t="s">
        <v>15</v>
      </c>
      <c r="K8288" t="s">
        <v>147</v>
      </c>
      <c r="L8288" t="s">
        <v>652</v>
      </c>
      <c r="M8288" t="s">
        <v>15</v>
      </c>
    </row>
    <row r="8289" spans="1:13">
      <c r="A8289" t="s">
        <v>851</v>
      </c>
      <c r="B8289" t="s">
        <v>686</v>
      </c>
      <c r="C8289" t="s">
        <v>686</v>
      </c>
      <c r="D8289" t="s">
        <v>3185</v>
      </c>
      <c r="E8289" t="s">
        <v>656</v>
      </c>
      <c r="F8289" t="s">
        <v>31</v>
      </c>
      <c r="G8289">
        <v>2020</v>
      </c>
      <c r="H8289" s="12">
        <v>118.03</v>
      </c>
      <c r="I8289" t="s">
        <v>3183</v>
      </c>
      <c r="J8289" t="s">
        <v>15</v>
      </c>
      <c r="K8289" t="s">
        <v>147</v>
      </c>
      <c r="L8289" t="s">
        <v>652</v>
      </c>
      <c r="M8289" t="s">
        <v>15</v>
      </c>
    </row>
    <row r="8290" spans="1:13">
      <c r="A8290" t="s">
        <v>851</v>
      </c>
      <c r="B8290" t="s">
        <v>686</v>
      </c>
      <c r="C8290" t="s">
        <v>686</v>
      </c>
      <c r="D8290" t="s">
        <v>3185</v>
      </c>
      <c r="E8290" t="s">
        <v>656</v>
      </c>
      <c r="F8290" t="s">
        <v>31</v>
      </c>
      <c r="G8290">
        <v>2030</v>
      </c>
      <c r="H8290" s="12">
        <v>113.04</v>
      </c>
      <c r="I8290" t="s">
        <v>3183</v>
      </c>
      <c r="J8290" t="s">
        <v>15</v>
      </c>
      <c r="K8290" t="s">
        <v>147</v>
      </c>
      <c r="L8290" t="s">
        <v>652</v>
      </c>
      <c r="M8290" t="s">
        <v>15</v>
      </c>
    </row>
    <row r="8291" spans="1:13">
      <c r="A8291" t="s">
        <v>851</v>
      </c>
      <c r="B8291" t="s">
        <v>686</v>
      </c>
      <c r="C8291" t="s">
        <v>686</v>
      </c>
      <c r="D8291" t="s">
        <v>3185</v>
      </c>
      <c r="E8291" t="s">
        <v>656</v>
      </c>
      <c r="F8291" t="s">
        <v>31</v>
      </c>
      <c r="G8291">
        <v>2035</v>
      </c>
      <c r="H8291" s="12">
        <v>114.28</v>
      </c>
      <c r="I8291" t="s">
        <v>3183</v>
      </c>
      <c r="J8291" t="s">
        <v>15</v>
      </c>
      <c r="K8291" t="s">
        <v>147</v>
      </c>
      <c r="L8291" t="s">
        <v>652</v>
      </c>
      <c r="M8291" t="s">
        <v>15</v>
      </c>
    </row>
    <row r="8292" spans="1:13">
      <c r="A8292" t="s">
        <v>851</v>
      </c>
      <c r="B8292" t="s">
        <v>686</v>
      </c>
      <c r="C8292" t="s">
        <v>686</v>
      </c>
      <c r="D8292" t="s">
        <v>3185</v>
      </c>
      <c r="E8292" t="s">
        <v>656</v>
      </c>
      <c r="F8292" t="s">
        <v>31</v>
      </c>
      <c r="G8292">
        <v>2040</v>
      </c>
      <c r="H8292" s="12">
        <v>116.71</v>
      </c>
      <c r="I8292" t="s">
        <v>3183</v>
      </c>
      <c r="J8292" t="s">
        <v>15</v>
      </c>
      <c r="K8292" t="s">
        <v>147</v>
      </c>
      <c r="L8292" t="s">
        <v>652</v>
      </c>
      <c r="M8292" t="s">
        <v>15</v>
      </c>
    </row>
    <row r="8293" spans="1:13">
      <c r="A8293" t="s">
        <v>851</v>
      </c>
      <c r="B8293" t="s">
        <v>686</v>
      </c>
      <c r="C8293" t="s">
        <v>686</v>
      </c>
      <c r="D8293" t="s">
        <v>3185</v>
      </c>
      <c r="E8293" t="s">
        <v>656</v>
      </c>
      <c r="F8293" t="s">
        <v>31</v>
      </c>
      <c r="G8293">
        <v>2045</v>
      </c>
      <c r="H8293" s="12">
        <v>113.56</v>
      </c>
      <c r="I8293" t="s">
        <v>3183</v>
      </c>
      <c r="J8293" t="s">
        <v>15</v>
      </c>
      <c r="K8293" t="s">
        <v>147</v>
      </c>
      <c r="L8293" t="s">
        <v>652</v>
      </c>
      <c r="M8293" t="s">
        <v>15</v>
      </c>
    </row>
    <row r="8294" spans="1:13">
      <c r="A8294" t="s">
        <v>851</v>
      </c>
      <c r="B8294" t="s">
        <v>686</v>
      </c>
      <c r="C8294" t="s">
        <v>686</v>
      </c>
      <c r="D8294" t="s">
        <v>3185</v>
      </c>
      <c r="E8294" t="s">
        <v>656</v>
      </c>
      <c r="F8294" t="s">
        <v>31</v>
      </c>
      <c r="G8294">
        <v>2050</v>
      </c>
      <c r="H8294" s="12">
        <v>115.71</v>
      </c>
      <c r="I8294" t="s">
        <v>3183</v>
      </c>
      <c r="J8294" t="s">
        <v>15</v>
      </c>
      <c r="K8294" t="s">
        <v>147</v>
      </c>
      <c r="L8294" t="s">
        <v>652</v>
      </c>
      <c r="M8294" t="s">
        <v>15</v>
      </c>
    </row>
    <row r="8295" spans="1:13">
      <c r="A8295" t="s">
        <v>851</v>
      </c>
      <c r="B8295" t="s">
        <v>687</v>
      </c>
      <c r="C8295" t="s">
        <v>687</v>
      </c>
      <c r="D8295" t="s">
        <v>3185</v>
      </c>
      <c r="E8295" t="s">
        <v>656</v>
      </c>
      <c r="F8295" t="s">
        <v>31</v>
      </c>
      <c r="G8295">
        <v>2030</v>
      </c>
      <c r="H8295" s="12">
        <v>115.39</v>
      </c>
      <c r="I8295" t="s">
        <v>3183</v>
      </c>
      <c r="J8295" t="s">
        <v>15</v>
      </c>
      <c r="K8295" t="s">
        <v>147</v>
      </c>
      <c r="L8295" t="s">
        <v>652</v>
      </c>
      <c r="M8295" t="s">
        <v>15</v>
      </c>
    </row>
    <row r="8296" spans="1:13">
      <c r="A8296" t="s">
        <v>851</v>
      </c>
      <c r="B8296" t="s">
        <v>687</v>
      </c>
      <c r="C8296" t="s">
        <v>687</v>
      </c>
      <c r="D8296" t="s">
        <v>3185</v>
      </c>
      <c r="E8296" t="s">
        <v>656</v>
      </c>
      <c r="F8296" t="s">
        <v>31</v>
      </c>
      <c r="G8296">
        <v>2035</v>
      </c>
      <c r="H8296" s="12">
        <v>118.5</v>
      </c>
      <c r="I8296" t="s">
        <v>3183</v>
      </c>
      <c r="J8296" t="s">
        <v>15</v>
      </c>
      <c r="K8296" t="s">
        <v>147</v>
      </c>
      <c r="L8296" t="s">
        <v>652</v>
      </c>
      <c r="M8296" t="s">
        <v>15</v>
      </c>
    </row>
    <row r="8297" spans="1:13">
      <c r="A8297" t="s">
        <v>851</v>
      </c>
      <c r="B8297" t="s">
        <v>686</v>
      </c>
      <c r="C8297" t="s">
        <v>686</v>
      </c>
      <c r="D8297" t="s">
        <v>3185</v>
      </c>
      <c r="E8297" t="s">
        <v>656</v>
      </c>
      <c r="F8297" t="s">
        <v>31</v>
      </c>
      <c r="G8297">
        <v>2040</v>
      </c>
      <c r="H8297" s="12">
        <v>20.55</v>
      </c>
      <c r="I8297" t="s">
        <v>3183</v>
      </c>
      <c r="J8297" t="s">
        <v>5</v>
      </c>
      <c r="K8297" t="s">
        <v>147</v>
      </c>
      <c r="L8297" t="s">
        <v>652</v>
      </c>
      <c r="M8297" t="s">
        <v>665</v>
      </c>
    </row>
    <row r="8298" spans="1:13">
      <c r="A8298" t="s">
        <v>851</v>
      </c>
      <c r="B8298" t="s">
        <v>686</v>
      </c>
      <c r="C8298" t="s">
        <v>686</v>
      </c>
      <c r="D8298" t="s">
        <v>3185</v>
      </c>
      <c r="E8298" t="s">
        <v>656</v>
      </c>
      <c r="F8298" t="s">
        <v>31</v>
      </c>
      <c r="G8298">
        <v>2045</v>
      </c>
      <c r="H8298" s="12">
        <v>9.6300000000000008</v>
      </c>
      <c r="I8298" t="s">
        <v>3183</v>
      </c>
      <c r="J8298" t="s">
        <v>5</v>
      </c>
      <c r="K8298" t="s">
        <v>147</v>
      </c>
      <c r="L8298" t="s">
        <v>652</v>
      </c>
      <c r="M8298" t="s">
        <v>665</v>
      </c>
    </row>
    <row r="8299" spans="1:13">
      <c r="A8299" t="s">
        <v>851</v>
      </c>
      <c r="B8299" t="s">
        <v>686</v>
      </c>
      <c r="C8299" t="s">
        <v>686</v>
      </c>
      <c r="D8299" t="s">
        <v>3185</v>
      </c>
      <c r="E8299" t="s">
        <v>656</v>
      </c>
      <c r="F8299" t="s">
        <v>31</v>
      </c>
      <c r="G8299">
        <v>2050</v>
      </c>
      <c r="H8299" s="12">
        <v>5.37</v>
      </c>
      <c r="I8299" t="s">
        <v>3183</v>
      </c>
      <c r="J8299" t="s">
        <v>5</v>
      </c>
      <c r="K8299" t="s">
        <v>147</v>
      </c>
      <c r="L8299" t="s">
        <v>652</v>
      </c>
      <c r="M8299" t="s">
        <v>665</v>
      </c>
    </row>
    <row r="8300" spans="1:13">
      <c r="A8300" t="s">
        <v>851</v>
      </c>
      <c r="B8300" t="s">
        <v>687</v>
      </c>
      <c r="C8300" t="s">
        <v>687</v>
      </c>
      <c r="D8300" t="s">
        <v>3185</v>
      </c>
      <c r="E8300" t="s">
        <v>656</v>
      </c>
      <c r="F8300" t="s">
        <v>31</v>
      </c>
      <c r="G8300">
        <v>2030</v>
      </c>
      <c r="H8300" s="12">
        <v>76.8</v>
      </c>
      <c r="I8300" t="s">
        <v>3183</v>
      </c>
      <c r="J8300" t="s">
        <v>5</v>
      </c>
      <c r="K8300" t="s">
        <v>147</v>
      </c>
      <c r="L8300" t="s">
        <v>652</v>
      </c>
      <c r="M8300" t="s">
        <v>665</v>
      </c>
    </row>
    <row r="8301" spans="1:13">
      <c r="A8301" t="s">
        <v>851</v>
      </c>
      <c r="B8301" t="s">
        <v>687</v>
      </c>
      <c r="C8301" t="s">
        <v>687</v>
      </c>
      <c r="D8301" t="s">
        <v>3185</v>
      </c>
      <c r="E8301" t="s">
        <v>656</v>
      </c>
      <c r="F8301" t="s">
        <v>31</v>
      </c>
      <c r="G8301">
        <v>2035</v>
      </c>
      <c r="H8301" s="12">
        <v>21.49</v>
      </c>
      <c r="I8301" t="s">
        <v>3183</v>
      </c>
      <c r="J8301" t="s">
        <v>5</v>
      </c>
      <c r="K8301" t="s">
        <v>147</v>
      </c>
      <c r="L8301" t="s">
        <v>652</v>
      </c>
      <c r="M8301" t="s">
        <v>665</v>
      </c>
    </row>
    <row r="8302" spans="1:13">
      <c r="A8302" t="s">
        <v>851</v>
      </c>
      <c r="B8302" t="s">
        <v>687</v>
      </c>
      <c r="C8302" t="s">
        <v>687</v>
      </c>
      <c r="D8302" t="s">
        <v>3185</v>
      </c>
      <c r="E8302" t="s">
        <v>656</v>
      </c>
      <c r="F8302" t="s">
        <v>31</v>
      </c>
      <c r="G8302">
        <v>2040</v>
      </c>
      <c r="H8302" s="12">
        <v>12.47</v>
      </c>
      <c r="I8302" t="s">
        <v>3183</v>
      </c>
      <c r="J8302" t="s">
        <v>5</v>
      </c>
      <c r="K8302" t="s">
        <v>147</v>
      </c>
      <c r="L8302" t="s">
        <v>652</v>
      </c>
      <c r="M8302" t="s">
        <v>665</v>
      </c>
    </row>
    <row r="8303" spans="1:13">
      <c r="A8303" t="s">
        <v>851</v>
      </c>
      <c r="B8303" t="s">
        <v>687</v>
      </c>
      <c r="C8303" t="s">
        <v>687</v>
      </c>
      <c r="D8303" t="s">
        <v>3185</v>
      </c>
      <c r="E8303" t="s">
        <v>656</v>
      </c>
      <c r="F8303" t="s">
        <v>31</v>
      </c>
      <c r="G8303">
        <v>2045</v>
      </c>
      <c r="H8303" s="12">
        <v>7.21</v>
      </c>
      <c r="I8303" t="s">
        <v>3183</v>
      </c>
      <c r="J8303" t="s">
        <v>5</v>
      </c>
      <c r="K8303" t="s">
        <v>147</v>
      </c>
      <c r="L8303" t="s">
        <v>652</v>
      </c>
      <c r="M8303" t="s">
        <v>665</v>
      </c>
    </row>
    <row r="8304" spans="1:13">
      <c r="A8304" t="s">
        <v>851</v>
      </c>
      <c r="B8304" t="s">
        <v>687</v>
      </c>
      <c r="C8304" t="s">
        <v>687</v>
      </c>
      <c r="D8304" t="s">
        <v>3185</v>
      </c>
      <c r="E8304" t="s">
        <v>656</v>
      </c>
      <c r="F8304" t="s">
        <v>31</v>
      </c>
      <c r="G8304">
        <v>2050</v>
      </c>
      <c r="H8304" s="12">
        <v>4.91</v>
      </c>
      <c r="I8304" t="s">
        <v>3183</v>
      </c>
      <c r="J8304" t="s">
        <v>5</v>
      </c>
      <c r="K8304" t="s">
        <v>147</v>
      </c>
      <c r="L8304" t="s">
        <v>652</v>
      </c>
      <c r="M8304" t="s">
        <v>665</v>
      </c>
    </row>
    <row r="8305" spans="1:13">
      <c r="A8305" t="s">
        <v>851</v>
      </c>
      <c r="B8305" t="s">
        <v>686</v>
      </c>
      <c r="C8305" t="s">
        <v>686</v>
      </c>
      <c r="D8305" t="s">
        <v>3185</v>
      </c>
      <c r="E8305" t="s">
        <v>656</v>
      </c>
      <c r="F8305" t="s">
        <v>31</v>
      </c>
      <c r="G8305">
        <v>2010</v>
      </c>
      <c r="H8305" s="12">
        <v>502.67</v>
      </c>
      <c r="I8305" t="s">
        <v>3183</v>
      </c>
      <c r="J8305" t="s">
        <v>6</v>
      </c>
      <c r="K8305" t="s">
        <v>147</v>
      </c>
      <c r="L8305" t="s">
        <v>652</v>
      </c>
      <c r="M8305" t="s">
        <v>666</v>
      </c>
    </row>
    <row r="8306" spans="1:13">
      <c r="A8306" t="s">
        <v>851</v>
      </c>
      <c r="B8306" t="s">
        <v>686</v>
      </c>
      <c r="C8306" t="s">
        <v>686</v>
      </c>
      <c r="D8306" t="s">
        <v>3185</v>
      </c>
      <c r="E8306" t="s">
        <v>656</v>
      </c>
      <c r="F8306" t="s">
        <v>31</v>
      </c>
      <c r="G8306">
        <v>2015</v>
      </c>
      <c r="H8306" s="12">
        <v>526.46</v>
      </c>
      <c r="I8306" t="s">
        <v>3183</v>
      </c>
      <c r="J8306" t="s">
        <v>6</v>
      </c>
      <c r="K8306" t="s">
        <v>147</v>
      </c>
      <c r="L8306" t="s">
        <v>652</v>
      </c>
      <c r="M8306" t="s">
        <v>666</v>
      </c>
    </row>
    <row r="8307" spans="1:13">
      <c r="A8307" t="s">
        <v>851</v>
      </c>
      <c r="B8307" t="s">
        <v>686</v>
      </c>
      <c r="C8307" t="s">
        <v>686</v>
      </c>
      <c r="D8307" t="s">
        <v>3185</v>
      </c>
      <c r="E8307" t="s">
        <v>656</v>
      </c>
      <c r="F8307" t="s">
        <v>31</v>
      </c>
      <c r="G8307">
        <v>2020</v>
      </c>
      <c r="H8307" s="12">
        <v>567.76</v>
      </c>
      <c r="I8307" t="s">
        <v>3183</v>
      </c>
      <c r="J8307" t="s">
        <v>6</v>
      </c>
      <c r="K8307" t="s">
        <v>147</v>
      </c>
      <c r="L8307" t="s">
        <v>652</v>
      </c>
      <c r="M8307" t="s">
        <v>666</v>
      </c>
    </row>
    <row r="8308" spans="1:13">
      <c r="A8308" t="s">
        <v>851</v>
      </c>
      <c r="B8308" t="s">
        <v>686</v>
      </c>
      <c r="C8308" t="s">
        <v>686</v>
      </c>
      <c r="D8308" t="s">
        <v>3185</v>
      </c>
      <c r="E8308" t="s">
        <v>656</v>
      </c>
      <c r="F8308" t="s">
        <v>31</v>
      </c>
      <c r="G8308">
        <v>2030</v>
      </c>
      <c r="H8308" s="12">
        <v>581.46</v>
      </c>
      <c r="I8308" t="s">
        <v>3183</v>
      </c>
      <c r="J8308" t="s">
        <v>6</v>
      </c>
      <c r="K8308" t="s">
        <v>147</v>
      </c>
      <c r="L8308" t="s">
        <v>652</v>
      </c>
      <c r="M8308" t="s">
        <v>666</v>
      </c>
    </row>
    <row r="8309" spans="1:13">
      <c r="A8309" t="s">
        <v>851</v>
      </c>
      <c r="B8309" t="s">
        <v>686</v>
      </c>
      <c r="C8309" t="s">
        <v>686</v>
      </c>
      <c r="D8309" t="s">
        <v>3185</v>
      </c>
      <c r="E8309" t="s">
        <v>461</v>
      </c>
      <c r="F8309" t="s">
        <v>668</v>
      </c>
      <c r="G8309">
        <v>2035</v>
      </c>
      <c r="H8309" s="12">
        <v>799.05</v>
      </c>
      <c r="I8309" t="s">
        <v>3183</v>
      </c>
      <c r="J8309" t="s">
        <v>14</v>
      </c>
      <c r="K8309" t="s">
        <v>147</v>
      </c>
      <c r="L8309" t="s">
        <v>652</v>
      </c>
      <c r="M8309" t="s">
        <v>14</v>
      </c>
    </row>
    <row r="8310" spans="1:13">
      <c r="A8310" t="s">
        <v>851</v>
      </c>
      <c r="B8310" t="s">
        <v>686</v>
      </c>
      <c r="C8310" t="s">
        <v>686</v>
      </c>
      <c r="D8310" t="s">
        <v>3185</v>
      </c>
      <c r="E8310" t="s">
        <v>461</v>
      </c>
      <c r="F8310" t="s">
        <v>668</v>
      </c>
      <c r="G8310">
        <v>2040</v>
      </c>
      <c r="H8310" s="12">
        <v>816.95</v>
      </c>
      <c r="I8310" t="s">
        <v>3183</v>
      </c>
      <c r="J8310" t="s">
        <v>14</v>
      </c>
      <c r="K8310" t="s">
        <v>147</v>
      </c>
      <c r="L8310" t="s">
        <v>652</v>
      </c>
      <c r="M8310" t="s">
        <v>14</v>
      </c>
    </row>
    <row r="8311" spans="1:13">
      <c r="A8311" t="s">
        <v>851</v>
      </c>
      <c r="B8311" t="s">
        <v>686</v>
      </c>
      <c r="C8311" t="s">
        <v>686</v>
      </c>
      <c r="D8311" t="s">
        <v>3185</v>
      </c>
      <c r="E8311" t="s">
        <v>461</v>
      </c>
      <c r="F8311" t="s">
        <v>668</v>
      </c>
      <c r="G8311">
        <v>2045</v>
      </c>
      <c r="H8311" s="12">
        <v>839.26</v>
      </c>
      <c r="I8311" t="s">
        <v>3183</v>
      </c>
      <c r="J8311" t="s">
        <v>14</v>
      </c>
      <c r="K8311" t="s">
        <v>147</v>
      </c>
      <c r="L8311" t="s">
        <v>652</v>
      </c>
      <c r="M8311" t="s">
        <v>14</v>
      </c>
    </row>
    <row r="8312" spans="1:13">
      <c r="A8312" t="s">
        <v>851</v>
      </c>
      <c r="B8312" t="s">
        <v>686</v>
      </c>
      <c r="C8312" t="s">
        <v>686</v>
      </c>
      <c r="D8312" t="s">
        <v>3185</v>
      </c>
      <c r="E8312" t="s">
        <v>461</v>
      </c>
      <c r="F8312" t="s">
        <v>668</v>
      </c>
      <c r="G8312">
        <v>2050</v>
      </c>
      <c r="H8312" s="12">
        <v>862.25</v>
      </c>
      <c r="I8312" t="s">
        <v>3183</v>
      </c>
      <c r="J8312" t="s">
        <v>14</v>
      </c>
      <c r="K8312" t="s">
        <v>147</v>
      </c>
      <c r="L8312" t="s">
        <v>652</v>
      </c>
      <c r="M8312" t="s">
        <v>14</v>
      </c>
    </row>
    <row r="8313" spans="1:13">
      <c r="A8313" t="s">
        <v>851</v>
      </c>
      <c r="B8313" t="s">
        <v>687</v>
      </c>
      <c r="C8313" t="s">
        <v>687</v>
      </c>
      <c r="D8313" t="s">
        <v>3185</v>
      </c>
      <c r="E8313" t="s">
        <v>461</v>
      </c>
      <c r="F8313" t="s">
        <v>668</v>
      </c>
      <c r="G8313">
        <v>2030</v>
      </c>
      <c r="H8313" s="12">
        <v>793.65</v>
      </c>
      <c r="I8313" t="s">
        <v>3183</v>
      </c>
      <c r="J8313" t="s">
        <v>14</v>
      </c>
      <c r="K8313" t="s">
        <v>147</v>
      </c>
      <c r="L8313" t="s">
        <v>652</v>
      </c>
      <c r="M8313" t="s">
        <v>14</v>
      </c>
    </row>
    <row r="8314" spans="1:13">
      <c r="A8314" t="s">
        <v>851</v>
      </c>
      <c r="B8314" t="s">
        <v>687</v>
      </c>
      <c r="C8314" t="s">
        <v>687</v>
      </c>
      <c r="D8314" t="s">
        <v>3185</v>
      </c>
      <c r="E8314" t="s">
        <v>461</v>
      </c>
      <c r="F8314" t="s">
        <v>668</v>
      </c>
      <c r="G8314">
        <v>2035</v>
      </c>
      <c r="H8314" s="12">
        <v>821.21</v>
      </c>
      <c r="I8314" t="s">
        <v>3183</v>
      </c>
      <c r="J8314" t="s">
        <v>14</v>
      </c>
      <c r="K8314" t="s">
        <v>147</v>
      </c>
      <c r="L8314" t="s">
        <v>652</v>
      </c>
      <c r="M8314" t="s">
        <v>14</v>
      </c>
    </row>
    <row r="8315" spans="1:13">
      <c r="A8315" t="s">
        <v>851</v>
      </c>
      <c r="B8315" t="s">
        <v>687</v>
      </c>
      <c r="C8315" t="s">
        <v>687</v>
      </c>
      <c r="D8315" t="s">
        <v>3185</v>
      </c>
      <c r="E8315" t="s">
        <v>461</v>
      </c>
      <c r="F8315" t="s">
        <v>668</v>
      </c>
      <c r="G8315">
        <v>2040</v>
      </c>
      <c r="H8315" s="12">
        <v>836.15</v>
      </c>
      <c r="I8315" t="s">
        <v>3183</v>
      </c>
      <c r="J8315" t="s">
        <v>14</v>
      </c>
      <c r="K8315" t="s">
        <v>147</v>
      </c>
      <c r="L8315" t="s">
        <v>652</v>
      </c>
      <c r="M8315" t="s">
        <v>14</v>
      </c>
    </row>
    <row r="8316" spans="1:13">
      <c r="A8316" t="s">
        <v>851</v>
      </c>
      <c r="B8316" t="s">
        <v>687</v>
      </c>
      <c r="C8316" t="s">
        <v>687</v>
      </c>
      <c r="D8316" t="s">
        <v>3185</v>
      </c>
      <c r="E8316" t="s">
        <v>461</v>
      </c>
      <c r="F8316" t="s">
        <v>668</v>
      </c>
      <c r="G8316">
        <v>2045</v>
      </c>
      <c r="H8316" s="12">
        <v>829.65</v>
      </c>
      <c r="I8316" t="s">
        <v>3183</v>
      </c>
      <c r="J8316" t="s">
        <v>14</v>
      </c>
      <c r="K8316" t="s">
        <v>147</v>
      </c>
      <c r="L8316" t="s">
        <v>652</v>
      </c>
      <c r="M8316" t="s">
        <v>14</v>
      </c>
    </row>
    <row r="8317" spans="1:13">
      <c r="A8317" t="s">
        <v>851</v>
      </c>
      <c r="B8317" t="s">
        <v>687</v>
      </c>
      <c r="C8317" t="s">
        <v>687</v>
      </c>
      <c r="D8317" t="s">
        <v>3185</v>
      </c>
      <c r="E8317" t="s">
        <v>461</v>
      </c>
      <c r="F8317" t="s">
        <v>668</v>
      </c>
      <c r="G8317">
        <v>2050</v>
      </c>
      <c r="H8317" s="12">
        <v>820.7</v>
      </c>
      <c r="I8317" t="s">
        <v>3183</v>
      </c>
      <c r="J8317" t="s">
        <v>14</v>
      </c>
      <c r="K8317" t="s">
        <v>147</v>
      </c>
      <c r="L8317" t="s">
        <v>652</v>
      </c>
      <c r="M8317" t="s">
        <v>14</v>
      </c>
    </row>
    <row r="8318" spans="1:13">
      <c r="A8318" t="s">
        <v>851</v>
      </c>
      <c r="B8318" t="s">
        <v>686</v>
      </c>
      <c r="C8318" t="s">
        <v>686</v>
      </c>
      <c r="D8318" t="s">
        <v>3185</v>
      </c>
      <c r="E8318" t="s">
        <v>461</v>
      </c>
      <c r="F8318" t="s">
        <v>668</v>
      </c>
      <c r="G8318">
        <v>2010</v>
      </c>
      <c r="H8318" s="12">
        <v>76.05</v>
      </c>
      <c r="I8318" t="s">
        <v>3183</v>
      </c>
      <c r="J8318" t="s">
        <v>41</v>
      </c>
      <c r="K8318" t="s">
        <v>147</v>
      </c>
      <c r="L8318" t="s">
        <v>652</v>
      </c>
      <c r="M8318" t="s">
        <v>669</v>
      </c>
    </row>
    <row r="8319" spans="1:13">
      <c r="A8319" t="s">
        <v>851</v>
      </c>
      <c r="B8319" t="s">
        <v>686</v>
      </c>
      <c r="C8319" t="s">
        <v>686</v>
      </c>
      <c r="D8319" t="s">
        <v>3185</v>
      </c>
      <c r="E8319" t="s">
        <v>461</v>
      </c>
      <c r="F8319" t="s">
        <v>668</v>
      </c>
      <c r="G8319">
        <v>2015</v>
      </c>
      <c r="H8319" s="12">
        <v>85.45</v>
      </c>
      <c r="I8319" t="s">
        <v>3183</v>
      </c>
      <c r="J8319" t="s">
        <v>41</v>
      </c>
      <c r="K8319" t="s">
        <v>147</v>
      </c>
      <c r="L8319" t="s">
        <v>652</v>
      </c>
      <c r="M8319" t="s">
        <v>669</v>
      </c>
    </row>
    <row r="8320" spans="1:13">
      <c r="A8320" t="s">
        <v>851</v>
      </c>
      <c r="B8320" t="s">
        <v>686</v>
      </c>
      <c r="C8320" t="s">
        <v>686</v>
      </c>
      <c r="D8320" t="s">
        <v>3185</v>
      </c>
      <c r="E8320" t="s">
        <v>461</v>
      </c>
      <c r="F8320" t="s">
        <v>668</v>
      </c>
      <c r="G8320">
        <v>2020</v>
      </c>
      <c r="H8320" s="12">
        <v>78.459999999999994</v>
      </c>
      <c r="I8320" t="s">
        <v>3183</v>
      </c>
      <c r="J8320" t="s">
        <v>41</v>
      </c>
      <c r="K8320" t="s">
        <v>147</v>
      </c>
      <c r="L8320" t="s">
        <v>652</v>
      </c>
      <c r="M8320" t="s">
        <v>669</v>
      </c>
    </row>
    <row r="8321" spans="1:13">
      <c r="A8321" t="s">
        <v>851</v>
      </c>
      <c r="B8321" t="s">
        <v>686</v>
      </c>
      <c r="C8321" t="s">
        <v>686</v>
      </c>
      <c r="D8321" t="s">
        <v>3185</v>
      </c>
      <c r="E8321" t="s">
        <v>461</v>
      </c>
      <c r="F8321" t="s">
        <v>668</v>
      </c>
      <c r="G8321">
        <v>2030</v>
      </c>
      <c r="H8321" s="12">
        <v>94.84</v>
      </c>
      <c r="I8321" t="s">
        <v>3183</v>
      </c>
      <c r="J8321" t="s">
        <v>41</v>
      </c>
      <c r="K8321" t="s">
        <v>147</v>
      </c>
      <c r="L8321" t="s">
        <v>652</v>
      </c>
      <c r="M8321" t="s">
        <v>669</v>
      </c>
    </row>
    <row r="8322" spans="1:13">
      <c r="A8322" t="s">
        <v>851</v>
      </c>
      <c r="B8322" t="s">
        <v>686</v>
      </c>
      <c r="C8322" t="s">
        <v>686</v>
      </c>
      <c r="D8322" t="s">
        <v>3185</v>
      </c>
      <c r="E8322" t="s">
        <v>461</v>
      </c>
      <c r="F8322" t="s">
        <v>668</v>
      </c>
      <c r="G8322">
        <v>2035</v>
      </c>
      <c r="H8322" s="12">
        <v>107.21</v>
      </c>
      <c r="I8322" t="s">
        <v>3183</v>
      </c>
      <c r="J8322" t="s">
        <v>41</v>
      </c>
      <c r="K8322" t="s">
        <v>147</v>
      </c>
      <c r="L8322" t="s">
        <v>652</v>
      </c>
      <c r="M8322" t="s">
        <v>669</v>
      </c>
    </row>
    <row r="8323" spans="1:13">
      <c r="A8323" t="s">
        <v>851</v>
      </c>
      <c r="B8323" t="s">
        <v>686</v>
      </c>
      <c r="C8323" t="s">
        <v>686</v>
      </c>
      <c r="D8323" t="s">
        <v>3185</v>
      </c>
      <c r="E8323" t="s">
        <v>461</v>
      </c>
      <c r="F8323" t="s">
        <v>668</v>
      </c>
      <c r="G8323">
        <v>2040</v>
      </c>
      <c r="H8323" s="12">
        <v>119.45</v>
      </c>
      <c r="I8323" t="s">
        <v>3183</v>
      </c>
      <c r="J8323" t="s">
        <v>41</v>
      </c>
      <c r="K8323" t="s">
        <v>147</v>
      </c>
      <c r="L8323" t="s">
        <v>652</v>
      </c>
      <c r="M8323" t="s">
        <v>669</v>
      </c>
    </row>
    <row r="8324" spans="1:13">
      <c r="A8324" t="s">
        <v>851</v>
      </c>
      <c r="B8324" t="s">
        <v>686</v>
      </c>
      <c r="C8324" t="s">
        <v>686</v>
      </c>
      <c r="D8324" t="s">
        <v>3185</v>
      </c>
      <c r="E8324" t="s">
        <v>461</v>
      </c>
      <c r="F8324" t="s">
        <v>668</v>
      </c>
      <c r="G8324">
        <v>2045</v>
      </c>
      <c r="H8324" s="12">
        <v>131.4</v>
      </c>
      <c r="I8324" t="s">
        <v>3183</v>
      </c>
      <c r="J8324" t="s">
        <v>41</v>
      </c>
      <c r="K8324" t="s">
        <v>147</v>
      </c>
      <c r="L8324" t="s">
        <v>652</v>
      </c>
      <c r="M8324" t="s">
        <v>669</v>
      </c>
    </row>
    <row r="8325" spans="1:13">
      <c r="A8325" t="s">
        <v>851</v>
      </c>
      <c r="B8325" t="s">
        <v>686</v>
      </c>
      <c r="C8325" t="s">
        <v>686</v>
      </c>
      <c r="D8325" t="s">
        <v>3185</v>
      </c>
      <c r="E8325" t="s">
        <v>461</v>
      </c>
      <c r="F8325" t="s">
        <v>668</v>
      </c>
      <c r="G8325">
        <v>2050</v>
      </c>
      <c r="H8325" s="12">
        <v>145.66999999999999</v>
      </c>
      <c r="I8325" t="s">
        <v>3183</v>
      </c>
      <c r="J8325" t="s">
        <v>41</v>
      </c>
      <c r="K8325" t="s">
        <v>147</v>
      </c>
      <c r="L8325" t="s">
        <v>652</v>
      </c>
      <c r="M8325" t="s">
        <v>669</v>
      </c>
    </row>
    <row r="8326" spans="1:13">
      <c r="A8326" t="s">
        <v>851</v>
      </c>
      <c r="B8326" t="s">
        <v>687</v>
      </c>
      <c r="C8326" t="s">
        <v>687</v>
      </c>
      <c r="D8326" t="s">
        <v>3185</v>
      </c>
      <c r="E8326" t="s">
        <v>461</v>
      </c>
      <c r="F8326" t="s">
        <v>668</v>
      </c>
      <c r="G8326">
        <v>2030</v>
      </c>
      <c r="H8326" s="12">
        <v>150.13</v>
      </c>
      <c r="I8326" t="s">
        <v>3183</v>
      </c>
      <c r="J8326" t="s">
        <v>41</v>
      </c>
      <c r="K8326" t="s">
        <v>147</v>
      </c>
      <c r="L8326" t="s">
        <v>652</v>
      </c>
      <c r="M8326" t="s">
        <v>669</v>
      </c>
    </row>
    <row r="8327" spans="1:13">
      <c r="A8327" t="s">
        <v>851</v>
      </c>
      <c r="B8327" t="s">
        <v>687</v>
      </c>
      <c r="C8327" t="s">
        <v>687</v>
      </c>
      <c r="D8327" t="s">
        <v>3185</v>
      </c>
      <c r="E8327" t="s">
        <v>461</v>
      </c>
      <c r="F8327" t="s">
        <v>668</v>
      </c>
      <c r="G8327">
        <v>2035</v>
      </c>
      <c r="H8327" s="12">
        <v>254.7</v>
      </c>
      <c r="I8327" t="s">
        <v>3183</v>
      </c>
      <c r="J8327" t="s">
        <v>41</v>
      </c>
      <c r="K8327" t="s">
        <v>147</v>
      </c>
      <c r="L8327" t="s">
        <v>652</v>
      </c>
      <c r="M8327" t="s">
        <v>669</v>
      </c>
    </row>
    <row r="8328" spans="1:13">
      <c r="A8328" t="s">
        <v>851</v>
      </c>
      <c r="B8328" t="s">
        <v>687</v>
      </c>
      <c r="C8328" t="s">
        <v>687</v>
      </c>
      <c r="D8328" t="s">
        <v>3185</v>
      </c>
      <c r="E8328" t="s">
        <v>461</v>
      </c>
      <c r="F8328" t="s">
        <v>668</v>
      </c>
      <c r="G8328">
        <v>2040</v>
      </c>
      <c r="H8328" s="12">
        <v>298.89999999999998</v>
      </c>
      <c r="I8328" t="s">
        <v>3183</v>
      </c>
      <c r="J8328" t="s">
        <v>41</v>
      </c>
      <c r="K8328" t="s">
        <v>147</v>
      </c>
      <c r="L8328" t="s">
        <v>652</v>
      </c>
      <c r="M8328" t="s">
        <v>669</v>
      </c>
    </row>
    <row r="8329" spans="1:13">
      <c r="A8329" t="s">
        <v>851</v>
      </c>
      <c r="B8329" t="s">
        <v>687</v>
      </c>
      <c r="C8329" t="s">
        <v>687</v>
      </c>
      <c r="D8329" t="s">
        <v>3185</v>
      </c>
      <c r="E8329" t="s">
        <v>461</v>
      </c>
      <c r="F8329" t="s">
        <v>668</v>
      </c>
      <c r="G8329">
        <v>2045</v>
      </c>
      <c r="H8329" s="12">
        <v>317.95</v>
      </c>
      <c r="I8329" t="s">
        <v>3183</v>
      </c>
      <c r="J8329" t="s">
        <v>41</v>
      </c>
      <c r="K8329" t="s">
        <v>147</v>
      </c>
      <c r="L8329" t="s">
        <v>652</v>
      </c>
      <c r="M8329" t="s">
        <v>669</v>
      </c>
    </row>
    <row r="8330" spans="1:13">
      <c r="A8330" t="s">
        <v>851</v>
      </c>
      <c r="B8330" t="s">
        <v>687</v>
      </c>
      <c r="C8330" t="s">
        <v>687</v>
      </c>
      <c r="D8330" t="s">
        <v>3185</v>
      </c>
      <c r="E8330" t="s">
        <v>461</v>
      </c>
      <c r="F8330" t="s">
        <v>668</v>
      </c>
      <c r="G8330">
        <v>2050</v>
      </c>
      <c r="H8330" s="12">
        <v>334.88</v>
      </c>
      <c r="I8330" t="s">
        <v>3183</v>
      </c>
      <c r="J8330" t="s">
        <v>41</v>
      </c>
      <c r="K8330" t="s">
        <v>147</v>
      </c>
      <c r="L8330" t="s">
        <v>652</v>
      </c>
      <c r="M8330" t="s">
        <v>669</v>
      </c>
    </row>
    <row r="8331" spans="1:13">
      <c r="A8331" t="s">
        <v>851</v>
      </c>
      <c r="B8331" t="s">
        <v>686</v>
      </c>
      <c r="C8331" t="s">
        <v>686</v>
      </c>
      <c r="D8331" t="s">
        <v>3185</v>
      </c>
      <c r="E8331" t="s">
        <v>461</v>
      </c>
      <c r="F8331" t="s">
        <v>668</v>
      </c>
      <c r="G8331">
        <v>2010</v>
      </c>
      <c r="H8331" s="12">
        <v>935.47</v>
      </c>
      <c r="I8331" t="s">
        <v>3183</v>
      </c>
      <c r="J8331" t="s">
        <v>15</v>
      </c>
      <c r="K8331" t="s">
        <v>147</v>
      </c>
      <c r="L8331" t="s">
        <v>652</v>
      </c>
      <c r="M8331" t="s">
        <v>15</v>
      </c>
    </row>
    <row r="8332" spans="1:13">
      <c r="A8332" t="s">
        <v>851</v>
      </c>
      <c r="B8332" t="s">
        <v>686</v>
      </c>
      <c r="C8332" t="s">
        <v>686</v>
      </c>
      <c r="D8332" t="s">
        <v>3185</v>
      </c>
      <c r="E8332" t="s">
        <v>461</v>
      </c>
      <c r="F8332" t="s">
        <v>668</v>
      </c>
      <c r="G8332">
        <v>2015</v>
      </c>
      <c r="H8332" s="12">
        <v>943.67</v>
      </c>
      <c r="I8332" t="s">
        <v>3183</v>
      </c>
      <c r="J8332" t="s">
        <v>15</v>
      </c>
      <c r="K8332" t="s">
        <v>147</v>
      </c>
      <c r="L8332" t="s">
        <v>652</v>
      </c>
      <c r="M8332" t="s">
        <v>15</v>
      </c>
    </row>
    <row r="8333" spans="1:13">
      <c r="A8333" t="s">
        <v>851</v>
      </c>
      <c r="B8333" t="s">
        <v>686</v>
      </c>
      <c r="C8333" t="s">
        <v>686</v>
      </c>
      <c r="D8333" t="s">
        <v>3185</v>
      </c>
      <c r="E8333" t="s">
        <v>461</v>
      </c>
      <c r="F8333" t="s">
        <v>668</v>
      </c>
      <c r="G8333">
        <v>2020</v>
      </c>
      <c r="H8333" s="12">
        <v>929.48</v>
      </c>
      <c r="I8333" t="s">
        <v>3183</v>
      </c>
      <c r="J8333" t="s">
        <v>15</v>
      </c>
      <c r="K8333" t="s">
        <v>147</v>
      </c>
      <c r="L8333" t="s">
        <v>652</v>
      </c>
      <c r="M8333" t="s">
        <v>15</v>
      </c>
    </row>
    <row r="8334" spans="1:13">
      <c r="A8334" t="s">
        <v>851</v>
      </c>
      <c r="B8334" t="s">
        <v>686</v>
      </c>
      <c r="C8334" t="s">
        <v>686</v>
      </c>
      <c r="D8334" t="s">
        <v>3185</v>
      </c>
      <c r="E8334" t="s">
        <v>461</v>
      </c>
      <c r="F8334" t="s">
        <v>668</v>
      </c>
      <c r="G8334">
        <v>2010</v>
      </c>
      <c r="H8334" s="12">
        <v>2106.0100000000002</v>
      </c>
      <c r="I8334" t="s">
        <v>3183</v>
      </c>
      <c r="J8334" t="s">
        <v>5</v>
      </c>
      <c r="K8334" t="s">
        <v>147</v>
      </c>
      <c r="L8334" t="s">
        <v>652</v>
      </c>
      <c r="M8334" t="s">
        <v>665</v>
      </c>
    </row>
    <row r="8335" spans="1:13">
      <c r="A8335" t="s">
        <v>851</v>
      </c>
      <c r="B8335" t="s">
        <v>686</v>
      </c>
      <c r="C8335" t="s">
        <v>686</v>
      </c>
      <c r="D8335" t="s">
        <v>3185</v>
      </c>
      <c r="E8335" t="s">
        <v>461</v>
      </c>
      <c r="F8335" t="s">
        <v>668</v>
      </c>
      <c r="G8335">
        <v>2015</v>
      </c>
      <c r="H8335" s="12">
        <v>1566.01</v>
      </c>
      <c r="I8335" t="s">
        <v>3183</v>
      </c>
      <c r="J8335" t="s">
        <v>5</v>
      </c>
      <c r="K8335" t="s">
        <v>147</v>
      </c>
      <c r="L8335" t="s">
        <v>652</v>
      </c>
      <c r="M8335" t="s">
        <v>665</v>
      </c>
    </row>
    <row r="8336" spans="1:13">
      <c r="A8336" t="s">
        <v>851</v>
      </c>
      <c r="B8336" t="s">
        <v>686</v>
      </c>
      <c r="C8336" t="s">
        <v>686</v>
      </c>
      <c r="D8336" t="s">
        <v>3185</v>
      </c>
      <c r="E8336" t="s">
        <v>461</v>
      </c>
      <c r="F8336" t="s">
        <v>668</v>
      </c>
      <c r="G8336">
        <v>2020</v>
      </c>
      <c r="H8336" s="12">
        <v>911.04</v>
      </c>
      <c r="I8336" t="s">
        <v>3183</v>
      </c>
      <c r="J8336" t="s">
        <v>5</v>
      </c>
      <c r="K8336" t="s">
        <v>147</v>
      </c>
      <c r="L8336" t="s">
        <v>652</v>
      </c>
      <c r="M8336" t="s">
        <v>665</v>
      </c>
    </row>
    <row r="8337" spans="1:13">
      <c r="A8337" t="s">
        <v>851</v>
      </c>
      <c r="B8337" t="s">
        <v>686</v>
      </c>
      <c r="C8337" t="s">
        <v>686</v>
      </c>
      <c r="D8337" t="s">
        <v>3185</v>
      </c>
      <c r="E8337" t="s">
        <v>461</v>
      </c>
      <c r="F8337" t="s">
        <v>668</v>
      </c>
      <c r="G8337">
        <v>2030</v>
      </c>
      <c r="H8337" s="12">
        <v>211.88</v>
      </c>
      <c r="I8337" t="s">
        <v>3183</v>
      </c>
      <c r="J8337" t="s">
        <v>5</v>
      </c>
      <c r="K8337" t="s">
        <v>147</v>
      </c>
      <c r="L8337" t="s">
        <v>652</v>
      </c>
      <c r="M8337" t="s">
        <v>665</v>
      </c>
    </row>
    <row r="8338" spans="1:13">
      <c r="A8338" t="s">
        <v>851</v>
      </c>
      <c r="B8338" t="s">
        <v>686</v>
      </c>
      <c r="C8338" t="s">
        <v>686</v>
      </c>
      <c r="D8338" t="s">
        <v>3185</v>
      </c>
      <c r="E8338" t="s">
        <v>461</v>
      </c>
      <c r="F8338" t="s">
        <v>668</v>
      </c>
      <c r="G8338">
        <v>2035</v>
      </c>
      <c r="H8338" s="12">
        <v>50.11</v>
      </c>
      <c r="I8338" t="s">
        <v>3183</v>
      </c>
      <c r="J8338" t="s">
        <v>5</v>
      </c>
      <c r="K8338" t="s">
        <v>147</v>
      </c>
      <c r="L8338" t="s">
        <v>652</v>
      </c>
      <c r="M8338" t="s">
        <v>665</v>
      </c>
    </row>
    <row r="8339" spans="1:13">
      <c r="A8339" t="s">
        <v>851</v>
      </c>
      <c r="B8339" t="s">
        <v>686</v>
      </c>
      <c r="C8339" t="s">
        <v>686</v>
      </c>
      <c r="D8339" t="s">
        <v>3185</v>
      </c>
      <c r="E8339" t="s">
        <v>461</v>
      </c>
      <c r="F8339" t="s">
        <v>668</v>
      </c>
      <c r="G8339">
        <v>2040</v>
      </c>
      <c r="H8339" s="12">
        <v>26.64</v>
      </c>
      <c r="I8339" t="s">
        <v>3183</v>
      </c>
      <c r="J8339" t="s">
        <v>5</v>
      </c>
      <c r="K8339" t="s">
        <v>147</v>
      </c>
      <c r="L8339" t="s">
        <v>652</v>
      </c>
      <c r="M8339" t="s">
        <v>665</v>
      </c>
    </row>
    <row r="8340" spans="1:13">
      <c r="A8340" t="s">
        <v>851</v>
      </c>
      <c r="B8340" t="s">
        <v>686</v>
      </c>
      <c r="C8340" t="s">
        <v>686</v>
      </c>
      <c r="D8340" t="s">
        <v>3185</v>
      </c>
      <c r="E8340" t="s">
        <v>461</v>
      </c>
      <c r="F8340" t="s">
        <v>668</v>
      </c>
      <c r="G8340">
        <v>2045</v>
      </c>
      <c r="H8340" s="12">
        <v>18</v>
      </c>
      <c r="I8340" t="s">
        <v>3183</v>
      </c>
      <c r="J8340" t="s">
        <v>5</v>
      </c>
      <c r="K8340" t="s">
        <v>147</v>
      </c>
      <c r="L8340" t="s">
        <v>652</v>
      </c>
      <c r="M8340" t="s">
        <v>665</v>
      </c>
    </row>
    <row r="8341" spans="1:13">
      <c r="A8341" t="s">
        <v>851</v>
      </c>
      <c r="B8341" t="s">
        <v>686</v>
      </c>
      <c r="C8341" t="s">
        <v>686</v>
      </c>
      <c r="D8341" t="s">
        <v>3185</v>
      </c>
      <c r="E8341" t="s">
        <v>461</v>
      </c>
      <c r="F8341" t="s">
        <v>668</v>
      </c>
      <c r="G8341">
        <v>2050</v>
      </c>
      <c r="H8341" s="12">
        <v>13.65</v>
      </c>
      <c r="I8341" t="s">
        <v>3183</v>
      </c>
      <c r="J8341" t="s">
        <v>5</v>
      </c>
      <c r="K8341" t="s">
        <v>147</v>
      </c>
      <c r="L8341" t="s">
        <v>652</v>
      </c>
      <c r="M8341" t="s">
        <v>665</v>
      </c>
    </row>
    <row r="8342" spans="1:13">
      <c r="A8342" t="s">
        <v>851</v>
      </c>
      <c r="B8342" t="s">
        <v>687</v>
      </c>
      <c r="C8342" t="s">
        <v>687</v>
      </c>
      <c r="D8342" t="s">
        <v>3185</v>
      </c>
      <c r="E8342" t="s">
        <v>461</v>
      </c>
      <c r="F8342" t="s">
        <v>668</v>
      </c>
      <c r="G8342">
        <v>2030</v>
      </c>
      <c r="H8342" s="12">
        <v>116.69</v>
      </c>
      <c r="I8342" t="s">
        <v>3183</v>
      </c>
      <c r="J8342" t="s">
        <v>5</v>
      </c>
      <c r="K8342" t="s">
        <v>147</v>
      </c>
      <c r="L8342" t="s">
        <v>652</v>
      </c>
      <c r="M8342" t="s">
        <v>665</v>
      </c>
    </row>
    <row r="8343" spans="1:13">
      <c r="A8343" t="s">
        <v>851</v>
      </c>
      <c r="B8343" t="s">
        <v>687</v>
      </c>
      <c r="C8343" t="s">
        <v>687</v>
      </c>
      <c r="D8343" t="s">
        <v>3185</v>
      </c>
      <c r="E8343" t="s">
        <v>461</v>
      </c>
      <c r="F8343" t="s">
        <v>668</v>
      </c>
      <c r="G8343">
        <v>2035</v>
      </c>
      <c r="H8343" s="12">
        <v>5.83</v>
      </c>
      <c r="I8343" t="s">
        <v>3183</v>
      </c>
      <c r="J8343" t="s">
        <v>5</v>
      </c>
      <c r="K8343" t="s">
        <v>147</v>
      </c>
      <c r="L8343" t="s">
        <v>652</v>
      </c>
      <c r="M8343" t="s">
        <v>665</v>
      </c>
    </row>
    <row r="8344" spans="1:13">
      <c r="A8344" t="s">
        <v>851</v>
      </c>
      <c r="B8344" t="s">
        <v>687</v>
      </c>
      <c r="C8344" t="s">
        <v>687</v>
      </c>
      <c r="D8344" t="s">
        <v>3185</v>
      </c>
      <c r="E8344" t="s">
        <v>461</v>
      </c>
      <c r="F8344" t="s">
        <v>668</v>
      </c>
      <c r="G8344">
        <v>2040</v>
      </c>
      <c r="H8344" s="12">
        <v>1.89</v>
      </c>
      <c r="I8344" t="s">
        <v>3183</v>
      </c>
      <c r="J8344" t="s">
        <v>5</v>
      </c>
      <c r="K8344" t="s">
        <v>147</v>
      </c>
      <c r="L8344" t="s">
        <v>652</v>
      </c>
      <c r="M8344" t="s">
        <v>665</v>
      </c>
    </row>
    <row r="8345" spans="1:13">
      <c r="A8345" t="s">
        <v>851</v>
      </c>
      <c r="B8345" t="s">
        <v>687</v>
      </c>
      <c r="C8345" t="s">
        <v>687</v>
      </c>
      <c r="D8345" t="s">
        <v>3185</v>
      </c>
      <c r="E8345" t="s">
        <v>461</v>
      </c>
      <c r="F8345" t="s">
        <v>668</v>
      </c>
      <c r="G8345">
        <v>2045</v>
      </c>
      <c r="H8345" s="12">
        <v>0.66</v>
      </c>
      <c r="I8345" t="s">
        <v>3183</v>
      </c>
      <c r="J8345" t="s">
        <v>5</v>
      </c>
      <c r="K8345" t="s">
        <v>147</v>
      </c>
      <c r="L8345" t="s">
        <v>652</v>
      </c>
      <c r="M8345" t="s">
        <v>665</v>
      </c>
    </row>
    <row r="8346" spans="1:13">
      <c r="A8346" t="s">
        <v>851</v>
      </c>
      <c r="B8346" t="s">
        <v>687</v>
      </c>
      <c r="C8346" t="s">
        <v>687</v>
      </c>
      <c r="D8346" t="s">
        <v>3185</v>
      </c>
      <c r="E8346" t="s">
        <v>461</v>
      </c>
      <c r="F8346" t="s">
        <v>668</v>
      </c>
      <c r="G8346">
        <v>2050</v>
      </c>
      <c r="H8346" s="12">
        <v>0</v>
      </c>
      <c r="I8346" t="s">
        <v>3183</v>
      </c>
      <c r="J8346" t="s">
        <v>5</v>
      </c>
      <c r="K8346" t="s">
        <v>147</v>
      </c>
      <c r="L8346" t="s">
        <v>652</v>
      </c>
      <c r="M8346" t="s">
        <v>665</v>
      </c>
    </row>
    <row r="8347" spans="1:13">
      <c r="A8347" t="s">
        <v>851</v>
      </c>
      <c r="B8347" t="s">
        <v>686</v>
      </c>
      <c r="C8347" t="s">
        <v>686</v>
      </c>
      <c r="D8347" t="s">
        <v>3185</v>
      </c>
      <c r="E8347" t="s">
        <v>461</v>
      </c>
      <c r="F8347" t="s">
        <v>668</v>
      </c>
      <c r="G8347">
        <v>2010</v>
      </c>
      <c r="H8347" s="12">
        <v>1216.54</v>
      </c>
      <c r="I8347" t="s">
        <v>3183</v>
      </c>
      <c r="J8347" t="s">
        <v>6</v>
      </c>
      <c r="K8347" t="s">
        <v>147</v>
      </c>
      <c r="L8347" t="s">
        <v>652</v>
      </c>
      <c r="M8347" t="s">
        <v>666</v>
      </c>
    </row>
    <row r="8348" spans="1:13">
      <c r="A8348" t="s">
        <v>851</v>
      </c>
      <c r="B8348" t="s">
        <v>686</v>
      </c>
      <c r="C8348" t="s">
        <v>686</v>
      </c>
      <c r="D8348" t="s">
        <v>3185</v>
      </c>
      <c r="E8348" t="s">
        <v>461</v>
      </c>
      <c r="F8348" t="s">
        <v>668</v>
      </c>
      <c r="G8348">
        <v>2015</v>
      </c>
      <c r="H8348" s="12">
        <v>1622.97</v>
      </c>
      <c r="I8348" t="s">
        <v>3183</v>
      </c>
      <c r="J8348" t="s">
        <v>6</v>
      </c>
      <c r="K8348" t="s">
        <v>147</v>
      </c>
      <c r="L8348" t="s">
        <v>652</v>
      </c>
      <c r="M8348" t="s">
        <v>666</v>
      </c>
    </row>
    <row r="8349" spans="1:13">
      <c r="A8349" t="s">
        <v>851</v>
      </c>
      <c r="B8349" t="s">
        <v>686</v>
      </c>
      <c r="C8349" t="s">
        <v>686</v>
      </c>
      <c r="D8349" t="s">
        <v>3185</v>
      </c>
      <c r="E8349" t="s">
        <v>461</v>
      </c>
      <c r="F8349" t="s">
        <v>668</v>
      </c>
      <c r="G8349">
        <v>2020</v>
      </c>
      <c r="H8349" s="12">
        <v>1931.36</v>
      </c>
      <c r="I8349" t="s">
        <v>3183</v>
      </c>
      <c r="J8349" t="s">
        <v>6</v>
      </c>
      <c r="K8349" t="s">
        <v>147</v>
      </c>
      <c r="L8349" t="s">
        <v>652</v>
      </c>
      <c r="M8349" t="s">
        <v>666</v>
      </c>
    </row>
    <row r="8350" spans="1:13">
      <c r="A8350" t="s">
        <v>851</v>
      </c>
      <c r="B8350" t="s">
        <v>686</v>
      </c>
      <c r="C8350" t="s">
        <v>686</v>
      </c>
      <c r="D8350" t="s">
        <v>3185</v>
      </c>
      <c r="E8350" t="s">
        <v>461</v>
      </c>
      <c r="F8350" t="s">
        <v>668</v>
      </c>
      <c r="G8350">
        <v>2030</v>
      </c>
      <c r="H8350" s="12">
        <v>1952.71</v>
      </c>
      <c r="I8350" t="s">
        <v>3183</v>
      </c>
      <c r="J8350" t="s">
        <v>6</v>
      </c>
      <c r="K8350" t="s">
        <v>147</v>
      </c>
      <c r="L8350" t="s">
        <v>652</v>
      </c>
      <c r="M8350" t="s">
        <v>666</v>
      </c>
    </row>
    <row r="8351" spans="1:13">
      <c r="A8351" t="s">
        <v>851</v>
      </c>
      <c r="B8351" t="s">
        <v>686</v>
      </c>
      <c r="C8351" t="s">
        <v>686</v>
      </c>
      <c r="D8351" t="s">
        <v>3185</v>
      </c>
      <c r="E8351" t="s">
        <v>461</v>
      </c>
      <c r="F8351" t="s">
        <v>668</v>
      </c>
      <c r="G8351">
        <v>2035</v>
      </c>
      <c r="H8351" s="12">
        <v>1478.82</v>
      </c>
      <c r="I8351" t="s">
        <v>3183</v>
      </c>
      <c r="J8351" t="s">
        <v>6</v>
      </c>
      <c r="K8351" t="s">
        <v>147</v>
      </c>
      <c r="L8351" t="s">
        <v>652</v>
      </c>
      <c r="M8351" t="s">
        <v>666</v>
      </c>
    </row>
    <row r="8352" spans="1:13">
      <c r="A8352" t="s">
        <v>851</v>
      </c>
      <c r="B8352" t="s">
        <v>686</v>
      </c>
      <c r="C8352" t="s">
        <v>686</v>
      </c>
      <c r="D8352" t="s">
        <v>3185</v>
      </c>
      <c r="E8352" t="s">
        <v>461</v>
      </c>
      <c r="F8352" t="s">
        <v>668</v>
      </c>
      <c r="G8352">
        <v>2040</v>
      </c>
      <c r="H8352" s="12">
        <v>1237.8499999999999</v>
      </c>
      <c r="I8352" t="s">
        <v>3183</v>
      </c>
      <c r="J8352" t="s">
        <v>6</v>
      </c>
      <c r="K8352" t="s">
        <v>147</v>
      </c>
      <c r="L8352" t="s">
        <v>652</v>
      </c>
      <c r="M8352" t="s">
        <v>666</v>
      </c>
    </row>
    <row r="8353" spans="1:13">
      <c r="A8353" t="s">
        <v>851</v>
      </c>
      <c r="B8353" t="s">
        <v>686</v>
      </c>
      <c r="C8353" t="s">
        <v>686</v>
      </c>
      <c r="D8353" t="s">
        <v>3185</v>
      </c>
      <c r="E8353" t="s">
        <v>461</v>
      </c>
      <c r="F8353" t="s">
        <v>668</v>
      </c>
      <c r="G8353">
        <v>2045</v>
      </c>
      <c r="H8353" s="12">
        <v>1083.24</v>
      </c>
      <c r="I8353" t="s">
        <v>3183</v>
      </c>
      <c r="J8353" t="s">
        <v>6</v>
      </c>
      <c r="K8353" t="s">
        <v>147</v>
      </c>
      <c r="L8353" t="s">
        <v>652</v>
      </c>
      <c r="M8353" t="s">
        <v>666</v>
      </c>
    </row>
    <row r="8354" spans="1:13">
      <c r="A8354" t="s">
        <v>851</v>
      </c>
      <c r="B8354" t="s">
        <v>686</v>
      </c>
      <c r="C8354" t="s">
        <v>686</v>
      </c>
      <c r="D8354" t="s">
        <v>3185</v>
      </c>
      <c r="E8354" t="s">
        <v>461</v>
      </c>
      <c r="F8354" t="s">
        <v>668</v>
      </c>
      <c r="G8354">
        <v>2050</v>
      </c>
      <c r="H8354" s="12">
        <v>951.87</v>
      </c>
      <c r="I8354" t="s">
        <v>3183</v>
      </c>
      <c r="J8354" t="s">
        <v>6</v>
      </c>
      <c r="K8354" t="s">
        <v>147</v>
      </c>
      <c r="L8354" t="s">
        <v>652</v>
      </c>
      <c r="M8354" t="s">
        <v>666</v>
      </c>
    </row>
    <row r="8355" spans="1:13">
      <c r="A8355" t="s">
        <v>851</v>
      </c>
      <c r="B8355" t="s">
        <v>687</v>
      </c>
      <c r="C8355" t="s">
        <v>687</v>
      </c>
      <c r="D8355" t="s">
        <v>3185</v>
      </c>
      <c r="E8355" t="s">
        <v>461</v>
      </c>
      <c r="F8355" t="s">
        <v>668</v>
      </c>
      <c r="G8355">
        <v>2030</v>
      </c>
      <c r="H8355" s="12">
        <v>1513.97</v>
      </c>
      <c r="I8355" t="s">
        <v>3183</v>
      </c>
      <c r="J8355" t="s">
        <v>6</v>
      </c>
      <c r="K8355" t="s">
        <v>147</v>
      </c>
      <c r="L8355" t="s">
        <v>652</v>
      </c>
      <c r="M8355" t="s">
        <v>666</v>
      </c>
    </row>
    <row r="8356" spans="1:13">
      <c r="A8356" t="s">
        <v>851</v>
      </c>
      <c r="B8356" t="s">
        <v>687</v>
      </c>
      <c r="C8356" t="s">
        <v>687</v>
      </c>
      <c r="D8356" t="s">
        <v>3185</v>
      </c>
      <c r="E8356" t="s">
        <v>461</v>
      </c>
      <c r="F8356" t="s">
        <v>668</v>
      </c>
      <c r="G8356">
        <v>2035</v>
      </c>
      <c r="H8356" s="12">
        <v>749.36</v>
      </c>
      <c r="I8356" t="s">
        <v>3183</v>
      </c>
      <c r="J8356" t="s">
        <v>6</v>
      </c>
      <c r="K8356" t="s">
        <v>147</v>
      </c>
      <c r="L8356" t="s">
        <v>652</v>
      </c>
      <c r="M8356" t="s">
        <v>666</v>
      </c>
    </row>
    <row r="8357" spans="1:13">
      <c r="A8357" t="s">
        <v>851</v>
      </c>
      <c r="B8357" t="s">
        <v>687</v>
      </c>
      <c r="C8357" t="s">
        <v>687</v>
      </c>
      <c r="D8357" t="s">
        <v>3185</v>
      </c>
      <c r="E8357" t="s">
        <v>461</v>
      </c>
      <c r="F8357" t="s">
        <v>668</v>
      </c>
      <c r="G8357">
        <v>2040</v>
      </c>
      <c r="H8357" s="12">
        <v>529.86</v>
      </c>
      <c r="I8357" t="s">
        <v>3183</v>
      </c>
      <c r="J8357" t="s">
        <v>6</v>
      </c>
      <c r="K8357" t="s">
        <v>147</v>
      </c>
      <c r="L8357" t="s">
        <v>652</v>
      </c>
      <c r="M8357" t="s">
        <v>666</v>
      </c>
    </row>
    <row r="8358" spans="1:13">
      <c r="A8358" t="s">
        <v>851</v>
      </c>
      <c r="B8358" t="s">
        <v>687</v>
      </c>
      <c r="C8358" t="s">
        <v>687</v>
      </c>
      <c r="D8358" t="s">
        <v>3185</v>
      </c>
      <c r="E8358" t="s">
        <v>461</v>
      </c>
      <c r="F8358" t="s">
        <v>668</v>
      </c>
      <c r="G8358">
        <v>2045</v>
      </c>
      <c r="H8358" s="12">
        <v>488.61</v>
      </c>
      <c r="I8358" t="s">
        <v>3183</v>
      </c>
      <c r="J8358" t="s">
        <v>6</v>
      </c>
      <c r="K8358" t="s">
        <v>147</v>
      </c>
      <c r="L8358" t="s">
        <v>652</v>
      </c>
      <c r="M8358" t="s">
        <v>666</v>
      </c>
    </row>
    <row r="8359" spans="1:13">
      <c r="A8359" t="s">
        <v>851</v>
      </c>
      <c r="B8359" t="s">
        <v>687</v>
      </c>
      <c r="C8359" t="s">
        <v>687</v>
      </c>
      <c r="D8359" t="s">
        <v>3185</v>
      </c>
      <c r="E8359" t="s">
        <v>461</v>
      </c>
      <c r="F8359" t="s">
        <v>668</v>
      </c>
      <c r="G8359">
        <v>2050</v>
      </c>
      <c r="H8359" s="12">
        <v>423.58</v>
      </c>
      <c r="I8359" t="s">
        <v>3183</v>
      </c>
      <c r="J8359" t="s">
        <v>6</v>
      </c>
      <c r="K8359" t="s">
        <v>147</v>
      </c>
      <c r="L8359" t="s">
        <v>652</v>
      </c>
      <c r="M8359" t="s">
        <v>666</v>
      </c>
    </row>
    <row r="8360" spans="1:13">
      <c r="A8360" t="s">
        <v>851</v>
      </c>
      <c r="B8360" t="s">
        <v>686</v>
      </c>
      <c r="C8360" t="s">
        <v>686</v>
      </c>
      <c r="D8360" t="s">
        <v>3185</v>
      </c>
      <c r="E8360" t="s">
        <v>461</v>
      </c>
      <c r="F8360" t="s">
        <v>668</v>
      </c>
      <c r="G8360">
        <v>2010</v>
      </c>
      <c r="H8360" s="12">
        <v>101.01</v>
      </c>
      <c r="I8360" t="s">
        <v>3183</v>
      </c>
      <c r="J8360" t="s">
        <v>394</v>
      </c>
      <c r="K8360" t="s">
        <v>147</v>
      </c>
      <c r="L8360" t="s">
        <v>652</v>
      </c>
      <c r="M8360" t="s">
        <v>16</v>
      </c>
    </row>
    <row r="8361" spans="1:13">
      <c r="A8361" t="s">
        <v>851</v>
      </c>
      <c r="B8361" t="s">
        <v>686</v>
      </c>
      <c r="C8361" t="s">
        <v>686</v>
      </c>
      <c r="D8361" t="s">
        <v>3185</v>
      </c>
      <c r="E8361" t="s">
        <v>461</v>
      </c>
      <c r="F8361" t="s">
        <v>668</v>
      </c>
      <c r="G8361">
        <v>2015</v>
      </c>
      <c r="H8361" s="12">
        <v>78.319999999999993</v>
      </c>
      <c r="I8361" t="s">
        <v>3183</v>
      </c>
      <c r="J8361" t="s">
        <v>394</v>
      </c>
      <c r="K8361" t="s">
        <v>147</v>
      </c>
      <c r="L8361" t="s">
        <v>652</v>
      </c>
      <c r="M8361" t="s">
        <v>16</v>
      </c>
    </row>
    <row r="8362" spans="1:13">
      <c r="A8362" t="s">
        <v>851</v>
      </c>
      <c r="B8362" t="s">
        <v>686</v>
      </c>
      <c r="C8362" t="s">
        <v>686</v>
      </c>
      <c r="D8362" t="s">
        <v>3185</v>
      </c>
      <c r="E8362" t="s">
        <v>461</v>
      </c>
      <c r="F8362" t="s">
        <v>668</v>
      </c>
      <c r="G8362">
        <v>2020</v>
      </c>
      <c r="H8362" s="12">
        <v>88.51</v>
      </c>
      <c r="I8362" t="s">
        <v>3183</v>
      </c>
      <c r="J8362" t="s">
        <v>394</v>
      </c>
      <c r="K8362" t="s">
        <v>147</v>
      </c>
      <c r="L8362" t="s">
        <v>652</v>
      </c>
      <c r="M8362" t="s">
        <v>16</v>
      </c>
    </row>
    <row r="8363" spans="1:13">
      <c r="A8363" t="s">
        <v>851</v>
      </c>
      <c r="B8363" t="s">
        <v>686</v>
      </c>
      <c r="C8363" t="s">
        <v>686</v>
      </c>
      <c r="D8363" t="s">
        <v>3185</v>
      </c>
      <c r="E8363" t="s">
        <v>461</v>
      </c>
      <c r="F8363" t="s">
        <v>668</v>
      </c>
      <c r="G8363">
        <v>2030</v>
      </c>
      <c r="H8363" s="12">
        <v>21.54</v>
      </c>
      <c r="I8363" t="s">
        <v>3183</v>
      </c>
      <c r="J8363" t="s">
        <v>394</v>
      </c>
      <c r="K8363" t="s">
        <v>147</v>
      </c>
      <c r="L8363" t="s">
        <v>652</v>
      </c>
      <c r="M8363" t="s">
        <v>16</v>
      </c>
    </row>
    <row r="8364" spans="1:13">
      <c r="A8364" t="s">
        <v>851</v>
      </c>
      <c r="B8364" t="s">
        <v>686</v>
      </c>
      <c r="C8364" t="s">
        <v>686</v>
      </c>
      <c r="D8364" t="s">
        <v>3185</v>
      </c>
      <c r="E8364" t="s">
        <v>461</v>
      </c>
      <c r="F8364" t="s">
        <v>668</v>
      </c>
      <c r="G8364">
        <v>2035</v>
      </c>
      <c r="H8364" s="12">
        <v>15.31</v>
      </c>
      <c r="I8364" t="s">
        <v>3183</v>
      </c>
      <c r="J8364" t="s">
        <v>394</v>
      </c>
      <c r="K8364" t="s">
        <v>147</v>
      </c>
      <c r="L8364" t="s">
        <v>652</v>
      </c>
      <c r="M8364" t="s">
        <v>16</v>
      </c>
    </row>
    <row r="8365" spans="1:13">
      <c r="A8365" t="s">
        <v>851</v>
      </c>
      <c r="B8365" t="s">
        <v>686</v>
      </c>
      <c r="C8365" t="s">
        <v>686</v>
      </c>
      <c r="D8365" t="s">
        <v>3185</v>
      </c>
      <c r="E8365" t="s">
        <v>461</v>
      </c>
      <c r="F8365" t="s">
        <v>668</v>
      </c>
      <c r="G8365">
        <v>2040</v>
      </c>
      <c r="H8365" s="12">
        <v>7.85</v>
      </c>
      <c r="I8365" t="s">
        <v>3183</v>
      </c>
      <c r="J8365" t="s">
        <v>394</v>
      </c>
      <c r="K8365" t="s">
        <v>147</v>
      </c>
      <c r="L8365" t="s">
        <v>652</v>
      </c>
      <c r="M8365" t="s">
        <v>16</v>
      </c>
    </row>
    <row r="8366" spans="1:13">
      <c r="A8366" t="s">
        <v>851</v>
      </c>
      <c r="B8366" t="s">
        <v>686</v>
      </c>
      <c r="C8366" t="s">
        <v>686</v>
      </c>
      <c r="D8366" t="s">
        <v>3185</v>
      </c>
      <c r="E8366" t="s">
        <v>461</v>
      </c>
      <c r="F8366" t="s">
        <v>668</v>
      </c>
      <c r="G8366">
        <v>2045</v>
      </c>
      <c r="H8366" s="12">
        <v>4.92</v>
      </c>
      <c r="I8366" t="s">
        <v>3183</v>
      </c>
      <c r="J8366" t="s">
        <v>394</v>
      </c>
      <c r="K8366" t="s">
        <v>147</v>
      </c>
      <c r="L8366" t="s">
        <v>652</v>
      </c>
      <c r="M8366" t="s">
        <v>16</v>
      </c>
    </row>
    <row r="8367" spans="1:13">
      <c r="A8367" t="s">
        <v>851</v>
      </c>
      <c r="B8367" t="s">
        <v>686</v>
      </c>
      <c r="C8367" t="s">
        <v>686</v>
      </c>
      <c r="D8367" t="s">
        <v>3185</v>
      </c>
      <c r="E8367" t="s">
        <v>461</v>
      </c>
      <c r="F8367" t="s">
        <v>668</v>
      </c>
      <c r="G8367">
        <v>2050</v>
      </c>
      <c r="H8367" s="12">
        <v>3.24</v>
      </c>
      <c r="I8367" t="s">
        <v>3183</v>
      </c>
      <c r="J8367" t="s">
        <v>394</v>
      </c>
      <c r="K8367" t="s">
        <v>147</v>
      </c>
      <c r="L8367" t="s">
        <v>652</v>
      </c>
      <c r="M8367" t="s">
        <v>16</v>
      </c>
    </row>
    <row r="8368" spans="1:13">
      <c r="A8368" t="s">
        <v>851</v>
      </c>
      <c r="B8368" t="s">
        <v>687</v>
      </c>
      <c r="C8368" t="s">
        <v>687</v>
      </c>
      <c r="D8368" t="s">
        <v>3185</v>
      </c>
      <c r="E8368" t="s">
        <v>461</v>
      </c>
      <c r="F8368" t="s">
        <v>668</v>
      </c>
      <c r="G8368">
        <v>2030</v>
      </c>
      <c r="H8368" s="12">
        <v>10.130000000000001</v>
      </c>
      <c r="I8368" t="s">
        <v>3183</v>
      </c>
      <c r="J8368" t="s">
        <v>394</v>
      </c>
      <c r="K8368" t="s">
        <v>147</v>
      </c>
      <c r="L8368" t="s">
        <v>652</v>
      </c>
      <c r="M8368" t="s">
        <v>16</v>
      </c>
    </row>
    <row r="8369" spans="1:13">
      <c r="A8369" t="s">
        <v>851</v>
      </c>
      <c r="B8369" t="s">
        <v>687</v>
      </c>
      <c r="C8369" t="s">
        <v>687</v>
      </c>
      <c r="D8369" t="s">
        <v>3185</v>
      </c>
      <c r="E8369" t="s">
        <v>461</v>
      </c>
      <c r="F8369" t="s">
        <v>668</v>
      </c>
      <c r="G8369">
        <v>2035</v>
      </c>
      <c r="H8369" s="12">
        <v>4.22</v>
      </c>
      <c r="I8369" t="s">
        <v>3183</v>
      </c>
      <c r="J8369" t="s">
        <v>394</v>
      </c>
      <c r="K8369" t="s">
        <v>147</v>
      </c>
      <c r="L8369" t="s">
        <v>652</v>
      </c>
      <c r="M8369" t="s">
        <v>16</v>
      </c>
    </row>
    <row r="8370" spans="1:13">
      <c r="A8370" t="s">
        <v>851</v>
      </c>
      <c r="B8370" t="s">
        <v>687</v>
      </c>
      <c r="C8370" t="s">
        <v>687</v>
      </c>
      <c r="D8370" t="s">
        <v>3185</v>
      </c>
      <c r="E8370" t="s">
        <v>461</v>
      </c>
      <c r="F8370" t="s">
        <v>668</v>
      </c>
      <c r="G8370">
        <v>2040</v>
      </c>
      <c r="H8370" s="12">
        <v>1.72</v>
      </c>
      <c r="I8370" t="s">
        <v>3183</v>
      </c>
      <c r="J8370" t="s">
        <v>394</v>
      </c>
      <c r="K8370" t="s">
        <v>147</v>
      </c>
      <c r="L8370" t="s">
        <v>652</v>
      </c>
      <c r="M8370" t="s">
        <v>16</v>
      </c>
    </row>
    <row r="8371" spans="1:13">
      <c r="A8371" t="s">
        <v>851</v>
      </c>
      <c r="B8371" t="s">
        <v>687</v>
      </c>
      <c r="C8371" t="s">
        <v>687</v>
      </c>
      <c r="D8371" t="s">
        <v>3185</v>
      </c>
      <c r="E8371" t="s">
        <v>461</v>
      </c>
      <c r="F8371" t="s">
        <v>668</v>
      </c>
      <c r="G8371">
        <v>2045</v>
      </c>
      <c r="H8371" s="12">
        <v>1.27</v>
      </c>
      <c r="I8371" t="s">
        <v>3183</v>
      </c>
      <c r="J8371" t="s">
        <v>394</v>
      </c>
      <c r="K8371" t="s">
        <v>147</v>
      </c>
      <c r="L8371" t="s">
        <v>652</v>
      </c>
      <c r="M8371" t="s">
        <v>16</v>
      </c>
    </row>
    <row r="8372" spans="1:13">
      <c r="A8372" t="s">
        <v>851</v>
      </c>
      <c r="B8372" t="s">
        <v>687</v>
      </c>
      <c r="C8372" t="s">
        <v>687</v>
      </c>
      <c r="D8372" t="s">
        <v>3185</v>
      </c>
      <c r="E8372" t="s">
        <v>461</v>
      </c>
      <c r="F8372" t="s">
        <v>668</v>
      </c>
      <c r="G8372">
        <v>2050</v>
      </c>
      <c r="H8372" s="12">
        <v>0.77</v>
      </c>
      <c r="I8372" t="s">
        <v>3183</v>
      </c>
      <c r="J8372" t="s">
        <v>394</v>
      </c>
      <c r="K8372" t="s">
        <v>147</v>
      </c>
      <c r="L8372" t="s">
        <v>652</v>
      </c>
      <c r="M8372" t="s">
        <v>16</v>
      </c>
    </row>
    <row r="8373" spans="1:13">
      <c r="A8373" t="s">
        <v>851</v>
      </c>
      <c r="B8373" t="s">
        <v>686</v>
      </c>
      <c r="C8373" t="s">
        <v>686</v>
      </c>
      <c r="D8373" t="s">
        <v>3185</v>
      </c>
      <c r="E8373" t="s">
        <v>656</v>
      </c>
      <c r="F8373" t="s">
        <v>31</v>
      </c>
      <c r="G8373">
        <v>2010</v>
      </c>
      <c r="H8373" s="12">
        <v>2.81</v>
      </c>
      <c r="I8373" t="s">
        <v>3183</v>
      </c>
      <c r="J8373" t="s">
        <v>17</v>
      </c>
      <c r="K8373" t="s">
        <v>147</v>
      </c>
      <c r="L8373" t="s">
        <v>652</v>
      </c>
      <c r="M8373" t="s">
        <v>671</v>
      </c>
    </row>
    <row r="8374" spans="1:13">
      <c r="A8374" t="s">
        <v>851</v>
      </c>
      <c r="B8374" t="s">
        <v>686</v>
      </c>
      <c r="C8374" t="s">
        <v>686</v>
      </c>
      <c r="D8374" t="s">
        <v>3185</v>
      </c>
      <c r="E8374" t="s">
        <v>656</v>
      </c>
      <c r="F8374" t="s">
        <v>31</v>
      </c>
      <c r="G8374">
        <v>2015</v>
      </c>
      <c r="H8374" s="12">
        <v>29.03</v>
      </c>
      <c r="I8374" t="s">
        <v>3183</v>
      </c>
      <c r="J8374" t="s">
        <v>17</v>
      </c>
      <c r="K8374" t="s">
        <v>147</v>
      </c>
      <c r="L8374" t="s">
        <v>652</v>
      </c>
      <c r="M8374" t="s">
        <v>671</v>
      </c>
    </row>
    <row r="8375" spans="1:13">
      <c r="A8375" t="s">
        <v>851</v>
      </c>
      <c r="B8375" t="s">
        <v>686</v>
      </c>
      <c r="C8375" t="s">
        <v>686</v>
      </c>
      <c r="D8375" t="s">
        <v>3185</v>
      </c>
      <c r="E8375" t="s">
        <v>656</v>
      </c>
      <c r="F8375" t="s">
        <v>31</v>
      </c>
      <c r="G8375">
        <v>2020</v>
      </c>
      <c r="H8375" s="12">
        <v>103.88</v>
      </c>
      <c r="I8375" t="s">
        <v>3183</v>
      </c>
      <c r="J8375" t="s">
        <v>17</v>
      </c>
      <c r="K8375" t="s">
        <v>147</v>
      </c>
      <c r="L8375" t="s">
        <v>652</v>
      </c>
      <c r="M8375" t="s">
        <v>671</v>
      </c>
    </row>
    <row r="8376" spans="1:13">
      <c r="A8376" t="s">
        <v>851</v>
      </c>
      <c r="B8376" t="s">
        <v>686</v>
      </c>
      <c r="C8376" t="s">
        <v>686</v>
      </c>
      <c r="D8376" t="s">
        <v>3185</v>
      </c>
      <c r="E8376" t="s">
        <v>656</v>
      </c>
      <c r="F8376" t="s">
        <v>31</v>
      </c>
      <c r="G8376">
        <v>2030</v>
      </c>
      <c r="H8376" s="12">
        <v>481.46</v>
      </c>
      <c r="I8376" t="s">
        <v>3183</v>
      </c>
      <c r="J8376" t="s">
        <v>17</v>
      </c>
      <c r="K8376" t="s">
        <v>147</v>
      </c>
      <c r="L8376" t="s">
        <v>652</v>
      </c>
      <c r="M8376" t="s">
        <v>671</v>
      </c>
    </row>
    <row r="8377" spans="1:13">
      <c r="A8377" t="s">
        <v>851</v>
      </c>
      <c r="B8377" t="s">
        <v>686</v>
      </c>
      <c r="C8377" t="s">
        <v>686</v>
      </c>
      <c r="D8377" t="s">
        <v>3185</v>
      </c>
      <c r="E8377" t="s">
        <v>656</v>
      </c>
      <c r="F8377" t="s">
        <v>31</v>
      </c>
      <c r="G8377">
        <v>2035</v>
      </c>
      <c r="H8377" s="12">
        <v>760.21</v>
      </c>
      <c r="I8377" t="s">
        <v>3183</v>
      </c>
      <c r="J8377" t="s">
        <v>17</v>
      </c>
      <c r="K8377" t="s">
        <v>147</v>
      </c>
      <c r="L8377" t="s">
        <v>652</v>
      </c>
      <c r="M8377" t="s">
        <v>671</v>
      </c>
    </row>
    <row r="8378" spans="1:13">
      <c r="A8378" t="s">
        <v>851</v>
      </c>
      <c r="B8378" t="s">
        <v>686</v>
      </c>
      <c r="C8378" t="s">
        <v>686</v>
      </c>
      <c r="D8378" t="s">
        <v>3185</v>
      </c>
      <c r="E8378" t="s">
        <v>656</v>
      </c>
      <c r="F8378" t="s">
        <v>31</v>
      </c>
      <c r="G8378">
        <v>2040</v>
      </c>
      <c r="H8378" s="12">
        <v>1012.99</v>
      </c>
      <c r="I8378" t="s">
        <v>3183</v>
      </c>
      <c r="J8378" t="s">
        <v>17</v>
      </c>
      <c r="K8378" t="s">
        <v>147</v>
      </c>
      <c r="L8378" t="s">
        <v>652</v>
      </c>
      <c r="M8378" t="s">
        <v>671</v>
      </c>
    </row>
    <row r="8379" spans="1:13">
      <c r="A8379" t="s">
        <v>851</v>
      </c>
      <c r="B8379" t="s">
        <v>686</v>
      </c>
      <c r="C8379" t="s">
        <v>686</v>
      </c>
      <c r="D8379" t="s">
        <v>3185</v>
      </c>
      <c r="E8379" t="s">
        <v>656</v>
      </c>
      <c r="F8379" t="s">
        <v>31</v>
      </c>
      <c r="G8379">
        <v>2045</v>
      </c>
      <c r="H8379" s="12">
        <v>1216.0999999999999</v>
      </c>
      <c r="I8379" t="s">
        <v>3183</v>
      </c>
      <c r="J8379" t="s">
        <v>17</v>
      </c>
      <c r="K8379" t="s">
        <v>147</v>
      </c>
      <c r="L8379" t="s">
        <v>652</v>
      </c>
      <c r="M8379" t="s">
        <v>671</v>
      </c>
    </row>
    <row r="8380" spans="1:13">
      <c r="A8380" t="s">
        <v>851</v>
      </c>
      <c r="B8380" t="s">
        <v>686</v>
      </c>
      <c r="C8380" t="s">
        <v>686</v>
      </c>
      <c r="D8380" t="s">
        <v>3185</v>
      </c>
      <c r="E8380" t="s">
        <v>656</v>
      </c>
      <c r="F8380" t="s">
        <v>31</v>
      </c>
      <c r="G8380">
        <v>2050</v>
      </c>
      <c r="H8380" s="12">
        <v>1393.49</v>
      </c>
      <c r="I8380" t="s">
        <v>3183</v>
      </c>
      <c r="J8380" t="s">
        <v>17</v>
      </c>
      <c r="K8380" t="s">
        <v>147</v>
      </c>
      <c r="L8380" t="s">
        <v>652</v>
      </c>
      <c r="M8380" t="s">
        <v>671</v>
      </c>
    </row>
    <row r="8381" spans="1:13">
      <c r="A8381" t="s">
        <v>851</v>
      </c>
      <c r="B8381" t="s">
        <v>687</v>
      </c>
      <c r="C8381" t="s">
        <v>687</v>
      </c>
      <c r="D8381" t="s">
        <v>3185</v>
      </c>
      <c r="E8381" t="s">
        <v>656</v>
      </c>
      <c r="F8381" t="s">
        <v>31</v>
      </c>
      <c r="G8381">
        <v>2030</v>
      </c>
      <c r="H8381" s="12">
        <v>614.29</v>
      </c>
      <c r="I8381" t="s">
        <v>3183</v>
      </c>
      <c r="J8381" t="s">
        <v>17</v>
      </c>
      <c r="K8381" t="s">
        <v>147</v>
      </c>
      <c r="L8381" t="s">
        <v>652</v>
      </c>
      <c r="M8381" t="s">
        <v>671</v>
      </c>
    </row>
    <row r="8382" spans="1:13">
      <c r="A8382" t="s">
        <v>851</v>
      </c>
      <c r="B8382" t="s">
        <v>687</v>
      </c>
      <c r="C8382" t="s">
        <v>687</v>
      </c>
      <c r="D8382" t="s">
        <v>3185</v>
      </c>
      <c r="E8382" t="s">
        <v>656</v>
      </c>
      <c r="F8382" t="s">
        <v>31</v>
      </c>
      <c r="G8382">
        <v>2035</v>
      </c>
      <c r="H8382" s="12">
        <v>988.5</v>
      </c>
      <c r="I8382" t="s">
        <v>3183</v>
      </c>
      <c r="J8382" t="s">
        <v>17</v>
      </c>
      <c r="K8382" t="s">
        <v>147</v>
      </c>
      <c r="L8382" t="s">
        <v>652</v>
      </c>
      <c r="M8382" t="s">
        <v>671</v>
      </c>
    </row>
    <row r="8383" spans="1:13">
      <c r="A8383" t="s">
        <v>851</v>
      </c>
      <c r="B8383" t="s">
        <v>687</v>
      </c>
      <c r="C8383" t="s">
        <v>687</v>
      </c>
      <c r="D8383" t="s">
        <v>3185</v>
      </c>
      <c r="E8383" t="s">
        <v>656</v>
      </c>
      <c r="F8383" t="s">
        <v>31</v>
      </c>
      <c r="G8383">
        <v>2040</v>
      </c>
      <c r="H8383" s="12">
        <v>1260.94</v>
      </c>
      <c r="I8383" t="s">
        <v>3183</v>
      </c>
      <c r="J8383" t="s">
        <v>17</v>
      </c>
      <c r="K8383" t="s">
        <v>147</v>
      </c>
      <c r="L8383" t="s">
        <v>652</v>
      </c>
      <c r="M8383" t="s">
        <v>671</v>
      </c>
    </row>
    <row r="8384" spans="1:13">
      <c r="A8384" t="s">
        <v>851</v>
      </c>
      <c r="B8384" t="s">
        <v>687</v>
      </c>
      <c r="C8384" t="s">
        <v>687</v>
      </c>
      <c r="D8384" t="s">
        <v>3185</v>
      </c>
      <c r="E8384" t="s">
        <v>656</v>
      </c>
      <c r="F8384" t="s">
        <v>31</v>
      </c>
      <c r="G8384">
        <v>2045</v>
      </c>
      <c r="H8384" s="12">
        <v>1535.48</v>
      </c>
      <c r="I8384" t="s">
        <v>3183</v>
      </c>
      <c r="J8384" t="s">
        <v>17</v>
      </c>
      <c r="K8384" t="s">
        <v>147</v>
      </c>
      <c r="L8384" t="s">
        <v>652</v>
      </c>
      <c r="M8384" t="s">
        <v>671</v>
      </c>
    </row>
    <row r="8385" spans="1:13">
      <c r="A8385" t="s">
        <v>851</v>
      </c>
      <c r="B8385" t="s">
        <v>687</v>
      </c>
      <c r="C8385" t="s">
        <v>687</v>
      </c>
      <c r="D8385" t="s">
        <v>3185</v>
      </c>
      <c r="E8385" t="s">
        <v>656</v>
      </c>
      <c r="F8385" t="s">
        <v>31</v>
      </c>
      <c r="G8385">
        <v>2050</v>
      </c>
      <c r="H8385" s="12">
        <v>1779.08</v>
      </c>
      <c r="I8385" t="s">
        <v>3183</v>
      </c>
      <c r="J8385" t="s">
        <v>17</v>
      </c>
      <c r="K8385" t="s">
        <v>147</v>
      </c>
      <c r="L8385" t="s">
        <v>652</v>
      </c>
      <c r="M8385" t="s">
        <v>671</v>
      </c>
    </row>
    <row r="8386" spans="1:13">
      <c r="A8386" t="s">
        <v>851</v>
      </c>
      <c r="B8386" t="s">
        <v>686</v>
      </c>
      <c r="C8386" t="s">
        <v>686</v>
      </c>
      <c r="D8386" t="s">
        <v>3185</v>
      </c>
      <c r="E8386" t="s">
        <v>656</v>
      </c>
      <c r="F8386" t="s">
        <v>31</v>
      </c>
      <c r="G8386">
        <v>2010</v>
      </c>
      <c r="H8386" s="12">
        <v>43.62</v>
      </c>
      <c r="I8386" t="s">
        <v>3183</v>
      </c>
      <c r="J8386" t="s">
        <v>18</v>
      </c>
      <c r="K8386" t="s">
        <v>147</v>
      </c>
      <c r="L8386" t="s">
        <v>652</v>
      </c>
      <c r="M8386" t="s">
        <v>18</v>
      </c>
    </row>
    <row r="8387" spans="1:13">
      <c r="A8387" t="s">
        <v>851</v>
      </c>
      <c r="B8387" t="s">
        <v>686</v>
      </c>
      <c r="C8387" t="s">
        <v>686</v>
      </c>
      <c r="D8387" t="s">
        <v>3185</v>
      </c>
      <c r="E8387" t="s">
        <v>646</v>
      </c>
      <c r="F8387" t="s">
        <v>40</v>
      </c>
      <c r="G8387">
        <v>2010</v>
      </c>
      <c r="H8387" s="12">
        <v>8652</v>
      </c>
      <c r="I8387" t="s">
        <v>3183</v>
      </c>
      <c r="J8387" t="s">
        <v>6</v>
      </c>
      <c r="K8387" t="s">
        <v>658</v>
      </c>
      <c r="L8387" t="s">
        <v>652</v>
      </c>
      <c r="M8387" t="s">
        <v>659</v>
      </c>
    </row>
    <row r="8388" spans="1:13">
      <c r="A8388" t="s">
        <v>851</v>
      </c>
      <c r="B8388" t="s">
        <v>686</v>
      </c>
      <c r="C8388" t="s">
        <v>686</v>
      </c>
      <c r="D8388" t="s">
        <v>3185</v>
      </c>
      <c r="E8388" t="s">
        <v>646</v>
      </c>
      <c r="F8388" t="s">
        <v>40</v>
      </c>
      <c r="G8388">
        <v>2015</v>
      </c>
      <c r="H8388" s="12">
        <v>8737</v>
      </c>
      <c r="I8388" t="s">
        <v>3183</v>
      </c>
      <c r="J8388" t="s">
        <v>6</v>
      </c>
      <c r="K8388" t="s">
        <v>658</v>
      </c>
      <c r="L8388" t="s">
        <v>652</v>
      </c>
      <c r="M8388" t="s">
        <v>659</v>
      </c>
    </row>
    <row r="8389" spans="1:13">
      <c r="A8389" t="s">
        <v>851</v>
      </c>
      <c r="B8389" t="s">
        <v>686</v>
      </c>
      <c r="C8389" t="s">
        <v>686</v>
      </c>
      <c r="D8389" t="s">
        <v>3185</v>
      </c>
      <c r="E8389" t="s">
        <v>646</v>
      </c>
      <c r="F8389" t="s">
        <v>40</v>
      </c>
      <c r="G8389">
        <v>2020</v>
      </c>
      <c r="H8389" s="12">
        <v>8918</v>
      </c>
      <c r="I8389" t="s">
        <v>3183</v>
      </c>
      <c r="J8389" t="s">
        <v>6</v>
      </c>
      <c r="K8389" t="s">
        <v>658</v>
      </c>
      <c r="L8389" t="s">
        <v>652</v>
      </c>
      <c r="M8389" t="s">
        <v>659</v>
      </c>
    </row>
    <row r="8390" spans="1:13">
      <c r="A8390" t="s">
        <v>851</v>
      </c>
      <c r="B8390" t="s">
        <v>686</v>
      </c>
      <c r="C8390" t="s">
        <v>686</v>
      </c>
      <c r="D8390" t="s">
        <v>3185</v>
      </c>
      <c r="E8390" t="s">
        <v>646</v>
      </c>
      <c r="F8390" t="s">
        <v>40</v>
      </c>
      <c r="G8390">
        <v>2030</v>
      </c>
      <c r="H8390" s="12">
        <v>8152</v>
      </c>
      <c r="I8390" t="s">
        <v>3183</v>
      </c>
      <c r="J8390" t="s">
        <v>6</v>
      </c>
      <c r="K8390" t="s">
        <v>658</v>
      </c>
      <c r="L8390" t="s">
        <v>652</v>
      </c>
      <c r="M8390" t="s">
        <v>659</v>
      </c>
    </row>
    <row r="8391" spans="1:13">
      <c r="A8391" t="s">
        <v>851</v>
      </c>
      <c r="B8391" t="s">
        <v>686</v>
      </c>
      <c r="C8391" t="s">
        <v>686</v>
      </c>
      <c r="D8391" t="s">
        <v>3185</v>
      </c>
      <c r="E8391" t="s">
        <v>646</v>
      </c>
      <c r="F8391" t="s">
        <v>40</v>
      </c>
      <c r="G8391">
        <v>2035</v>
      </c>
      <c r="H8391" s="12">
        <v>7695</v>
      </c>
      <c r="I8391" t="s">
        <v>3183</v>
      </c>
      <c r="J8391" t="s">
        <v>6</v>
      </c>
      <c r="K8391" t="s">
        <v>658</v>
      </c>
      <c r="L8391" t="s">
        <v>652</v>
      </c>
      <c r="M8391" t="s">
        <v>659</v>
      </c>
    </row>
    <row r="8392" spans="1:13">
      <c r="A8392" t="s">
        <v>851</v>
      </c>
      <c r="B8392" t="s">
        <v>686</v>
      </c>
      <c r="C8392" t="s">
        <v>686</v>
      </c>
      <c r="D8392" t="s">
        <v>3185</v>
      </c>
      <c r="E8392" t="s">
        <v>646</v>
      </c>
      <c r="F8392" t="s">
        <v>40</v>
      </c>
      <c r="G8392">
        <v>2040</v>
      </c>
      <c r="H8392" s="12">
        <v>7286</v>
      </c>
      <c r="I8392" t="s">
        <v>3183</v>
      </c>
      <c r="J8392" t="s">
        <v>6</v>
      </c>
      <c r="K8392" t="s">
        <v>658</v>
      </c>
      <c r="L8392" t="s">
        <v>652</v>
      </c>
      <c r="M8392" t="s">
        <v>659</v>
      </c>
    </row>
    <row r="8393" spans="1:13">
      <c r="A8393" t="s">
        <v>851</v>
      </c>
      <c r="B8393" t="s">
        <v>686</v>
      </c>
      <c r="C8393" t="s">
        <v>686</v>
      </c>
      <c r="D8393" t="s">
        <v>3185</v>
      </c>
      <c r="E8393" t="s">
        <v>646</v>
      </c>
      <c r="F8393" t="s">
        <v>40</v>
      </c>
      <c r="G8393">
        <v>2045</v>
      </c>
      <c r="H8393" s="12">
        <v>6815</v>
      </c>
      <c r="I8393" t="s">
        <v>3183</v>
      </c>
      <c r="J8393" t="s">
        <v>6</v>
      </c>
      <c r="K8393" t="s">
        <v>658</v>
      </c>
      <c r="L8393" t="s">
        <v>652</v>
      </c>
      <c r="M8393" t="s">
        <v>659</v>
      </c>
    </row>
    <row r="8394" spans="1:13">
      <c r="A8394" t="s">
        <v>851</v>
      </c>
      <c r="B8394" t="s">
        <v>686</v>
      </c>
      <c r="C8394" t="s">
        <v>686</v>
      </c>
      <c r="D8394" t="s">
        <v>3185</v>
      </c>
      <c r="E8394" t="s">
        <v>646</v>
      </c>
      <c r="F8394" t="s">
        <v>40</v>
      </c>
      <c r="G8394">
        <v>2050</v>
      </c>
      <c r="H8394" s="12">
        <v>6311</v>
      </c>
      <c r="I8394" t="s">
        <v>3183</v>
      </c>
      <c r="J8394" t="s">
        <v>6</v>
      </c>
      <c r="K8394" t="s">
        <v>658</v>
      </c>
      <c r="L8394" t="s">
        <v>652</v>
      </c>
      <c r="M8394" t="s">
        <v>659</v>
      </c>
    </row>
    <row r="8395" spans="1:13">
      <c r="A8395" t="s">
        <v>851</v>
      </c>
      <c r="B8395" t="s">
        <v>687</v>
      </c>
      <c r="C8395" t="s">
        <v>687</v>
      </c>
      <c r="D8395" t="s">
        <v>3185</v>
      </c>
      <c r="E8395" t="s">
        <v>646</v>
      </c>
      <c r="F8395" t="s">
        <v>40</v>
      </c>
      <c r="G8395">
        <v>2030</v>
      </c>
      <c r="H8395" s="12">
        <v>6594</v>
      </c>
      <c r="I8395" t="s">
        <v>3183</v>
      </c>
      <c r="J8395" t="s">
        <v>6</v>
      </c>
      <c r="K8395" t="s">
        <v>658</v>
      </c>
      <c r="L8395" t="s">
        <v>652</v>
      </c>
      <c r="M8395" t="s">
        <v>659</v>
      </c>
    </row>
    <row r="8396" spans="1:13">
      <c r="A8396" t="s">
        <v>851</v>
      </c>
      <c r="B8396" t="s">
        <v>687</v>
      </c>
      <c r="C8396" t="s">
        <v>687</v>
      </c>
      <c r="D8396" t="s">
        <v>3185</v>
      </c>
      <c r="E8396" t="s">
        <v>646</v>
      </c>
      <c r="F8396" t="s">
        <v>40</v>
      </c>
      <c r="G8396">
        <v>2035</v>
      </c>
      <c r="H8396" s="12">
        <v>4560</v>
      </c>
      <c r="I8396" t="s">
        <v>3183</v>
      </c>
      <c r="J8396" t="s">
        <v>6</v>
      </c>
      <c r="K8396" t="s">
        <v>658</v>
      </c>
      <c r="L8396" t="s">
        <v>652</v>
      </c>
      <c r="M8396" t="s">
        <v>659</v>
      </c>
    </row>
    <row r="8397" spans="1:13">
      <c r="A8397" t="s">
        <v>851</v>
      </c>
      <c r="B8397" t="s">
        <v>687</v>
      </c>
      <c r="C8397" t="s">
        <v>687</v>
      </c>
      <c r="D8397" t="s">
        <v>3185</v>
      </c>
      <c r="E8397" t="s">
        <v>646</v>
      </c>
      <c r="F8397" t="s">
        <v>40</v>
      </c>
      <c r="G8397">
        <v>2040</v>
      </c>
      <c r="H8397" s="12">
        <v>2843</v>
      </c>
      <c r="I8397" t="s">
        <v>3183</v>
      </c>
      <c r="J8397" t="s">
        <v>6</v>
      </c>
      <c r="K8397" t="s">
        <v>658</v>
      </c>
      <c r="L8397" t="s">
        <v>652</v>
      </c>
      <c r="M8397" t="s">
        <v>659</v>
      </c>
    </row>
    <row r="8398" spans="1:13">
      <c r="A8398" t="s">
        <v>851</v>
      </c>
      <c r="B8398" t="s">
        <v>687</v>
      </c>
      <c r="C8398" t="s">
        <v>687</v>
      </c>
      <c r="D8398" t="s">
        <v>3185</v>
      </c>
      <c r="E8398" t="s">
        <v>646</v>
      </c>
      <c r="F8398" t="s">
        <v>40</v>
      </c>
      <c r="G8398">
        <v>2045</v>
      </c>
      <c r="H8398" s="12">
        <v>1401</v>
      </c>
      <c r="I8398" t="s">
        <v>3183</v>
      </c>
      <c r="J8398" t="s">
        <v>6</v>
      </c>
      <c r="K8398" t="s">
        <v>658</v>
      </c>
      <c r="L8398" t="s">
        <v>652</v>
      </c>
      <c r="M8398" t="s">
        <v>659</v>
      </c>
    </row>
    <row r="8399" spans="1:13">
      <c r="A8399" t="s">
        <v>851</v>
      </c>
      <c r="B8399" t="s">
        <v>686</v>
      </c>
      <c r="C8399" t="s">
        <v>686</v>
      </c>
      <c r="D8399" t="s">
        <v>3185</v>
      </c>
      <c r="E8399" t="s">
        <v>461</v>
      </c>
      <c r="F8399" t="s">
        <v>668</v>
      </c>
      <c r="G8399">
        <v>2010</v>
      </c>
      <c r="H8399" s="12">
        <v>3.35</v>
      </c>
      <c r="I8399" t="s">
        <v>3183</v>
      </c>
      <c r="J8399" t="s">
        <v>17</v>
      </c>
      <c r="K8399" t="s">
        <v>147</v>
      </c>
      <c r="L8399" t="s">
        <v>652</v>
      </c>
      <c r="M8399" t="s">
        <v>671</v>
      </c>
    </row>
    <row r="8400" spans="1:13">
      <c r="A8400" t="s">
        <v>851</v>
      </c>
      <c r="B8400" t="s">
        <v>686</v>
      </c>
      <c r="C8400" t="s">
        <v>686</v>
      </c>
      <c r="D8400" t="s">
        <v>3185</v>
      </c>
      <c r="E8400" t="s">
        <v>461</v>
      </c>
      <c r="F8400" t="s">
        <v>668</v>
      </c>
      <c r="G8400">
        <v>2015</v>
      </c>
      <c r="H8400" s="12">
        <v>35.229999999999997</v>
      </c>
      <c r="I8400" t="s">
        <v>3183</v>
      </c>
      <c r="J8400" t="s">
        <v>17</v>
      </c>
      <c r="K8400" t="s">
        <v>147</v>
      </c>
      <c r="L8400" t="s">
        <v>652</v>
      </c>
      <c r="M8400" t="s">
        <v>671</v>
      </c>
    </row>
    <row r="8401" spans="1:13">
      <c r="A8401" t="s">
        <v>851</v>
      </c>
      <c r="B8401" t="s">
        <v>686</v>
      </c>
      <c r="C8401" t="s">
        <v>686</v>
      </c>
      <c r="D8401" t="s">
        <v>3185</v>
      </c>
      <c r="E8401" t="s">
        <v>461</v>
      </c>
      <c r="F8401" t="s">
        <v>668</v>
      </c>
      <c r="G8401">
        <v>2020</v>
      </c>
      <c r="H8401" s="12">
        <v>129.86000000000001</v>
      </c>
      <c r="I8401" t="s">
        <v>3183</v>
      </c>
      <c r="J8401" t="s">
        <v>17</v>
      </c>
      <c r="K8401" t="s">
        <v>147</v>
      </c>
      <c r="L8401" t="s">
        <v>652</v>
      </c>
      <c r="M8401" t="s">
        <v>671</v>
      </c>
    </row>
    <row r="8402" spans="1:13">
      <c r="A8402" t="s">
        <v>851</v>
      </c>
      <c r="B8402" t="s">
        <v>686</v>
      </c>
      <c r="C8402" t="s">
        <v>686</v>
      </c>
      <c r="D8402" t="s">
        <v>3185</v>
      </c>
      <c r="E8402" t="s">
        <v>461</v>
      </c>
      <c r="F8402" t="s">
        <v>668</v>
      </c>
      <c r="G8402">
        <v>2030</v>
      </c>
      <c r="H8402" s="12">
        <v>708.14</v>
      </c>
      <c r="I8402" t="s">
        <v>3183</v>
      </c>
      <c r="J8402" t="s">
        <v>17</v>
      </c>
      <c r="K8402" t="s">
        <v>147</v>
      </c>
      <c r="L8402" t="s">
        <v>652</v>
      </c>
      <c r="M8402" t="s">
        <v>671</v>
      </c>
    </row>
    <row r="8403" spans="1:13">
      <c r="A8403" t="s">
        <v>851</v>
      </c>
      <c r="B8403" t="s">
        <v>686</v>
      </c>
      <c r="C8403" t="s">
        <v>686</v>
      </c>
      <c r="D8403" t="s">
        <v>3185</v>
      </c>
      <c r="E8403" t="s">
        <v>461</v>
      </c>
      <c r="F8403" t="s">
        <v>668</v>
      </c>
      <c r="G8403">
        <v>2035</v>
      </c>
      <c r="H8403" s="12">
        <v>1208.79</v>
      </c>
      <c r="I8403" t="s">
        <v>3183</v>
      </c>
      <c r="J8403" t="s">
        <v>17</v>
      </c>
      <c r="K8403" t="s">
        <v>147</v>
      </c>
      <c r="L8403" t="s">
        <v>652</v>
      </c>
      <c r="M8403" t="s">
        <v>671</v>
      </c>
    </row>
    <row r="8404" spans="1:13">
      <c r="A8404" t="s">
        <v>851</v>
      </c>
      <c r="B8404" t="s">
        <v>686</v>
      </c>
      <c r="C8404" t="s">
        <v>686</v>
      </c>
      <c r="D8404" t="s">
        <v>3185</v>
      </c>
      <c r="E8404" t="s">
        <v>461</v>
      </c>
      <c r="F8404" t="s">
        <v>668</v>
      </c>
      <c r="G8404">
        <v>2040</v>
      </c>
      <c r="H8404" s="12">
        <v>1710.02</v>
      </c>
      <c r="I8404" t="s">
        <v>3183</v>
      </c>
      <c r="J8404" t="s">
        <v>17</v>
      </c>
      <c r="K8404" t="s">
        <v>147</v>
      </c>
      <c r="L8404" t="s">
        <v>652</v>
      </c>
      <c r="M8404" t="s">
        <v>671</v>
      </c>
    </row>
    <row r="8405" spans="1:13">
      <c r="A8405" t="s">
        <v>851</v>
      </c>
      <c r="B8405" t="s">
        <v>686</v>
      </c>
      <c r="C8405" t="s">
        <v>686</v>
      </c>
      <c r="D8405" t="s">
        <v>3185</v>
      </c>
      <c r="E8405" t="s">
        <v>461</v>
      </c>
      <c r="F8405" t="s">
        <v>668</v>
      </c>
      <c r="G8405">
        <v>2045</v>
      </c>
      <c r="H8405" s="12">
        <v>2153</v>
      </c>
      <c r="I8405" t="s">
        <v>3183</v>
      </c>
      <c r="J8405" t="s">
        <v>17</v>
      </c>
      <c r="K8405" t="s">
        <v>147</v>
      </c>
      <c r="L8405" t="s">
        <v>652</v>
      </c>
      <c r="M8405" t="s">
        <v>671</v>
      </c>
    </row>
    <row r="8406" spans="1:13">
      <c r="A8406" t="s">
        <v>851</v>
      </c>
      <c r="B8406" t="s">
        <v>686</v>
      </c>
      <c r="C8406" t="s">
        <v>686</v>
      </c>
      <c r="D8406" t="s">
        <v>3185</v>
      </c>
      <c r="E8406" t="s">
        <v>461</v>
      </c>
      <c r="F8406" t="s">
        <v>668</v>
      </c>
      <c r="G8406">
        <v>2050</v>
      </c>
      <c r="H8406" s="12">
        <v>2556.33</v>
      </c>
      <c r="I8406" t="s">
        <v>3183</v>
      </c>
      <c r="J8406" t="s">
        <v>17</v>
      </c>
      <c r="K8406" t="s">
        <v>147</v>
      </c>
      <c r="L8406" t="s">
        <v>652</v>
      </c>
      <c r="M8406" t="s">
        <v>671</v>
      </c>
    </row>
    <row r="8407" spans="1:13">
      <c r="A8407" t="s">
        <v>851</v>
      </c>
      <c r="B8407" t="s">
        <v>687</v>
      </c>
      <c r="C8407" t="s">
        <v>687</v>
      </c>
      <c r="D8407" t="s">
        <v>3185</v>
      </c>
      <c r="E8407" t="s">
        <v>461</v>
      </c>
      <c r="F8407" t="s">
        <v>668</v>
      </c>
      <c r="G8407">
        <v>2030</v>
      </c>
      <c r="H8407" s="12">
        <v>947</v>
      </c>
      <c r="I8407" t="s">
        <v>3183</v>
      </c>
      <c r="J8407" t="s">
        <v>17</v>
      </c>
      <c r="K8407" t="s">
        <v>147</v>
      </c>
      <c r="L8407" t="s">
        <v>652</v>
      </c>
      <c r="M8407" t="s">
        <v>671</v>
      </c>
    </row>
    <row r="8408" spans="1:13">
      <c r="A8408" t="s">
        <v>851</v>
      </c>
      <c r="B8408" t="s">
        <v>687</v>
      </c>
      <c r="C8408" t="s">
        <v>687</v>
      </c>
      <c r="D8408" t="s">
        <v>3185</v>
      </c>
      <c r="E8408" t="s">
        <v>461</v>
      </c>
      <c r="F8408" t="s">
        <v>668</v>
      </c>
      <c r="G8408">
        <v>2035</v>
      </c>
      <c r="H8408" s="12">
        <v>1626.84</v>
      </c>
      <c r="I8408" t="s">
        <v>3183</v>
      </c>
      <c r="J8408" t="s">
        <v>17</v>
      </c>
      <c r="K8408" t="s">
        <v>147</v>
      </c>
      <c r="L8408" t="s">
        <v>652</v>
      </c>
      <c r="M8408" t="s">
        <v>671</v>
      </c>
    </row>
    <row r="8409" spans="1:13">
      <c r="A8409" t="s">
        <v>851</v>
      </c>
      <c r="B8409" t="s">
        <v>687</v>
      </c>
      <c r="C8409" t="s">
        <v>687</v>
      </c>
      <c r="D8409" t="s">
        <v>3185</v>
      </c>
      <c r="E8409" t="s">
        <v>461</v>
      </c>
      <c r="F8409" t="s">
        <v>668</v>
      </c>
      <c r="G8409">
        <v>2040</v>
      </c>
      <c r="H8409" s="12">
        <v>2173.98</v>
      </c>
      <c r="I8409" t="s">
        <v>3183</v>
      </c>
      <c r="J8409" t="s">
        <v>17</v>
      </c>
      <c r="K8409" t="s">
        <v>147</v>
      </c>
      <c r="L8409" t="s">
        <v>652</v>
      </c>
      <c r="M8409" t="s">
        <v>671</v>
      </c>
    </row>
    <row r="8410" spans="1:13">
      <c r="A8410" t="s">
        <v>851</v>
      </c>
      <c r="B8410" t="s">
        <v>687</v>
      </c>
      <c r="C8410" t="s">
        <v>687</v>
      </c>
      <c r="D8410" t="s">
        <v>3185</v>
      </c>
      <c r="E8410" t="s">
        <v>461</v>
      </c>
      <c r="F8410" t="s">
        <v>668</v>
      </c>
      <c r="G8410">
        <v>2045</v>
      </c>
      <c r="H8410" s="12">
        <v>2749.89</v>
      </c>
      <c r="I8410" t="s">
        <v>3183</v>
      </c>
      <c r="J8410" t="s">
        <v>17</v>
      </c>
      <c r="K8410" t="s">
        <v>147</v>
      </c>
      <c r="L8410" t="s">
        <v>652</v>
      </c>
      <c r="M8410" t="s">
        <v>671</v>
      </c>
    </row>
    <row r="8411" spans="1:13">
      <c r="A8411" t="s">
        <v>851</v>
      </c>
      <c r="B8411" t="s">
        <v>687</v>
      </c>
      <c r="C8411" t="s">
        <v>687</v>
      </c>
      <c r="D8411" t="s">
        <v>3185</v>
      </c>
      <c r="E8411" t="s">
        <v>461</v>
      </c>
      <c r="F8411" t="s">
        <v>668</v>
      </c>
      <c r="G8411">
        <v>2050</v>
      </c>
      <c r="H8411" s="12">
        <v>3285.52</v>
      </c>
      <c r="I8411" t="s">
        <v>3183</v>
      </c>
      <c r="J8411" t="s">
        <v>17</v>
      </c>
      <c r="K8411" t="s">
        <v>147</v>
      </c>
      <c r="L8411" t="s">
        <v>652</v>
      </c>
      <c r="M8411" t="s">
        <v>671</v>
      </c>
    </row>
    <row r="8412" spans="1:13">
      <c r="A8412" t="s">
        <v>851</v>
      </c>
      <c r="B8412" t="s">
        <v>686</v>
      </c>
      <c r="C8412" t="s">
        <v>686</v>
      </c>
      <c r="D8412" t="s">
        <v>3185</v>
      </c>
      <c r="E8412" t="s">
        <v>461</v>
      </c>
      <c r="F8412" t="s">
        <v>668</v>
      </c>
      <c r="G8412">
        <v>2010</v>
      </c>
      <c r="H8412" s="12">
        <v>105.11</v>
      </c>
      <c r="I8412" t="s">
        <v>3183</v>
      </c>
      <c r="J8412" t="s">
        <v>18</v>
      </c>
      <c r="K8412" t="s">
        <v>147</v>
      </c>
      <c r="L8412" t="s">
        <v>652</v>
      </c>
      <c r="M8412" t="s">
        <v>18</v>
      </c>
    </row>
    <row r="8413" spans="1:13">
      <c r="A8413" t="s">
        <v>851</v>
      </c>
      <c r="B8413" t="s">
        <v>686</v>
      </c>
      <c r="C8413" t="s">
        <v>686</v>
      </c>
      <c r="D8413" t="s">
        <v>3185</v>
      </c>
      <c r="E8413" t="s">
        <v>461</v>
      </c>
      <c r="F8413" t="s">
        <v>668</v>
      </c>
      <c r="G8413">
        <v>2015</v>
      </c>
      <c r="H8413" s="12">
        <v>228.7</v>
      </c>
      <c r="I8413" t="s">
        <v>3183</v>
      </c>
      <c r="J8413" t="s">
        <v>18</v>
      </c>
      <c r="K8413" t="s">
        <v>147</v>
      </c>
      <c r="L8413" t="s">
        <v>652</v>
      </c>
      <c r="M8413" t="s">
        <v>18</v>
      </c>
    </row>
    <row r="8414" spans="1:13">
      <c r="A8414" t="s">
        <v>851</v>
      </c>
      <c r="B8414" t="s">
        <v>686</v>
      </c>
      <c r="C8414" t="s">
        <v>686</v>
      </c>
      <c r="D8414" t="s">
        <v>3185</v>
      </c>
      <c r="E8414" t="s">
        <v>461</v>
      </c>
      <c r="F8414" t="s">
        <v>668</v>
      </c>
      <c r="G8414">
        <v>2020</v>
      </c>
      <c r="H8414" s="12">
        <v>397.16</v>
      </c>
      <c r="I8414" t="s">
        <v>3183</v>
      </c>
      <c r="J8414" t="s">
        <v>18</v>
      </c>
      <c r="K8414" t="s">
        <v>147</v>
      </c>
      <c r="L8414" t="s">
        <v>652</v>
      </c>
      <c r="M8414" t="s">
        <v>18</v>
      </c>
    </row>
    <row r="8415" spans="1:13">
      <c r="A8415" t="s">
        <v>851</v>
      </c>
      <c r="B8415" t="s">
        <v>686</v>
      </c>
      <c r="C8415" t="s">
        <v>686</v>
      </c>
      <c r="D8415" t="s">
        <v>3185</v>
      </c>
      <c r="E8415" t="s">
        <v>461</v>
      </c>
      <c r="F8415" t="s">
        <v>668</v>
      </c>
      <c r="G8415">
        <v>2030</v>
      </c>
      <c r="H8415" s="12">
        <v>1046.95</v>
      </c>
      <c r="I8415" t="s">
        <v>3183</v>
      </c>
      <c r="J8415" t="s">
        <v>18</v>
      </c>
      <c r="K8415" t="s">
        <v>147</v>
      </c>
      <c r="L8415" t="s">
        <v>652</v>
      </c>
      <c r="M8415" t="s">
        <v>18</v>
      </c>
    </row>
    <row r="8416" spans="1:13">
      <c r="A8416" t="s">
        <v>851</v>
      </c>
      <c r="B8416" t="s">
        <v>686</v>
      </c>
      <c r="C8416" t="s">
        <v>686</v>
      </c>
      <c r="D8416" t="s">
        <v>3185</v>
      </c>
      <c r="E8416" t="s">
        <v>461</v>
      </c>
      <c r="F8416" t="s">
        <v>668</v>
      </c>
      <c r="G8416">
        <v>2035</v>
      </c>
      <c r="H8416" s="12">
        <v>1551.58</v>
      </c>
      <c r="I8416" t="s">
        <v>3183</v>
      </c>
      <c r="J8416" t="s">
        <v>18</v>
      </c>
      <c r="K8416" t="s">
        <v>147</v>
      </c>
      <c r="L8416" t="s">
        <v>652</v>
      </c>
      <c r="M8416" t="s">
        <v>18</v>
      </c>
    </row>
    <row r="8417" spans="1:13">
      <c r="A8417" t="s">
        <v>851</v>
      </c>
      <c r="B8417" t="s">
        <v>686</v>
      </c>
      <c r="C8417" t="s">
        <v>686</v>
      </c>
      <c r="D8417" t="s">
        <v>3185</v>
      </c>
      <c r="E8417" t="s">
        <v>461</v>
      </c>
      <c r="F8417" t="s">
        <v>668</v>
      </c>
      <c r="G8417">
        <v>2040</v>
      </c>
      <c r="H8417" s="12">
        <v>1882.03</v>
      </c>
      <c r="I8417" t="s">
        <v>3183</v>
      </c>
      <c r="J8417" t="s">
        <v>18</v>
      </c>
      <c r="K8417" t="s">
        <v>147</v>
      </c>
      <c r="L8417" t="s">
        <v>652</v>
      </c>
      <c r="M8417" t="s">
        <v>18</v>
      </c>
    </row>
    <row r="8418" spans="1:13">
      <c r="A8418" t="s">
        <v>851</v>
      </c>
      <c r="B8418" t="s">
        <v>686</v>
      </c>
      <c r="C8418" t="s">
        <v>686</v>
      </c>
      <c r="D8418" t="s">
        <v>3185</v>
      </c>
      <c r="E8418" t="s">
        <v>461</v>
      </c>
      <c r="F8418" t="s">
        <v>668</v>
      </c>
      <c r="G8418">
        <v>2045</v>
      </c>
      <c r="H8418" s="12">
        <v>2080.0700000000002</v>
      </c>
      <c r="I8418" t="s">
        <v>3183</v>
      </c>
      <c r="J8418" t="s">
        <v>18</v>
      </c>
      <c r="K8418" t="s">
        <v>147</v>
      </c>
      <c r="L8418" t="s">
        <v>652</v>
      </c>
      <c r="M8418" t="s">
        <v>18</v>
      </c>
    </row>
    <row r="8419" spans="1:13">
      <c r="A8419" t="s">
        <v>851</v>
      </c>
      <c r="B8419" t="s">
        <v>686</v>
      </c>
      <c r="C8419" t="s">
        <v>686</v>
      </c>
      <c r="D8419" t="s">
        <v>3185</v>
      </c>
      <c r="E8419" t="s">
        <v>461</v>
      </c>
      <c r="F8419" t="s">
        <v>668</v>
      </c>
      <c r="G8419">
        <v>2050</v>
      </c>
      <c r="H8419" s="12">
        <v>2192.2399999999998</v>
      </c>
      <c r="I8419" t="s">
        <v>3183</v>
      </c>
      <c r="J8419" t="s">
        <v>18</v>
      </c>
      <c r="K8419" t="s">
        <v>147</v>
      </c>
      <c r="L8419" t="s">
        <v>652</v>
      </c>
      <c r="M8419" t="s">
        <v>18</v>
      </c>
    </row>
    <row r="8420" spans="1:13">
      <c r="A8420" t="s">
        <v>851</v>
      </c>
      <c r="B8420" t="s">
        <v>687</v>
      </c>
      <c r="C8420" t="s">
        <v>687</v>
      </c>
      <c r="D8420" t="s">
        <v>3185</v>
      </c>
      <c r="E8420" t="s">
        <v>461</v>
      </c>
      <c r="F8420" t="s">
        <v>668</v>
      </c>
      <c r="G8420">
        <v>2030</v>
      </c>
      <c r="H8420" s="12">
        <v>1414.81</v>
      </c>
      <c r="I8420" t="s">
        <v>3183</v>
      </c>
      <c r="J8420" t="s">
        <v>18</v>
      </c>
      <c r="K8420" t="s">
        <v>147</v>
      </c>
      <c r="L8420" t="s">
        <v>652</v>
      </c>
      <c r="M8420" t="s">
        <v>18</v>
      </c>
    </row>
    <row r="8421" spans="1:13">
      <c r="A8421" t="s">
        <v>851</v>
      </c>
      <c r="B8421" t="s">
        <v>687</v>
      </c>
      <c r="C8421" t="s">
        <v>687</v>
      </c>
      <c r="D8421" t="s">
        <v>3185</v>
      </c>
      <c r="E8421" t="s">
        <v>461</v>
      </c>
      <c r="F8421" t="s">
        <v>668</v>
      </c>
      <c r="G8421">
        <v>2035</v>
      </c>
      <c r="H8421" s="12">
        <v>2266.17</v>
      </c>
      <c r="I8421" t="s">
        <v>3183</v>
      </c>
      <c r="J8421" t="s">
        <v>18</v>
      </c>
      <c r="K8421" t="s">
        <v>147</v>
      </c>
      <c r="L8421" t="s">
        <v>652</v>
      </c>
      <c r="M8421" t="s">
        <v>18</v>
      </c>
    </row>
    <row r="8422" spans="1:13">
      <c r="A8422" t="s">
        <v>851</v>
      </c>
      <c r="B8422" t="s">
        <v>687</v>
      </c>
      <c r="C8422" t="s">
        <v>687</v>
      </c>
      <c r="D8422" t="s">
        <v>3185</v>
      </c>
      <c r="E8422" t="s">
        <v>461</v>
      </c>
      <c r="F8422" t="s">
        <v>668</v>
      </c>
      <c r="G8422">
        <v>2040</v>
      </c>
      <c r="H8422" s="12">
        <v>2916.72</v>
      </c>
      <c r="I8422" t="s">
        <v>3183</v>
      </c>
      <c r="J8422" t="s">
        <v>18</v>
      </c>
      <c r="K8422" t="s">
        <v>147</v>
      </c>
      <c r="L8422" t="s">
        <v>652</v>
      </c>
      <c r="M8422" t="s">
        <v>18</v>
      </c>
    </row>
    <row r="8423" spans="1:13">
      <c r="A8423" t="s">
        <v>851</v>
      </c>
      <c r="B8423" t="s">
        <v>687</v>
      </c>
      <c r="C8423" t="s">
        <v>687</v>
      </c>
      <c r="D8423" t="s">
        <v>3185</v>
      </c>
      <c r="E8423" t="s">
        <v>461</v>
      </c>
      <c r="F8423" t="s">
        <v>668</v>
      </c>
      <c r="G8423">
        <v>2045</v>
      </c>
      <c r="H8423" s="12">
        <v>3148.42</v>
      </c>
      <c r="I8423" t="s">
        <v>3183</v>
      </c>
      <c r="J8423" t="s">
        <v>18</v>
      </c>
      <c r="K8423" t="s">
        <v>147</v>
      </c>
      <c r="L8423" t="s">
        <v>652</v>
      </c>
      <c r="M8423" t="s">
        <v>18</v>
      </c>
    </row>
    <row r="8424" spans="1:13">
      <c r="A8424" t="s">
        <v>851</v>
      </c>
      <c r="B8424" t="s">
        <v>687</v>
      </c>
      <c r="C8424" t="s">
        <v>687</v>
      </c>
      <c r="D8424" t="s">
        <v>3185</v>
      </c>
      <c r="E8424" t="s">
        <v>461</v>
      </c>
      <c r="F8424" t="s">
        <v>668</v>
      </c>
      <c r="G8424">
        <v>2050</v>
      </c>
      <c r="H8424" s="12">
        <v>3289.82</v>
      </c>
      <c r="I8424" t="s">
        <v>3183</v>
      </c>
      <c r="J8424" t="s">
        <v>18</v>
      </c>
      <c r="K8424" t="s">
        <v>147</v>
      </c>
      <c r="L8424" t="s">
        <v>652</v>
      </c>
      <c r="M8424" t="s">
        <v>18</v>
      </c>
    </row>
    <row r="8425" spans="1:13">
      <c r="A8425" t="s">
        <v>851</v>
      </c>
      <c r="B8425" t="s">
        <v>686</v>
      </c>
      <c r="C8425" t="s">
        <v>686</v>
      </c>
      <c r="D8425" t="s">
        <v>3185</v>
      </c>
      <c r="E8425" t="s">
        <v>461</v>
      </c>
      <c r="F8425" t="s">
        <v>668</v>
      </c>
      <c r="G8425">
        <v>2010</v>
      </c>
      <c r="H8425" s="12">
        <v>650.75</v>
      </c>
      <c r="I8425" t="s">
        <v>3183</v>
      </c>
      <c r="J8425" t="s">
        <v>14</v>
      </c>
      <c r="K8425" t="s">
        <v>147</v>
      </c>
      <c r="L8425" t="s">
        <v>652</v>
      </c>
      <c r="M8425" t="s">
        <v>14</v>
      </c>
    </row>
    <row r="8426" spans="1:13">
      <c r="A8426" t="s">
        <v>851</v>
      </c>
      <c r="B8426" t="s">
        <v>686</v>
      </c>
      <c r="C8426" t="s">
        <v>686</v>
      </c>
      <c r="D8426" t="s">
        <v>3185</v>
      </c>
      <c r="E8426" t="s">
        <v>461</v>
      </c>
      <c r="F8426" t="s">
        <v>668</v>
      </c>
      <c r="G8426">
        <v>2015</v>
      </c>
      <c r="H8426" s="12">
        <v>663.99</v>
      </c>
      <c r="I8426" t="s">
        <v>3183</v>
      </c>
      <c r="J8426" t="s">
        <v>14</v>
      </c>
      <c r="K8426" t="s">
        <v>147</v>
      </c>
      <c r="L8426" t="s">
        <v>652</v>
      </c>
      <c r="M8426" t="s">
        <v>14</v>
      </c>
    </row>
    <row r="8427" spans="1:13">
      <c r="A8427" t="s">
        <v>851</v>
      </c>
      <c r="B8427" t="s">
        <v>686</v>
      </c>
      <c r="C8427" t="s">
        <v>686</v>
      </c>
      <c r="D8427" t="s">
        <v>3185</v>
      </c>
      <c r="E8427" t="s">
        <v>461</v>
      </c>
      <c r="F8427" t="s">
        <v>668</v>
      </c>
      <c r="G8427">
        <v>2020</v>
      </c>
      <c r="H8427" s="12">
        <v>700.46</v>
      </c>
      <c r="I8427" t="s">
        <v>3183</v>
      </c>
      <c r="J8427" t="s">
        <v>14</v>
      </c>
      <c r="K8427" t="s">
        <v>147</v>
      </c>
      <c r="L8427" t="s">
        <v>652</v>
      </c>
      <c r="M8427" t="s">
        <v>14</v>
      </c>
    </row>
    <row r="8428" spans="1:13">
      <c r="A8428" t="s">
        <v>851</v>
      </c>
      <c r="B8428" t="s">
        <v>686</v>
      </c>
      <c r="C8428" t="s">
        <v>686</v>
      </c>
      <c r="D8428" t="s">
        <v>3185</v>
      </c>
      <c r="E8428" t="s">
        <v>461</v>
      </c>
      <c r="F8428" t="s">
        <v>668</v>
      </c>
      <c r="G8428">
        <v>2030</v>
      </c>
      <c r="H8428" s="12">
        <v>781.15</v>
      </c>
      <c r="I8428" t="s">
        <v>3183</v>
      </c>
      <c r="J8428" t="s">
        <v>14</v>
      </c>
      <c r="K8428" t="s">
        <v>147</v>
      </c>
      <c r="L8428" t="s">
        <v>652</v>
      </c>
      <c r="M8428" t="s">
        <v>14</v>
      </c>
    </row>
    <row r="8429" spans="1:13">
      <c r="A8429" t="s">
        <v>851</v>
      </c>
      <c r="B8429" t="s">
        <v>686</v>
      </c>
      <c r="C8429" t="s">
        <v>686</v>
      </c>
      <c r="D8429" t="s">
        <v>3185</v>
      </c>
      <c r="E8429" t="s">
        <v>461</v>
      </c>
      <c r="F8429" t="s">
        <v>668</v>
      </c>
      <c r="G8429">
        <v>2030</v>
      </c>
      <c r="H8429" s="12">
        <v>904.65</v>
      </c>
      <c r="I8429" t="s">
        <v>3183</v>
      </c>
      <c r="J8429" t="s">
        <v>15</v>
      </c>
      <c r="K8429" t="s">
        <v>147</v>
      </c>
      <c r="L8429" t="s">
        <v>652</v>
      </c>
      <c r="M8429" t="s">
        <v>15</v>
      </c>
    </row>
    <row r="8430" spans="1:13">
      <c r="A8430" t="s">
        <v>851</v>
      </c>
      <c r="B8430" t="s">
        <v>686</v>
      </c>
      <c r="C8430" t="s">
        <v>686</v>
      </c>
      <c r="D8430" t="s">
        <v>3185</v>
      </c>
      <c r="E8430" t="s">
        <v>461</v>
      </c>
      <c r="F8430" t="s">
        <v>668</v>
      </c>
      <c r="G8430">
        <v>2035</v>
      </c>
      <c r="H8430" s="12">
        <v>883.67</v>
      </c>
      <c r="I8430" t="s">
        <v>3183</v>
      </c>
      <c r="J8430" t="s">
        <v>15</v>
      </c>
      <c r="K8430" t="s">
        <v>147</v>
      </c>
      <c r="L8430" t="s">
        <v>652</v>
      </c>
      <c r="M8430" t="s">
        <v>15</v>
      </c>
    </row>
    <row r="8431" spans="1:13">
      <c r="A8431" t="s">
        <v>851</v>
      </c>
      <c r="B8431" t="s">
        <v>686</v>
      </c>
      <c r="C8431" t="s">
        <v>686</v>
      </c>
      <c r="D8431" t="s">
        <v>3185</v>
      </c>
      <c r="E8431" t="s">
        <v>461</v>
      </c>
      <c r="F8431" t="s">
        <v>668</v>
      </c>
      <c r="G8431">
        <v>2040</v>
      </c>
      <c r="H8431" s="12">
        <v>897.03</v>
      </c>
      <c r="I8431" t="s">
        <v>3183</v>
      </c>
      <c r="J8431" t="s">
        <v>15</v>
      </c>
      <c r="K8431" t="s">
        <v>147</v>
      </c>
      <c r="L8431" t="s">
        <v>652</v>
      </c>
      <c r="M8431" t="s">
        <v>15</v>
      </c>
    </row>
    <row r="8432" spans="1:13">
      <c r="A8432" t="s">
        <v>851</v>
      </c>
      <c r="B8432" t="s">
        <v>686</v>
      </c>
      <c r="C8432" t="s">
        <v>686</v>
      </c>
      <c r="D8432" t="s">
        <v>3185</v>
      </c>
      <c r="E8432" t="s">
        <v>461</v>
      </c>
      <c r="F8432" t="s">
        <v>668</v>
      </c>
      <c r="G8432">
        <v>2045</v>
      </c>
      <c r="H8432" s="12">
        <v>869.85</v>
      </c>
      <c r="I8432" t="s">
        <v>3183</v>
      </c>
      <c r="J8432" t="s">
        <v>15</v>
      </c>
      <c r="K8432" t="s">
        <v>147</v>
      </c>
      <c r="L8432" t="s">
        <v>652</v>
      </c>
      <c r="M8432" t="s">
        <v>15</v>
      </c>
    </row>
    <row r="8433" spans="1:13">
      <c r="A8433" t="s">
        <v>851</v>
      </c>
      <c r="B8433" t="s">
        <v>686</v>
      </c>
      <c r="C8433" t="s">
        <v>686</v>
      </c>
      <c r="D8433" t="s">
        <v>3185</v>
      </c>
      <c r="E8433" t="s">
        <v>461</v>
      </c>
      <c r="F8433" t="s">
        <v>668</v>
      </c>
      <c r="G8433">
        <v>2050</v>
      </c>
      <c r="H8433" s="12">
        <v>884.77</v>
      </c>
      <c r="I8433" t="s">
        <v>3183</v>
      </c>
      <c r="J8433" t="s">
        <v>15</v>
      </c>
      <c r="K8433" t="s">
        <v>147</v>
      </c>
      <c r="L8433" t="s">
        <v>652</v>
      </c>
      <c r="M8433" t="s">
        <v>15</v>
      </c>
    </row>
    <row r="8434" spans="1:13">
      <c r="A8434" t="s">
        <v>851</v>
      </c>
      <c r="B8434" t="s">
        <v>687</v>
      </c>
      <c r="C8434" t="s">
        <v>687</v>
      </c>
      <c r="D8434" t="s">
        <v>3185</v>
      </c>
      <c r="E8434" t="s">
        <v>461</v>
      </c>
      <c r="F8434" t="s">
        <v>668</v>
      </c>
      <c r="G8434">
        <v>2030</v>
      </c>
      <c r="H8434" s="12">
        <v>923.65</v>
      </c>
      <c r="I8434" t="s">
        <v>3183</v>
      </c>
      <c r="J8434" t="s">
        <v>15</v>
      </c>
      <c r="K8434" t="s">
        <v>147</v>
      </c>
      <c r="L8434" t="s">
        <v>652</v>
      </c>
      <c r="M8434" t="s">
        <v>15</v>
      </c>
    </row>
    <row r="8435" spans="1:13">
      <c r="A8435" t="s">
        <v>851</v>
      </c>
      <c r="B8435" t="s">
        <v>687</v>
      </c>
      <c r="C8435" t="s">
        <v>687</v>
      </c>
      <c r="D8435" t="s">
        <v>3185</v>
      </c>
      <c r="E8435" t="s">
        <v>461</v>
      </c>
      <c r="F8435" t="s">
        <v>668</v>
      </c>
      <c r="G8435">
        <v>2035</v>
      </c>
      <c r="H8435" s="12">
        <v>911.14</v>
      </c>
      <c r="I8435" t="s">
        <v>3183</v>
      </c>
      <c r="J8435" t="s">
        <v>15</v>
      </c>
      <c r="K8435" t="s">
        <v>147</v>
      </c>
      <c r="L8435" t="s">
        <v>652</v>
      </c>
      <c r="M8435" t="s">
        <v>15</v>
      </c>
    </row>
    <row r="8436" spans="1:13">
      <c r="A8436" t="s">
        <v>851</v>
      </c>
      <c r="B8436" t="s">
        <v>687</v>
      </c>
      <c r="C8436" t="s">
        <v>687</v>
      </c>
      <c r="D8436" t="s">
        <v>3185</v>
      </c>
      <c r="E8436" t="s">
        <v>461</v>
      </c>
      <c r="F8436" t="s">
        <v>668</v>
      </c>
      <c r="G8436">
        <v>2040</v>
      </c>
      <c r="H8436" s="12">
        <v>977.56</v>
      </c>
      <c r="I8436" t="s">
        <v>3183</v>
      </c>
      <c r="J8436" t="s">
        <v>15</v>
      </c>
      <c r="K8436" t="s">
        <v>147</v>
      </c>
      <c r="L8436" t="s">
        <v>652</v>
      </c>
      <c r="M8436" t="s">
        <v>15</v>
      </c>
    </row>
    <row r="8437" spans="1:13">
      <c r="A8437" t="s">
        <v>851</v>
      </c>
      <c r="B8437" t="s">
        <v>687</v>
      </c>
      <c r="C8437" t="s">
        <v>687</v>
      </c>
      <c r="D8437" t="s">
        <v>3185</v>
      </c>
      <c r="E8437" t="s">
        <v>461</v>
      </c>
      <c r="F8437" t="s">
        <v>668</v>
      </c>
      <c r="G8437">
        <v>2045</v>
      </c>
      <c r="H8437" s="12">
        <v>1013.31</v>
      </c>
      <c r="I8437" t="s">
        <v>3183</v>
      </c>
      <c r="J8437" t="s">
        <v>15</v>
      </c>
      <c r="K8437" t="s">
        <v>147</v>
      </c>
      <c r="L8437" t="s">
        <v>652</v>
      </c>
      <c r="M8437" t="s">
        <v>15</v>
      </c>
    </row>
    <row r="8438" spans="1:13">
      <c r="A8438" t="s">
        <v>851</v>
      </c>
      <c r="B8438" t="s">
        <v>687</v>
      </c>
      <c r="C8438" t="s">
        <v>687</v>
      </c>
      <c r="D8438" t="s">
        <v>3185</v>
      </c>
      <c r="E8438" t="s">
        <v>461</v>
      </c>
      <c r="F8438" t="s">
        <v>668</v>
      </c>
      <c r="G8438">
        <v>2050</v>
      </c>
      <c r="H8438" s="12">
        <v>1086.3399999999999</v>
      </c>
      <c r="I8438" t="s">
        <v>3183</v>
      </c>
      <c r="J8438" t="s">
        <v>15</v>
      </c>
      <c r="K8438" t="s">
        <v>147</v>
      </c>
      <c r="L8438" t="s">
        <v>652</v>
      </c>
      <c r="M8438" t="s">
        <v>15</v>
      </c>
    </row>
    <row r="8439" spans="1:13">
      <c r="A8439" t="s">
        <v>851</v>
      </c>
      <c r="B8439" t="s">
        <v>686</v>
      </c>
      <c r="C8439" t="s">
        <v>686</v>
      </c>
      <c r="D8439" t="s">
        <v>3185</v>
      </c>
      <c r="E8439" t="s">
        <v>461</v>
      </c>
      <c r="F8439" t="s">
        <v>668</v>
      </c>
      <c r="G8439">
        <v>2010</v>
      </c>
      <c r="H8439" s="12">
        <v>0</v>
      </c>
      <c r="I8439" t="s">
        <v>3183</v>
      </c>
      <c r="J8439" t="s">
        <v>8</v>
      </c>
      <c r="K8439" t="s">
        <v>147</v>
      </c>
      <c r="L8439" t="s">
        <v>652</v>
      </c>
      <c r="M8439" t="s">
        <v>670</v>
      </c>
    </row>
    <row r="8440" spans="1:13">
      <c r="A8440" t="s">
        <v>851</v>
      </c>
      <c r="B8440" t="s">
        <v>686</v>
      </c>
      <c r="C8440" t="s">
        <v>686</v>
      </c>
      <c r="D8440" t="s">
        <v>3185</v>
      </c>
      <c r="E8440" t="s">
        <v>461</v>
      </c>
      <c r="F8440" t="s">
        <v>668</v>
      </c>
      <c r="G8440">
        <v>2015</v>
      </c>
      <c r="H8440" s="12">
        <v>0</v>
      </c>
      <c r="I8440" t="s">
        <v>3183</v>
      </c>
      <c r="J8440" t="s">
        <v>8</v>
      </c>
      <c r="K8440" t="s">
        <v>147</v>
      </c>
      <c r="L8440" t="s">
        <v>652</v>
      </c>
      <c r="M8440" t="s">
        <v>670</v>
      </c>
    </row>
    <row r="8441" spans="1:13">
      <c r="A8441" t="s">
        <v>851</v>
      </c>
      <c r="B8441" t="s">
        <v>686</v>
      </c>
      <c r="C8441" t="s">
        <v>686</v>
      </c>
      <c r="D8441" t="s">
        <v>3185</v>
      </c>
      <c r="E8441" t="s">
        <v>461</v>
      </c>
      <c r="F8441" t="s">
        <v>668</v>
      </c>
      <c r="G8441">
        <v>2020</v>
      </c>
      <c r="H8441" s="12">
        <v>0</v>
      </c>
      <c r="I8441" t="s">
        <v>3183</v>
      </c>
      <c r="J8441" t="s">
        <v>8</v>
      </c>
      <c r="K8441" t="s">
        <v>147</v>
      </c>
      <c r="L8441" t="s">
        <v>652</v>
      </c>
      <c r="M8441" t="s">
        <v>670</v>
      </c>
    </row>
    <row r="8442" spans="1:13">
      <c r="A8442" t="s">
        <v>851</v>
      </c>
      <c r="B8442" t="s">
        <v>686</v>
      </c>
      <c r="C8442" t="s">
        <v>686</v>
      </c>
      <c r="D8442" t="s">
        <v>3185</v>
      </c>
      <c r="E8442" t="s">
        <v>461</v>
      </c>
      <c r="F8442" t="s">
        <v>668</v>
      </c>
      <c r="G8442">
        <v>2030</v>
      </c>
      <c r="H8442" s="12">
        <v>0</v>
      </c>
      <c r="I8442" t="s">
        <v>3183</v>
      </c>
      <c r="J8442" t="s">
        <v>8</v>
      </c>
      <c r="K8442" t="s">
        <v>147</v>
      </c>
      <c r="L8442" t="s">
        <v>652</v>
      </c>
      <c r="M8442" t="s">
        <v>670</v>
      </c>
    </row>
    <row r="8443" spans="1:13">
      <c r="A8443" t="s">
        <v>851</v>
      </c>
      <c r="B8443" t="s">
        <v>686</v>
      </c>
      <c r="C8443" t="s">
        <v>686</v>
      </c>
      <c r="D8443" t="s">
        <v>3185</v>
      </c>
      <c r="E8443" t="s">
        <v>461</v>
      </c>
      <c r="F8443" t="s">
        <v>668</v>
      </c>
      <c r="G8443">
        <v>2035</v>
      </c>
      <c r="H8443" s="12">
        <v>0</v>
      </c>
      <c r="I8443" t="s">
        <v>3183</v>
      </c>
      <c r="J8443" t="s">
        <v>8</v>
      </c>
      <c r="K8443" t="s">
        <v>147</v>
      </c>
      <c r="L8443" t="s">
        <v>652</v>
      </c>
      <c r="M8443" t="s">
        <v>670</v>
      </c>
    </row>
    <row r="8444" spans="1:13">
      <c r="A8444" t="s">
        <v>851</v>
      </c>
      <c r="B8444" t="s">
        <v>686</v>
      </c>
      <c r="C8444" t="s">
        <v>686</v>
      </c>
      <c r="D8444" t="s">
        <v>3185</v>
      </c>
      <c r="E8444" t="s">
        <v>461</v>
      </c>
      <c r="F8444" t="s">
        <v>668</v>
      </c>
      <c r="G8444">
        <v>2040</v>
      </c>
      <c r="H8444" s="12">
        <v>0</v>
      </c>
      <c r="I8444" t="s">
        <v>3183</v>
      </c>
      <c r="J8444" t="s">
        <v>8</v>
      </c>
      <c r="K8444" t="s">
        <v>147</v>
      </c>
      <c r="L8444" t="s">
        <v>652</v>
      </c>
      <c r="M8444" t="s">
        <v>670</v>
      </c>
    </row>
    <row r="8445" spans="1:13">
      <c r="A8445" t="s">
        <v>851</v>
      </c>
      <c r="B8445" t="s">
        <v>686</v>
      </c>
      <c r="C8445" t="s">
        <v>686</v>
      </c>
      <c r="D8445" t="s">
        <v>3185</v>
      </c>
      <c r="E8445" t="s">
        <v>461</v>
      </c>
      <c r="F8445" t="s">
        <v>668</v>
      </c>
      <c r="G8445">
        <v>2045</v>
      </c>
      <c r="H8445" s="12">
        <v>0</v>
      </c>
      <c r="I8445" t="s">
        <v>3183</v>
      </c>
      <c r="J8445" t="s">
        <v>8</v>
      </c>
      <c r="K8445" t="s">
        <v>147</v>
      </c>
      <c r="L8445" t="s">
        <v>652</v>
      </c>
      <c r="M8445" t="s">
        <v>670</v>
      </c>
    </row>
    <row r="8446" spans="1:13">
      <c r="A8446" t="s">
        <v>851</v>
      </c>
      <c r="B8446" t="s">
        <v>686</v>
      </c>
      <c r="C8446" t="s">
        <v>686</v>
      </c>
      <c r="D8446" t="s">
        <v>3185</v>
      </c>
      <c r="E8446" t="s">
        <v>461</v>
      </c>
      <c r="F8446" t="s">
        <v>668</v>
      </c>
      <c r="G8446">
        <v>2050</v>
      </c>
      <c r="H8446" s="12">
        <v>0</v>
      </c>
      <c r="I8446" t="s">
        <v>3183</v>
      </c>
      <c r="J8446" t="s">
        <v>8</v>
      </c>
      <c r="K8446" t="s">
        <v>147</v>
      </c>
      <c r="L8446" t="s">
        <v>652</v>
      </c>
      <c r="M8446" t="s">
        <v>670</v>
      </c>
    </row>
    <row r="8447" spans="1:13">
      <c r="A8447" t="s">
        <v>851</v>
      </c>
      <c r="B8447" t="s">
        <v>687</v>
      </c>
      <c r="C8447" t="s">
        <v>687</v>
      </c>
      <c r="D8447" t="s">
        <v>3185</v>
      </c>
      <c r="E8447" t="s">
        <v>461</v>
      </c>
      <c r="F8447" t="s">
        <v>668</v>
      </c>
      <c r="G8447">
        <v>2030</v>
      </c>
      <c r="H8447" s="12">
        <v>51.41</v>
      </c>
      <c r="I8447" t="s">
        <v>3183</v>
      </c>
      <c r="J8447" t="s">
        <v>8</v>
      </c>
      <c r="K8447" t="s">
        <v>147</v>
      </c>
      <c r="L8447" t="s">
        <v>652</v>
      </c>
      <c r="M8447" t="s">
        <v>670</v>
      </c>
    </row>
    <row r="8448" spans="1:13">
      <c r="A8448" t="s">
        <v>851</v>
      </c>
      <c r="B8448" t="s">
        <v>687</v>
      </c>
      <c r="C8448" t="s">
        <v>687</v>
      </c>
      <c r="D8448" t="s">
        <v>3185</v>
      </c>
      <c r="E8448" t="s">
        <v>461</v>
      </c>
      <c r="F8448" t="s">
        <v>668</v>
      </c>
      <c r="G8448">
        <v>2035</v>
      </c>
      <c r="H8448" s="12">
        <v>90.51</v>
      </c>
      <c r="I8448" t="s">
        <v>3183</v>
      </c>
      <c r="J8448" t="s">
        <v>8</v>
      </c>
      <c r="K8448" t="s">
        <v>147</v>
      </c>
      <c r="L8448" t="s">
        <v>652</v>
      </c>
      <c r="M8448" t="s">
        <v>670</v>
      </c>
    </row>
    <row r="8449" spans="1:13">
      <c r="A8449" t="s">
        <v>851</v>
      </c>
      <c r="B8449" t="s">
        <v>687</v>
      </c>
      <c r="C8449" t="s">
        <v>687</v>
      </c>
      <c r="D8449" t="s">
        <v>3185</v>
      </c>
      <c r="E8449" t="s">
        <v>461</v>
      </c>
      <c r="F8449" t="s">
        <v>668</v>
      </c>
      <c r="G8449">
        <v>2040</v>
      </c>
      <c r="H8449" s="12">
        <v>104.95</v>
      </c>
      <c r="I8449" t="s">
        <v>3183</v>
      </c>
      <c r="J8449" t="s">
        <v>8</v>
      </c>
      <c r="K8449" t="s">
        <v>147</v>
      </c>
      <c r="L8449" t="s">
        <v>652</v>
      </c>
      <c r="M8449" t="s">
        <v>670</v>
      </c>
    </row>
    <row r="8450" spans="1:13">
      <c r="A8450" t="s">
        <v>851</v>
      </c>
      <c r="B8450" t="s">
        <v>687</v>
      </c>
      <c r="C8450" t="s">
        <v>687</v>
      </c>
      <c r="D8450" t="s">
        <v>3185</v>
      </c>
      <c r="E8450" t="s">
        <v>461</v>
      </c>
      <c r="F8450" t="s">
        <v>668</v>
      </c>
      <c r="G8450">
        <v>2045</v>
      </c>
      <c r="H8450" s="12">
        <v>113.34</v>
      </c>
      <c r="I8450" t="s">
        <v>3183</v>
      </c>
      <c r="J8450" t="s">
        <v>8</v>
      </c>
      <c r="K8450" t="s">
        <v>147</v>
      </c>
      <c r="L8450" t="s">
        <v>652</v>
      </c>
      <c r="M8450" t="s">
        <v>670</v>
      </c>
    </row>
    <row r="8451" spans="1:13">
      <c r="A8451" t="s">
        <v>851</v>
      </c>
      <c r="B8451" t="s">
        <v>687</v>
      </c>
      <c r="C8451" t="s">
        <v>687</v>
      </c>
      <c r="D8451" t="s">
        <v>3185</v>
      </c>
      <c r="E8451" t="s">
        <v>461</v>
      </c>
      <c r="F8451" t="s">
        <v>668</v>
      </c>
      <c r="G8451">
        <v>2050</v>
      </c>
      <c r="H8451" s="12">
        <v>124.42</v>
      </c>
      <c r="I8451" t="s">
        <v>3183</v>
      </c>
      <c r="J8451" t="s">
        <v>8</v>
      </c>
      <c r="K8451" t="s">
        <v>147</v>
      </c>
      <c r="L8451" t="s">
        <v>652</v>
      </c>
      <c r="M8451" t="s">
        <v>670</v>
      </c>
    </row>
    <row r="8452" spans="1:13">
      <c r="A8452" t="s">
        <v>851</v>
      </c>
      <c r="B8452" t="s">
        <v>686</v>
      </c>
      <c r="C8452" t="s">
        <v>686</v>
      </c>
      <c r="D8452" t="s">
        <v>3185</v>
      </c>
      <c r="E8452" t="s">
        <v>646</v>
      </c>
      <c r="F8452" t="s">
        <v>40</v>
      </c>
      <c r="G8452">
        <v>2030</v>
      </c>
      <c r="H8452" s="12">
        <v>1125</v>
      </c>
      <c r="I8452" t="s">
        <v>3183</v>
      </c>
      <c r="J8452" t="s">
        <v>6</v>
      </c>
      <c r="K8452" t="s">
        <v>11</v>
      </c>
      <c r="L8452" t="s">
        <v>652</v>
      </c>
      <c r="M8452" t="s">
        <v>659</v>
      </c>
    </row>
    <row r="8453" spans="1:13">
      <c r="A8453" t="s">
        <v>851</v>
      </c>
      <c r="B8453" t="s">
        <v>686</v>
      </c>
      <c r="C8453" t="s">
        <v>686</v>
      </c>
      <c r="D8453" t="s">
        <v>3185</v>
      </c>
      <c r="E8453" t="s">
        <v>646</v>
      </c>
      <c r="F8453" t="s">
        <v>40</v>
      </c>
      <c r="G8453">
        <v>2035</v>
      </c>
      <c r="H8453" s="12">
        <v>1122</v>
      </c>
      <c r="I8453" t="s">
        <v>3183</v>
      </c>
      <c r="J8453" t="s">
        <v>6</v>
      </c>
      <c r="K8453" t="s">
        <v>11</v>
      </c>
      <c r="L8453" t="s">
        <v>652</v>
      </c>
      <c r="M8453" t="s">
        <v>659</v>
      </c>
    </row>
    <row r="8454" spans="1:13">
      <c r="A8454" t="s">
        <v>851</v>
      </c>
      <c r="B8454" t="s">
        <v>686</v>
      </c>
      <c r="C8454" t="s">
        <v>686</v>
      </c>
      <c r="D8454" t="s">
        <v>3185</v>
      </c>
      <c r="E8454" t="s">
        <v>646</v>
      </c>
      <c r="F8454" t="s">
        <v>40</v>
      </c>
      <c r="G8454">
        <v>2040</v>
      </c>
      <c r="H8454" s="12">
        <v>1118</v>
      </c>
      <c r="I8454" t="s">
        <v>3183</v>
      </c>
      <c r="J8454" t="s">
        <v>6</v>
      </c>
      <c r="K8454" t="s">
        <v>11</v>
      </c>
      <c r="L8454" t="s">
        <v>652</v>
      </c>
      <c r="M8454" t="s">
        <v>659</v>
      </c>
    </row>
    <row r="8455" spans="1:13">
      <c r="A8455" t="s">
        <v>851</v>
      </c>
      <c r="B8455" t="s">
        <v>686</v>
      </c>
      <c r="C8455" t="s">
        <v>686</v>
      </c>
      <c r="D8455" t="s">
        <v>3185</v>
      </c>
      <c r="E8455" t="s">
        <v>646</v>
      </c>
      <c r="F8455" t="s">
        <v>40</v>
      </c>
      <c r="G8455">
        <v>2045</v>
      </c>
      <c r="H8455" s="12">
        <v>1131</v>
      </c>
      <c r="I8455" t="s">
        <v>3183</v>
      </c>
      <c r="J8455" t="s">
        <v>6</v>
      </c>
      <c r="K8455" t="s">
        <v>11</v>
      </c>
      <c r="L8455" t="s">
        <v>652</v>
      </c>
      <c r="M8455" t="s">
        <v>659</v>
      </c>
    </row>
    <row r="8456" spans="1:13">
      <c r="A8456" t="s">
        <v>851</v>
      </c>
      <c r="B8456" t="s">
        <v>686</v>
      </c>
      <c r="C8456" t="s">
        <v>686</v>
      </c>
      <c r="D8456" t="s">
        <v>3185</v>
      </c>
      <c r="E8456" t="s">
        <v>646</v>
      </c>
      <c r="F8456" t="s">
        <v>40</v>
      </c>
      <c r="G8456">
        <v>2050</v>
      </c>
      <c r="H8456" s="12">
        <v>1144</v>
      </c>
      <c r="I8456" t="s">
        <v>3183</v>
      </c>
      <c r="J8456" t="s">
        <v>6</v>
      </c>
      <c r="K8456" t="s">
        <v>11</v>
      </c>
      <c r="L8456" t="s">
        <v>652</v>
      </c>
      <c r="M8456" t="s">
        <v>659</v>
      </c>
    </row>
    <row r="8457" spans="1:13">
      <c r="A8457" t="s">
        <v>851</v>
      </c>
      <c r="B8457" t="s">
        <v>687</v>
      </c>
      <c r="C8457" t="s">
        <v>687</v>
      </c>
      <c r="D8457" t="s">
        <v>3185</v>
      </c>
      <c r="E8457" t="s">
        <v>646</v>
      </c>
      <c r="F8457" t="s">
        <v>40</v>
      </c>
      <c r="G8457">
        <v>2030</v>
      </c>
      <c r="H8457" s="12">
        <v>709</v>
      </c>
      <c r="I8457" t="s">
        <v>3183</v>
      </c>
      <c r="J8457" t="s">
        <v>6</v>
      </c>
      <c r="K8457" t="s">
        <v>11</v>
      </c>
      <c r="L8457" t="s">
        <v>652</v>
      </c>
      <c r="M8457" t="s">
        <v>659</v>
      </c>
    </row>
    <row r="8458" spans="1:13">
      <c r="A8458" t="s">
        <v>851</v>
      </c>
      <c r="B8458" t="s">
        <v>687</v>
      </c>
      <c r="C8458" t="s">
        <v>687</v>
      </c>
      <c r="D8458" t="s">
        <v>3185</v>
      </c>
      <c r="E8458" t="s">
        <v>646</v>
      </c>
      <c r="F8458" t="s">
        <v>40</v>
      </c>
      <c r="G8458">
        <v>2035</v>
      </c>
      <c r="H8458" s="12">
        <v>486</v>
      </c>
      <c r="I8458" t="s">
        <v>3183</v>
      </c>
      <c r="J8458" t="s">
        <v>6</v>
      </c>
      <c r="K8458" t="s">
        <v>11</v>
      </c>
      <c r="L8458" t="s">
        <v>652</v>
      </c>
      <c r="M8458" t="s">
        <v>659</v>
      </c>
    </row>
    <row r="8459" spans="1:13">
      <c r="A8459" t="s">
        <v>851</v>
      </c>
      <c r="B8459" t="s">
        <v>687</v>
      </c>
      <c r="C8459" t="s">
        <v>687</v>
      </c>
      <c r="D8459" t="s">
        <v>3185</v>
      </c>
      <c r="E8459" t="s">
        <v>646</v>
      </c>
      <c r="F8459" t="s">
        <v>40</v>
      </c>
      <c r="G8459">
        <v>2040</v>
      </c>
      <c r="H8459" s="12">
        <v>297</v>
      </c>
      <c r="I8459" t="s">
        <v>3183</v>
      </c>
      <c r="J8459" t="s">
        <v>6</v>
      </c>
      <c r="K8459" t="s">
        <v>11</v>
      </c>
      <c r="L8459" t="s">
        <v>652</v>
      </c>
      <c r="M8459" t="s">
        <v>659</v>
      </c>
    </row>
    <row r="8460" spans="1:13">
      <c r="A8460" t="s">
        <v>851</v>
      </c>
      <c r="B8460" t="s">
        <v>687</v>
      </c>
      <c r="C8460" t="s">
        <v>687</v>
      </c>
      <c r="D8460" t="s">
        <v>3185</v>
      </c>
      <c r="E8460" t="s">
        <v>646</v>
      </c>
      <c r="F8460" t="s">
        <v>40</v>
      </c>
      <c r="G8460">
        <v>2045</v>
      </c>
      <c r="H8460" s="12">
        <v>152</v>
      </c>
      <c r="I8460" t="s">
        <v>3183</v>
      </c>
      <c r="J8460" t="s">
        <v>6</v>
      </c>
      <c r="K8460" t="s">
        <v>11</v>
      </c>
      <c r="L8460" t="s">
        <v>652</v>
      </c>
      <c r="M8460" t="s">
        <v>659</v>
      </c>
    </row>
    <row r="8461" spans="1:13">
      <c r="A8461" t="s">
        <v>851</v>
      </c>
      <c r="B8461" t="s">
        <v>687</v>
      </c>
      <c r="C8461" t="s">
        <v>687</v>
      </c>
      <c r="D8461" t="s">
        <v>3185</v>
      </c>
      <c r="E8461" t="s">
        <v>646</v>
      </c>
      <c r="F8461" t="s">
        <v>40</v>
      </c>
      <c r="G8461">
        <v>2050</v>
      </c>
      <c r="H8461" s="12">
        <v>57</v>
      </c>
      <c r="I8461" t="s">
        <v>3183</v>
      </c>
      <c r="J8461" t="s">
        <v>6</v>
      </c>
      <c r="K8461" t="s">
        <v>11</v>
      </c>
      <c r="L8461" t="s">
        <v>652</v>
      </c>
      <c r="M8461" t="s">
        <v>659</v>
      </c>
    </row>
    <row r="8462" spans="1:13">
      <c r="A8462" t="s">
        <v>851</v>
      </c>
      <c r="B8462" t="s">
        <v>686</v>
      </c>
      <c r="C8462" t="s">
        <v>686</v>
      </c>
      <c r="D8462" t="s">
        <v>3185</v>
      </c>
      <c r="E8462" t="s">
        <v>646</v>
      </c>
      <c r="F8462" t="s">
        <v>40</v>
      </c>
      <c r="G8462">
        <v>2010</v>
      </c>
      <c r="H8462" s="12">
        <v>11836</v>
      </c>
      <c r="I8462" t="s">
        <v>3183</v>
      </c>
      <c r="J8462" t="s">
        <v>344</v>
      </c>
      <c r="K8462" t="s">
        <v>658</v>
      </c>
      <c r="L8462" t="s">
        <v>652</v>
      </c>
      <c r="M8462" t="s">
        <v>10</v>
      </c>
    </row>
    <row r="8463" spans="1:13">
      <c r="A8463" t="s">
        <v>851</v>
      </c>
      <c r="B8463" t="s">
        <v>686</v>
      </c>
      <c r="C8463" t="s">
        <v>686</v>
      </c>
      <c r="D8463" t="s">
        <v>3185</v>
      </c>
      <c r="E8463" t="s">
        <v>646</v>
      </c>
      <c r="F8463" t="s">
        <v>40</v>
      </c>
      <c r="G8463">
        <v>2015</v>
      </c>
      <c r="H8463" s="12">
        <v>12027</v>
      </c>
      <c r="I8463" t="s">
        <v>3183</v>
      </c>
      <c r="J8463" t="s">
        <v>344</v>
      </c>
      <c r="K8463" t="s">
        <v>658</v>
      </c>
      <c r="L8463" t="s">
        <v>652</v>
      </c>
      <c r="M8463" t="s">
        <v>10</v>
      </c>
    </row>
    <row r="8464" spans="1:13">
      <c r="A8464" t="s">
        <v>851</v>
      </c>
      <c r="B8464" t="s">
        <v>686</v>
      </c>
      <c r="C8464" t="s">
        <v>686</v>
      </c>
      <c r="D8464" t="s">
        <v>3185</v>
      </c>
      <c r="E8464" t="s">
        <v>646</v>
      </c>
      <c r="F8464" t="s">
        <v>40</v>
      </c>
      <c r="G8464">
        <v>2020</v>
      </c>
      <c r="H8464" s="12">
        <v>12272</v>
      </c>
      <c r="I8464" t="s">
        <v>3183</v>
      </c>
      <c r="J8464" t="s">
        <v>344</v>
      </c>
      <c r="K8464" t="s">
        <v>658</v>
      </c>
      <c r="L8464" t="s">
        <v>652</v>
      </c>
      <c r="M8464" t="s">
        <v>10</v>
      </c>
    </row>
    <row r="8465" spans="1:13">
      <c r="A8465" t="s">
        <v>851</v>
      </c>
      <c r="B8465" t="s">
        <v>686</v>
      </c>
      <c r="C8465" t="s">
        <v>686</v>
      </c>
      <c r="D8465" t="s">
        <v>3185</v>
      </c>
      <c r="E8465" t="s">
        <v>646</v>
      </c>
      <c r="F8465" t="s">
        <v>40</v>
      </c>
      <c r="G8465">
        <v>2030</v>
      </c>
      <c r="H8465" s="12">
        <v>12832</v>
      </c>
      <c r="I8465" t="s">
        <v>3183</v>
      </c>
      <c r="J8465" t="s">
        <v>344</v>
      </c>
      <c r="K8465" t="s">
        <v>658</v>
      </c>
      <c r="L8465" t="s">
        <v>652</v>
      </c>
      <c r="M8465" t="s">
        <v>10</v>
      </c>
    </row>
    <row r="8466" spans="1:13">
      <c r="A8466" t="s">
        <v>851</v>
      </c>
      <c r="B8466" t="s">
        <v>686</v>
      </c>
      <c r="C8466" t="s">
        <v>686</v>
      </c>
      <c r="D8466" t="s">
        <v>3185</v>
      </c>
      <c r="E8466" t="s">
        <v>646</v>
      </c>
      <c r="F8466" t="s">
        <v>40</v>
      </c>
      <c r="G8466">
        <v>2035</v>
      </c>
      <c r="H8466" s="12">
        <v>13178</v>
      </c>
      <c r="I8466" t="s">
        <v>3183</v>
      </c>
      <c r="J8466" t="s">
        <v>344</v>
      </c>
      <c r="K8466" t="s">
        <v>658</v>
      </c>
      <c r="L8466" t="s">
        <v>652</v>
      </c>
      <c r="M8466" t="s">
        <v>10</v>
      </c>
    </row>
    <row r="8467" spans="1:13">
      <c r="A8467" t="s">
        <v>851</v>
      </c>
      <c r="B8467" t="s">
        <v>686</v>
      </c>
      <c r="C8467" t="s">
        <v>686</v>
      </c>
      <c r="D8467" t="s">
        <v>3185</v>
      </c>
      <c r="E8467" t="s">
        <v>646</v>
      </c>
      <c r="F8467" t="s">
        <v>40</v>
      </c>
      <c r="G8467">
        <v>2040</v>
      </c>
      <c r="H8467" s="12">
        <v>13575</v>
      </c>
      <c r="I8467" t="s">
        <v>3183</v>
      </c>
      <c r="J8467" t="s">
        <v>344</v>
      </c>
      <c r="K8467" t="s">
        <v>658</v>
      </c>
      <c r="L8467" t="s">
        <v>652</v>
      </c>
      <c r="M8467" t="s">
        <v>10</v>
      </c>
    </row>
    <row r="8468" spans="1:13">
      <c r="A8468" t="s">
        <v>851</v>
      </c>
      <c r="B8468" t="s">
        <v>686</v>
      </c>
      <c r="C8468" t="s">
        <v>686</v>
      </c>
      <c r="D8468" t="s">
        <v>3185</v>
      </c>
      <c r="E8468" t="s">
        <v>646</v>
      </c>
      <c r="F8468" t="s">
        <v>40</v>
      </c>
      <c r="G8468">
        <v>2045</v>
      </c>
      <c r="H8468" s="12">
        <v>13873</v>
      </c>
      <c r="I8468" t="s">
        <v>3183</v>
      </c>
      <c r="J8468" t="s">
        <v>344</v>
      </c>
      <c r="K8468" t="s">
        <v>658</v>
      </c>
      <c r="L8468" t="s">
        <v>652</v>
      </c>
      <c r="M8468" t="s">
        <v>10</v>
      </c>
    </row>
    <row r="8469" spans="1:13">
      <c r="A8469" t="s">
        <v>851</v>
      </c>
      <c r="B8469" t="s">
        <v>686</v>
      </c>
      <c r="C8469" t="s">
        <v>686</v>
      </c>
      <c r="D8469" t="s">
        <v>3185</v>
      </c>
      <c r="E8469" t="s">
        <v>646</v>
      </c>
      <c r="F8469" t="s">
        <v>40</v>
      </c>
      <c r="G8469">
        <v>2050</v>
      </c>
      <c r="H8469" s="12">
        <v>14160</v>
      </c>
      <c r="I8469" t="s">
        <v>3183</v>
      </c>
      <c r="J8469" t="s">
        <v>344</v>
      </c>
      <c r="K8469" t="s">
        <v>658</v>
      </c>
      <c r="L8469" t="s">
        <v>652</v>
      </c>
      <c r="M8469" t="s">
        <v>10</v>
      </c>
    </row>
    <row r="8470" spans="1:13">
      <c r="A8470" t="s">
        <v>851</v>
      </c>
      <c r="B8470" t="s">
        <v>687</v>
      </c>
      <c r="C8470" t="s">
        <v>687</v>
      </c>
      <c r="D8470" t="s">
        <v>3185</v>
      </c>
      <c r="E8470" t="s">
        <v>646</v>
      </c>
      <c r="F8470" t="s">
        <v>40</v>
      </c>
      <c r="G8470">
        <v>2030</v>
      </c>
      <c r="H8470" s="12">
        <v>12128</v>
      </c>
      <c r="I8470" t="s">
        <v>3183</v>
      </c>
      <c r="J8470" t="s">
        <v>344</v>
      </c>
      <c r="K8470" t="s">
        <v>658</v>
      </c>
      <c r="L8470" t="s">
        <v>652</v>
      </c>
      <c r="M8470" t="s">
        <v>10</v>
      </c>
    </row>
    <row r="8471" spans="1:13">
      <c r="A8471" t="s">
        <v>851</v>
      </c>
      <c r="B8471" t="s">
        <v>687</v>
      </c>
      <c r="C8471" t="s">
        <v>687</v>
      </c>
      <c r="D8471" t="s">
        <v>3185</v>
      </c>
      <c r="E8471" t="s">
        <v>646</v>
      </c>
      <c r="F8471" t="s">
        <v>40</v>
      </c>
      <c r="G8471">
        <v>2035</v>
      </c>
      <c r="H8471" s="12">
        <v>11936</v>
      </c>
      <c r="I8471" t="s">
        <v>3183</v>
      </c>
      <c r="J8471" t="s">
        <v>344</v>
      </c>
      <c r="K8471" t="s">
        <v>658</v>
      </c>
      <c r="L8471" t="s">
        <v>652</v>
      </c>
      <c r="M8471" t="s">
        <v>10</v>
      </c>
    </row>
    <row r="8472" spans="1:13">
      <c r="A8472" t="s">
        <v>851</v>
      </c>
      <c r="B8472" t="s">
        <v>687</v>
      </c>
      <c r="C8472" t="s">
        <v>687</v>
      </c>
      <c r="D8472" t="s">
        <v>3185</v>
      </c>
      <c r="E8472" t="s">
        <v>646</v>
      </c>
      <c r="F8472" t="s">
        <v>40</v>
      </c>
      <c r="G8472">
        <v>2040</v>
      </c>
      <c r="H8472" s="12">
        <v>12055</v>
      </c>
      <c r="I8472" t="s">
        <v>3183</v>
      </c>
      <c r="J8472" t="s">
        <v>344</v>
      </c>
      <c r="K8472" t="s">
        <v>658</v>
      </c>
      <c r="L8472" t="s">
        <v>652</v>
      </c>
      <c r="M8472" t="s">
        <v>10</v>
      </c>
    </row>
    <row r="8473" spans="1:13">
      <c r="A8473" t="s">
        <v>851</v>
      </c>
      <c r="B8473" t="s">
        <v>687</v>
      </c>
      <c r="C8473" t="s">
        <v>687</v>
      </c>
      <c r="D8473" t="s">
        <v>3185</v>
      </c>
      <c r="E8473" t="s">
        <v>646</v>
      </c>
      <c r="F8473" t="s">
        <v>40</v>
      </c>
      <c r="G8473">
        <v>2045</v>
      </c>
      <c r="H8473" s="12">
        <v>12284</v>
      </c>
      <c r="I8473" t="s">
        <v>3183</v>
      </c>
      <c r="J8473" t="s">
        <v>344</v>
      </c>
      <c r="K8473" t="s">
        <v>658</v>
      </c>
      <c r="L8473" t="s">
        <v>652</v>
      </c>
      <c r="M8473" t="s">
        <v>10</v>
      </c>
    </row>
    <row r="8474" spans="1:13">
      <c r="A8474" t="s">
        <v>851</v>
      </c>
      <c r="B8474" t="s">
        <v>687</v>
      </c>
      <c r="C8474" t="s">
        <v>687</v>
      </c>
      <c r="D8474" t="s">
        <v>3185</v>
      </c>
      <c r="E8474" t="s">
        <v>646</v>
      </c>
      <c r="F8474" t="s">
        <v>40</v>
      </c>
      <c r="G8474">
        <v>2050</v>
      </c>
      <c r="H8474" s="12">
        <v>12626</v>
      </c>
      <c r="I8474" t="s">
        <v>3183</v>
      </c>
      <c r="J8474" t="s">
        <v>344</v>
      </c>
      <c r="K8474" t="s">
        <v>658</v>
      </c>
      <c r="L8474" t="s">
        <v>652</v>
      </c>
      <c r="M8474" t="s">
        <v>10</v>
      </c>
    </row>
    <row r="8475" spans="1:13">
      <c r="A8475" t="s">
        <v>851</v>
      </c>
      <c r="B8475" t="s">
        <v>687</v>
      </c>
      <c r="C8475" t="s">
        <v>687</v>
      </c>
      <c r="D8475" t="s">
        <v>3185</v>
      </c>
      <c r="E8475" t="s">
        <v>646</v>
      </c>
      <c r="F8475" t="s">
        <v>40</v>
      </c>
      <c r="G8475">
        <v>2050</v>
      </c>
      <c r="H8475" s="12">
        <v>352</v>
      </c>
      <c r="I8475" t="s">
        <v>3183</v>
      </c>
      <c r="J8475" t="s">
        <v>6</v>
      </c>
      <c r="K8475" t="s">
        <v>658</v>
      </c>
      <c r="L8475" t="s">
        <v>652</v>
      </c>
      <c r="M8475" t="s">
        <v>659</v>
      </c>
    </row>
    <row r="8476" spans="1:13">
      <c r="A8476" t="s">
        <v>851</v>
      </c>
      <c r="B8476" t="s">
        <v>686</v>
      </c>
      <c r="C8476" t="s">
        <v>686</v>
      </c>
      <c r="D8476" t="s">
        <v>3185</v>
      </c>
      <c r="E8476" t="s">
        <v>646</v>
      </c>
      <c r="F8476" t="s">
        <v>40</v>
      </c>
      <c r="G8476">
        <v>2010</v>
      </c>
      <c r="H8476" s="12">
        <v>64</v>
      </c>
      <c r="I8476" t="s">
        <v>3183</v>
      </c>
      <c r="J8476" t="s">
        <v>5</v>
      </c>
      <c r="K8476" t="s">
        <v>658</v>
      </c>
      <c r="L8476" t="s">
        <v>652</v>
      </c>
      <c r="M8476" t="s">
        <v>5</v>
      </c>
    </row>
    <row r="8477" spans="1:13">
      <c r="A8477" t="s">
        <v>851</v>
      </c>
      <c r="B8477" t="s">
        <v>686</v>
      </c>
      <c r="C8477" t="s">
        <v>686</v>
      </c>
      <c r="D8477" t="s">
        <v>3185</v>
      </c>
      <c r="E8477" t="s">
        <v>646</v>
      </c>
      <c r="F8477" t="s">
        <v>40</v>
      </c>
      <c r="G8477">
        <v>2015</v>
      </c>
      <c r="H8477" s="12">
        <v>28</v>
      </c>
      <c r="I8477" t="s">
        <v>3183</v>
      </c>
      <c r="J8477" t="s">
        <v>5</v>
      </c>
      <c r="K8477" t="s">
        <v>658</v>
      </c>
      <c r="L8477" t="s">
        <v>652</v>
      </c>
      <c r="M8477" t="s">
        <v>5</v>
      </c>
    </row>
    <row r="8478" spans="1:13">
      <c r="A8478" t="s">
        <v>851</v>
      </c>
      <c r="B8478" t="s">
        <v>686</v>
      </c>
      <c r="C8478" t="s">
        <v>686</v>
      </c>
      <c r="D8478" t="s">
        <v>3185</v>
      </c>
      <c r="E8478" t="s">
        <v>646</v>
      </c>
      <c r="F8478" t="s">
        <v>40</v>
      </c>
      <c r="G8478">
        <v>2020</v>
      </c>
      <c r="H8478" s="12">
        <v>14</v>
      </c>
      <c r="I8478" t="s">
        <v>3183</v>
      </c>
      <c r="J8478" t="s">
        <v>5</v>
      </c>
      <c r="K8478" t="s">
        <v>658</v>
      </c>
      <c r="L8478" t="s">
        <v>652</v>
      </c>
      <c r="M8478" t="s">
        <v>5</v>
      </c>
    </row>
    <row r="8479" spans="1:13">
      <c r="A8479" t="s">
        <v>851</v>
      </c>
      <c r="B8479" t="s">
        <v>686</v>
      </c>
      <c r="C8479" t="s">
        <v>686</v>
      </c>
      <c r="D8479" t="s">
        <v>3185</v>
      </c>
      <c r="E8479" t="s">
        <v>646</v>
      </c>
      <c r="F8479" t="s">
        <v>40</v>
      </c>
      <c r="G8479">
        <v>2030</v>
      </c>
      <c r="H8479" s="12">
        <v>5</v>
      </c>
      <c r="I8479" t="s">
        <v>3183</v>
      </c>
      <c r="J8479" t="s">
        <v>5</v>
      </c>
      <c r="K8479" t="s">
        <v>658</v>
      </c>
      <c r="L8479" t="s">
        <v>652</v>
      </c>
      <c r="M8479" t="s">
        <v>5</v>
      </c>
    </row>
    <row r="8480" spans="1:13">
      <c r="A8480" t="s">
        <v>851</v>
      </c>
      <c r="B8480" t="s">
        <v>686</v>
      </c>
      <c r="C8480" t="s">
        <v>686</v>
      </c>
      <c r="D8480" t="s">
        <v>3185</v>
      </c>
      <c r="E8480" t="s">
        <v>646</v>
      </c>
      <c r="F8480" t="s">
        <v>40</v>
      </c>
      <c r="G8480">
        <v>2035</v>
      </c>
      <c r="H8480" s="12">
        <v>4</v>
      </c>
      <c r="I8480" t="s">
        <v>3183</v>
      </c>
      <c r="J8480" t="s">
        <v>5</v>
      </c>
      <c r="K8480" t="s">
        <v>658</v>
      </c>
      <c r="L8480" t="s">
        <v>652</v>
      </c>
      <c r="M8480" t="s">
        <v>5</v>
      </c>
    </row>
    <row r="8481" spans="1:13">
      <c r="A8481" t="s">
        <v>851</v>
      </c>
      <c r="B8481" t="s">
        <v>686</v>
      </c>
      <c r="C8481" t="s">
        <v>686</v>
      </c>
      <c r="D8481" t="s">
        <v>3185</v>
      </c>
      <c r="E8481" t="s">
        <v>646</v>
      </c>
      <c r="F8481" t="s">
        <v>40</v>
      </c>
      <c r="G8481">
        <v>2040</v>
      </c>
      <c r="H8481" s="12">
        <v>3</v>
      </c>
      <c r="I8481" t="s">
        <v>3183</v>
      </c>
      <c r="J8481" t="s">
        <v>5</v>
      </c>
      <c r="K8481" t="s">
        <v>658</v>
      </c>
      <c r="L8481" t="s">
        <v>652</v>
      </c>
      <c r="M8481" t="s">
        <v>5</v>
      </c>
    </row>
    <row r="8482" spans="1:13">
      <c r="A8482" t="s">
        <v>851</v>
      </c>
      <c r="B8482" t="s">
        <v>686</v>
      </c>
      <c r="C8482" t="s">
        <v>686</v>
      </c>
      <c r="D8482" t="s">
        <v>3185</v>
      </c>
      <c r="E8482" t="s">
        <v>646</v>
      </c>
      <c r="F8482" t="s">
        <v>40</v>
      </c>
      <c r="G8482">
        <v>2045</v>
      </c>
      <c r="H8482" s="12">
        <v>1</v>
      </c>
      <c r="I8482" t="s">
        <v>3183</v>
      </c>
      <c r="J8482" t="s">
        <v>5</v>
      </c>
      <c r="K8482" t="s">
        <v>658</v>
      </c>
      <c r="L8482" t="s">
        <v>652</v>
      </c>
      <c r="M8482" t="s">
        <v>5</v>
      </c>
    </row>
    <row r="8483" spans="1:13">
      <c r="A8483" t="s">
        <v>851</v>
      </c>
      <c r="B8483" t="s">
        <v>686</v>
      </c>
      <c r="C8483" t="s">
        <v>686</v>
      </c>
      <c r="D8483" t="s">
        <v>3185</v>
      </c>
      <c r="E8483" t="s">
        <v>646</v>
      </c>
      <c r="F8483" t="s">
        <v>40</v>
      </c>
      <c r="G8483">
        <v>2050</v>
      </c>
      <c r="H8483" s="12">
        <v>0</v>
      </c>
      <c r="I8483" t="s">
        <v>3183</v>
      </c>
      <c r="J8483" t="s">
        <v>5</v>
      </c>
      <c r="K8483" t="s">
        <v>658</v>
      </c>
      <c r="L8483" t="s">
        <v>652</v>
      </c>
      <c r="M8483" t="s">
        <v>5</v>
      </c>
    </row>
    <row r="8484" spans="1:13">
      <c r="A8484" t="s">
        <v>851</v>
      </c>
      <c r="B8484" t="s">
        <v>687</v>
      </c>
      <c r="C8484" t="s">
        <v>687</v>
      </c>
      <c r="D8484" t="s">
        <v>3185</v>
      </c>
      <c r="E8484" t="s">
        <v>646</v>
      </c>
      <c r="F8484" t="s">
        <v>40</v>
      </c>
      <c r="G8484">
        <v>2030</v>
      </c>
      <c r="H8484" s="12">
        <v>6</v>
      </c>
      <c r="I8484" t="s">
        <v>3183</v>
      </c>
      <c r="J8484" t="s">
        <v>5</v>
      </c>
      <c r="K8484" t="s">
        <v>658</v>
      </c>
      <c r="L8484" t="s">
        <v>652</v>
      </c>
      <c r="M8484" t="s">
        <v>5</v>
      </c>
    </row>
    <row r="8485" spans="1:13">
      <c r="A8485" t="s">
        <v>851</v>
      </c>
      <c r="B8485" t="s">
        <v>687</v>
      </c>
      <c r="C8485" t="s">
        <v>687</v>
      </c>
      <c r="D8485" t="s">
        <v>3185</v>
      </c>
      <c r="E8485" t="s">
        <v>646</v>
      </c>
      <c r="F8485" t="s">
        <v>40</v>
      </c>
      <c r="G8485">
        <v>2035</v>
      </c>
      <c r="H8485" s="12">
        <v>4</v>
      </c>
      <c r="I8485" t="s">
        <v>3183</v>
      </c>
      <c r="J8485" t="s">
        <v>5</v>
      </c>
      <c r="K8485" t="s">
        <v>658</v>
      </c>
      <c r="L8485" t="s">
        <v>652</v>
      </c>
      <c r="M8485" t="s">
        <v>5</v>
      </c>
    </row>
    <row r="8486" spans="1:13">
      <c r="A8486" t="s">
        <v>851</v>
      </c>
      <c r="B8486" t="s">
        <v>687</v>
      </c>
      <c r="C8486" t="s">
        <v>687</v>
      </c>
      <c r="D8486" t="s">
        <v>3185</v>
      </c>
      <c r="E8486" t="s">
        <v>646</v>
      </c>
      <c r="F8486" t="s">
        <v>40</v>
      </c>
      <c r="G8486">
        <v>2040</v>
      </c>
      <c r="H8486" s="12">
        <v>2</v>
      </c>
      <c r="I8486" t="s">
        <v>3183</v>
      </c>
      <c r="J8486" t="s">
        <v>5</v>
      </c>
      <c r="K8486" t="s">
        <v>658</v>
      </c>
      <c r="L8486" t="s">
        <v>652</v>
      </c>
      <c r="M8486" t="s">
        <v>5</v>
      </c>
    </row>
    <row r="8487" spans="1:13">
      <c r="A8487" t="s">
        <v>851</v>
      </c>
      <c r="B8487" t="s">
        <v>687</v>
      </c>
      <c r="C8487" t="s">
        <v>687</v>
      </c>
      <c r="D8487" t="s">
        <v>3185</v>
      </c>
      <c r="E8487" t="s">
        <v>646</v>
      </c>
      <c r="F8487" t="s">
        <v>40</v>
      </c>
      <c r="G8487">
        <v>2045</v>
      </c>
      <c r="H8487" s="12">
        <v>1</v>
      </c>
      <c r="I8487" t="s">
        <v>3183</v>
      </c>
      <c r="J8487" t="s">
        <v>5</v>
      </c>
      <c r="K8487" t="s">
        <v>658</v>
      </c>
      <c r="L8487" t="s">
        <v>652</v>
      </c>
      <c r="M8487" t="s">
        <v>5</v>
      </c>
    </row>
    <row r="8488" spans="1:13">
      <c r="A8488" t="s">
        <v>851</v>
      </c>
      <c r="B8488" t="s">
        <v>687</v>
      </c>
      <c r="C8488" t="s">
        <v>687</v>
      </c>
      <c r="D8488" t="s">
        <v>3185</v>
      </c>
      <c r="E8488" t="s">
        <v>646</v>
      </c>
      <c r="F8488" t="s">
        <v>40</v>
      </c>
      <c r="G8488">
        <v>2050</v>
      </c>
      <c r="H8488" s="12">
        <v>0</v>
      </c>
      <c r="I8488" t="s">
        <v>3183</v>
      </c>
      <c r="J8488" t="s">
        <v>5</v>
      </c>
      <c r="K8488" t="s">
        <v>658</v>
      </c>
      <c r="L8488" t="s">
        <v>652</v>
      </c>
      <c r="M8488" t="s">
        <v>5</v>
      </c>
    </row>
    <row r="8489" spans="1:13">
      <c r="A8489" t="s">
        <v>851</v>
      </c>
      <c r="B8489" t="s">
        <v>686</v>
      </c>
      <c r="C8489" t="s">
        <v>686</v>
      </c>
      <c r="D8489" t="s">
        <v>3185</v>
      </c>
      <c r="E8489" t="s">
        <v>646</v>
      </c>
      <c r="F8489" t="s">
        <v>40</v>
      </c>
      <c r="G8489">
        <v>2010</v>
      </c>
      <c r="H8489" s="12">
        <v>5965</v>
      </c>
      <c r="I8489" t="s">
        <v>3183</v>
      </c>
      <c r="J8489" t="s">
        <v>6</v>
      </c>
      <c r="K8489" t="s">
        <v>9</v>
      </c>
      <c r="L8489" t="s">
        <v>652</v>
      </c>
      <c r="M8489" t="s">
        <v>666</v>
      </c>
    </row>
    <row r="8490" spans="1:13">
      <c r="A8490" t="s">
        <v>851</v>
      </c>
      <c r="B8490" t="s">
        <v>686</v>
      </c>
      <c r="C8490" t="s">
        <v>686</v>
      </c>
      <c r="D8490" t="s">
        <v>3185</v>
      </c>
      <c r="E8490" t="s">
        <v>646</v>
      </c>
      <c r="F8490" t="s">
        <v>40</v>
      </c>
      <c r="G8490">
        <v>2015</v>
      </c>
      <c r="H8490" s="12">
        <v>6592</v>
      </c>
      <c r="I8490" t="s">
        <v>3183</v>
      </c>
      <c r="J8490" t="s">
        <v>6</v>
      </c>
      <c r="K8490" t="s">
        <v>9</v>
      </c>
      <c r="L8490" t="s">
        <v>652</v>
      </c>
      <c r="M8490" t="s">
        <v>666</v>
      </c>
    </row>
    <row r="8491" spans="1:13">
      <c r="A8491" t="s">
        <v>851</v>
      </c>
      <c r="B8491" t="s">
        <v>686</v>
      </c>
      <c r="C8491" t="s">
        <v>686</v>
      </c>
      <c r="D8491" t="s">
        <v>3185</v>
      </c>
      <c r="E8491" t="s">
        <v>646</v>
      </c>
      <c r="F8491" t="s">
        <v>40</v>
      </c>
      <c r="G8491">
        <v>2020</v>
      </c>
      <c r="H8491" s="12">
        <v>7276</v>
      </c>
      <c r="I8491" t="s">
        <v>3183</v>
      </c>
      <c r="J8491" t="s">
        <v>6</v>
      </c>
      <c r="K8491" t="s">
        <v>9</v>
      </c>
      <c r="L8491" t="s">
        <v>652</v>
      </c>
      <c r="M8491" t="s">
        <v>666</v>
      </c>
    </row>
    <row r="8492" spans="1:13">
      <c r="A8492" t="s">
        <v>851</v>
      </c>
      <c r="B8492" t="s">
        <v>686</v>
      </c>
      <c r="C8492" t="s">
        <v>686</v>
      </c>
      <c r="D8492" t="s">
        <v>3185</v>
      </c>
      <c r="E8492" t="s">
        <v>646</v>
      </c>
      <c r="F8492" t="s">
        <v>40</v>
      </c>
      <c r="G8492">
        <v>2030</v>
      </c>
      <c r="H8492" s="12">
        <v>7882</v>
      </c>
      <c r="I8492" t="s">
        <v>3183</v>
      </c>
      <c r="J8492" t="s">
        <v>6</v>
      </c>
      <c r="K8492" t="s">
        <v>9</v>
      </c>
      <c r="L8492" t="s">
        <v>652</v>
      </c>
      <c r="M8492" t="s">
        <v>666</v>
      </c>
    </row>
    <row r="8493" spans="1:13">
      <c r="A8493" t="s">
        <v>851</v>
      </c>
      <c r="B8493" t="s">
        <v>686</v>
      </c>
      <c r="C8493" t="s">
        <v>686</v>
      </c>
      <c r="D8493" t="s">
        <v>3185</v>
      </c>
      <c r="E8493" t="s">
        <v>646</v>
      </c>
      <c r="F8493" t="s">
        <v>40</v>
      </c>
      <c r="G8493">
        <v>2035</v>
      </c>
      <c r="H8493" s="12">
        <v>7622</v>
      </c>
      <c r="I8493" t="s">
        <v>3183</v>
      </c>
      <c r="J8493" t="s">
        <v>6</v>
      </c>
      <c r="K8493" t="s">
        <v>9</v>
      </c>
      <c r="L8493" t="s">
        <v>652</v>
      </c>
      <c r="M8493" t="s">
        <v>666</v>
      </c>
    </row>
    <row r="8494" spans="1:13">
      <c r="A8494" t="s">
        <v>851</v>
      </c>
      <c r="B8494" t="s">
        <v>686</v>
      </c>
      <c r="C8494" t="s">
        <v>686</v>
      </c>
      <c r="D8494" t="s">
        <v>3185</v>
      </c>
      <c r="E8494" t="s">
        <v>646</v>
      </c>
      <c r="F8494" t="s">
        <v>40</v>
      </c>
      <c r="G8494">
        <v>2040</v>
      </c>
      <c r="H8494" s="12">
        <v>7198</v>
      </c>
      <c r="I8494" t="s">
        <v>3183</v>
      </c>
      <c r="J8494" t="s">
        <v>6</v>
      </c>
      <c r="K8494" t="s">
        <v>9</v>
      </c>
      <c r="L8494" t="s">
        <v>652</v>
      </c>
      <c r="M8494" t="s">
        <v>666</v>
      </c>
    </row>
    <row r="8495" spans="1:13">
      <c r="A8495" t="s">
        <v>851</v>
      </c>
      <c r="B8495" t="s">
        <v>686</v>
      </c>
      <c r="C8495" t="s">
        <v>686</v>
      </c>
      <c r="D8495" t="s">
        <v>3185</v>
      </c>
      <c r="E8495" t="s">
        <v>646</v>
      </c>
      <c r="F8495" t="s">
        <v>40</v>
      </c>
      <c r="G8495">
        <v>2045</v>
      </c>
      <c r="H8495" s="12">
        <v>6715</v>
      </c>
      <c r="I8495" t="s">
        <v>3183</v>
      </c>
      <c r="J8495" t="s">
        <v>6</v>
      </c>
      <c r="K8495" t="s">
        <v>9</v>
      </c>
      <c r="L8495" t="s">
        <v>652</v>
      </c>
      <c r="M8495" t="s">
        <v>666</v>
      </c>
    </row>
    <row r="8496" spans="1:13">
      <c r="A8496" t="s">
        <v>851</v>
      </c>
      <c r="B8496" t="s">
        <v>686</v>
      </c>
      <c r="C8496" t="s">
        <v>686</v>
      </c>
      <c r="D8496" t="s">
        <v>3185</v>
      </c>
      <c r="E8496" t="s">
        <v>646</v>
      </c>
      <c r="F8496" t="s">
        <v>40</v>
      </c>
      <c r="G8496">
        <v>2050</v>
      </c>
      <c r="H8496" s="12">
        <v>6320</v>
      </c>
      <c r="I8496" t="s">
        <v>3183</v>
      </c>
      <c r="J8496" t="s">
        <v>6</v>
      </c>
      <c r="K8496" t="s">
        <v>9</v>
      </c>
      <c r="L8496" t="s">
        <v>652</v>
      </c>
      <c r="M8496" t="s">
        <v>666</v>
      </c>
    </row>
    <row r="8497" spans="1:13">
      <c r="A8497" t="s">
        <v>851</v>
      </c>
      <c r="B8497" t="s">
        <v>687</v>
      </c>
      <c r="C8497" t="s">
        <v>687</v>
      </c>
      <c r="D8497" t="s">
        <v>3185</v>
      </c>
      <c r="E8497" t="s">
        <v>646</v>
      </c>
      <c r="F8497" t="s">
        <v>40</v>
      </c>
      <c r="G8497">
        <v>2030</v>
      </c>
      <c r="H8497" s="12">
        <v>6632</v>
      </c>
      <c r="I8497" t="s">
        <v>3183</v>
      </c>
      <c r="J8497" t="s">
        <v>6</v>
      </c>
      <c r="K8497" t="s">
        <v>9</v>
      </c>
      <c r="L8497" t="s">
        <v>652</v>
      </c>
      <c r="M8497" t="s">
        <v>666</v>
      </c>
    </row>
    <row r="8498" spans="1:13">
      <c r="A8498" t="s">
        <v>851</v>
      </c>
      <c r="B8498" t="s">
        <v>687</v>
      </c>
      <c r="C8498" t="s">
        <v>687</v>
      </c>
      <c r="D8498" t="s">
        <v>3185</v>
      </c>
      <c r="E8498" t="s">
        <v>646</v>
      </c>
      <c r="F8498" t="s">
        <v>40</v>
      </c>
      <c r="G8498">
        <v>2035</v>
      </c>
      <c r="H8498" s="12">
        <v>5581</v>
      </c>
      <c r="I8498" t="s">
        <v>3183</v>
      </c>
      <c r="J8498" t="s">
        <v>6</v>
      </c>
      <c r="K8498" t="s">
        <v>9</v>
      </c>
      <c r="L8498" t="s">
        <v>652</v>
      </c>
      <c r="M8498" t="s">
        <v>666</v>
      </c>
    </row>
    <row r="8499" spans="1:13">
      <c r="A8499" t="s">
        <v>851</v>
      </c>
      <c r="B8499" t="s">
        <v>687</v>
      </c>
      <c r="C8499" t="s">
        <v>687</v>
      </c>
      <c r="D8499" t="s">
        <v>3185</v>
      </c>
      <c r="E8499" t="s">
        <v>646</v>
      </c>
      <c r="F8499" t="s">
        <v>40</v>
      </c>
      <c r="G8499">
        <v>2040</v>
      </c>
      <c r="H8499" s="12">
        <v>4481</v>
      </c>
      <c r="I8499" t="s">
        <v>3183</v>
      </c>
      <c r="J8499" t="s">
        <v>6</v>
      </c>
      <c r="K8499" t="s">
        <v>9</v>
      </c>
      <c r="L8499" t="s">
        <v>652</v>
      </c>
      <c r="M8499" t="s">
        <v>666</v>
      </c>
    </row>
    <row r="8500" spans="1:13">
      <c r="A8500" t="s">
        <v>851</v>
      </c>
      <c r="B8500" t="s">
        <v>687</v>
      </c>
      <c r="C8500" t="s">
        <v>687</v>
      </c>
      <c r="D8500" t="s">
        <v>3185</v>
      </c>
      <c r="E8500" t="s">
        <v>646</v>
      </c>
      <c r="F8500" t="s">
        <v>40</v>
      </c>
      <c r="G8500">
        <v>2045</v>
      </c>
      <c r="H8500" s="12">
        <v>3450</v>
      </c>
      <c r="I8500" t="s">
        <v>3183</v>
      </c>
      <c r="J8500" t="s">
        <v>6</v>
      </c>
      <c r="K8500" t="s">
        <v>9</v>
      </c>
      <c r="L8500" t="s">
        <v>652</v>
      </c>
      <c r="M8500" t="s">
        <v>666</v>
      </c>
    </row>
    <row r="8501" spans="1:13">
      <c r="A8501" t="s">
        <v>851</v>
      </c>
      <c r="B8501" t="s">
        <v>687</v>
      </c>
      <c r="C8501" t="s">
        <v>687</v>
      </c>
      <c r="D8501" t="s">
        <v>3185</v>
      </c>
      <c r="E8501" t="s">
        <v>646</v>
      </c>
      <c r="F8501" t="s">
        <v>40</v>
      </c>
      <c r="G8501">
        <v>2050</v>
      </c>
      <c r="H8501" s="12">
        <v>2604</v>
      </c>
      <c r="I8501" t="s">
        <v>3183</v>
      </c>
      <c r="J8501" t="s">
        <v>6</v>
      </c>
      <c r="K8501" t="s">
        <v>9</v>
      </c>
      <c r="L8501" t="s">
        <v>652</v>
      </c>
      <c r="M8501" t="s">
        <v>666</v>
      </c>
    </row>
    <row r="8502" spans="1:13">
      <c r="A8502" t="s">
        <v>851</v>
      </c>
      <c r="B8502" t="s">
        <v>686</v>
      </c>
      <c r="C8502" t="s">
        <v>686</v>
      </c>
      <c r="D8502" t="s">
        <v>3185</v>
      </c>
      <c r="E8502" t="s">
        <v>646</v>
      </c>
      <c r="F8502" t="s">
        <v>40</v>
      </c>
      <c r="G8502">
        <v>2010</v>
      </c>
      <c r="H8502" s="12">
        <v>42</v>
      </c>
      <c r="I8502" t="s">
        <v>3183</v>
      </c>
      <c r="J8502" t="s">
        <v>344</v>
      </c>
      <c r="K8502" t="s">
        <v>11</v>
      </c>
      <c r="L8502" t="s">
        <v>652</v>
      </c>
      <c r="M8502" t="s">
        <v>10</v>
      </c>
    </row>
    <row r="8503" spans="1:13">
      <c r="A8503" t="s">
        <v>851</v>
      </c>
      <c r="B8503" t="s">
        <v>686</v>
      </c>
      <c r="C8503" t="s">
        <v>686</v>
      </c>
      <c r="D8503" t="s">
        <v>3185</v>
      </c>
      <c r="E8503" t="s">
        <v>646</v>
      </c>
      <c r="F8503" t="s">
        <v>40</v>
      </c>
      <c r="G8503">
        <v>2015</v>
      </c>
      <c r="H8503" s="12">
        <v>60</v>
      </c>
      <c r="I8503" t="s">
        <v>3183</v>
      </c>
      <c r="J8503" t="s">
        <v>344</v>
      </c>
      <c r="K8503" t="s">
        <v>11</v>
      </c>
      <c r="L8503" t="s">
        <v>652</v>
      </c>
      <c r="M8503" t="s">
        <v>10</v>
      </c>
    </row>
    <row r="8504" spans="1:13">
      <c r="A8504" t="s">
        <v>851</v>
      </c>
      <c r="B8504" t="s">
        <v>686</v>
      </c>
      <c r="C8504" t="s">
        <v>686</v>
      </c>
      <c r="D8504" t="s">
        <v>3185</v>
      </c>
      <c r="E8504" t="s">
        <v>646</v>
      </c>
      <c r="F8504" t="s">
        <v>40</v>
      </c>
      <c r="G8504">
        <v>2020</v>
      </c>
      <c r="H8504" s="12">
        <v>68</v>
      </c>
      <c r="I8504" t="s">
        <v>3183</v>
      </c>
      <c r="J8504" t="s">
        <v>344</v>
      </c>
      <c r="K8504" t="s">
        <v>11</v>
      </c>
      <c r="L8504" t="s">
        <v>652</v>
      </c>
      <c r="M8504" t="s">
        <v>10</v>
      </c>
    </row>
    <row r="8505" spans="1:13">
      <c r="A8505" t="s">
        <v>851</v>
      </c>
      <c r="B8505" t="s">
        <v>686</v>
      </c>
      <c r="C8505" t="s">
        <v>686</v>
      </c>
      <c r="D8505" t="s">
        <v>3185</v>
      </c>
      <c r="E8505" t="s">
        <v>646</v>
      </c>
      <c r="F8505" t="s">
        <v>40</v>
      </c>
      <c r="G8505">
        <v>2030</v>
      </c>
      <c r="H8505" s="12">
        <v>687</v>
      </c>
      <c r="I8505" t="s">
        <v>3183</v>
      </c>
      <c r="J8505" t="s">
        <v>344</v>
      </c>
      <c r="K8505" t="s">
        <v>11</v>
      </c>
      <c r="L8505" t="s">
        <v>652</v>
      </c>
      <c r="M8505" t="s">
        <v>10</v>
      </c>
    </row>
    <row r="8506" spans="1:13">
      <c r="A8506" t="s">
        <v>851</v>
      </c>
      <c r="B8506" t="s">
        <v>686</v>
      </c>
      <c r="C8506" t="s">
        <v>686</v>
      </c>
      <c r="D8506" t="s">
        <v>3185</v>
      </c>
      <c r="E8506" t="s">
        <v>646</v>
      </c>
      <c r="F8506" t="s">
        <v>40</v>
      </c>
      <c r="G8506">
        <v>2035</v>
      </c>
      <c r="H8506" s="12">
        <v>1313</v>
      </c>
      <c r="I8506" t="s">
        <v>3183</v>
      </c>
      <c r="J8506" t="s">
        <v>344</v>
      </c>
      <c r="K8506" t="s">
        <v>11</v>
      </c>
      <c r="L8506" t="s">
        <v>652</v>
      </c>
      <c r="M8506" t="s">
        <v>10</v>
      </c>
    </row>
    <row r="8507" spans="1:13">
      <c r="A8507" t="s">
        <v>851</v>
      </c>
      <c r="B8507" t="s">
        <v>686</v>
      </c>
      <c r="C8507" t="s">
        <v>686</v>
      </c>
      <c r="D8507" t="s">
        <v>3185</v>
      </c>
      <c r="E8507" t="s">
        <v>646</v>
      </c>
      <c r="F8507" t="s">
        <v>40</v>
      </c>
      <c r="G8507">
        <v>2040</v>
      </c>
      <c r="H8507" s="12">
        <v>1949</v>
      </c>
      <c r="I8507" t="s">
        <v>3183</v>
      </c>
      <c r="J8507" t="s">
        <v>344</v>
      </c>
      <c r="K8507" t="s">
        <v>11</v>
      </c>
      <c r="L8507" t="s">
        <v>652</v>
      </c>
      <c r="M8507" t="s">
        <v>10</v>
      </c>
    </row>
    <row r="8508" spans="1:13">
      <c r="A8508" t="s">
        <v>851</v>
      </c>
      <c r="B8508" t="s">
        <v>686</v>
      </c>
      <c r="C8508" t="s">
        <v>686</v>
      </c>
      <c r="D8508" t="s">
        <v>3185</v>
      </c>
      <c r="E8508" t="s">
        <v>646</v>
      </c>
      <c r="F8508" t="s">
        <v>40</v>
      </c>
      <c r="G8508">
        <v>2045</v>
      </c>
      <c r="H8508" s="12">
        <v>2523</v>
      </c>
      <c r="I8508" t="s">
        <v>3183</v>
      </c>
      <c r="J8508" t="s">
        <v>344</v>
      </c>
      <c r="K8508" t="s">
        <v>11</v>
      </c>
      <c r="L8508" t="s">
        <v>652</v>
      </c>
      <c r="M8508" t="s">
        <v>10</v>
      </c>
    </row>
    <row r="8509" spans="1:13">
      <c r="A8509" t="s">
        <v>851</v>
      </c>
      <c r="B8509" t="s">
        <v>686</v>
      </c>
      <c r="C8509" t="s">
        <v>686</v>
      </c>
      <c r="D8509" t="s">
        <v>3185</v>
      </c>
      <c r="E8509" t="s">
        <v>646</v>
      </c>
      <c r="F8509" t="s">
        <v>40</v>
      </c>
      <c r="G8509">
        <v>2050</v>
      </c>
      <c r="H8509" s="12">
        <v>3006</v>
      </c>
      <c r="I8509" t="s">
        <v>3183</v>
      </c>
      <c r="J8509" t="s">
        <v>344</v>
      </c>
      <c r="K8509" t="s">
        <v>11</v>
      </c>
      <c r="L8509" t="s">
        <v>652</v>
      </c>
      <c r="M8509" t="s">
        <v>10</v>
      </c>
    </row>
    <row r="8510" spans="1:13">
      <c r="A8510" t="s">
        <v>851</v>
      </c>
      <c r="B8510" t="s">
        <v>687</v>
      </c>
      <c r="C8510" t="s">
        <v>687</v>
      </c>
      <c r="D8510" t="s">
        <v>3185</v>
      </c>
      <c r="E8510" t="s">
        <v>646</v>
      </c>
      <c r="F8510" t="s">
        <v>40</v>
      </c>
      <c r="G8510">
        <v>2030</v>
      </c>
      <c r="H8510" s="12">
        <v>1134</v>
      </c>
      <c r="I8510" t="s">
        <v>3183</v>
      </c>
      <c r="J8510" t="s">
        <v>344</v>
      </c>
      <c r="K8510" t="s">
        <v>11</v>
      </c>
      <c r="L8510" t="s">
        <v>652</v>
      </c>
      <c r="M8510" t="s">
        <v>10</v>
      </c>
    </row>
    <row r="8511" spans="1:13">
      <c r="A8511" t="s">
        <v>851</v>
      </c>
      <c r="B8511" t="s">
        <v>687</v>
      </c>
      <c r="C8511" t="s">
        <v>687</v>
      </c>
      <c r="D8511" t="s">
        <v>3185</v>
      </c>
      <c r="E8511" t="s">
        <v>646</v>
      </c>
      <c r="F8511" t="s">
        <v>40</v>
      </c>
      <c r="G8511">
        <v>2035</v>
      </c>
      <c r="H8511" s="12">
        <v>2588</v>
      </c>
      <c r="I8511" t="s">
        <v>3183</v>
      </c>
      <c r="J8511" t="s">
        <v>344</v>
      </c>
      <c r="K8511" t="s">
        <v>11</v>
      </c>
      <c r="L8511" t="s">
        <v>652</v>
      </c>
      <c r="M8511" t="s">
        <v>10</v>
      </c>
    </row>
    <row r="8512" spans="1:13">
      <c r="A8512" t="s">
        <v>851</v>
      </c>
      <c r="B8512" t="s">
        <v>687</v>
      </c>
      <c r="C8512" t="s">
        <v>687</v>
      </c>
      <c r="D8512" t="s">
        <v>3185</v>
      </c>
      <c r="E8512" t="s">
        <v>646</v>
      </c>
      <c r="F8512" t="s">
        <v>40</v>
      </c>
      <c r="G8512">
        <v>2040</v>
      </c>
      <c r="H8512" s="12">
        <v>4175</v>
      </c>
      <c r="I8512" t="s">
        <v>3183</v>
      </c>
      <c r="J8512" t="s">
        <v>344</v>
      </c>
      <c r="K8512" t="s">
        <v>11</v>
      </c>
      <c r="L8512" t="s">
        <v>652</v>
      </c>
      <c r="M8512" t="s">
        <v>10</v>
      </c>
    </row>
    <row r="8513" spans="1:13">
      <c r="A8513" t="s">
        <v>851</v>
      </c>
      <c r="B8513" t="s">
        <v>687</v>
      </c>
      <c r="C8513" t="s">
        <v>687</v>
      </c>
      <c r="D8513" t="s">
        <v>3185</v>
      </c>
      <c r="E8513" t="s">
        <v>646</v>
      </c>
      <c r="F8513" t="s">
        <v>40</v>
      </c>
      <c r="G8513">
        <v>2045</v>
      </c>
      <c r="H8513" s="12">
        <v>5509</v>
      </c>
      <c r="I8513" t="s">
        <v>3183</v>
      </c>
      <c r="J8513" t="s">
        <v>344</v>
      </c>
      <c r="K8513" t="s">
        <v>11</v>
      </c>
      <c r="L8513" t="s">
        <v>652</v>
      </c>
      <c r="M8513" t="s">
        <v>10</v>
      </c>
    </row>
    <row r="8514" spans="1:13">
      <c r="A8514" t="s">
        <v>851</v>
      </c>
      <c r="B8514" t="s">
        <v>687</v>
      </c>
      <c r="C8514" t="s">
        <v>687</v>
      </c>
      <c r="D8514" t="s">
        <v>3185</v>
      </c>
      <c r="E8514" t="s">
        <v>646</v>
      </c>
      <c r="F8514" t="s">
        <v>40</v>
      </c>
      <c r="G8514">
        <v>2050</v>
      </c>
      <c r="H8514" s="12">
        <v>6522</v>
      </c>
      <c r="I8514" t="s">
        <v>3183</v>
      </c>
      <c r="J8514" t="s">
        <v>344</v>
      </c>
      <c r="K8514" t="s">
        <v>11</v>
      </c>
      <c r="L8514" t="s">
        <v>652</v>
      </c>
      <c r="M8514" t="s">
        <v>10</v>
      </c>
    </row>
    <row r="8515" spans="1:13">
      <c r="A8515" t="s">
        <v>851</v>
      </c>
      <c r="B8515" t="s">
        <v>686</v>
      </c>
      <c r="C8515" t="s">
        <v>686</v>
      </c>
      <c r="D8515" t="s">
        <v>3185</v>
      </c>
      <c r="E8515" t="s">
        <v>646</v>
      </c>
      <c r="F8515" t="s">
        <v>40</v>
      </c>
      <c r="G8515">
        <v>2010</v>
      </c>
      <c r="H8515" s="12">
        <v>27766</v>
      </c>
      <c r="I8515" t="s">
        <v>3183</v>
      </c>
      <c r="J8515" t="s">
        <v>394</v>
      </c>
      <c r="K8515" t="s">
        <v>11</v>
      </c>
      <c r="L8515" t="s">
        <v>652</v>
      </c>
      <c r="M8515" t="s">
        <v>16</v>
      </c>
    </row>
    <row r="8516" spans="1:13">
      <c r="A8516" t="s">
        <v>851</v>
      </c>
      <c r="B8516" t="s">
        <v>686</v>
      </c>
      <c r="C8516" t="s">
        <v>686</v>
      </c>
      <c r="D8516" t="s">
        <v>3185</v>
      </c>
      <c r="E8516" t="s">
        <v>646</v>
      </c>
      <c r="F8516" t="s">
        <v>40</v>
      </c>
      <c r="G8516">
        <v>2015</v>
      </c>
      <c r="H8516" s="12">
        <v>28050</v>
      </c>
      <c r="I8516" t="s">
        <v>3183</v>
      </c>
      <c r="J8516" t="s">
        <v>394</v>
      </c>
      <c r="K8516" t="s">
        <v>11</v>
      </c>
      <c r="L8516" t="s">
        <v>652</v>
      </c>
      <c r="M8516" t="s">
        <v>16</v>
      </c>
    </row>
    <row r="8517" spans="1:13">
      <c r="A8517" t="s">
        <v>851</v>
      </c>
      <c r="B8517" t="s">
        <v>686</v>
      </c>
      <c r="C8517" t="s">
        <v>686</v>
      </c>
      <c r="D8517" t="s">
        <v>3185</v>
      </c>
      <c r="E8517" t="s">
        <v>646</v>
      </c>
      <c r="F8517" t="s">
        <v>40</v>
      </c>
      <c r="G8517">
        <v>2020</v>
      </c>
      <c r="H8517" s="12">
        <v>24125</v>
      </c>
      <c r="I8517" t="s">
        <v>3183</v>
      </c>
      <c r="J8517" t="s">
        <v>394</v>
      </c>
      <c r="K8517" t="s">
        <v>11</v>
      </c>
      <c r="L8517" t="s">
        <v>652</v>
      </c>
      <c r="M8517" t="s">
        <v>16</v>
      </c>
    </row>
    <row r="8518" spans="1:13">
      <c r="A8518" t="s">
        <v>851</v>
      </c>
      <c r="B8518" t="s">
        <v>686</v>
      </c>
      <c r="C8518" t="s">
        <v>686</v>
      </c>
      <c r="D8518" t="s">
        <v>3185</v>
      </c>
      <c r="E8518" t="s">
        <v>646</v>
      </c>
      <c r="F8518" t="s">
        <v>40</v>
      </c>
      <c r="G8518">
        <v>2030</v>
      </c>
      <c r="H8518" s="12">
        <v>24350</v>
      </c>
      <c r="I8518" t="s">
        <v>3183</v>
      </c>
      <c r="J8518" t="s">
        <v>394</v>
      </c>
      <c r="K8518" t="s">
        <v>11</v>
      </c>
      <c r="L8518" t="s">
        <v>652</v>
      </c>
      <c r="M8518" t="s">
        <v>16</v>
      </c>
    </row>
    <row r="8519" spans="1:13">
      <c r="A8519" t="s">
        <v>851</v>
      </c>
      <c r="B8519" t="s">
        <v>686</v>
      </c>
      <c r="C8519" t="s">
        <v>686</v>
      </c>
      <c r="D8519" t="s">
        <v>3185</v>
      </c>
      <c r="E8519" t="s">
        <v>646</v>
      </c>
      <c r="F8519" t="s">
        <v>40</v>
      </c>
      <c r="G8519">
        <v>2035</v>
      </c>
      <c r="H8519" s="12">
        <v>22143</v>
      </c>
      <c r="I8519" t="s">
        <v>3183</v>
      </c>
      <c r="J8519" t="s">
        <v>394</v>
      </c>
      <c r="K8519" t="s">
        <v>11</v>
      </c>
      <c r="L8519" t="s">
        <v>652</v>
      </c>
      <c r="M8519" t="s">
        <v>16</v>
      </c>
    </row>
    <row r="8520" spans="1:13">
      <c r="A8520" t="s">
        <v>851</v>
      </c>
      <c r="B8520" t="s">
        <v>686</v>
      </c>
      <c r="C8520" t="s">
        <v>686</v>
      </c>
      <c r="D8520" t="s">
        <v>3185</v>
      </c>
      <c r="E8520" t="s">
        <v>646</v>
      </c>
      <c r="F8520" t="s">
        <v>40</v>
      </c>
      <c r="G8520">
        <v>2040</v>
      </c>
      <c r="H8520" s="12">
        <v>20117</v>
      </c>
      <c r="I8520" t="s">
        <v>3183</v>
      </c>
      <c r="J8520" t="s">
        <v>394</v>
      </c>
      <c r="K8520" t="s">
        <v>11</v>
      </c>
      <c r="L8520" t="s">
        <v>652</v>
      </c>
      <c r="M8520" t="s">
        <v>16</v>
      </c>
    </row>
    <row r="8521" spans="1:13">
      <c r="A8521" t="s">
        <v>851</v>
      </c>
      <c r="B8521" t="s">
        <v>686</v>
      </c>
      <c r="C8521" t="s">
        <v>686</v>
      </c>
      <c r="D8521" t="s">
        <v>3185</v>
      </c>
      <c r="E8521" t="s">
        <v>646</v>
      </c>
      <c r="F8521" t="s">
        <v>40</v>
      </c>
      <c r="G8521">
        <v>2045</v>
      </c>
      <c r="H8521" s="12">
        <v>18841</v>
      </c>
      <c r="I8521" t="s">
        <v>3183</v>
      </c>
      <c r="J8521" t="s">
        <v>394</v>
      </c>
      <c r="K8521" t="s">
        <v>11</v>
      </c>
      <c r="L8521" t="s">
        <v>652</v>
      </c>
      <c r="M8521" t="s">
        <v>16</v>
      </c>
    </row>
    <row r="8522" spans="1:13">
      <c r="A8522" t="s">
        <v>851</v>
      </c>
      <c r="B8522" t="s">
        <v>686</v>
      </c>
      <c r="C8522" t="s">
        <v>686</v>
      </c>
      <c r="D8522" t="s">
        <v>3185</v>
      </c>
      <c r="E8522" t="s">
        <v>646</v>
      </c>
      <c r="F8522" t="s">
        <v>40</v>
      </c>
      <c r="G8522">
        <v>2050</v>
      </c>
      <c r="H8522" s="12">
        <v>17695</v>
      </c>
      <c r="I8522" t="s">
        <v>3183</v>
      </c>
      <c r="J8522" t="s">
        <v>394</v>
      </c>
      <c r="K8522" t="s">
        <v>11</v>
      </c>
      <c r="L8522" t="s">
        <v>652</v>
      </c>
      <c r="M8522" t="s">
        <v>16</v>
      </c>
    </row>
    <row r="8523" spans="1:13">
      <c r="A8523" t="s">
        <v>851</v>
      </c>
      <c r="B8523" t="s">
        <v>687</v>
      </c>
      <c r="C8523" t="s">
        <v>687</v>
      </c>
      <c r="D8523" t="s">
        <v>3185</v>
      </c>
      <c r="E8523" t="s">
        <v>646</v>
      </c>
      <c r="F8523" t="s">
        <v>40</v>
      </c>
      <c r="G8523">
        <v>2030</v>
      </c>
      <c r="H8523" s="12">
        <v>21068</v>
      </c>
      <c r="I8523" t="s">
        <v>3183</v>
      </c>
      <c r="J8523" t="s">
        <v>394</v>
      </c>
      <c r="K8523" t="s">
        <v>11</v>
      </c>
      <c r="L8523" t="s">
        <v>652</v>
      </c>
      <c r="M8523" t="s">
        <v>16</v>
      </c>
    </row>
    <row r="8524" spans="1:13">
      <c r="A8524" t="s">
        <v>851</v>
      </c>
      <c r="B8524" t="s">
        <v>687</v>
      </c>
      <c r="C8524" t="s">
        <v>687</v>
      </c>
      <c r="D8524" t="s">
        <v>3185</v>
      </c>
      <c r="E8524" t="s">
        <v>646</v>
      </c>
      <c r="F8524" t="s">
        <v>40</v>
      </c>
      <c r="G8524">
        <v>2035</v>
      </c>
      <c r="H8524" s="12">
        <v>14956</v>
      </c>
      <c r="I8524" t="s">
        <v>3183</v>
      </c>
      <c r="J8524" t="s">
        <v>394</v>
      </c>
      <c r="K8524" t="s">
        <v>11</v>
      </c>
      <c r="L8524" t="s">
        <v>652</v>
      </c>
      <c r="M8524" t="s">
        <v>16</v>
      </c>
    </row>
    <row r="8525" spans="1:13">
      <c r="A8525" t="s">
        <v>851</v>
      </c>
      <c r="B8525" t="s">
        <v>687</v>
      </c>
      <c r="C8525" t="s">
        <v>687</v>
      </c>
      <c r="D8525" t="s">
        <v>3185</v>
      </c>
      <c r="E8525" t="s">
        <v>646</v>
      </c>
      <c r="F8525" t="s">
        <v>40</v>
      </c>
      <c r="G8525">
        <v>2040</v>
      </c>
      <c r="H8525" s="12">
        <v>9389</v>
      </c>
      <c r="I8525" t="s">
        <v>3183</v>
      </c>
      <c r="J8525" t="s">
        <v>394</v>
      </c>
      <c r="K8525" t="s">
        <v>11</v>
      </c>
      <c r="L8525" t="s">
        <v>652</v>
      </c>
      <c r="M8525" t="s">
        <v>16</v>
      </c>
    </row>
    <row r="8526" spans="1:13">
      <c r="A8526" t="s">
        <v>851</v>
      </c>
      <c r="B8526" t="s">
        <v>687</v>
      </c>
      <c r="C8526" t="s">
        <v>687</v>
      </c>
      <c r="D8526" t="s">
        <v>3185</v>
      </c>
      <c r="E8526" t="s">
        <v>646</v>
      </c>
      <c r="F8526" t="s">
        <v>40</v>
      </c>
      <c r="G8526">
        <v>2045</v>
      </c>
      <c r="H8526" s="12">
        <v>5675</v>
      </c>
      <c r="I8526" t="s">
        <v>3183</v>
      </c>
      <c r="J8526" t="s">
        <v>394</v>
      </c>
      <c r="K8526" t="s">
        <v>11</v>
      </c>
      <c r="L8526" t="s">
        <v>652</v>
      </c>
      <c r="M8526" t="s">
        <v>16</v>
      </c>
    </row>
    <row r="8527" spans="1:13">
      <c r="A8527" t="s">
        <v>851</v>
      </c>
      <c r="B8527" t="s">
        <v>687</v>
      </c>
      <c r="C8527" t="s">
        <v>687</v>
      </c>
      <c r="D8527" t="s">
        <v>3185</v>
      </c>
      <c r="E8527" t="s">
        <v>646</v>
      </c>
      <c r="F8527" t="s">
        <v>40</v>
      </c>
      <c r="G8527">
        <v>2050</v>
      </c>
      <c r="H8527" s="12">
        <v>3377</v>
      </c>
      <c r="I8527" t="s">
        <v>3183</v>
      </c>
      <c r="J8527" t="s">
        <v>394</v>
      </c>
      <c r="K8527" t="s">
        <v>11</v>
      </c>
      <c r="L8527" t="s">
        <v>652</v>
      </c>
      <c r="M8527" t="s">
        <v>16</v>
      </c>
    </row>
    <row r="8528" spans="1:13">
      <c r="A8528" t="s">
        <v>851</v>
      </c>
      <c r="B8528" t="s">
        <v>686</v>
      </c>
      <c r="C8528" t="s">
        <v>686</v>
      </c>
      <c r="D8528" t="s">
        <v>3185</v>
      </c>
      <c r="E8528" t="s">
        <v>646</v>
      </c>
      <c r="F8528" t="s">
        <v>40</v>
      </c>
      <c r="G8528">
        <v>2010</v>
      </c>
      <c r="H8528" s="12">
        <v>786</v>
      </c>
      <c r="I8528" t="s">
        <v>3183</v>
      </c>
      <c r="J8528" t="s">
        <v>6</v>
      </c>
      <c r="K8528" t="s">
        <v>11</v>
      </c>
      <c r="L8528" t="s">
        <v>652</v>
      </c>
      <c r="M8528" t="s">
        <v>659</v>
      </c>
    </row>
    <row r="8529" spans="1:13">
      <c r="A8529" t="s">
        <v>851</v>
      </c>
      <c r="B8529" t="s">
        <v>686</v>
      </c>
      <c r="C8529" t="s">
        <v>686</v>
      </c>
      <c r="D8529" t="s">
        <v>3185</v>
      </c>
      <c r="E8529" t="s">
        <v>646</v>
      </c>
      <c r="F8529" t="s">
        <v>40</v>
      </c>
      <c r="G8529">
        <v>2015</v>
      </c>
      <c r="H8529" s="12">
        <v>846</v>
      </c>
      <c r="I8529" t="s">
        <v>3183</v>
      </c>
      <c r="J8529" t="s">
        <v>6</v>
      </c>
      <c r="K8529" t="s">
        <v>11</v>
      </c>
      <c r="L8529" t="s">
        <v>652</v>
      </c>
      <c r="M8529" t="s">
        <v>659</v>
      </c>
    </row>
    <row r="8530" spans="1:13">
      <c r="A8530" t="s">
        <v>851</v>
      </c>
      <c r="B8530" t="s">
        <v>686</v>
      </c>
      <c r="C8530" t="s">
        <v>686</v>
      </c>
      <c r="D8530" t="s">
        <v>3185</v>
      </c>
      <c r="E8530" t="s">
        <v>646</v>
      </c>
      <c r="F8530" t="s">
        <v>40</v>
      </c>
      <c r="G8530">
        <v>2020</v>
      </c>
      <c r="H8530" s="12">
        <v>1181</v>
      </c>
      <c r="I8530" t="s">
        <v>3183</v>
      </c>
      <c r="J8530" t="s">
        <v>6</v>
      </c>
      <c r="K8530" t="s">
        <v>11</v>
      </c>
      <c r="L8530" t="s">
        <v>652</v>
      </c>
      <c r="M8530" t="s">
        <v>659</v>
      </c>
    </row>
    <row r="8531" spans="1:13">
      <c r="A8531" t="s">
        <v>851</v>
      </c>
      <c r="B8531" t="s">
        <v>686</v>
      </c>
      <c r="C8531" t="s">
        <v>686</v>
      </c>
      <c r="D8531" t="s">
        <v>3185</v>
      </c>
      <c r="E8531" t="s">
        <v>646</v>
      </c>
      <c r="F8531" t="s">
        <v>40</v>
      </c>
      <c r="G8531">
        <v>2010</v>
      </c>
      <c r="H8531" s="12">
        <v>1815</v>
      </c>
      <c r="I8531" t="s">
        <v>3183</v>
      </c>
      <c r="J8531" t="s">
        <v>5</v>
      </c>
      <c r="K8531" t="s">
        <v>9</v>
      </c>
      <c r="L8531" t="s">
        <v>652</v>
      </c>
      <c r="M8531" t="s">
        <v>665</v>
      </c>
    </row>
    <row r="8532" spans="1:13">
      <c r="A8532" t="s">
        <v>851</v>
      </c>
      <c r="B8532" t="s">
        <v>686</v>
      </c>
      <c r="C8532" t="s">
        <v>686</v>
      </c>
      <c r="D8532" t="s">
        <v>3185</v>
      </c>
      <c r="E8532" t="s">
        <v>646</v>
      </c>
      <c r="F8532" t="s">
        <v>40</v>
      </c>
      <c r="G8532">
        <v>2015</v>
      </c>
      <c r="H8532" s="12">
        <v>1537</v>
      </c>
      <c r="I8532" t="s">
        <v>3183</v>
      </c>
      <c r="J8532" t="s">
        <v>5</v>
      </c>
      <c r="K8532" t="s">
        <v>9</v>
      </c>
      <c r="L8532" t="s">
        <v>652</v>
      </c>
      <c r="M8532" t="s">
        <v>665</v>
      </c>
    </row>
    <row r="8533" spans="1:13">
      <c r="A8533" t="s">
        <v>851</v>
      </c>
      <c r="B8533" t="s">
        <v>686</v>
      </c>
      <c r="C8533" t="s">
        <v>686</v>
      </c>
      <c r="D8533" t="s">
        <v>3185</v>
      </c>
      <c r="E8533" t="s">
        <v>646</v>
      </c>
      <c r="F8533" t="s">
        <v>40</v>
      </c>
      <c r="G8533">
        <v>2020</v>
      </c>
      <c r="H8533" s="12">
        <v>1102</v>
      </c>
      <c r="I8533" t="s">
        <v>3183</v>
      </c>
      <c r="J8533" t="s">
        <v>5</v>
      </c>
      <c r="K8533" t="s">
        <v>9</v>
      </c>
      <c r="L8533" t="s">
        <v>652</v>
      </c>
      <c r="M8533" t="s">
        <v>665</v>
      </c>
    </row>
    <row r="8534" spans="1:13">
      <c r="A8534" t="s">
        <v>851</v>
      </c>
      <c r="B8534" t="s">
        <v>686</v>
      </c>
      <c r="C8534" t="s">
        <v>686</v>
      </c>
      <c r="D8534" t="s">
        <v>3185</v>
      </c>
      <c r="E8534" t="s">
        <v>646</v>
      </c>
      <c r="F8534" t="s">
        <v>40</v>
      </c>
      <c r="G8534">
        <v>2030</v>
      </c>
      <c r="H8534" s="12">
        <v>1091</v>
      </c>
      <c r="I8534" t="s">
        <v>3183</v>
      </c>
      <c r="J8534" t="s">
        <v>5</v>
      </c>
      <c r="K8534" t="s">
        <v>9</v>
      </c>
      <c r="L8534" t="s">
        <v>652</v>
      </c>
      <c r="M8534" t="s">
        <v>665</v>
      </c>
    </row>
    <row r="8535" spans="1:13">
      <c r="A8535" t="s">
        <v>851</v>
      </c>
      <c r="B8535" t="s">
        <v>686</v>
      </c>
      <c r="C8535" t="s">
        <v>686</v>
      </c>
      <c r="D8535" t="s">
        <v>3185</v>
      </c>
      <c r="E8535" t="s">
        <v>646</v>
      </c>
      <c r="F8535" t="s">
        <v>40</v>
      </c>
      <c r="G8535">
        <v>2035</v>
      </c>
      <c r="H8535" s="12">
        <v>1013</v>
      </c>
      <c r="I8535" t="s">
        <v>3183</v>
      </c>
      <c r="J8535" t="s">
        <v>5</v>
      </c>
      <c r="K8535" t="s">
        <v>9</v>
      </c>
      <c r="L8535" t="s">
        <v>652</v>
      </c>
      <c r="M8535" t="s">
        <v>665</v>
      </c>
    </row>
    <row r="8536" spans="1:13">
      <c r="A8536" t="s">
        <v>851</v>
      </c>
      <c r="B8536" t="s">
        <v>686</v>
      </c>
      <c r="C8536" t="s">
        <v>686</v>
      </c>
      <c r="D8536" t="s">
        <v>3185</v>
      </c>
      <c r="E8536" t="s">
        <v>646</v>
      </c>
      <c r="F8536" t="s">
        <v>40</v>
      </c>
      <c r="G8536">
        <v>2040</v>
      </c>
      <c r="H8536" s="12">
        <v>950</v>
      </c>
      <c r="I8536" t="s">
        <v>3183</v>
      </c>
      <c r="J8536" t="s">
        <v>5</v>
      </c>
      <c r="K8536" t="s">
        <v>9</v>
      </c>
      <c r="L8536" t="s">
        <v>652</v>
      </c>
      <c r="M8536" t="s">
        <v>665</v>
      </c>
    </row>
    <row r="8537" spans="1:13">
      <c r="A8537" t="s">
        <v>851</v>
      </c>
      <c r="B8537" t="s">
        <v>686</v>
      </c>
      <c r="C8537" t="s">
        <v>686</v>
      </c>
      <c r="D8537" t="s">
        <v>3185</v>
      </c>
      <c r="E8537" t="s">
        <v>646</v>
      </c>
      <c r="F8537" t="s">
        <v>40</v>
      </c>
      <c r="G8537">
        <v>2045</v>
      </c>
      <c r="H8537" s="12">
        <v>927</v>
      </c>
      <c r="I8537" t="s">
        <v>3183</v>
      </c>
      <c r="J8537" t="s">
        <v>5</v>
      </c>
      <c r="K8537" t="s">
        <v>9</v>
      </c>
      <c r="L8537" t="s">
        <v>652</v>
      </c>
      <c r="M8537" t="s">
        <v>665</v>
      </c>
    </row>
    <row r="8538" spans="1:13">
      <c r="A8538" t="s">
        <v>851</v>
      </c>
      <c r="B8538" t="s">
        <v>686</v>
      </c>
      <c r="C8538" t="s">
        <v>686</v>
      </c>
      <c r="D8538" t="s">
        <v>3185</v>
      </c>
      <c r="E8538" t="s">
        <v>646</v>
      </c>
      <c r="F8538" t="s">
        <v>40</v>
      </c>
      <c r="G8538">
        <v>2050</v>
      </c>
      <c r="H8538" s="12">
        <v>856</v>
      </c>
      <c r="I8538" t="s">
        <v>3183</v>
      </c>
      <c r="J8538" t="s">
        <v>5</v>
      </c>
      <c r="K8538" t="s">
        <v>9</v>
      </c>
      <c r="L8538" t="s">
        <v>652</v>
      </c>
      <c r="M8538" t="s">
        <v>665</v>
      </c>
    </row>
    <row r="8539" spans="1:13">
      <c r="A8539" t="s">
        <v>851</v>
      </c>
      <c r="B8539" t="s">
        <v>687</v>
      </c>
      <c r="C8539" t="s">
        <v>687</v>
      </c>
      <c r="D8539" t="s">
        <v>3185</v>
      </c>
      <c r="E8539" t="s">
        <v>646</v>
      </c>
      <c r="F8539" t="s">
        <v>40</v>
      </c>
      <c r="G8539">
        <v>2030</v>
      </c>
      <c r="H8539" s="12">
        <v>924</v>
      </c>
      <c r="I8539" t="s">
        <v>3183</v>
      </c>
      <c r="J8539" t="s">
        <v>5</v>
      </c>
      <c r="K8539" t="s">
        <v>9</v>
      </c>
      <c r="L8539" t="s">
        <v>652</v>
      </c>
      <c r="M8539" t="s">
        <v>665</v>
      </c>
    </row>
    <row r="8540" spans="1:13">
      <c r="A8540" t="s">
        <v>851</v>
      </c>
      <c r="B8540" t="s">
        <v>687</v>
      </c>
      <c r="C8540" t="s">
        <v>687</v>
      </c>
      <c r="D8540" t="s">
        <v>3185</v>
      </c>
      <c r="E8540" t="s">
        <v>646</v>
      </c>
      <c r="F8540" t="s">
        <v>40</v>
      </c>
      <c r="G8540">
        <v>2035</v>
      </c>
      <c r="H8540" s="12">
        <v>735</v>
      </c>
      <c r="I8540" t="s">
        <v>3183</v>
      </c>
      <c r="J8540" t="s">
        <v>5</v>
      </c>
      <c r="K8540" t="s">
        <v>9</v>
      </c>
      <c r="L8540" t="s">
        <v>652</v>
      </c>
      <c r="M8540" t="s">
        <v>665</v>
      </c>
    </row>
    <row r="8541" spans="1:13">
      <c r="A8541" t="s">
        <v>851</v>
      </c>
      <c r="B8541" t="s">
        <v>687</v>
      </c>
      <c r="C8541" t="s">
        <v>687</v>
      </c>
      <c r="D8541" t="s">
        <v>3185</v>
      </c>
      <c r="E8541" t="s">
        <v>646</v>
      </c>
      <c r="F8541" t="s">
        <v>40</v>
      </c>
      <c r="G8541">
        <v>2040</v>
      </c>
      <c r="H8541" s="12">
        <v>602</v>
      </c>
      <c r="I8541" t="s">
        <v>3183</v>
      </c>
      <c r="J8541" t="s">
        <v>5</v>
      </c>
      <c r="K8541" t="s">
        <v>9</v>
      </c>
      <c r="L8541" t="s">
        <v>652</v>
      </c>
      <c r="M8541" t="s">
        <v>665</v>
      </c>
    </row>
    <row r="8542" spans="1:13">
      <c r="A8542" t="s">
        <v>851</v>
      </c>
      <c r="B8542" t="s">
        <v>687</v>
      </c>
      <c r="C8542" t="s">
        <v>687</v>
      </c>
      <c r="D8542" t="s">
        <v>3185</v>
      </c>
      <c r="E8542" t="s">
        <v>646</v>
      </c>
      <c r="F8542" t="s">
        <v>40</v>
      </c>
      <c r="G8542">
        <v>2045</v>
      </c>
      <c r="H8542" s="12">
        <v>525</v>
      </c>
      <c r="I8542" t="s">
        <v>3183</v>
      </c>
      <c r="J8542" t="s">
        <v>5</v>
      </c>
      <c r="K8542" t="s">
        <v>9</v>
      </c>
      <c r="L8542" t="s">
        <v>652</v>
      </c>
      <c r="M8542" t="s">
        <v>665</v>
      </c>
    </row>
    <row r="8543" spans="1:13">
      <c r="A8543" t="s">
        <v>851</v>
      </c>
      <c r="B8543" t="s">
        <v>687</v>
      </c>
      <c r="C8543" t="s">
        <v>687</v>
      </c>
      <c r="D8543" t="s">
        <v>3185</v>
      </c>
      <c r="E8543" t="s">
        <v>646</v>
      </c>
      <c r="F8543" t="s">
        <v>40</v>
      </c>
      <c r="G8543">
        <v>2050</v>
      </c>
      <c r="H8543" s="12">
        <v>437</v>
      </c>
      <c r="I8543" t="s">
        <v>3183</v>
      </c>
      <c r="J8543" t="s">
        <v>5</v>
      </c>
      <c r="K8543" t="s">
        <v>9</v>
      </c>
      <c r="L8543" t="s">
        <v>652</v>
      </c>
      <c r="M8543" t="s">
        <v>665</v>
      </c>
    </row>
    <row r="8544" spans="1:13">
      <c r="A8544" t="s">
        <v>851</v>
      </c>
      <c r="B8544" t="s">
        <v>686</v>
      </c>
      <c r="C8544" t="s">
        <v>686</v>
      </c>
      <c r="D8544" t="s">
        <v>3185</v>
      </c>
      <c r="E8544" t="s">
        <v>646</v>
      </c>
      <c r="F8544" t="s">
        <v>40</v>
      </c>
      <c r="G8544">
        <v>2010</v>
      </c>
      <c r="H8544" s="12">
        <v>4062</v>
      </c>
      <c r="I8544" t="s">
        <v>3183</v>
      </c>
      <c r="J8544" t="s">
        <v>344</v>
      </c>
      <c r="K8544" t="s">
        <v>9</v>
      </c>
      <c r="L8544" t="s">
        <v>652</v>
      </c>
      <c r="M8544" t="s">
        <v>10</v>
      </c>
    </row>
    <row r="8545" spans="1:13">
      <c r="A8545" t="s">
        <v>851</v>
      </c>
      <c r="B8545" t="s">
        <v>686</v>
      </c>
      <c r="C8545" t="s">
        <v>686</v>
      </c>
      <c r="D8545" t="s">
        <v>3185</v>
      </c>
      <c r="E8545" t="s">
        <v>646</v>
      </c>
      <c r="F8545" t="s">
        <v>40</v>
      </c>
      <c r="G8545">
        <v>2015</v>
      </c>
      <c r="H8545" s="12">
        <v>4056</v>
      </c>
      <c r="I8545" t="s">
        <v>3183</v>
      </c>
      <c r="J8545" t="s">
        <v>344</v>
      </c>
      <c r="K8545" t="s">
        <v>9</v>
      </c>
      <c r="L8545" t="s">
        <v>652</v>
      </c>
      <c r="M8545" t="s">
        <v>10</v>
      </c>
    </row>
    <row r="8546" spans="1:13">
      <c r="A8546" t="s">
        <v>851</v>
      </c>
      <c r="B8546" t="s">
        <v>686</v>
      </c>
      <c r="C8546" t="s">
        <v>686</v>
      </c>
      <c r="D8546" t="s">
        <v>3185</v>
      </c>
      <c r="E8546" t="s">
        <v>646</v>
      </c>
      <c r="F8546" t="s">
        <v>40</v>
      </c>
      <c r="G8546">
        <v>2020</v>
      </c>
      <c r="H8546" s="12">
        <v>3749</v>
      </c>
      <c r="I8546" t="s">
        <v>3183</v>
      </c>
      <c r="J8546" t="s">
        <v>344</v>
      </c>
      <c r="K8546" t="s">
        <v>9</v>
      </c>
      <c r="L8546" t="s">
        <v>652</v>
      </c>
      <c r="M8546" t="s">
        <v>10</v>
      </c>
    </row>
    <row r="8547" spans="1:13">
      <c r="A8547" t="s">
        <v>851</v>
      </c>
      <c r="B8547" t="s">
        <v>686</v>
      </c>
      <c r="C8547" t="s">
        <v>686</v>
      </c>
      <c r="D8547" t="s">
        <v>3185</v>
      </c>
      <c r="E8547" t="s">
        <v>646</v>
      </c>
      <c r="F8547" t="s">
        <v>40</v>
      </c>
      <c r="G8547">
        <v>2030</v>
      </c>
      <c r="H8547" s="12">
        <v>4364</v>
      </c>
      <c r="I8547" t="s">
        <v>3183</v>
      </c>
      <c r="J8547" t="s">
        <v>344</v>
      </c>
      <c r="K8547" t="s">
        <v>9</v>
      </c>
      <c r="L8547" t="s">
        <v>652</v>
      </c>
      <c r="M8547" t="s">
        <v>10</v>
      </c>
    </row>
    <row r="8548" spans="1:13">
      <c r="A8548" t="s">
        <v>851</v>
      </c>
      <c r="B8548" t="s">
        <v>686</v>
      </c>
      <c r="C8548" t="s">
        <v>686</v>
      </c>
      <c r="D8548" t="s">
        <v>3185</v>
      </c>
      <c r="E8548" t="s">
        <v>646</v>
      </c>
      <c r="F8548" t="s">
        <v>40</v>
      </c>
      <c r="G8548">
        <v>2035</v>
      </c>
      <c r="H8548" s="12">
        <v>4769</v>
      </c>
      <c r="I8548" t="s">
        <v>3183</v>
      </c>
      <c r="J8548" t="s">
        <v>344</v>
      </c>
      <c r="K8548" t="s">
        <v>9</v>
      </c>
      <c r="L8548" t="s">
        <v>652</v>
      </c>
      <c r="M8548" t="s">
        <v>10</v>
      </c>
    </row>
    <row r="8549" spans="1:13">
      <c r="A8549" t="s">
        <v>851</v>
      </c>
      <c r="B8549" t="s">
        <v>686</v>
      </c>
      <c r="C8549" t="s">
        <v>686</v>
      </c>
      <c r="D8549" t="s">
        <v>3185</v>
      </c>
      <c r="E8549" t="s">
        <v>646</v>
      </c>
      <c r="F8549" t="s">
        <v>40</v>
      </c>
      <c r="G8549">
        <v>2040</v>
      </c>
      <c r="H8549" s="12">
        <v>5178</v>
      </c>
      <c r="I8549" t="s">
        <v>3183</v>
      </c>
      <c r="J8549" t="s">
        <v>344</v>
      </c>
      <c r="K8549" t="s">
        <v>9</v>
      </c>
      <c r="L8549" t="s">
        <v>652</v>
      </c>
      <c r="M8549" t="s">
        <v>10</v>
      </c>
    </row>
    <row r="8550" spans="1:13">
      <c r="A8550" t="s">
        <v>851</v>
      </c>
      <c r="B8550" t="s">
        <v>686</v>
      </c>
      <c r="C8550" t="s">
        <v>686</v>
      </c>
      <c r="D8550" t="s">
        <v>3185</v>
      </c>
      <c r="E8550" t="s">
        <v>646</v>
      </c>
      <c r="F8550" t="s">
        <v>40</v>
      </c>
      <c r="G8550">
        <v>2045</v>
      </c>
      <c r="H8550" s="12">
        <v>5608</v>
      </c>
      <c r="I8550" t="s">
        <v>3183</v>
      </c>
      <c r="J8550" t="s">
        <v>344</v>
      </c>
      <c r="K8550" t="s">
        <v>9</v>
      </c>
      <c r="L8550" t="s">
        <v>652</v>
      </c>
      <c r="M8550" t="s">
        <v>10</v>
      </c>
    </row>
    <row r="8551" spans="1:13">
      <c r="A8551" t="s">
        <v>851</v>
      </c>
      <c r="B8551" t="s">
        <v>686</v>
      </c>
      <c r="C8551" t="s">
        <v>686</v>
      </c>
      <c r="D8551" t="s">
        <v>3185</v>
      </c>
      <c r="E8551" t="s">
        <v>646</v>
      </c>
      <c r="F8551" t="s">
        <v>40</v>
      </c>
      <c r="G8551">
        <v>2050</v>
      </c>
      <c r="H8551" s="12">
        <v>6004</v>
      </c>
      <c r="I8551" t="s">
        <v>3183</v>
      </c>
      <c r="J8551" t="s">
        <v>344</v>
      </c>
      <c r="K8551" t="s">
        <v>9</v>
      </c>
      <c r="L8551" t="s">
        <v>652</v>
      </c>
      <c r="M8551" t="s">
        <v>10</v>
      </c>
    </row>
    <row r="8552" spans="1:13">
      <c r="A8552" t="s">
        <v>851</v>
      </c>
      <c r="B8552" t="s">
        <v>687</v>
      </c>
      <c r="C8552" t="s">
        <v>687</v>
      </c>
      <c r="D8552" t="s">
        <v>3185</v>
      </c>
      <c r="E8552" t="s">
        <v>646</v>
      </c>
      <c r="F8552" t="s">
        <v>40</v>
      </c>
      <c r="G8552">
        <v>2030</v>
      </c>
      <c r="H8552" s="12">
        <v>4654</v>
      </c>
      <c r="I8552" t="s">
        <v>3183</v>
      </c>
      <c r="J8552" t="s">
        <v>344</v>
      </c>
      <c r="K8552" t="s">
        <v>9</v>
      </c>
      <c r="L8552" t="s">
        <v>652</v>
      </c>
      <c r="M8552" t="s">
        <v>10</v>
      </c>
    </row>
    <row r="8553" spans="1:13">
      <c r="A8553" t="s">
        <v>851</v>
      </c>
      <c r="B8553" t="s">
        <v>687</v>
      </c>
      <c r="C8553" t="s">
        <v>687</v>
      </c>
      <c r="D8553" t="s">
        <v>3185</v>
      </c>
      <c r="E8553" t="s">
        <v>646</v>
      </c>
      <c r="F8553" t="s">
        <v>40</v>
      </c>
      <c r="G8553">
        <v>2035</v>
      </c>
      <c r="H8553" s="12">
        <v>5138</v>
      </c>
      <c r="I8553" t="s">
        <v>3183</v>
      </c>
      <c r="J8553" t="s">
        <v>344</v>
      </c>
      <c r="K8553" t="s">
        <v>9</v>
      </c>
      <c r="L8553" t="s">
        <v>652</v>
      </c>
      <c r="M8553" t="s">
        <v>10</v>
      </c>
    </row>
    <row r="8554" spans="1:13">
      <c r="A8554" t="s">
        <v>851</v>
      </c>
      <c r="B8554" t="s">
        <v>687</v>
      </c>
      <c r="C8554" t="s">
        <v>687</v>
      </c>
      <c r="D8554" t="s">
        <v>3185</v>
      </c>
      <c r="E8554" t="s">
        <v>646</v>
      </c>
      <c r="F8554" t="s">
        <v>40</v>
      </c>
      <c r="G8554">
        <v>2040</v>
      </c>
      <c r="H8554" s="12">
        <v>5582</v>
      </c>
      <c r="I8554" t="s">
        <v>3183</v>
      </c>
      <c r="J8554" t="s">
        <v>344</v>
      </c>
      <c r="K8554" t="s">
        <v>9</v>
      </c>
      <c r="L8554" t="s">
        <v>652</v>
      </c>
      <c r="M8554" t="s">
        <v>10</v>
      </c>
    </row>
    <row r="8555" spans="1:13">
      <c r="A8555" t="s">
        <v>851</v>
      </c>
      <c r="B8555" t="s">
        <v>687</v>
      </c>
      <c r="C8555" t="s">
        <v>687</v>
      </c>
      <c r="D8555" t="s">
        <v>3185</v>
      </c>
      <c r="E8555" t="s">
        <v>646</v>
      </c>
      <c r="F8555" t="s">
        <v>40</v>
      </c>
      <c r="G8555">
        <v>2045</v>
      </c>
      <c r="H8555" s="12">
        <v>6049</v>
      </c>
      <c r="I8555" t="s">
        <v>3183</v>
      </c>
      <c r="J8555" t="s">
        <v>344</v>
      </c>
      <c r="K8555" t="s">
        <v>9</v>
      </c>
      <c r="L8555" t="s">
        <v>652</v>
      </c>
      <c r="M8555" t="s">
        <v>10</v>
      </c>
    </row>
    <row r="8556" spans="1:13">
      <c r="A8556" t="s">
        <v>851</v>
      </c>
      <c r="B8556" t="s">
        <v>687</v>
      </c>
      <c r="C8556" t="s">
        <v>687</v>
      </c>
      <c r="D8556" t="s">
        <v>3185</v>
      </c>
      <c r="E8556" t="s">
        <v>646</v>
      </c>
      <c r="F8556" t="s">
        <v>40</v>
      </c>
      <c r="G8556">
        <v>2050</v>
      </c>
      <c r="H8556" s="12">
        <v>6460</v>
      </c>
      <c r="I8556" t="s">
        <v>3183</v>
      </c>
      <c r="J8556" t="s">
        <v>344</v>
      </c>
      <c r="K8556" t="s">
        <v>9</v>
      </c>
      <c r="L8556" t="s">
        <v>652</v>
      </c>
      <c r="M8556" t="s">
        <v>10</v>
      </c>
    </row>
    <row r="8557" spans="1:13">
      <c r="A8557" t="s">
        <v>851</v>
      </c>
      <c r="B8557" t="s">
        <v>686</v>
      </c>
      <c r="C8557" t="s">
        <v>686</v>
      </c>
      <c r="D8557" t="s">
        <v>3185</v>
      </c>
      <c r="E8557" t="s">
        <v>573</v>
      </c>
      <c r="F8557" t="s">
        <v>40</v>
      </c>
      <c r="G8557">
        <v>2010</v>
      </c>
      <c r="H8557" s="12">
        <v>10205</v>
      </c>
      <c r="I8557" t="s">
        <v>3183</v>
      </c>
      <c r="J8557" t="s">
        <v>15</v>
      </c>
      <c r="K8557" t="s">
        <v>147</v>
      </c>
      <c r="L8557" t="s">
        <v>652</v>
      </c>
      <c r="M8557" t="s">
        <v>15</v>
      </c>
    </row>
    <row r="8558" spans="1:13">
      <c r="A8558" t="s">
        <v>851</v>
      </c>
      <c r="B8558" t="s">
        <v>686</v>
      </c>
      <c r="C8558" t="s">
        <v>686</v>
      </c>
      <c r="D8558" t="s">
        <v>3185</v>
      </c>
      <c r="E8558" t="s">
        <v>573</v>
      </c>
      <c r="F8558" t="s">
        <v>40</v>
      </c>
      <c r="G8558">
        <v>2015</v>
      </c>
      <c r="H8558" s="12">
        <v>10295</v>
      </c>
      <c r="I8558" t="s">
        <v>3183</v>
      </c>
      <c r="J8558" t="s">
        <v>15</v>
      </c>
      <c r="K8558" t="s">
        <v>147</v>
      </c>
      <c r="L8558" t="s">
        <v>652</v>
      </c>
      <c r="M8558" t="s">
        <v>15</v>
      </c>
    </row>
    <row r="8559" spans="1:13">
      <c r="A8559" t="s">
        <v>851</v>
      </c>
      <c r="B8559" t="s">
        <v>686</v>
      </c>
      <c r="C8559" t="s">
        <v>686</v>
      </c>
      <c r="D8559" t="s">
        <v>3185</v>
      </c>
      <c r="E8559" t="s">
        <v>573</v>
      </c>
      <c r="F8559" t="s">
        <v>40</v>
      </c>
      <c r="G8559">
        <v>2020</v>
      </c>
      <c r="H8559" s="12">
        <v>10140</v>
      </c>
      <c r="I8559" t="s">
        <v>3183</v>
      </c>
      <c r="J8559" t="s">
        <v>15</v>
      </c>
      <c r="K8559" t="s">
        <v>147</v>
      </c>
      <c r="L8559" t="s">
        <v>652</v>
      </c>
      <c r="M8559" t="s">
        <v>15</v>
      </c>
    </row>
    <row r="8560" spans="1:13">
      <c r="A8560" t="s">
        <v>851</v>
      </c>
      <c r="B8560" t="s">
        <v>686</v>
      </c>
      <c r="C8560" t="s">
        <v>686</v>
      </c>
      <c r="D8560" t="s">
        <v>3185</v>
      </c>
      <c r="E8560" t="s">
        <v>573</v>
      </c>
      <c r="F8560" t="s">
        <v>40</v>
      </c>
      <c r="G8560">
        <v>2030</v>
      </c>
      <c r="H8560" s="12">
        <v>9869</v>
      </c>
      <c r="I8560" t="s">
        <v>3183</v>
      </c>
      <c r="J8560" t="s">
        <v>15</v>
      </c>
      <c r="K8560" t="s">
        <v>147</v>
      </c>
      <c r="L8560" t="s">
        <v>652</v>
      </c>
      <c r="M8560" t="s">
        <v>15</v>
      </c>
    </row>
    <row r="8561" spans="1:13">
      <c r="A8561" t="s">
        <v>851</v>
      </c>
      <c r="B8561" t="s">
        <v>686</v>
      </c>
      <c r="C8561" t="s">
        <v>686</v>
      </c>
      <c r="D8561" t="s">
        <v>3185</v>
      </c>
      <c r="E8561" t="s">
        <v>573</v>
      </c>
      <c r="F8561" t="s">
        <v>40</v>
      </c>
      <c r="G8561">
        <v>2035</v>
      </c>
      <c r="H8561" s="12">
        <v>9640</v>
      </c>
      <c r="I8561" t="s">
        <v>3183</v>
      </c>
      <c r="J8561" t="s">
        <v>15</v>
      </c>
      <c r="K8561" t="s">
        <v>147</v>
      </c>
      <c r="L8561" t="s">
        <v>652</v>
      </c>
      <c r="M8561" t="s">
        <v>15</v>
      </c>
    </row>
    <row r="8562" spans="1:13">
      <c r="A8562" t="s">
        <v>851</v>
      </c>
      <c r="B8562" t="s">
        <v>686</v>
      </c>
      <c r="C8562" t="s">
        <v>686</v>
      </c>
      <c r="D8562" t="s">
        <v>3185</v>
      </c>
      <c r="E8562" t="s">
        <v>573</v>
      </c>
      <c r="F8562" t="s">
        <v>40</v>
      </c>
      <c r="G8562">
        <v>2040</v>
      </c>
      <c r="H8562" s="12">
        <v>9786</v>
      </c>
      <c r="I8562" t="s">
        <v>3183</v>
      </c>
      <c r="J8562" t="s">
        <v>15</v>
      </c>
      <c r="K8562" t="s">
        <v>147</v>
      </c>
      <c r="L8562" t="s">
        <v>652</v>
      </c>
      <c r="M8562" t="s">
        <v>15</v>
      </c>
    </row>
    <row r="8563" spans="1:13">
      <c r="A8563" t="s">
        <v>851</v>
      </c>
      <c r="B8563" t="s">
        <v>686</v>
      </c>
      <c r="C8563" t="s">
        <v>686</v>
      </c>
      <c r="D8563" t="s">
        <v>3185</v>
      </c>
      <c r="E8563" t="s">
        <v>573</v>
      </c>
      <c r="F8563" t="s">
        <v>40</v>
      </c>
      <c r="G8563">
        <v>2045</v>
      </c>
      <c r="H8563" s="12">
        <v>9489</v>
      </c>
      <c r="I8563" t="s">
        <v>3183</v>
      </c>
      <c r="J8563" t="s">
        <v>15</v>
      </c>
      <c r="K8563" t="s">
        <v>147</v>
      </c>
      <c r="L8563" t="s">
        <v>652</v>
      </c>
      <c r="M8563" t="s">
        <v>15</v>
      </c>
    </row>
    <row r="8564" spans="1:13">
      <c r="A8564" t="s">
        <v>851</v>
      </c>
      <c r="B8564" t="s">
        <v>686</v>
      </c>
      <c r="C8564" t="s">
        <v>686</v>
      </c>
      <c r="D8564" t="s">
        <v>3185</v>
      </c>
      <c r="E8564" t="s">
        <v>573</v>
      </c>
      <c r="F8564" t="s">
        <v>40</v>
      </c>
      <c r="G8564">
        <v>2050</v>
      </c>
      <c r="H8564" s="12">
        <v>9652</v>
      </c>
      <c r="I8564" t="s">
        <v>3183</v>
      </c>
      <c r="J8564" t="s">
        <v>15</v>
      </c>
      <c r="K8564" t="s">
        <v>147</v>
      </c>
      <c r="L8564" t="s">
        <v>652</v>
      </c>
      <c r="M8564" t="s">
        <v>15</v>
      </c>
    </row>
    <row r="8565" spans="1:13">
      <c r="A8565" t="s">
        <v>851</v>
      </c>
      <c r="B8565" t="s">
        <v>687</v>
      </c>
      <c r="C8565" t="s">
        <v>687</v>
      </c>
      <c r="D8565" t="s">
        <v>3185</v>
      </c>
      <c r="E8565" t="s">
        <v>573</v>
      </c>
      <c r="F8565" t="s">
        <v>40</v>
      </c>
      <c r="G8565">
        <v>2030</v>
      </c>
      <c r="H8565" s="12">
        <v>10076</v>
      </c>
      <c r="I8565" t="s">
        <v>3183</v>
      </c>
      <c r="J8565" t="s">
        <v>15</v>
      </c>
      <c r="K8565" t="s">
        <v>147</v>
      </c>
      <c r="L8565" t="s">
        <v>652</v>
      </c>
      <c r="M8565" t="s">
        <v>15</v>
      </c>
    </row>
    <row r="8566" spans="1:13">
      <c r="A8566" t="s">
        <v>851</v>
      </c>
      <c r="B8566" t="s">
        <v>687</v>
      </c>
      <c r="C8566" t="s">
        <v>687</v>
      </c>
      <c r="D8566" t="s">
        <v>3185</v>
      </c>
      <c r="E8566" t="s">
        <v>573</v>
      </c>
      <c r="F8566" t="s">
        <v>40</v>
      </c>
      <c r="G8566">
        <v>2035</v>
      </c>
      <c r="H8566" s="12">
        <v>9940</v>
      </c>
      <c r="I8566" t="s">
        <v>3183</v>
      </c>
      <c r="J8566" t="s">
        <v>15</v>
      </c>
      <c r="K8566" t="s">
        <v>147</v>
      </c>
      <c r="L8566" t="s">
        <v>652</v>
      </c>
      <c r="M8566" t="s">
        <v>15</v>
      </c>
    </row>
    <row r="8567" spans="1:13">
      <c r="A8567" t="s">
        <v>851</v>
      </c>
      <c r="B8567" t="s">
        <v>687</v>
      </c>
      <c r="C8567" t="s">
        <v>687</v>
      </c>
      <c r="D8567" t="s">
        <v>3185</v>
      </c>
      <c r="E8567" t="s">
        <v>573</v>
      </c>
      <c r="F8567" t="s">
        <v>40</v>
      </c>
      <c r="G8567">
        <v>2040</v>
      </c>
      <c r="H8567" s="12">
        <v>10664</v>
      </c>
      <c r="I8567" t="s">
        <v>3183</v>
      </c>
      <c r="J8567" t="s">
        <v>15</v>
      </c>
      <c r="K8567" t="s">
        <v>147</v>
      </c>
      <c r="L8567" t="s">
        <v>652</v>
      </c>
      <c r="M8567" t="s">
        <v>15</v>
      </c>
    </row>
    <row r="8568" spans="1:13">
      <c r="A8568" t="s">
        <v>851</v>
      </c>
      <c r="B8568" t="s">
        <v>687</v>
      </c>
      <c r="C8568" t="s">
        <v>687</v>
      </c>
      <c r="D8568" t="s">
        <v>3185</v>
      </c>
      <c r="E8568" t="s">
        <v>573</v>
      </c>
      <c r="F8568" t="s">
        <v>40</v>
      </c>
      <c r="G8568">
        <v>2045</v>
      </c>
      <c r="H8568" s="12">
        <v>11054</v>
      </c>
      <c r="I8568" t="s">
        <v>3183</v>
      </c>
      <c r="J8568" t="s">
        <v>15</v>
      </c>
      <c r="K8568" t="s">
        <v>147</v>
      </c>
      <c r="L8568" t="s">
        <v>652</v>
      </c>
      <c r="M8568" t="s">
        <v>15</v>
      </c>
    </row>
    <row r="8569" spans="1:13">
      <c r="A8569" t="s">
        <v>851</v>
      </c>
      <c r="B8569" t="s">
        <v>687</v>
      </c>
      <c r="C8569" t="s">
        <v>687</v>
      </c>
      <c r="D8569" t="s">
        <v>3185</v>
      </c>
      <c r="E8569" t="s">
        <v>573</v>
      </c>
      <c r="F8569" t="s">
        <v>40</v>
      </c>
      <c r="G8569">
        <v>2050</v>
      </c>
      <c r="H8569" s="12">
        <v>11851</v>
      </c>
      <c r="I8569" t="s">
        <v>3183</v>
      </c>
      <c r="J8569" t="s">
        <v>15</v>
      </c>
      <c r="K8569" t="s">
        <v>147</v>
      </c>
      <c r="L8569" t="s">
        <v>652</v>
      </c>
      <c r="M8569" t="s">
        <v>15</v>
      </c>
    </row>
    <row r="8570" spans="1:13">
      <c r="A8570" t="s">
        <v>851</v>
      </c>
      <c r="B8570" t="s">
        <v>686</v>
      </c>
      <c r="C8570" t="s">
        <v>686</v>
      </c>
      <c r="D8570" t="s">
        <v>3185</v>
      </c>
      <c r="E8570" t="s">
        <v>573</v>
      </c>
      <c r="F8570" t="s">
        <v>40</v>
      </c>
      <c r="G8570">
        <v>2010</v>
      </c>
      <c r="H8570" s="12">
        <v>9458</v>
      </c>
      <c r="I8570" t="s">
        <v>3183</v>
      </c>
      <c r="J8570" t="s">
        <v>6</v>
      </c>
      <c r="K8570" t="s">
        <v>147</v>
      </c>
      <c r="L8570" t="s">
        <v>652</v>
      </c>
      <c r="M8570" t="s">
        <v>659</v>
      </c>
    </row>
    <row r="8571" spans="1:13">
      <c r="A8571" t="s">
        <v>851</v>
      </c>
      <c r="B8571" t="s">
        <v>686</v>
      </c>
      <c r="C8571" t="s">
        <v>686</v>
      </c>
      <c r="D8571" t="s">
        <v>3185</v>
      </c>
      <c r="E8571" t="s">
        <v>573</v>
      </c>
      <c r="F8571" t="s">
        <v>40</v>
      </c>
      <c r="G8571">
        <v>2015</v>
      </c>
      <c r="H8571" s="12">
        <v>12191</v>
      </c>
      <c r="I8571" t="s">
        <v>3183</v>
      </c>
      <c r="J8571" t="s">
        <v>6</v>
      </c>
      <c r="K8571" t="s">
        <v>147</v>
      </c>
      <c r="L8571" t="s">
        <v>652</v>
      </c>
      <c r="M8571" t="s">
        <v>659</v>
      </c>
    </row>
    <row r="8572" spans="1:13">
      <c r="A8572" t="s">
        <v>851</v>
      </c>
      <c r="B8572" t="s">
        <v>686</v>
      </c>
      <c r="C8572" t="s">
        <v>686</v>
      </c>
      <c r="D8572" t="s">
        <v>3185</v>
      </c>
      <c r="E8572" t="s">
        <v>573</v>
      </c>
      <c r="F8572" t="s">
        <v>40</v>
      </c>
      <c r="G8572">
        <v>2020</v>
      </c>
      <c r="H8572" s="12">
        <v>14085</v>
      </c>
      <c r="I8572" t="s">
        <v>3183</v>
      </c>
      <c r="J8572" t="s">
        <v>6</v>
      </c>
      <c r="K8572" t="s">
        <v>147</v>
      </c>
      <c r="L8572" t="s">
        <v>652</v>
      </c>
      <c r="M8572" t="s">
        <v>659</v>
      </c>
    </row>
    <row r="8573" spans="1:13">
      <c r="A8573" t="s">
        <v>851</v>
      </c>
      <c r="B8573" t="s">
        <v>687</v>
      </c>
      <c r="C8573" t="s">
        <v>687</v>
      </c>
      <c r="D8573" t="s">
        <v>3185</v>
      </c>
      <c r="E8573" t="s">
        <v>573</v>
      </c>
      <c r="F8573" t="s">
        <v>40</v>
      </c>
      <c r="G8573">
        <v>2050</v>
      </c>
      <c r="H8573" s="12">
        <v>8</v>
      </c>
      <c r="I8573" t="s">
        <v>3183</v>
      </c>
      <c r="J8573" t="s">
        <v>394</v>
      </c>
      <c r="K8573" t="s">
        <v>147</v>
      </c>
      <c r="L8573" t="s">
        <v>652</v>
      </c>
      <c r="M8573" t="s">
        <v>16</v>
      </c>
    </row>
    <row r="8574" spans="1:13">
      <c r="A8574" t="s">
        <v>851</v>
      </c>
      <c r="B8574" t="s">
        <v>686</v>
      </c>
      <c r="C8574" t="s">
        <v>686</v>
      </c>
      <c r="D8574" t="s">
        <v>3185</v>
      </c>
      <c r="E8574" t="s">
        <v>573</v>
      </c>
      <c r="F8574" t="s">
        <v>40</v>
      </c>
      <c r="G8574">
        <v>2010</v>
      </c>
      <c r="H8574" s="12">
        <v>20524</v>
      </c>
      <c r="I8574" t="s">
        <v>3183</v>
      </c>
      <c r="J8574" t="s">
        <v>5</v>
      </c>
      <c r="K8574" t="s">
        <v>147</v>
      </c>
      <c r="L8574" t="s">
        <v>652</v>
      </c>
      <c r="M8574" t="s">
        <v>5</v>
      </c>
    </row>
    <row r="8575" spans="1:13">
      <c r="A8575" t="s">
        <v>851</v>
      </c>
      <c r="B8575" t="s">
        <v>686</v>
      </c>
      <c r="C8575" t="s">
        <v>686</v>
      </c>
      <c r="D8575" t="s">
        <v>3185</v>
      </c>
      <c r="E8575" t="s">
        <v>573</v>
      </c>
      <c r="F8575" t="s">
        <v>40</v>
      </c>
      <c r="G8575">
        <v>2015</v>
      </c>
      <c r="H8575" s="12">
        <v>15223</v>
      </c>
      <c r="I8575" t="s">
        <v>3183</v>
      </c>
      <c r="J8575" t="s">
        <v>5</v>
      </c>
      <c r="K8575" t="s">
        <v>147</v>
      </c>
      <c r="L8575" t="s">
        <v>652</v>
      </c>
      <c r="M8575" t="s">
        <v>5</v>
      </c>
    </row>
    <row r="8576" spans="1:13">
      <c r="A8576" t="s">
        <v>851</v>
      </c>
      <c r="B8576" t="s">
        <v>686</v>
      </c>
      <c r="C8576" t="s">
        <v>686</v>
      </c>
      <c r="D8576" t="s">
        <v>3185</v>
      </c>
      <c r="E8576" t="s">
        <v>573</v>
      </c>
      <c r="F8576" t="s">
        <v>40</v>
      </c>
      <c r="G8576">
        <v>2020</v>
      </c>
      <c r="H8576" s="12">
        <v>8882</v>
      </c>
      <c r="I8576" t="s">
        <v>3183</v>
      </c>
      <c r="J8576" t="s">
        <v>5</v>
      </c>
      <c r="K8576" t="s">
        <v>147</v>
      </c>
      <c r="L8576" t="s">
        <v>652</v>
      </c>
      <c r="M8576" t="s">
        <v>5</v>
      </c>
    </row>
    <row r="8577" spans="1:13">
      <c r="A8577" t="s">
        <v>851</v>
      </c>
      <c r="B8577" t="s">
        <v>686</v>
      </c>
      <c r="C8577" t="s">
        <v>686</v>
      </c>
      <c r="D8577" t="s">
        <v>3185</v>
      </c>
      <c r="E8577" t="s">
        <v>573</v>
      </c>
      <c r="F8577" t="s">
        <v>40</v>
      </c>
      <c r="G8577">
        <v>2030</v>
      </c>
      <c r="H8577" s="12">
        <v>2000</v>
      </c>
      <c r="I8577" t="s">
        <v>3183</v>
      </c>
      <c r="J8577" t="s">
        <v>5</v>
      </c>
      <c r="K8577" t="s">
        <v>147</v>
      </c>
      <c r="L8577" t="s">
        <v>652</v>
      </c>
      <c r="M8577" t="s">
        <v>5</v>
      </c>
    </row>
    <row r="8578" spans="1:13">
      <c r="A8578" t="s">
        <v>851</v>
      </c>
      <c r="B8578" t="s">
        <v>686</v>
      </c>
      <c r="C8578" t="s">
        <v>686</v>
      </c>
      <c r="D8578" t="s">
        <v>3185</v>
      </c>
      <c r="E8578" t="s">
        <v>573</v>
      </c>
      <c r="F8578" t="s">
        <v>40</v>
      </c>
      <c r="G8578">
        <v>2035</v>
      </c>
      <c r="H8578" s="12">
        <v>594</v>
      </c>
      <c r="I8578" t="s">
        <v>3183</v>
      </c>
      <c r="J8578" t="s">
        <v>5</v>
      </c>
      <c r="K8578" t="s">
        <v>147</v>
      </c>
      <c r="L8578" t="s">
        <v>652</v>
      </c>
      <c r="M8578" t="s">
        <v>5</v>
      </c>
    </row>
    <row r="8579" spans="1:13">
      <c r="A8579" t="s">
        <v>851</v>
      </c>
      <c r="B8579" t="s">
        <v>686</v>
      </c>
      <c r="C8579" t="s">
        <v>686</v>
      </c>
      <c r="D8579" t="s">
        <v>3185</v>
      </c>
      <c r="E8579" t="s">
        <v>573</v>
      </c>
      <c r="F8579" t="s">
        <v>40</v>
      </c>
      <c r="G8579">
        <v>2040</v>
      </c>
      <c r="H8579" s="12">
        <v>454</v>
      </c>
      <c r="I8579" t="s">
        <v>3183</v>
      </c>
      <c r="J8579" t="s">
        <v>5</v>
      </c>
      <c r="K8579" t="s">
        <v>147</v>
      </c>
      <c r="L8579" t="s">
        <v>652</v>
      </c>
      <c r="M8579" t="s">
        <v>5</v>
      </c>
    </row>
    <row r="8580" spans="1:13">
      <c r="A8580" t="s">
        <v>851</v>
      </c>
      <c r="B8580" t="s">
        <v>686</v>
      </c>
      <c r="C8580" t="s">
        <v>686</v>
      </c>
      <c r="D8580" t="s">
        <v>3185</v>
      </c>
      <c r="E8580" t="s">
        <v>573</v>
      </c>
      <c r="F8580" t="s">
        <v>40</v>
      </c>
      <c r="G8580">
        <v>2045</v>
      </c>
      <c r="H8580" s="12">
        <v>388</v>
      </c>
      <c r="I8580" t="s">
        <v>3183</v>
      </c>
      <c r="J8580" t="s">
        <v>5</v>
      </c>
      <c r="K8580" t="s">
        <v>147</v>
      </c>
      <c r="L8580" t="s">
        <v>652</v>
      </c>
      <c r="M8580" t="s">
        <v>5</v>
      </c>
    </row>
    <row r="8581" spans="1:13">
      <c r="A8581" t="s">
        <v>851</v>
      </c>
      <c r="B8581" t="s">
        <v>686</v>
      </c>
      <c r="C8581" t="s">
        <v>686</v>
      </c>
      <c r="D8581" t="s">
        <v>3185</v>
      </c>
      <c r="E8581" t="s">
        <v>573</v>
      </c>
      <c r="F8581" t="s">
        <v>40</v>
      </c>
      <c r="G8581">
        <v>2050</v>
      </c>
      <c r="H8581" s="12">
        <v>337</v>
      </c>
      <c r="I8581" t="s">
        <v>3183</v>
      </c>
      <c r="J8581" t="s">
        <v>5</v>
      </c>
      <c r="K8581" t="s">
        <v>147</v>
      </c>
      <c r="L8581" t="s">
        <v>652</v>
      </c>
      <c r="M8581" t="s">
        <v>5</v>
      </c>
    </row>
    <row r="8582" spans="1:13">
      <c r="A8582" t="s">
        <v>851</v>
      </c>
      <c r="B8582" t="s">
        <v>687</v>
      </c>
      <c r="C8582" t="s">
        <v>687</v>
      </c>
      <c r="D8582" t="s">
        <v>3185</v>
      </c>
      <c r="E8582" t="s">
        <v>573</v>
      </c>
      <c r="F8582" t="s">
        <v>40</v>
      </c>
      <c r="G8582">
        <v>2030</v>
      </c>
      <c r="H8582" s="12">
        <v>1349</v>
      </c>
      <c r="I8582" t="s">
        <v>3183</v>
      </c>
      <c r="J8582" t="s">
        <v>5</v>
      </c>
      <c r="K8582" t="s">
        <v>147</v>
      </c>
      <c r="L8582" t="s">
        <v>652</v>
      </c>
      <c r="M8582" t="s">
        <v>5</v>
      </c>
    </row>
    <row r="8583" spans="1:13">
      <c r="A8583" t="s">
        <v>851</v>
      </c>
      <c r="B8583" t="s">
        <v>687</v>
      </c>
      <c r="C8583" t="s">
        <v>687</v>
      </c>
      <c r="D8583" t="s">
        <v>3185</v>
      </c>
      <c r="E8583" t="s">
        <v>573</v>
      </c>
      <c r="F8583" t="s">
        <v>40</v>
      </c>
      <c r="G8583">
        <v>2035</v>
      </c>
      <c r="H8583" s="12">
        <v>453</v>
      </c>
      <c r="I8583" t="s">
        <v>3183</v>
      </c>
      <c r="J8583" t="s">
        <v>5</v>
      </c>
      <c r="K8583" t="s">
        <v>147</v>
      </c>
      <c r="L8583" t="s">
        <v>652</v>
      </c>
      <c r="M8583" t="s">
        <v>5</v>
      </c>
    </row>
    <row r="8584" spans="1:13">
      <c r="A8584" t="s">
        <v>851</v>
      </c>
      <c r="B8584" t="s">
        <v>687</v>
      </c>
      <c r="C8584" t="s">
        <v>687</v>
      </c>
      <c r="D8584" t="s">
        <v>3185</v>
      </c>
      <c r="E8584" t="s">
        <v>573</v>
      </c>
      <c r="F8584" t="s">
        <v>40</v>
      </c>
      <c r="G8584">
        <v>2040</v>
      </c>
      <c r="H8584" s="12">
        <v>438</v>
      </c>
      <c r="I8584" t="s">
        <v>3183</v>
      </c>
      <c r="J8584" t="s">
        <v>5</v>
      </c>
      <c r="K8584" t="s">
        <v>147</v>
      </c>
      <c r="L8584" t="s">
        <v>652</v>
      </c>
      <c r="M8584" t="s">
        <v>5</v>
      </c>
    </row>
    <row r="8585" spans="1:13">
      <c r="A8585" t="s">
        <v>851</v>
      </c>
      <c r="B8585" t="s">
        <v>687</v>
      </c>
      <c r="C8585" t="s">
        <v>687</v>
      </c>
      <c r="D8585" t="s">
        <v>3185</v>
      </c>
      <c r="E8585" t="s">
        <v>573</v>
      </c>
      <c r="F8585" t="s">
        <v>40</v>
      </c>
      <c r="G8585">
        <v>2045</v>
      </c>
      <c r="H8585" s="12">
        <v>426</v>
      </c>
      <c r="I8585" t="s">
        <v>3183</v>
      </c>
      <c r="J8585" t="s">
        <v>5</v>
      </c>
      <c r="K8585" t="s">
        <v>147</v>
      </c>
      <c r="L8585" t="s">
        <v>652</v>
      </c>
      <c r="M8585" t="s">
        <v>5</v>
      </c>
    </row>
    <row r="8586" spans="1:13">
      <c r="A8586" t="s">
        <v>851</v>
      </c>
      <c r="B8586" t="s">
        <v>687</v>
      </c>
      <c r="C8586" t="s">
        <v>687</v>
      </c>
      <c r="D8586" t="s">
        <v>3185</v>
      </c>
      <c r="E8586" t="s">
        <v>573</v>
      </c>
      <c r="F8586" t="s">
        <v>40</v>
      </c>
      <c r="G8586">
        <v>2050</v>
      </c>
      <c r="H8586" s="12">
        <v>420</v>
      </c>
      <c r="I8586" t="s">
        <v>3183</v>
      </c>
      <c r="J8586" t="s">
        <v>5</v>
      </c>
      <c r="K8586" t="s">
        <v>147</v>
      </c>
      <c r="L8586" t="s">
        <v>652</v>
      </c>
      <c r="M8586" t="s">
        <v>5</v>
      </c>
    </row>
    <row r="8587" spans="1:13">
      <c r="A8587" t="s">
        <v>851</v>
      </c>
      <c r="B8587" t="s">
        <v>686</v>
      </c>
      <c r="C8587" t="s">
        <v>686</v>
      </c>
      <c r="D8587" t="s">
        <v>3185</v>
      </c>
      <c r="E8587" t="s">
        <v>660</v>
      </c>
      <c r="F8587" t="s">
        <v>40</v>
      </c>
      <c r="G8587">
        <v>2030</v>
      </c>
      <c r="H8587" s="12">
        <v>2812</v>
      </c>
      <c r="I8587" t="s">
        <v>3183</v>
      </c>
      <c r="J8587" t="s">
        <v>14</v>
      </c>
      <c r="K8587" t="s">
        <v>657</v>
      </c>
      <c r="L8587" t="s">
        <v>652</v>
      </c>
      <c r="M8587" t="s">
        <v>14</v>
      </c>
    </row>
    <row r="8588" spans="1:13">
      <c r="A8588" t="s">
        <v>851</v>
      </c>
      <c r="B8588" t="s">
        <v>686</v>
      </c>
      <c r="C8588" t="s">
        <v>686</v>
      </c>
      <c r="D8588" t="s">
        <v>3185</v>
      </c>
      <c r="E8588" t="s">
        <v>660</v>
      </c>
      <c r="F8588" t="s">
        <v>40</v>
      </c>
      <c r="G8588">
        <v>2035</v>
      </c>
      <c r="H8588" s="12">
        <v>2877</v>
      </c>
      <c r="I8588" t="s">
        <v>3183</v>
      </c>
      <c r="J8588" t="s">
        <v>14</v>
      </c>
      <c r="K8588" t="s">
        <v>657</v>
      </c>
      <c r="L8588" t="s">
        <v>652</v>
      </c>
      <c r="M8588" t="s">
        <v>14</v>
      </c>
    </row>
    <row r="8589" spans="1:13">
      <c r="A8589" t="s">
        <v>851</v>
      </c>
      <c r="B8589" t="s">
        <v>686</v>
      </c>
      <c r="C8589" t="s">
        <v>686</v>
      </c>
      <c r="D8589" t="s">
        <v>3185</v>
      </c>
      <c r="E8589" t="s">
        <v>660</v>
      </c>
      <c r="F8589" t="s">
        <v>40</v>
      </c>
      <c r="G8589">
        <v>2040</v>
      </c>
      <c r="H8589" s="12">
        <v>2941</v>
      </c>
      <c r="I8589" t="s">
        <v>3183</v>
      </c>
      <c r="J8589" t="s">
        <v>14</v>
      </c>
      <c r="K8589" t="s">
        <v>657</v>
      </c>
      <c r="L8589" t="s">
        <v>652</v>
      </c>
      <c r="M8589" t="s">
        <v>14</v>
      </c>
    </row>
    <row r="8590" spans="1:13">
      <c r="A8590" t="s">
        <v>851</v>
      </c>
      <c r="B8590" t="s">
        <v>686</v>
      </c>
      <c r="C8590" t="s">
        <v>686</v>
      </c>
      <c r="D8590" t="s">
        <v>3185</v>
      </c>
      <c r="E8590" t="s">
        <v>660</v>
      </c>
      <c r="F8590" t="s">
        <v>40</v>
      </c>
      <c r="G8590">
        <v>2045</v>
      </c>
      <c r="H8590" s="12">
        <v>3021</v>
      </c>
      <c r="I8590" t="s">
        <v>3183</v>
      </c>
      <c r="J8590" t="s">
        <v>14</v>
      </c>
      <c r="K8590" t="s">
        <v>657</v>
      </c>
      <c r="L8590" t="s">
        <v>652</v>
      </c>
      <c r="M8590" t="s">
        <v>14</v>
      </c>
    </row>
    <row r="8591" spans="1:13">
      <c r="A8591" t="s">
        <v>851</v>
      </c>
      <c r="B8591" t="s">
        <v>686</v>
      </c>
      <c r="C8591" t="s">
        <v>686</v>
      </c>
      <c r="D8591" t="s">
        <v>3185</v>
      </c>
      <c r="E8591" t="s">
        <v>660</v>
      </c>
      <c r="F8591" t="s">
        <v>40</v>
      </c>
      <c r="G8591">
        <v>2050</v>
      </c>
      <c r="H8591" s="12">
        <v>3104</v>
      </c>
      <c r="I8591" t="s">
        <v>3183</v>
      </c>
      <c r="J8591" t="s">
        <v>14</v>
      </c>
      <c r="K8591" t="s">
        <v>657</v>
      </c>
      <c r="L8591" t="s">
        <v>652</v>
      </c>
      <c r="M8591" t="s">
        <v>14</v>
      </c>
    </row>
    <row r="8592" spans="1:13">
      <c r="A8592" t="s">
        <v>851</v>
      </c>
      <c r="B8592" t="s">
        <v>687</v>
      </c>
      <c r="C8592" t="s">
        <v>687</v>
      </c>
      <c r="D8592" t="s">
        <v>3185</v>
      </c>
      <c r="E8592" t="s">
        <v>660</v>
      </c>
      <c r="F8592" t="s">
        <v>40</v>
      </c>
      <c r="G8592">
        <v>2030</v>
      </c>
      <c r="H8592" s="12">
        <v>2857</v>
      </c>
      <c r="I8592" t="s">
        <v>3183</v>
      </c>
      <c r="J8592" t="s">
        <v>14</v>
      </c>
      <c r="K8592" t="s">
        <v>657</v>
      </c>
      <c r="L8592" t="s">
        <v>652</v>
      </c>
      <c r="M8592" t="s">
        <v>14</v>
      </c>
    </row>
    <row r="8593" spans="1:13">
      <c r="A8593" t="s">
        <v>851</v>
      </c>
      <c r="B8593" t="s">
        <v>687</v>
      </c>
      <c r="C8593" t="s">
        <v>687</v>
      </c>
      <c r="D8593" t="s">
        <v>3185</v>
      </c>
      <c r="E8593" t="s">
        <v>660</v>
      </c>
      <c r="F8593" t="s">
        <v>40</v>
      </c>
      <c r="G8593">
        <v>2035</v>
      </c>
      <c r="H8593" s="12">
        <v>2956</v>
      </c>
      <c r="I8593" t="s">
        <v>3183</v>
      </c>
      <c r="J8593" t="s">
        <v>14</v>
      </c>
      <c r="K8593" t="s">
        <v>657</v>
      </c>
      <c r="L8593" t="s">
        <v>652</v>
      </c>
      <c r="M8593" t="s">
        <v>14</v>
      </c>
    </row>
    <row r="8594" spans="1:13">
      <c r="A8594" t="s">
        <v>851</v>
      </c>
      <c r="B8594" t="s">
        <v>687</v>
      </c>
      <c r="C8594" t="s">
        <v>687</v>
      </c>
      <c r="D8594" t="s">
        <v>3185</v>
      </c>
      <c r="E8594" t="s">
        <v>660</v>
      </c>
      <c r="F8594" t="s">
        <v>40</v>
      </c>
      <c r="G8594">
        <v>2040</v>
      </c>
      <c r="H8594" s="12">
        <v>3010</v>
      </c>
      <c r="I8594" t="s">
        <v>3183</v>
      </c>
      <c r="J8594" t="s">
        <v>14</v>
      </c>
      <c r="K8594" t="s">
        <v>657</v>
      </c>
      <c r="L8594" t="s">
        <v>652</v>
      </c>
      <c r="M8594" t="s">
        <v>14</v>
      </c>
    </row>
    <row r="8595" spans="1:13">
      <c r="A8595" t="s">
        <v>851</v>
      </c>
      <c r="B8595" t="s">
        <v>687</v>
      </c>
      <c r="C8595" t="s">
        <v>687</v>
      </c>
      <c r="D8595" t="s">
        <v>3185</v>
      </c>
      <c r="E8595" t="s">
        <v>660</v>
      </c>
      <c r="F8595" t="s">
        <v>40</v>
      </c>
      <c r="G8595">
        <v>2045</v>
      </c>
      <c r="H8595" s="12">
        <v>2987</v>
      </c>
      <c r="I8595" t="s">
        <v>3183</v>
      </c>
      <c r="J8595" t="s">
        <v>14</v>
      </c>
      <c r="K8595" t="s">
        <v>657</v>
      </c>
      <c r="L8595" t="s">
        <v>652</v>
      </c>
      <c r="M8595" t="s">
        <v>14</v>
      </c>
    </row>
    <row r="8596" spans="1:13">
      <c r="A8596" t="s">
        <v>851</v>
      </c>
      <c r="B8596" t="s">
        <v>687</v>
      </c>
      <c r="C8596" t="s">
        <v>687</v>
      </c>
      <c r="D8596" t="s">
        <v>3185</v>
      </c>
      <c r="E8596" t="s">
        <v>660</v>
      </c>
      <c r="F8596" t="s">
        <v>40</v>
      </c>
      <c r="G8596">
        <v>2050</v>
      </c>
      <c r="H8596" s="12">
        <v>2955</v>
      </c>
      <c r="I8596" t="s">
        <v>3183</v>
      </c>
      <c r="J8596" t="s">
        <v>14</v>
      </c>
      <c r="K8596" t="s">
        <v>657</v>
      </c>
      <c r="L8596" t="s">
        <v>652</v>
      </c>
      <c r="M8596" t="s">
        <v>14</v>
      </c>
    </row>
    <row r="8597" spans="1:13">
      <c r="A8597" t="s">
        <v>851</v>
      </c>
      <c r="B8597" t="s">
        <v>686</v>
      </c>
      <c r="C8597" t="s">
        <v>686</v>
      </c>
      <c r="D8597" t="s">
        <v>3185</v>
      </c>
      <c r="E8597" t="s">
        <v>660</v>
      </c>
      <c r="F8597" t="s">
        <v>40</v>
      </c>
      <c r="G8597">
        <v>2010</v>
      </c>
      <c r="H8597" s="12">
        <v>5879</v>
      </c>
      <c r="I8597" t="s">
        <v>3183</v>
      </c>
      <c r="J8597" t="s">
        <v>41</v>
      </c>
      <c r="K8597" t="s">
        <v>657</v>
      </c>
      <c r="L8597" t="s">
        <v>652</v>
      </c>
      <c r="M8597" t="s">
        <v>662</v>
      </c>
    </row>
    <row r="8598" spans="1:13">
      <c r="A8598" t="s">
        <v>851</v>
      </c>
      <c r="B8598" t="s">
        <v>686</v>
      </c>
      <c r="C8598" t="s">
        <v>686</v>
      </c>
      <c r="D8598" t="s">
        <v>3185</v>
      </c>
      <c r="E8598" t="s">
        <v>660</v>
      </c>
      <c r="F8598" t="s">
        <v>40</v>
      </c>
      <c r="G8598">
        <v>2015</v>
      </c>
      <c r="H8598" s="12">
        <v>7073</v>
      </c>
      <c r="I8598" t="s">
        <v>3183</v>
      </c>
      <c r="J8598" t="s">
        <v>41</v>
      </c>
      <c r="K8598" t="s">
        <v>657</v>
      </c>
      <c r="L8598" t="s">
        <v>652</v>
      </c>
      <c r="M8598" t="s">
        <v>662</v>
      </c>
    </row>
    <row r="8599" spans="1:13">
      <c r="A8599" t="s">
        <v>851</v>
      </c>
      <c r="B8599" t="s">
        <v>686</v>
      </c>
      <c r="C8599" t="s">
        <v>686</v>
      </c>
      <c r="D8599" t="s">
        <v>3185</v>
      </c>
      <c r="E8599" t="s">
        <v>660</v>
      </c>
      <c r="F8599" t="s">
        <v>40</v>
      </c>
      <c r="G8599">
        <v>2020</v>
      </c>
      <c r="H8599" s="12">
        <v>7061</v>
      </c>
      <c r="I8599" t="s">
        <v>3183</v>
      </c>
      <c r="J8599" t="s">
        <v>41</v>
      </c>
      <c r="K8599" t="s">
        <v>657</v>
      </c>
      <c r="L8599" t="s">
        <v>652</v>
      </c>
      <c r="M8599" t="s">
        <v>662</v>
      </c>
    </row>
    <row r="8600" spans="1:13">
      <c r="A8600" t="s">
        <v>851</v>
      </c>
      <c r="B8600" t="s">
        <v>686</v>
      </c>
      <c r="C8600" t="s">
        <v>686</v>
      </c>
      <c r="D8600" t="s">
        <v>3185</v>
      </c>
      <c r="E8600" t="s">
        <v>660</v>
      </c>
      <c r="F8600" t="s">
        <v>40</v>
      </c>
      <c r="G8600">
        <v>2030</v>
      </c>
      <c r="H8600" s="12">
        <v>9365</v>
      </c>
      <c r="I8600" t="s">
        <v>3183</v>
      </c>
      <c r="J8600" t="s">
        <v>41</v>
      </c>
      <c r="K8600" t="s">
        <v>657</v>
      </c>
      <c r="L8600" t="s">
        <v>652</v>
      </c>
      <c r="M8600" t="s">
        <v>662</v>
      </c>
    </row>
    <row r="8601" spans="1:13">
      <c r="A8601" t="s">
        <v>851</v>
      </c>
      <c r="B8601" t="s">
        <v>686</v>
      </c>
      <c r="C8601" t="s">
        <v>686</v>
      </c>
      <c r="D8601" t="s">
        <v>3185</v>
      </c>
      <c r="E8601" t="s">
        <v>660</v>
      </c>
      <c r="F8601" t="s">
        <v>40</v>
      </c>
      <c r="G8601">
        <v>2035</v>
      </c>
      <c r="H8601" s="12">
        <v>10043</v>
      </c>
      <c r="I8601" t="s">
        <v>3183</v>
      </c>
      <c r="J8601" t="s">
        <v>41</v>
      </c>
      <c r="K8601" t="s">
        <v>657</v>
      </c>
      <c r="L8601" t="s">
        <v>652</v>
      </c>
      <c r="M8601" t="s">
        <v>662</v>
      </c>
    </row>
    <row r="8602" spans="1:13">
      <c r="A8602" t="s">
        <v>851</v>
      </c>
      <c r="B8602" t="s">
        <v>686</v>
      </c>
      <c r="C8602" t="s">
        <v>686</v>
      </c>
      <c r="D8602" t="s">
        <v>3185</v>
      </c>
      <c r="E8602" t="s">
        <v>660</v>
      </c>
      <c r="F8602" t="s">
        <v>40</v>
      </c>
      <c r="G8602">
        <v>2035</v>
      </c>
      <c r="H8602" s="12">
        <v>34746</v>
      </c>
      <c r="I8602" t="s">
        <v>3183</v>
      </c>
      <c r="J8602" t="s">
        <v>6</v>
      </c>
      <c r="K8602" t="s">
        <v>657</v>
      </c>
      <c r="L8602" t="s">
        <v>652</v>
      </c>
      <c r="M8602" t="s">
        <v>659</v>
      </c>
    </row>
    <row r="8603" spans="1:13">
      <c r="A8603" t="s">
        <v>851</v>
      </c>
      <c r="B8603" t="s">
        <v>686</v>
      </c>
      <c r="C8603" t="s">
        <v>686</v>
      </c>
      <c r="D8603" t="s">
        <v>3185</v>
      </c>
      <c r="E8603" t="s">
        <v>660</v>
      </c>
      <c r="F8603" t="s">
        <v>40</v>
      </c>
      <c r="G8603">
        <v>2040</v>
      </c>
      <c r="H8603" s="12">
        <v>32190</v>
      </c>
      <c r="I8603" t="s">
        <v>3183</v>
      </c>
      <c r="J8603" t="s">
        <v>6</v>
      </c>
      <c r="K8603" t="s">
        <v>657</v>
      </c>
      <c r="L8603" t="s">
        <v>652</v>
      </c>
      <c r="M8603" t="s">
        <v>659</v>
      </c>
    </row>
    <row r="8604" spans="1:13">
      <c r="A8604" t="s">
        <v>851</v>
      </c>
      <c r="B8604" t="s">
        <v>686</v>
      </c>
      <c r="C8604" t="s">
        <v>686</v>
      </c>
      <c r="D8604" t="s">
        <v>3185</v>
      </c>
      <c r="E8604" t="s">
        <v>660</v>
      </c>
      <c r="F8604" t="s">
        <v>40</v>
      </c>
      <c r="G8604">
        <v>2045</v>
      </c>
      <c r="H8604" s="12">
        <v>30190</v>
      </c>
      <c r="I8604" t="s">
        <v>3183</v>
      </c>
      <c r="J8604" t="s">
        <v>6</v>
      </c>
      <c r="K8604" t="s">
        <v>657</v>
      </c>
      <c r="L8604" t="s">
        <v>652</v>
      </c>
      <c r="M8604" t="s">
        <v>659</v>
      </c>
    </row>
    <row r="8605" spans="1:13">
      <c r="A8605" t="s">
        <v>851</v>
      </c>
      <c r="B8605" t="s">
        <v>686</v>
      </c>
      <c r="C8605" t="s">
        <v>686</v>
      </c>
      <c r="D8605" t="s">
        <v>3185</v>
      </c>
      <c r="E8605" t="s">
        <v>660</v>
      </c>
      <c r="F8605" t="s">
        <v>40</v>
      </c>
      <c r="G8605">
        <v>2050</v>
      </c>
      <c r="H8605" s="12">
        <v>28419</v>
      </c>
      <c r="I8605" t="s">
        <v>3183</v>
      </c>
      <c r="J8605" t="s">
        <v>6</v>
      </c>
      <c r="K8605" t="s">
        <v>657</v>
      </c>
      <c r="L8605" t="s">
        <v>652</v>
      </c>
      <c r="M8605" t="s">
        <v>659</v>
      </c>
    </row>
    <row r="8606" spans="1:13">
      <c r="A8606" t="s">
        <v>851</v>
      </c>
      <c r="B8606" t="s">
        <v>687</v>
      </c>
      <c r="C8606" t="s">
        <v>687</v>
      </c>
      <c r="D8606" t="s">
        <v>3185</v>
      </c>
      <c r="E8606" t="s">
        <v>660</v>
      </c>
      <c r="F8606" t="s">
        <v>40</v>
      </c>
      <c r="G8606">
        <v>2030</v>
      </c>
      <c r="H8606" s="12">
        <v>32278</v>
      </c>
      <c r="I8606" t="s">
        <v>3183</v>
      </c>
      <c r="J8606" t="s">
        <v>6</v>
      </c>
      <c r="K8606" t="s">
        <v>657</v>
      </c>
      <c r="L8606" t="s">
        <v>652</v>
      </c>
      <c r="M8606" t="s">
        <v>659</v>
      </c>
    </row>
    <row r="8607" spans="1:13">
      <c r="A8607" t="s">
        <v>851</v>
      </c>
      <c r="B8607" t="s">
        <v>687</v>
      </c>
      <c r="C8607" t="s">
        <v>687</v>
      </c>
      <c r="D8607" t="s">
        <v>3185</v>
      </c>
      <c r="E8607" t="s">
        <v>660</v>
      </c>
      <c r="F8607" t="s">
        <v>40</v>
      </c>
      <c r="G8607">
        <v>2035</v>
      </c>
      <c r="H8607" s="12">
        <v>23723</v>
      </c>
      <c r="I8607" t="s">
        <v>3183</v>
      </c>
      <c r="J8607" t="s">
        <v>6</v>
      </c>
      <c r="K8607" t="s">
        <v>657</v>
      </c>
      <c r="L8607" t="s">
        <v>652</v>
      </c>
      <c r="M8607" t="s">
        <v>659</v>
      </c>
    </row>
    <row r="8608" spans="1:13">
      <c r="A8608" t="s">
        <v>851</v>
      </c>
      <c r="B8608" t="s">
        <v>687</v>
      </c>
      <c r="C8608" t="s">
        <v>687</v>
      </c>
      <c r="D8608" t="s">
        <v>3185</v>
      </c>
      <c r="E8608" t="s">
        <v>660</v>
      </c>
      <c r="F8608" t="s">
        <v>40</v>
      </c>
      <c r="G8608">
        <v>2040</v>
      </c>
      <c r="H8608" s="12">
        <v>19071</v>
      </c>
      <c r="I8608" t="s">
        <v>3183</v>
      </c>
      <c r="J8608" t="s">
        <v>6</v>
      </c>
      <c r="K8608" t="s">
        <v>657</v>
      </c>
      <c r="L8608" t="s">
        <v>652</v>
      </c>
      <c r="M8608" t="s">
        <v>659</v>
      </c>
    </row>
    <row r="8609" spans="1:13">
      <c r="A8609" t="s">
        <v>851</v>
      </c>
      <c r="B8609" t="s">
        <v>687</v>
      </c>
      <c r="C8609" t="s">
        <v>687</v>
      </c>
      <c r="D8609" t="s">
        <v>3185</v>
      </c>
      <c r="E8609" t="s">
        <v>660</v>
      </c>
      <c r="F8609" t="s">
        <v>40</v>
      </c>
      <c r="G8609">
        <v>2045</v>
      </c>
      <c r="H8609" s="12">
        <v>16090</v>
      </c>
      <c r="I8609" t="s">
        <v>3183</v>
      </c>
      <c r="J8609" t="s">
        <v>6</v>
      </c>
      <c r="K8609" t="s">
        <v>657</v>
      </c>
      <c r="L8609" t="s">
        <v>652</v>
      </c>
      <c r="M8609" t="s">
        <v>659</v>
      </c>
    </row>
    <row r="8610" spans="1:13">
      <c r="A8610" t="s">
        <v>851</v>
      </c>
      <c r="B8610" t="s">
        <v>687</v>
      </c>
      <c r="C8610" t="s">
        <v>687</v>
      </c>
      <c r="D8610" t="s">
        <v>3185</v>
      </c>
      <c r="E8610" t="s">
        <v>660</v>
      </c>
      <c r="F8610" t="s">
        <v>40</v>
      </c>
      <c r="G8610">
        <v>2050</v>
      </c>
      <c r="H8610" s="12">
        <v>13745</v>
      </c>
      <c r="I8610" t="s">
        <v>3183</v>
      </c>
      <c r="J8610" t="s">
        <v>6</v>
      </c>
      <c r="K8610" t="s">
        <v>657</v>
      </c>
      <c r="L8610" t="s">
        <v>652</v>
      </c>
      <c r="M8610" t="s">
        <v>659</v>
      </c>
    </row>
    <row r="8611" spans="1:13">
      <c r="A8611" t="s">
        <v>851</v>
      </c>
      <c r="B8611" t="s">
        <v>686</v>
      </c>
      <c r="C8611" t="s">
        <v>686</v>
      </c>
      <c r="D8611" t="s">
        <v>3185</v>
      </c>
      <c r="E8611" t="s">
        <v>660</v>
      </c>
      <c r="F8611" t="s">
        <v>40</v>
      </c>
      <c r="G8611">
        <v>2010</v>
      </c>
      <c r="H8611" s="12">
        <v>41752</v>
      </c>
      <c r="I8611" t="s">
        <v>3183</v>
      </c>
      <c r="J8611" t="s">
        <v>394</v>
      </c>
      <c r="K8611" t="s">
        <v>657</v>
      </c>
      <c r="L8611" t="s">
        <v>652</v>
      </c>
      <c r="M8611" t="s">
        <v>16</v>
      </c>
    </row>
    <row r="8612" spans="1:13">
      <c r="A8612" t="s">
        <v>851</v>
      </c>
      <c r="B8612" t="s">
        <v>686</v>
      </c>
      <c r="C8612" t="s">
        <v>686</v>
      </c>
      <c r="D8612" t="s">
        <v>3185</v>
      </c>
      <c r="E8612" t="s">
        <v>660</v>
      </c>
      <c r="F8612" t="s">
        <v>40</v>
      </c>
      <c r="G8612">
        <v>2015</v>
      </c>
      <c r="H8612" s="12">
        <v>41219</v>
      </c>
      <c r="I8612" t="s">
        <v>3183</v>
      </c>
      <c r="J8612" t="s">
        <v>394</v>
      </c>
      <c r="K8612" t="s">
        <v>657</v>
      </c>
      <c r="L8612" t="s">
        <v>652</v>
      </c>
      <c r="M8612" t="s">
        <v>16</v>
      </c>
    </row>
    <row r="8613" spans="1:13">
      <c r="A8613" t="s">
        <v>851</v>
      </c>
      <c r="B8613" t="s">
        <v>686</v>
      </c>
      <c r="C8613" t="s">
        <v>686</v>
      </c>
      <c r="D8613" t="s">
        <v>3185</v>
      </c>
      <c r="E8613" t="s">
        <v>660</v>
      </c>
      <c r="F8613" t="s">
        <v>40</v>
      </c>
      <c r="G8613">
        <v>2020</v>
      </c>
      <c r="H8613" s="12">
        <v>36131</v>
      </c>
      <c r="I8613" t="s">
        <v>3183</v>
      </c>
      <c r="J8613" t="s">
        <v>394</v>
      </c>
      <c r="K8613" t="s">
        <v>657</v>
      </c>
      <c r="L8613" t="s">
        <v>652</v>
      </c>
      <c r="M8613" t="s">
        <v>16</v>
      </c>
    </row>
    <row r="8614" spans="1:13">
      <c r="A8614" t="s">
        <v>851</v>
      </c>
      <c r="B8614" t="s">
        <v>686</v>
      </c>
      <c r="C8614" t="s">
        <v>686</v>
      </c>
      <c r="D8614" t="s">
        <v>3185</v>
      </c>
      <c r="E8614" t="s">
        <v>660</v>
      </c>
      <c r="F8614" t="s">
        <v>40</v>
      </c>
      <c r="G8614">
        <v>2030</v>
      </c>
      <c r="H8614" s="12">
        <v>37409</v>
      </c>
      <c r="I8614" t="s">
        <v>3183</v>
      </c>
      <c r="J8614" t="s">
        <v>394</v>
      </c>
      <c r="K8614" t="s">
        <v>657</v>
      </c>
      <c r="L8614" t="s">
        <v>652</v>
      </c>
      <c r="M8614" t="s">
        <v>16</v>
      </c>
    </row>
    <row r="8615" spans="1:13">
      <c r="A8615" t="s">
        <v>851</v>
      </c>
      <c r="B8615" t="s">
        <v>686</v>
      </c>
      <c r="C8615" t="s">
        <v>686</v>
      </c>
      <c r="D8615" t="s">
        <v>3185</v>
      </c>
      <c r="E8615" t="s">
        <v>660</v>
      </c>
      <c r="F8615" t="s">
        <v>40</v>
      </c>
      <c r="G8615">
        <v>2035</v>
      </c>
      <c r="H8615" s="12">
        <v>35127</v>
      </c>
      <c r="I8615" t="s">
        <v>3183</v>
      </c>
      <c r="J8615" t="s">
        <v>394</v>
      </c>
      <c r="K8615" t="s">
        <v>657</v>
      </c>
      <c r="L8615" t="s">
        <v>652</v>
      </c>
      <c r="M8615" t="s">
        <v>16</v>
      </c>
    </row>
    <row r="8616" spans="1:13">
      <c r="A8616" t="s">
        <v>851</v>
      </c>
      <c r="B8616" t="s">
        <v>686</v>
      </c>
      <c r="C8616" t="s">
        <v>686</v>
      </c>
      <c r="D8616" t="s">
        <v>3185</v>
      </c>
      <c r="E8616" t="s">
        <v>660</v>
      </c>
      <c r="F8616" t="s">
        <v>40</v>
      </c>
      <c r="G8616">
        <v>2040</v>
      </c>
      <c r="H8616" s="12">
        <v>33149</v>
      </c>
      <c r="I8616" t="s">
        <v>3183</v>
      </c>
      <c r="J8616" t="s">
        <v>394</v>
      </c>
      <c r="K8616" t="s">
        <v>657</v>
      </c>
      <c r="L8616" t="s">
        <v>652</v>
      </c>
      <c r="M8616" t="s">
        <v>16</v>
      </c>
    </row>
    <row r="8617" spans="1:13">
      <c r="A8617" t="s">
        <v>851</v>
      </c>
      <c r="B8617" t="s">
        <v>686</v>
      </c>
      <c r="C8617" t="s">
        <v>686</v>
      </c>
      <c r="D8617" t="s">
        <v>3185</v>
      </c>
      <c r="E8617" t="s">
        <v>660</v>
      </c>
      <c r="F8617" t="s">
        <v>40</v>
      </c>
      <c r="G8617">
        <v>2045</v>
      </c>
      <c r="H8617" s="12">
        <v>31738</v>
      </c>
      <c r="I8617" t="s">
        <v>3183</v>
      </c>
      <c r="J8617" t="s">
        <v>394</v>
      </c>
      <c r="K8617" t="s">
        <v>657</v>
      </c>
      <c r="L8617" t="s">
        <v>652</v>
      </c>
      <c r="M8617" t="s">
        <v>16</v>
      </c>
    </row>
    <row r="8618" spans="1:13">
      <c r="A8618" t="s">
        <v>851</v>
      </c>
      <c r="B8618" t="s">
        <v>686</v>
      </c>
      <c r="C8618" t="s">
        <v>686</v>
      </c>
      <c r="D8618" t="s">
        <v>3185</v>
      </c>
      <c r="E8618" t="s">
        <v>660</v>
      </c>
      <c r="F8618" t="s">
        <v>40</v>
      </c>
      <c r="G8618">
        <v>2050</v>
      </c>
      <c r="H8618" s="12">
        <v>30309</v>
      </c>
      <c r="I8618" t="s">
        <v>3183</v>
      </c>
      <c r="J8618" t="s">
        <v>394</v>
      </c>
      <c r="K8618" t="s">
        <v>657</v>
      </c>
      <c r="L8618" t="s">
        <v>652</v>
      </c>
      <c r="M8618" t="s">
        <v>16</v>
      </c>
    </row>
    <row r="8619" spans="1:13">
      <c r="A8619" t="s">
        <v>851</v>
      </c>
      <c r="B8619" t="s">
        <v>687</v>
      </c>
      <c r="C8619" t="s">
        <v>687</v>
      </c>
      <c r="D8619" t="s">
        <v>3185</v>
      </c>
      <c r="E8619" t="s">
        <v>660</v>
      </c>
      <c r="F8619" t="s">
        <v>40</v>
      </c>
      <c r="G8619">
        <v>2030</v>
      </c>
      <c r="H8619" s="12">
        <v>32935</v>
      </c>
      <c r="I8619" t="s">
        <v>3183</v>
      </c>
      <c r="J8619" t="s">
        <v>394</v>
      </c>
      <c r="K8619" t="s">
        <v>657</v>
      </c>
      <c r="L8619" t="s">
        <v>652</v>
      </c>
      <c r="M8619" t="s">
        <v>16</v>
      </c>
    </row>
    <row r="8620" spans="1:13">
      <c r="A8620" t="s">
        <v>851</v>
      </c>
      <c r="B8620" t="s">
        <v>687</v>
      </c>
      <c r="C8620" t="s">
        <v>687</v>
      </c>
      <c r="D8620" t="s">
        <v>3185</v>
      </c>
      <c r="E8620" t="s">
        <v>660</v>
      </c>
      <c r="F8620" t="s">
        <v>40</v>
      </c>
      <c r="G8620">
        <v>2035</v>
      </c>
      <c r="H8620" s="12">
        <v>25787</v>
      </c>
      <c r="I8620" t="s">
        <v>3183</v>
      </c>
      <c r="J8620" t="s">
        <v>394</v>
      </c>
      <c r="K8620" t="s">
        <v>657</v>
      </c>
      <c r="L8620" t="s">
        <v>652</v>
      </c>
      <c r="M8620" t="s">
        <v>16</v>
      </c>
    </row>
    <row r="8621" spans="1:13">
      <c r="A8621" t="s">
        <v>851</v>
      </c>
      <c r="B8621" t="s">
        <v>687</v>
      </c>
      <c r="C8621" t="s">
        <v>687</v>
      </c>
      <c r="D8621" t="s">
        <v>3185</v>
      </c>
      <c r="E8621" t="s">
        <v>660</v>
      </c>
      <c r="F8621" t="s">
        <v>40</v>
      </c>
      <c r="G8621">
        <v>2040</v>
      </c>
      <c r="H8621" s="12">
        <v>19315</v>
      </c>
      <c r="I8621" t="s">
        <v>3183</v>
      </c>
      <c r="J8621" t="s">
        <v>394</v>
      </c>
      <c r="K8621" t="s">
        <v>657</v>
      </c>
      <c r="L8621" t="s">
        <v>652</v>
      </c>
      <c r="M8621" t="s">
        <v>16</v>
      </c>
    </row>
    <row r="8622" spans="1:13">
      <c r="A8622" t="s">
        <v>851</v>
      </c>
      <c r="B8622" t="s">
        <v>687</v>
      </c>
      <c r="C8622" t="s">
        <v>687</v>
      </c>
      <c r="D8622" t="s">
        <v>3185</v>
      </c>
      <c r="E8622" t="s">
        <v>660</v>
      </c>
      <c r="F8622" t="s">
        <v>40</v>
      </c>
      <c r="G8622">
        <v>2045</v>
      </c>
      <c r="H8622" s="12">
        <v>14731</v>
      </c>
      <c r="I8622" t="s">
        <v>3183</v>
      </c>
      <c r="J8622" t="s">
        <v>394</v>
      </c>
      <c r="K8622" t="s">
        <v>657</v>
      </c>
      <c r="L8622" t="s">
        <v>652</v>
      </c>
      <c r="M8622" t="s">
        <v>16</v>
      </c>
    </row>
    <row r="8623" spans="1:13">
      <c r="A8623" t="s">
        <v>851</v>
      </c>
      <c r="B8623" t="s">
        <v>687</v>
      </c>
      <c r="C8623" t="s">
        <v>687</v>
      </c>
      <c r="D8623" t="s">
        <v>3185</v>
      </c>
      <c r="E8623" t="s">
        <v>660</v>
      </c>
      <c r="F8623" t="s">
        <v>40</v>
      </c>
      <c r="G8623">
        <v>2050</v>
      </c>
      <c r="H8623" s="12">
        <v>11684</v>
      </c>
      <c r="I8623" t="s">
        <v>3183</v>
      </c>
      <c r="J8623" t="s">
        <v>394</v>
      </c>
      <c r="K8623" t="s">
        <v>657</v>
      </c>
      <c r="L8623" t="s">
        <v>652</v>
      </c>
      <c r="M8623" t="s">
        <v>16</v>
      </c>
    </row>
    <row r="8624" spans="1:13">
      <c r="A8624" t="s">
        <v>851</v>
      </c>
      <c r="B8624" t="s">
        <v>686</v>
      </c>
      <c r="C8624" t="s">
        <v>686</v>
      </c>
      <c r="D8624" t="s">
        <v>3185</v>
      </c>
      <c r="E8624" t="s">
        <v>646</v>
      </c>
      <c r="F8624" t="s">
        <v>40</v>
      </c>
      <c r="G8624">
        <v>2010</v>
      </c>
      <c r="H8624" s="12">
        <v>6095</v>
      </c>
      <c r="I8624" t="s">
        <v>3183</v>
      </c>
      <c r="J8624" t="s">
        <v>394</v>
      </c>
      <c r="K8624" t="s">
        <v>272</v>
      </c>
      <c r="L8624" t="s">
        <v>652</v>
      </c>
      <c r="M8624" t="s">
        <v>16</v>
      </c>
    </row>
    <row r="8625" spans="1:13">
      <c r="A8625" t="s">
        <v>851</v>
      </c>
      <c r="B8625" t="s">
        <v>686</v>
      </c>
      <c r="C8625" t="s">
        <v>686</v>
      </c>
      <c r="D8625" t="s">
        <v>3185</v>
      </c>
      <c r="E8625" t="s">
        <v>646</v>
      </c>
      <c r="F8625" t="s">
        <v>40</v>
      </c>
      <c r="G8625">
        <v>2015</v>
      </c>
      <c r="H8625" s="12">
        <v>6007</v>
      </c>
      <c r="I8625" t="s">
        <v>3183</v>
      </c>
      <c r="J8625" t="s">
        <v>394</v>
      </c>
      <c r="K8625" t="s">
        <v>272</v>
      </c>
      <c r="L8625" t="s">
        <v>652</v>
      </c>
      <c r="M8625" t="s">
        <v>16</v>
      </c>
    </row>
    <row r="8626" spans="1:13">
      <c r="A8626" t="s">
        <v>851</v>
      </c>
      <c r="B8626" t="s">
        <v>686</v>
      </c>
      <c r="C8626" t="s">
        <v>686</v>
      </c>
      <c r="D8626" t="s">
        <v>3185</v>
      </c>
      <c r="E8626" t="s">
        <v>646</v>
      </c>
      <c r="F8626" t="s">
        <v>40</v>
      </c>
      <c r="G8626">
        <v>2020</v>
      </c>
      <c r="H8626" s="12">
        <v>6534</v>
      </c>
      <c r="I8626" t="s">
        <v>3183</v>
      </c>
      <c r="J8626" t="s">
        <v>394</v>
      </c>
      <c r="K8626" t="s">
        <v>272</v>
      </c>
      <c r="L8626" t="s">
        <v>652</v>
      </c>
      <c r="M8626" t="s">
        <v>16</v>
      </c>
    </row>
    <row r="8627" spans="1:13">
      <c r="A8627" t="s">
        <v>851</v>
      </c>
      <c r="B8627" t="s">
        <v>686</v>
      </c>
      <c r="C8627" t="s">
        <v>686</v>
      </c>
      <c r="D8627" t="s">
        <v>3185</v>
      </c>
      <c r="E8627" t="s">
        <v>646</v>
      </c>
      <c r="F8627" t="s">
        <v>40</v>
      </c>
      <c r="G8627">
        <v>2030</v>
      </c>
      <c r="H8627" s="12">
        <v>7945</v>
      </c>
      <c r="I8627" t="s">
        <v>3183</v>
      </c>
      <c r="J8627" t="s">
        <v>394</v>
      </c>
      <c r="K8627" t="s">
        <v>272</v>
      </c>
      <c r="L8627" t="s">
        <v>652</v>
      </c>
      <c r="M8627" t="s">
        <v>16</v>
      </c>
    </row>
    <row r="8628" spans="1:13">
      <c r="A8628" t="s">
        <v>851</v>
      </c>
      <c r="B8628" t="s">
        <v>686</v>
      </c>
      <c r="C8628" t="s">
        <v>686</v>
      </c>
      <c r="D8628" t="s">
        <v>3185</v>
      </c>
      <c r="E8628" t="s">
        <v>646</v>
      </c>
      <c r="F8628" t="s">
        <v>40</v>
      </c>
      <c r="G8628">
        <v>2035</v>
      </c>
      <c r="H8628" s="12">
        <v>8160</v>
      </c>
      <c r="I8628" t="s">
        <v>3183</v>
      </c>
      <c r="J8628" t="s">
        <v>394</v>
      </c>
      <c r="K8628" t="s">
        <v>272</v>
      </c>
      <c r="L8628" t="s">
        <v>652</v>
      </c>
      <c r="M8628" t="s">
        <v>16</v>
      </c>
    </row>
    <row r="8629" spans="1:13">
      <c r="A8629" t="s">
        <v>851</v>
      </c>
      <c r="B8629" t="s">
        <v>686</v>
      </c>
      <c r="C8629" t="s">
        <v>686</v>
      </c>
      <c r="D8629" t="s">
        <v>3185</v>
      </c>
      <c r="E8629" t="s">
        <v>646</v>
      </c>
      <c r="F8629" t="s">
        <v>40</v>
      </c>
      <c r="G8629">
        <v>2040</v>
      </c>
      <c r="H8629" s="12">
        <v>8366</v>
      </c>
      <c r="I8629" t="s">
        <v>3183</v>
      </c>
      <c r="J8629" t="s">
        <v>394</v>
      </c>
      <c r="K8629" t="s">
        <v>272</v>
      </c>
      <c r="L8629" t="s">
        <v>652</v>
      </c>
      <c r="M8629" t="s">
        <v>16</v>
      </c>
    </row>
    <row r="8630" spans="1:13">
      <c r="A8630" t="s">
        <v>851</v>
      </c>
      <c r="B8630" t="s">
        <v>686</v>
      </c>
      <c r="C8630" t="s">
        <v>686</v>
      </c>
      <c r="D8630" t="s">
        <v>3185</v>
      </c>
      <c r="E8630" t="s">
        <v>646</v>
      </c>
      <c r="F8630" t="s">
        <v>40</v>
      </c>
      <c r="G8630">
        <v>2045</v>
      </c>
      <c r="H8630" s="12">
        <v>8541</v>
      </c>
      <c r="I8630" t="s">
        <v>3183</v>
      </c>
      <c r="J8630" t="s">
        <v>394</v>
      </c>
      <c r="K8630" t="s">
        <v>272</v>
      </c>
      <c r="L8630" t="s">
        <v>652</v>
      </c>
      <c r="M8630" t="s">
        <v>16</v>
      </c>
    </row>
    <row r="8631" spans="1:13">
      <c r="A8631" t="s">
        <v>851</v>
      </c>
      <c r="B8631" t="s">
        <v>686</v>
      </c>
      <c r="C8631" t="s">
        <v>686</v>
      </c>
      <c r="D8631" t="s">
        <v>3185</v>
      </c>
      <c r="E8631" t="s">
        <v>646</v>
      </c>
      <c r="F8631" t="s">
        <v>40</v>
      </c>
      <c r="G8631">
        <v>2050</v>
      </c>
      <c r="H8631" s="12">
        <v>8548</v>
      </c>
      <c r="I8631" t="s">
        <v>3183</v>
      </c>
      <c r="J8631" t="s">
        <v>394</v>
      </c>
      <c r="K8631" t="s">
        <v>272</v>
      </c>
      <c r="L8631" t="s">
        <v>652</v>
      </c>
      <c r="M8631" t="s">
        <v>16</v>
      </c>
    </row>
    <row r="8632" spans="1:13">
      <c r="A8632" t="s">
        <v>851</v>
      </c>
      <c r="B8632" t="s">
        <v>687</v>
      </c>
      <c r="C8632" t="s">
        <v>687</v>
      </c>
      <c r="D8632" t="s">
        <v>3185</v>
      </c>
      <c r="E8632" t="s">
        <v>646</v>
      </c>
      <c r="F8632" t="s">
        <v>40</v>
      </c>
      <c r="G8632">
        <v>2030</v>
      </c>
      <c r="H8632" s="12">
        <v>7729</v>
      </c>
      <c r="I8632" t="s">
        <v>3183</v>
      </c>
      <c r="J8632" t="s">
        <v>394</v>
      </c>
      <c r="K8632" t="s">
        <v>272</v>
      </c>
      <c r="L8632" t="s">
        <v>652</v>
      </c>
      <c r="M8632" t="s">
        <v>16</v>
      </c>
    </row>
    <row r="8633" spans="1:13">
      <c r="A8633" t="s">
        <v>851</v>
      </c>
      <c r="B8633" t="s">
        <v>687</v>
      </c>
      <c r="C8633" t="s">
        <v>687</v>
      </c>
      <c r="D8633" t="s">
        <v>3185</v>
      </c>
      <c r="E8633" t="s">
        <v>646</v>
      </c>
      <c r="F8633" t="s">
        <v>40</v>
      </c>
      <c r="G8633">
        <v>2035</v>
      </c>
      <c r="H8633" s="12">
        <v>7661</v>
      </c>
      <c r="I8633" t="s">
        <v>3183</v>
      </c>
      <c r="J8633" t="s">
        <v>394</v>
      </c>
      <c r="K8633" t="s">
        <v>272</v>
      </c>
      <c r="L8633" t="s">
        <v>652</v>
      </c>
      <c r="M8633" t="s">
        <v>16</v>
      </c>
    </row>
    <row r="8634" spans="1:13">
      <c r="A8634" t="s">
        <v>851</v>
      </c>
      <c r="B8634" t="s">
        <v>687</v>
      </c>
      <c r="C8634" t="s">
        <v>687</v>
      </c>
      <c r="D8634" t="s">
        <v>3185</v>
      </c>
      <c r="E8634" t="s">
        <v>646</v>
      </c>
      <c r="F8634" t="s">
        <v>40</v>
      </c>
      <c r="G8634">
        <v>2040</v>
      </c>
      <c r="H8634" s="12">
        <v>7414</v>
      </c>
      <c r="I8634" t="s">
        <v>3183</v>
      </c>
      <c r="J8634" t="s">
        <v>394</v>
      </c>
      <c r="K8634" t="s">
        <v>272</v>
      </c>
      <c r="L8634" t="s">
        <v>652</v>
      </c>
      <c r="M8634" t="s">
        <v>16</v>
      </c>
    </row>
    <row r="8635" spans="1:13">
      <c r="A8635" t="s">
        <v>851</v>
      </c>
      <c r="B8635" t="s">
        <v>687</v>
      </c>
      <c r="C8635" t="s">
        <v>687</v>
      </c>
      <c r="D8635" t="s">
        <v>3185</v>
      </c>
      <c r="E8635" t="s">
        <v>646</v>
      </c>
      <c r="F8635" t="s">
        <v>40</v>
      </c>
      <c r="G8635">
        <v>2045</v>
      </c>
      <c r="H8635" s="12">
        <v>7190</v>
      </c>
      <c r="I8635" t="s">
        <v>3183</v>
      </c>
      <c r="J8635" t="s">
        <v>394</v>
      </c>
      <c r="K8635" t="s">
        <v>272</v>
      </c>
      <c r="L8635" t="s">
        <v>652</v>
      </c>
      <c r="M8635" t="s">
        <v>16</v>
      </c>
    </row>
    <row r="8636" spans="1:13">
      <c r="A8636" t="s">
        <v>851</v>
      </c>
      <c r="B8636" t="s">
        <v>687</v>
      </c>
      <c r="C8636" t="s">
        <v>687</v>
      </c>
      <c r="D8636" t="s">
        <v>3185</v>
      </c>
      <c r="E8636" t="s">
        <v>646</v>
      </c>
      <c r="F8636" t="s">
        <v>40</v>
      </c>
      <c r="G8636">
        <v>2050</v>
      </c>
      <c r="H8636" s="12">
        <v>6973</v>
      </c>
      <c r="I8636" t="s">
        <v>3183</v>
      </c>
      <c r="J8636" t="s">
        <v>394</v>
      </c>
      <c r="K8636" t="s">
        <v>272</v>
      </c>
      <c r="L8636" t="s">
        <v>652</v>
      </c>
      <c r="M8636" t="s">
        <v>16</v>
      </c>
    </row>
    <row r="8637" spans="1:13">
      <c r="A8637" t="s">
        <v>851</v>
      </c>
      <c r="B8637" t="s">
        <v>686</v>
      </c>
      <c r="C8637" t="s">
        <v>686</v>
      </c>
      <c r="D8637" t="s">
        <v>3185</v>
      </c>
      <c r="E8637" t="s">
        <v>660</v>
      </c>
      <c r="F8637" t="s">
        <v>40</v>
      </c>
      <c r="G8637">
        <v>2010</v>
      </c>
      <c r="H8637" s="12">
        <v>22539</v>
      </c>
      <c r="I8637" t="s">
        <v>3183</v>
      </c>
      <c r="J8637" t="s">
        <v>5</v>
      </c>
      <c r="K8637" t="s">
        <v>657</v>
      </c>
      <c r="L8637" t="s">
        <v>652</v>
      </c>
      <c r="M8637" t="s">
        <v>5</v>
      </c>
    </row>
    <row r="8638" spans="1:13">
      <c r="A8638" t="s">
        <v>851</v>
      </c>
      <c r="B8638" t="s">
        <v>686</v>
      </c>
      <c r="C8638" t="s">
        <v>686</v>
      </c>
      <c r="D8638" t="s">
        <v>3185</v>
      </c>
      <c r="E8638" t="s">
        <v>660</v>
      </c>
      <c r="F8638" t="s">
        <v>40</v>
      </c>
      <c r="G8638">
        <v>2015</v>
      </c>
      <c r="H8638" s="12">
        <v>16942</v>
      </c>
      <c r="I8638" t="s">
        <v>3183</v>
      </c>
      <c r="J8638" t="s">
        <v>5</v>
      </c>
      <c r="K8638" t="s">
        <v>657</v>
      </c>
      <c r="L8638" t="s">
        <v>652</v>
      </c>
      <c r="M8638" t="s">
        <v>5</v>
      </c>
    </row>
    <row r="8639" spans="1:13">
      <c r="A8639" t="s">
        <v>851</v>
      </c>
      <c r="B8639" t="s">
        <v>686</v>
      </c>
      <c r="C8639" t="s">
        <v>686</v>
      </c>
      <c r="D8639" t="s">
        <v>3185</v>
      </c>
      <c r="E8639" t="s">
        <v>660</v>
      </c>
      <c r="F8639" t="s">
        <v>40</v>
      </c>
      <c r="G8639">
        <v>2020</v>
      </c>
      <c r="H8639" s="12">
        <v>10063</v>
      </c>
      <c r="I8639" t="s">
        <v>3183</v>
      </c>
      <c r="J8639" t="s">
        <v>5</v>
      </c>
      <c r="K8639" t="s">
        <v>657</v>
      </c>
      <c r="L8639" t="s">
        <v>652</v>
      </c>
      <c r="M8639" t="s">
        <v>5</v>
      </c>
    </row>
    <row r="8640" spans="1:13">
      <c r="A8640" t="s">
        <v>851</v>
      </c>
      <c r="B8640" t="s">
        <v>686</v>
      </c>
      <c r="C8640" t="s">
        <v>686</v>
      </c>
      <c r="D8640" t="s">
        <v>3185</v>
      </c>
      <c r="E8640" t="s">
        <v>660</v>
      </c>
      <c r="F8640" t="s">
        <v>40</v>
      </c>
      <c r="G8640">
        <v>2030</v>
      </c>
      <c r="H8640" s="12">
        <v>3138</v>
      </c>
      <c r="I8640" t="s">
        <v>3183</v>
      </c>
      <c r="J8640" t="s">
        <v>5</v>
      </c>
      <c r="K8640" t="s">
        <v>657</v>
      </c>
      <c r="L8640" t="s">
        <v>652</v>
      </c>
      <c r="M8640" t="s">
        <v>5</v>
      </c>
    </row>
    <row r="8641" spans="1:13">
      <c r="A8641" t="s">
        <v>851</v>
      </c>
      <c r="B8641" t="s">
        <v>686</v>
      </c>
      <c r="C8641" t="s">
        <v>686</v>
      </c>
      <c r="D8641" t="s">
        <v>3185</v>
      </c>
      <c r="E8641" t="s">
        <v>660</v>
      </c>
      <c r="F8641" t="s">
        <v>40</v>
      </c>
      <c r="G8641">
        <v>2035</v>
      </c>
      <c r="H8641" s="12">
        <v>1660</v>
      </c>
      <c r="I8641" t="s">
        <v>3183</v>
      </c>
      <c r="J8641" t="s">
        <v>5</v>
      </c>
      <c r="K8641" t="s">
        <v>657</v>
      </c>
      <c r="L8641" t="s">
        <v>652</v>
      </c>
      <c r="M8641" t="s">
        <v>5</v>
      </c>
    </row>
    <row r="8642" spans="1:13">
      <c r="A8642" t="s">
        <v>851</v>
      </c>
      <c r="B8642" t="s">
        <v>686</v>
      </c>
      <c r="C8642" t="s">
        <v>686</v>
      </c>
      <c r="D8642" t="s">
        <v>3185</v>
      </c>
      <c r="E8642" t="s">
        <v>660</v>
      </c>
      <c r="F8642" t="s">
        <v>40</v>
      </c>
      <c r="G8642">
        <v>2040</v>
      </c>
      <c r="H8642" s="12">
        <v>1459</v>
      </c>
      <c r="I8642" t="s">
        <v>3183</v>
      </c>
      <c r="J8642" t="s">
        <v>5</v>
      </c>
      <c r="K8642" t="s">
        <v>657</v>
      </c>
      <c r="L8642" t="s">
        <v>652</v>
      </c>
      <c r="M8642" t="s">
        <v>5</v>
      </c>
    </row>
    <row r="8643" spans="1:13">
      <c r="A8643" t="s">
        <v>851</v>
      </c>
      <c r="B8643" t="s">
        <v>686</v>
      </c>
      <c r="C8643" t="s">
        <v>686</v>
      </c>
      <c r="D8643" t="s">
        <v>3185</v>
      </c>
      <c r="E8643" t="s">
        <v>660</v>
      </c>
      <c r="F8643" t="s">
        <v>40</v>
      </c>
      <c r="G8643">
        <v>2045</v>
      </c>
      <c r="H8643" s="12">
        <v>1362</v>
      </c>
      <c r="I8643" t="s">
        <v>3183</v>
      </c>
      <c r="J8643" t="s">
        <v>5</v>
      </c>
      <c r="K8643" t="s">
        <v>657</v>
      </c>
      <c r="L8643" t="s">
        <v>652</v>
      </c>
      <c r="M8643" t="s">
        <v>5</v>
      </c>
    </row>
    <row r="8644" spans="1:13">
      <c r="A8644" t="s">
        <v>851</v>
      </c>
      <c r="B8644" t="s">
        <v>686</v>
      </c>
      <c r="C8644" t="s">
        <v>686</v>
      </c>
      <c r="D8644" t="s">
        <v>3185</v>
      </c>
      <c r="E8644" t="s">
        <v>660</v>
      </c>
      <c r="F8644" t="s">
        <v>40</v>
      </c>
      <c r="G8644">
        <v>2050</v>
      </c>
      <c r="H8644" s="12">
        <v>1232</v>
      </c>
      <c r="I8644" t="s">
        <v>3183</v>
      </c>
      <c r="J8644" t="s">
        <v>5</v>
      </c>
      <c r="K8644" t="s">
        <v>657</v>
      </c>
      <c r="L8644" t="s">
        <v>652</v>
      </c>
      <c r="M8644" t="s">
        <v>5</v>
      </c>
    </row>
    <row r="8645" spans="1:13">
      <c r="A8645" t="s">
        <v>851</v>
      </c>
      <c r="B8645" t="s">
        <v>687</v>
      </c>
      <c r="C8645" t="s">
        <v>687</v>
      </c>
      <c r="D8645" t="s">
        <v>3185</v>
      </c>
      <c r="E8645" t="s">
        <v>660</v>
      </c>
      <c r="F8645" t="s">
        <v>40</v>
      </c>
      <c r="G8645">
        <v>2030</v>
      </c>
      <c r="H8645" s="12">
        <v>2316</v>
      </c>
      <c r="I8645" t="s">
        <v>3183</v>
      </c>
      <c r="J8645" t="s">
        <v>5</v>
      </c>
      <c r="K8645" t="s">
        <v>657</v>
      </c>
      <c r="L8645" t="s">
        <v>652</v>
      </c>
      <c r="M8645" t="s">
        <v>5</v>
      </c>
    </row>
    <row r="8646" spans="1:13">
      <c r="A8646" t="s">
        <v>851</v>
      </c>
      <c r="B8646" t="s">
        <v>687</v>
      </c>
      <c r="C8646" t="s">
        <v>687</v>
      </c>
      <c r="D8646" t="s">
        <v>3185</v>
      </c>
      <c r="E8646" t="s">
        <v>660</v>
      </c>
      <c r="F8646" t="s">
        <v>40</v>
      </c>
      <c r="G8646">
        <v>2035</v>
      </c>
      <c r="H8646" s="12">
        <v>1232</v>
      </c>
      <c r="I8646" t="s">
        <v>3183</v>
      </c>
      <c r="J8646" t="s">
        <v>5</v>
      </c>
      <c r="K8646" t="s">
        <v>657</v>
      </c>
      <c r="L8646" t="s">
        <v>652</v>
      </c>
      <c r="M8646" t="s">
        <v>5</v>
      </c>
    </row>
    <row r="8647" spans="1:13">
      <c r="A8647" t="s">
        <v>851</v>
      </c>
      <c r="B8647" t="s">
        <v>687</v>
      </c>
      <c r="C8647" t="s">
        <v>687</v>
      </c>
      <c r="D8647" t="s">
        <v>3185</v>
      </c>
      <c r="E8647" t="s">
        <v>660</v>
      </c>
      <c r="F8647" t="s">
        <v>40</v>
      </c>
      <c r="G8647">
        <v>2040</v>
      </c>
      <c r="H8647" s="12">
        <v>1084</v>
      </c>
      <c r="I8647" t="s">
        <v>3183</v>
      </c>
      <c r="J8647" t="s">
        <v>5</v>
      </c>
      <c r="K8647" t="s">
        <v>657</v>
      </c>
      <c r="L8647" t="s">
        <v>652</v>
      </c>
      <c r="M8647" t="s">
        <v>5</v>
      </c>
    </row>
    <row r="8648" spans="1:13">
      <c r="A8648" t="s">
        <v>851</v>
      </c>
      <c r="B8648" t="s">
        <v>687</v>
      </c>
      <c r="C8648" t="s">
        <v>687</v>
      </c>
      <c r="D8648" t="s">
        <v>3185</v>
      </c>
      <c r="E8648" t="s">
        <v>660</v>
      </c>
      <c r="F8648" t="s">
        <v>40</v>
      </c>
      <c r="G8648">
        <v>2045</v>
      </c>
      <c r="H8648" s="12">
        <v>984</v>
      </c>
      <c r="I8648" t="s">
        <v>3183</v>
      </c>
      <c r="J8648" t="s">
        <v>5</v>
      </c>
      <c r="K8648" t="s">
        <v>657</v>
      </c>
      <c r="L8648" t="s">
        <v>652</v>
      </c>
      <c r="M8648" t="s">
        <v>5</v>
      </c>
    </row>
    <row r="8649" spans="1:13">
      <c r="A8649" t="s">
        <v>851</v>
      </c>
      <c r="B8649" t="s">
        <v>687</v>
      </c>
      <c r="C8649" t="s">
        <v>687</v>
      </c>
      <c r="D8649" t="s">
        <v>3185</v>
      </c>
      <c r="E8649" t="s">
        <v>660</v>
      </c>
      <c r="F8649" t="s">
        <v>40</v>
      </c>
      <c r="G8649">
        <v>2050</v>
      </c>
      <c r="H8649" s="12">
        <v>879</v>
      </c>
      <c r="I8649" t="s">
        <v>3183</v>
      </c>
      <c r="J8649" t="s">
        <v>5</v>
      </c>
      <c r="K8649" t="s">
        <v>657</v>
      </c>
      <c r="L8649" t="s">
        <v>652</v>
      </c>
      <c r="M8649" t="s">
        <v>5</v>
      </c>
    </row>
    <row r="8650" spans="1:13">
      <c r="A8650" t="s">
        <v>851</v>
      </c>
      <c r="B8650" t="s">
        <v>686</v>
      </c>
      <c r="C8650" t="s">
        <v>686</v>
      </c>
      <c r="D8650" t="s">
        <v>3185</v>
      </c>
      <c r="E8650" t="s">
        <v>573</v>
      </c>
      <c r="F8650" t="s">
        <v>40</v>
      </c>
      <c r="G8650">
        <v>2030</v>
      </c>
      <c r="H8650" s="12">
        <v>13621</v>
      </c>
      <c r="I8650" t="s">
        <v>3183</v>
      </c>
      <c r="J8650" t="s">
        <v>6</v>
      </c>
      <c r="K8650" t="s">
        <v>147</v>
      </c>
      <c r="L8650" t="s">
        <v>652</v>
      </c>
      <c r="M8650" t="s">
        <v>659</v>
      </c>
    </row>
    <row r="8651" spans="1:13">
      <c r="A8651" t="s">
        <v>851</v>
      </c>
      <c r="B8651" t="s">
        <v>686</v>
      </c>
      <c r="C8651" t="s">
        <v>686</v>
      </c>
      <c r="D8651" t="s">
        <v>3185</v>
      </c>
      <c r="E8651" t="s">
        <v>573</v>
      </c>
      <c r="F8651" t="s">
        <v>40</v>
      </c>
      <c r="G8651">
        <v>2035</v>
      </c>
      <c r="H8651" s="12">
        <v>10499</v>
      </c>
      <c r="I8651" t="s">
        <v>3183</v>
      </c>
      <c r="J8651" t="s">
        <v>6</v>
      </c>
      <c r="K8651" t="s">
        <v>147</v>
      </c>
      <c r="L8651" t="s">
        <v>652</v>
      </c>
      <c r="M8651" t="s">
        <v>659</v>
      </c>
    </row>
    <row r="8652" spans="1:13">
      <c r="A8652" t="s">
        <v>851</v>
      </c>
      <c r="B8652" t="s">
        <v>686</v>
      </c>
      <c r="C8652" t="s">
        <v>686</v>
      </c>
      <c r="D8652" t="s">
        <v>3185</v>
      </c>
      <c r="E8652" t="s">
        <v>573</v>
      </c>
      <c r="F8652" t="s">
        <v>40</v>
      </c>
      <c r="G8652">
        <v>2040</v>
      </c>
      <c r="H8652" s="12">
        <v>8933</v>
      </c>
      <c r="I8652" t="s">
        <v>3183</v>
      </c>
      <c r="J8652" t="s">
        <v>6</v>
      </c>
      <c r="K8652" t="s">
        <v>147</v>
      </c>
      <c r="L8652" t="s">
        <v>652</v>
      </c>
      <c r="M8652" t="s">
        <v>659</v>
      </c>
    </row>
    <row r="8653" spans="1:13">
      <c r="A8653" t="s">
        <v>851</v>
      </c>
      <c r="B8653" t="s">
        <v>686</v>
      </c>
      <c r="C8653" t="s">
        <v>686</v>
      </c>
      <c r="D8653" t="s">
        <v>3185</v>
      </c>
      <c r="E8653" t="s">
        <v>573</v>
      </c>
      <c r="F8653" t="s">
        <v>40</v>
      </c>
      <c r="G8653">
        <v>2045</v>
      </c>
      <c r="H8653" s="12">
        <v>7819</v>
      </c>
      <c r="I8653" t="s">
        <v>3183</v>
      </c>
      <c r="J8653" t="s">
        <v>6</v>
      </c>
      <c r="K8653" t="s">
        <v>147</v>
      </c>
      <c r="L8653" t="s">
        <v>652</v>
      </c>
      <c r="M8653" t="s">
        <v>659</v>
      </c>
    </row>
    <row r="8654" spans="1:13">
      <c r="A8654" t="s">
        <v>851</v>
      </c>
      <c r="B8654" t="s">
        <v>686</v>
      </c>
      <c r="C8654" t="s">
        <v>686</v>
      </c>
      <c r="D8654" t="s">
        <v>3185</v>
      </c>
      <c r="E8654" t="s">
        <v>573</v>
      </c>
      <c r="F8654" t="s">
        <v>40</v>
      </c>
      <c r="G8654">
        <v>2050</v>
      </c>
      <c r="H8654" s="12">
        <v>6882</v>
      </c>
      <c r="I8654" t="s">
        <v>3183</v>
      </c>
      <c r="J8654" t="s">
        <v>6</v>
      </c>
      <c r="K8654" t="s">
        <v>147</v>
      </c>
      <c r="L8654" t="s">
        <v>652</v>
      </c>
      <c r="M8654" t="s">
        <v>659</v>
      </c>
    </row>
    <row r="8655" spans="1:13">
      <c r="A8655" t="s">
        <v>851</v>
      </c>
      <c r="B8655" t="s">
        <v>687</v>
      </c>
      <c r="C8655" t="s">
        <v>687</v>
      </c>
      <c r="D8655" t="s">
        <v>3185</v>
      </c>
      <c r="E8655" t="s">
        <v>573</v>
      </c>
      <c r="F8655" t="s">
        <v>40</v>
      </c>
      <c r="G8655">
        <v>2030</v>
      </c>
      <c r="H8655" s="12">
        <v>10840</v>
      </c>
      <c r="I8655" t="s">
        <v>3183</v>
      </c>
      <c r="J8655" t="s">
        <v>6</v>
      </c>
      <c r="K8655" t="s">
        <v>147</v>
      </c>
      <c r="L8655" t="s">
        <v>652</v>
      </c>
      <c r="M8655" t="s">
        <v>659</v>
      </c>
    </row>
    <row r="8656" spans="1:13">
      <c r="A8656" t="s">
        <v>851</v>
      </c>
      <c r="B8656" t="s">
        <v>687</v>
      </c>
      <c r="C8656" t="s">
        <v>687</v>
      </c>
      <c r="D8656" t="s">
        <v>3185</v>
      </c>
      <c r="E8656" t="s">
        <v>573</v>
      </c>
      <c r="F8656" t="s">
        <v>40</v>
      </c>
      <c r="G8656">
        <v>2035</v>
      </c>
      <c r="H8656" s="12">
        <v>6076</v>
      </c>
      <c r="I8656" t="s">
        <v>3183</v>
      </c>
      <c r="J8656" t="s">
        <v>6</v>
      </c>
      <c r="K8656" t="s">
        <v>147</v>
      </c>
      <c r="L8656" t="s">
        <v>652</v>
      </c>
      <c r="M8656" t="s">
        <v>659</v>
      </c>
    </row>
    <row r="8657" spans="1:13">
      <c r="A8657" t="s">
        <v>851</v>
      </c>
      <c r="B8657" t="s">
        <v>687</v>
      </c>
      <c r="C8657" t="s">
        <v>687</v>
      </c>
      <c r="D8657" t="s">
        <v>3185</v>
      </c>
      <c r="E8657" t="s">
        <v>573</v>
      </c>
      <c r="F8657" t="s">
        <v>40</v>
      </c>
      <c r="G8657">
        <v>2040</v>
      </c>
      <c r="H8657" s="12">
        <v>4812</v>
      </c>
      <c r="I8657" t="s">
        <v>3183</v>
      </c>
      <c r="J8657" t="s">
        <v>6</v>
      </c>
      <c r="K8657" t="s">
        <v>147</v>
      </c>
      <c r="L8657" t="s">
        <v>652</v>
      </c>
      <c r="M8657" t="s">
        <v>659</v>
      </c>
    </row>
    <row r="8658" spans="1:13">
      <c r="A8658" t="s">
        <v>851</v>
      </c>
      <c r="B8658" t="s">
        <v>687</v>
      </c>
      <c r="C8658" t="s">
        <v>687</v>
      </c>
      <c r="D8658" t="s">
        <v>3185</v>
      </c>
      <c r="E8658" t="s">
        <v>573</v>
      </c>
      <c r="F8658" t="s">
        <v>40</v>
      </c>
      <c r="G8658">
        <v>2045</v>
      </c>
      <c r="H8658" s="12">
        <v>4560</v>
      </c>
      <c r="I8658" t="s">
        <v>3183</v>
      </c>
      <c r="J8658" t="s">
        <v>6</v>
      </c>
      <c r="K8658" t="s">
        <v>147</v>
      </c>
      <c r="L8658" t="s">
        <v>652</v>
      </c>
      <c r="M8658" t="s">
        <v>659</v>
      </c>
    </row>
    <row r="8659" spans="1:13">
      <c r="A8659" t="s">
        <v>851</v>
      </c>
      <c r="B8659" t="s">
        <v>687</v>
      </c>
      <c r="C8659" t="s">
        <v>687</v>
      </c>
      <c r="D8659" t="s">
        <v>3185</v>
      </c>
      <c r="E8659" t="s">
        <v>573</v>
      </c>
      <c r="F8659" t="s">
        <v>40</v>
      </c>
      <c r="G8659">
        <v>2050</v>
      </c>
      <c r="H8659" s="12">
        <v>4082</v>
      </c>
      <c r="I8659" t="s">
        <v>3183</v>
      </c>
      <c r="J8659" t="s">
        <v>6</v>
      </c>
      <c r="K8659" t="s">
        <v>147</v>
      </c>
      <c r="L8659" t="s">
        <v>652</v>
      </c>
      <c r="M8659" t="s">
        <v>659</v>
      </c>
    </row>
    <row r="8660" spans="1:13">
      <c r="A8660" t="s">
        <v>851</v>
      </c>
      <c r="B8660" t="s">
        <v>686</v>
      </c>
      <c r="C8660" t="s">
        <v>686</v>
      </c>
      <c r="D8660" t="s">
        <v>3185</v>
      </c>
      <c r="E8660" t="s">
        <v>573</v>
      </c>
      <c r="F8660" t="s">
        <v>40</v>
      </c>
      <c r="G8660">
        <v>2010</v>
      </c>
      <c r="H8660" s="12">
        <v>985</v>
      </c>
      <c r="I8660" t="s">
        <v>3183</v>
      </c>
      <c r="J8660" t="s">
        <v>394</v>
      </c>
      <c r="K8660" t="s">
        <v>147</v>
      </c>
      <c r="L8660" t="s">
        <v>652</v>
      </c>
      <c r="M8660" t="s">
        <v>16</v>
      </c>
    </row>
    <row r="8661" spans="1:13">
      <c r="A8661" t="s">
        <v>851</v>
      </c>
      <c r="B8661" t="s">
        <v>686</v>
      </c>
      <c r="C8661" t="s">
        <v>686</v>
      </c>
      <c r="D8661" t="s">
        <v>3185</v>
      </c>
      <c r="E8661" t="s">
        <v>573</v>
      </c>
      <c r="F8661" t="s">
        <v>40</v>
      </c>
      <c r="G8661">
        <v>2015</v>
      </c>
      <c r="H8661" s="12">
        <v>778</v>
      </c>
      <c r="I8661" t="s">
        <v>3183</v>
      </c>
      <c r="J8661" t="s">
        <v>394</v>
      </c>
      <c r="K8661" t="s">
        <v>147</v>
      </c>
      <c r="L8661" t="s">
        <v>652</v>
      </c>
      <c r="M8661" t="s">
        <v>16</v>
      </c>
    </row>
    <row r="8662" spans="1:13">
      <c r="A8662" t="s">
        <v>851</v>
      </c>
      <c r="B8662" t="s">
        <v>686</v>
      </c>
      <c r="C8662" t="s">
        <v>686</v>
      </c>
      <c r="D8662" t="s">
        <v>3185</v>
      </c>
      <c r="E8662" t="s">
        <v>573</v>
      </c>
      <c r="F8662" t="s">
        <v>40</v>
      </c>
      <c r="G8662">
        <v>2020</v>
      </c>
      <c r="H8662" s="12">
        <v>859</v>
      </c>
      <c r="I8662" t="s">
        <v>3183</v>
      </c>
      <c r="J8662" t="s">
        <v>394</v>
      </c>
      <c r="K8662" t="s">
        <v>147</v>
      </c>
      <c r="L8662" t="s">
        <v>652</v>
      </c>
      <c r="M8662" t="s">
        <v>16</v>
      </c>
    </row>
    <row r="8663" spans="1:13">
      <c r="A8663" t="s">
        <v>851</v>
      </c>
      <c r="B8663" t="s">
        <v>686</v>
      </c>
      <c r="C8663" t="s">
        <v>686</v>
      </c>
      <c r="D8663" t="s">
        <v>3185</v>
      </c>
      <c r="E8663" t="s">
        <v>573</v>
      </c>
      <c r="F8663" t="s">
        <v>40</v>
      </c>
      <c r="G8663">
        <v>2030</v>
      </c>
      <c r="H8663" s="12">
        <v>196</v>
      </c>
      <c r="I8663" t="s">
        <v>3183</v>
      </c>
      <c r="J8663" t="s">
        <v>394</v>
      </c>
      <c r="K8663" t="s">
        <v>147</v>
      </c>
      <c r="L8663" t="s">
        <v>652</v>
      </c>
      <c r="M8663" t="s">
        <v>16</v>
      </c>
    </row>
    <row r="8664" spans="1:13">
      <c r="A8664" t="s">
        <v>851</v>
      </c>
      <c r="B8664" t="s">
        <v>686</v>
      </c>
      <c r="C8664" t="s">
        <v>686</v>
      </c>
      <c r="D8664" t="s">
        <v>3185</v>
      </c>
      <c r="E8664" t="s">
        <v>573</v>
      </c>
      <c r="F8664" t="s">
        <v>40</v>
      </c>
      <c r="G8664">
        <v>2035</v>
      </c>
      <c r="H8664" s="12">
        <v>141</v>
      </c>
      <c r="I8664" t="s">
        <v>3183</v>
      </c>
      <c r="J8664" t="s">
        <v>394</v>
      </c>
      <c r="K8664" t="s">
        <v>147</v>
      </c>
      <c r="L8664" t="s">
        <v>652</v>
      </c>
      <c r="M8664" t="s">
        <v>16</v>
      </c>
    </row>
    <row r="8665" spans="1:13">
      <c r="A8665" t="s">
        <v>851</v>
      </c>
      <c r="B8665" t="s">
        <v>686</v>
      </c>
      <c r="C8665" t="s">
        <v>686</v>
      </c>
      <c r="D8665" t="s">
        <v>3185</v>
      </c>
      <c r="E8665" t="s">
        <v>573</v>
      </c>
      <c r="F8665" t="s">
        <v>40</v>
      </c>
      <c r="G8665">
        <v>2040</v>
      </c>
      <c r="H8665" s="12">
        <v>73</v>
      </c>
      <c r="I8665" t="s">
        <v>3183</v>
      </c>
      <c r="J8665" t="s">
        <v>394</v>
      </c>
      <c r="K8665" t="s">
        <v>147</v>
      </c>
      <c r="L8665" t="s">
        <v>652</v>
      </c>
      <c r="M8665" t="s">
        <v>16</v>
      </c>
    </row>
    <row r="8666" spans="1:13">
      <c r="A8666" t="s">
        <v>851</v>
      </c>
      <c r="B8666" t="s">
        <v>686</v>
      </c>
      <c r="C8666" t="s">
        <v>686</v>
      </c>
      <c r="D8666" t="s">
        <v>3185</v>
      </c>
      <c r="E8666" t="s">
        <v>573</v>
      </c>
      <c r="F8666" t="s">
        <v>40</v>
      </c>
      <c r="G8666">
        <v>2045</v>
      </c>
      <c r="H8666" s="12">
        <v>47</v>
      </c>
      <c r="I8666" t="s">
        <v>3183</v>
      </c>
      <c r="J8666" t="s">
        <v>394</v>
      </c>
      <c r="K8666" t="s">
        <v>147</v>
      </c>
      <c r="L8666" t="s">
        <v>652</v>
      </c>
      <c r="M8666" t="s">
        <v>16</v>
      </c>
    </row>
    <row r="8667" spans="1:13">
      <c r="A8667" t="s">
        <v>851</v>
      </c>
      <c r="B8667" t="s">
        <v>686</v>
      </c>
      <c r="C8667" t="s">
        <v>686</v>
      </c>
      <c r="D8667" t="s">
        <v>3185</v>
      </c>
      <c r="E8667" t="s">
        <v>573</v>
      </c>
      <c r="F8667" t="s">
        <v>40</v>
      </c>
      <c r="G8667">
        <v>2050</v>
      </c>
      <c r="H8667" s="12">
        <v>31</v>
      </c>
      <c r="I8667" t="s">
        <v>3183</v>
      </c>
      <c r="J8667" t="s">
        <v>394</v>
      </c>
      <c r="K8667" t="s">
        <v>147</v>
      </c>
      <c r="L8667" t="s">
        <v>652</v>
      </c>
      <c r="M8667" t="s">
        <v>16</v>
      </c>
    </row>
    <row r="8668" spans="1:13">
      <c r="A8668" t="s">
        <v>851</v>
      </c>
      <c r="B8668" t="s">
        <v>687</v>
      </c>
      <c r="C8668" t="s">
        <v>687</v>
      </c>
      <c r="D8668" t="s">
        <v>3185</v>
      </c>
      <c r="E8668" t="s">
        <v>573</v>
      </c>
      <c r="F8668" t="s">
        <v>40</v>
      </c>
      <c r="G8668">
        <v>2030</v>
      </c>
      <c r="H8668" s="12">
        <v>93</v>
      </c>
      <c r="I8668" t="s">
        <v>3183</v>
      </c>
      <c r="J8668" t="s">
        <v>394</v>
      </c>
      <c r="K8668" t="s">
        <v>147</v>
      </c>
      <c r="L8668" t="s">
        <v>652</v>
      </c>
      <c r="M8668" t="s">
        <v>16</v>
      </c>
    </row>
    <row r="8669" spans="1:13">
      <c r="A8669" t="s">
        <v>851</v>
      </c>
      <c r="B8669" t="s">
        <v>687</v>
      </c>
      <c r="C8669" t="s">
        <v>687</v>
      </c>
      <c r="D8669" t="s">
        <v>3185</v>
      </c>
      <c r="E8669" t="s">
        <v>573</v>
      </c>
      <c r="F8669" t="s">
        <v>40</v>
      </c>
      <c r="G8669">
        <v>2035</v>
      </c>
      <c r="H8669" s="12">
        <v>42</v>
      </c>
      <c r="I8669" t="s">
        <v>3183</v>
      </c>
      <c r="J8669" t="s">
        <v>394</v>
      </c>
      <c r="K8669" t="s">
        <v>147</v>
      </c>
      <c r="L8669" t="s">
        <v>652</v>
      </c>
      <c r="M8669" t="s">
        <v>16</v>
      </c>
    </row>
    <row r="8670" spans="1:13">
      <c r="A8670" t="s">
        <v>851</v>
      </c>
      <c r="B8670" t="s">
        <v>687</v>
      </c>
      <c r="C8670" t="s">
        <v>687</v>
      </c>
      <c r="D8670" t="s">
        <v>3185</v>
      </c>
      <c r="E8670" t="s">
        <v>573</v>
      </c>
      <c r="F8670" t="s">
        <v>40</v>
      </c>
      <c r="G8670">
        <v>2040</v>
      </c>
      <c r="H8670" s="12">
        <v>18</v>
      </c>
      <c r="I8670" t="s">
        <v>3183</v>
      </c>
      <c r="J8670" t="s">
        <v>394</v>
      </c>
      <c r="K8670" t="s">
        <v>147</v>
      </c>
      <c r="L8670" t="s">
        <v>652</v>
      </c>
      <c r="M8670" t="s">
        <v>16</v>
      </c>
    </row>
    <row r="8671" spans="1:13">
      <c r="A8671" t="s">
        <v>851</v>
      </c>
      <c r="B8671" t="s">
        <v>687</v>
      </c>
      <c r="C8671" t="s">
        <v>687</v>
      </c>
      <c r="D8671" t="s">
        <v>3185</v>
      </c>
      <c r="E8671" t="s">
        <v>573</v>
      </c>
      <c r="F8671" t="s">
        <v>40</v>
      </c>
      <c r="G8671">
        <v>2045</v>
      </c>
      <c r="H8671" s="12">
        <v>13</v>
      </c>
      <c r="I8671" t="s">
        <v>3183</v>
      </c>
      <c r="J8671" t="s">
        <v>394</v>
      </c>
      <c r="K8671" t="s">
        <v>147</v>
      </c>
      <c r="L8671" t="s">
        <v>652</v>
      </c>
      <c r="M8671" t="s">
        <v>16</v>
      </c>
    </row>
    <row r="8672" spans="1:13">
      <c r="A8672" t="s">
        <v>851</v>
      </c>
      <c r="B8672" t="s">
        <v>686</v>
      </c>
      <c r="C8672" t="s">
        <v>686</v>
      </c>
      <c r="D8672" t="s">
        <v>3185</v>
      </c>
      <c r="E8672" t="s">
        <v>660</v>
      </c>
      <c r="F8672" t="s">
        <v>40</v>
      </c>
      <c r="G8672">
        <v>2010</v>
      </c>
      <c r="H8672" s="12">
        <v>106</v>
      </c>
      <c r="I8672" t="s">
        <v>3183</v>
      </c>
      <c r="J8672" t="s">
        <v>17</v>
      </c>
      <c r="K8672" t="s">
        <v>657</v>
      </c>
      <c r="L8672" t="s">
        <v>652</v>
      </c>
      <c r="M8672" t="s">
        <v>17</v>
      </c>
    </row>
    <row r="8673" spans="1:13">
      <c r="A8673" t="s">
        <v>851</v>
      </c>
      <c r="B8673" t="s">
        <v>686</v>
      </c>
      <c r="C8673" t="s">
        <v>686</v>
      </c>
      <c r="D8673" t="s">
        <v>3185</v>
      </c>
      <c r="E8673" t="s">
        <v>660</v>
      </c>
      <c r="F8673" t="s">
        <v>40</v>
      </c>
      <c r="G8673">
        <v>2015</v>
      </c>
      <c r="H8673" s="12">
        <v>264</v>
      </c>
      <c r="I8673" t="s">
        <v>3183</v>
      </c>
      <c r="J8673" t="s">
        <v>17</v>
      </c>
      <c r="K8673" t="s">
        <v>657</v>
      </c>
      <c r="L8673" t="s">
        <v>652</v>
      </c>
      <c r="M8673" t="s">
        <v>17</v>
      </c>
    </row>
    <row r="8674" spans="1:13">
      <c r="A8674" t="s">
        <v>851</v>
      </c>
      <c r="B8674" t="s">
        <v>686</v>
      </c>
      <c r="C8674" t="s">
        <v>686</v>
      </c>
      <c r="D8674" t="s">
        <v>3185</v>
      </c>
      <c r="E8674" t="s">
        <v>660</v>
      </c>
      <c r="F8674" t="s">
        <v>40</v>
      </c>
      <c r="G8674">
        <v>2020</v>
      </c>
      <c r="H8674" s="12">
        <v>629</v>
      </c>
      <c r="I8674" t="s">
        <v>3183</v>
      </c>
      <c r="J8674" t="s">
        <v>17</v>
      </c>
      <c r="K8674" t="s">
        <v>657</v>
      </c>
      <c r="L8674" t="s">
        <v>652</v>
      </c>
      <c r="M8674" t="s">
        <v>17</v>
      </c>
    </row>
    <row r="8675" spans="1:13">
      <c r="A8675" t="s">
        <v>851</v>
      </c>
      <c r="B8675" t="s">
        <v>686</v>
      </c>
      <c r="C8675" t="s">
        <v>686</v>
      </c>
      <c r="D8675" t="s">
        <v>3185</v>
      </c>
      <c r="E8675" t="s">
        <v>660</v>
      </c>
      <c r="F8675" t="s">
        <v>40</v>
      </c>
      <c r="G8675">
        <v>2030</v>
      </c>
      <c r="H8675" s="12">
        <v>2895</v>
      </c>
      <c r="I8675" t="s">
        <v>3183</v>
      </c>
      <c r="J8675" t="s">
        <v>17</v>
      </c>
      <c r="K8675" t="s">
        <v>657</v>
      </c>
      <c r="L8675" t="s">
        <v>652</v>
      </c>
      <c r="M8675" t="s">
        <v>17</v>
      </c>
    </row>
    <row r="8676" spans="1:13">
      <c r="A8676" t="s">
        <v>851</v>
      </c>
      <c r="B8676" t="s">
        <v>686</v>
      </c>
      <c r="C8676" t="s">
        <v>686</v>
      </c>
      <c r="D8676" t="s">
        <v>3185</v>
      </c>
      <c r="E8676" t="s">
        <v>660</v>
      </c>
      <c r="F8676" t="s">
        <v>40</v>
      </c>
      <c r="G8676">
        <v>2035</v>
      </c>
      <c r="H8676" s="12">
        <v>4825</v>
      </c>
      <c r="I8676" t="s">
        <v>3183</v>
      </c>
      <c r="J8676" t="s">
        <v>17</v>
      </c>
      <c r="K8676" t="s">
        <v>657</v>
      </c>
      <c r="L8676" t="s">
        <v>652</v>
      </c>
      <c r="M8676" t="s">
        <v>17</v>
      </c>
    </row>
    <row r="8677" spans="1:13">
      <c r="A8677" t="s">
        <v>851</v>
      </c>
      <c r="B8677" t="s">
        <v>686</v>
      </c>
      <c r="C8677" t="s">
        <v>686</v>
      </c>
      <c r="D8677" t="s">
        <v>3185</v>
      </c>
      <c r="E8677" t="s">
        <v>660</v>
      </c>
      <c r="F8677" t="s">
        <v>40</v>
      </c>
      <c r="G8677">
        <v>2040</v>
      </c>
      <c r="H8677" s="12">
        <v>6810</v>
      </c>
      <c r="I8677" t="s">
        <v>3183</v>
      </c>
      <c r="J8677" t="s">
        <v>17</v>
      </c>
      <c r="K8677" t="s">
        <v>657</v>
      </c>
      <c r="L8677" t="s">
        <v>652</v>
      </c>
      <c r="M8677" t="s">
        <v>17</v>
      </c>
    </row>
    <row r="8678" spans="1:13">
      <c r="A8678" t="s">
        <v>851</v>
      </c>
      <c r="B8678" t="s">
        <v>686</v>
      </c>
      <c r="C8678" t="s">
        <v>686</v>
      </c>
      <c r="D8678" t="s">
        <v>3185</v>
      </c>
      <c r="E8678" t="s">
        <v>660</v>
      </c>
      <c r="F8678" t="s">
        <v>40</v>
      </c>
      <c r="G8678">
        <v>2045</v>
      </c>
      <c r="H8678" s="12">
        <v>8540</v>
      </c>
      <c r="I8678" t="s">
        <v>3183</v>
      </c>
      <c r="J8678" t="s">
        <v>17</v>
      </c>
      <c r="K8678" t="s">
        <v>657</v>
      </c>
      <c r="L8678" t="s">
        <v>652</v>
      </c>
      <c r="M8678" t="s">
        <v>17</v>
      </c>
    </row>
    <row r="8679" spans="1:13">
      <c r="A8679" t="s">
        <v>851</v>
      </c>
      <c r="B8679" t="s">
        <v>686</v>
      </c>
      <c r="C8679" t="s">
        <v>686</v>
      </c>
      <c r="D8679" t="s">
        <v>3185</v>
      </c>
      <c r="E8679" t="s">
        <v>660</v>
      </c>
      <c r="F8679" t="s">
        <v>40</v>
      </c>
      <c r="G8679">
        <v>2050</v>
      </c>
      <c r="H8679" s="12">
        <v>10127</v>
      </c>
      <c r="I8679" t="s">
        <v>3183</v>
      </c>
      <c r="J8679" t="s">
        <v>17</v>
      </c>
      <c r="K8679" t="s">
        <v>657</v>
      </c>
      <c r="L8679" t="s">
        <v>652</v>
      </c>
      <c r="M8679" t="s">
        <v>17</v>
      </c>
    </row>
    <row r="8680" spans="1:13">
      <c r="A8680" t="s">
        <v>851</v>
      </c>
      <c r="B8680" t="s">
        <v>687</v>
      </c>
      <c r="C8680" t="s">
        <v>687</v>
      </c>
      <c r="D8680" t="s">
        <v>3185</v>
      </c>
      <c r="E8680" t="s">
        <v>660</v>
      </c>
      <c r="F8680" t="s">
        <v>40</v>
      </c>
      <c r="G8680">
        <v>2030</v>
      </c>
      <c r="H8680" s="12">
        <v>4097</v>
      </c>
      <c r="I8680" t="s">
        <v>3183</v>
      </c>
      <c r="J8680" t="s">
        <v>17</v>
      </c>
      <c r="K8680" t="s">
        <v>657</v>
      </c>
      <c r="L8680" t="s">
        <v>652</v>
      </c>
      <c r="M8680" t="s">
        <v>17</v>
      </c>
    </row>
    <row r="8681" spans="1:13">
      <c r="A8681" t="s">
        <v>851</v>
      </c>
      <c r="B8681" t="s">
        <v>687</v>
      </c>
      <c r="C8681" t="s">
        <v>687</v>
      </c>
      <c r="D8681" t="s">
        <v>3185</v>
      </c>
      <c r="E8681" t="s">
        <v>660</v>
      </c>
      <c r="F8681" t="s">
        <v>40</v>
      </c>
      <c r="G8681">
        <v>2035</v>
      </c>
      <c r="H8681" s="12">
        <v>6950</v>
      </c>
      <c r="I8681" t="s">
        <v>3183</v>
      </c>
      <c r="J8681" t="s">
        <v>17</v>
      </c>
      <c r="K8681" t="s">
        <v>657</v>
      </c>
      <c r="L8681" t="s">
        <v>652</v>
      </c>
      <c r="M8681" t="s">
        <v>17</v>
      </c>
    </row>
    <row r="8682" spans="1:13">
      <c r="A8682" t="s">
        <v>851</v>
      </c>
      <c r="B8682" t="s">
        <v>687</v>
      </c>
      <c r="C8682" t="s">
        <v>687</v>
      </c>
      <c r="D8682" t="s">
        <v>3185</v>
      </c>
      <c r="E8682" t="s">
        <v>660</v>
      </c>
      <c r="F8682" t="s">
        <v>40</v>
      </c>
      <c r="G8682">
        <v>2040</v>
      </c>
      <c r="H8682" s="12">
        <v>9374</v>
      </c>
      <c r="I8682" t="s">
        <v>3183</v>
      </c>
      <c r="J8682" t="s">
        <v>17</v>
      </c>
      <c r="K8682" t="s">
        <v>657</v>
      </c>
      <c r="L8682" t="s">
        <v>652</v>
      </c>
      <c r="M8682" t="s">
        <v>17</v>
      </c>
    </row>
    <row r="8683" spans="1:13">
      <c r="A8683" t="s">
        <v>851</v>
      </c>
      <c r="B8683" t="s">
        <v>687</v>
      </c>
      <c r="C8683" t="s">
        <v>687</v>
      </c>
      <c r="D8683" t="s">
        <v>3185</v>
      </c>
      <c r="E8683" t="s">
        <v>660</v>
      </c>
      <c r="F8683" t="s">
        <v>40</v>
      </c>
      <c r="G8683">
        <v>2045</v>
      </c>
      <c r="H8683" s="12">
        <v>11711</v>
      </c>
      <c r="I8683" t="s">
        <v>3183</v>
      </c>
      <c r="J8683" t="s">
        <v>17</v>
      </c>
      <c r="K8683" t="s">
        <v>657</v>
      </c>
      <c r="L8683" t="s">
        <v>652</v>
      </c>
      <c r="M8683" t="s">
        <v>17</v>
      </c>
    </row>
    <row r="8684" spans="1:13">
      <c r="A8684" t="s">
        <v>851</v>
      </c>
      <c r="B8684" t="s">
        <v>687</v>
      </c>
      <c r="C8684" t="s">
        <v>687</v>
      </c>
      <c r="D8684" t="s">
        <v>3185</v>
      </c>
      <c r="E8684" t="s">
        <v>660</v>
      </c>
      <c r="F8684" t="s">
        <v>40</v>
      </c>
      <c r="G8684">
        <v>2050</v>
      </c>
      <c r="H8684" s="12">
        <v>13864</v>
      </c>
      <c r="I8684" t="s">
        <v>3183</v>
      </c>
      <c r="J8684" t="s">
        <v>17</v>
      </c>
      <c r="K8684" t="s">
        <v>657</v>
      </c>
      <c r="L8684" t="s">
        <v>652</v>
      </c>
      <c r="M8684" t="s">
        <v>17</v>
      </c>
    </row>
    <row r="8685" spans="1:13">
      <c r="A8685" t="s">
        <v>851</v>
      </c>
      <c r="B8685" t="s">
        <v>686</v>
      </c>
      <c r="C8685" t="s">
        <v>686</v>
      </c>
      <c r="D8685" t="s">
        <v>3185</v>
      </c>
      <c r="E8685" t="s">
        <v>660</v>
      </c>
      <c r="F8685" t="s">
        <v>40</v>
      </c>
      <c r="G8685">
        <v>2010</v>
      </c>
      <c r="H8685" s="12">
        <v>378</v>
      </c>
      <c r="I8685" t="s">
        <v>3183</v>
      </c>
      <c r="J8685" t="s">
        <v>18</v>
      </c>
      <c r="K8685" t="s">
        <v>657</v>
      </c>
      <c r="L8685" t="s">
        <v>652</v>
      </c>
      <c r="M8685" t="s">
        <v>18</v>
      </c>
    </row>
    <row r="8686" spans="1:13">
      <c r="A8686" t="s">
        <v>851</v>
      </c>
      <c r="B8686" t="s">
        <v>686</v>
      </c>
      <c r="C8686" t="s">
        <v>686</v>
      </c>
      <c r="D8686" t="s">
        <v>3185</v>
      </c>
      <c r="E8686" t="s">
        <v>660</v>
      </c>
      <c r="F8686" t="s">
        <v>40</v>
      </c>
      <c r="G8686">
        <v>2015</v>
      </c>
      <c r="H8686" s="12">
        <v>823</v>
      </c>
      <c r="I8686" t="s">
        <v>3183</v>
      </c>
      <c r="J8686" t="s">
        <v>18</v>
      </c>
      <c r="K8686" t="s">
        <v>657</v>
      </c>
      <c r="L8686" t="s">
        <v>652</v>
      </c>
      <c r="M8686" t="s">
        <v>18</v>
      </c>
    </row>
    <row r="8687" spans="1:13">
      <c r="A8687" t="s">
        <v>851</v>
      </c>
      <c r="B8687" t="s">
        <v>686</v>
      </c>
      <c r="C8687" t="s">
        <v>686</v>
      </c>
      <c r="D8687" t="s">
        <v>3185</v>
      </c>
      <c r="E8687" t="s">
        <v>660</v>
      </c>
      <c r="F8687" t="s">
        <v>40</v>
      </c>
      <c r="G8687">
        <v>2020</v>
      </c>
      <c r="H8687" s="12">
        <v>1430</v>
      </c>
      <c r="I8687" t="s">
        <v>3183</v>
      </c>
      <c r="J8687" t="s">
        <v>18</v>
      </c>
      <c r="K8687" t="s">
        <v>657</v>
      </c>
      <c r="L8687" t="s">
        <v>652</v>
      </c>
      <c r="M8687" t="s">
        <v>18</v>
      </c>
    </row>
    <row r="8688" spans="1:13">
      <c r="A8688" t="s">
        <v>851</v>
      </c>
      <c r="B8688" t="s">
        <v>686</v>
      </c>
      <c r="C8688" t="s">
        <v>686</v>
      </c>
      <c r="D8688" t="s">
        <v>3185</v>
      </c>
      <c r="E8688" t="s">
        <v>660</v>
      </c>
      <c r="F8688" t="s">
        <v>40</v>
      </c>
      <c r="G8688">
        <v>2030</v>
      </c>
      <c r="H8688" s="12">
        <v>3769</v>
      </c>
      <c r="I8688" t="s">
        <v>3183</v>
      </c>
      <c r="J8688" t="s">
        <v>18</v>
      </c>
      <c r="K8688" t="s">
        <v>657</v>
      </c>
      <c r="L8688" t="s">
        <v>652</v>
      </c>
      <c r="M8688" t="s">
        <v>18</v>
      </c>
    </row>
    <row r="8689" spans="1:13">
      <c r="A8689" t="s">
        <v>851</v>
      </c>
      <c r="B8689" t="s">
        <v>686</v>
      </c>
      <c r="C8689" t="s">
        <v>686</v>
      </c>
      <c r="D8689" t="s">
        <v>3185</v>
      </c>
      <c r="E8689" t="s">
        <v>660</v>
      </c>
      <c r="F8689" t="s">
        <v>40</v>
      </c>
      <c r="G8689">
        <v>2035</v>
      </c>
      <c r="H8689" s="12">
        <v>5586</v>
      </c>
      <c r="I8689" t="s">
        <v>3183</v>
      </c>
      <c r="J8689" t="s">
        <v>18</v>
      </c>
      <c r="K8689" t="s">
        <v>657</v>
      </c>
      <c r="L8689" t="s">
        <v>652</v>
      </c>
      <c r="M8689" t="s">
        <v>18</v>
      </c>
    </row>
    <row r="8690" spans="1:13">
      <c r="A8690" t="s">
        <v>851</v>
      </c>
      <c r="B8690" t="s">
        <v>686</v>
      </c>
      <c r="C8690" t="s">
        <v>686</v>
      </c>
      <c r="D8690" t="s">
        <v>3185</v>
      </c>
      <c r="E8690" t="s">
        <v>660</v>
      </c>
      <c r="F8690" t="s">
        <v>40</v>
      </c>
      <c r="G8690">
        <v>2040</v>
      </c>
      <c r="H8690" s="12">
        <v>6775</v>
      </c>
      <c r="I8690" t="s">
        <v>3183</v>
      </c>
      <c r="J8690" t="s">
        <v>18</v>
      </c>
      <c r="K8690" t="s">
        <v>657</v>
      </c>
      <c r="L8690" t="s">
        <v>652</v>
      </c>
      <c r="M8690" t="s">
        <v>18</v>
      </c>
    </row>
    <row r="8691" spans="1:13">
      <c r="A8691" t="s">
        <v>851</v>
      </c>
      <c r="B8691" t="s">
        <v>686</v>
      </c>
      <c r="C8691" t="s">
        <v>686</v>
      </c>
      <c r="D8691" t="s">
        <v>3185</v>
      </c>
      <c r="E8691" t="s">
        <v>660</v>
      </c>
      <c r="F8691" t="s">
        <v>40</v>
      </c>
      <c r="G8691">
        <v>2045</v>
      </c>
      <c r="H8691" s="12">
        <v>7488</v>
      </c>
      <c r="I8691" t="s">
        <v>3183</v>
      </c>
      <c r="J8691" t="s">
        <v>18</v>
      </c>
      <c r="K8691" t="s">
        <v>657</v>
      </c>
      <c r="L8691" t="s">
        <v>652</v>
      </c>
      <c r="M8691" t="s">
        <v>18</v>
      </c>
    </row>
    <row r="8692" spans="1:13">
      <c r="A8692" t="s">
        <v>851</v>
      </c>
      <c r="B8692" t="s">
        <v>686</v>
      </c>
      <c r="C8692" t="s">
        <v>686</v>
      </c>
      <c r="D8692" t="s">
        <v>3185</v>
      </c>
      <c r="E8692" t="s">
        <v>660</v>
      </c>
      <c r="F8692" t="s">
        <v>40</v>
      </c>
      <c r="G8692">
        <v>2050</v>
      </c>
      <c r="H8692" s="12">
        <v>7892</v>
      </c>
      <c r="I8692" t="s">
        <v>3183</v>
      </c>
      <c r="J8692" t="s">
        <v>18</v>
      </c>
      <c r="K8692" t="s">
        <v>657</v>
      </c>
      <c r="L8692" t="s">
        <v>652</v>
      </c>
      <c r="M8692" t="s">
        <v>18</v>
      </c>
    </row>
    <row r="8693" spans="1:13">
      <c r="A8693" t="s">
        <v>851</v>
      </c>
      <c r="B8693" t="s">
        <v>687</v>
      </c>
      <c r="C8693" t="s">
        <v>687</v>
      </c>
      <c r="D8693" t="s">
        <v>3185</v>
      </c>
      <c r="E8693" t="s">
        <v>660</v>
      </c>
      <c r="F8693" t="s">
        <v>40</v>
      </c>
      <c r="G8693">
        <v>2030</v>
      </c>
      <c r="H8693" s="12">
        <v>5093</v>
      </c>
      <c r="I8693" t="s">
        <v>3183</v>
      </c>
      <c r="J8693" t="s">
        <v>18</v>
      </c>
      <c r="K8693" t="s">
        <v>657</v>
      </c>
      <c r="L8693" t="s">
        <v>652</v>
      </c>
      <c r="M8693" t="s">
        <v>18</v>
      </c>
    </row>
    <row r="8694" spans="1:13">
      <c r="A8694" t="s">
        <v>851</v>
      </c>
      <c r="B8694" t="s">
        <v>687</v>
      </c>
      <c r="C8694" t="s">
        <v>687</v>
      </c>
      <c r="D8694" t="s">
        <v>3185</v>
      </c>
      <c r="E8694" t="s">
        <v>660</v>
      </c>
      <c r="F8694" t="s">
        <v>40</v>
      </c>
      <c r="G8694">
        <v>2035</v>
      </c>
      <c r="H8694" s="12">
        <v>8158</v>
      </c>
      <c r="I8694" t="s">
        <v>3183</v>
      </c>
      <c r="J8694" t="s">
        <v>18</v>
      </c>
      <c r="K8694" t="s">
        <v>657</v>
      </c>
      <c r="L8694" t="s">
        <v>652</v>
      </c>
      <c r="M8694" t="s">
        <v>18</v>
      </c>
    </row>
    <row r="8695" spans="1:13">
      <c r="A8695" t="s">
        <v>851</v>
      </c>
      <c r="B8695" t="s">
        <v>687</v>
      </c>
      <c r="C8695" t="s">
        <v>687</v>
      </c>
      <c r="D8695" t="s">
        <v>3185</v>
      </c>
      <c r="E8695" t="s">
        <v>660</v>
      </c>
      <c r="F8695" t="s">
        <v>40</v>
      </c>
      <c r="G8695">
        <v>2040</v>
      </c>
      <c r="H8695" s="12">
        <v>10500</v>
      </c>
      <c r="I8695" t="s">
        <v>3183</v>
      </c>
      <c r="J8695" t="s">
        <v>18</v>
      </c>
      <c r="K8695" t="s">
        <v>657</v>
      </c>
      <c r="L8695" t="s">
        <v>652</v>
      </c>
      <c r="M8695" t="s">
        <v>18</v>
      </c>
    </row>
    <row r="8696" spans="1:13">
      <c r="A8696" t="s">
        <v>851</v>
      </c>
      <c r="B8696" t="s">
        <v>687</v>
      </c>
      <c r="C8696" t="s">
        <v>687</v>
      </c>
      <c r="D8696" t="s">
        <v>3185</v>
      </c>
      <c r="E8696" t="s">
        <v>660</v>
      </c>
      <c r="F8696" t="s">
        <v>40</v>
      </c>
      <c r="G8696">
        <v>2045</v>
      </c>
      <c r="H8696" s="12">
        <v>11334</v>
      </c>
      <c r="I8696" t="s">
        <v>3183</v>
      </c>
      <c r="J8696" t="s">
        <v>18</v>
      </c>
      <c r="K8696" t="s">
        <v>657</v>
      </c>
      <c r="L8696" t="s">
        <v>652</v>
      </c>
      <c r="M8696" t="s">
        <v>18</v>
      </c>
    </row>
    <row r="8697" spans="1:13">
      <c r="A8697" t="s">
        <v>851</v>
      </c>
      <c r="B8697" t="s">
        <v>687</v>
      </c>
      <c r="C8697" t="s">
        <v>687</v>
      </c>
      <c r="D8697" t="s">
        <v>3185</v>
      </c>
      <c r="E8697" t="s">
        <v>660</v>
      </c>
      <c r="F8697" t="s">
        <v>40</v>
      </c>
      <c r="G8697">
        <v>2050</v>
      </c>
      <c r="H8697" s="12">
        <v>11843</v>
      </c>
      <c r="I8697" t="s">
        <v>3183</v>
      </c>
      <c r="J8697" t="s">
        <v>18</v>
      </c>
      <c r="K8697" t="s">
        <v>657</v>
      </c>
      <c r="L8697" t="s">
        <v>652</v>
      </c>
      <c r="M8697" t="s">
        <v>18</v>
      </c>
    </row>
    <row r="8698" spans="1:13">
      <c r="A8698" t="s">
        <v>851</v>
      </c>
      <c r="B8698" t="s">
        <v>686</v>
      </c>
      <c r="C8698" t="s">
        <v>686</v>
      </c>
      <c r="D8698" t="s">
        <v>3185</v>
      </c>
      <c r="E8698" t="s">
        <v>660</v>
      </c>
      <c r="F8698" t="s">
        <v>40</v>
      </c>
      <c r="G8698">
        <v>2010</v>
      </c>
      <c r="H8698" s="12">
        <v>2343</v>
      </c>
      <c r="I8698" t="s">
        <v>3183</v>
      </c>
      <c r="J8698" t="s">
        <v>14</v>
      </c>
      <c r="K8698" t="s">
        <v>657</v>
      </c>
      <c r="L8698" t="s">
        <v>652</v>
      </c>
      <c r="M8698" t="s">
        <v>14</v>
      </c>
    </row>
    <row r="8699" spans="1:13">
      <c r="A8699" t="s">
        <v>851</v>
      </c>
      <c r="B8699" t="s">
        <v>686</v>
      </c>
      <c r="C8699" t="s">
        <v>686</v>
      </c>
      <c r="D8699" t="s">
        <v>3185</v>
      </c>
      <c r="E8699" t="s">
        <v>660</v>
      </c>
      <c r="F8699" t="s">
        <v>40</v>
      </c>
      <c r="G8699">
        <v>2015</v>
      </c>
      <c r="H8699" s="12">
        <v>2390</v>
      </c>
      <c r="I8699" t="s">
        <v>3183</v>
      </c>
      <c r="J8699" t="s">
        <v>14</v>
      </c>
      <c r="K8699" t="s">
        <v>657</v>
      </c>
      <c r="L8699" t="s">
        <v>652</v>
      </c>
      <c r="M8699" t="s">
        <v>14</v>
      </c>
    </row>
    <row r="8700" spans="1:13">
      <c r="A8700" t="s">
        <v>851</v>
      </c>
      <c r="B8700" t="s">
        <v>686</v>
      </c>
      <c r="C8700" t="s">
        <v>686</v>
      </c>
      <c r="D8700" t="s">
        <v>3185</v>
      </c>
      <c r="E8700" t="s">
        <v>660</v>
      </c>
      <c r="F8700" t="s">
        <v>40</v>
      </c>
      <c r="G8700">
        <v>2020</v>
      </c>
      <c r="H8700" s="12">
        <v>2522</v>
      </c>
      <c r="I8700" t="s">
        <v>3183</v>
      </c>
      <c r="J8700" t="s">
        <v>14</v>
      </c>
      <c r="K8700" t="s">
        <v>657</v>
      </c>
      <c r="L8700" t="s">
        <v>652</v>
      </c>
      <c r="M8700" t="s">
        <v>14</v>
      </c>
    </row>
    <row r="8701" spans="1:13">
      <c r="A8701" t="s">
        <v>851</v>
      </c>
      <c r="B8701" t="s">
        <v>686</v>
      </c>
      <c r="C8701" t="s">
        <v>686</v>
      </c>
      <c r="D8701" t="s">
        <v>3185</v>
      </c>
      <c r="E8701" t="s">
        <v>660</v>
      </c>
      <c r="F8701" t="s">
        <v>40</v>
      </c>
      <c r="G8701">
        <v>2040</v>
      </c>
      <c r="H8701" s="12">
        <v>10376</v>
      </c>
      <c r="I8701" t="s">
        <v>3183</v>
      </c>
      <c r="J8701" t="s">
        <v>41</v>
      </c>
      <c r="K8701" t="s">
        <v>657</v>
      </c>
      <c r="L8701" t="s">
        <v>652</v>
      </c>
      <c r="M8701" t="s">
        <v>662</v>
      </c>
    </row>
    <row r="8702" spans="1:13">
      <c r="A8702" t="s">
        <v>851</v>
      </c>
      <c r="B8702" t="s">
        <v>686</v>
      </c>
      <c r="C8702" t="s">
        <v>686</v>
      </c>
      <c r="D8702" t="s">
        <v>3185</v>
      </c>
      <c r="E8702" t="s">
        <v>660</v>
      </c>
      <c r="F8702" t="s">
        <v>40</v>
      </c>
      <c r="G8702">
        <v>2045</v>
      </c>
      <c r="H8702" s="12">
        <v>10518</v>
      </c>
      <c r="I8702" t="s">
        <v>3183</v>
      </c>
      <c r="J8702" t="s">
        <v>41</v>
      </c>
      <c r="K8702" t="s">
        <v>657</v>
      </c>
      <c r="L8702" t="s">
        <v>652</v>
      </c>
      <c r="M8702" t="s">
        <v>662</v>
      </c>
    </row>
    <row r="8703" spans="1:13">
      <c r="A8703" t="s">
        <v>851</v>
      </c>
      <c r="B8703" t="s">
        <v>686</v>
      </c>
      <c r="C8703" t="s">
        <v>686</v>
      </c>
      <c r="D8703" t="s">
        <v>3185</v>
      </c>
      <c r="E8703" t="s">
        <v>660</v>
      </c>
      <c r="F8703" t="s">
        <v>40</v>
      </c>
      <c r="G8703">
        <v>2050</v>
      </c>
      <c r="H8703" s="12">
        <v>10611</v>
      </c>
      <c r="I8703" t="s">
        <v>3183</v>
      </c>
      <c r="J8703" t="s">
        <v>41</v>
      </c>
      <c r="K8703" t="s">
        <v>657</v>
      </c>
      <c r="L8703" t="s">
        <v>652</v>
      </c>
      <c r="M8703" t="s">
        <v>662</v>
      </c>
    </row>
    <row r="8704" spans="1:13">
      <c r="A8704" t="s">
        <v>851</v>
      </c>
      <c r="B8704" t="s">
        <v>687</v>
      </c>
      <c r="C8704" t="s">
        <v>687</v>
      </c>
      <c r="D8704" t="s">
        <v>3185</v>
      </c>
      <c r="E8704" t="s">
        <v>660</v>
      </c>
      <c r="F8704" t="s">
        <v>40</v>
      </c>
      <c r="G8704">
        <v>2030</v>
      </c>
      <c r="H8704" s="12">
        <v>12919</v>
      </c>
      <c r="I8704" t="s">
        <v>3183</v>
      </c>
      <c r="J8704" t="s">
        <v>41</v>
      </c>
      <c r="K8704" t="s">
        <v>657</v>
      </c>
      <c r="L8704" t="s">
        <v>652</v>
      </c>
      <c r="M8704" t="s">
        <v>662</v>
      </c>
    </row>
    <row r="8705" spans="1:13">
      <c r="A8705" t="s">
        <v>851</v>
      </c>
      <c r="B8705" t="s">
        <v>687</v>
      </c>
      <c r="C8705" t="s">
        <v>687</v>
      </c>
      <c r="D8705" t="s">
        <v>3185</v>
      </c>
      <c r="E8705" t="s">
        <v>660</v>
      </c>
      <c r="F8705" t="s">
        <v>40</v>
      </c>
      <c r="G8705">
        <v>2035</v>
      </c>
      <c r="H8705" s="12">
        <v>16255</v>
      </c>
      <c r="I8705" t="s">
        <v>3183</v>
      </c>
      <c r="J8705" t="s">
        <v>41</v>
      </c>
      <c r="K8705" t="s">
        <v>657</v>
      </c>
      <c r="L8705" t="s">
        <v>652</v>
      </c>
      <c r="M8705" t="s">
        <v>662</v>
      </c>
    </row>
    <row r="8706" spans="1:13">
      <c r="A8706" t="s">
        <v>851</v>
      </c>
      <c r="B8706" t="s">
        <v>687</v>
      </c>
      <c r="C8706" t="s">
        <v>687</v>
      </c>
      <c r="D8706" t="s">
        <v>3185</v>
      </c>
      <c r="E8706" t="s">
        <v>660</v>
      </c>
      <c r="F8706" t="s">
        <v>40</v>
      </c>
      <c r="G8706">
        <v>2040</v>
      </c>
      <c r="H8706" s="12">
        <v>18266</v>
      </c>
      <c r="I8706" t="s">
        <v>3183</v>
      </c>
      <c r="J8706" t="s">
        <v>41</v>
      </c>
      <c r="K8706" t="s">
        <v>657</v>
      </c>
      <c r="L8706" t="s">
        <v>652</v>
      </c>
      <c r="M8706" t="s">
        <v>662</v>
      </c>
    </row>
    <row r="8707" spans="1:13">
      <c r="A8707" t="s">
        <v>851</v>
      </c>
      <c r="B8707" t="s">
        <v>687</v>
      </c>
      <c r="C8707" t="s">
        <v>687</v>
      </c>
      <c r="D8707" t="s">
        <v>3185</v>
      </c>
      <c r="E8707" t="s">
        <v>660</v>
      </c>
      <c r="F8707" t="s">
        <v>40</v>
      </c>
      <c r="G8707">
        <v>2045</v>
      </c>
      <c r="H8707" s="12">
        <v>18391</v>
      </c>
      <c r="I8707" t="s">
        <v>3183</v>
      </c>
      <c r="J8707" t="s">
        <v>41</v>
      </c>
      <c r="K8707" t="s">
        <v>657</v>
      </c>
      <c r="L8707" t="s">
        <v>652</v>
      </c>
      <c r="M8707" t="s">
        <v>662</v>
      </c>
    </row>
    <row r="8708" spans="1:13">
      <c r="A8708" t="s">
        <v>851</v>
      </c>
      <c r="B8708" t="s">
        <v>687</v>
      </c>
      <c r="C8708" t="s">
        <v>687</v>
      </c>
      <c r="D8708" t="s">
        <v>3185</v>
      </c>
      <c r="E8708" t="s">
        <v>660</v>
      </c>
      <c r="F8708" t="s">
        <v>40</v>
      </c>
      <c r="G8708">
        <v>2050</v>
      </c>
      <c r="H8708" s="12">
        <v>18755</v>
      </c>
      <c r="I8708" t="s">
        <v>3183</v>
      </c>
      <c r="J8708" t="s">
        <v>41</v>
      </c>
      <c r="K8708" t="s">
        <v>657</v>
      </c>
      <c r="L8708" t="s">
        <v>652</v>
      </c>
      <c r="M8708" t="s">
        <v>662</v>
      </c>
    </row>
    <row r="8709" spans="1:13">
      <c r="A8709" t="s">
        <v>851</v>
      </c>
      <c r="B8709" t="s">
        <v>686</v>
      </c>
      <c r="C8709" t="s">
        <v>686</v>
      </c>
      <c r="D8709" t="s">
        <v>3185</v>
      </c>
      <c r="E8709" t="s">
        <v>660</v>
      </c>
      <c r="F8709" t="s">
        <v>40</v>
      </c>
      <c r="G8709">
        <v>2010</v>
      </c>
      <c r="H8709" s="12">
        <v>0</v>
      </c>
      <c r="I8709" t="s">
        <v>3183</v>
      </c>
      <c r="J8709" t="s">
        <v>41</v>
      </c>
      <c r="K8709" t="s">
        <v>657</v>
      </c>
      <c r="L8709" t="s">
        <v>652</v>
      </c>
      <c r="M8709" t="s">
        <v>661</v>
      </c>
    </row>
    <row r="8710" spans="1:13">
      <c r="A8710" t="s">
        <v>851</v>
      </c>
      <c r="B8710" t="s">
        <v>686</v>
      </c>
      <c r="C8710" t="s">
        <v>686</v>
      </c>
      <c r="D8710" t="s">
        <v>3185</v>
      </c>
      <c r="E8710" t="s">
        <v>660</v>
      </c>
      <c r="F8710" t="s">
        <v>40</v>
      </c>
      <c r="G8710">
        <v>2015</v>
      </c>
      <c r="H8710" s="12">
        <v>0</v>
      </c>
      <c r="I8710" t="s">
        <v>3183</v>
      </c>
      <c r="J8710" t="s">
        <v>41</v>
      </c>
      <c r="K8710" t="s">
        <v>657</v>
      </c>
      <c r="L8710" t="s">
        <v>652</v>
      </c>
      <c r="M8710" t="s">
        <v>661</v>
      </c>
    </row>
    <row r="8711" spans="1:13">
      <c r="A8711" t="s">
        <v>851</v>
      </c>
      <c r="B8711" t="s">
        <v>686</v>
      </c>
      <c r="C8711" t="s">
        <v>686</v>
      </c>
      <c r="D8711" t="s">
        <v>3185</v>
      </c>
      <c r="E8711" t="s">
        <v>660</v>
      </c>
      <c r="F8711" t="s">
        <v>40</v>
      </c>
      <c r="G8711">
        <v>2020</v>
      </c>
      <c r="H8711" s="12">
        <v>0</v>
      </c>
      <c r="I8711" t="s">
        <v>3183</v>
      </c>
      <c r="J8711" t="s">
        <v>41</v>
      </c>
      <c r="K8711" t="s">
        <v>657</v>
      </c>
      <c r="L8711" t="s">
        <v>652</v>
      </c>
      <c r="M8711" t="s">
        <v>661</v>
      </c>
    </row>
    <row r="8712" spans="1:13">
      <c r="A8712" t="s">
        <v>851</v>
      </c>
      <c r="B8712" t="s">
        <v>686</v>
      </c>
      <c r="C8712" t="s">
        <v>686</v>
      </c>
      <c r="D8712" t="s">
        <v>3185</v>
      </c>
      <c r="E8712" t="s">
        <v>660</v>
      </c>
      <c r="F8712" t="s">
        <v>40</v>
      </c>
      <c r="G8712">
        <v>2030</v>
      </c>
      <c r="H8712" s="12">
        <v>0</v>
      </c>
      <c r="I8712" t="s">
        <v>3183</v>
      </c>
      <c r="J8712" t="s">
        <v>41</v>
      </c>
      <c r="K8712" t="s">
        <v>657</v>
      </c>
      <c r="L8712" t="s">
        <v>652</v>
      </c>
      <c r="M8712" t="s">
        <v>661</v>
      </c>
    </row>
    <row r="8713" spans="1:13">
      <c r="A8713" t="s">
        <v>851</v>
      </c>
      <c r="B8713" t="s">
        <v>686</v>
      </c>
      <c r="C8713" t="s">
        <v>686</v>
      </c>
      <c r="D8713" t="s">
        <v>3185</v>
      </c>
      <c r="E8713" t="s">
        <v>660</v>
      </c>
      <c r="F8713" t="s">
        <v>40</v>
      </c>
      <c r="G8713">
        <v>2035</v>
      </c>
      <c r="H8713" s="12">
        <v>0</v>
      </c>
      <c r="I8713" t="s">
        <v>3183</v>
      </c>
      <c r="J8713" t="s">
        <v>41</v>
      </c>
      <c r="K8713" t="s">
        <v>657</v>
      </c>
      <c r="L8713" t="s">
        <v>652</v>
      </c>
      <c r="M8713" t="s">
        <v>661</v>
      </c>
    </row>
    <row r="8714" spans="1:13">
      <c r="A8714" t="s">
        <v>851</v>
      </c>
      <c r="B8714" t="s">
        <v>686</v>
      </c>
      <c r="C8714" t="s">
        <v>686</v>
      </c>
      <c r="D8714" t="s">
        <v>3185</v>
      </c>
      <c r="E8714" t="s">
        <v>660</v>
      </c>
      <c r="F8714" t="s">
        <v>40</v>
      </c>
      <c r="G8714">
        <v>2040</v>
      </c>
      <c r="H8714" s="12">
        <v>0</v>
      </c>
      <c r="I8714" t="s">
        <v>3183</v>
      </c>
      <c r="J8714" t="s">
        <v>41</v>
      </c>
      <c r="K8714" t="s">
        <v>657</v>
      </c>
      <c r="L8714" t="s">
        <v>652</v>
      </c>
      <c r="M8714" t="s">
        <v>661</v>
      </c>
    </row>
    <row r="8715" spans="1:13">
      <c r="A8715" t="s">
        <v>851</v>
      </c>
      <c r="B8715" t="s">
        <v>686</v>
      </c>
      <c r="C8715" t="s">
        <v>686</v>
      </c>
      <c r="D8715" t="s">
        <v>3185</v>
      </c>
      <c r="E8715" t="s">
        <v>660</v>
      </c>
      <c r="F8715" t="s">
        <v>40</v>
      </c>
      <c r="G8715">
        <v>2045</v>
      </c>
      <c r="H8715" s="12">
        <v>0</v>
      </c>
      <c r="I8715" t="s">
        <v>3183</v>
      </c>
      <c r="J8715" t="s">
        <v>41</v>
      </c>
      <c r="K8715" t="s">
        <v>657</v>
      </c>
      <c r="L8715" t="s">
        <v>652</v>
      </c>
      <c r="M8715" t="s">
        <v>661</v>
      </c>
    </row>
    <row r="8716" spans="1:13">
      <c r="A8716" t="s">
        <v>851</v>
      </c>
      <c r="B8716" t="s">
        <v>686</v>
      </c>
      <c r="C8716" t="s">
        <v>686</v>
      </c>
      <c r="D8716" t="s">
        <v>3185</v>
      </c>
      <c r="E8716" t="s">
        <v>660</v>
      </c>
      <c r="F8716" t="s">
        <v>40</v>
      </c>
      <c r="G8716">
        <v>2050</v>
      </c>
      <c r="H8716" s="12">
        <v>0</v>
      </c>
      <c r="I8716" t="s">
        <v>3183</v>
      </c>
      <c r="J8716" t="s">
        <v>41</v>
      </c>
      <c r="K8716" t="s">
        <v>657</v>
      </c>
      <c r="L8716" t="s">
        <v>652</v>
      </c>
      <c r="M8716" t="s">
        <v>661</v>
      </c>
    </row>
    <row r="8717" spans="1:13">
      <c r="A8717" t="s">
        <v>851</v>
      </c>
      <c r="B8717" t="s">
        <v>687</v>
      </c>
      <c r="C8717" t="s">
        <v>687</v>
      </c>
      <c r="D8717" t="s">
        <v>3185</v>
      </c>
      <c r="E8717" t="s">
        <v>660</v>
      </c>
      <c r="F8717" t="s">
        <v>40</v>
      </c>
      <c r="G8717">
        <v>2030</v>
      </c>
      <c r="H8717" s="12">
        <v>0</v>
      </c>
      <c r="I8717" t="s">
        <v>3183</v>
      </c>
      <c r="J8717" t="s">
        <v>41</v>
      </c>
      <c r="K8717" t="s">
        <v>657</v>
      </c>
      <c r="L8717" t="s">
        <v>652</v>
      </c>
      <c r="M8717" t="s">
        <v>661</v>
      </c>
    </row>
    <row r="8718" spans="1:13">
      <c r="A8718" t="s">
        <v>851</v>
      </c>
      <c r="B8718" t="s">
        <v>687</v>
      </c>
      <c r="C8718" t="s">
        <v>687</v>
      </c>
      <c r="D8718" t="s">
        <v>3185</v>
      </c>
      <c r="E8718" t="s">
        <v>660</v>
      </c>
      <c r="F8718" t="s">
        <v>40</v>
      </c>
      <c r="G8718">
        <v>2035</v>
      </c>
      <c r="H8718" s="12">
        <v>0</v>
      </c>
      <c r="I8718" t="s">
        <v>3183</v>
      </c>
      <c r="J8718" t="s">
        <v>41</v>
      </c>
      <c r="K8718" t="s">
        <v>657</v>
      </c>
      <c r="L8718" t="s">
        <v>652</v>
      </c>
      <c r="M8718" t="s">
        <v>661</v>
      </c>
    </row>
    <row r="8719" spans="1:13">
      <c r="A8719" t="s">
        <v>851</v>
      </c>
      <c r="B8719" t="s">
        <v>687</v>
      </c>
      <c r="C8719" t="s">
        <v>687</v>
      </c>
      <c r="D8719" t="s">
        <v>3185</v>
      </c>
      <c r="E8719" t="s">
        <v>660</v>
      </c>
      <c r="F8719" t="s">
        <v>40</v>
      </c>
      <c r="G8719">
        <v>2040</v>
      </c>
      <c r="H8719" s="12">
        <v>0</v>
      </c>
      <c r="I8719" t="s">
        <v>3183</v>
      </c>
      <c r="J8719" t="s">
        <v>41</v>
      </c>
      <c r="K8719" t="s">
        <v>657</v>
      </c>
      <c r="L8719" t="s">
        <v>652</v>
      </c>
      <c r="M8719" t="s">
        <v>661</v>
      </c>
    </row>
    <row r="8720" spans="1:13">
      <c r="A8720" t="s">
        <v>851</v>
      </c>
      <c r="B8720" t="s">
        <v>687</v>
      </c>
      <c r="C8720" t="s">
        <v>687</v>
      </c>
      <c r="D8720" t="s">
        <v>3185</v>
      </c>
      <c r="E8720" t="s">
        <v>660</v>
      </c>
      <c r="F8720" t="s">
        <v>40</v>
      </c>
      <c r="G8720">
        <v>2045</v>
      </c>
      <c r="H8720" s="12">
        <v>0</v>
      </c>
      <c r="I8720" t="s">
        <v>3183</v>
      </c>
      <c r="J8720" t="s">
        <v>41</v>
      </c>
      <c r="K8720" t="s">
        <v>657</v>
      </c>
      <c r="L8720" t="s">
        <v>652</v>
      </c>
      <c r="M8720" t="s">
        <v>661</v>
      </c>
    </row>
    <row r="8721" spans="1:13">
      <c r="A8721" t="s">
        <v>851</v>
      </c>
      <c r="B8721" t="s">
        <v>687</v>
      </c>
      <c r="C8721" t="s">
        <v>687</v>
      </c>
      <c r="D8721" t="s">
        <v>3185</v>
      </c>
      <c r="E8721" t="s">
        <v>660</v>
      </c>
      <c r="F8721" t="s">
        <v>40</v>
      </c>
      <c r="G8721">
        <v>2050</v>
      </c>
      <c r="H8721" s="12">
        <v>0</v>
      </c>
      <c r="I8721" t="s">
        <v>3183</v>
      </c>
      <c r="J8721" t="s">
        <v>41</v>
      </c>
      <c r="K8721" t="s">
        <v>657</v>
      </c>
      <c r="L8721" t="s">
        <v>652</v>
      </c>
      <c r="M8721" t="s">
        <v>661</v>
      </c>
    </row>
    <row r="8722" spans="1:13">
      <c r="A8722" t="s">
        <v>851</v>
      </c>
      <c r="B8722" t="s">
        <v>686</v>
      </c>
      <c r="C8722" t="s">
        <v>686</v>
      </c>
      <c r="D8722" t="s">
        <v>3185</v>
      </c>
      <c r="E8722" t="s">
        <v>660</v>
      </c>
      <c r="F8722" t="s">
        <v>40</v>
      </c>
      <c r="G8722">
        <v>2010</v>
      </c>
      <c r="H8722" s="12">
        <v>10205</v>
      </c>
      <c r="I8722" t="s">
        <v>3183</v>
      </c>
      <c r="J8722" t="s">
        <v>15</v>
      </c>
      <c r="K8722" t="s">
        <v>657</v>
      </c>
      <c r="L8722" t="s">
        <v>652</v>
      </c>
      <c r="M8722" t="s">
        <v>15</v>
      </c>
    </row>
    <row r="8723" spans="1:13">
      <c r="A8723" t="s">
        <v>851</v>
      </c>
      <c r="B8723" t="s">
        <v>686</v>
      </c>
      <c r="C8723" t="s">
        <v>686</v>
      </c>
      <c r="D8723" t="s">
        <v>3185</v>
      </c>
      <c r="E8723" t="s">
        <v>660</v>
      </c>
      <c r="F8723" t="s">
        <v>40</v>
      </c>
      <c r="G8723">
        <v>2015</v>
      </c>
      <c r="H8723" s="12">
        <v>10295</v>
      </c>
      <c r="I8723" t="s">
        <v>3183</v>
      </c>
      <c r="J8723" t="s">
        <v>15</v>
      </c>
      <c r="K8723" t="s">
        <v>657</v>
      </c>
      <c r="L8723" t="s">
        <v>652</v>
      </c>
      <c r="M8723" t="s">
        <v>15</v>
      </c>
    </row>
    <row r="8724" spans="1:13">
      <c r="A8724" t="s">
        <v>851</v>
      </c>
      <c r="B8724" t="s">
        <v>686</v>
      </c>
      <c r="C8724" t="s">
        <v>686</v>
      </c>
      <c r="D8724" t="s">
        <v>3185</v>
      </c>
      <c r="E8724" t="s">
        <v>660</v>
      </c>
      <c r="F8724" t="s">
        <v>40</v>
      </c>
      <c r="G8724">
        <v>2020</v>
      </c>
      <c r="H8724" s="12">
        <v>10140</v>
      </c>
      <c r="I8724" t="s">
        <v>3183</v>
      </c>
      <c r="J8724" t="s">
        <v>15</v>
      </c>
      <c r="K8724" t="s">
        <v>657</v>
      </c>
      <c r="L8724" t="s">
        <v>652</v>
      </c>
      <c r="M8724" t="s">
        <v>15</v>
      </c>
    </row>
    <row r="8725" spans="1:13">
      <c r="A8725" t="s">
        <v>851</v>
      </c>
      <c r="B8725" t="s">
        <v>686</v>
      </c>
      <c r="C8725" t="s">
        <v>686</v>
      </c>
      <c r="D8725" t="s">
        <v>3185</v>
      </c>
      <c r="E8725" t="s">
        <v>660</v>
      </c>
      <c r="F8725" t="s">
        <v>40</v>
      </c>
      <c r="G8725">
        <v>2030</v>
      </c>
      <c r="H8725" s="12">
        <v>9869</v>
      </c>
      <c r="I8725" t="s">
        <v>3183</v>
      </c>
      <c r="J8725" t="s">
        <v>15</v>
      </c>
      <c r="K8725" t="s">
        <v>657</v>
      </c>
      <c r="L8725" t="s">
        <v>652</v>
      </c>
      <c r="M8725" t="s">
        <v>15</v>
      </c>
    </row>
    <row r="8726" spans="1:13">
      <c r="A8726" t="s">
        <v>851</v>
      </c>
      <c r="B8726" t="s">
        <v>686</v>
      </c>
      <c r="C8726" t="s">
        <v>686</v>
      </c>
      <c r="D8726" t="s">
        <v>3185</v>
      </c>
      <c r="E8726" t="s">
        <v>660</v>
      </c>
      <c r="F8726" t="s">
        <v>40</v>
      </c>
      <c r="G8726">
        <v>2035</v>
      </c>
      <c r="H8726" s="12">
        <v>9640</v>
      </c>
      <c r="I8726" t="s">
        <v>3183</v>
      </c>
      <c r="J8726" t="s">
        <v>15</v>
      </c>
      <c r="K8726" t="s">
        <v>657</v>
      </c>
      <c r="L8726" t="s">
        <v>652</v>
      </c>
      <c r="M8726" t="s">
        <v>15</v>
      </c>
    </row>
    <row r="8727" spans="1:13">
      <c r="A8727" t="s">
        <v>851</v>
      </c>
      <c r="B8727" t="s">
        <v>686</v>
      </c>
      <c r="C8727" t="s">
        <v>686</v>
      </c>
      <c r="D8727" t="s">
        <v>3185</v>
      </c>
      <c r="E8727" t="s">
        <v>660</v>
      </c>
      <c r="F8727" t="s">
        <v>40</v>
      </c>
      <c r="G8727">
        <v>2040</v>
      </c>
      <c r="H8727" s="12">
        <v>9786</v>
      </c>
      <c r="I8727" t="s">
        <v>3183</v>
      </c>
      <c r="J8727" t="s">
        <v>15</v>
      </c>
      <c r="K8727" t="s">
        <v>657</v>
      </c>
      <c r="L8727" t="s">
        <v>652</v>
      </c>
      <c r="M8727" t="s">
        <v>15</v>
      </c>
    </row>
    <row r="8728" spans="1:13">
      <c r="A8728" t="s">
        <v>851</v>
      </c>
      <c r="B8728" t="s">
        <v>686</v>
      </c>
      <c r="C8728" t="s">
        <v>686</v>
      </c>
      <c r="D8728" t="s">
        <v>3185</v>
      </c>
      <c r="E8728" t="s">
        <v>660</v>
      </c>
      <c r="F8728" t="s">
        <v>40</v>
      </c>
      <c r="G8728">
        <v>2045</v>
      </c>
      <c r="H8728" s="12">
        <v>9489</v>
      </c>
      <c r="I8728" t="s">
        <v>3183</v>
      </c>
      <c r="J8728" t="s">
        <v>15</v>
      </c>
      <c r="K8728" t="s">
        <v>657</v>
      </c>
      <c r="L8728" t="s">
        <v>652</v>
      </c>
      <c r="M8728" t="s">
        <v>15</v>
      </c>
    </row>
    <row r="8729" spans="1:13">
      <c r="A8729" t="s">
        <v>851</v>
      </c>
      <c r="B8729" t="s">
        <v>686</v>
      </c>
      <c r="C8729" t="s">
        <v>686</v>
      </c>
      <c r="D8729" t="s">
        <v>3185</v>
      </c>
      <c r="E8729" t="s">
        <v>660</v>
      </c>
      <c r="F8729" t="s">
        <v>40</v>
      </c>
      <c r="G8729">
        <v>2050</v>
      </c>
      <c r="H8729" s="12">
        <v>9652</v>
      </c>
      <c r="I8729" t="s">
        <v>3183</v>
      </c>
      <c r="J8729" t="s">
        <v>15</v>
      </c>
      <c r="K8729" t="s">
        <v>657</v>
      </c>
      <c r="L8729" t="s">
        <v>652</v>
      </c>
      <c r="M8729" t="s">
        <v>15</v>
      </c>
    </row>
    <row r="8730" spans="1:13">
      <c r="A8730" t="s">
        <v>851</v>
      </c>
      <c r="B8730" t="s">
        <v>687</v>
      </c>
      <c r="C8730" t="s">
        <v>687</v>
      </c>
      <c r="D8730" t="s">
        <v>3185</v>
      </c>
      <c r="E8730" t="s">
        <v>660</v>
      </c>
      <c r="F8730" t="s">
        <v>40</v>
      </c>
      <c r="G8730">
        <v>2030</v>
      </c>
      <c r="H8730" s="12">
        <v>10076</v>
      </c>
      <c r="I8730" t="s">
        <v>3183</v>
      </c>
      <c r="J8730" t="s">
        <v>15</v>
      </c>
      <c r="K8730" t="s">
        <v>657</v>
      </c>
      <c r="L8730" t="s">
        <v>652</v>
      </c>
      <c r="M8730" t="s">
        <v>15</v>
      </c>
    </row>
    <row r="8731" spans="1:13">
      <c r="A8731" t="s">
        <v>851</v>
      </c>
      <c r="B8731" t="s">
        <v>687</v>
      </c>
      <c r="C8731" t="s">
        <v>687</v>
      </c>
      <c r="D8731" t="s">
        <v>3185</v>
      </c>
      <c r="E8731" t="s">
        <v>660</v>
      </c>
      <c r="F8731" t="s">
        <v>40</v>
      </c>
      <c r="G8731">
        <v>2035</v>
      </c>
      <c r="H8731" s="12">
        <v>9940</v>
      </c>
      <c r="I8731" t="s">
        <v>3183</v>
      </c>
      <c r="J8731" t="s">
        <v>15</v>
      </c>
      <c r="K8731" t="s">
        <v>657</v>
      </c>
      <c r="L8731" t="s">
        <v>652</v>
      </c>
      <c r="M8731" t="s">
        <v>15</v>
      </c>
    </row>
    <row r="8732" spans="1:13">
      <c r="A8732" t="s">
        <v>851</v>
      </c>
      <c r="B8732" t="s">
        <v>687</v>
      </c>
      <c r="C8732" t="s">
        <v>687</v>
      </c>
      <c r="D8732" t="s">
        <v>3185</v>
      </c>
      <c r="E8732" t="s">
        <v>660</v>
      </c>
      <c r="F8732" t="s">
        <v>40</v>
      </c>
      <c r="G8732">
        <v>2040</v>
      </c>
      <c r="H8732" s="12">
        <v>10664</v>
      </c>
      <c r="I8732" t="s">
        <v>3183</v>
      </c>
      <c r="J8732" t="s">
        <v>15</v>
      </c>
      <c r="K8732" t="s">
        <v>657</v>
      </c>
      <c r="L8732" t="s">
        <v>652</v>
      </c>
      <c r="M8732" t="s">
        <v>15</v>
      </c>
    </row>
    <row r="8733" spans="1:13">
      <c r="A8733" t="s">
        <v>851</v>
      </c>
      <c r="B8733" t="s">
        <v>687</v>
      </c>
      <c r="C8733" t="s">
        <v>687</v>
      </c>
      <c r="D8733" t="s">
        <v>3185</v>
      </c>
      <c r="E8733" t="s">
        <v>660</v>
      </c>
      <c r="F8733" t="s">
        <v>40</v>
      </c>
      <c r="G8733">
        <v>2045</v>
      </c>
      <c r="H8733" s="12">
        <v>11054</v>
      </c>
      <c r="I8733" t="s">
        <v>3183</v>
      </c>
      <c r="J8733" t="s">
        <v>15</v>
      </c>
      <c r="K8733" t="s">
        <v>657</v>
      </c>
      <c r="L8733" t="s">
        <v>652</v>
      </c>
      <c r="M8733" t="s">
        <v>15</v>
      </c>
    </row>
    <row r="8734" spans="1:13">
      <c r="A8734" t="s">
        <v>851</v>
      </c>
      <c r="B8734" t="s">
        <v>687</v>
      </c>
      <c r="C8734" t="s">
        <v>687</v>
      </c>
      <c r="D8734" t="s">
        <v>3185</v>
      </c>
      <c r="E8734" t="s">
        <v>660</v>
      </c>
      <c r="F8734" t="s">
        <v>40</v>
      </c>
      <c r="G8734">
        <v>2050</v>
      </c>
      <c r="H8734" s="12">
        <v>11851</v>
      </c>
      <c r="I8734" t="s">
        <v>3183</v>
      </c>
      <c r="J8734" t="s">
        <v>15</v>
      </c>
      <c r="K8734" t="s">
        <v>657</v>
      </c>
      <c r="L8734" t="s">
        <v>652</v>
      </c>
      <c r="M8734" t="s">
        <v>15</v>
      </c>
    </row>
    <row r="8735" spans="1:13">
      <c r="A8735" t="s">
        <v>851</v>
      </c>
      <c r="B8735" t="s">
        <v>686</v>
      </c>
      <c r="C8735" t="s">
        <v>686</v>
      </c>
      <c r="D8735" t="s">
        <v>3185</v>
      </c>
      <c r="E8735" t="s">
        <v>660</v>
      </c>
      <c r="F8735" t="s">
        <v>40</v>
      </c>
      <c r="G8735">
        <v>2010</v>
      </c>
      <c r="H8735" s="12">
        <v>28720</v>
      </c>
      <c r="I8735" t="s">
        <v>3183</v>
      </c>
      <c r="J8735" t="s">
        <v>6</v>
      </c>
      <c r="K8735" t="s">
        <v>657</v>
      </c>
      <c r="L8735" t="s">
        <v>652</v>
      </c>
      <c r="M8735" t="s">
        <v>659</v>
      </c>
    </row>
    <row r="8736" spans="1:13">
      <c r="A8736" t="s">
        <v>851</v>
      </c>
      <c r="B8736" t="s">
        <v>686</v>
      </c>
      <c r="C8736" t="s">
        <v>686</v>
      </c>
      <c r="D8736" t="s">
        <v>3185</v>
      </c>
      <c r="E8736" t="s">
        <v>660</v>
      </c>
      <c r="F8736" t="s">
        <v>40</v>
      </c>
      <c r="G8736">
        <v>2015</v>
      </c>
      <c r="H8736" s="12">
        <v>33348</v>
      </c>
      <c r="I8736" t="s">
        <v>3183</v>
      </c>
      <c r="J8736" t="s">
        <v>6</v>
      </c>
      <c r="K8736" t="s">
        <v>657</v>
      </c>
      <c r="L8736" t="s">
        <v>652</v>
      </c>
      <c r="M8736" t="s">
        <v>659</v>
      </c>
    </row>
    <row r="8737" spans="1:13">
      <c r="A8737" t="s">
        <v>851</v>
      </c>
      <c r="B8737" t="s">
        <v>686</v>
      </c>
      <c r="C8737" t="s">
        <v>686</v>
      </c>
      <c r="D8737" t="s">
        <v>3185</v>
      </c>
      <c r="E8737" t="s">
        <v>660</v>
      </c>
      <c r="F8737" t="s">
        <v>40</v>
      </c>
      <c r="G8737">
        <v>2020</v>
      </c>
      <c r="H8737" s="12">
        <v>38188</v>
      </c>
      <c r="I8737" t="s">
        <v>3183</v>
      </c>
      <c r="J8737" t="s">
        <v>6</v>
      </c>
      <c r="K8737" t="s">
        <v>657</v>
      </c>
      <c r="L8737" t="s">
        <v>652</v>
      </c>
      <c r="M8737" t="s">
        <v>659</v>
      </c>
    </row>
    <row r="8738" spans="1:13">
      <c r="A8738" t="s">
        <v>851</v>
      </c>
      <c r="B8738" t="s">
        <v>686</v>
      </c>
      <c r="C8738" t="s">
        <v>686</v>
      </c>
      <c r="D8738" t="s">
        <v>3185</v>
      </c>
      <c r="E8738" t="s">
        <v>660</v>
      </c>
      <c r="F8738" t="s">
        <v>40</v>
      </c>
      <c r="G8738">
        <v>2030</v>
      </c>
      <c r="H8738" s="12">
        <v>38660</v>
      </c>
      <c r="I8738" t="s">
        <v>3183</v>
      </c>
      <c r="J8738" t="s">
        <v>6</v>
      </c>
      <c r="K8738" t="s">
        <v>657</v>
      </c>
      <c r="L8738" t="s">
        <v>652</v>
      </c>
      <c r="M8738" t="s">
        <v>659</v>
      </c>
    </row>
    <row r="8739" spans="1:13">
      <c r="A8739" t="s">
        <v>852</v>
      </c>
      <c r="B8739" t="s">
        <v>853</v>
      </c>
      <c r="C8739" t="s">
        <v>853</v>
      </c>
      <c r="D8739" t="s">
        <v>3185</v>
      </c>
      <c r="E8739" t="s">
        <v>660</v>
      </c>
      <c r="F8739" t="s">
        <v>40</v>
      </c>
      <c r="G8739">
        <v>2010</v>
      </c>
      <c r="H8739" s="12">
        <v>776</v>
      </c>
      <c r="I8739" t="s">
        <v>3183</v>
      </c>
      <c r="J8739" t="s">
        <v>17</v>
      </c>
      <c r="K8739" t="s">
        <v>657</v>
      </c>
      <c r="L8739" t="s">
        <v>20</v>
      </c>
      <c r="M8739" t="s">
        <v>17</v>
      </c>
    </row>
    <row r="8740" spans="1:13">
      <c r="A8740" t="s">
        <v>852</v>
      </c>
      <c r="B8740" t="s">
        <v>853</v>
      </c>
      <c r="C8740" t="s">
        <v>853</v>
      </c>
      <c r="D8740" t="s">
        <v>3185</v>
      </c>
      <c r="E8740" t="s">
        <v>660</v>
      </c>
      <c r="F8740" t="s">
        <v>40</v>
      </c>
      <c r="G8740">
        <v>2015</v>
      </c>
      <c r="H8740" s="12">
        <v>2258</v>
      </c>
      <c r="I8740" t="s">
        <v>3183</v>
      </c>
      <c r="J8740" t="s">
        <v>17</v>
      </c>
      <c r="K8740" t="s">
        <v>657</v>
      </c>
      <c r="L8740" t="s">
        <v>20</v>
      </c>
      <c r="M8740" t="s">
        <v>17</v>
      </c>
    </row>
    <row r="8741" spans="1:13">
      <c r="A8741" t="s">
        <v>852</v>
      </c>
      <c r="B8741" t="s">
        <v>853</v>
      </c>
      <c r="C8741" t="s">
        <v>853</v>
      </c>
      <c r="D8741" t="s">
        <v>3185</v>
      </c>
      <c r="E8741" t="s">
        <v>660</v>
      </c>
      <c r="F8741" t="s">
        <v>40</v>
      </c>
      <c r="G8741">
        <v>2020</v>
      </c>
      <c r="H8741" s="12">
        <v>4539</v>
      </c>
      <c r="I8741" t="s">
        <v>3183</v>
      </c>
      <c r="J8741" t="s">
        <v>17</v>
      </c>
      <c r="K8741" t="s">
        <v>657</v>
      </c>
      <c r="L8741" t="s">
        <v>20</v>
      </c>
      <c r="M8741" t="s">
        <v>17</v>
      </c>
    </row>
    <row r="8742" spans="1:13">
      <c r="A8742" t="s">
        <v>852</v>
      </c>
      <c r="B8742" t="s">
        <v>853</v>
      </c>
      <c r="C8742" t="s">
        <v>853</v>
      </c>
      <c r="D8742" t="s">
        <v>3185</v>
      </c>
      <c r="E8742" t="s">
        <v>660</v>
      </c>
      <c r="F8742" t="s">
        <v>40</v>
      </c>
      <c r="G8742">
        <v>2030</v>
      </c>
      <c r="H8742" s="12">
        <v>33715</v>
      </c>
      <c r="I8742" t="s">
        <v>3183</v>
      </c>
      <c r="J8742" t="s">
        <v>17</v>
      </c>
      <c r="K8742" t="s">
        <v>657</v>
      </c>
      <c r="L8742" t="s">
        <v>20</v>
      </c>
      <c r="M8742" t="s">
        <v>17</v>
      </c>
    </row>
    <row r="8743" spans="1:13">
      <c r="A8743" t="s">
        <v>852</v>
      </c>
      <c r="B8743" t="s">
        <v>853</v>
      </c>
      <c r="C8743" t="s">
        <v>853</v>
      </c>
      <c r="D8743" t="s">
        <v>3185</v>
      </c>
      <c r="E8743" t="s">
        <v>660</v>
      </c>
      <c r="F8743" t="s">
        <v>40</v>
      </c>
      <c r="G8743">
        <v>2035</v>
      </c>
      <c r="H8743" s="12">
        <v>60586</v>
      </c>
      <c r="I8743" t="s">
        <v>3183</v>
      </c>
      <c r="J8743" t="s">
        <v>17</v>
      </c>
      <c r="K8743" t="s">
        <v>657</v>
      </c>
      <c r="L8743" t="s">
        <v>20</v>
      </c>
      <c r="M8743" t="s">
        <v>17</v>
      </c>
    </row>
    <row r="8744" spans="1:13">
      <c r="A8744" t="s">
        <v>852</v>
      </c>
      <c r="B8744" t="s">
        <v>853</v>
      </c>
      <c r="C8744" t="s">
        <v>853</v>
      </c>
      <c r="D8744" t="s">
        <v>3185</v>
      </c>
      <c r="E8744" t="s">
        <v>660</v>
      </c>
      <c r="F8744" t="s">
        <v>40</v>
      </c>
      <c r="G8744">
        <v>2040</v>
      </c>
      <c r="H8744" s="12">
        <v>87327</v>
      </c>
      <c r="I8744" t="s">
        <v>3183</v>
      </c>
      <c r="J8744" t="s">
        <v>17</v>
      </c>
      <c r="K8744" t="s">
        <v>657</v>
      </c>
      <c r="L8744" t="s">
        <v>20</v>
      </c>
      <c r="M8744" t="s">
        <v>17</v>
      </c>
    </row>
    <row r="8745" spans="1:13">
      <c r="A8745" t="s">
        <v>852</v>
      </c>
      <c r="B8745" t="s">
        <v>853</v>
      </c>
      <c r="C8745" t="s">
        <v>853</v>
      </c>
      <c r="D8745" t="s">
        <v>3185</v>
      </c>
      <c r="E8745" t="s">
        <v>660</v>
      </c>
      <c r="F8745" t="s">
        <v>40</v>
      </c>
      <c r="G8745">
        <v>2045</v>
      </c>
      <c r="H8745" s="12">
        <v>108431</v>
      </c>
      <c r="I8745" t="s">
        <v>3183</v>
      </c>
      <c r="J8745" t="s">
        <v>17</v>
      </c>
      <c r="K8745" t="s">
        <v>657</v>
      </c>
      <c r="L8745" t="s">
        <v>20</v>
      </c>
      <c r="M8745" t="s">
        <v>17</v>
      </c>
    </row>
    <row r="8746" spans="1:13">
      <c r="A8746" t="s">
        <v>852</v>
      </c>
      <c r="B8746" t="s">
        <v>853</v>
      </c>
      <c r="C8746" t="s">
        <v>853</v>
      </c>
      <c r="D8746" t="s">
        <v>3185</v>
      </c>
      <c r="E8746" t="s">
        <v>660</v>
      </c>
      <c r="F8746" t="s">
        <v>40</v>
      </c>
      <c r="G8746">
        <v>2050</v>
      </c>
      <c r="H8746" s="12">
        <v>123616</v>
      </c>
      <c r="I8746" t="s">
        <v>3183</v>
      </c>
      <c r="J8746" t="s">
        <v>17</v>
      </c>
      <c r="K8746" t="s">
        <v>657</v>
      </c>
      <c r="L8746" t="s">
        <v>20</v>
      </c>
      <c r="M8746" t="s">
        <v>17</v>
      </c>
    </row>
    <row r="8747" spans="1:13">
      <c r="A8747" t="s">
        <v>852</v>
      </c>
      <c r="B8747" t="s">
        <v>853</v>
      </c>
      <c r="C8747" t="s">
        <v>853</v>
      </c>
      <c r="D8747" t="s">
        <v>3185</v>
      </c>
      <c r="E8747" t="s">
        <v>660</v>
      </c>
      <c r="F8747" t="s">
        <v>40</v>
      </c>
      <c r="G8747">
        <v>2010</v>
      </c>
      <c r="H8747" s="12">
        <v>1232</v>
      </c>
      <c r="I8747" t="s">
        <v>3183</v>
      </c>
      <c r="J8747" t="s">
        <v>18</v>
      </c>
      <c r="K8747" t="s">
        <v>657</v>
      </c>
      <c r="L8747" t="s">
        <v>20</v>
      </c>
      <c r="M8747" t="s">
        <v>18</v>
      </c>
    </row>
    <row r="8748" spans="1:13">
      <c r="A8748" t="s">
        <v>852</v>
      </c>
      <c r="B8748" t="s">
        <v>853</v>
      </c>
      <c r="C8748" t="s">
        <v>853</v>
      </c>
      <c r="D8748" t="s">
        <v>3185</v>
      </c>
      <c r="E8748" t="s">
        <v>660</v>
      </c>
      <c r="F8748" t="s">
        <v>40</v>
      </c>
      <c r="G8748">
        <v>2015</v>
      </c>
      <c r="H8748" s="12">
        <v>3002</v>
      </c>
      <c r="I8748" t="s">
        <v>3183</v>
      </c>
      <c r="J8748" t="s">
        <v>18</v>
      </c>
      <c r="K8748" t="s">
        <v>657</v>
      </c>
      <c r="L8748" t="s">
        <v>20</v>
      </c>
      <c r="M8748" t="s">
        <v>18</v>
      </c>
    </row>
    <row r="8749" spans="1:13">
      <c r="A8749" t="s">
        <v>852</v>
      </c>
      <c r="B8749" t="s">
        <v>853</v>
      </c>
      <c r="C8749" t="s">
        <v>853</v>
      </c>
      <c r="D8749" t="s">
        <v>3185</v>
      </c>
      <c r="E8749" t="s">
        <v>660</v>
      </c>
      <c r="F8749" t="s">
        <v>40</v>
      </c>
      <c r="G8749">
        <v>2020</v>
      </c>
      <c r="H8749" s="12">
        <v>5753</v>
      </c>
      <c r="I8749" t="s">
        <v>3183</v>
      </c>
      <c r="J8749" t="s">
        <v>18</v>
      </c>
      <c r="K8749" t="s">
        <v>657</v>
      </c>
      <c r="L8749" t="s">
        <v>20</v>
      </c>
      <c r="M8749" t="s">
        <v>18</v>
      </c>
    </row>
    <row r="8750" spans="1:13">
      <c r="A8750" t="s">
        <v>852</v>
      </c>
      <c r="B8750" t="s">
        <v>853</v>
      </c>
      <c r="C8750" t="s">
        <v>853</v>
      </c>
      <c r="D8750" t="s">
        <v>3185</v>
      </c>
      <c r="E8750" t="s">
        <v>660</v>
      </c>
      <c r="F8750" t="s">
        <v>40</v>
      </c>
      <c r="G8750">
        <v>2030</v>
      </c>
      <c r="H8750" s="12">
        <v>28223</v>
      </c>
      <c r="I8750" t="s">
        <v>3183</v>
      </c>
      <c r="J8750" t="s">
        <v>18</v>
      </c>
      <c r="K8750" t="s">
        <v>657</v>
      </c>
      <c r="L8750" t="s">
        <v>20</v>
      </c>
      <c r="M8750" t="s">
        <v>18</v>
      </c>
    </row>
    <row r="8751" spans="1:13">
      <c r="A8751" t="s">
        <v>852</v>
      </c>
      <c r="B8751" t="s">
        <v>853</v>
      </c>
      <c r="C8751" t="s">
        <v>853</v>
      </c>
      <c r="D8751" t="s">
        <v>3185</v>
      </c>
      <c r="E8751" t="s">
        <v>660</v>
      </c>
      <c r="F8751" t="s">
        <v>40</v>
      </c>
      <c r="G8751">
        <v>2035</v>
      </c>
      <c r="H8751" s="12">
        <v>48900</v>
      </c>
      <c r="I8751" t="s">
        <v>3183</v>
      </c>
      <c r="J8751" t="s">
        <v>18</v>
      </c>
      <c r="K8751" t="s">
        <v>657</v>
      </c>
      <c r="L8751" t="s">
        <v>20</v>
      </c>
      <c r="M8751" t="s">
        <v>18</v>
      </c>
    </row>
    <row r="8752" spans="1:13">
      <c r="A8752" t="s">
        <v>852</v>
      </c>
      <c r="B8752" t="s">
        <v>853</v>
      </c>
      <c r="C8752" t="s">
        <v>853</v>
      </c>
      <c r="D8752" t="s">
        <v>3185</v>
      </c>
      <c r="E8752" t="s">
        <v>660</v>
      </c>
      <c r="F8752" t="s">
        <v>40</v>
      </c>
      <c r="G8752">
        <v>2040</v>
      </c>
      <c r="H8752" s="12">
        <v>66797</v>
      </c>
      <c r="I8752" t="s">
        <v>3183</v>
      </c>
      <c r="J8752" t="s">
        <v>18</v>
      </c>
      <c r="K8752" t="s">
        <v>657</v>
      </c>
      <c r="L8752" t="s">
        <v>20</v>
      </c>
      <c r="M8752" t="s">
        <v>18</v>
      </c>
    </row>
    <row r="8753" spans="1:13">
      <c r="A8753" t="s">
        <v>852</v>
      </c>
      <c r="B8753" t="s">
        <v>853</v>
      </c>
      <c r="C8753" t="s">
        <v>853</v>
      </c>
      <c r="D8753" t="s">
        <v>3185</v>
      </c>
      <c r="E8753" t="s">
        <v>660</v>
      </c>
      <c r="F8753" t="s">
        <v>40</v>
      </c>
      <c r="G8753">
        <v>2045</v>
      </c>
      <c r="H8753" s="12">
        <v>77015</v>
      </c>
      <c r="I8753" t="s">
        <v>3183</v>
      </c>
      <c r="J8753" t="s">
        <v>18</v>
      </c>
      <c r="K8753" t="s">
        <v>657</v>
      </c>
      <c r="L8753" t="s">
        <v>20</v>
      </c>
      <c r="M8753" t="s">
        <v>18</v>
      </c>
    </row>
    <row r="8754" spans="1:13">
      <c r="A8754" t="s">
        <v>852</v>
      </c>
      <c r="B8754" t="s">
        <v>853</v>
      </c>
      <c r="C8754" t="s">
        <v>853</v>
      </c>
      <c r="D8754" t="s">
        <v>3185</v>
      </c>
      <c r="E8754" t="s">
        <v>660</v>
      </c>
      <c r="F8754" t="s">
        <v>40</v>
      </c>
      <c r="G8754">
        <v>2050</v>
      </c>
      <c r="H8754" s="12">
        <v>84551</v>
      </c>
      <c r="I8754" t="s">
        <v>3183</v>
      </c>
      <c r="J8754" t="s">
        <v>18</v>
      </c>
      <c r="K8754" t="s">
        <v>657</v>
      </c>
      <c r="L8754" t="s">
        <v>20</v>
      </c>
      <c r="M8754" t="s">
        <v>18</v>
      </c>
    </row>
    <row r="8755" spans="1:13">
      <c r="A8755" t="s">
        <v>852</v>
      </c>
      <c r="B8755" t="s">
        <v>853</v>
      </c>
      <c r="C8755" t="s">
        <v>853</v>
      </c>
      <c r="D8755" t="s">
        <v>3185</v>
      </c>
      <c r="E8755" t="s">
        <v>660</v>
      </c>
      <c r="F8755" t="s">
        <v>40</v>
      </c>
      <c r="G8755">
        <v>2010</v>
      </c>
      <c r="H8755" s="12">
        <v>12415</v>
      </c>
      <c r="I8755" t="s">
        <v>3183</v>
      </c>
      <c r="J8755" t="s">
        <v>14</v>
      </c>
      <c r="K8755" t="s">
        <v>657</v>
      </c>
      <c r="L8755" t="s">
        <v>20</v>
      </c>
      <c r="M8755" t="s">
        <v>14</v>
      </c>
    </row>
    <row r="8756" spans="1:13">
      <c r="A8756" t="s">
        <v>852</v>
      </c>
      <c r="B8756" t="s">
        <v>853</v>
      </c>
      <c r="C8756" t="s">
        <v>853</v>
      </c>
      <c r="D8756" t="s">
        <v>3185</v>
      </c>
      <c r="E8756" t="s">
        <v>660</v>
      </c>
      <c r="F8756" t="s">
        <v>40</v>
      </c>
      <c r="G8756">
        <v>2015</v>
      </c>
      <c r="H8756" s="12">
        <v>14016</v>
      </c>
      <c r="I8756" t="s">
        <v>3183</v>
      </c>
      <c r="J8756" t="s">
        <v>14</v>
      </c>
      <c r="K8756" t="s">
        <v>657</v>
      </c>
      <c r="L8756" t="s">
        <v>20</v>
      </c>
      <c r="M8756" t="s">
        <v>14</v>
      </c>
    </row>
    <row r="8757" spans="1:13">
      <c r="A8757" t="s">
        <v>852</v>
      </c>
      <c r="B8757" t="s">
        <v>853</v>
      </c>
      <c r="C8757" t="s">
        <v>853</v>
      </c>
      <c r="D8757" t="s">
        <v>3185</v>
      </c>
      <c r="E8757" t="s">
        <v>660</v>
      </c>
      <c r="F8757" t="s">
        <v>40</v>
      </c>
      <c r="G8757">
        <v>2020</v>
      </c>
      <c r="H8757" s="12">
        <v>15634</v>
      </c>
      <c r="I8757" t="s">
        <v>3183</v>
      </c>
      <c r="J8757" t="s">
        <v>14</v>
      </c>
      <c r="K8757" t="s">
        <v>657</v>
      </c>
      <c r="L8757" t="s">
        <v>20</v>
      </c>
      <c r="M8757" t="s">
        <v>14</v>
      </c>
    </row>
    <row r="8758" spans="1:13">
      <c r="A8758" t="s">
        <v>852</v>
      </c>
      <c r="B8758" t="s">
        <v>853</v>
      </c>
      <c r="C8758" t="s">
        <v>853</v>
      </c>
      <c r="D8758" t="s">
        <v>3185</v>
      </c>
      <c r="E8758" t="s">
        <v>660</v>
      </c>
      <c r="F8758" t="s">
        <v>40</v>
      </c>
      <c r="G8758">
        <v>2030</v>
      </c>
      <c r="H8758" s="12">
        <v>20609</v>
      </c>
      <c r="I8758" t="s">
        <v>3183</v>
      </c>
      <c r="J8758" t="s">
        <v>14</v>
      </c>
      <c r="K8758" t="s">
        <v>657</v>
      </c>
      <c r="L8758" t="s">
        <v>20</v>
      </c>
      <c r="M8758" t="s">
        <v>14</v>
      </c>
    </row>
    <row r="8759" spans="1:13">
      <c r="A8759" t="s">
        <v>852</v>
      </c>
      <c r="B8759" t="s">
        <v>853</v>
      </c>
      <c r="C8759" t="s">
        <v>853</v>
      </c>
      <c r="D8759" t="s">
        <v>3185</v>
      </c>
      <c r="E8759" t="s">
        <v>660</v>
      </c>
      <c r="F8759" t="s">
        <v>40</v>
      </c>
      <c r="G8759">
        <v>2035</v>
      </c>
      <c r="H8759" s="12">
        <v>24348</v>
      </c>
      <c r="I8759" t="s">
        <v>3183</v>
      </c>
      <c r="J8759" t="s">
        <v>14</v>
      </c>
      <c r="K8759" t="s">
        <v>657</v>
      </c>
      <c r="L8759" t="s">
        <v>20</v>
      </c>
      <c r="M8759" t="s">
        <v>14</v>
      </c>
    </row>
    <row r="8760" spans="1:13">
      <c r="A8760" t="s">
        <v>852</v>
      </c>
      <c r="B8760" t="s">
        <v>853</v>
      </c>
      <c r="C8760" t="s">
        <v>853</v>
      </c>
      <c r="D8760" t="s">
        <v>3185</v>
      </c>
      <c r="E8760" t="s">
        <v>660</v>
      </c>
      <c r="F8760" t="s">
        <v>40</v>
      </c>
      <c r="G8760">
        <v>2040</v>
      </c>
      <c r="H8760" s="12">
        <v>27493</v>
      </c>
      <c r="I8760" t="s">
        <v>3183</v>
      </c>
      <c r="J8760" t="s">
        <v>14</v>
      </c>
      <c r="K8760" t="s">
        <v>657</v>
      </c>
      <c r="L8760" t="s">
        <v>20</v>
      </c>
      <c r="M8760" t="s">
        <v>14</v>
      </c>
    </row>
    <row r="8761" spans="1:13">
      <c r="A8761" t="s">
        <v>852</v>
      </c>
      <c r="B8761" t="s">
        <v>853</v>
      </c>
      <c r="C8761" t="s">
        <v>853</v>
      </c>
      <c r="D8761" t="s">
        <v>3185</v>
      </c>
      <c r="E8761" t="s">
        <v>660</v>
      </c>
      <c r="F8761" t="s">
        <v>40</v>
      </c>
      <c r="G8761">
        <v>2045</v>
      </c>
      <c r="H8761" s="12">
        <v>28852</v>
      </c>
      <c r="I8761" t="s">
        <v>3183</v>
      </c>
      <c r="J8761" t="s">
        <v>14</v>
      </c>
      <c r="K8761" t="s">
        <v>657</v>
      </c>
      <c r="L8761" t="s">
        <v>20</v>
      </c>
      <c r="M8761" t="s">
        <v>14</v>
      </c>
    </row>
    <row r="8762" spans="1:13">
      <c r="A8762" t="s">
        <v>852</v>
      </c>
      <c r="B8762" t="s">
        <v>853</v>
      </c>
      <c r="C8762" t="s">
        <v>853</v>
      </c>
      <c r="D8762" t="s">
        <v>3185</v>
      </c>
      <c r="E8762" t="s">
        <v>660</v>
      </c>
      <c r="F8762" t="s">
        <v>40</v>
      </c>
      <c r="G8762">
        <v>2050</v>
      </c>
      <c r="H8762" s="12">
        <v>29704</v>
      </c>
      <c r="I8762" t="s">
        <v>3183</v>
      </c>
      <c r="J8762" t="s">
        <v>14</v>
      </c>
      <c r="K8762" t="s">
        <v>657</v>
      </c>
      <c r="L8762" t="s">
        <v>20</v>
      </c>
      <c r="M8762" t="s">
        <v>14</v>
      </c>
    </row>
    <row r="8763" spans="1:13">
      <c r="A8763" t="s">
        <v>852</v>
      </c>
      <c r="B8763" t="s">
        <v>853</v>
      </c>
      <c r="C8763" t="s">
        <v>853</v>
      </c>
      <c r="D8763" t="s">
        <v>3185</v>
      </c>
      <c r="E8763" t="s">
        <v>660</v>
      </c>
      <c r="F8763" t="s">
        <v>40</v>
      </c>
      <c r="G8763">
        <v>2010</v>
      </c>
      <c r="H8763" s="12">
        <v>24282</v>
      </c>
      <c r="I8763" t="s">
        <v>3183</v>
      </c>
      <c r="J8763" t="s">
        <v>41</v>
      </c>
      <c r="K8763" t="s">
        <v>657</v>
      </c>
      <c r="L8763" t="s">
        <v>20</v>
      </c>
      <c r="M8763" t="s">
        <v>854</v>
      </c>
    </row>
    <row r="8764" spans="1:13">
      <c r="A8764" t="s">
        <v>852</v>
      </c>
      <c r="B8764" t="s">
        <v>853</v>
      </c>
      <c r="C8764" t="s">
        <v>853</v>
      </c>
      <c r="D8764" t="s">
        <v>3185</v>
      </c>
      <c r="E8764" t="s">
        <v>660</v>
      </c>
      <c r="F8764" t="s">
        <v>40</v>
      </c>
      <c r="G8764">
        <v>2015</v>
      </c>
      <c r="H8764" s="12">
        <v>28266</v>
      </c>
      <c r="I8764" t="s">
        <v>3183</v>
      </c>
      <c r="J8764" t="s">
        <v>41</v>
      </c>
      <c r="K8764" t="s">
        <v>657</v>
      </c>
      <c r="L8764" t="s">
        <v>20</v>
      </c>
      <c r="M8764" t="s">
        <v>854</v>
      </c>
    </row>
    <row r="8765" spans="1:13">
      <c r="A8765" t="s">
        <v>852</v>
      </c>
      <c r="B8765" t="s">
        <v>853</v>
      </c>
      <c r="C8765" t="s">
        <v>853</v>
      </c>
      <c r="D8765" t="s">
        <v>3185</v>
      </c>
      <c r="E8765" t="s">
        <v>660</v>
      </c>
      <c r="F8765" t="s">
        <v>40</v>
      </c>
      <c r="G8765">
        <v>2020</v>
      </c>
      <c r="H8765" s="12">
        <v>33167</v>
      </c>
      <c r="I8765" t="s">
        <v>3183</v>
      </c>
      <c r="J8765" t="s">
        <v>41</v>
      </c>
      <c r="K8765" t="s">
        <v>657</v>
      </c>
      <c r="L8765" t="s">
        <v>20</v>
      </c>
      <c r="M8765" t="s">
        <v>854</v>
      </c>
    </row>
    <row r="8766" spans="1:13">
      <c r="A8766" t="s">
        <v>852</v>
      </c>
      <c r="B8766" t="s">
        <v>853</v>
      </c>
      <c r="C8766" t="s">
        <v>853</v>
      </c>
      <c r="D8766" t="s">
        <v>3185</v>
      </c>
      <c r="E8766" t="s">
        <v>660</v>
      </c>
      <c r="F8766" t="s">
        <v>40</v>
      </c>
      <c r="G8766">
        <v>2030</v>
      </c>
      <c r="H8766" s="12">
        <v>57839</v>
      </c>
      <c r="I8766" t="s">
        <v>3183</v>
      </c>
      <c r="J8766" t="s">
        <v>41</v>
      </c>
      <c r="K8766" t="s">
        <v>657</v>
      </c>
      <c r="L8766" t="s">
        <v>20</v>
      </c>
      <c r="M8766" t="s">
        <v>854</v>
      </c>
    </row>
    <row r="8767" spans="1:13">
      <c r="A8767" t="s">
        <v>852</v>
      </c>
      <c r="B8767" t="s">
        <v>853</v>
      </c>
      <c r="C8767" t="s">
        <v>853</v>
      </c>
      <c r="D8767" t="s">
        <v>3185</v>
      </c>
      <c r="E8767" t="s">
        <v>660</v>
      </c>
      <c r="F8767" t="s">
        <v>40</v>
      </c>
      <c r="G8767">
        <v>2035</v>
      </c>
      <c r="H8767" s="12">
        <v>68947</v>
      </c>
      <c r="I8767" t="s">
        <v>3183</v>
      </c>
      <c r="J8767" t="s">
        <v>41</v>
      </c>
      <c r="K8767" t="s">
        <v>657</v>
      </c>
      <c r="L8767" t="s">
        <v>20</v>
      </c>
      <c r="M8767" t="s">
        <v>854</v>
      </c>
    </row>
    <row r="8768" spans="1:13">
      <c r="A8768" t="s">
        <v>852</v>
      </c>
      <c r="B8768" t="s">
        <v>853</v>
      </c>
      <c r="C8768" t="s">
        <v>853</v>
      </c>
      <c r="D8768" t="s">
        <v>3185</v>
      </c>
      <c r="E8768" t="s">
        <v>660</v>
      </c>
      <c r="F8768" t="s">
        <v>40</v>
      </c>
      <c r="G8768">
        <v>2040</v>
      </c>
      <c r="H8768" s="12">
        <v>72759</v>
      </c>
      <c r="I8768" t="s">
        <v>3183</v>
      </c>
      <c r="J8768" t="s">
        <v>41</v>
      </c>
      <c r="K8768" t="s">
        <v>657</v>
      </c>
      <c r="L8768" t="s">
        <v>20</v>
      </c>
      <c r="M8768" t="s">
        <v>854</v>
      </c>
    </row>
    <row r="8769" spans="1:13">
      <c r="A8769" t="s">
        <v>852</v>
      </c>
      <c r="B8769" t="s">
        <v>853</v>
      </c>
      <c r="C8769" t="s">
        <v>853</v>
      </c>
      <c r="D8769" t="s">
        <v>3185</v>
      </c>
      <c r="E8769" t="s">
        <v>660</v>
      </c>
      <c r="F8769" t="s">
        <v>40</v>
      </c>
      <c r="G8769">
        <v>2045</v>
      </c>
      <c r="H8769" s="12">
        <v>74574</v>
      </c>
      <c r="I8769" t="s">
        <v>3183</v>
      </c>
      <c r="J8769" t="s">
        <v>41</v>
      </c>
      <c r="K8769" t="s">
        <v>657</v>
      </c>
      <c r="L8769" t="s">
        <v>20</v>
      </c>
      <c r="M8769" t="s">
        <v>854</v>
      </c>
    </row>
    <row r="8770" spans="1:13">
      <c r="A8770" t="s">
        <v>852</v>
      </c>
      <c r="B8770" t="s">
        <v>853</v>
      </c>
      <c r="C8770" t="s">
        <v>853</v>
      </c>
      <c r="D8770" t="s">
        <v>3185</v>
      </c>
      <c r="E8770" t="s">
        <v>660</v>
      </c>
      <c r="F8770" t="s">
        <v>40</v>
      </c>
      <c r="G8770">
        <v>2050</v>
      </c>
      <c r="H8770" s="12">
        <v>74183</v>
      </c>
      <c r="I8770" t="s">
        <v>3183</v>
      </c>
      <c r="J8770" t="s">
        <v>41</v>
      </c>
      <c r="K8770" t="s">
        <v>657</v>
      </c>
      <c r="L8770" t="s">
        <v>20</v>
      </c>
      <c r="M8770" t="s">
        <v>854</v>
      </c>
    </row>
    <row r="8771" spans="1:13">
      <c r="A8771" t="s">
        <v>852</v>
      </c>
      <c r="B8771" t="s">
        <v>853</v>
      </c>
      <c r="C8771" t="s">
        <v>853</v>
      </c>
      <c r="D8771" t="s">
        <v>3185</v>
      </c>
      <c r="E8771" t="s">
        <v>660</v>
      </c>
      <c r="F8771" t="s">
        <v>40</v>
      </c>
      <c r="G8771">
        <v>2010</v>
      </c>
      <c r="H8771" s="12">
        <v>2436</v>
      </c>
      <c r="I8771" t="s">
        <v>3183</v>
      </c>
      <c r="J8771" t="s">
        <v>148</v>
      </c>
      <c r="K8771" t="s">
        <v>657</v>
      </c>
      <c r="L8771" t="s">
        <v>20</v>
      </c>
      <c r="M8771" t="s">
        <v>855</v>
      </c>
    </row>
    <row r="8772" spans="1:13">
      <c r="A8772" t="s">
        <v>852</v>
      </c>
      <c r="B8772" t="s">
        <v>853</v>
      </c>
      <c r="C8772" t="s">
        <v>853</v>
      </c>
      <c r="D8772" t="s">
        <v>3185</v>
      </c>
      <c r="E8772" t="s">
        <v>660</v>
      </c>
      <c r="F8772" t="s">
        <v>40</v>
      </c>
      <c r="G8772">
        <v>2015</v>
      </c>
      <c r="H8772" s="12">
        <v>3376</v>
      </c>
      <c r="I8772" t="s">
        <v>3183</v>
      </c>
      <c r="J8772" t="s">
        <v>148</v>
      </c>
      <c r="K8772" t="s">
        <v>657</v>
      </c>
      <c r="L8772" t="s">
        <v>20</v>
      </c>
      <c r="M8772" t="s">
        <v>855</v>
      </c>
    </row>
    <row r="8773" spans="1:13">
      <c r="A8773" t="s">
        <v>852</v>
      </c>
      <c r="B8773" t="s">
        <v>853</v>
      </c>
      <c r="C8773" t="s">
        <v>853</v>
      </c>
      <c r="D8773" t="s">
        <v>3185</v>
      </c>
      <c r="E8773" t="s">
        <v>660</v>
      </c>
      <c r="F8773" t="s">
        <v>40</v>
      </c>
      <c r="G8773">
        <v>2020</v>
      </c>
      <c r="H8773" s="12">
        <v>3963</v>
      </c>
      <c r="I8773" t="s">
        <v>3183</v>
      </c>
      <c r="J8773" t="s">
        <v>148</v>
      </c>
      <c r="K8773" t="s">
        <v>657</v>
      </c>
      <c r="L8773" t="s">
        <v>20</v>
      </c>
      <c r="M8773" t="s">
        <v>855</v>
      </c>
    </row>
    <row r="8774" spans="1:13">
      <c r="A8774" t="s">
        <v>852</v>
      </c>
      <c r="B8774" t="s">
        <v>853</v>
      </c>
      <c r="C8774" t="s">
        <v>853</v>
      </c>
      <c r="D8774" t="s">
        <v>3185</v>
      </c>
      <c r="E8774" t="s">
        <v>660</v>
      </c>
      <c r="F8774" t="s">
        <v>40</v>
      </c>
      <c r="G8774">
        <v>2030</v>
      </c>
      <c r="H8774" s="12">
        <v>11536</v>
      </c>
      <c r="I8774" t="s">
        <v>3183</v>
      </c>
      <c r="J8774" t="s">
        <v>148</v>
      </c>
      <c r="K8774" t="s">
        <v>657</v>
      </c>
      <c r="L8774" t="s">
        <v>20</v>
      </c>
      <c r="M8774" t="s">
        <v>855</v>
      </c>
    </row>
    <row r="8775" spans="1:13">
      <c r="A8775" t="s">
        <v>852</v>
      </c>
      <c r="B8775" t="s">
        <v>853</v>
      </c>
      <c r="C8775" t="s">
        <v>853</v>
      </c>
      <c r="D8775" t="s">
        <v>3185</v>
      </c>
      <c r="E8775" t="s">
        <v>660</v>
      </c>
      <c r="F8775" t="s">
        <v>40</v>
      </c>
      <c r="G8775">
        <v>2035</v>
      </c>
      <c r="H8775" s="12">
        <v>14381</v>
      </c>
      <c r="I8775" t="s">
        <v>3183</v>
      </c>
      <c r="J8775" t="s">
        <v>148</v>
      </c>
      <c r="K8775" t="s">
        <v>657</v>
      </c>
      <c r="L8775" t="s">
        <v>20</v>
      </c>
      <c r="M8775" t="s">
        <v>855</v>
      </c>
    </row>
    <row r="8776" spans="1:13">
      <c r="A8776" t="s">
        <v>852</v>
      </c>
      <c r="B8776" t="s">
        <v>853</v>
      </c>
      <c r="C8776" t="s">
        <v>853</v>
      </c>
      <c r="D8776" t="s">
        <v>3185</v>
      </c>
      <c r="E8776" t="s">
        <v>660</v>
      </c>
      <c r="F8776" t="s">
        <v>40</v>
      </c>
      <c r="G8776">
        <v>2040</v>
      </c>
      <c r="H8776" s="12">
        <v>14139</v>
      </c>
      <c r="I8776" t="s">
        <v>3183</v>
      </c>
      <c r="J8776" t="s">
        <v>148</v>
      </c>
      <c r="K8776" t="s">
        <v>657</v>
      </c>
      <c r="L8776" t="s">
        <v>20</v>
      </c>
      <c r="M8776" t="s">
        <v>855</v>
      </c>
    </row>
    <row r="8777" spans="1:13">
      <c r="A8777" t="s">
        <v>852</v>
      </c>
      <c r="B8777" t="s">
        <v>853</v>
      </c>
      <c r="C8777" t="s">
        <v>853</v>
      </c>
      <c r="D8777" t="s">
        <v>3185</v>
      </c>
      <c r="E8777" t="s">
        <v>660</v>
      </c>
      <c r="F8777" t="s">
        <v>40</v>
      </c>
      <c r="G8777">
        <v>2045</v>
      </c>
      <c r="H8777" s="12">
        <v>13265</v>
      </c>
      <c r="I8777" t="s">
        <v>3183</v>
      </c>
      <c r="J8777" t="s">
        <v>148</v>
      </c>
      <c r="K8777" t="s">
        <v>657</v>
      </c>
      <c r="L8777" t="s">
        <v>20</v>
      </c>
      <c r="M8777" t="s">
        <v>855</v>
      </c>
    </row>
    <row r="8778" spans="1:13">
      <c r="A8778" t="s">
        <v>852</v>
      </c>
      <c r="B8778" t="s">
        <v>853</v>
      </c>
      <c r="C8778" t="s">
        <v>853</v>
      </c>
      <c r="D8778" t="s">
        <v>3185</v>
      </c>
      <c r="E8778" t="s">
        <v>660</v>
      </c>
      <c r="F8778" t="s">
        <v>40</v>
      </c>
      <c r="G8778">
        <v>2050</v>
      </c>
      <c r="H8778" s="12">
        <v>11935</v>
      </c>
      <c r="I8778" t="s">
        <v>3183</v>
      </c>
      <c r="J8778" t="s">
        <v>148</v>
      </c>
      <c r="K8778" t="s">
        <v>657</v>
      </c>
      <c r="L8778" t="s">
        <v>20</v>
      </c>
      <c r="M8778" t="s">
        <v>855</v>
      </c>
    </row>
    <row r="8779" spans="1:13">
      <c r="A8779" t="s">
        <v>852</v>
      </c>
      <c r="B8779" t="s">
        <v>853</v>
      </c>
      <c r="C8779" t="s">
        <v>853</v>
      </c>
      <c r="D8779" t="s">
        <v>3185</v>
      </c>
      <c r="E8779" t="s">
        <v>660</v>
      </c>
      <c r="F8779" t="s">
        <v>40</v>
      </c>
      <c r="G8779">
        <v>2010</v>
      </c>
      <c r="H8779" s="12">
        <v>789</v>
      </c>
      <c r="I8779" t="s">
        <v>3183</v>
      </c>
      <c r="J8779" t="s">
        <v>148</v>
      </c>
      <c r="K8779" t="s">
        <v>657</v>
      </c>
      <c r="L8779" t="s">
        <v>20</v>
      </c>
      <c r="M8779" t="s">
        <v>856</v>
      </c>
    </row>
    <row r="8780" spans="1:13">
      <c r="A8780" t="s">
        <v>852</v>
      </c>
      <c r="B8780" t="s">
        <v>853</v>
      </c>
      <c r="C8780" t="s">
        <v>853</v>
      </c>
      <c r="D8780" t="s">
        <v>3185</v>
      </c>
      <c r="E8780" t="s">
        <v>660</v>
      </c>
      <c r="F8780" t="s">
        <v>40</v>
      </c>
      <c r="G8780">
        <v>2015</v>
      </c>
      <c r="H8780" s="12">
        <v>944</v>
      </c>
      <c r="I8780" t="s">
        <v>3183</v>
      </c>
      <c r="J8780" t="s">
        <v>148</v>
      </c>
      <c r="K8780" t="s">
        <v>657</v>
      </c>
      <c r="L8780" t="s">
        <v>20</v>
      </c>
      <c r="M8780" t="s">
        <v>856</v>
      </c>
    </row>
    <row r="8781" spans="1:13">
      <c r="A8781" t="s">
        <v>852</v>
      </c>
      <c r="B8781" t="s">
        <v>853</v>
      </c>
      <c r="C8781" t="s">
        <v>853</v>
      </c>
      <c r="D8781" t="s">
        <v>3185</v>
      </c>
      <c r="E8781" t="s">
        <v>660</v>
      </c>
      <c r="F8781" t="s">
        <v>40</v>
      </c>
      <c r="G8781">
        <v>2020</v>
      </c>
      <c r="H8781" s="12">
        <v>1116</v>
      </c>
      <c r="I8781" t="s">
        <v>3183</v>
      </c>
      <c r="J8781" t="s">
        <v>148</v>
      </c>
      <c r="K8781" t="s">
        <v>657</v>
      </c>
      <c r="L8781" t="s">
        <v>20</v>
      </c>
      <c r="M8781" t="s">
        <v>856</v>
      </c>
    </row>
    <row r="8782" spans="1:13">
      <c r="A8782" t="s">
        <v>852</v>
      </c>
      <c r="B8782" t="s">
        <v>853</v>
      </c>
      <c r="C8782" t="s">
        <v>853</v>
      </c>
      <c r="D8782" t="s">
        <v>3185</v>
      </c>
      <c r="E8782" t="s">
        <v>660</v>
      </c>
      <c r="F8782" t="s">
        <v>40</v>
      </c>
      <c r="G8782">
        <v>2030</v>
      </c>
      <c r="H8782" s="12">
        <v>7171</v>
      </c>
      <c r="I8782" t="s">
        <v>3183</v>
      </c>
      <c r="J8782" t="s">
        <v>148</v>
      </c>
      <c r="K8782" t="s">
        <v>657</v>
      </c>
      <c r="L8782" t="s">
        <v>20</v>
      </c>
      <c r="M8782" t="s">
        <v>856</v>
      </c>
    </row>
    <row r="8783" spans="1:13">
      <c r="A8783" t="s">
        <v>852</v>
      </c>
      <c r="B8783" t="s">
        <v>853</v>
      </c>
      <c r="C8783" t="s">
        <v>853</v>
      </c>
      <c r="D8783" t="s">
        <v>3185</v>
      </c>
      <c r="E8783" t="s">
        <v>660</v>
      </c>
      <c r="F8783" t="s">
        <v>40</v>
      </c>
      <c r="G8783">
        <v>2035</v>
      </c>
      <c r="H8783" s="12">
        <v>9914</v>
      </c>
      <c r="I8783" t="s">
        <v>3183</v>
      </c>
      <c r="J8783" t="s">
        <v>148</v>
      </c>
      <c r="K8783" t="s">
        <v>657</v>
      </c>
      <c r="L8783" t="s">
        <v>20</v>
      </c>
      <c r="M8783" t="s">
        <v>856</v>
      </c>
    </row>
    <row r="8784" spans="1:13">
      <c r="A8784" t="s">
        <v>852</v>
      </c>
      <c r="B8784" t="s">
        <v>853</v>
      </c>
      <c r="C8784" t="s">
        <v>853</v>
      </c>
      <c r="D8784" t="s">
        <v>3185</v>
      </c>
      <c r="E8784" t="s">
        <v>660</v>
      </c>
      <c r="F8784" t="s">
        <v>40</v>
      </c>
      <c r="G8784">
        <v>2040</v>
      </c>
      <c r="H8784" s="12">
        <v>12075</v>
      </c>
      <c r="I8784" t="s">
        <v>3183</v>
      </c>
      <c r="J8784" t="s">
        <v>148</v>
      </c>
      <c r="K8784" t="s">
        <v>657</v>
      </c>
      <c r="L8784" t="s">
        <v>20</v>
      </c>
      <c r="M8784" t="s">
        <v>856</v>
      </c>
    </row>
    <row r="8785" spans="1:13">
      <c r="A8785" t="s">
        <v>852</v>
      </c>
      <c r="B8785" t="s">
        <v>853</v>
      </c>
      <c r="C8785" t="s">
        <v>853</v>
      </c>
      <c r="D8785" t="s">
        <v>3185</v>
      </c>
      <c r="E8785" t="s">
        <v>660</v>
      </c>
      <c r="F8785" t="s">
        <v>40</v>
      </c>
      <c r="G8785">
        <v>2045</v>
      </c>
      <c r="H8785" s="12">
        <v>13449</v>
      </c>
      <c r="I8785" t="s">
        <v>3183</v>
      </c>
      <c r="J8785" t="s">
        <v>148</v>
      </c>
      <c r="K8785" t="s">
        <v>657</v>
      </c>
      <c r="L8785" t="s">
        <v>20</v>
      </c>
      <c r="M8785" t="s">
        <v>856</v>
      </c>
    </row>
    <row r="8786" spans="1:13">
      <c r="A8786" t="s">
        <v>852</v>
      </c>
      <c r="B8786" t="s">
        <v>853</v>
      </c>
      <c r="C8786" t="s">
        <v>853</v>
      </c>
      <c r="D8786" t="s">
        <v>3185</v>
      </c>
      <c r="E8786" t="s">
        <v>660</v>
      </c>
      <c r="F8786" t="s">
        <v>40</v>
      </c>
      <c r="G8786">
        <v>2050</v>
      </c>
      <c r="H8786" s="12">
        <v>14558</v>
      </c>
      <c r="I8786" t="s">
        <v>3183</v>
      </c>
      <c r="J8786" t="s">
        <v>148</v>
      </c>
      <c r="K8786" t="s">
        <v>657</v>
      </c>
      <c r="L8786" t="s">
        <v>20</v>
      </c>
      <c r="M8786" t="s">
        <v>856</v>
      </c>
    </row>
    <row r="8787" spans="1:13">
      <c r="A8787" t="s">
        <v>852</v>
      </c>
      <c r="B8787" t="s">
        <v>853</v>
      </c>
      <c r="C8787" t="s">
        <v>853</v>
      </c>
      <c r="D8787" t="s">
        <v>3185</v>
      </c>
      <c r="E8787" t="s">
        <v>660</v>
      </c>
      <c r="F8787" t="s">
        <v>40</v>
      </c>
      <c r="G8787">
        <v>2010</v>
      </c>
      <c r="H8787" s="12">
        <v>25143</v>
      </c>
      <c r="I8787" t="s">
        <v>3183</v>
      </c>
      <c r="J8787" t="s">
        <v>41</v>
      </c>
      <c r="K8787" t="s">
        <v>657</v>
      </c>
      <c r="L8787" t="s">
        <v>20</v>
      </c>
      <c r="M8787" t="s">
        <v>661</v>
      </c>
    </row>
    <row r="8788" spans="1:13">
      <c r="A8788" t="s">
        <v>852</v>
      </c>
      <c r="B8788" t="s">
        <v>853</v>
      </c>
      <c r="C8788" t="s">
        <v>853</v>
      </c>
      <c r="D8788" t="s">
        <v>3185</v>
      </c>
      <c r="E8788" t="s">
        <v>660</v>
      </c>
      <c r="F8788" t="s">
        <v>40</v>
      </c>
      <c r="G8788">
        <v>2015</v>
      </c>
      <c r="H8788" s="12">
        <v>24373</v>
      </c>
      <c r="I8788" t="s">
        <v>3183</v>
      </c>
      <c r="J8788" t="s">
        <v>41</v>
      </c>
      <c r="K8788" t="s">
        <v>657</v>
      </c>
      <c r="L8788" t="s">
        <v>20</v>
      </c>
      <c r="M8788" t="s">
        <v>661</v>
      </c>
    </row>
    <row r="8789" spans="1:13">
      <c r="A8789" t="s">
        <v>852</v>
      </c>
      <c r="B8789" t="s">
        <v>853</v>
      </c>
      <c r="C8789" t="s">
        <v>853</v>
      </c>
      <c r="D8789" t="s">
        <v>3185</v>
      </c>
      <c r="E8789" t="s">
        <v>660</v>
      </c>
      <c r="F8789" t="s">
        <v>40</v>
      </c>
      <c r="G8789">
        <v>2020</v>
      </c>
      <c r="H8789" s="12">
        <v>24413</v>
      </c>
      <c r="I8789" t="s">
        <v>3183</v>
      </c>
      <c r="J8789" t="s">
        <v>41</v>
      </c>
      <c r="K8789" t="s">
        <v>657</v>
      </c>
      <c r="L8789" t="s">
        <v>20</v>
      </c>
      <c r="M8789" t="s">
        <v>661</v>
      </c>
    </row>
    <row r="8790" spans="1:13">
      <c r="A8790" t="s">
        <v>852</v>
      </c>
      <c r="B8790" t="s">
        <v>853</v>
      </c>
      <c r="C8790" t="s">
        <v>853</v>
      </c>
      <c r="D8790" t="s">
        <v>3185</v>
      </c>
      <c r="E8790" t="s">
        <v>660</v>
      </c>
      <c r="F8790" t="s">
        <v>40</v>
      </c>
      <c r="G8790">
        <v>2030</v>
      </c>
      <c r="H8790" s="12">
        <v>0</v>
      </c>
      <c r="I8790" t="s">
        <v>3183</v>
      </c>
      <c r="J8790" t="s">
        <v>41</v>
      </c>
      <c r="K8790" t="s">
        <v>657</v>
      </c>
      <c r="L8790" t="s">
        <v>20</v>
      </c>
      <c r="M8790" t="s">
        <v>661</v>
      </c>
    </row>
    <row r="8791" spans="1:13">
      <c r="A8791" t="s">
        <v>852</v>
      </c>
      <c r="B8791" t="s">
        <v>853</v>
      </c>
      <c r="C8791" t="s">
        <v>853</v>
      </c>
      <c r="D8791" t="s">
        <v>3185</v>
      </c>
      <c r="E8791" t="s">
        <v>660</v>
      </c>
      <c r="F8791" t="s">
        <v>40</v>
      </c>
      <c r="G8791">
        <v>2035</v>
      </c>
      <c r="H8791" s="12">
        <v>0</v>
      </c>
      <c r="I8791" t="s">
        <v>3183</v>
      </c>
      <c r="J8791" t="s">
        <v>41</v>
      </c>
      <c r="K8791" t="s">
        <v>657</v>
      </c>
      <c r="L8791" t="s">
        <v>20</v>
      </c>
      <c r="M8791" t="s">
        <v>661</v>
      </c>
    </row>
    <row r="8792" spans="1:13">
      <c r="A8792" t="s">
        <v>852</v>
      </c>
      <c r="B8792" t="s">
        <v>853</v>
      </c>
      <c r="C8792" t="s">
        <v>853</v>
      </c>
      <c r="D8792" t="s">
        <v>3185</v>
      </c>
      <c r="E8792" t="s">
        <v>660</v>
      </c>
      <c r="F8792" t="s">
        <v>40</v>
      </c>
      <c r="G8792">
        <v>2040</v>
      </c>
      <c r="H8792" s="12">
        <v>0</v>
      </c>
      <c r="I8792" t="s">
        <v>3183</v>
      </c>
      <c r="J8792" t="s">
        <v>41</v>
      </c>
      <c r="K8792" t="s">
        <v>657</v>
      </c>
      <c r="L8792" t="s">
        <v>20</v>
      </c>
      <c r="M8792" t="s">
        <v>661</v>
      </c>
    </row>
    <row r="8793" spans="1:13">
      <c r="A8793" t="s">
        <v>852</v>
      </c>
      <c r="B8793" t="s">
        <v>853</v>
      </c>
      <c r="C8793" t="s">
        <v>853</v>
      </c>
      <c r="D8793" t="s">
        <v>3185</v>
      </c>
      <c r="E8793" t="s">
        <v>660</v>
      </c>
      <c r="F8793" t="s">
        <v>40</v>
      </c>
      <c r="G8793">
        <v>2045</v>
      </c>
      <c r="H8793" s="12">
        <v>0</v>
      </c>
      <c r="I8793" t="s">
        <v>3183</v>
      </c>
      <c r="J8793" t="s">
        <v>41</v>
      </c>
      <c r="K8793" t="s">
        <v>657</v>
      </c>
      <c r="L8793" t="s">
        <v>20</v>
      </c>
      <c r="M8793" t="s">
        <v>661</v>
      </c>
    </row>
    <row r="8794" spans="1:13">
      <c r="A8794" t="s">
        <v>852</v>
      </c>
      <c r="B8794" t="s">
        <v>853</v>
      </c>
      <c r="C8794" t="s">
        <v>853</v>
      </c>
      <c r="D8794" t="s">
        <v>3185</v>
      </c>
      <c r="E8794" t="s">
        <v>660</v>
      </c>
      <c r="F8794" t="s">
        <v>40</v>
      </c>
      <c r="G8794">
        <v>2050</v>
      </c>
      <c r="H8794" s="12">
        <v>0</v>
      </c>
      <c r="I8794" t="s">
        <v>3183</v>
      </c>
      <c r="J8794" t="s">
        <v>41</v>
      </c>
      <c r="K8794" t="s">
        <v>657</v>
      </c>
      <c r="L8794" t="s">
        <v>20</v>
      </c>
      <c r="M8794" t="s">
        <v>661</v>
      </c>
    </row>
    <row r="8795" spans="1:13">
      <c r="A8795" t="s">
        <v>852</v>
      </c>
      <c r="B8795" t="s">
        <v>853</v>
      </c>
      <c r="C8795" t="s">
        <v>853</v>
      </c>
      <c r="D8795" t="s">
        <v>3185</v>
      </c>
      <c r="E8795" t="s">
        <v>660</v>
      </c>
      <c r="F8795" t="s">
        <v>40</v>
      </c>
      <c r="G8795">
        <v>2010</v>
      </c>
      <c r="H8795" s="12">
        <v>30091</v>
      </c>
      <c r="I8795" t="s">
        <v>3183</v>
      </c>
      <c r="J8795" t="s">
        <v>15</v>
      </c>
      <c r="K8795" t="s">
        <v>657</v>
      </c>
      <c r="L8795" t="s">
        <v>20</v>
      </c>
      <c r="M8795" t="s">
        <v>15</v>
      </c>
    </row>
    <row r="8796" spans="1:13">
      <c r="A8796" t="s">
        <v>852</v>
      </c>
      <c r="B8796" t="s">
        <v>853</v>
      </c>
      <c r="C8796" t="s">
        <v>853</v>
      </c>
      <c r="D8796" t="s">
        <v>3185</v>
      </c>
      <c r="E8796" t="s">
        <v>660</v>
      </c>
      <c r="F8796" t="s">
        <v>40</v>
      </c>
      <c r="G8796">
        <v>2015</v>
      </c>
      <c r="H8796" s="12">
        <v>28063</v>
      </c>
      <c r="I8796" t="s">
        <v>3183</v>
      </c>
      <c r="J8796" t="s">
        <v>15</v>
      </c>
      <c r="K8796" t="s">
        <v>657</v>
      </c>
      <c r="L8796" t="s">
        <v>20</v>
      </c>
      <c r="M8796" t="s">
        <v>15</v>
      </c>
    </row>
    <row r="8797" spans="1:13">
      <c r="A8797" t="s">
        <v>852</v>
      </c>
      <c r="B8797" t="s">
        <v>853</v>
      </c>
      <c r="C8797" t="s">
        <v>853</v>
      </c>
      <c r="D8797" t="s">
        <v>3185</v>
      </c>
      <c r="E8797" t="s">
        <v>660</v>
      </c>
      <c r="F8797" t="s">
        <v>40</v>
      </c>
      <c r="G8797">
        <v>2020</v>
      </c>
      <c r="H8797" s="12">
        <v>29187</v>
      </c>
      <c r="I8797" t="s">
        <v>3183</v>
      </c>
      <c r="J8797" t="s">
        <v>15</v>
      </c>
      <c r="K8797" t="s">
        <v>657</v>
      </c>
      <c r="L8797" t="s">
        <v>20</v>
      </c>
      <c r="M8797" t="s">
        <v>15</v>
      </c>
    </row>
    <row r="8798" spans="1:13">
      <c r="A8798" t="s">
        <v>852</v>
      </c>
      <c r="B8798" t="s">
        <v>853</v>
      </c>
      <c r="C8798" t="s">
        <v>853</v>
      </c>
      <c r="D8798" t="s">
        <v>3185</v>
      </c>
      <c r="E8798" t="s">
        <v>660</v>
      </c>
      <c r="F8798" t="s">
        <v>40</v>
      </c>
      <c r="G8798">
        <v>2030</v>
      </c>
      <c r="H8798" s="12">
        <v>42505</v>
      </c>
      <c r="I8798" t="s">
        <v>3183</v>
      </c>
      <c r="J8798" t="s">
        <v>15</v>
      </c>
      <c r="K8798" t="s">
        <v>657</v>
      </c>
      <c r="L8798" t="s">
        <v>20</v>
      </c>
      <c r="M8798" t="s">
        <v>15</v>
      </c>
    </row>
    <row r="8799" spans="1:13">
      <c r="A8799" t="s">
        <v>852</v>
      </c>
      <c r="B8799" t="s">
        <v>853</v>
      </c>
      <c r="C8799" t="s">
        <v>853</v>
      </c>
      <c r="D8799" t="s">
        <v>3185</v>
      </c>
      <c r="E8799" t="s">
        <v>660</v>
      </c>
      <c r="F8799" t="s">
        <v>40</v>
      </c>
      <c r="G8799">
        <v>2035</v>
      </c>
      <c r="H8799" s="12">
        <v>50498</v>
      </c>
      <c r="I8799" t="s">
        <v>3183</v>
      </c>
      <c r="J8799" t="s">
        <v>15</v>
      </c>
      <c r="K8799" t="s">
        <v>657</v>
      </c>
      <c r="L8799" t="s">
        <v>20</v>
      </c>
      <c r="M8799" t="s">
        <v>15</v>
      </c>
    </row>
    <row r="8800" spans="1:13">
      <c r="A8800" t="s">
        <v>852</v>
      </c>
      <c r="B8800" t="s">
        <v>853</v>
      </c>
      <c r="C8800" t="s">
        <v>853</v>
      </c>
      <c r="D8800" t="s">
        <v>3185</v>
      </c>
      <c r="E8800" t="s">
        <v>660</v>
      </c>
      <c r="F8800" t="s">
        <v>40</v>
      </c>
      <c r="G8800">
        <v>2040</v>
      </c>
      <c r="H8800" s="12">
        <v>59054</v>
      </c>
      <c r="I8800" t="s">
        <v>3183</v>
      </c>
      <c r="J8800" t="s">
        <v>15</v>
      </c>
      <c r="K8800" t="s">
        <v>657</v>
      </c>
      <c r="L8800" t="s">
        <v>20</v>
      </c>
      <c r="M8800" t="s">
        <v>15</v>
      </c>
    </row>
    <row r="8801" spans="1:13">
      <c r="A8801" t="s">
        <v>852</v>
      </c>
      <c r="B8801" t="s">
        <v>853</v>
      </c>
      <c r="C8801" t="s">
        <v>853</v>
      </c>
      <c r="D8801" t="s">
        <v>3185</v>
      </c>
      <c r="E8801" t="s">
        <v>660</v>
      </c>
      <c r="F8801" t="s">
        <v>40</v>
      </c>
      <c r="G8801">
        <v>2045</v>
      </c>
      <c r="H8801" s="12">
        <v>61196</v>
      </c>
      <c r="I8801" t="s">
        <v>3183</v>
      </c>
      <c r="J8801" t="s">
        <v>15</v>
      </c>
      <c r="K8801" t="s">
        <v>657</v>
      </c>
      <c r="L8801" t="s">
        <v>20</v>
      </c>
      <c r="M8801" t="s">
        <v>15</v>
      </c>
    </row>
    <row r="8802" spans="1:13">
      <c r="A8802" t="s">
        <v>852</v>
      </c>
      <c r="B8802" t="s">
        <v>853</v>
      </c>
      <c r="C8802" t="s">
        <v>853</v>
      </c>
      <c r="D8802" t="s">
        <v>3185</v>
      </c>
      <c r="E8802" t="s">
        <v>660</v>
      </c>
      <c r="F8802" t="s">
        <v>40</v>
      </c>
      <c r="G8802">
        <v>2050</v>
      </c>
      <c r="H8802" s="12">
        <v>63380</v>
      </c>
      <c r="I8802" t="s">
        <v>3183</v>
      </c>
      <c r="J8802" t="s">
        <v>15</v>
      </c>
      <c r="K8802" t="s">
        <v>657</v>
      </c>
      <c r="L8802" t="s">
        <v>20</v>
      </c>
      <c r="M8802" t="s">
        <v>15</v>
      </c>
    </row>
    <row r="8803" spans="1:13">
      <c r="A8803" t="s">
        <v>852</v>
      </c>
      <c r="B8803" t="s">
        <v>853</v>
      </c>
      <c r="C8803" t="s">
        <v>853</v>
      </c>
      <c r="D8803" t="s">
        <v>3185</v>
      </c>
      <c r="E8803" t="s">
        <v>660</v>
      </c>
      <c r="F8803" t="s">
        <v>40</v>
      </c>
      <c r="G8803">
        <v>2010</v>
      </c>
      <c r="H8803" s="12">
        <v>115293</v>
      </c>
      <c r="I8803" t="s">
        <v>3183</v>
      </c>
      <c r="J8803" t="s">
        <v>6</v>
      </c>
      <c r="K8803" t="s">
        <v>657</v>
      </c>
      <c r="L8803" t="s">
        <v>20</v>
      </c>
      <c r="M8803" t="s">
        <v>666</v>
      </c>
    </row>
    <row r="8804" spans="1:13">
      <c r="A8804" t="s">
        <v>852</v>
      </c>
      <c r="B8804" t="s">
        <v>853</v>
      </c>
      <c r="C8804" t="s">
        <v>853</v>
      </c>
      <c r="D8804" t="s">
        <v>3185</v>
      </c>
      <c r="E8804" t="s">
        <v>660</v>
      </c>
      <c r="F8804" t="s">
        <v>40</v>
      </c>
      <c r="G8804">
        <v>2015</v>
      </c>
      <c r="H8804" s="12">
        <v>123567</v>
      </c>
      <c r="I8804" t="s">
        <v>3183</v>
      </c>
      <c r="J8804" t="s">
        <v>6</v>
      </c>
      <c r="K8804" t="s">
        <v>657</v>
      </c>
      <c r="L8804" t="s">
        <v>20</v>
      </c>
      <c r="M8804" t="s">
        <v>666</v>
      </c>
    </row>
    <row r="8805" spans="1:13">
      <c r="A8805" t="s">
        <v>852</v>
      </c>
      <c r="B8805" t="s">
        <v>853</v>
      </c>
      <c r="C8805" t="s">
        <v>853</v>
      </c>
      <c r="D8805" t="s">
        <v>3185</v>
      </c>
      <c r="E8805" t="s">
        <v>660</v>
      </c>
      <c r="F8805" t="s">
        <v>40</v>
      </c>
      <c r="G8805">
        <v>2020</v>
      </c>
      <c r="H8805" s="12">
        <v>139336</v>
      </c>
      <c r="I8805" t="s">
        <v>3183</v>
      </c>
      <c r="J8805" t="s">
        <v>6</v>
      </c>
      <c r="K8805" t="s">
        <v>657</v>
      </c>
      <c r="L8805" t="s">
        <v>20</v>
      </c>
      <c r="M8805" t="s">
        <v>666</v>
      </c>
    </row>
    <row r="8806" spans="1:13">
      <c r="A8806" t="s">
        <v>852</v>
      </c>
      <c r="B8806" t="s">
        <v>853</v>
      </c>
      <c r="C8806" t="s">
        <v>853</v>
      </c>
      <c r="D8806" t="s">
        <v>3185</v>
      </c>
      <c r="E8806" t="s">
        <v>660</v>
      </c>
      <c r="F8806" t="s">
        <v>40</v>
      </c>
      <c r="G8806">
        <v>2030</v>
      </c>
      <c r="H8806" s="12">
        <v>105136</v>
      </c>
      <c r="I8806" t="s">
        <v>3183</v>
      </c>
      <c r="J8806" t="s">
        <v>6</v>
      </c>
      <c r="K8806" t="s">
        <v>657</v>
      </c>
      <c r="L8806" t="s">
        <v>20</v>
      </c>
      <c r="M8806" t="s">
        <v>666</v>
      </c>
    </row>
    <row r="8807" spans="1:13">
      <c r="A8807" t="s">
        <v>852</v>
      </c>
      <c r="B8807" t="s">
        <v>853</v>
      </c>
      <c r="C8807" t="s">
        <v>853</v>
      </c>
      <c r="D8807" t="s">
        <v>3185</v>
      </c>
      <c r="E8807" t="s">
        <v>660</v>
      </c>
      <c r="F8807" t="s">
        <v>40</v>
      </c>
      <c r="G8807">
        <v>2035</v>
      </c>
      <c r="H8807" s="12">
        <v>62719</v>
      </c>
      <c r="I8807" t="s">
        <v>3183</v>
      </c>
      <c r="J8807" t="s">
        <v>6</v>
      </c>
      <c r="K8807" t="s">
        <v>657</v>
      </c>
      <c r="L8807" t="s">
        <v>20</v>
      </c>
      <c r="M8807" t="s">
        <v>666</v>
      </c>
    </row>
    <row r="8808" spans="1:13">
      <c r="A8808" t="s">
        <v>852</v>
      </c>
      <c r="B8808" t="s">
        <v>853</v>
      </c>
      <c r="C8808" t="s">
        <v>853</v>
      </c>
      <c r="D8808" t="s">
        <v>3185</v>
      </c>
      <c r="E8808" t="s">
        <v>660</v>
      </c>
      <c r="F8808" t="s">
        <v>40</v>
      </c>
      <c r="G8808">
        <v>2040</v>
      </c>
      <c r="H8808" s="12">
        <v>33739</v>
      </c>
      <c r="I8808" t="s">
        <v>3183</v>
      </c>
      <c r="J8808" t="s">
        <v>6</v>
      </c>
      <c r="K8808" t="s">
        <v>657</v>
      </c>
      <c r="L8808" t="s">
        <v>20</v>
      </c>
      <c r="M8808" t="s">
        <v>666</v>
      </c>
    </row>
    <row r="8809" spans="1:13">
      <c r="A8809" t="s">
        <v>852</v>
      </c>
      <c r="B8809" t="s">
        <v>853</v>
      </c>
      <c r="C8809" t="s">
        <v>853</v>
      </c>
      <c r="D8809" t="s">
        <v>3185</v>
      </c>
      <c r="E8809" t="s">
        <v>660</v>
      </c>
      <c r="F8809" t="s">
        <v>40</v>
      </c>
      <c r="G8809">
        <v>2045</v>
      </c>
      <c r="H8809" s="12">
        <v>22209</v>
      </c>
      <c r="I8809" t="s">
        <v>3183</v>
      </c>
      <c r="J8809" t="s">
        <v>6</v>
      </c>
      <c r="K8809" t="s">
        <v>657</v>
      </c>
      <c r="L8809" t="s">
        <v>20</v>
      </c>
      <c r="M8809" t="s">
        <v>666</v>
      </c>
    </row>
    <row r="8810" spans="1:13">
      <c r="A8810" t="s">
        <v>852</v>
      </c>
      <c r="B8810" t="s">
        <v>853</v>
      </c>
      <c r="C8810" t="s">
        <v>853</v>
      </c>
      <c r="D8810" t="s">
        <v>3185</v>
      </c>
      <c r="E8810" t="s">
        <v>660</v>
      </c>
      <c r="F8810" t="s">
        <v>40</v>
      </c>
      <c r="G8810">
        <v>2050</v>
      </c>
      <c r="H8810" s="12">
        <v>13739</v>
      </c>
      <c r="I8810" t="s">
        <v>3183</v>
      </c>
      <c r="J8810" t="s">
        <v>6</v>
      </c>
      <c r="K8810" t="s">
        <v>657</v>
      </c>
      <c r="L8810" t="s">
        <v>20</v>
      </c>
      <c r="M8810" t="s">
        <v>666</v>
      </c>
    </row>
    <row r="8811" spans="1:13">
      <c r="A8811" t="s">
        <v>852</v>
      </c>
      <c r="B8811" t="s">
        <v>853</v>
      </c>
      <c r="C8811" t="s">
        <v>853</v>
      </c>
      <c r="D8811" t="s">
        <v>3185</v>
      </c>
      <c r="E8811" t="s">
        <v>660</v>
      </c>
      <c r="F8811" t="s">
        <v>40</v>
      </c>
      <c r="G8811">
        <v>2010</v>
      </c>
      <c r="H8811" s="12">
        <v>77</v>
      </c>
      <c r="I8811" t="s">
        <v>3183</v>
      </c>
      <c r="J8811" t="s">
        <v>6</v>
      </c>
      <c r="K8811" t="s">
        <v>657</v>
      </c>
      <c r="L8811" t="s">
        <v>20</v>
      </c>
      <c r="M8811" t="s">
        <v>857</v>
      </c>
    </row>
    <row r="8812" spans="1:13">
      <c r="A8812" t="s">
        <v>852</v>
      </c>
      <c r="B8812" t="s">
        <v>853</v>
      </c>
      <c r="C8812" t="s">
        <v>853</v>
      </c>
      <c r="D8812" t="s">
        <v>3185</v>
      </c>
      <c r="E8812" t="s">
        <v>660</v>
      </c>
      <c r="F8812" t="s">
        <v>40</v>
      </c>
      <c r="G8812">
        <v>2015</v>
      </c>
      <c r="H8812" s="12">
        <v>261</v>
      </c>
      <c r="I8812" t="s">
        <v>3183</v>
      </c>
      <c r="J8812" t="s">
        <v>6</v>
      </c>
      <c r="K8812" t="s">
        <v>657</v>
      </c>
      <c r="L8812" t="s">
        <v>20</v>
      </c>
      <c r="M8812" t="s">
        <v>857</v>
      </c>
    </row>
    <row r="8813" spans="1:13">
      <c r="A8813" t="s">
        <v>852</v>
      </c>
      <c r="B8813" t="s">
        <v>853</v>
      </c>
      <c r="C8813" t="s">
        <v>853</v>
      </c>
      <c r="D8813" t="s">
        <v>3185</v>
      </c>
      <c r="E8813" t="s">
        <v>660</v>
      </c>
      <c r="F8813" t="s">
        <v>40</v>
      </c>
      <c r="G8813">
        <v>2020</v>
      </c>
      <c r="H8813" s="12">
        <v>441</v>
      </c>
      <c r="I8813" t="s">
        <v>3183</v>
      </c>
      <c r="J8813" t="s">
        <v>6</v>
      </c>
      <c r="K8813" t="s">
        <v>657</v>
      </c>
      <c r="L8813" t="s">
        <v>20</v>
      </c>
      <c r="M8813" t="s">
        <v>857</v>
      </c>
    </row>
    <row r="8814" spans="1:13">
      <c r="A8814" t="s">
        <v>852</v>
      </c>
      <c r="B8814" t="s">
        <v>853</v>
      </c>
      <c r="C8814" t="s">
        <v>853</v>
      </c>
      <c r="D8814" t="s">
        <v>3185</v>
      </c>
      <c r="E8814" t="s">
        <v>660</v>
      </c>
      <c r="F8814" t="s">
        <v>40</v>
      </c>
      <c r="G8814">
        <v>2030</v>
      </c>
      <c r="H8814" s="12">
        <v>8033</v>
      </c>
      <c r="I8814" t="s">
        <v>3183</v>
      </c>
      <c r="J8814" t="s">
        <v>6</v>
      </c>
      <c r="K8814" t="s">
        <v>657</v>
      </c>
      <c r="L8814" t="s">
        <v>20</v>
      </c>
      <c r="M8814" t="s">
        <v>857</v>
      </c>
    </row>
    <row r="8815" spans="1:13">
      <c r="A8815" t="s">
        <v>852</v>
      </c>
      <c r="B8815" t="s">
        <v>853</v>
      </c>
      <c r="C8815" t="s">
        <v>853</v>
      </c>
      <c r="D8815" t="s">
        <v>3185</v>
      </c>
      <c r="E8815" t="s">
        <v>660</v>
      </c>
      <c r="F8815" t="s">
        <v>40</v>
      </c>
      <c r="G8815">
        <v>2035</v>
      </c>
      <c r="H8815" s="12">
        <v>15386</v>
      </c>
      <c r="I8815" t="s">
        <v>3183</v>
      </c>
      <c r="J8815" t="s">
        <v>6</v>
      </c>
      <c r="K8815" t="s">
        <v>657</v>
      </c>
      <c r="L8815" t="s">
        <v>20</v>
      </c>
      <c r="M8815" t="s">
        <v>857</v>
      </c>
    </row>
    <row r="8816" spans="1:13">
      <c r="A8816" t="s">
        <v>852</v>
      </c>
      <c r="B8816" t="s">
        <v>853</v>
      </c>
      <c r="C8816" t="s">
        <v>853</v>
      </c>
      <c r="D8816" t="s">
        <v>3185</v>
      </c>
      <c r="E8816" t="s">
        <v>660</v>
      </c>
      <c r="F8816" t="s">
        <v>40</v>
      </c>
      <c r="G8816">
        <v>2040</v>
      </c>
      <c r="H8816" s="12">
        <v>20728</v>
      </c>
      <c r="I8816" t="s">
        <v>3183</v>
      </c>
      <c r="J8816" t="s">
        <v>6</v>
      </c>
      <c r="K8816" t="s">
        <v>657</v>
      </c>
      <c r="L8816" t="s">
        <v>20</v>
      </c>
      <c r="M8816" t="s">
        <v>857</v>
      </c>
    </row>
    <row r="8817" spans="1:13">
      <c r="A8817" t="s">
        <v>852</v>
      </c>
      <c r="B8817" t="s">
        <v>853</v>
      </c>
      <c r="C8817" t="s">
        <v>853</v>
      </c>
      <c r="D8817" t="s">
        <v>3185</v>
      </c>
      <c r="E8817" t="s">
        <v>660</v>
      </c>
      <c r="F8817" t="s">
        <v>40</v>
      </c>
      <c r="G8817">
        <v>2045</v>
      </c>
      <c r="H8817" s="12">
        <v>23942</v>
      </c>
      <c r="I8817" t="s">
        <v>3183</v>
      </c>
      <c r="J8817" t="s">
        <v>6</v>
      </c>
      <c r="K8817" t="s">
        <v>657</v>
      </c>
      <c r="L8817" t="s">
        <v>20</v>
      </c>
      <c r="M8817" t="s">
        <v>857</v>
      </c>
    </row>
    <row r="8818" spans="1:13">
      <c r="A8818" t="s">
        <v>852</v>
      </c>
      <c r="B8818" t="s">
        <v>853</v>
      </c>
      <c r="C8818" t="s">
        <v>853</v>
      </c>
      <c r="D8818" t="s">
        <v>3185</v>
      </c>
      <c r="E8818" t="s">
        <v>660</v>
      </c>
      <c r="F8818" t="s">
        <v>40</v>
      </c>
      <c r="G8818">
        <v>2050</v>
      </c>
      <c r="H8818" s="12">
        <v>26561</v>
      </c>
      <c r="I8818" t="s">
        <v>3183</v>
      </c>
      <c r="J8818" t="s">
        <v>6</v>
      </c>
      <c r="K8818" t="s">
        <v>657</v>
      </c>
      <c r="L8818" t="s">
        <v>20</v>
      </c>
      <c r="M8818" t="s">
        <v>857</v>
      </c>
    </row>
    <row r="8819" spans="1:13">
      <c r="A8819" t="s">
        <v>852</v>
      </c>
      <c r="B8819" t="s">
        <v>853</v>
      </c>
      <c r="C8819" t="s">
        <v>853</v>
      </c>
      <c r="D8819" t="s">
        <v>3185</v>
      </c>
      <c r="E8819" t="s">
        <v>660</v>
      </c>
      <c r="F8819" t="s">
        <v>40</v>
      </c>
      <c r="G8819">
        <v>2010</v>
      </c>
      <c r="H8819" s="12">
        <v>173069</v>
      </c>
      <c r="I8819" t="s">
        <v>3183</v>
      </c>
      <c r="J8819" t="s">
        <v>394</v>
      </c>
      <c r="K8819" t="s">
        <v>657</v>
      </c>
      <c r="L8819" t="s">
        <v>20</v>
      </c>
      <c r="M8819" t="s">
        <v>16</v>
      </c>
    </row>
    <row r="8820" spans="1:13">
      <c r="A8820" t="s">
        <v>852</v>
      </c>
      <c r="B8820" t="s">
        <v>853</v>
      </c>
      <c r="C8820" t="s">
        <v>853</v>
      </c>
      <c r="D8820" t="s">
        <v>3185</v>
      </c>
      <c r="E8820" t="s">
        <v>660</v>
      </c>
      <c r="F8820" t="s">
        <v>40</v>
      </c>
      <c r="G8820">
        <v>2015</v>
      </c>
      <c r="H8820" s="12">
        <v>182786</v>
      </c>
      <c r="I8820" t="s">
        <v>3183</v>
      </c>
      <c r="J8820" t="s">
        <v>394</v>
      </c>
      <c r="K8820" t="s">
        <v>657</v>
      </c>
      <c r="L8820" t="s">
        <v>20</v>
      </c>
      <c r="M8820" t="s">
        <v>16</v>
      </c>
    </row>
    <row r="8821" spans="1:13">
      <c r="A8821" t="s">
        <v>852</v>
      </c>
      <c r="B8821" t="s">
        <v>853</v>
      </c>
      <c r="C8821" t="s">
        <v>853</v>
      </c>
      <c r="D8821" t="s">
        <v>3185</v>
      </c>
      <c r="E8821" t="s">
        <v>660</v>
      </c>
      <c r="F8821" t="s">
        <v>40</v>
      </c>
      <c r="G8821">
        <v>2020</v>
      </c>
      <c r="H8821" s="12">
        <v>172214</v>
      </c>
      <c r="I8821" t="s">
        <v>3183</v>
      </c>
      <c r="J8821" t="s">
        <v>394</v>
      </c>
      <c r="K8821" t="s">
        <v>657</v>
      </c>
      <c r="L8821" t="s">
        <v>20</v>
      </c>
      <c r="M8821" t="s">
        <v>16</v>
      </c>
    </row>
    <row r="8822" spans="1:13">
      <c r="A8822" t="s">
        <v>852</v>
      </c>
      <c r="B8822" t="s">
        <v>853</v>
      </c>
      <c r="C8822" t="s">
        <v>853</v>
      </c>
      <c r="D8822" t="s">
        <v>3185</v>
      </c>
      <c r="E8822" t="s">
        <v>660</v>
      </c>
      <c r="F8822" t="s">
        <v>40</v>
      </c>
      <c r="G8822">
        <v>2030</v>
      </c>
      <c r="H8822" s="12">
        <v>143195</v>
      </c>
      <c r="I8822" t="s">
        <v>3183</v>
      </c>
      <c r="J8822" t="s">
        <v>394</v>
      </c>
      <c r="K8822" t="s">
        <v>657</v>
      </c>
      <c r="L8822" t="s">
        <v>20</v>
      </c>
      <c r="M8822" t="s">
        <v>16</v>
      </c>
    </row>
    <row r="8823" spans="1:13">
      <c r="A8823" t="s">
        <v>852</v>
      </c>
      <c r="B8823" t="s">
        <v>853</v>
      </c>
      <c r="C8823" t="s">
        <v>853</v>
      </c>
      <c r="D8823" t="s">
        <v>3185</v>
      </c>
      <c r="E8823" t="s">
        <v>660</v>
      </c>
      <c r="F8823" t="s">
        <v>40</v>
      </c>
      <c r="G8823">
        <v>2035</v>
      </c>
      <c r="H8823" s="12">
        <v>106313</v>
      </c>
      <c r="I8823" t="s">
        <v>3183</v>
      </c>
      <c r="J8823" t="s">
        <v>394</v>
      </c>
      <c r="K8823" t="s">
        <v>657</v>
      </c>
      <c r="L8823" t="s">
        <v>20</v>
      </c>
      <c r="M8823" t="s">
        <v>16</v>
      </c>
    </row>
    <row r="8824" spans="1:13">
      <c r="A8824" t="s">
        <v>852</v>
      </c>
      <c r="B8824" t="s">
        <v>853</v>
      </c>
      <c r="C8824" t="s">
        <v>853</v>
      </c>
      <c r="D8824" t="s">
        <v>3185</v>
      </c>
      <c r="E8824" t="s">
        <v>660</v>
      </c>
      <c r="F8824" t="s">
        <v>40</v>
      </c>
      <c r="G8824">
        <v>2040</v>
      </c>
      <c r="H8824" s="12">
        <v>75728</v>
      </c>
      <c r="I8824" t="s">
        <v>3183</v>
      </c>
      <c r="J8824" t="s">
        <v>394</v>
      </c>
      <c r="K8824" t="s">
        <v>657</v>
      </c>
      <c r="L8824" t="s">
        <v>20</v>
      </c>
      <c r="M8824" t="s">
        <v>16</v>
      </c>
    </row>
    <row r="8825" spans="1:13">
      <c r="A8825" t="s">
        <v>852</v>
      </c>
      <c r="B8825" t="s">
        <v>853</v>
      </c>
      <c r="C8825" t="s">
        <v>853</v>
      </c>
      <c r="D8825" t="s">
        <v>3185</v>
      </c>
      <c r="E8825" t="s">
        <v>660</v>
      </c>
      <c r="F8825" t="s">
        <v>40</v>
      </c>
      <c r="G8825">
        <v>2045</v>
      </c>
      <c r="H8825" s="12">
        <v>53739</v>
      </c>
      <c r="I8825" t="s">
        <v>3183</v>
      </c>
      <c r="J8825" t="s">
        <v>394</v>
      </c>
      <c r="K8825" t="s">
        <v>657</v>
      </c>
      <c r="L8825" t="s">
        <v>20</v>
      </c>
      <c r="M8825" t="s">
        <v>16</v>
      </c>
    </row>
    <row r="8826" spans="1:13">
      <c r="A8826" t="s">
        <v>852</v>
      </c>
      <c r="B8826" t="s">
        <v>853</v>
      </c>
      <c r="C8826" t="s">
        <v>853</v>
      </c>
      <c r="D8826" t="s">
        <v>3185</v>
      </c>
      <c r="E8826" t="s">
        <v>660</v>
      </c>
      <c r="F8826" t="s">
        <v>40</v>
      </c>
      <c r="G8826">
        <v>2050</v>
      </c>
      <c r="H8826" s="12">
        <v>39556</v>
      </c>
      <c r="I8826" t="s">
        <v>3183</v>
      </c>
      <c r="J8826" t="s">
        <v>394</v>
      </c>
      <c r="K8826" t="s">
        <v>657</v>
      </c>
      <c r="L8826" t="s">
        <v>20</v>
      </c>
      <c r="M8826" t="s">
        <v>16</v>
      </c>
    </row>
    <row r="8827" spans="1:13">
      <c r="A8827" t="s">
        <v>852</v>
      </c>
      <c r="B8827" t="s">
        <v>853</v>
      </c>
      <c r="C8827" t="s">
        <v>853</v>
      </c>
      <c r="D8827" t="s">
        <v>3185</v>
      </c>
      <c r="E8827" t="s">
        <v>646</v>
      </c>
      <c r="F8827" t="s">
        <v>40</v>
      </c>
      <c r="G8827">
        <v>2010</v>
      </c>
      <c r="H8827" s="12">
        <v>24513</v>
      </c>
      <c r="I8827" t="s">
        <v>3183</v>
      </c>
      <c r="J8827" t="s">
        <v>394</v>
      </c>
      <c r="K8827" t="s">
        <v>272</v>
      </c>
      <c r="L8827" t="s">
        <v>20</v>
      </c>
      <c r="M8827" t="s">
        <v>16</v>
      </c>
    </row>
    <row r="8828" spans="1:13">
      <c r="A8828" t="s">
        <v>852</v>
      </c>
      <c r="B8828" t="s">
        <v>853</v>
      </c>
      <c r="C8828" t="s">
        <v>853</v>
      </c>
      <c r="D8828" t="s">
        <v>3185</v>
      </c>
      <c r="E8828" t="s">
        <v>646</v>
      </c>
      <c r="F8828" t="s">
        <v>40</v>
      </c>
      <c r="G8828">
        <v>2015</v>
      </c>
      <c r="H8828" s="12">
        <v>26323</v>
      </c>
      <c r="I8828" t="s">
        <v>3183</v>
      </c>
      <c r="J8828" t="s">
        <v>394</v>
      </c>
      <c r="K8828" t="s">
        <v>272</v>
      </c>
      <c r="L8828" t="s">
        <v>20</v>
      </c>
      <c r="M8828" t="s">
        <v>16</v>
      </c>
    </row>
    <row r="8829" spans="1:13">
      <c r="A8829" t="s">
        <v>852</v>
      </c>
      <c r="B8829" t="s">
        <v>853</v>
      </c>
      <c r="C8829" t="s">
        <v>853</v>
      </c>
      <c r="D8829" t="s">
        <v>3185</v>
      </c>
      <c r="E8829" t="s">
        <v>646</v>
      </c>
      <c r="F8829" t="s">
        <v>40</v>
      </c>
      <c r="G8829">
        <v>2020</v>
      </c>
      <c r="H8829" s="12">
        <v>29457</v>
      </c>
      <c r="I8829" t="s">
        <v>3183</v>
      </c>
      <c r="J8829" t="s">
        <v>394</v>
      </c>
      <c r="K8829" t="s">
        <v>272</v>
      </c>
      <c r="L8829" t="s">
        <v>20</v>
      </c>
      <c r="M8829" t="s">
        <v>16</v>
      </c>
    </row>
    <row r="8830" spans="1:13">
      <c r="A8830" t="s">
        <v>852</v>
      </c>
      <c r="B8830" t="s">
        <v>853</v>
      </c>
      <c r="C8830" t="s">
        <v>853</v>
      </c>
      <c r="D8830" t="s">
        <v>3185</v>
      </c>
      <c r="E8830" t="s">
        <v>646</v>
      </c>
      <c r="F8830" t="s">
        <v>40</v>
      </c>
      <c r="G8830">
        <v>2030</v>
      </c>
      <c r="H8830" s="12">
        <v>33986</v>
      </c>
      <c r="I8830" t="s">
        <v>3183</v>
      </c>
      <c r="J8830" t="s">
        <v>394</v>
      </c>
      <c r="K8830" t="s">
        <v>272</v>
      </c>
      <c r="L8830" t="s">
        <v>20</v>
      </c>
      <c r="M8830" t="s">
        <v>16</v>
      </c>
    </row>
    <row r="8831" spans="1:13">
      <c r="A8831" t="s">
        <v>852</v>
      </c>
      <c r="B8831" t="s">
        <v>853</v>
      </c>
      <c r="C8831" t="s">
        <v>853</v>
      </c>
      <c r="D8831" t="s">
        <v>3185</v>
      </c>
      <c r="E8831" t="s">
        <v>646</v>
      </c>
      <c r="F8831" t="s">
        <v>40</v>
      </c>
      <c r="G8831">
        <v>2035</v>
      </c>
      <c r="H8831" s="12">
        <v>33236</v>
      </c>
      <c r="I8831" t="s">
        <v>3183</v>
      </c>
      <c r="J8831" t="s">
        <v>394</v>
      </c>
      <c r="K8831" t="s">
        <v>272</v>
      </c>
      <c r="L8831" t="s">
        <v>20</v>
      </c>
      <c r="M8831" t="s">
        <v>16</v>
      </c>
    </row>
    <row r="8832" spans="1:13">
      <c r="A8832" t="s">
        <v>852</v>
      </c>
      <c r="B8832" t="s">
        <v>853</v>
      </c>
      <c r="C8832" t="s">
        <v>853</v>
      </c>
      <c r="D8832" t="s">
        <v>3185</v>
      </c>
      <c r="E8832" t="s">
        <v>646</v>
      </c>
      <c r="F8832" t="s">
        <v>40</v>
      </c>
      <c r="G8832">
        <v>2040</v>
      </c>
      <c r="H8832" s="12">
        <v>32111</v>
      </c>
      <c r="I8832" t="s">
        <v>3183</v>
      </c>
      <c r="J8832" t="s">
        <v>394</v>
      </c>
      <c r="K8832" t="s">
        <v>272</v>
      </c>
      <c r="L8832" t="s">
        <v>20</v>
      </c>
      <c r="M8832" t="s">
        <v>16</v>
      </c>
    </row>
    <row r="8833" spans="1:13">
      <c r="A8833" t="s">
        <v>852</v>
      </c>
      <c r="B8833" t="s">
        <v>853</v>
      </c>
      <c r="C8833" t="s">
        <v>853</v>
      </c>
      <c r="D8833" t="s">
        <v>3185</v>
      </c>
      <c r="E8833" t="s">
        <v>646</v>
      </c>
      <c r="F8833" t="s">
        <v>40</v>
      </c>
      <c r="G8833">
        <v>2045</v>
      </c>
      <c r="H8833" s="12">
        <v>30712</v>
      </c>
      <c r="I8833" t="s">
        <v>3183</v>
      </c>
      <c r="J8833" t="s">
        <v>394</v>
      </c>
      <c r="K8833" t="s">
        <v>272</v>
      </c>
      <c r="L8833" t="s">
        <v>20</v>
      </c>
      <c r="M8833" t="s">
        <v>16</v>
      </c>
    </row>
    <row r="8834" spans="1:13">
      <c r="A8834" t="s">
        <v>852</v>
      </c>
      <c r="B8834" t="s">
        <v>853</v>
      </c>
      <c r="C8834" t="s">
        <v>853</v>
      </c>
      <c r="D8834" t="s">
        <v>3185</v>
      </c>
      <c r="E8834" t="s">
        <v>646</v>
      </c>
      <c r="F8834" t="s">
        <v>40</v>
      </c>
      <c r="G8834">
        <v>2050</v>
      </c>
      <c r="H8834" s="12">
        <v>28932</v>
      </c>
      <c r="I8834" t="s">
        <v>3183</v>
      </c>
      <c r="J8834" t="s">
        <v>394</v>
      </c>
      <c r="K8834" t="s">
        <v>272</v>
      </c>
      <c r="L8834" t="s">
        <v>20</v>
      </c>
      <c r="M8834" t="s">
        <v>16</v>
      </c>
    </row>
    <row r="8835" spans="1:13">
      <c r="A8835" t="s">
        <v>852</v>
      </c>
      <c r="B8835" t="s">
        <v>853</v>
      </c>
      <c r="C8835" t="s">
        <v>853</v>
      </c>
      <c r="D8835" t="s">
        <v>3185</v>
      </c>
      <c r="E8835" t="s">
        <v>660</v>
      </c>
      <c r="F8835" t="s">
        <v>40</v>
      </c>
      <c r="G8835">
        <v>2010</v>
      </c>
      <c r="H8835" s="12">
        <v>153023</v>
      </c>
      <c r="I8835" t="s">
        <v>3183</v>
      </c>
      <c r="J8835" t="s">
        <v>5</v>
      </c>
      <c r="K8835" t="s">
        <v>657</v>
      </c>
      <c r="L8835" t="s">
        <v>20</v>
      </c>
      <c r="M8835" t="s">
        <v>665</v>
      </c>
    </row>
    <row r="8836" spans="1:13">
      <c r="A8836" t="s">
        <v>852</v>
      </c>
      <c r="B8836" t="s">
        <v>853</v>
      </c>
      <c r="C8836" t="s">
        <v>853</v>
      </c>
      <c r="D8836" t="s">
        <v>3185</v>
      </c>
      <c r="E8836" t="s">
        <v>660</v>
      </c>
      <c r="F8836" t="s">
        <v>40</v>
      </c>
      <c r="G8836">
        <v>2015</v>
      </c>
      <c r="H8836" s="12">
        <v>160861</v>
      </c>
      <c r="I8836" t="s">
        <v>3183</v>
      </c>
      <c r="J8836" t="s">
        <v>5</v>
      </c>
      <c r="K8836" t="s">
        <v>657</v>
      </c>
      <c r="L8836" t="s">
        <v>20</v>
      </c>
      <c r="M8836" t="s">
        <v>665</v>
      </c>
    </row>
    <row r="8837" spans="1:13">
      <c r="A8837" t="s">
        <v>852</v>
      </c>
      <c r="B8837" t="s">
        <v>853</v>
      </c>
      <c r="C8837" t="s">
        <v>853</v>
      </c>
      <c r="D8837" t="s">
        <v>3185</v>
      </c>
      <c r="E8837" t="s">
        <v>660</v>
      </c>
      <c r="F8837" t="s">
        <v>40</v>
      </c>
      <c r="G8837">
        <v>2020</v>
      </c>
      <c r="H8837" s="12">
        <v>156753</v>
      </c>
      <c r="I8837" t="s">
        <v>3183</v>
      </c>
      <c r="J8837" t="s">
        <v>5</v>
      </c>
      <c r="K8837" t="s">
        <v>657</v>
      </c>
      <c r="L8837" t="s">
        <v>20</v>
      </c>
      <c r="M8837" t="s">
        <v>665</v>
      </c>
    </row>
    <row r="8838" spans="1:13">
      <c r="A8838" t="s">
        <v>852</v>
      </c>
      <c r="B8838" t="s">
        <v>853</v>
      </c>
      <c r="C8838" t="s">
        <v>853</v>
      </c>
      <c r="D8838" t="s">
        <v>3185</v>
      </c>
      <c r="E8838" t="s">
        <v>660</v>
      </c>
      <c r="F8838" t="s">
        <v>40</v>
      </c>
      <c r="G8838">
        <v>2030</v>
      </c>
      <c r="H8838" s="12">
        <v>85555</v>
      </c>
      <c r="I8838" t="s">
        <v>3183</v>
      </c>
      <c r="J8838" t="s">
        <v>5</v>
      </c>
      <c r="K8838" t="s">
        <v>657</v>
      </c>
      <c r="L8838" t="s">
        <v>20</v>
      </c>
      <c r="M8838" t="s">
        <v>665</v>
      </c>
    </row>
    <row r="8839" spans="1:13">
      <c r="A8839" t="s">
        <v>852</v>
      </c>
      <c r="B8839" t="s">
        <v>853</v>
      </c>
      <c r="C8839" t="s">
        <v>853</v>
      </c>
      <c r="D8839" t="s">
        <v>3185</v>
      </c>
      <c r="E8839" t="s">
        <v>660</v>
      </c>
      <c r="F8839" t="s">
        <v>40</v>
      </c>
      <c r="G8839">
        <v>2035</v>
      </c>
      <c r="H8839" s="12">
        <v>46033</v>
      </c>
      <c r="I8839" t="s">
        <v>3183</v>
      </c>
      <c r="J8839" t="s">
        <v>5</v>
      </c>
      <c r="K8839" t="s">
        <v>657</v>
      </c>
      <c r="L8839" t="s">
        <v>20</v>
      </c>
      <c r="M8839" t="s">
        <v>665</v>
      </c>
    </row>
    <row r="8840" spans="1:13">
      <c r="A8840" t="s">
        <v>852</v>
      </c>
      <c r="B8840" t="s">
        <v>853</v>
      </c>
      <c r="C8840" t="s">
        <v>853</v>
      </c>
      <c r="D8840" t="s">
        <v>3185</v>
      </c>
      <c r="E8840" t="s">
        <v>660</v>
      </c>
      <c r="F8840" t="s">
        <v>40</v>
      </c>
      <c r="G8840">
        <v>2040</v>
      </c>
      <c r="H8840" s="12">
        <v>14577</v>
      </c>
      <c r="I8840" t="s">
        <v>3183</v>
      </c>
      <c r="J8840" t="s">
        <v>5</v>
      </c>
      <c r="K8840" t="s">
        <v>657</v>
      </c>
      <c r="L8840" t="s">
        <v>20</v>
      </c>
      <c r="M8840" t="s">
        <v>665</v>
      </c>
    </row>
    <row r="8841" spans="1:13">
      <c r="A8841" t="s">
        <v>852</v>
      </c>
      <c r="B8841" t="s">
        <v>853</v>
      </c>
      <c r="C8841" t="s">
        <v>853</v>
      </c>
      <c r="D8841" t="s">
        <v>3185</v>
      </c>
      <c r="E8841" t="s">
        <v>660</v>
      </c>
      <c r="F8841" t="s">
        <v>40</v>
      </c>
      <c r="G8841">
        <v>2045</v>
      </c>
      <c r="H8841" s="12">
        <v>6718</v>
      </c>
      <c r="I8841" t="s">
        <v>3183</v>
      </c>
      <c r="J8841" t="s">
        <v>5</v>
      </c>
      <c r="K8841" t="s">
        <v>657</v>
      </c>
      <c r="L8841" t="s">
        <v>20</v>
      </c>
      <c r="M8841" t="s">
        <v>665</v>
      </c>
    </row>
    <row r="8842" spans="1:13">
      <c r="A8842" t="s">
        <v>852</v>
      </c>
      <c r="B8842" t="s">
        <v>853</v>
      </c>
      <c r="C8842" t="s">
        <v>853</v>
      </c>
      <c r="D8842" t="s">
        <v>3185</v>
      </c>
      <c r="E8842" t="s">
        <v>660</v>
      </c>
      <c r="F8842" t="s">
        <v>40</v>
      </c>
      <c r="G8842">
        <v>2050</v>
      </c>
      <c r="H8842" s="12">
        <v>1761</v>
      </c>
      <c r="I8842" t="s">
        <v>3183</v>
      </c>
      <c r="J8842" t="s">
        <v>5</v>
      </c>
      <c r="K8842" t="s">
        <v>657</v>
      </c>
      <c r="L8842" t="s">
        <v>20</v>
      </c>
      <c r="M8842" t="s">
        <v>665</v>
      </c>
    </row>
    <row r="8843" spans="1:13">
      <c r="A8843" t="s">
        <v>852</v>
      </c>
      <c r="B8843" t="s">
        <v>853</v>
      </c>
      <c r="C8843" t="s">
        <v>853</v>
      </c>
      <c r="D8843" t="s">
        <v>3185</v>
      </c>
      <c r="E8843" t="s">
        <v>660</v>
      </c>
      <c r="F8843" t="s">
        <v>40</v>
      </c>
      <c r="G8843">
        <v>2010</v>
      </c>
      <c r="H8843" s="12">
        <v>0</v>
      </c>
      <c r="I8843" t="s">
        <v>3183</v>
      </c>
      <c r="J8843" t="s">
        <v>5</v>
      </c>
      <c r="K8843" t="s">
        <v>657</v>
      </c>
      <c r="L8843" t="s">
        <v>20</v>
      </c>
      <c r="M8843" t="s">
        <v>858</v>
      </c>
    </row>
    <row r="8844" spans="1:13">
      <c r="A8844" t="s">
        <v>852</v>
      </c>
      <c r="B8844" t="s">
        <v>853</v>
      </c>
      <c r="C8844" t="s">
        <v>853</v>
      </c>
      <c r="D8844" t="s">
        <v>3185</v>
      </c>
      <c r="E8844" t="s">
        <v>660</v>
      </c>
      <c r="F8844" t="s">
        <v>40</v>
      </c>
      <c r="G8844">
        <v>2015</v>
      </c>
      <c r="H8844" s="12">
        <v>8</v>
      </c>
      <c r="I8844" t="s">
        <v>3183</v>
      </c>
      <c r="J8844" t="s">
        <v>5</v>
      </c>
      <c r="K8844" t="s">
        <v>657</v>
      </c>
      <c r="L8844" t="s">
        <v>20</v>
      </c>
      <c r="M8844" t="s">
        <v>858</v>
      </c>
    </row>
    <row r="8845" spans="1:13">
      <c r="A8845" t="s">
        <v>852</v>
      </c>
      <c r="B8845" t="s">
        <v>853</v>
      </c>
      <c r="C8845" t="s">
        <v>853</v>
      </c>
      <c r="D8845" t="s">
        <v>3185</v>
      </c>
      <c r="E8845" t="s">
        <v>660</v>
      </c>
      <c r="F8845" t="s">
        <v>40</v>
      </c>
      <c r="G8845">
        <v>2020</v>
      </c>
      <c r="H8845" s="12">
        <v>9</v>
      </c>
      <c r="I8845" t="s">
        <v>3183</v>
      </c>
      <c r="J8845" t="s">
        <v>5</v>
      </c>
      <c r="K8845" t="s">
        <v>657</v>
      </c>
      <c r="L8845" t="s">
        <v>20</v>
      </c>
      <c r="M8845" t="s">
        <v>858</v>
      </c>
    </row>
    <row r="8846" spans="1:13">
      <c r="A8846" t="s">
        <v>852</v>
      </c>
      <c r="B8846" t="s">
        <v>853</v>
      </c>
      <c r="C8846" t="s">
        <v>853</v>
      </c>
      <c r="D8846" t="s">
        <v>3185</v>
      </c>
      <c r="E8846" t="s">
        <v>660</v>
      </c>
      <c r="F8846" t="s">
        <v>40</v>
      </c>
      <c r="G8846">
        <v>2030</v>
      </c>
      <c r="H8846" s="12">
        <v>3094</v>
      </c>
      <c r="I8846" t="s">
        <v>3183</v>
      </c>
      <c r="J8846" t="s">
        <v>5</v>
      </c>
      <c r="K8846" t="s">
        <v>657</v>
      </c>
      <c r="L8846" t="s">
        <v>20</v>
      </c>
      <c r="M8846" t="s">
        <v>858</v>
      </c>
    </row>
    <row r="8847" spans="1:13">
      <c r="A8847" t="s">
        <v>852</v>
      </c>
      <c r="B8847" t="s">
        <v>853</v>
      </c>
      <c r="C8847" t="s">
        <v>853</v>
      </c>
      <c r="D8847" t="s">
        <v>3185</v>
      </c>
      <c r="E8847" t="s">
        <v>660</v>
      </c>
      <c r="F8847" t="s">
        <v>40</v>
      </c>
      <c r="G8847">
        <v>2035</v>
      </c>
      <c r="H8847" s="12">
        <v>8528</v>
      </c>
      <c r="I8847" t="s">
        <v>3183</v>
      </c>
      <c r="J8847" t="s">
        <v>5</v>
      </c>
      <c r="K8847" t="s">
        <v>657</v>
      </c>
      <c r="L8847" t="s">
        <v>20</v>
      </c>
      <c r="M8847" t="s">
        <v>858</v>
      </c>
    </row>
    <row r="8848" spans="1:13">
      <c r="A8848" t="s">
        <v>852</v>
      </c>
      <c r="B8848" t="s">
        <v>853</v>
      </c>
      <c r="C8848" t="s">
        <v>853</v>
      </c>
      <c r="D8848" t="s">
        <v>3185</v>
      </c>
      <c r="E8848" t="s">
        <v>660</v>
      </c>
      <c r="F8848" t="s">
        <v>40</v>
      </c>
      <c r="G8848">
        <v>2040</v>
      </c>
      <c r="H8848" s="12">
        <v>12629</v>
      </c>
      <c r="I8848" t="s">
        <v>3183</v>
      </c>
      <c r="J8848" t="s">
        <v>5</v>
      </c>
      <c r="K8848" t="s">
        <v>657</v>
      </c>
      <c r="L8848" t="s">
        <v>20</v>
      </c>
      <c r="M8848" t="s">
        <v>858</v>
      </c>
    </row>
    <row r="8849" spans="1:13">
      <c r="A8849" t="s">
        <v>852</v>
      </c>
      <c r="B8849" t="s">
        <v>853</v>
      </c>
      <c r="C8849" t="s">
        <v>853</v>
      </c>
      <c r="D8849" t="s">
        <v>3185</v>
      </c>
      <c r="E8849" t="s">
        <v>660</v>
      </c>
      <c r="F8849" t="s">
        <v>40</v>
      </c>
      <c r="G8849">
        <v>2045</v>
      </c>
      <c r="H8849" s="12">
        <v>13586</v>
      </c>
      <c r="I8849" t="s">
        <v>3183</v>
      </c>
      <c r="J8849" t="s">
        <v>5</v>
      </c>
      <c r="K8849" t="s">
        <v>657</v>
      </c>
      <c r="L8849" t="s">
        <v>20</v>
      </c>
      <c r="M8849" t="s">
        <v>858</v>
      </c>
    </row>
    <row r="8850" spans="1:13">
      <c r="A8850" t="s">
        <v>852</v>
      </c>
      <c r="B8850" t="s">
        <v>853</v>
      </c>
      <c r="C8850" t="s">
        <v>853</v>
      </c>
      <c r="D8850" t="s">
        <v>3185</v>
      </c>
      <c r="E8850" t="s">
        <v>660</v>
      </c>
      <c r="F8850" t="s">
        <v>40</v>
      </c>
      <c r="G8850">
        <v>2050</v>
      </c>
      <c r="H8850" s="12">
        <v>13989</v>
      </c>
      <c r="I8850" t="s">
        <v>3183</v>
      </c>
      <c r="J8850" t="s">
        <v>5</v>
      </c>
      <c r="K8850" t="s">
        <v>657</v>
      </c>
      <c r="L8850" t="s">
        <v>20</v>
      </c>
      <c r="M8850" t="s">
        <v>858</v>
      </c>
    </row>
    <row r="8851" spans="1:13">
      <c r="A8851" t="s">
        <v>852</v>
      </c>
      <c r="B8851" t="s">
        <v>853</v>
      </c>
      <c r="C8851" t="s">
        <v>853</v>
      </c>
      <c r="D8851" t="s">
        <v>3185</v>
      </c>
      <c r="E8851" t="s">
        <v>573</v>
      </c>
      <c r="F8851" t="s">
        <v>40</v>
      </c>
      <c r="G8851">
        <v>2010</v>
      </c>
      <c r="H8851" s="12">
        <v>115</v>
      </c>
      <c r="I8851" t="s">
        <v>3183</v>
      </c>
      <c r="J8851" t="s">
        <v>17</v>
      </c>
      <c r="K8851" t="s">
        <v>147</v>
      </c>
      <c r="L8851" t="s">
        <v>20</v>
      </c>
      <c r="M8851" t="s">
        <v>671</v>
      </c>
    </row>
    <row r="8852" spans="1:13">
      <c r="A8852" t="s">
        <v>852</v>
      </c>
      <c r="B8852" t="s">
        <v>853</v>
      </c>
      <c r="C8852" t="s">
        <v>853</v>
      </c>
      <c r="D8852" t="s">
        <v>3185</v>
      </c>
      <c r="E8852" t="s">
        <v>573</v>
      </c>
      <c r="F8852" t="s">
        <v>40</v>
      </c>
      <c r="G8852">
        <v>2015</v>
      </c>
      <c r="H8852" s="12">
        <v>881</v>
      </c>
      <c r="I8852" t="s">
        <v>3183</v>
      </c>
      <c r="J8852" t="s">
        <v>17</v>
      </c>
      <c r="K8852" t="s">
        <v>147</v>
      </c>
      <c r="L8852" t="s">
        <v>20</v>
      </c>
      <c r="M8852" t="s">
        <v>671</v>
      </c>
    </row>
    <row r="8853" spans="1:13">
      <c r="A8853" t="s">
        <v>852</v>
      </c>
      <c r="B8853" t="s">
        <v>853</v>
      </c>
      <c r="C8853" t="s">
        <v>853</v>
      </c>
      <c r="D8853" t="s">
        <v>3185</v>
      </c>
      <c r="E8853" t="s">
        <v>573</v>
      </c>
      <c r="F8853" t="s">
        <v>40</v>
      </c>
      <c r="G8853">
        <v>2020</v>
      </c>
      <c r="H8853" s="12">
        <v>2966</v>
      </c>
      <c r="I8853" t="s">
        <v>3183</v>
      </c>
      <c r="J8853" t="s">
        <v>17</v>
      </c>
      <c r="K8853" t="s">
        <v>147</v>
      </c>
      <c r="L8853" t="s">
        <v>20</v>
      </c>
      <c r="M8853" t="s">
        <v>671</v>
      </c>
    </row>
    <row r="8854" spans="1:13">
      <c r="A8854" t="s">
        <v>852</v>
      </c>
      <c r="B8854" t="s">
        <v>853</v>
      </c>
      <c r="C8854" t="s">
        <v>853</v>
      </c>
      <c r="D8854" t="s">
        <v>3185</v>
      </c>
      <c r="E8854" t="s">
        <v>573</v>
      </c>
      <c r="F8854" t="s">
        <v>40</v>
      </c>
      <c r="G8854">
        <v>2030</v>
      </c>
      <c r="H8854" s="12">
        <v>27186</v>
      </c>
      <c r="I8854" t="s">
        <v>3183</v>
      </c>
      <c r="J8854" t="s">
        <v>17</v>
      </c>
      <c r="K8854" t="s">
        <v>147</v>
      </c>
      <c r="L8854" t="s">
        <v>20</v>
      </c>
      <c r="M8854" t="s">
        <v>671</v>
      </c>
    </row>
    <row r="8855" spans="1:13">
      <c r="A8855" t="s">
        <v>852</v>
      </c>
      <c r="B8855" t="s">
        <v>853</v>
      </c>
      <c r="C8855" t="s">
        <v>853</v>
      </c>
      <c r="D8855" t="s">
        <v>3185</v>
      </c>
      <c r="E8855" t="s">
        <v>573</v>
      </c>
      <c r="F8855" t="s">
        <v>40</v>
      </c>
      <c r="G8855">
        <v>2035</v>
      </c>
      <c r="H8855" s="12">
        <v>48613</v>
      </c>
      <c r="I8855" t="s">
        <v>3183</v>
      </c>
      <c r="J8855" t="s">
        <v>17</v>
      </c>
      <c r="K8855" t="s">
        <v>147</v>
      </c>
      <c r="L8855" t="s">
        <v>20</v>
      </c>
      <c r="M8855" t="s">
        <v>671</v>
      </c>
    </row>
    <row r="8856" spans="1:13">
      <c r="A8856" t="s">
        <v>852</v>
      </c>
      <c r="B8856" t="s">
        <v>853</v>
      </c>
      <c r="C8856" t="s">
        <v>853</v>
      </c>
      <c r="D8856" t="s">
        <v>3185</v>
      </c>
      <c r="E8856" t="s">
        <v>573</v>
      </c>
      <c r="F8856" t="s">
        <v>40</v>
      </c>
      <c r="G8856">
        <v>2040</v>
      </c>
      <c r="H8856" s="12">
        <v>69259</v>
      </c>
      <c r="I8856" t="s">
        <v>3183</v>
      </c>
      <c r="J8856" t="s">
        <v>17</v>
      </c>
      <c r="K8856" t="s">
        <v>147</v>
      </c>
      <c r="L8856" t="s">
        <v>20</v>
      </c>
      <c r="M8856" t="s">
        <v>671</v>
      </c>
    </row>
    <row r="8857" spans="1:13">
      <c r="A8857" t="s">
        <v>852</v>
      </c>
      <c r="B8857" t="s">
        <v>853</v>
      </c>
      <c r="C8857" t="s">
        <v>853</v>
      </c>
      <c r="D8857" t="s">
        <v>3185</v>
      </c>
      <c r="E8857" t="s">
        <v>573</v>
      </c>
      <c r="F8857" t="s">
        <v>40</v>
      </c>
      <c r="G8857">
        <v>2045</v>
      </c>
      <c r="H8857" s="12">
        <v>85516</v>
      </c>
      <c r="I8857" t="s">
        <v>3183</v>
      </c>
      <c r="J8857" t="s">
        <v>17</v>
      </c>
      <c r="K8857" t="s">
        <v>147</v>
      </c>
      <c r="L8857" t="s">
        <v>20</v>
      </c>
      <c r="M8857" t="s">
        <v>671</v>
      </c>
    </row>
    <row r="8858" spans="1:13">
      <c r="A8858" t="s">
        <v>852</v>
      </c>
      <c r="B8858" t="s">
        <v>853</v>
      </c>
      <c r="C8858" t="s">
        <v>853</v>
      </c>
      <c r="D8858" t="s">
        <v>3185</v>
      </c>
      <c r="E8858" t="s">
        <v>573</v>
      </c>
      <c r="F8858" t="s">
        <v>40</v>
      </c>
      <c r="G8858">
        <v>2050</v>
      </c>
      <c r="H8858" s="12">
        <v>97223</v>
      </c>
      <c r="I8858" t="s">
        <v>3183</v>
      </c>
      <c r="J8858" t="s">
        <v>17</v>
      </c>
      <c r="K8858" t="s">
        <v>147</v>
      </c>
      <c r="L8858" t="s">
        <v>20</v>
      </c>
      <c r="M8858" t="s">
        <v>671</v>
      </c>
    </row>
    <row r="8859" spans="1:13">
      <c r="A8859" t="s">
        <v>852</v>
      </c>
      <c r="B8859" t="s">
        <v>853</v>
      </c>
      <c r="C8859" t="s">
        <v>853</v>
      </c>
      <c r="D8859" t="s">
        <v>3185</v>
      </c>
      <c r="E8859" t="s">
        <v>573</v>
      </c>
      <c r="F8859" t="s">
        <v>40</v>
      </c>
      <c r="G8859">
        <v>2010</v>
      </c>
      <c r="H8859" s="12">
        <v>1232</v>
      </c>
      <c r="I8859" t="s">
        <v>3183</v>
      </c>
      <c r="J8859" t="s">
        <v>18</v>
      </c>
      <c r="K8859" t="s">
        <v>147</v>
      </c>
      <c r="L8859" t="s">
        <v>20</v>
      </c>
      <c r="M8859" t="s">
        <v>18</v>
      </c>
    </row>
    <row r="8860" spans="1:13">
      <c r="A8860" t="s">
        <v>852</v>
      </c>
      <c r="B8860" t="s">
        <v>853</v>
      </c>
      <c r="C8860" t="s">
        <v>853</v>
      </c>
      <c r="D8860" t="s">
        <v>3185</v>
      </c>
      <c r="E8860" t="s">
        <v>573</v>
      </c>
      <c r="F8860" t="s">
        <v>40</v>
      </c>
      <c r="G8860">
        <v>2015</v>
      </c>
      <c r="H8860" s="12">
        <v>3002</v>
      </c>
      <c r="I8860" t="s">
        <v>3183</v>
      </c>
      <c r="J8860" t="s">
        <v>18</v>
      </c>
      <c r="K8860" t="s">
        <v>147</v>
      </c>
      <c r="L8860" t="s">
        <v>20</v>
      </c>
      <c r="M8860" t="s">
        <v>18</v>
      </c>
    </row>
    <row r="8861" spans="1:13">
      <c r="A8861" t="s">
        <v>852</v>
      </c>
      <c r="B8861" t="s">
        <v>853</v>
      </c>
      <c r="C8861" t="s">
        <v>853</v>
      </c>
      <c r="D8861" t="s">
        <v>3185</v>
      </c>
      <c r="E8861" t="s">
        <v>573</v>
      </c>
      <c r="F8861" t="s">
        <v>40</v>
      </c>
      <c r="G8861">
        <v>2020</v>
      </c>
      <c r="H8861" s="12">
        <v>5753</v>
      </c>
      <c r="I8861" t="s">
        <v>3183</v>
      </c>
      <c r="J8861" t="s">
        <v>18</v>
      </c>
      <c r="K8861" t="s">
        <v>147</v>
      </c>
      <c r="L8861" t="s">
        <v>20</v>
      </c>
      <c r="M8861" t="s">
        <v>18</v>
      </c>
    </row>
    <row r="8862" spans="1:13">
      <c r="A8862" t="s">
        <v>852</v>
      </c>
      <c r="B8862" t="s">
        <v>853</v>
      </c>
      <c r="C8862" t="s">
        <v>853</v>
      </c>
      <c r="D8862" t="s">
        <v>3185</v>
      </c>
      <c r="E8862" t="s">
        <v>573</v>
      </c>
      <c r="F8862" t="s">
        <v>40</v>
      </c>
      <c r="G8862">
        <v>2030</v>
      </c>
      <c r="H8862" s="12">
        <v>28223</v>
      </c>
      <c r="I8862" t="s">
        <v>3183</v>
      </c>
      <c r="J8862" t="s">
        <v>18</v>
      </c>
      <c r="K8862" t="s">
        <v>147</v>
      </c>
      <c r="L8862" t="s">
        <v>20</v>
      </c>
      <c r="M8862" t="s">
        <v>18</v>
      </c>
    </row>
    <row r="8863" spans="1:13">
      <c r="A8863" t="s">
        <v>852</v>
      </c>
      <c r="B8863" t="s">
        <v>853</v>
      </c>
      <c r="C8863" t="s">
        <v>853</v>
      </c>
      <c r="D8863" t="s">
        <v>3185</v>
      </c>
      <c r="E8863" t="s">
        <v>573</v>
      </c>
      <c r="F8863" t="s">
        <v>40</v>
      </c>
      <c r="G8863">
        <v>2035</v>
      </c>
      <c r="H8863" s="12">
        <v>48900</v>
      </c>
      <c r="I8863" t="s">
        <v>3183</v>
      </c>
      <c r="J8863" t="s">
        <v>18</v>
      </c>
      <c r="K8863" t="s">
        <v>147</v>
      </c>
      <c r="L8863" t="s">
        <v>20</v>
      </c>
      <c r="M8863" t="s">
        <v>18</v>
      </c>
    </row>
    <row r="8864" spans="1:13">
      <c r="A8864" t="s">
        <v>852</v>
      </c>
      <c r="B8864" t="s">
        <v>853</v>
      </c>
      <c r="C8864" t="s">
        <v>853</v>
      </c>
      <c r="D8864" t="s">
        <v>3185</v>
      </c>
      <c r="E8864" t="s">
        <v>573</v>
      </c>
      <c r="F8864" t="s">
        <v>40</v>
      </c>
      <c r="G8864">
        <v>2040</v>
      </c>
      <c r="H8864" s="12">
        <v>66797</v>
      </c>
      <c r="I8864" t="s">
        <v>3183</v>
      </c>
      <c r="J8864" t="s">
        <v>18</v>
      </c>
      <c r="K8864" t="s">
        <v>147</v>
      </c>
      <c r="L8864" t="s">
        <v>20</v>
      </c>
      <c r="M8864" t="s">
        <v>18</v>
      </c>
    </row>
    <row r="8865" spans="1:13">
      <c r="A8865" t="s">
        <v>852</v>
      </c>
      <c r="B8865" t="s">
        <v>853</v>
      </c>
      <c r="C8865" t="s">
        <v>853</v>
      </c>
      <c r="D8865" t="s">
        <v>3185</v>
      </c>
      <c r="E8865" t="s">
        <v>573</v>
      </c>
      <c r="F8865" t="s">
        <v>40</v>
      </c>
      <c r="G8865">
        <v>2045</v>
      </c>
      <c r="H8865" s="12">
        <v>77015</v>
      </c>
      <c r="I8865" t="s">
        <v>3183</v>
      </c>
      <c r="J8865" t="s">
        <v>18</v>
      </c>
      <c r="K8865" t="s">
        <v>147</v>
      </c>
      <c r="L8865" t="s">
        <v>20</v>
      </c>
      <c r="M8865" t="s">
        <v>18</v>
      </c>
    </row>
    <row r="8866" spans="1:13">
      <c r="A8866" t="s">
        <v>852</v>
      </c>
      <c r="B8866" t="s">
        <v>853</v>
      </c>
      <c r="C8866" t="s">
        <v>853</v>
      </c>
      <c r="D8866" t="s">
        <v>3185</v>
      </c>
      <c r="E8866" t="s">
        <v>573</v>
      </c>
      <c r="F8866" t="s">
        <v>40</v>
      </c>
      <c r="G8866">
        <v>2050</v>
      </c>
      <c r="H8866" s="12">
        <v>84551</v>
      </c>
      <c r="I8866" t="s">
        <v>3183</v>
      </c>
      <c r="J8866" t="s">
        <v>18</v>
      </c>
      <c r="K8866" t="s">
        <v>147</v>
      </c>
      <c r="L8866" t="s">
        <v>20</v>
      </c>
      <c r="M8866" t="s">
        <v>18</v>
      </c>
    </row>
    <row r="8867" spans="1:13">
      <c r="A8867" t="s">
        <v>852</v>
      </c>
      <c r="B8867" t="s">
        <v>853</v>
      </c>
      <c r="C8867" t="s">
        <v>853</v>
      </c>
      <c r="D8867" t="s">
        <v>3185</v>
      </c>
      <c r="E8867" t="s">
        <v>573</v>
      </c>
      <c r="F8867" t="s">
        <v>40</v>
      </c>
      <c r="G8867">
        <v>2010</v>
      </c>
      <c r="H8867" s="12">
        <v>12415</v>
      </c>
      <c r="I8867" t="s">
        <v>3183</v>
      </c>
      <c r="J8867" t="s">
        <v>14</v>
      </c>
      <c r="K8867" t="s">
        <v>147</v>
      </c>
      <c r="L8867" t="s">
        <v>20</v>
      </c>
      <c r="M8867" t="s">
        <v>14</v>
      </c>
    </row>
    <row r="8868" spans="1:13">
      <c r="A8868" t="s">
        <v>852</v>
      </c>
      <c r="B8868" t="s">
        <v>853</v>
      </c>
      <c r="C8868" t="s">
        <v>853</v>
      </c>
      <c r="D8868" t="s">
        <v>3185</v>
      </c>
      <c r="E8868" t="s">
        <v>573</v>
      </c>
      <c r="F8868" t="s">
        <v>40</v>
      </c>
      <c r="G8868">
        <v>2015</v>
      </c>
      <c r="H8868" s="12">
        <v>14016</v>
      </c>
      <c r="I8868" t="s">
        <v>3183</v>
      </c>
      <c r="J8868" t="s">
        <v>14</v>
      </c>
      <c r="K8868" t="s">
        <v>147</v>
      </c>
      <c r="L8868" t="s">
        <v>20</v>
      </c>
      <c r="M8868" t="s">
        <v>14</v>
      </c>
    </row>
    <row r="8869" spans="1:13">
      <c r="A8869" t="s">
        <v>852</v>
      </c>
      <c r="B8869" t="s">
        <v>853</v>
      </c>
      <c r="C8869" t="s">
        <v>853</v>
      </c>
      <c r="D8869" t="s">
        <v>3185</v>
      </c>
      <c r="E8869" t="s">
        <v>573</v>
      </c>
      <c r="F8869" t="s">
        <v>40</v>
      </c>
      <c r="G8869">
        <v>2020</v>
      </c>
      <c r="H8869" s="12">
        <v>15634</v>
      </c>
      <c r="I8869" t="s">
        <v>3183</v>
      </c>
      <c r="J8869" t="s">
        <v>14</v>
      </c>
      <c r="K8869" t="s">
        <v>147</v>
      </c>
      <c r="L8869" t="s">
        <v>20</v>
      </c>
      <c r="M8869" t="s">
        <v>14</v>
      </c>
    </row>
    <row r="8870" spans="1:13">
      <c r="A8870" t="s">
        <v>852</v>
      </c>
      <c r="B8870" t="s">
        <v>853</v>
      </c>
      <c r="C8870" t="s">
        <v>853</v>
      </c>
      <c r="D8870" t="s">
        <v>3185</v>
      </c>
      <c r="E8870" t="s">
        <v>573</v>
      </c>
      <c r="F8870" t="s">
        <v>40</v>
      </c>
      <c r="G8870">
        <v>2030</v>
      </c>
      <c r="H8870" s="12">
        <v>20609</v>
      </c>
      <c r="I8870" t="s">
        <v>3183</v>
      </c>
      <c r="J8870" t="s">
        <v>14</v>
      </c>
      <c r="K8870" t="s">
        <v>147</v>
      </c>
      <c r="L8870" t="s">
        <v>20</v>
      </c>
      <c r="M8870" t="s">
        <v>14</v>
      </c>
    </row>
    <row r="8871" spans="1:13">
      <c r="A8871" t="s">
        <v>852</v>
      </c>
      <c r="B8871" t="s">
        <v>853</v>
      </c>
      <c r="C8871" t="s">
        <v>853</v>
      </c>
      <c r="D8871" t="s">
        <v>3185</v>
      </c>
      <c r="E8871" t="s">
        <v>573</v>
      </c>
      <c r="F8871" t="s">
        <v>40</v>
      </c>
      <c r="G8871">
        <v>2035</v>
      </c>
      <c r="H8871" s="12">
        <v>24348</v>
      </c>
      <c r="I8871" t="s">
        <v>3183</v>
      </c>
      <c r="J8871" t="s">
        <v>14</v>
      </c>
      <c r="K8871" t="s">
        <v>147</v>
      </c>
      <c r="L8871" t="s">
        <v>20</v>
      </c>
      <c r="M8871" t="s">
        <v>14</v>
      </c>
    </row>
    <row r="8872" spans="1:13">
      <c r="A8872" t="s">
        <v>852</v>
      </c>
      <c r="B8872" t="s">
        <v>853</v>
      </c>
      <c r="C8872" t="s">
        <v>853</v>
      </c>
      <c r="D8872" t="s">
        <v>3185</v>
      </c>
      <c r="E8872" t="s">
        <v>573</v>
      </c>
      <c r="F8872" t="s">
        <v>40</v>
      </c>
      <c r="G8872">
        <v>2040</v>
      </c>
      <c r="H8872" s="12">
        <v>27493</v>
      </c>
      <c r="I8872" t="s">
        <v>3183</v>
      </c>
      <c r="J8872" t="s">
        <v>14</v>
      </c>
      <c r="K8872" t="s">
        <v>147</v>
      </c>
      <c r="L8872" t="s">
        <v>20</v>
      </c>
      <c r="M8872" t="s">
        <v>14</v>
      </c>
    </row>
    <row r="8873" spans="1:13">
      <c r="A8873" t="s">
        <v>852</v>
      </c>
      <c r="B8873" t="s">
        <v>853</v>
      </c>
      <c r="C8873" t="s">
        <v>853</v>
      </c>
      <c r="D8873" t="s">
        <v>3185</v>
      </c>
      <c r="E8873" t="s">
        <v>573</v>
      </c>
      <c r="F8873" t="s">
        <v>40</v>
      </c>
      <c r="G8873">
        <v>2045</v>
      </c>
      <c r="H8873" s="12">
        <v>28852</v>
      </c>
      <c r="I8873" t="s">
        <v>3183</v>
      </c>
      <c r="J8873" t="s">
        <v>14</v>
      </c>
      <c r="K8873" t="s">
        <v>147</v>
      </c>
      <c r="L8873" t="s">
        <v>20</v>
      </c>
      <c r="M8873" t="s">
        <v>14</v>
      </c>
    </row>
    <row r="8874" spans="1:13">
      <c r="A8874" t="s">
        <v>852</v>
      </c>
      <c r="B8874" t="s">
        <v>853</v>
      </c>
      <c r="C8874" t="s">
        <v>853</v>
      </c>
      <c r="D8874" t="s">
        <v>3185</v>
      </c>
      <c r="E8874" t="s">
        <v>573</v>
      </c>
      <c r="F8874" t="s">
        <v>40</v>
      </c>
      <c r="G8874">
        <v>2050</v>
      </c>
      <c r="H8874" s="12">
        <v>29704</v>
      </c>
      <c r="I8874" t="s">
        <v>3183</v>
      </c>
      <c r="J8874" t="s">
        <v>14</v>
      </c>
      <c r="K8874" t="s">
        <v>147</v>
      </c>
      <c r="L8874" t="s">
        <v>20</v>
      </c>
      <c r="M8874" t="s">
        <v>14</v>
      </c>
    </row>
    <row r="8875" spans="1:13">
      <c r="A8875" t="s">
        <v>852</v>
      </c>
      <c r="B8875" t="s">
        <v>853</v>
      </c>
      <c r="C8875" t="s">
        <v>853</v>
      </c>
      <c r="D8875" t="s">
        <v>3185</v>
      </c>
      <c r="E8875" t="s">
        <v>573</v>
      </c>
      <c r="F8875" t="s">
        <v>40</v>
      </c>
      <c r="G8875">
        <v>2010</v>
      </c>
      <c r="H8875" s="12">
        <v>4707</v>
      </c>
      <c r="I8875" t="s">
        <v>3183</v>
      </c>
      <c r="J8875" t="s">
        <v>41</v>
      </c>
      <c r="K8875" t="s">
        <v>147</v>
      </c>
      <c r="L8875" t="s">
        <v>20</v>
      </c>
      <c r="M8875" t="s">
        <v>669</v>
      </c>
    </row>
    <row r="8876" spans="1:13">
      <c r="A8876" t="s">
        <v>852</v>
      </c>
      <c r="B8876" t="s">
        <v>853</v>
      </c>
      <c r="C8876" t="s">
        <v>853</v>
      </c>
      <c r="D8876" t="s">
        <v>3185</v>
      </c>
      <c r="E8876" t="s">
        <v>573</v>
      </c>
      <c r="F8876" t="s">
        <v>40</v>
      </c>
      <c r="G8876">
        <v>2015</v>
      </c>
      <c r="H8876" s="12">
        <v>6460</v>
      </c>
      <c r="I8876" t="s">
        <v>3183</v>
      </c>
      <c r="J8876" t="s">
        <v>41</v>
      </c>
      <c r="K8876" t="s">
        <v>147</v>
      </c>
      <c r="L8876" t="s">
        <v>20</v>
      </c>
      <c r="M8876" t="s">
        <v>669</v>
      </c>
    </row>
    <row r="8877" spans="1:13">
      <c r="A8877" t="s">
        <v>852</v>
      </c>
      <c r="B8877" t="s">
        <v>853</v>
      </c>
      <c r="C8877" t="s">
        <v>853</v>
      </c>
      <c r="D8877" t="s">
        <v>3185</v>
      </c>
      <c r="E8877" t="s">
        <v>573</v>
      </c>
      <c r="F8877" t="s">
        <v>40</v>
      </c>
      <c r="G8877">
        <v>2020</v>
      </c>
      <c r="H8877" s="12">
        <v>9076</v>
      </c>
      <c r="I8877" t="s">
        <v>3183</v>
      </c>
      <c r="J8877" t="s">
        <v>41</v>
      </c>
      <c r="K8877" t="s">
        <v>147</v>
      </c>
      <c r="L8877" t="s">
        <v>20</v>
      </c>
      <c r="M8877" t="s">
        <v>669</v>
      </c>
    </row>
    <row r="8878" spans="1:13">
      <c r="A8878" t="s">
        <v>852</v>
      </c>
      <c r="B8878" t="s">
        <v>853</v>
      </c>
      <c r="C8878" t="s">
        <v>853</v>
      </c>
      <c r="D8878" t="s">
        <v>3185</v>
      </c>
      <c r="E8878" t="s">
        <v>573</v>
      </c>
      <c r="F8878" t="s">
        <v>40</v>
      </c>
      <c r="G8878">
        <v>2030</v>
      </c>
      <c r="H8878" s="12">
        <v>18151</v>
      </c>
      <c r="I8878" t="s">
        <v>3183</v>
      </c>
      <c r="J8878" t="s">
        <v>41</v>
      </c>
      <c r="K8878" t="s">
        <v>147</v>
      </c>
      <c r="L8878" t="s">
        <v>20</v>
      </c>
      <c r="M8878" t="s">
        <v>669</v>
      </c>
    </row>
    <row r="8879" spans="1:13">
      <c r="A8879" t="s">
        <v>852</v>
      </c>
      <c r="B8879" t="s">
        <v>853</v>
      </c>
      <c r="C8879" t="s">
        <v>853</v>
      </c>
      <c r="D8879" t="s">
        <v>3185</v>
      </c>
      <c r="E8879" t="s">
        <v>573</v>
      </c>
      <c r="F8879" t="s">
        <v>40</v>
      </c>
      <c r="G8879">
        <v>2035</v>
      </c>
      <c r="H8879" s="12">
        <v>26355</v>
      </c>
      <c r="I8879" t="s">
        <v>3183</v>
      </c>
      <c r="J8879" t="s">
        <v>41</v>
      </c>
      <c r="K8879" t="s">
        <v>147</v>
      </c>
      <c r="L8879" t="s">
        <v>20</v>
      </c>
      <c r="M8879" t="s">
        <v>669</v>
      </c>
    </row>
    <row r="8880" spans="1:13">
      <c r="A8880" t="s">
        <v>852</v>
      </c>
      <c r="B8880" t="s">
        <v>853</v>
      </c>
      <c r="C8880" t="s">
        <v>853</v>
      </c>
      <c r="D8880" t="s">
        <v>3185</v>
      </c>
      <c r="E8880" t="s">
        <v>573</v>
      </c>
      <c r="F8880" t="s">
        <v>40</v>
      </c>
      <c r="G8880">
        <v>2040</v>
      </c>
      <c r="H8880" s="12">
        <v>32656</v>
      </c>
      <c r="I8880" t="s">
        <v>3183</v>
      </c>
      <c r="J8880" t="s">
        <v>41</v>
      </c>
      <c r="K8880" t="s">
        <v>147</v>
      </c>
      <c r="L8880" t="s">
        <v>20</v>
      </c>
      <c r="M8880" t="s">
        <v>669</v>
      </c>
    </row>
    <row r="8881" spans="1:13">
      <c r="A8881" t="s">
        <v>852</v>
      </c>
      <c r="B8881" t="s">
        <v>853</v>
      </c>
      <c r="C8881" t="s">
        <v>853</v>
      </c>
      <c r="D8881" t="s">
        <v>3185</v>
      </c>
      <c r="E8881" t="s">
        <v>573</v>
      </c>
      <c r="F8881" t="s">
        <v>40</v>
      </c>
      <c r="G8881">
        <v>2045</v>
      </c>
      <c r="H8881" s="12">
        <v>35897</v>
      </c>
      <c r="I8881" t="s">
        <v>3183</v>
      </c>
      <c r="J8881" t="s">
        <v>41</v>
      </c>
      <c r="K8881" t="s">
        <v>147</v>
      </c>
      <c r="L8881" t="s">
        <v>20</v>
      </c>
      <c r="M8881" t="s">
        <v>669</v>
      </c>
    </row>
    <row r="8882" spans="1:13">
      <c r="A8882" t="s">
        <v>852</v>
      </c>
      <c r="B8882" t="s">
        <v>853</v>
      </c>
      <c r="C8882" t="s">
        <v>853</v>
      </c>
      <c r="D8882" t="s">
        <v>3185</v>
      </c>
      <c r="E8882" t="s">
        <v>573</v>
      </c>
      <c r="F8882" t="s">
        <v>40</v>
      </c>
      <c r="G8882">
        <v>2050</v>
      </c>
      <c r="H8882" s="12">
        <v>38090</v>
      </c>
      <c r="I8882" t="s">
        <v>3183</v>
      </c>
      <c r="J8882" t="s">
        <v>41</v>
      </c>
      <c r="K8882" t="s">
        <v>147</v>
      </c>
      <c r="L8882" t="s">
        <v>20</v>
      </c>
      <c r="M8882" t="s">
        <v>669</v>
      </c>
    </row>
    <row r="8883" spans="1:13">
      <c r="A8883" t="s">
        <v>852</v>
      </c>
      <c r="B8883" t="s">
        <v>853</v>
      </c>
      <c r="C8883" t="s">
        <v>853</v>
      </c>
      <c r="D8883" t="s">
        <v>3185</v>
      </c>
      <c r="E8883" t="s">
        <v>573</v>
      </c>
      <c r="F8883" t="s">
        <v>40</v>
      </c>
      <c r="G8883">
        <v>2010</v>
      </c>
      <c r="H8883" s="12">
        <v>0</v>
      </c>
      <c r="I8883" t="s">
        <v>3183</v>
      </c>
      <c r="J8883" t="s">
        <v>8</v>
      </c>
      <c r="K8883" t="s">
        <v>147</v>
      </c>
      <c r="L8883" t="s">
        <v>20</v>
      </c>
      <c r="M8883" t="s">
        <v>8</v>
      </c>
    </row>
    <row r="8884" spans="1:13">
      <c r="A8884" t="s">
        <v>852</v>
      </c>
      <c r="B8884" t="s">
        <v>853</v>
      </c>
      <c r="C8884" t="s">
        <v>853</v>
      </c>
      <c r="D8884" t="s">
        <v>3185</v>
      </c>
      <c r="E8884" t="s">
        <v>573</v>
      </c>
      <c r="F8884" t="s">
        <v>40</v>
      </c>
      <c r="G8884">
        <v>2015</v>
      </c>
      <c r="H8884" s="12">
        <v>0</v>
      </c>
      <c r="I8884" t="s">
        <v>3183</v>
      </c>
      <c r="J8884" t="s">
        <v>8</v>
      </c>
      <c r="K8884" t="s">
        <v>147</v>
      </c>
      <c r="L8884" t="s">
        <v>20</v>
      </c>
      <c r="M8884" t="s">
        <v>8</v>
      </c>
    </row>
    <row r="8885" spans="1:13">
      <c r="A8885" t="s">
        <v>852</v>
      </c>
      <c r="B8885" t="s">
        <v>853</v>
      </c>
      <c r="C8885" t="s">
        <v>853</v>
      </c>
      <c r="D8885" t="s">
        <v>3185</v>
      </c>
      <c r="E8885" t="s">
        <v>573</v>
      </c>
      <c r="F8885" t="s">
        <v>40</v>
      </c>
      <c r="G8885">
        <v>2020</v>
      </c>
      <c r="H8885" s="12">
        <v>0</v>
      </c>
      <c r="I8885" t="s">
        <v>3183</v>
      </c>
      <c r="J8885" t="s">
        <v>8</v>
      </c>
      <c r="K8885" t="s">
        <v>147</v>
      </c>
      <c r="L8885" t="s">
        <v>20</v>
      </c>
      <c r="M8885" t="s">
        <v>8</v>
      </c>
    </row>
    <row r="8886" spans="1:13">
      <c r="A8886" t="s">
        <v>852</v>
      </c>
      <c r="B8886" t="s">
        <v>853</v>
      </c>
      <c r="C8886" t="s">
        <v>853</v>
      </c>
      <c r="D8886" t="s">
        <v>3185</v>
      </c>
      <c r="E8886" t="s">
        <v>573</v>
      </c>
      <c r="F8886" t="s">
        <v>40</v>
      </c>
      <c r="G8886">
        <v>2030</v>
      </c>
      <c r="H8886" s="12">
        <v>3270</v>
      </c>
      <c r="I8886" t="s">
        <v>3183</v>
      </c>
      <c r="J8886" t="s">
        <v>8</v>
      </c>
      <c r="K8886" t="s">
        <v>147</v>
      </c>
      <c r="L8886" t="s">
        <v>20</v>
      </c>
      <c r="M8886" t="s">
        <v>8</v>
      </c>
    </row>
    <row r="8887" spans="1:13">
      <c r="A8887" t="s">
        <v>852</v>
      </c>
      <c r="B8887" t="s">
        <v>853</v>
      </c>
      <c r="C8887" t="s">
        <v>853</v>
      </c>
      <c r="D8887" t="s">
        <v>3185</v>
      </c>
      <c r="E8887" t="s">
        <v>573</v>
      </c>
      <c r="F8887" t="s">
        <v>40</v>
      </c>
      <c r="G8887">
        <v>2035</v>
      </c>
      <c r="H8887" s="12">
        <v>5954</v>
      </c>
      <c r="I8887" t="s">
        <v>3183</v>
      </c>
      <c r="J8887" t="s">
        <v>8</v>
      </c>
      <c r="K8887" t="s">
        <v>147</v>
      </c>
      <c r="L8887" t="s">
        <v>20</v>
      </c>
      <c r="M8887" t="s">
        <v>8</v>
      </c>
    </row>
    <row r="8888" spans="1:13">
      <c r="A8888" t="s">
        <v>852</v>
      </c>
      <c r="B8888" t="s">
        <v>853</v>
      </c>
      <c r="C8888" t="s">
        <v>853</v>
      </c>
      <c r="D8888" t="s">
        <v>3185</v>
      </c>
      <c r="E8888" t="s">
        <v>573</v>
      </c>
      <c r="F8888" t="s">
        <v>40</v>
      </c>
      <c r="G8888">
        <v>2040</v>
      </c>
      <c r="H8888" s="12">
        <v>7062</v>
      </c>
      <c r="I8888" t="s">
        <v>3183</v>
      </c>
      <c r="J8888" t="s">
        <v>8</v>
      </c>
      <c r="K8888" t="s">
        <v>147</v>
      </c>
      <c r="L8888" t="s">
        <v>20</v>
      </c>
      <c r="M8888" t="s">
        <v>8</v>
      </c>
    </row>
    <row r="8889" spans="1:13">
      <c r="A8889" t="s">
        <v>852</v>
      </c>
      <c r="B8889" t="s">
        <v>853</v>
      </c>
      <c r="C8889" t="s">
        <v>853</v>
      </c>
      <c r="D8889" t="s">
        <v>3185</v>
      </c>
      <c r="E8889" t="s">
        <v>573</v>
      </c>
      <c r="F8889" t="s">
        <v>40</v>
      </c>
      <c r="G8889">
        <v>2045</v>
      </c>
      <c r="H8889" s="12">
        <v>7196</v>
      </c>
      <c r="I8889" t="s">
        <v>3183</v>
      </c>
      <c r="J8889" t="s">
        <v>8</v>
      </c>
      <c r="K8889" t="s">
        <v>147</v>
      </c>
      <c r="L8889" t="s">
        <v>20</v>
      </c>
      <c r="M8889" t="s">
        <v>8</v>
      </c>
    </row>
    <row r="8890" spans="1:13">
      <c r="A8890" t="s">
        <v>852</v>
      </c>
      <c r="B8890" t="s">
        <v>853</v>
      </c>
      <c r="C8890" t="s">
        <v>853</v>
      </c>
      <c r="D8890" t="s">
        <v>3185</v>
      </c>
      <c r="E8890" t="s">
        <v>573</v>
      </c>
      <c r="F8890" t="s">
        <v>40</v>
      </c>
      <c r="G8890">
        <v>2050</v>
      </c>
      <c r="H8890" s="12">
        <v>7209</v>
      </c>
      <c r="I8890" t="s">
        <v>3183</v>
      </c>
      <c r="J8890" t="s">
        <v>8</v>
      </c>
      <c r="K8890" t="s">
        <v>147</v>
      </c>
      <c r="L8890" t="s">
        <v>20</v>
      </c>
      <c r="M8890" t="s">
        <v>8</v>
      </c>
    </row>
    <row r="8891" spans="1:13">
      <c r="A8891" t="s">
        <v>852</v>
      </c>
      <c r="B8891" t="s">
        <v>853</v>
      </c>
      <c r="C8891" t="s">
        <v>853</v>
      </c>
      <c r="D8891" t="s">
        <v>3185</v>
      </c>
      <c r="E8891" t="s">
        <v>573</v>
      </c>
      <c r="F8891" t="s">
        <v>40</v>
      </c>
      <c r="G8891">
        <v>2010</v>
      </c>
      <c r="H8891" s="12">
        <v>0</v>
      </c>
      <c r="I8891" t="s">
        <v>3183</v>
      </c>
      <c r="J8891" t="s">
        <v>8</v>
      </c>
      <c r="K8891" t="s">
        <v>147</v>
      </c>
      <c r="L8891" t="s">
        <v>20</v>
      </c>
      <c r="M8891" t="s">
        <v>859</v>
      </c>
    </row>
    <row r="8892" spans="1:13">
      <c r="A8892" t="s">
        <v>852</v>
      </c>
      <c r="B8892" t="s">
        <v>853</v>
      </c>
      <c r="C8892" t="s">
        <v>853</v>
      </c>
      <c r="D8892" t="s">
        <v>3185</v>
      </c>
      <c r="E8892" t="s">
        <v>573</v>
      </c>
      <c r="F8892" t="s">
        <v>40</v>
      </c>
      <c r="G8892">
        <v>2015</v>
      </c>
      <c r="H8892" s="12">
        <v>0</v>
      </c>
      <c r="I8892" t="s">
        <v>3183</v>
      </c>
      <c r="J8892" t="s">
        <v>8</v>
      </c>
      <c r="K8892" t="s">
        <v>147</v>
      </c>
      <c r="L8892" t="s">
        <v>20</v>
      </c>
      <c r="M8892" t="s">
        <v>859</v>
      </c>
    </row>
    <row r="8893" spans="1:13">
      <c r="A8893" t="s">
        <v>852</v>
      </c>
      <c r="B8893" t="s">
        <v>853</v>
      </c>
      <c r="C8893" t="s">
        <v>853</v>
      </c>
      <c r="D8893" t="s">
        <v>3185</v>
      </c>
      <c r="E8893" t="s">
        <v>573</v>
      </c>
      <c r="F8893" t="s">
        <v>40</v>
      </c>
      <c r="G8893">
        <v>2020</v>
      </c>
      <c r="H8893" s="12">
        <v>0</v>
      </c>
      <c r="I8893" t="s">
        <v>3183</v>
      </c>
      <c r="J8893" t="s">
        <v>8</v>
      </c>
      <c r="K8893" t="s">
        <v>147</v>
      </c>
      <c r="L8893" t="s">
        <v>20</v>
      </c>
      <c r="M8893" t="s">
        <v>859</v>
      </c>
    </row>
    <row r="8894" spans="1:13">
      <c r="A8894" t="s">
        <v>852</v>
      </c>
      <c r="B8894" t="s">
        <v>853</v>
      </c>
      <c r="C8894" t="s">
        <v>853</v>
      </c>
      <c r="D8894" t="s">
        <v>3185</v>
      </c>
      <c r="E8894" t="s">
        <v>573</v>
      </c>
      <c r="F8894" t="s">
        <v>40</v>
      </c>
      <c r="G8894">
        <v>2030</v>
      </c>
      <c r="H8894" s="12">
        <v>977</v>
      </c>
      <c r="I8894" t="s">
        <v>3183</v>
      </c>
      <c r="J8894" t="s">
        <v>8</v>
      </c>
      <c r="K8894" t="s">
        <v>147</v>
      </c>
      <c r="L8894" t="s">
        <v>20</v>
      </c>
      <c r="M8894" t="s">
        <v>859</v>
      </c>
    </row>
    <row r="8895" spans="1:13">
      <c r="A8895" t="s">
        <v>852</v>
      </c>
      <c r="B8895" t="s">
        <v>853</v>
      </c>
      <c r="C8895" t="s">
        <v>853</v>
      </c>
      <c r="D8895" t="s">
        <v>3185</v>
      </c>
      <c r="E8895" t="s">
        <v>573</v>
      </c>
      <c r="F8895" t="s">
        <v>40</v>
      </c>
      <c r="G8895">
        <v>2035</v>
      </c>
      <c r="H8895" s="12">
        <v>2972</v>
      </c>
      <c r="I8895" t="s">
        <v>3183</v>
      </c>
      <c r="J8895" t="s">
        <v>8</v>
      </c>
      <c r="K8895" t="s">
        <v>147</v>
      </c>
      <c r="L8895" t="s">
        <v>20</v>
      </c>
      <c r="M8895" t="s">
        <v>859</v>
      </c>
    </row>
    <row r="8896" spans="1:13">
      <c r="A8896" t="s">
        <v>852</v>
      </c>
      <c r="B8896" t="s">
        <v>853</v>
      </c>
      <c r="C8896" t="s">
        <v>853</v>
      </c>
      <c r="D8896" t="s">
        <v>3185</v>
      </c>
      <c r="E8896" t="s">
        <v>573</v>
      </c>
      <c r="F8896" t="s">
        <v>40</v>
      </c>
      <c r="G8896">
        <v>2040</v>
      </c>
      <c r="H8896" s="12">
        <v>3422</v>
      </c>
      <c r="I8896" t="s">
        <v>3183</v>
      </c>
      <c r="J8896" t="s">
        <v>8</v>
      </c>
      <c r="K8896" t="s">
        <v>147</v>
      </c>
      <c r="L8896" t="s">
        <v>20</v>
      </c>
      <c r="M8896" t="s">
        <v>859</v>
      </c>
    </row>
    <row r="8897" spans="1:13">
      <c r="A8897" t="s">
        <v>852</v>
      </c>
      <c r="B8897" t="s">
        <v>853</v>
      </c>
      <c r="C8897" t="s">
        <v>853</v>
      </c>
      <c r="D8897" t="s">
        <v>3185</v>
      </c>
      <c r="E8897" t="s">
        <v>573</v>
      </c>
      <c r="F8897" t="s">
        <v>40</v>
      </c>
      <c r="G8897">
        <v>2045</v>
      </c>
      <c r="H8897" s="12">
        <v>3415</v>
      </c>
      <c r="I8897" t="s">
        <v>3183</v>
      </c>
      <c r="J8897" t="s">
        <v>8</v>
      </c>
      <c r="K8897" t="s">
        <v>147</v>
      </c>
      <c r="L8897" t="s">
        <v>20</v>
      </c>
      <c r="M8897" t="s">
        <v>859</v>
      </c>
    </row>
    <row r="8898" spans="1:13">
      <c r="A8898" t="s">
        <v>852</v>
      </c>
      <c r="B8898" t="s">
        <v>853</v>
      </c>
      <c r="C8898" t="s">
        <v>853</v>
      </c>
      <c r="D8898" t="s">
        <v>3185</v>
      </c>
      <c r="E8898" t="s">
        <v>573</v>
      </c>
      <c r="F8898" t="s">
        <v>40</v>
      </c>
      <c r="G8898">
        <v>2050</v>
      </c>
      <c r="H8898" s="12">
        <v>3394</v>
      </c>
      <c r="I8898" t="s">
        <v>3183</v>
      </c>
      <c r="J8898" t="s">
        <v>8</v>
      </c>
      <c r="K8898" t="s">
        <v>147</v>
      </c>
      <c r="L8898" t="s">
        <v>20</v>
      </c>
      <c r="M8898" t="s">
        <v>859</v>
      </c>
    </row>
    <row r="8899" spans="1:13">
      <c r="A8899" t="s">
        <v>852</v>
      </c>
      <c r="B8899" t="s">
        <v>853</v>
      </c>
      <c r="C8899" t="s">
        <v>853</v>
      </c>
      <c r="D8899" t="s">
        <v>3185</v>
      </c>
      <c r="E8899" t="s">
        <v>573</v>
      </c>
      <c r="F8899" t="s">
        <v>40</v>
      </c>
      <c r="G8899">
        <v>2010</v>
      </c>
      <c r="H8899" s="12">
        <v>30091</v>
      </c>
      <c r="I8899" t="s">
        <v>3183</v>
      </c>
      <c r="J8899" t="s">
        <v>15</v>
      </c>
      <c r="K8899" t="s">
        <v>147</v>
      </c>
      <c r="L8899" t="s">
        <v>20</v>
      </c>
      <c r="M8899" t="s">
        <v>15</v>
      </c>
    </row>
    <row r="8900" spans="1:13">
      <c r="A8900" t="s">
        <v>852</v>
      </c>
      <c r="B8900" t="s">
        <v>853</v>
      </c>
      <c r="C8900" t="s">
        <v>853</v>
      </c>
      <c r="D8900" t="s">
        <v>3185</v>
      </c>
      <c r="E8900" t="s">
        <v>573</v>
      </c>
      <c r="F8900" t="s">
        <v>40</v>
      </c>
      <c r="G8900">
        <v>2015</v>
      </c>
      <c r="H8900" s="12">
        <v>28063</v>
      </c>
      <c r="I8900" t="s">
        <v>3183</v>
      </c>
      <c r="J8900" t="s">
        <v>15</v>
      </c>
      <c r="K8900" t="s">
        <v>147</v>
      </c>
      <c r="L8900" t="s">
        <v>20</v>
      </c>
      <c r="M8900" t="s">
        <v>15</v>
      </c>
    </row>
    <row r="8901" spans="1:13">
      <c r="A8901" t="s">
        <v>852</v>
      </c>
      <c r="B8901" t="s">
        <v>853</v>
      </c>
      <c r="C8901" t="s">
        <v>853</v>
      </c>
      <c r="D8901" t="s">
        <v>3185</v>
      </c>
      <c r="E8901" t="s">
        <v>573</v>
      </c>
      <c r="F8901" t="s">
        <v>40</v>
      </c>
      <c r="G8901">
        <v>2020</v>
      </c>
      <c r="H8901" s="12">
        <v>29187</v>
      </c>
      <c r="I8901" t="s">
        <v>3183</v>
      </c>
      <c r="J8901" t="s">
        <v>15</v>
      </c>
      <c r="K8901" t="s">
        <v>147</v>
      </c>
      <c r="L8901" t="s">
        <v>20</v>
      </c>
      <c r="M8901" t="s">
        <v>15</v>
      </c>
    </row>
    <row r="8902" spans="1:13">
      <c r="A8902" t="s">
        <v>852</v>
      </c>
      <c r="B8902" t="s">
        <v>853</v>
      </c>
      <c r="C8902" t="s">
        <v>853</v>
      </c>
      <c r="D8902" t="s">
        <v>3185</v>
      </c>
      <c r="E8902" t="s">
        <v>573</v>
      </c>
      <c r="F8902" t="s">
        <v>40</v>
      </c>
      <c r="G8902">
        <v>2030</v>
      </c>
      <c r="H8902" s="12">
        <v>42505</v>
      </c>
      <c r="I8902" t="s">
        <v>3183</v>
      </c>
      <c r="J8902" t="s">
        <v>15</v>
      </c>
      <c r="K8902" t="s">
        <v>147</v>
      </c>
      <c r="L8902" t="s">
        <v>20</v>
      </c>
      <c r="M8902" t="s">
        <v>15</v>
      </c>
    </row>
    <row r="8903" spans="1:13">
      <c r="A8903" t="s">
        <v>852</v>
      </c>
      <c r="B8903" t="s">
        <v>853</v>
      </c>
      <c r="C8903" t="s">
        <v>853</v>
      </c>
      <c r="D8903" t="s">
        <v>3185</v>
      </c>
      <c r="E8903" t="s">
        <v>573</v>
      </c>
      <c r="F8903" t="s">
        <v>40</v>
      </c>
      <c r="G8903">
        <v>2035</v>
      </c>
      <c r="H8903" s="12">
        <v>50498</v>
      </c>
      <c r="I8903" t="s">
        <v>3183</v>
      </c>
      <c r="J8903" t="s">
        <v>15</v>
      </c>
      <c r="K8903" t="s">
        <v>147</v>
      </c>
      <c r="L8903" t="s">
        <v>20</v>
      </c>
      <c r="M8903" t="s">
        <v>15</v>
      </c>
    </row>
    <row r="8904" spans="1:13">
      <c r="A8904" t="s">
        <v>852</v>
      </c>
      <c r="B8904" t="s">
        <v>853</v>
      </c>
      <c r="C8904" t="s">
        <v>853</v>
      </c>
      <c r="D8904" t="s">
        <v>3185</v>
      </c>
      <c r="E8904" t="s">
        <v>573</v>
      </c>
      <c r="F8904" t="s">
        <v>40</v>
      </c>
      <c r="G8904">
        <v>2040</v>
      </c>
      <c r="H8904" s="12">
        <v>59054</v>
      </c>
      <c r="I8904" t="s">
        <v>3183</v>
      </c>
      <c r="J8904" t="s">
        <v>15</v>
      </c>
      <c r="K8904" t="s">
        <v>147</v>
      </c>
      <c r="L8904" t="s">
        <v>20</v>
      </c>
      <c r="M8904" t="s">
        <v>15</v>
      </c>
    </row>
    <row r="8905" spans="1:13">
      <c r="A8905" t="s">
        <v>852</v>
      </c>
      <c r="B8905" t="s">
        <v>853</v>
      </c>
      <c r="C8905" t="s">
        <v>853</v>
      </c>
      <c r="D8905" t="s">
        <v>3185</v>
      </c>
      <c r="E8905" t="s">
        <v>573</v>
      </c>
      <c r="F8905" t="s">
        <v>40</v>
      </c>
      <c r="G8905">
        <v>2045</v>
      </c>
      <c r="H8905" s="12">
        <v>61196</v>
      </c>
      <c r="I8905" t="s">
        <v>3183</v>
      </c>
      <c r="J8905" t="s">
        <v>15</v>
      </c>
      <c r="K8905" t="s">
        <v>147</v>
      </c>
      <c r="L8905" t="s">
        <v>20</v>
      </c>
      <c r="M8905" t="s">
        <v>15</v>
      </c>
    </row>
    <row r="8906" spans="1:13">
      <c r="A8906" t="s">
        <v>852</v>
      </c>
      <c r="B8906" t="s">
        <v>853</v>
      </c>
      <c r="C8906" t="s">
        <v>853</v>
      </c>
      <c r="D8906" t="s">
        <v>3185</v>
      </c>
      <c r="E8906" t="s">
        <v>573</v>
      </c>
      <c r="F8906" t="s">
        <v>40</v>
      </c>
      <c r="G8906">
        <v>2050</v>
      </c>
      <c r="H8906" s="12">
        <v>63380</v>
      </c>
      <c r="I8906" t="s">
        <v>3183</v>
      </c>
      <c r="J8906" t="s">
        <v>15</v>
      </c>
      <c r="K8906" t="s">
        <v>147</v>
      </c>
      <c r="L8906" t="s">
        <v>20</v>
      </c>
      <c r="M8906" t="s">
        <v>15</v>
      </c>
    </row>
    <row r="8907" spans="1:13">
      <c r="A8907" t="s">
        <v>852</v>
      </c>
      <c r="B8907" t="s">
        <v>853</v>
      </c>
      <c r="C8907" t="s">
        <v>853</v>
      </c>
      <c r="D8907" t="s">
        <v>3185</v>
      </c>
      <c r="E8907" t="s">
        <v>573</v>
      </c>
      <c r="F8907" t="s">
        <v>40</v>
      </c>
      <c r="G8907">
        <v>2010</v>
      </c>
      <c r="H8907" s="12">
        <v>46676</v>
      </c>
      <c r="I8907" t="s">
        <v>3183</v>
      </c>
      <c r="J8907" t="s">
        <v>6</v>
      </c>
      <c r="K8907" t="s">
        <v>147</v>
      </c>
      <c r="L8907" t="s">
        <v>20</v>
      </c>
      <c r="M8907" t="s">
        <v>666</v>
      </c>
    </row>
    <row r="8908" spans="1:13">
      <c r="A8908" t="s">
        <v>852</v>
      </c>
      <c r="B8908" t="s">
        <v>853</v>
      </c>
      <c r="C8908" t="s">
        <v>853</v>
      </c>
      <c r="D8908" t="s">
        <v>3185</v>
      </c>
      <c r="E8908" t="s">
        <v>573</v>
      </c>
      <c r="F8908" t="s">
        <v>40</v>
      </c>
      <c r="G8908">
        <v>2015</v>
      </c>
      <c r="H8908" s="12">
        <v>50281</v>
      </c>
      <c r="I8908" t="s">
        <v>3183</v>
      </c>
      <c r="J8908" t="s">
        <v>6</v>
      </c>
      <c r="K8908" t="s">
        <v>147</v>
      </c>
      <c r="L8908" t="s">
        <v>20</v>
      </c>
      <c r="M8908" t="s">
        <v>666</v>
      </c>
    </row>
    <row r="8909" spans="1:13">
      <c r="A8909" t="s">
        <v>852</v>
      </c>
      <c r="B8909" t="s">
        <v>853</v>
      </c>
      <c r="C8909" t="s">
        <v>853</v>
      </c>
      <c r="D8909" t="s">
        <v>3185</v>
      </c>
      <c r="E8909" t="s">
        <v>573</v>
      </c>
      <c r="F8909" t="s">
        <v>40</v>
      </c>
      <c r="G8909">
        <v>2020</v>
      </c>
      <c r="H8909" s="12">
        <v>54940</v>
      </c>
      <c r="I8909" t="s">
        <v>3183</v>
      </c>
      <c r="J8909" t="s">
        <v>6</v>
      </c>
      <c r="K8909" t="s">
        <v>147</v>
      </c>
      <c r="L8909" t="s">
        <v>20</v>
      </c>
      <c r="M8909" t="s">
        <v>666</v>
      </c>
    </row>
    <row r="8910" spans="1:13">
      <c r="A8910" t="s">
        <v>852</v>
      </c>
      <c r="B8910" t="s">
        <v>853</v>
      </c>
      <c r="C8910" t="s">
        <v>853</v>
      </c>
      <c r="D8910" t="s">
        <v>3185</v>
      </c>
      <c r="E8910" t="s">
        <v>573</v>
      </c>
      <c r="F8910" t="s">
        <v>40</v>
      </c>
      <c r="G8910">
        <v>2030</v>
      </c>
      <c r="H8910" s="12">
        <v>40219</v>
      </c>
      <c r="I8910" t="s">
        <v>3183</v>
      </c>
      <c r="J8910" t="s">
        <v>6</v>
      </c>
      <c r="K8910" t="s">
        <v>147</v>
      </c>
      <c r="L8910" t="s">
        <v>20</v>
      </c>
      <c r="M8910" t="s">
        <v>666</v>
      </c>
    </row>
    <row r="8911" spans="1:13">
      <c r="A8911" t="s">
        <v>852</v>
      </c>
      <c r="B8911" t="s">
        <v>853</v>
      </c>
      <c r="C8911" t="s">
        <v>853</v>
      </c>
      <c r="D8911" t="s">
        <v>3185</v>
      </c>
      <c r="E8911" t="s">
        <v>573</v>
      </c>
      <c r="F8911" t="s">
        <v>40</v>
      </c>
      <c r="G8911">
        <v>2035</v>
      </c>
      <c r="H8911" s="12">
        <v>15447</v>
      </c>
      <c r="I8911" t="s">
        <v>3183</v>
      </c>
      <c r="J8911" t="s">
        <v>6</v>
      </c>
      <c r="K8911" t="s">
        <v>147</v>
      </c>
      <c r="L8911" t="s">
        <v>20</v>
      </c>
      <c r="M8911" t="s">
        <v>666</v>
      </c>
    </row>
    <row r="8912" spans="1:13">
      <c r="A8912" t="s">
        <v>852</v>
      </c>
      <c r="B8912" t="s">
        <v>853</v>
      </c>
      <c r="C8912" t="s">
        <v>853</v>
      </c>
      <c r="D8912" t="s">
        <v>3185</v>
      </c>
      <c r="E8912" t="s">
        <v>573</v>
      </c>
      <c r="F8912" t="s">
        <v>40</v>
      </c>
      <c r="G8912">
        <v>2040</v>
      </c>
      <c r="H8912" s="12">
        <v>1327</v>
      </c>
      <c r="I8912" t="s">
        <v>3183</v>
      </c>
      <c r="J8912" t="s">
        <v>6</v>
      </c>
      <c r="K8912" t="s">
        <v>147</v>
      </c>
      <c r="L8912" t="s">
        <v>20</v>
      </c>
      <c r="M8912" t="s">
        <v>666</v>
      </c>
    </row>
    <row r="8913" spans="1:13">
      <c r="A8913" t="s">
        <v>852</v>
      </c>
      <c r="B8913" t="s">
        <v>853</v>
      </c>
      <c r="C8913" t="s">
        <v>853</v>
      </c>
      <c r="D8913" t="s">
        <v>3185</v>
      </c>
      <c r="E8913" t="s">
        <v>573</v>
      </c>
      <c r="F8913" t="s">
        <v>40</v>
      </c>
      <c r="G8913">
        <v>2045</v>
      </c>
      <c r="H8913" s="12">
        <v>689</v>
      </c>
      <c r="I8913" t="s">
        <v>3183</v>
      </c>
      <c r="J8913" t="s">
        <v>6</v>
      </c>
      <c r="K8913" t="s">
        <v>147</v>
      </c>
      <c r="L8913" t="s">
        <v>20</v>
      </c>
      <c r="M8913" t="s">
        <v>666</v>
      </c>
    </row>
    <row r="8914" spans="1:13">
      <c r="A8914" t="s">
        <v>852</v>
      </c>
      <c r="B8914" t="s">
        <v>853</v>
      </c>
      <c r="C8914" t="s">
        <v>853</v>
      </c>
      <c r="D8914" t="s">
        <v>3185</v>
      </c>
      <c r="E8914" t="s">
        <v>573</v>
      </c>
      <c r="F8914" t="s">
        <v>40</v>
      </c>
      <c r="G8914">
        <v>2050</v>
      </c>
      <c r="H8914" s="12">
        <v>645</v>
      </c>
      <c r="I8914" t="s">
        <v>3183</v>
      </c>
      <c r="J8914" t="s">
        <v>6</v>
      </c>
      <c r="K8914" t="s">
        <v>147</v>
      </c>
      <c r="L8914" t="s">
        <v>20</v>
      </c>
      <c r="M8914" t="s">
        <v>666</v>
      </c>
    </row>
    <row r="8915" spans="1:13">
      <c r="A8915" t="s">
        <v>852</v>
      </c>
      <c r="B8915" t="s">
        <v>853</v>
      </c>
      <c r="C8915" t="s">
        <v>853</v>
      </c>
      <c r="D8915" t="s">
        <v>3185</v>
      </c>
      <c r="E8915" t="s">
        <v>573</v>
      </c>
      <c r="F8915" t="s">
        <v>40</v>
      </c>
      <c r="G8915">
        <v>2010</v>
      </c>
      <c r="H8915" s="12">
        <v>0</v>
      </c>
      <c r="I8915" t="s">
        <v>3183</v>
      </c>
      <c r="J8915" t="s">
        <v>6</v>
      </c>
      <c r="K8915" t="s">
        <v>147</v>
      </c>
      <c r="L8915" t="s">
        <v>20</v>
      </c>
      <c r="M8915" t="s">
        <v>857</v>
      </c>
    </row>
    <row r="8916" spans="1:13">
      <c r="A8916" t="s">
        <v>852</v>
      </c>
      <c r="B8916" t="s">
        <v>853</v>
      </c>
      <c r="C8916" t="s">
        <v>853</v>
      </c>
      <c r="D8916" t="s">
        <v>3185</v>
      </c>
      <c r="E8916" t="s">
        <v>573</v>
      </c>
      <c r="F8916" t="s">
        <v>40</v>
      </c>
      <c r="G8916">
        <v>2015</v>
      </c>
      <c r="H8916" s="12">
        <v>0</v>
      </c>
      <c r="I8916" t="s">
        <v>3183</v>
      </c>
      <c r="J8916" t="s">
        <v>6</v>
      </c>
      <c r="K8916" t="s">
        <v>147</v>
      </c>
      <c r="L8916" t="s">
        <v>20</v>
      </c>
      <c r="M8916" t="s">
        <v>857</v>
      </c>
    </row>
    <row r="8917" spans="1:13">
      <c r="A8917" t="s">
        <v>852</v>
      </c>
      <c r="B8917" t="s">
        <v>853</v>
      </c>
      <c r="C8917" t="s">
        <v>853</v>
      </c>
      <c r="D8917" t="s">
        <v>3185</v>
      </c>
      <c r="E8917" t="s">
        <v>573</v>
      </c>
      <c r="F8917" t="s">
        <v>40</v>
      </c>
      <c r="G8917">
        <v>2020</v>
      </c>
      <c r="H8917" s="12">
        <v>0</v>
      </c>
      <c r="I8917" t="s">
        <v>3183</v>
      </c>
      <c r="J8917" t="s">
        <v>6</v>
      </c>
      <c r="K8917" t="s">
        <v>147</v>
      </c>
      <c r="L8917" t="s">
        <v>20</v>
      </c>
      <c r="M8917" t="s">
        <v>857</v>
      </c>
    </row>
    <row r="8918" spans="1:13">
      <c r="A8918" t="s">
        <v>852</v>
      </c>
      <c r="B8918" t="s">
        <v>853</v>
      </c>
      <c r="C8918" t="s">
        <v>853</v>
      </c>
      <c r="D8918" t="s">
        <v>3185</v>
      </c>
      <c r="E8918" t="s">
        <v>573</v>
      </c>
      <c r="F8918" t="s">
        <v>40</v>
      </c>
      <c r="G8918">
        <v>2030</v>
      </c>
      <c r="H8918" s="12">
        <v>629</v>
      </c>
      <c r="I8918" t="s">
        <v>3183</v>
      </c>
      <c r="J8918" t="s">
        <v>6</v>
      </c>
      <c r="K8918" t="s">
        <v>147</v>
      </c>
      <c r="L8918" t="s">
        <v>20</v>
      </c>
      <c r="M8918" t="s">
        <v>857</v>
      </c>
    </row>
    <row r="8919" spans="1:13">
      <c r="A8919" t="s">
        <v>852</v>
      </c>
      <c r="B8919" t="s">
        <v>853</v>
      </c>
      <c r="C8919" t="s">
        <v>853</v>
      </c>
      <c r="D8919" t="s">
        <v>3185</v>
      </c>
      <c r="E8919" t="s">
        <v>573</v>
      </c>
      <c r="F8919" t="s">
        <v>40</v>
      </c>
      <c r="G8919">
        <v>2035</v>
      </c>
      <c r="H8919" s="12">
        <v>1997</v>
      </c>
      <c r="I8919" t="s">
        <v>3183</v>
      </c>
      <c r="J8919" t="s">
        <v>6</v>
      </c>
      <c r="K8919" t="s">
        <v>147</v>
      </c>
      <c r="L8919" t="s">
        <v>20</v>
      </c>
      <c r="M8919" t="s">
        <v>857</v>
      </c>
    </row>
    <row r="8920" spans="1:13">
      <c r="A8920" t="s">
        <v>852</v>
      </c>
      <c r="B8920" t="s">
        <v>853</v>
      </c>
      <c r="C8920" t="s">
        <v>853</v>
      </c>
      <c r="D8920" t="s">
        <v>3185</v>
      </c>
      <c r="E8920" t="s">
        <v>573</v>
      </c>
      <c r="F8920" t="s">
        <v>40</v>
      </c>
      <c r="G8920">
        <v>2040</v>
      </c>
      <c r="H8920" s="12">
        <v>3268</v>
      </c>
      <c r="I8920" t="s">
        <v>3183</v>
      </c>
      <c r="J8920" t="s">
        <v>6</v>
      </c>
      <c r="K8920" t="s">
        <v>147</v>
      </c>
      <c r="L8920" t="s">
        <v>20</v>
      </c>
      <c r="M8920" t="s">
        <v>857</v>
      </c>
    </row>
    <row r="8921" spans="1:13">
      <c r="A8921" t="s">
        <v>852</v>
      </c>
      <c r="B8921" t="s">
        <v>853</v>
      </c>
      <c r="C8921" t="s">
        <v>853</v>
      </c>
      <c r="D8921" t="s">
        <v>3185</v>
      </c>
      <c r="E8921" t="s">
        <v>573</v>
      </c>
      <c r="F8921" t="s">
        <v>40</v>
      </c>
      <c r="G8921">
        <v>2045</v>
      </c>
      <c r="H8921" s="12">
        <v>3274</v>
      </c>
      <c r="I8921" t="s">
        <v>3183</v>
      </c>
      <c r="J8921" t="s">
        <v>6</v>
      </c>
      <c r="K8921" t="s">
        <v>147</v>
      </c>
      <c r="L8921" t="s">
        <v>20</v>
      </c>
      <c r="M8921" t="s">
        <v>857</v>
      </c>
    </row>
    <row r="8922" spans="1:13">
      <c r="A8922" t="s">
        <v>852</v>
      </c>
      <c r="B8922" t="s">
        <v>853</v>
      </c>
      <c r="C8922" t="s">
        <v>853</v>
      </c>
      <c r="D8922" t="s">
        <v>3185</v>
      </c>
      <c r="E8922" t="s">
        <v>573</v>
      </c>
      <c r="F8922" t="s">
        <v>40</v>
      </c>
      <c r="G8922">
        <v>2050</v>
      </c>
      <c r="H8922" s="12">
        <v>3549</v>
      </c>
      <c r="I8922" t="s">
        <v>3183</v>
      </c>
      <c r="J8922" t="s">
        <v>6</v>
      </c>
      <c r="K8922" t="s">
        <v>147</v>
      </c>
      <c r="L8922" t="s">
        <v>20</v>
      </c>
      <c r="M8922" t="s">
        <v>857</v>
      </c>
    </row>
    <row r="8923" spans="1:13">
      <c r="A8923" t="s">
        <v>852</v>
      </c>
      <c r="B8923" t="s">
        <v>853</v>
      </c>
      <c r="C8923" t="s">
        <v>853</v>
      </c>
      <c r="D8923" t="s">
        <v>3185</v>
      </c>
      <c r="E8923" t="s">
        <v>573</v>
      </c>
      <c r="F8923" t="s">
        <v>40</v>
      </c>
      <c r="G8923">
        <v>2010</v>
      </c>
      <c r="H8923" s="12">
        <v>10896</v>
      </c>
      <c r="I8923" t="s">
        <v>3183</v>
      </c>
      <c r="J8923" t="s">
        <v>394</v>
      </c>
      <c r="K8923" t="s">
        <v>147</v>
      </c>
      <c r="L8923" t="s">
        <v>20</v>
      </c>
      <c r="M8923" t="s">
        <v>16</v>
      </c>
    </row>
    <row r="8924" spans="1:13">
      <c r="A8924" t="s">
        <v>852</v>
      </c>
      <c r="B8924" t="s">
        <v>853</v>
      </c>
      <c r="C8924" t="s">
        <v>853</v>
      </c>
      <c r="D8924" t="s">
        <v>3185</v>
      </c>
      <c r="E8924" t="s">
        <v>573</v>
      </c>
      <c r="F8924" t="s">
        <v>40</v>
      </c>
      <c r="G8924">
        <v>2015</v>
      </c>
      <c r="H8924" s="12">
        <v>10782</v>
      </c>
      <c r="I8924" t="s">
        <v>3183</v>
      </c>
      <c r="J8924" t="s">
        <v>394</v>
      </c>
      <c r="K8924" t="s">
        <v>147</v>
      </c>
      <c r="L8924" t="s">
        <v>20</v>
      </c>
      <c r="M8924" t="s">
        <v>16</v>
      </c>
    </row>
    <row r="8925" spans="1:13">
      <c r="A8925" t="s">
        <v>852</v>
      </c>
      <c r="B8925" t="s">
        <v>853</v>
      </c>
      <c r="C8925" t="s">
        <v>853</v>
      </c>
      <c r="D8925" t="s">
        <v>3185</v>
      </c>
      <c r="E8925" t="s">
        <v>573</v>
      </c>
      <c r="F8925" t="s">
        <v>40</v>
      </c>
      <c r="G8925">
        <v>2020</v>
      </c>
      <c r="H8925" s="12">
        <v>7340</v>
      </c>
      <c r="I8925" t="s">
        <v>3183</v>
      </c>
      <c r="J8925" t="s">
        <v>394</v>
      </c>
      <c r="K8925" t="s">
        <v>147</v>
      </c>
      <c r="L8925" t="s">
        <v>20</v>
      </c>
      <c r="M8925" t="s">
        <v>16</v>
      </c>
    </row>
    <row r="8926" spans="1:13">
      <c r="A8926" t="s">
        <v>852</v>
      </c>
      <c r="B8926" t="s">
        <v>853</v>
      </c>
      <c r="C8926" t="s">
        <v>853</v>
      </c>
      <c r="D8926" t="s">
        <v>3185</v>
      </c>
      <c r="E8926" t="s">
        <v>573</v>
      </c>
      <c r="F8926" t="s">
        <v>40</v>
      </c>
      <c r="G8926">
        <v>2030</v>
      </c>
      <c r="H8926" s="12">
        <v>2175</v>
      </c>
      <c r="I8926" t="s">
        <v>3183</v>
      </c>
      <c r="J8926" t="s">
        <v>394</v>
      </c>
      <c r="K8926" t="s">
        <v>147</v>
      </c>
      <c r="L8926" t="s">
        <v>20</v>
      </c>
      <c r="M8926" t="s">
        <v>16</v>
      </c>
    </row>
    <row r="8927" spans="1:13">
      <c r="A8927" t="s">
        <v>852</v>
      </c>
      <c r="B8927" t="s">
        <v>853</v>
      </c>
      <c r="C8927" t="s">
        <v>853</v>
      </c>
      <c r="D8927" t="s">
        <v>3185</v>
      </c>
      <c r="E8927" t="s">
        <v>573</v>
      </c>
      <c r="F8927" t="s">
        <v>40</v>
      </c>
      <c r="G8927">
        <v>2035</v>
      </c>
      <c r="H8927" s="12">
        <v>782</v>
      </c>
      <c r="I8927" t="s">
        <v>3183</v>
      </c>
      <c r="J8927" t="s">
        <v>394</v>
      </c>
      <c r="K8927" t="s">
        <v>147</v>
      </c>
      <c r="L8927" t="s">
        <v>20</v>
      </c>
      <c r="M8927" t="s">
        <v>16</v>
      </c>
    </row>
    <row r="8928" spans="1:13">
      <c r="A8928" t="s">
        <v>852</v>
      </c>
      <c r="B8928" t="s">
        <v>853</v>
      </c>
      <c r="C8928" t="s">
        <v>853</v>
      </c>
      <c r="D8928" t="s">
        <v>3185</v>
      </c>
      <c r="E8928" t="s">
        <v>573</v>
      </c>
      <c r="F8928" t="s">
        <v>40</v>
      </c>
      <c r="G8928">
        <v>2040</v>
      </c>
      <c r="H8928" s="12">
        <v>223</v>
      </c>
      <c r="I8928" t="s">
        <v>3183</v>
      </c>
      <c r="J8928" t="s">
        <v>394</v>
      </c>
      <c r="K8928" t="s">
        <v>147</v>
      </c>
      <c r="L8928" t="s">
        <v>20</v>
      </c>
      <c r="M8928" t="s">
        <v>16</v>
      </c>
    </row>
    <row r="8929" spans="1:13">
      <c r="A8929" t="s">
        <v>852</v>
      </c>
      <c r="B8929" t="s">
        <v>853</v>
      </c>
      <c r="C8929" t="s">
        <v>853</v>
      </c>
      <c r="D8929" t="s">
        <v>3185</v>
      </c>
      <c r="E8929" t="s">
        <v>573</v>
      </c>
      <c r="F8929" t="s">
        <v>40</v>
      </c>
      <c r="G8929">
        <v>2045</v>
      </c>
      <c r="H8929" s="12">
        <v>36</v>
      </c>
      <c r="I8929" t="s">
        <v>3183</v>
      </c>
      <c r="J8929" t="s">
        <v>394</v>
      </c>
      <c r="K8929" t="s">
        <v>147</v>
      </c>
      <c r="L8929" t="s">
        <v>20</v>
      </c>
      <c r="M8929" t="s">
        <v>16</v>
      </c>
    </row>
    <row r="8930" spans="1:13">
      <c r="A8930" t="s">
        <v>852</v>
      </c>
      <c r="B8930" t="s">
        <v>853</v>
      </c>
      <c r="C8930" t="s">
        <v>853</v>
      </c>
      <c r="D8930" t="s">
        <v>3185</v>
      </c>
      <c r="E8930" t="s">
        <v>573</v>
      </c>
      <c r="F8930" t="s">
        <v>40</v>
      </c>
      <c r="G8930">
        <v>2050</v>
      </c>
      <c r="H8930" s="12">
        <v>32</v>
      </c>
      <c r="I8930" t="s">
        <v>3183</v>
      </c>
      <c r="J8930" t="s">
        <v>394</v>
      </c>
      <c r="K8930" t="s">
        <v>147</v>
      </c>
      <c r="L8930" t="s">
        <v>20</v>
      </c>
      <c r="M8930" t="s">
        <v>16</v>
      </c>
    </row>
    <row r="8931" spans="1:13">
      <c r="A8931" t="s">
        <v>852</v>
      </c>
      <c r="B8931" t="s">
        <v>853</v>
      </c>
      <c r="C8931" t="s">
        <v>853</v>
      </c>
      <c r="D8931" t="s">
        <v>3185</v>
      </c>
      <c r="E8931" t="s">
        <v>573</v>
      </c>
      <c r="F8931" t="s">
        <v>40</v>
      </c>
      <c r="G8931">
        <v>2010</v>
      </c>
      <c r="H8931" s="12">
        <v>91080</v>
      </c>
      <c r="I8931" t="s">
        <v>3183</v>
      </c>
      <c r="J8931" t="s">
        <v>5</v>
      </c>
      <c r="K8931" t="s">
        <v>147</v>
      </c>
      <c r="L8931" t="s">
        <v>20</v>
      </c>
      <c r="M8931" t="s">
        <v>665</v>
      </c>
    </row>
    <row r="8932" spans="1:13">
      <c r="A8932" t="s">
        <v>852</v>
      </c>
      <c r="B8932" t="s">
        <v>853</v>
      </c>
      <c r="C8932" t="s">
        <v>853</v>
      </c>
      <c r="D8932" t="s">
        <v>3185</v>
      </c>
      <c r="E8932" t="s">
        <v>573</v>
      </c>
      <c r="F8932" t="s">
        <v>40</v>
      </c>
      <c r="G8932">
        <v>2015</v>
      </c>
      <c r="H8932" s="12">
        <v>97830</v>
      </c>
      <c r="I8932" t="s">
        <v>3183</v>
      </c>
      <c r="J8932" t="s">
        <v>5</v>
      </c>
      <c r="K8932" t="s">
        <v>147</v>
      </c>
      <c r="L8932" t="s">
        <v>20</v>
      </c>
      <c r="M8932" t="s">
        <v>665</v>
      </c>
    </row>
    <row r="8933" spans="1:13">
      <c r="A8933" t="s">
        <v>852</v>
      </c>
      <c r="B8933" t="s">
        <v>853</v>
      </c>
      <c r="C8933" t="s">
        <v>853</v>
      </c>
      <c r="D8933" t="s">
        <v>3185</v>
      </c>
      <c r="E8933" t="s">
        <v>573</v>
      </c>
      <c r="F8933" t="s">
        <v>40</v>
      </c>
      <c r="G8933">
        <v>2020</v>
      </c>
      <c r="H8933" s="12">
        <v>98878</v>
      </c>
      <c r="I8933" t="s">
        <v>3183</v>
      </c>
      <c r="J8933" t="s">
        <v>5</v>
      </c>
      <c r="K8933" t="s">
        <v>147</v>
      </c>
      <c r="L8933" t="s">
        <v>20</v>
      </c>
      <c r="M8933" t="s">
        <v>665</v>
      </c>
    </row>
    <row r="8934" spans="1:13">
      <c r="A8934" t="s">
        <v>852</v>
      </c>
      <c r="B8934" t="s">
        <v>853</v>
      </c>
      <c r="C8934" t="s">
        <v>853</v>
      </c>
      <c r="D8934" t="s">
        <v>3185</v>
      </c>
      <c r="E8934" t="s">
        <v>573</v>
      </c>
      <c r="F8934" t="s">
        <v>40</v>
      </c>
      <c r="G8934">
        <v>2030</v>
      </c>
      <c r="H8934" s="12">
        <v>47244</v>
      </c>
      <c r="I8934" t="s">
        <v>3183</v>
      </c>
      <c r="J8934" t="s">
        <v>5</v>
      </c>
      <c r="K8934" t="s">
        <v>147</v>
      </c>
      <c r="L8934" t="s">
        <v>20</v>
      </c>
      <c r="M8934" t="s">
        <v>665</v>
      </c>
    </row>
    <row r="8935" spans="1:13">
      <c r="A8935" t="s">
        <v>852</v>
      </c>
      <c r="B8935" t="s">
        <v>853</v>
      </c>
      <c r="C8935" t="s">
        <v>853</v>
      </c>
      <c r="D8935" t="s">
        <v>3185</v>
      </c>
      <c r="E8935" t="s">
        <v>573</v>
      </c>
      <c r="F8935" t="s">
        <v>40</v>
      </c>
      <c r="G8935">
        <v>2035</v>
      </c>
      <c r="H8935" s="12">
        <v>20547</v>
      </c>
      <c r="I8935" t="s">
        <v>3183</v>
      </c>
      <c r="J8935" t="s">
        <v>5</v>
      </c>
      <c r="K8935" t="s">
        <v>147</v>
      </c>
      <c r="L8935" t="s">
        <v>20</v>
      </c>
      <c r="M8935" t="s">
        <v>665</v>
      </c>
    </row>
    <row r="8936" spans="1:13">
      <c r="A8936" t="s">
        <v>852</v>
      </c>
      <c r="B8936" t="s">
        <v>853</v>
      </c>
      <c r="C8936" t="s">
        <v>853</v>
      </c>
      <c r="D8936" t="s">
        <v>3185</v>
      </c>
      <c r="E8936" t="s">
        <v>573</v>
      </c>
      <c r="F8936" t="s">
        <v>40</v>
      </c>
      <c r="G8936">
        <v>2040</v>
      </c>
      <c r="H8936" s="12">
        <v>244</v>
      </c>
      <c r="I8936" t="s">
        <v>3183</v>
      </c>
      <c r="J8936" t="s">
        <v>5</v>
      </c>
      <c r="K8936" t="s">
        <v>147</v>
      </c>
      <c r="L8936" t="s">
        <v>20</v>
      </c>
      <c r="M8936" t="s">
        <v>665</v>
      </c>
    </row>
    <row r="8937" spans="1:13">
      <c r="A8937" t="s">
        <v>852</v>
      </c>
      <c r="B8937" t="s">
        <v>853</v>
      </c>
      <c r="C8937" t="s">
        <v>853</v>
      </c>
      <c r="D8937" t="s">
        <v>3185</v>
      </c>
      <c r="E8937" t="s">
        <v>573</v>
      </c>
      <c r="F8937" t="s">
        <v>40</v>
      </c>
      <c r="G8937">
        <v>2045</v>
      </c>
      <c r="H8937" s="12">
        <v>3</v>
      </c>
      <c r="I8937" t="s">
        <v>3183</v>
      </c>
      <c r="J8937" t="s">
        <v>5</v>
      </c>
      <c r="K8937" t="s">
        <v>147</v>
      </c>
      <c r="L8937" t="s">
        <v>20</v>
      </c>
      <c r="M8937" t="s">
        <v>665</v>
      </c>
    </row>
    <row r="8938" spans="1:13">
      <c r="A8938" t="s">
        <v>852</v>
      </c>
      <c r="B8938" t="s">
        <v>853</v>
      </c>
      <c r="C8938" t="s">
        <v>853</v>
      </c>
      <c r="D8938" t="s">
        <v>3185</v>
      </c>
      <c r="E8938" t="s">
        <v>573</v>
      </c>
      <c r="F8938" t="s">
        <v>40</v>
      </c>
      <c r="G8938">
        <v>2050</v>
      </c>
      <c r="H8938" s="12">
        <v>1</v>
      </c>
      <c r="I8938" t="s">
        <v>3183</v>
      </c>
      <c r="J8938" t="s">
        <v>5</v>
      </c>
      <c r="K8938" t="s">
        <v>147</v>
      </c>
      <c r="L8938" t="s">
        <v>20</v>
      </c>
      <c r="M8938" t="s">
        <v>665</v>
      </c>
    </row>
    <row r="8939" spans="1:13">
      <c r="A8939" t="s">
        <v>852</v>
      </c>
      <c r="B8939" t="s">
        <v>853</v>
      </c>
      <c r="C8939" t="s">
        <v>853</v>
      </c>
      <c r="D8939" t="s">
        <v>3185</v>
      </c>
      <c r="E8939" t="s">
        <v>573</v>
      </c>
      <c r="F8939" t="s">
        <v>40</v>
      </c>
      <c r="G8939">
        <v>2010</v>
      </c>
      <c r="H8939" s="12">
        <v>0</v>
      </c>
      <c r="I8939" t="s">
        <v>3183</v>
      </c>
      <c r="J8939" t="s">
        <v>5</v>
      </c>
      <c r="K8939" t="s">
        <v>147</v>
      </c>
      <c r="L8939" t="s">
        <v>20</v>
      </c>
      <c r="M8939" t="s">
        <v>858</v>
      </c>
    </row>
    <row r="8940" spans="1:13">
      <c r="A8940" t="s">
        <v>852</v>
      </c>
      <c r="B8940" t="s">
        <v>853</v>
      </c>
      <c r="C8940" t="s">
        <v>853</v>
      </c>
      <c r="D8940" t="s">
        <v>3185</v>
      </c>
      <c r="E8940" t="s">
        <v>573</v>
      </c>
      <c r="F8940" t="s">
        <v>40</v>
      </c>
      <c r="G8940">
        <v>2015</v>
      </c>
      <c r="H8940" s="12">
        <v>7</v>
      </c>
      <c r="I8940" t="s">
        <v>3183</v>
      </c>
      <c r="J8940" t="s">
        <v>5</v>
      </c>
      <c r="K8940" t="s">
        <v>147</v>
      </c>
      <c r="L8940" t="s">
        <v>20</v>
      </c>
      <c r="M8940" t="s">
        <v>858</v>
      </c>
    </row>
    <row r="8941" spans="1:13">
      <c r="A8941" t="s">
        <v>852</v>
      </c>
      <c r="B8941" t="s">
        <v>853</v>
      </c>
      <c r="C8941" t="s">
        <v>853</v>
      </c>
      <c r="D8941" t="s">
        <v>3185</v>
      </c>
      <c r="E8941" t="s">
        <v>573</v>
      </c>
      <c r="F8941" t="s">
        <v>40</v>
      </c>
      <c r="G8941">
        <v>2020</v>
      </c>
      <c r="H8941" s="12">
        <v>6</v>
      </c>
      <c r="I8941" t="s">
        <v>3183</v>
      </c>
      <c r="J8941" t="s">
        <v>5</v>
      </c>
      <c r="K8941" t="s">
        <v>147</v>
      </c>
      <c r="L8941" t="s">
        <v>20</v>
      </c>
      <c r="M8941" t="s">
        <v>858</v>
      </c>
    </row>
    <row r="8942" spans="1:13">
      <c r="A8942" t="s">
        <v>852</v>
      </c>
      <c r="B8942" t="s">
        <v>853</v>
      </c>
      <c r="C8942" t="s">
        <v>853</v>
      </c>
      <c r="D8942" t="s">
        <v>3185</v>
      </c>
      <c r="E8942" t="s">
        <v>573</v>
      </c>
      <c r="F8942" t="s">
        <v>40</v>
      </c>
      <c r="G8942">
        <v>2030</v>
      </c>
      <c r="H8942" s="12">
        <v>2131</v>
      </c>
      <c r="I8942" t="s">
        <v>3183</v>
      </c>
      <c r="J8942" t="s">
        <v>5</v>
      </c>
      <c r="K8942" t="s">
        <v>147</v>
      </c>
      <c r="L8942" t="s">
        <v>20</v>
      </c>
      <c r="M8942" t="s">
        <v>858</v>
      </c>
    </row>
    <row r="8943" spans="1:13">
      <c r="A8943" t="s">
        <v>852</v>
      </c>
      <c r="B8943" t="s">
        <v>853</v>
      </c>
      <c r="C8943" t="s">
        <v>853</v>
      </c>
      <c r="D8943" t="s">
        <v>3185</v>
      </c>
      <c r="E8943" t="s">
        <v>573</v>
      </c>
      <c r="F8943" t="s">
        <v>40</v>
      </c>
      <c r="G8943">
        <v>2035</v>
      </c>
      <c r="H8943" s="12">
        <v>5642</v>
      </c>
      <c r="I8943" t="s">
        <v>3183</v>
      </c>
      <c r="J8943" t="s">
        <v>5</v>
      </c>
      <c r="K8943" t="s">
        <v>147</v>
      </c>
      <c r="L8943" t="s">
        <v>20</v>
      </c>
      <c r="M8943" t="s">
        <v>858</v>
      </c>
    </row>
    <row r="8944" spans="1:13">
      <c r="A8944" t="s">
        <v>852</v>
      </c>
      <c r="B8944" t="s">
        <v>853</v>
      </c>
      <c r="C8944" t="s">
        <v>853</v>
      </c>
      <c r="D8944" t="s">
        <v>3185</v>
      </c>
      <c r="E8944" t="s">
        <v>573</v>
      </c>
      <c r="F8944" t="s">
        <v>40</v>
      </c>
      <c r="G8944">
        <v>2040</v>
      </c>
      <c r="H8944" s="12">
        <v>8322</v>
      </c>
      <c r="I8944" t="s">
        <v>3183</v>
      </c>
      <c r="J8944" t="s">
        <v>5</v>
      </c>
      <c r="K8944" t="s">
        <v>147</v>
      </c>
      <c r="L8944" t="s">
        <v>20</v>
      </c>
      <c r="M8944" t="s">
        <v>858</v>
      </c>
    </row>
    <row r="8945" spans="1:13">
      <c r="A8945" t="s">
        <v>852</v>
      </c>
      <c r="B8945" t="s">
        <v>853</v>
      </c>
      <c r="C8945" t="s">
        <v>853</v>
      </c>
      <c r="D8945" t="s">
        <v>3185</v>
      </c>
      <c r="E8945" t="s">
        <v>573</v>
      </c>
      <c r="F8945" t="s">
        <v>40</v>
      </c>
      <c r="G8945">
        <v>2045</v>
      </c>
      <c r="H8945" s="12">
        <v>8604</v>
      </c>
      <c r="I8945" t="s">
        <v>3183</v>
      </c>
      <c r="J8945" t="s">
        <v>5</v>
      </c>
      <c r="K8945" t="s">
        <v>147</v>
      </c>
      <c r="L8945" t="s">
        <v>20</v>
      </c>
      <c r="M8945" t="s">
        <v>858</v>
      </c>
    </row>
    <row r="8946" spans="1:13">
      <c r="A8946" t="s">
        <v>852</v>
      </c>
      <c r="B8946" t="s">
        <v>853</v>
      </c>
      <c r="C8946" t="s">
        <v>853</v>
      </c>
      <c r="D8946" t="s">
        <v>3185</v>
      </c>
      <c r="E8946" t="s">
        <v>573</v>
      </c>
      <c r="F8946" t="s">
        <v>40</v>
      </c>
      <c r="G8946">
        <v>2050</v>
      </c>
      <c r="H8946" s="12">
        <v>8958</v>
      </c>
      <c r="I8946" t="s">
        <v>3183</v>
      </c>
      <c r="J8946" t="s">
        <v>5</v>
      </c>
      <c r="K8946" t="s">
        <v>147</v>
      </c>
      <c r="L8946" t="s">
        <v>20</v>
      </c>
      <c r="M8946" t="s">
        <v>858</v>
      </c>
    </row>
    <row r="8947" spans="1:13">
      <c r="A8947" t="s">
        <v>852</v>
      </c>
      <c r="B8947" t="s">
        <v>853</v>
      </c>
      <c r="C8947" t="s">
        <v>853</v>
      </c>
      <c r="D8947" t="s">
        <v>3185</v>
      </c>
      <c r="E8947" t="s">
        <v>646</v>
      </c>
      <c r="F8947" t="s">
        <v>40</v>
      </c>
      <c r="G8947">
        <v>2010</v>
      </c>
      <c r="H8947" s="12">
        <v>26819</v>
      </c>
      <c r="I8947" t="s">
        <v>3183</v>
      </c>
      <c r="J8947" t="s">
        <v>344</v>
      </c>
      <c r="K8947" t="s">
        <v>9</v>
      </c>
      <c r="L8947" t="s">
        <v>20</v>
      </c>
      <c r="M8947" t="s">
        <v>10</v>
      </c>
    </row>
    <row r="8948" spans="1:13">
      <c r="A8948" t="s">
        <v>852</v>
      </c>
      <c r="B8948" t="s">
        <v>853</v>
      </c>
      <c r="C8948" t="s">
        <v>853</v>
      </c>
      <c r="D8948" t="s">
        <v>3185</v>
      </c>
      <c r="E8948" t="s">
        <v>646</v>
      </c>
      <c r="F8948" t="s">
        <v>40</v>
      </c>
      <c r="G8948">
        <v>2015</v>
      </c>
      <c r="H8948" s="12">
        <v>30456</v>
      </c>
      <c r="I8948" t="s">
        <v>3183</v>
      </c>
      <c r="J8948" t="s">
        <v>344</v>
      </c>
      <c r="K8948" t="s">
        <v>9</v>
      </c>
      <c r="L8948" t="s">
        <v>20</v>
      </c>
      <c r="M8948" t="s">
        <v>10</v>
      </c>
    </row>
    <row r="8949" spans="1:13">
      <c r="A8949" t="s">
        <v>852</v>
      </c>
      <c r="B8949" t="s">
        <v>853</v>
      </c>
      <c r="C8949" t="s">
        <v>853</v>
      </c>
      <c r="D8949" t="s">
        <v>3185</v>
      </c>
      <c r="E8949" t="s">
        <v>646</v>
      </c>
      <c r="F8949" t="s">
        <v>40</v>
      </c>
      <c r="G8949">
        <v>2020</v>
      </c>
      <c r="H8949" s="12">
        <v>34218</v>
      </c>
      <c r="I8949" t="s">
        <v>3183</v>
      </c>
      <c r="J8949" t="s">
        <v>344</v>
      </c>
      <c r="K8949" t="s">
        <v>9</v>
      </c>
      <c r="L8949" t="s">
        <v>20</v>
      </c>
      <c r="M8949" t="s">
        <v>10</v>
      </c>
    </row>
    <row r="8950" spans="1:13">
      <c r="A8950" t="s">
        <v>852</v>
      </c>
      <c r="B8950" t="s">
        <v>853</v>
      </c>
      <c r="C8950" t="s">
        <v>853</v>
      </c>
      <c r="D8950" t="s">
        <v>3185</v>
      </c>
      <c r="E8950" t="s">
        <v>646</v>
      </c>
      <c r="F8950" t="s">
        <v>40</v>
      </c>
      <c r="G8950">
        <v>2030</v>
      </c>
      <c r="H8950" s="12">
        <v>49594</v>
      </c>
      <c r="I8950" t="s">
        <v>3183</v>
      </c>
      <c r="J8950" t="s">
        <v>344</v>
      </c>
      <c r="K8950" t="s">
        <v>9</v>
      </c>
      <c r="L8950" t="s">
        <v>20</v>
      </c>
      <c r="M8950" t="s">
        <v>10</v>
      </c>
    </row>
    <row r="8951" spans="1:13">
      <c r="A8951" t="s">
        <v>852</v>
      </c>
      <c r="B8951" t="s">
        <v>853</v>
      </c>
      <c r="C8951" t="s">
        <v>853</v>
      </c>
      <c r="D8951" t="s">
        <v>3185</v>
      </c>
      <c r="E8951" t="s">
        <v>646</v>
      </c>
      <c r="F8951" t="s">
        <v>40</v>
      </c>
      <c r="G8951">
        <v>2035</v>
      </c>
      <c r="H8951" s="12">
        <v>58520</v>
      </c>
      <c r="I8951" t="s">
        <v>3183</v>
      </c>
      <c r="J8951" t="s">
        <v>344</v>
      </c>
      <c r="K8951" t="s">
        <v>9</v>
      </c>
      <c r="L8951" t="s">
        <v>20</v>
      </c>
      <c r="M8951" t="s">
        <v>10</v>
      </c>
    </row>
    <row r="8952" spans="1:13">
      <c r="A8952" t="s">
        <v>852</v>
      </c>
      <c r="B8952" t="s">
        <v>853</v>
      </c>
      <c r="C8952" t="s">
        <v>853</v>
      </c>
      <c r="D8952" t="s">
        <v>3185</v>
      </c>
      <c r="E8952" t="s">
        <v>646</v>
      </c>
      <c r="F8952" t="s">
        <v>40</v>
      </c>
      <c r="G8952">
        <v>2040</v>
      </c>
      <c r="H8952" s="12">
        <v>66428</v>
      </c>
      <c r="I8952" t="s">
        <v>3183</v>
      </c>
      <c r="J8952" t="s">
        <v>344</v>
      </c>
      <c r="K8952" t="s">
        <v>9</v>
      </c>
      <c r="L8952" t="s">
        <v>20</v>
      </c>
      <c r="M8952" t="s">
        <v>10</v>
      </c>
    </row>
    <row r="8953" spans="1:13">
      <c r="A8953" t="s">
        <v>852</v>
      </c>
      <c r="B8953" t="s">
        <v>853</v>
      </c>
      <c r="C8953" t="s">
        <v>853</v>
      </c>
      <c r="D8953" t="s">
        <v>3185</v>
      </c>
      <c r="E8953" t="s">
        <v>646</v>
      </c>
      <c r="F8953" t="s">
        <v>40</v>
      </c>
      <c r="G8953">
        <v>2045</v>
      </c>
      <c r="H8953" s="12">
        <v>73326</v>
      </c>
      <c r="I8953" t="s">
        <v>3183</v>
      </c>
      <c r="J8953" t="s">
        <v>344</v>
      </c>
      <c r="K8953" t="s">
        <v>9</v>
      </c>
      <c r="L8953" t="s">
        <v>20</v>
      </c>
      <c r="M8953" t="s">
        <v>10</v>
      </c>
    </row>
    <row r="8954" spans="1:13">
      <c r="A8954" t="s">
        <v>852</v>
      </c>
      <c r="B8954" t="s">
        <v>853</v>
      </c>
      <c r="C8954" t="s">
        <v>853</v>
      </c>
      <c r="D8954" t="s">
        <v>3185</v>
      </c>
      <c r="E8954" t="s">
        <v>646</v>
      </c>
      <c r="F8954" t="s">
        <v>40</v>
      </c>
      <c r="G8954">
        <v>2050</v>
      </c>
      <c r="H8954" s="12">
        <v>78109</v>
      </c>
      <c r="I8954" t="s">
        <v>3183</v>
      </c>
      <c r="J8954" t="s">
        <v>344</v>
      </c>
      <c r="K8954" t="s">
        <v>9</v>
      </c>
      <c r="L8954" t="s">
        <v>20</v>
      </c>
      <c r="M8954" t="s">
        <v>10</v>
      </c>
    </row>
    <row r="8955" spans="1:13">
      <c r="A8955" t="s">
        <v>852</v>
      </c>
      <c r="B8955" t="s">
        <v>853</v>
      </c>
      <c r="C8955" t="s">
        <v>853</v>
      </c>
      <c r="D8955" t="s">
        <v>3185</v>
      </c>
      <c r="E8955" t="s">
        <v>646</v>
      </c>
      <c r="F8955" t="s">
        <v>40</v>
      </c>
      <c r="G8955">
        <v>2010</v>
      </c>
      <c r="H8955" s="12">
        <v>28574</v>
      </c>
      <c r="I8955" t="s">
        <v>3183</v>
      </c>
      <c r="J8955" t="s">
        <v>394</v>
      </c>
      <c r="K8955" t="s">
        <v>9</v>
      </c>
      <c r="L8955" t="s">
        <v>20</v>
      </c>
      <c r="M8955" t="s">
        <v>16</v>
      </c>
    </row>
    <row r="8956" spans="1:13">
      <c r="A8956" t="s">
        <v>852</v>
      </c>
      <c r="B8956" t="s">
        <v>853</v>
      </c>
      <c r="C8956" t="s">
        <v>853</v>
      </c>
      <c r="D8956" t="s">
        <v>3185</v>
      </c>
      <c r="E8956" t="s">
        <v>646</v>
      </c>
      <c r="F8956" t="s">
        <v>40</v>
      </c>
      <c r="G8956">
        <v>2015</v>
      </c>
      <c r="H8956" s="12">
        <v>30334</v>
      </c>
      <c r="I8956" t="s">
        <v>3183</v>
      </c>
      <c r="J8956" t="s">
        <v>394</v>
      </c>
      <c r="K8956" t="s">
        <v>9</v>
      </c>
      <c r="L8956" t="s">
        <v>20</v>
      </c>
      <c r="M8956" t="s">
        <v>16</v>
      </c>
    </row>
    <row r="8957" spans="1:13">
      <c r="A8957" t="s">
        <v>852</v>
      </c>
      <c r="B8957" t="s">
        <v>853</v>
      </c>
      <c r="C8957" t="s">
        <v>853</v>
      </c>
      <c r="D8957" t="s">
        <v>3185</v>
      </c>
      <c r="E8957" t="s">
        <v>646</v>
      </c>
      <c r="F8957" t="s">
        <v>40</v>
      </c>
      <c r="G8957">
        <v>2020</v>
      </c>
      <c r="H8957" s="12">
        <v>32241</v>
      </c>
      <c r="I8957" t="s">
        <v>3183</v>
      </c>
      <c r="J8957" t="s">
        <v>394</v>
      </c>
      <c r="K8957" t="s">
        <v>9</v>
      </c>
      <c r="L8957" t="s">
        <v>20</v>
      </c>
      <c r="M8957" t="s">
        <v>16</v>
      </c>
    </row>
    <row r="8958" spans="1:13">
      <c r="A8958" t="s">
        <v>852</v>
      </c>
      <c r="B8958" t="s">
        <v>853</v>
      </c>
      <c r="C8958" t="s">
        <v>853</v>
      </c>
      <c r="D8958" t="s">
        <v>3185</v>
      </c>
      <c r="E8958" t="s">
        <v>646</v>
      </c>
      <c r="F8958" t="s">
        <v>40</v>
      </c>
      <c r="G8958">
        <v>2030</v>
      </c>
      <c r="H8958" s="12">
        <v>33611</v>
      </c>
      <c r="I8958" t="s">
        <v>3183</v>
      </c>
      <c r="J8958" t="s">
        <v>394</v>
      </c>
      <c r="K8958" t="s">
        <v>9</v>
      </c>
      <c r="L8958" t="s">
        <v>20</v>
      </c>
      <c r="M8958" t="s">
        <v>16</v>
      </c>
    </row>
    <row r="8959" spans="1:13">
      <c r="A8959" t="s">
        <v>852</v>
      </c>
      <c r="B8959" t="s">
        <v>853</v>
      </c>
      <c r="C8959" t="s">
        <v>853</v>
      </c>
      <c r="D8959" t="s">
        <v>3185</v>
      </c>
      <c r="E8959" t="s">
        <v>646</v>
      </c>
      <c r="F8959" t="s">
        <v>40</v>
      </c>
      <c r="G8959">
        <v>2035</v>
      </c>
      <c r="H8959" s="12">
        <v>30588</v>
      </c>
      <c r="I8959" t="s">
        <v>3183</v>
      </c>
      <c r="J8959" t="s">
        <v>394</v>
      </c>
      <c r="K8959" t="s">
        <v>9</v>
      </c>
      <c r="L8959" t="s">
        <v>20</v>
      </c>
      <c r="M8959" t="s">
        <v>16</v>
      </c>
    </row>
    <row r="8960" spans="1:13">
      <c r="A8960" t="s">
        <v>852</v>
      </c>
      <c r="B8960" t="s">
        <v>853</v>
      </c>
      <c r="C8960" t="s">
        <v>853</v>
      </c>
      <c r="D8960" t="s">
        <v>3185</v>
      </c>
      <c r="E8960" t="s">
        <v>646</v>
      </c>
      <c r="F8960" t="s">
        <v>40</v>
      </c>
      <c r="G8960">
        <v>2040</v>
      </c>
      <c r="H8960" s="12">
        <v>27266</v>
      </c>
      <c r="I8960" t="s">
        <v>3183</v>
      </c>
      <c r="J8960" t="s">
        <v>394</v>
      </c>
      <c r="K8960" t="s">
        <v>9</v>
      </c>
      <c r="L8960" t="s">
        <v>20</v>
      </c>
      <c r="M8960" t="s">
        <v>16</v>
      </c>
    </row>
    <row r="8961" spans="1:13">
      <c r="A8961" t="s">
        <v>852</v>
      </c>
      <c r="B8961" t="s">
        <v>853</v>
      </c>
      <c r="C8961" t="s">
        <v>853</v>
      </c>
      <c r="D8961" t="s">
        <v>3185</v>
      </c>
      <c r="E8961" t="s">
        <v>646</v>
      </c>
      <c r="F8961" t="s">
        <v>40</v>
      </c>
      <c r="G8961">
        <v>2045</v>
      </c>
      <c r="H8961" s="12">
        <v>24158</v>
      </c>
      <c r="I8961" t="s">
        <v>3183</v>
      </c>
      <c r="J8961" t="s">
        <v>394</v>
      </c>
      <c r="K8961" t="s">
        <v>9</v>
      </c>
      <c r="L8961" t="s">
        <v>20</v>
      </c>
      <c r="M8961" t="s">
        <v>16</v>
      </c>
    </row>
    <row r="8962" spans="1:13">
      <c r="A8962" t="s">
        <v>852</v>
      </c>
      <c r="B8962" t="s">
        <v>853</v>
      </c>
      <c r="C8962" t="s">
        <v>853</v>
      </c>
      <c r="D8962" t="s">
        <v>3185</v>
      </c>
      <c r="E8962" t="s">
        <v>646</v>
      </c>
      <c r="F8962" t="s">
        <v>40</v>
      </c>
      <c r="G8962">
        <v>2050</v>
      </c>
      <c r="H8962" s="12">
        <v>21533</v>
      </c>
      <c r="I8962" t="s">
        <v>3183</v>
      </c>
      <c r="J8962" t="s">
        <v>394</v>
      </c>
      <c r="K8962" t="s">
        <v>9</v>
      </c>
      <c r="L8962" t="s">
        <v>20</v>
      </c>
      <c r="M8962" t="s">
        <v>16</v>
      </c>
    </row>
    <row r="8963" spans="1:13">
      <c r="A8963" t="s">
        <v>852</v>
      </c>
      <c r="B8963" t="s">
        <v>853</v>
      </c>
      <c r="C8963" t="s">
        <v>853</v>
      </c>
      <c r="D8963" t="s">
        <v>3185</v>
      </c>
      <c r="E8963" t="s">
        <v>646</v>
      </c>
      <c r="F8963" t="s">
        <v>40</v>
      </c>
      <c r="G8963">
        <v>2010</v>
      </c>
      <c r="H8963" s="12">
        <v>3</v>
      </c>
      <c r="I8963" t="s">
        <v>3183</v>
      </c>
      <c r="J8963" t="s">
        <v>148</v>
      </c>
      <c r="K8963" t="s">
        <v>9</v>
      </c>
      <c r="L8963" t="s">
        <v>20</v>
      </c>
      <c r="M8963" t="s">
        <v>860</v>
      </c>
    </row>
    <row r="8964" spans="1:13">
      <c r="A8964" t="s">
        <v>852</v>
      </c>
      <c r="B8964" t="s">
        <v>853</v>
      </c>
      <c r="C8964" t="s">
        <v>853</v>
      </c>
      <c r="D8964" t="s">
        <v>3185</v>
      </c>
      <c r="E8964" t="s">
        <v>646</v>
      </c>
      <c r="F8964" t="s">
        <v>40</v>
      </c>
      <c r="G8964">
        <v>2015</v>
      </c>
      <c r="H8964" s="12">
        <v>13</v>
      </c>
      <c r="I8964" t="s">
        <v>3183</v>
      </c>
      <c r="J8964" t="s">
        <v>148</v>
      </c>
      <c r="K8964" t="s">
        <v>9</v>
      </c>
      <c r="L8964" t="s">
        <v>20</v>
      </c>
      <c r="M8964" t="s">
        <v>860</v>
      </c>
    </row>
    <row r="8965" spans="1:13">
      <c r="A8965" t="s">
        <v>852</v>
      </c>
      <c r="B8965" t="s">
        <v>853</v>
      </c>
      <c r="C8965" t="s">
        <v>853</v>
      </c>
      <c r="D8965" t="s">
        <v>3185</v>
      </c>
      <c r="E8965" t="s">
        <v>646</v>
      </c>
      <c r="F8965" t="s">
        <v>40</v>
      </c>
      <c r="G8965">
        <v>2020</v>
      </c>
      <c r="H8965" s="12">
        <v>57</v>
      </c>
      <c r="I8965" t="s">
        <v>3183</v>
      </c>
      <c r="J8965" t="s">
        <v>148</v>
      </c>
      <c r="K8965" t="s">
        <v>9</v>
      </c>
      <c r="L8965" t="s">
        <v>20</v>
      </c>
      <c r="M8965" t="s">
        <v>860</v>
      </c>
    </row>
    <row r="8966" spans="1:13">
      <c r="A8966" t="s">
        <v>852</v>
      </c>
      <c r="B8966" t="s">
        <v>853</v>
      </c>
      <c r="C8966" t="s">
        <v>853</v>
      </c>
      <c r="D8966" t="s">
        <v>3185</v>
      </c>
      <c r="E8966" t="s">
        <v>646</v>
      </c>
      <c r="F8966" t="s">
        <v>40</v>
      </c>
      <c r="G8966">
        <v>2030</v>
      </c>
      <c r="H8966" s="12">
        <v>1694</v>
      </c>
      <c r="I8966" t="s">
        <v>3183</v>
      </c>
      <c r="J8966" t="s">
        <v>148</v>
      </c>
      <c r="K8966" t="s">
        <v>9</v>
      </c>
      <c r="L8966" t="s">
        <v>20</v>
      </c>
      <c r="M8966" t="s">
        <v>860</v>
      </c>
    </row>
    <row r="8967" spans="1:13">
      <c r="A8967" t="s">
        <v>852</v>
      </c>
      <c r="B8967" t="s">
        <v>853</v>
      </c>
      <c r="C8967" t="s">
        <v>853</v>
      </c>
      <c r="D8967" t="s">
        <v>3185</v>
      </c>
      <c r="E8967" t="s">
        <v>646</v>
      </c>
      <c r="F8967" t="s">
        <v>40</v>
      </c>
      <c r="G8967">
        <v>2035</v>
      </c>
      <c r="H8967" s="12">
        <v>2587</v>
      </c>
      <c r="I8967" t="s">
        <v>3183</v>
      </c>
      <c r="J8967" t="s">
        <v>148</v>
      </c>
      <c r="K8967" t="s">
        <v>9</v>
      </c>
      <c r="L8967" t="s">
        <v>20</v>
      </c>
      <c r="M8967" t="s">
        <v>860</v>
      </c>
    </row>
    <row r="8968" spans="1:13">
      <c r="A8968" t="s">
        <v>852</v>
      </c>
      <c r="B8968" t="s">
        <v>853</v>
      </c>
      <c r="C8968" t="s">
        <v>853</v>
      </c>
      <c r="D8968" t="s">
        <v>3185</v>
      </c>
      <c r="E8968" t="s">
        <v>646</v>
      </c>
      <c r="F8968" t="s">
        <v>40</v>
      </c>
      <c r="G8968">
        <v>2040</v>
      </c>
      <c r="H8968" s="12">
        <v>3380</v>
      </c>
      <c r="I8968" t="s">
        <v>3183</v>
      </c>
      <c r="J8968" t="s">
        <v>148</v>
      </c>
      <c r="K8968" t="s">
        <v>9</v>
      </c>
      <c r="L8968" t="s">
        <v>20</v>
      </c>
      <c r="M8968" t="s">
        <v>860</v>
      </c>
    </row>
    <row r="8969" spans="1:13">
      <c r="A8969" t="s">
        <v>852</v>
      </c>
      <c r="B8969" t="s">
        <v>853</v>
      </c>
      <c r="C8969" t="s">
        <v>853</v>
      </c>
      <c r="D8969" t="s">
        <v>3185</v>
      </c>
      <c r="E8969" t="s">
        <v>646</v>
      </c>
      <c r="F8969" t="s">
        <v>40</v>
      </c>
      <c r="G8969">
        <v>2045</v>
      </c>
      <c r="H8969" s="12">
        <v>4071</v>
      </c>
      <c r="I8969" t="s">
        <v>3183</v>
      </c>
      <c r="J8969" t="s">
        <v>148</v>
      </c>
      <c r="K8969" t="s">
        <v>9</v>
      </c>
      <c r="L8969" t="s">
        <v>20</v>
      </c>
      <c r="M8969" t="s">
        <v>860</v>
      </c>
    </row>
    <row r="8970" spans="1:13">
      <c r="A8970" t="s">
        <v>852</v>
      </c>
      <c r="B8970" t="s">
        <v>853</v>
      </c>
      <c r="C8970" t="s">
        <v>853</v>
      </c>
      <c r="D8970" t="s">
        <v>3185</v>
      </c>
      <c r="E8970" t="s">
        <v>646</v>
      </c>
      <c r="F8970" t="s">
        <v>40</v>
      </c>
      <c r="G8970">
        <v>2050</v>
      </c>
      <c r="H8970" s="12">
        <v>4898</v>
      </c>
      <c r="I8970" t="s">
        <v>3183</v>
      </c>
      <c r="J8970" t="s">
        <v>148</v>
      </c>
      <c r="K8970" t="s">
        <v>9</v>
      </c>
      <c r="L8970" t="s">
        <v>20</v>
      </c>
      <c r="M8970" t="s">
        <v>860</v>
      </c>
    </row>
    <row r="8971" spans="1:13">
      <c r="A8971" t="s">
        <v>852</v>
      </c>
      <c r="B8971" t="s">
        <v>853</v>
      </c>
      <c r="C8971" t="s">
        <v>853</v>
      </c>
      <c r="D8971" t="s">
        <v>3185</v>
      </c>
      <c r="E8971" t="s">
        <v>646</v>
      </c>
      <c r="F8971" t="s">
        <v>40</v>
      </c>
      <c r="G8971">
        <v>2010</v>
      </c>
      <c r="H8971" s="12">
        <v>0</v>
      </c>
      <c r="I8971" t="s">
        <v>3183</v>
      </c>
      <c r="J8971" t="s">
        <v>8</v>
      </c>
      <c r="K8971" t="s">
        <v>9</v>
      </c>
      <c r="L8971" t="s">
        <v>20</v>
      </c>
      <c r="M8971" t="s">
        <v>8</v>
      </c>
    </row>
    <row r="8972" spans="1:13">
      <c r="A8972" t="s">
        <v>852</v>
      </c>
      <c r="B8972" t="s">
        <v>853</v>
      </c>
      <c r="C8972" t="s">
        <v>853</v>
      </c>
      <c r="D8972" t="s">
        <v>3185</v>
      </c>
      <c r="E8972" t="s">
        <v>646</v>
      </c>
      <c r="F8972" t="s">
        <v>40</v>
      </c>
      <c r="G8972">
        <v>2015</v>
      </c>
      <c r="H8972" s="12">
        <v>0</v>
      </c>
      <c r="I8972" t="s">
        <v>3183</v>
      </c>
      <c r="J8972" t="s">
        <v>8</v>
      </c>
      <c r="K8972" t="s">
        <v>9</v>
      </c>
      <c r="L8972" t="s">
        <v>20</v>
      </c>
      <c r="M8972" t="s">
        <v>8</v>
      </c>
    </row>
    <row r="8973" spans="1:13">
      <c r="A8973" t="s">
        <v>852</v>
      </c>
      <c r="B8973" t="s">
        <v>853</v>
      </c>
      <c r="C8973" t="s">
        <v>853</v>
      </c>
      <c r="D8973" t="s">
        <v>3185</v>
      </c>
      <c r="E8973" t="s">
        <v>646</v>
      </c>
      <c r="F8973" t="s">
        <v>40</v>
      </c>
      <c r="G8973">
        <v>2020</v>
      </c>
      <c r="H8973" s="12">
        <v>0</v>
      </c>
      <c r="I8973" t="s">
        <v>3183</v>
      </c>
      <c r="J8973" t="s">
        <v>8</v>
      </c>
      <c r="K8973" t="s">
        <v>9</v>
      </c>
      <c r="L8973" t="s">
        <v>20</v>
      </c>
      <c r="M8973" t="s">
        <v>8</v>
      </c>
    </row>
    <row r="8974" spans="1:13">
      <c r="A8974" t="s">
        <v>852</v>
      </c>
      <c r="B8974" t="s">
        <v>853</v>
      </c>
      <c r="C8974" t="s">
        <v>853</v>
      </c>
      <c r="D8974" t="s">
        <v>3185</v>
      </c>
      <c r="E8974" t="s">
        <v>646</v>
      </c>
      <c r="F8974" t="s">
        <v>40</v>
      </c>
      <c r="G8974">
        <v>2030</v>
      </c>
      <c r="H8974" s="12">
        <v>1978</v>
      </c>
      <c r="I8974" t="s">
        <v>3183</v>
      </c>
      <c r="J8974" t="s">
        <v>8</v>
      </c>
      <c r="K8974" t="s">
        <v>9</v>
      </c>
      <c r="L8974" t="s">
        <v>20</v>
      </c>
      <c r="M8974" t="s">
        <v>8</v>
      </c>
    </row>
    <row r="8975" spans="1:13">
      <c r="A8975" t="s">
        <v>852</v>
      </c>
      <c r="B8975" t="s">
        <v>853</v>
      </c>
      <c r="C8975" t="s">
        <v>853</v>
      </c>
      <c r="D8975" t="s">
        <v>3185</v>
      </c>
      <c r="E8975" t="s">
        <v>646</v>
      </c>
      <c r="F8975" t="s">
        <v>40</v>
      </c>
      <c r="G8975">
        <v>2035</v>
      </c>
      <c r="H8975" s="12">
        <v>3327</v>
      </c>
      <c r="I8975" t="s">
        <v>3183</v>
      </c>
      <c r="J8975" t="s">
        <v>8</v>
      </c>
      <c r="K8975" t="s">
        <v>9</v>
      </c>
      <c r="L8975" t="s">
        <v>20</v>
      </c>
      <c r="M8975" t="s">
        <v>8</v>
      </c>
    </row>
    <row r="8976" spans="1:13">
      <c r="A8976" t="s">
        <v>852</v>
      </c>
      <c r="B8976" t="s">
        <v>853</v>
      </c>
      <c r="C8976" t="s">
        <v>853</v>
      </c>
      <c r="D8976" t="s">
        <v>3185</v>
      </c>
      <c r="E8976" t="s">
        <v>646</v>
      </c>
      <c r="F8976" t="s">
        <v>40</v>
      </c>
      <c r="G8976">
        <v>2040</v>
      </c>
      <c r="H8976" s="12">
        <v>4276</v>
      </c>
      <c r="I8976" t="s">
        <v>3183</v>
      </c>
      <c r="J8976" t="s">
        <v>8</v>
      </c>
      <c r="K8976" t="s">
        <v>9</v>
      </c>
      <c r="L8976" t="s">
        <v>20</v>
      </c>
      <c r="M8976" t="s">
        <v>8</v>
      </c>
    </row>
    <row r="8977" spans="1:13">
      <c r="A8977" t="s">
        <v>852</v>
      </c>
      <c r="B8977" t="s">
        <v>853</v>
      </c>
      <c r="C8977" t="s">
        <v>853</v>
      </c>
      <c r="D8977" t="s">
        <v>3185</v>
      </c>
      <c r="E8977" t="s">
        <v>646</v>
      </c>
      <c r="F8977" t="s">
        <v>40</v>
      </c>
      <c r="G8977">
        <v>2045</v>
      </c>
      <c r="H8977" s="12">
        <v>4872</v>
      </c>
      <c r="I8977" t="s">
        <v>3183</v>
      </c>
      <c r="J8977" t="s">
        <v>8</v>
      </c>
      <c r="K8977" t="s">
        <v>9</v>
      </c>
      <c r="L8977" t="s">
        <v>20</v>
      </c>
      <c r="M8977" t="s">
        <v>8</v>
      </c>
    </row>
    <row r="8978" spans="1:13">
      <c r="A8978" t="s">
        <v>852</v>
      </c>
      <c r="B8978" t="s">
        <v>853</v>
      </c>
      <c r="C8978" t="s">
        <v>853</v>
      </c>
      <c r="D8978" t="s">
        <v>3185</v>
      </c>
      <c r="E8978" t="s">
        <v>646</v>
      </c>
      <c r="F8978" t="s">
        <v>40</v>
      </c>
      <c r="G8978">
        <v>2050</v>
      </c>
      <c r="H8978" s="12">
        <v>5129</v>
      </c>
      <c r="I8978" t="s">
        <v>3183</v>
      </c>
      <c r="J8978" t="s">
        <v>8</v>
      </c>
      <c r="K8978" t="s">
        <v>9</v>
      </c>
      <c r="L8978" t="s">
        <v>20</v>
      </c>
      <c r="M8978" t="s">
        <v>8</v>
      </c>
    </row>
    <row r="8979" spans="1:13">
      <c r="A8979" t="s">
        <v>852</v>
      </c>
      <c r="B8979" t="s">
        <v>853</v>
      </c>
      <c r="C8979" t="s">
        <v>853</v>
      </c>
      <c r="D8979" t="s">
        <v>3185</v>
      </c>
      <c r="E8979" t="s">
        <v>646</v>
      </c>
      <c r="F8979" t="s">
        <v>40</v>
      </c>
      <c r="G8979">
        <v>2010</v>
      </c>
      <c r="H8979" s="12">
        <v>24295</v>
      </c>
      <c r="I8979" t="s">
        <v>3183</v>
      </c>
      <c r="J8979" t="s">
        <v>6</v>
      </c>
      <c r="K8979" t="s">
        <v>9</v>
      </c>
      <c r="L8979" t="s">
        <v>20</v>
      </c>
      <c r="M8979" t="s">
        <v>666</v>
      </c>
    </row>
    <row r="8980" spans="1:13">
      <c r="A8980" t="s">
        <v>852</v>
      </c>
      <c r="B8980" t="s">
        <v>853</v>
      </c>
      <c r="C8980" t="s">
        <v>853</v>
      </c>
      <c r="D8980" t="s">
        <v>3185</v>
      </c>
      <c r="E8980" t="s">
        <v>646</v>
      </c>
      <c r="F8980" t="s">
        <v>40</v>
      </c>
      <c r="G8980">
        <v>2015</v>
      </c>
      <c r="H8980" s="12">
        <v>26595</v>
      </c>
      <c r="I8980" t="s">
        <v>3183</v>
      </c>
      <c r="J8980" t="s">
        <v>6</v>
      </c>
      <c r="K8980" t="s">
        <v>9</v>
      </c>
      <c r="L8980" t="s">
        <v>20</v>
      </c>
      <c r="M8980" t="s">
        <v>666</v>
      </c>
    </row>
    <row r="8981" spans="1:13">
      <c r="A8981" t="s">
        <v>852</v>
      </c>
      <c r="B8981" t="s">
        <v>853</v>
      </c>
      <c r="C8981" t="s">
        <v>853</v>
      </c>
      <c r="D8981" t="s">
        <v>3185</v>
      </c>
      <c r="E8981" t="s">
        <v>646</v>
      </c>
      <c r="F8981" t="s">
        <v>40</v>
      </c>
      <c r="G8981">
        <v>2020</v>
      </c>
      <c r="H8981" s="12">
        <v>29444</v>
      </c>
      <c r="I8981" t="s">
        <v>3183</v>
      </c>
      <c r="J8981" t="s">
        <v>6</v>
      </c>
      <c r="K8981" t="s">
        <v>9</v>
      </c>
      <c r="L8981" t="s">
        <v>20</v>
      </c>
      <c r="M8981" t="s">
        <v>666</v>
      </c>
    </row>
    <row r="8982" spans="1:13">
      <c r="A8982" t="s">
        <v>852</v>
      </c>
      <c r="B8982" t="s">
        <v>853</v>
      </c>
      <c r="C8982" t="s">
        <v>853</v>
      </c>
      <c r="D8982" t="s">
        <v>3185</v>
      </c>
      <c r="E8982" t="s">
        <v>646</v>
      </c>
      <c r="F8982" t="s">
        <v>40</v>
      </c>
      <c r="G8982">
        <v>2030</v>
      </c>
      <c r="H8982" s="12">
        <v>27662</v>
      </c>
      <c r="I8982" t="s">
        <v>3183</v>
      </c>
      <c r="J8982" t="s">
        <v>6</v>
      </c>
      <c r="K8982" t="s">
        <v>9</v>
      </c>
      <c r="L8982" t="s">
        <v>20</v>
      </c>
      <c r="M8982" t="s">
        <v>666</v>
      </c>
    </row>
    <row r="8983" spans="1:13">
      <c r="A8983" t="s">
        <v>852</v>
      </c>
      <c r="B8983" t="s">
        <v>853</v>
      </c>
      <c r="C8983" t="s">
        <v>853</v>
      </c>
      <c r="D8983" t="s">
        <v>3185</v>
      </c>
      <c r="E8983" t="s">
        <v>646</v>
      </c>
      <c r="F8983" t="s">
        <v>40</v>
      </c>
      <c r="G8983">
        <v>2035</v>
      </c>
      <c r="H8983" s="12">
        <v>22764</v>
      </c>
      <c r="I8983" t="s">
        <v>3183</v>
      </c>
      <c r="J8983" t="s">
        <v>6</v>
      </c>
      <c r="K8983" t="s">
        <v>9</v>
      </c>
      <c r="L8983" t="s">
        <v>20</v>
      </c>
      <c r="M8983" t="s">
        <v>666</v>
      </c>
    </row>
    <row r="8984" spans="1:13">
      <c r="A8984" t="s">
        <v>852</v>
      </c>
      <c r="B8984" t="s">
        <v>853</v>
      </c>
      <c r="C8984" t="s">
        <v>853</v>
      </c>
      <c r="D8984" t="s">
        <v>3185</v>
      </c>
      <c r="E8984" t="s">
        <v>646</v>
      </c>
      <c r="F8984" t="s">
        <v>40</v>
      </c>
      <c r="G8984">
        <v>2040</v>
      </c>
      <c r="H8984" s="12">
        <v>17287</v>
      </c>
      <c r="I8984" t="s">
        <v>3183</v>
      </c>
      <c r="J8984" t="s">
        <v>6</v>
      </c>
      <c r="K8984" t="s">
        <v>9</v>
      </c>
      <c r="L8984" t="s">
        <v>20</v>
      </c>
      <c r="M8984" t="s">
        <v>666</v>
      </c>
    </row>
    <row r="8985" spans="1:13">
      <c r="A8985" t="s">
        <v>852</v>
      </c>
      <c r="B8985" t="s">
        <v>853</v>
      </c>
      <c r="C8985" t="s">
        <v>853</v>
      </c>
      <c r="D8985" t="s">
        <v>3185</v>
      </c>
      <c r="E8985" t="s">
        <v>646</v>
      </c>
      <c r="F8985" t="s">
        <v>40</v>
      </c>
      <c r="G8985">
        <v>2045</v>
      </c>
      <c r="H8985" s="12">
        <v>11447</v>
      </c>
      <c r="I8985" t="s">
        <v>3183</v>
      </c>
      <c r="J8985" t="s">
        <v>6</v>
      </c>
      <c r="K8985" t="s">
        <v>9</v>
      </c>
      <c r="L8985" t="s">
        <v>20</v>
      </c>
      <c r="M8985" t="s">
        <v>666</v>
      </c>
    </row>
    <row r="8986" spans="1:13">
      <c r="A8986" t="s">
        <v>852</v>
      </c>
      <c r="B8986" t="s">
        <v>853</v>
      </c>
      <c r="C8986" t="s">
        <v>853</v>
      </c>
      <c r="D8986" t="s">
        <v>3185</v>
      </c>
      <c r="E8986" t="s">
        <v>646</v>
      </c>
      <c r="F8986" t="s">
        <v>40</v>
      </c>
      <c r="G8986">
        <v>2050</v>
      </c>
      <c r="H8986" s="12">
        <v>5705</v>
      </c>
      <c r="I8986" t="s">
        <v>3183</v>
      </c>
      <c r="J8986" t="s">
        <v>6</v>
      </c>
      <c r="K8986" t="s">
        <v>9</v>
      </c>
      <c r="L8986" t="s">
        <v>20</v>
      </c>
      <c r="M8986" t="s">
        <v>666</v>
      </c>
    </row>
    <row r="8987" spans="1:13">
      <c r="A8987" t="s">
        <v>852</v>
      </c>
      <c r="B8987" t="s">
        <v>853</v>
      </c>
      <c r="C8987" t="s">
        <v>853</v>
      </c>
      <c r="D8987" t="s">
        <v>3185</v>
      </c>
      <c r="E8987" t="s">
        <v>646</v>
      </c>
      <c r="F8987" t="s">
        <v>40</v>
      </c>
      <c r="G8987">
        <v>2010</v>
      </c>
      <c r="H8987" s="12">
        <v>6</v>
      </c>
      <c r="I8987" t="s">
        <v>3183</v>
      </c>
      <c r="J8987" t="s">
        <v>6</v>
      </c>
      <c r="K8987" t="s">
        <v>9</v>
      </c>
      <c r="L8987" t="s">
        <v>20</v>
      </c>
      <c r="M8987" t="s">
        <v>857</v>
      </c>
    </row>
    <row r="8988" spans="1:13">
      <c r="A8988" t="s">
        <v>852</v>
      </c>
      <c r="B8988" t="s">
        <v>853</v>
      </c>
      <c r="C8988" t="s">
        <v>853</v>
      </c>
      <c r="D8988" t="s">
        <v>3185</v>
      </c>
      <c r="E8988" t="s">
        <v>646</v>
      </c>
      <c r="F8988" t="s">
        <v>40</v>
      </c>
      <c r="G8988">
        <v>2015</v>
      </c>
      <c r="H8988" s="12">
        <v>21</v>
      </c>
      <c r="I8988" t="s">
        <v>3183</v>
      </c>
      <c r="J8988" t="s">
        <v>6</v>
      </c>
      <c r="K8988" t="s">
        <v>9</v>
      </c>
      <c r="L8988" t="s">
        <v>20</v>
      </c>
      <c r="M8988" t="s">
        <v>857</v>
      </c>
    </row>
    <row r="8989" spans="1:13">
      <c r="A8989" t="s">
        <v>852</v>
      </c>
      <c r="B8989" t="s">
        <v>853</v>
      </c>
      <c r="C8989" t="s">
        <v>853</v>
      </c>
      <c r="D8989" t="s">
        <v>3185</v>
      </c>
      <c r="E8989" t="s">
        <v>646</v>
      </c>
      <c r="F8989" t="s">
        <v>40</v>
      </c>
      <c r="G8989">
        <v>2020</v>
      </c>
      <c r="H8989" s="12">
        <v>27</v>
      </c>
      <c r="I8989" t="s">
        <v>3183</v>
      </c>
      <c r="J8989" t="s">
        <v>6</v>
      </c>
      <c r="K8989" t="s">
        <v>9</v>
      </c>
      <c r="L8989" t="s">
        <v>20</v>
      </c>
      <c r="M8989" t="s">
        <v>857</v>
      </c>
    </row>
    <row r="8990" spans="1:13">
      <c r="A8990" t="s">
        <v>852</v>
      </c>
      <c r="B8990" t="s">
        <v>853</v>
      </c>
      <c r="C8990" t="s">
        <v>853</v>
      </c>
      <c r="D8990" t="s">
        <v>3185</v>
      </c>
      <c r="E8990" t="s">
        <v>646</v>
      </c>
      <c r="F8990" t="s">
        <v>40</v>
      </c>
      <c r="G8990">
        <v>2030</v>
      </c>
      <c r="H8990" s="12">
        <v>876</v>
      </c>
      <c r="I8990" t="s">
        <v>3183</v>
      </c>
      <c r="J8990" t="s">
        <v>6</v>
      </c>
      <c r="K8990" t="s">
        <v>9</v>
      </c>
      <c r="L8990" t="s">
        <v>20</v>
      </c>
      <c r="M8990" t="s">
        <v>857</v>
      </c>
    </row>
    <row r="8991" spans="1:13">
      <c r="A8991" t="s">
        <v>852</v>
      </c>
      <c r="B8991" t="s">
        <v>853</v>
      </c>
      <c r="C8991" t="s">
        <v>853</v>
      </c>
      <c r="D8991" t="s">
        <v>3185</v>
      </c>
      <c r="E8991" t="s">
        <v>646</v>
      </c>
      <c r="F8991" t="s">
        <v>40</v>
      </c>
      <c r="G8991">
        <v>2035</v>
      </c>
      <c r="H8991" s="12">
        <v>2079</v>
      </c>
      <c r="I8991" t="s">
        <v>3183</v>
      </c>
      <c r="J8991" t="s">
        <v>6</v>
      </c>
      <c r="K8991" t="s">
        <v>9</v>
      </c>
      <c r="L8991" t="s">
        <v>20</v>
      </c>
      <c r="M8991" t="s">
        <v>857</v>
      </c>
    </row>
    <row r="8992" spans="1:13">
      <c r="A8992" t="s">
        <v>852</v>
      </c>
      <c r="B8992" t="s">
        <v>853</v>
      </c>
      <c r="C8992" t="s">
        <v>853</v>
      </c>
      <c r="D8992" t="s">
        <v>3185</v>
      </c>
      <c r="E8992" t="s">
        <v>646</v>
      </c>
      <c r="F8992" t="s">
        <v>40</v>
      </c>
      <c r="G8992">
        <v>2040</v>
      </c>
      <c r="H8992" s="12">
        <v>3281</v>
      </c>
      <c r="I8992" t="s">
        <v>3183</v>
      </c>
      <c r="J8992" t="s">
        <v>6</v>
      </c>
      <c r="K8992" t="s">
        <v>9</v>
      </c>
      <c r="L8992" t="s">
        <v>20</v>
      </c>
      <c r="M8992" t="s">
        <v>857</v>
      </c>
    </row>
    <row r="8993" spans="1:13">
      <c r="A8993" t="s">
        <v>852</v>
      </c>
      <c r="B8993" t="s">
        <v>853</v>
      </c>
      <c r="C8993" t="s">
        <v>853</v>
      </c>
      <c r="D8993" t="s">
        <v>3185</v>
      </c>
      <c r="E8993" t="s">
        <v>646</v>
      </c>
      <c r="F8993" t="s">
        <v>40</v>
      </c>
      <c r="G8993">
        <v>2045</v>
      </c>
      <c r="H8993" s="12">
        <v>4423</v>
      </c>
      <c r="I8993" t="s">
        <v>3183</v>
      </c>
      <c r="J8993" t="s">
        <v>6</v>
      </c>
      <c r="K8993" t="s">
        <v>9</v>
      </c>
      <c r="L8993" t="s">
        <v>20</v>
      </c>
      <c r="M8993" t="s">
        <v>857</v>
      </c>
    </row>
    <row r="8994" spans="1:13">
      <c r="A8994" t="s">
        <v>852</v>
      </c>
      <c r="B8994" t="s">
        <v>853</v>
      </c>
      <c r="C8994" t="s">
        <v>853</v>
      </c>
      <c r="D8994" t="s">
        <v>3185</v>
      </c>
      <c r="E8994" t="s">
        <v>646</v>
      </c>
      <c r="F8994" t="s">
        <v>40</v>
      </c>
      <c r="G8994">
        <v>2050</v>
      </c>
      <c r="H8994" s="12">
        <v>5363</v>
      </c>
      <c r="I8994" t="s">
        <v>3183</v>
      </c>
      <c r="J8994" t="s">
        <v>6</v>
      </c>
      <c r="K8994" t="s">
        <v>9</v>
      </c>
      <c r="L8994" t="s">
        <v>20</v>
      </c>
      <c r="M8994" t="s">
        <v>857</v>
      </c>
    </row>
    <row r="8995" spans="1:13">
      <c r="A8995" t="s">
        <v>852</v>
      </c>
      <c r="B8995" t="s">
        <v>853</v>
      </c>
      <c r="C8995" t="s">
        <v>853</v>
      </c>
      <c r="D8995" t="s">
        <v>3185</v>
      </c>
      <c r="E8995" t="s">
        <v>646</v>
      </c>
      <c r="F8995" t="s">
        <v>40</v>
      </c>
      <c r="G8995">
        <v>2010</v>
      </c>
      <c r="H8995" s="12">
        <v>8218</v>
      </c>
      <c r="I8995" t="s">
        <v>3183</v>
      </c>
      <c r="J8995" t="s">
        <v>41</v>
      </c>
      <c r="K8995" t="s">
        <v>9</v>
      </c>
      <c r="L8995" t="s">
        <v>20</v>
      </c>
      <c r="M8995" t="s">
        <v>854</v>
      </c>
    </row>
    <row r="8996" spans="1:13">
      <c r="A8996" t="s">
        <v>852</v>
      </c>
      <c r="B8996" t="s">
        <v>853</v>
      </c>
      <c r="C8996" t="s">
        <v>853</v>
      </c>
      <c r="D8996" t="s">
        <v>3185</v>
      </c>
      <c r="E8996" t="s">
        <v>646</v>
      </c>
      <c r="F8996" t="s">
        <v>40</v>
      </c>
      <c r="G8996">
        <v>2015</v>
      </c>
      <c r="H8996" s="12">
        <v>8999</v>
      </c>
      <c r="I8996" t="s">
        <v>3183</v>
      </c>
      <c r="J8996" t="s">
        <v>41</v>
      </c>
      <c r="K8996" t="s">
        <v>9</v>
      </c>
      <c r="L8996" t="s">
        <v>20</v>
      </c>
      <c r="M8996" t="s">
        <v>854</v>
      </c>
    </row>
    <row r="8997" spans="1:13">
      <c r="A8997" t="s">
        <v>852</v>
      </c>
      <c r="B8997" t="s">
        <v>853</v>
      </c>
      <c r="C8997" t="s">
        <v>853</v>
      </c>
      <c r="D8997" t="s">
        <v>3185</v>
      </c>
      <c r="E8997" t="s">
        <v>646</v>
      </c>
      <c r="F8997" t="s">
        <v>40</v>
      </c>
      <c r="G8997">
        <v>2020</v>
      </c>
      <c r="H8997" s="12">
        <v>10253</v>
      </c>
      <c r="I8997" t="s">
        <v>3183</v>
      </c>
      <c r="J8997" t="s">
        <v>41</v>
      </c>
      <c r="K8997" t="s">
        <v>9</v>
      </c>
      <c r="L8997" t="s">
        <v>20</v>
      </c>
      <c r="M8997" t="s">
        <v>854</v>
      </c>
    </row>
    <row r="8998" spans="1:13">
      <c r="A8998" t="s">
        <v>852</v>
      </c>
      <c r="B8998" t="s">
        <v>853</v>
      </c>
      <c r="C8998" t="s">
        <v>853</v>
      </c>
      <c r="D8998" t="s">
        <v>3185</v>
      </c>
      <c r="E8998" t="s">
        <v>646</v>
      </c>
      <c r="F8998" t="s">
        <v>40</v>
      </c>
      <c r="G8998">
        <v>2030</v>
      </c>
      <c r="H8998" s="12">
        <v>15238</v>
      </c>
      <c r="I8998" t="s">
        <v>3183</v>
      </c>
      <c r="J8998" t="s">
        <v>41</v>
      </c>
      <c r="K8998" t="s">
        <v>9</v>
      </c>
      <c r="L8998" t="s">
        <v>20</v>
      </c>
      <c r="M8998" t="s">
        <v>854</v>
      </c>
    </row>
    <row r="8999" spans="1:13">
      <c r="A8999" t="s">
        <v>852</v>
      </c>
      <c r="B8999" t="s">
        <v>853</v>
      </c>
      <c r="C8999" t="s">
        <v>853</v>
      </c>
      <c r="D8999" t="s">
        <v>3185</v>
      </c>
      <c r="E8999" t="s">
        <v>646</v>
      </c>
      <c r="F8999" t="s">
        <v>40</v>
      </c>
      <c r="G8999">
        <v>2035</v>
      </c>
      <c r="H8999" s="12">
        <v>17220</v>
      </c>
      <c r="I8999" t="s">
        <v>3183</v>
      </c>
      <c r="J8999" t="s">
        <v>41</v>
      </c>
      <c r="K8999" t="s">
        <v>9</v>
      </c>
      <c r="L8999" t="s">
        <v>20</v>
      </c>
      <c r="M8999" t="s">
        <v>854</v>
      </c>
    </row>
    <row r="9000" spans="1:13">
      <c r="A9000" t="s">
        <v>852</v>
      </c>
      <c r="B9000" t="s">
        <v>853</v>
      </c>
      <c r="C9000" t="s">
        <v>853</v>
      </c>
      <c r="D9000" t="s">
        <v>3185</v>
      </c>
      <c r="E9000" t="s">
        <v>646</v>
      </c>
      <c r="F9000" t="s">
        <v>40</v>
      </c>
      <c r="G9000">
        <v>2040</v>
      </c>
      <c r="H9000" s="12">
        <v>18737</v>
      </c>
      <c r="I9000" t="s">
        <v>3183</v>
      </c>
      <c r="J9000" t="s">
        <v>41</v>
      </c>
      <c r="K9000" t="s">
        <v>9</v>
      </c>
      <c r="L9000" t="s">
        <v>20</v>
      </c>
      <c r="M9000" t="s">
        <v>854</v>
      </c>
    </row>
    <row r="9001" spans="1:13">
      <c r="A9001" t="s">
        <v>852</v>
      </c>
      <c r="B9001" t="s">
        <v>853</v>
      </c>
      <c r="C9001" t="s">
        <v>853</v>
      </c>
      <c r="D9001" t="s">
        <v>3185</v>
      </c>
      <c r="E9001" t="s">
        <v>646</v>
      </c>
      <c r="F9001" t="s">
        <v>40</v>
      </c>
      <c r="G9001">
        <v>2045</v>
      </c>
      <c r="H9001" s="12">
        <v>19736</v>
      </c>
      <c r="I9001" t="s">
        <v>3183</v>
      </c>
      <c r="J9001" t="s">
        <v>41</v>
      </c>
      <c r="K9001" t="s">
        <v>9</v>
      </c>
      <c r="L9001" t="s">
        <v>20</v>
      </c>
      <c r="M9001" t="s">
        <v>854</v>
      </c>
    </row>
    <row r="9002" spans="1:13">
      <c r="A9002" t="s">
        <v>852</v>
      </c>
      <c r="B9002" t="s">
        <v>853</v>
      </c>
      <c r="C9002" t="s">
        <v>853</v>
      </c>
      <c r="D9002" t="s">
        <v>3185</v>
      </c>
      <c r="E9002" t="s">
        <v>646</v>
      </c>
      <c r="F9002" t="s">
        <v>40</v>
      </c>
      <c r="G9002">
        <v>2050</v>
      </c>
      <c r="H9002" s="12">
        <v>20487</v>
      </c>
      <c r="I9002" t="s">
        <v>3183</v>
      </c>
      <c r="J9002" t="s">
        <v>41</v>
      </c>
      <c r="K9002" t="s">
        <v>9</v>
      </c>
      <c r="L9002" t="s">
        <v>20</v>
      </c>
      <c r="M9002" t="s">
        <v>854</v>
      </c>
    </row>
    <row r="9003" spans="1:13">
      <c r="A9003" t="s">
        <v>852</v>
      </c>
      <c r="B9003" t="s">
        <v>853</v>
      </c>
      <c r="C9003" t="s">
        <v>853</v>
      </c>
      <c r="D9003" t="s">
        <v>3185</v>
      </c>
      <c r="E9003" t="s">
        <v>646</v>
      </c>
      <c r="F9003" t="s">
        <v>40</v>
      </c>
      <c r="G9003">
        <v>2010</v>
      </c>
      <c r="H9003" s="12">
        <v>49550</v>
      </c>
      <c r="I9003" t="s">
        <v>3183</v>
      </c>
      <c r="J9003" t="s">
        <v>5</v>
      </c>
      <c r="K9003" t="s">
        <v>9</v>
      </c>
      <c r="L9003" t="s">
        <v>20</v>
      </c>
      <c r="M9003" t="s">
        <v>665</v>
      </c>
    </row>
    <row r="9004" spans="1:13">
      <c r="A9004" t="s">
        <v>852</v>
      </c>
      <c r="B9004" t="s">
        <v>853</v>
      </c>
      <c r="C9004" t="s">
        <v>853</v>
      </c>
      <c r="D9004" t="s">
        <v>3185</v>
      </c>
      <c r="E9004" t="s">
        <v>646</v>
      </c>
      <c r="F9004" t="s">
        <v>40</v>
      </c>
      <c r="G9004">
        <v>2015</v>
      </c>
      <c r="H9004" s="12">
        <v>52683</v>
      </c>
      <c r="I9004" t="s">
        <v>3183</v>
      </c>
      <c r="J9004" t="s">
        <v>5</v>
      </c>
      <c r="K9004" t="s">
        <v>9</v>
      </c>
      <c r="L9004" t="s">
        <v>20</v>
      </c>
      <c r="M9004" t="s">
        <v>665</v>
      </c>
    </row>
    <row r="9005" spans="1:13">
      <c r="A9005" t="s">
        <v>852</v>
      </c>
      <c r="B9005" t="s">
        <v>853</v>
      </c>
      <c r="C9005" t="s">
        <v>853</v>
      </c>
      <c r="D9005" t="s">
        <v>3185</v>
      </c>
      <c r="E9005" t="s">
        <v>646</v>
      </c>
      <c r="F9005" t="s">
        <v>40</v>
      </c>
      <c r="G9005">
        <v>2020</v>
      </c>
      <c r="H9005" s="12">
        <v>47048</v>
      </c>
      <c r="I9005" t="s">
        <v>3183</v>
      </c>
      <c r="J9005" t="s">
        <v>5</v>
      </c>
      <c r="K9005" t="s">
        <v>9</v>
      </c>
      <c r="L9005" t="s">
        <v>20</v>
      </c>
      <c r="M9005" t="s">
        <v>665</v>
      </c>
    </row>
    <row r="9006" spans="1:13">
      <c r="A9006" t="s">
        <v>852</v>
      </c>
      <c r="B9006" t="s">
        <v>853</v>
      </c>
      <c r="C9006" t="s">
        <v>853</v>
      </c>
      <c r="D9006" t="s">
        <v>3185</v>
      </c>
      <c r="E9006" t="s">
        <v>646</v>
      </c>
      <c r="F9006" t="s">
        <v>40</v>
      </c>
      <c r="G9006">
        <v>2030</v>
      </c>
      <c r="H9006" s="12">
        <v>33277</v>
      </c>
      <c r="I9006" t="s">
        <v>3183</v>
      </c>
      <c r="J9006" t="s">
        <v>5</v>
      </c>
      <c r="K9006" t="s">
        <v>9</v>
      </c>
      <c r="L9006" t="s">
        <v>20</v>
      </c>
      <c r="M9006" t="s">
        <v>665</v>
      </c>
    </row>
    <row r="9007" spans="1:13">
      <c r="A9007" t="s">
        <v>852</v>
      </c>
      <c r="B9007" t="s">
        <v>853</v>
      </c>
      <c r="C9007" t="s">
        <v>853</v>
      </c>
      <c r="D9007" t="s">
        <v>3185</v>
      </c>
      <c r="E9007" t="s">
        <v>646</v>
      </c>
      <c r="F9007" t="s">
        <v>40</v>
      </c>
      <c r="G9007">
        <v>2035</v>
      </c>
      <c r="H9007" s="12">
        <v>22279</v>
      </c>
      <c r="I9007" t="s">
        <v>3183</v>
      </c>
      <c r="J9007" t="s">
        <v>5</v>
      </c>
      <c r="K9007" t="s">
        <v>9</v>
      </c>
      <c r="L9007" t="s">
        <v>20</v>
      </c>
      <c r="M9007" t="s">
        <v>665</v>
      </c>
    </row>
    <row r="9008" spans="1:13">
      <c r="A9008" t="s">
        <v>852</v>
      </c>
      <c r="B9008" t="s">
        <v>853</v>
      </c>
      <c r="C9008" t="s">
        <v>853</v>
      </c>
      <c r="D9008" t="s">
        <v>3185</v>
      </c>
      <c r="E9008" t="s">
        <v>646</v>
      </c>
      <c r="F9008" t="s">
        <v>40</v>
      </c>
      <c r="G9008">
        <v>2040</v>
      </c>
      <c r="H9008" s="12">
        <v>12792</v>
      </c>
      <c r="I9008" t="s">
        <v>3183</v>
      </c>
      <c r="J9008" t="s">
        <v>5</v>
      </c>
      <c r="K9008" t="s">
        <v>9</v>
      </c>
      <c r="L9008" t="s">
        <v>20</v>
      </c>
      <c r="M9008" t="s">
        <v>665</v>
      </c>
    </row>
    <row r="9009" spans="1:13">
      <c r="A9009" t="s">
        <v>852</v>
      </c>
      <c r="B9009" t="s">
        <v>853</v>
      </c>
      <c r="C9009" t="s">
        <v>853</v>
      </c>
      <c r="D9009" t="s">
        <v>3185</v>
      </c>
      <c r="E9009" t="s">
        <v>646</v>
      </c>
      <c r="F9009" t="s">
        <v>40</v>
      </c>
      <c r="G9009">
        <v>2045</v>
      </c>
      <c r="H9009" s="12">
        <v>5704</v>
      </c>
      <c r="I9009" t="s">
        <v>3183</v>
      </c>
      <c r="J9009" t="s">
        <v>5</v>
      </c>
      <c r="K9009" t="s">
        <v>9</v>
      </c>
      <c r="L9009" t="s">
        <v>20</v>
      </c>
      <c r="M9009" t="s">
        <v>665</v>
      </c>
    </row>
    <row r="9010" spans="1:13">
      <c r="A9010" t="s">
        <v>852</v>
      </c>
      <c r="B9010" t="s">
        <v>853</v>
      </c>
      <c r="C9010" t="s">
        <v>853</v>
      </c>
      <c r="D9010" t="s">
        <v>3185</v>
      </c>
      <c r="E9010" t="s">
        <v>646</v>
      </c>
      <c r="F9010" t="s">
        <v>40</v>
      </c>
      <c r="G9010">
        <v>2050</v>
      </c>
      <c r="H9010" s="12">
        <v>1222</v>
      </c>
      <c r="I9010" t="s">
        <v>3183</v>
      </c>
      <c r="J9010" t="s">
        <v>5</v>
      </c>
      <c r="K9010" t="s">
        <v>9</v>
      </c>
      <c r="L9010" t="s">
        <v>20</v>
      </c>
      <c r="M9010" t="s">
        <v>665</v>
      </c>
    </row>
    <row r="9011" spans="1:13">
      <c r="A9011" t="s">
        <v>852</v>
      </c>
      <c r="B9011" t="s">
        <v>853</v>
      </c>
      <c r="C9011" t="s">
        <v>853</v>
      </c>
      <c r="D9011" t="s">
        <v>3185</v>
      </c>
      <c r="E9011" t="s">
        <v>646</v>
      </c>
      <c r="F9011" t="s">
        <v>40</v>
      </c>
      <c r="G9011">
        <v>2010</v>
      </c>
      <c r="H9011" s="12">
        <v>0</v>
      </c>
      <c r="I9011" t="s">
        <v>3183</v>
      </c>
      <c r="J9011" t="s">
        <v>5</v>
      </c>
      <c r="K9011" t="s">
        <v>9</v>
      </c>
      <c r="L9011" t="s">
        <v>20</v>
      </c>
      <c r="M9011" t="s">
        <v>858</v>
      </c>
    </row>
    <row r="9012" spans="1:13">
      <c r="A9012" t="s">
        <v>852</v>
      </c>
      <c r="B9012" t="s">
        <v>853</v>
      </c>
      <c r="C9012" t="s">
        <v>853</v>
      </c>
      <c r="D9012" t="s">
        <v>3185</v>
      </c>
      <c r="E9012" t="s">
        <v>646</v>
      </c>
      <c r="F9012" t="s">
        <v>40</v>
      </c>
      <c r="G9012">
        <v>2015</v>
      </c>
      <c r="H9012" s="12">
        <v>0</v>
      </c>
      <c r="I9012" t="s">
        <v>3183</v>
      </c>
      <c r="J9012" t="s">
        <v>5</v>
      </c>
      <c r="K9012" t="s">
        <v>9</v>
      </c>
      <c r="L9012" t="s">
        <v>20</v>
      </c>
      <c r="M9012" t="s">
        <v>858</v>
      </c>
    </row>
    <row r="9013" spans="1:13">
      <c r="A9013" t="s">
        <v>852</v>
      </c>
      <c r="B9013" t="s">
        <v>853</v>
      </c>
      <c r="C9013" t="s">
        <v>853</v>
      </c>
      <c r="D9013" t="s">
        <v>3185</v>
      </c>
      <c r="E9013" t="s">
        <v>646</v>
      </c>
      <c r="F9013" t="s">
        <v>40</v>
      </c>
      <c r="G9013">
        <v>2020</v>
      </c>
      <c r="H9013" s="12">
        <v>0</v>
      </c>
      <c r="I9013" t="s">
        <v>3183</v>
      </c>
      <c r="J9013" t="s">
        <v>5</v>
      </c>
      <c r="K9013" t="s">
        <v>9</v>
      </c>
      <c r="L9013" t="s">
        <v>20</v>
      </c>
      <c r="M9013" t="s">
        <v>858</v>
      </c>
    </row>
    <row r="9014" spans="1:13">
      <c r="A9014" t="s">
        <v>852</v>
      </c>
      <c r="B9014" t="s">
        <v>853</v>
      </c>
      <c r="C9014" t="s">
        <v>853</v>
      </c>
      <c r="D9014" t="s">
        <v>3185</v>
      </c>
      <c r="E9014" t="s">
        <v>646</v>
      </c>
      <c r="F9014" t="s">
        <v>40</v>
      </c>
      <c r="G9014">
        <v>2030</v>
      </c>
      <c r="H9014" s="12">
        <v>699</v>
      </c>
      <c r="I9014" t="s">
        <v>3183</v>
      </c>
      <c r="J9014" t="s">
        <v>5</v>
      </c>
      <c r="K9014" t="s">
        <v>9</v>
      </c>
      <c r="L9014" t="s">
        <v>20</v>
      </c>
      <c r="M9014" t="s">
        <v>858</v>
      </c>
    </row>
    <row r="9015" spans="1:13">
      <c r="A9015" t="s">
        <v>852</v>
      </c>
      <c r="B9015" t="s">
        <v>853</v>
      </c>
      <c r="C9015" t="s">
        <v>853</v>
      </c>
      <c r="D9015" t="s">
        <v>3185</v>
      </c>
      <c r="E9015" t="s">
        <v>646</v>
      </c>
      <c r="F9015" t="s">
        <v>40</v>
      </c>
      <c r="G9015">
        <v>2035</v>
      </c>
      <c r="H9015" s="12">
        <v>2601</v>
      </c>
      <c r="I9015" t="s">
        <v>3183</v>
      </c>
      <c r="J9015" t="s">
        <v>5</v>
      </c>
      <c r="K9015" t="s">
        <v>9</v>
      </c>
      <c r="L9015" t="s">
        <v>20</v>
      </c>
      <c r="M9015" t="s">
        <v>858</v>
      </c>
    </row>
    <row r="9016" spans="1:13">
      <c r="A9016" t="s">
        <v>852</v>
      </c>
      <c r="B9016" t="s">
        <v>853</v>
      </c>
      <c r="C9016" t="s">
        <v>853</v>
      </c>
      <c r="D9016" t="s">
        <v>3185</v>
      </c>
      <c r="E9016" t="s">
        <v>646</v>
      </c>
      <c r="F9016" t="s">
        <v>40</v>
      </c>
      <c r="G9016">
        <v>2040</v>
      </c>
      <c r="H9016" s="12">
        <v>4028</v>
      </c>
      <c r="I9016" t="s">
        <v>3183</v>
      </c>
      <c r="J9016" t="s">
        <v>5</v>
      </c>
      <c r="K9016" t="s">
        <v>9</v>
      </c>
      <c r="L9016" t="s">
        <v>20</v>
      </c>
      <c r="M9016" t="s">
        <v>858</v>
      </c>
    </row>
    <row r="9017" spans="1:13">
      <c r="A9017" t="s">
        <v>852</v>
      </c>
      <c r="B9017" t="s">
        <v>853</v>
      </c>
      <c r="C9017" t="s">
        <v>853</v>
      </c>
      <c r="D9017" t="s">
        <v>3185</v>
      </c>
      <c r="E9017" t="s">
        <v>646</v>
      </c>
      <c r="F9017" t="s">
        <v>40</v>
      </c>
      <c r="G9017">
        <v>2045</v>
      </c>
      <c r="H9017" s="12">
        <v>4740</v>
      </c>
      <c r="I9017" t="s">
        <v>3183</v>
      </c>
      <c r="J9017" t="s">
        <v>5</v>
      </c>
      <c r="K9017" t="s">
        <v>9</v>
      </c>
      <c r="L9017" t="s">
        <v>20</v>
      </c>
      <c r="M9017" t="s">
        <v>858</v>
      </c>
    </row>
    <row r="9018" spans="1:13">
      <c r="A9018" t="s">
        <v>852</v>
      </c>
      <c r="B9018" t="s">
        <v>853</v>
      </c>
      <c r="C9018" t="s">
        <v>853</v>
      </c>
      <c r="D9018" t="s">
        <v>3185</v>
      </c>
      <c r="E9018" t="s">
        <v>646</v>
      </c>
      <c r="F9018" t="s">
        <v>40</v>
      </c>
      <c r="G9018">
        <v>2050</v>
      </c>
      <c r="H9018" s="12">
        <v>4802</v>
      </c>
      <c r="I9018" t="s">
        <v>3183</v>
      </c>
      <c r="J9018" t="s">
        <v>5</v>
      </c>
      <c r="K9018" t="s">
        <v>9</v>
      </c>
      <c r="L9018" t="s">
        <v>20</v>
      </c>
      <c r="M9018" t="s">
        <v>858</v>
      </c>
    </row>
    <row r="9019" spans="1:13">
      <c r="A9019" t="s">
        <v>852</v>
      </c>
      <c r="B9019" t="s">
        <v>853</v>
      </c>
      <c r="C9019" t="s">
        <v>853</v>
      </c>
      <c r="D9019" t="s">
        <v>3185</v>
      </c>
      <c r="E9019" t="s">
        <v>646</v>
      </c>
      <c r="F9019" t="s">
        <v>40</v>
      </c>
      <c r="G9019">
        <v>2010</v>
      </c>
      <c r="H9019" s="12">
        <v>5257</v>
      </c>
      <c r="I9019" t="s">
        <v>3183</v>
      </c>
      <c r="J9019" t="s">
        <v>7</v>
      </c>
      <c r="K9019" t="s">
        <v>9</v>
      </c>
      <c r="L9019" t="s">
        <v>20</v>
      </c>
      <c r="M9019" t="s">
        <v>861</v>
      </c>
    </row>
    <row r="9020" spans="1:13">
      <c r="A9020" t="s">
        <v>852</v>
      </c>
      <c r="B9020" t="s">
        <v>853</v>
      </c>
      <c r="C9020" t="s">
        <v>853</v>
      </c>
      <c r="D9020" t="s">
        <v>3185</v>
      </c>
      <c r="E9020" t="s">
        <v>646</v>
      </c>
      <c r="F9020" t="s">
        <v>40</v>
      </c>
      <c r="G9020">
        <v>2015</v>
      </c>
      <c r="H9020" s="12">
        <v>5264</v>
      </c>
      <c r="I9020" t="s">
        <v>3183</v>
      </c>
      <c r="J9020" t="s">
        <v>7</v>
      </c>
      <c r="K9020" t="s">
        <v>9</v>
      </c>
      <c r="L9020" t="s">
        <v>20</v>
      </c>
      <c r="M9020" t="s">
        <v>861</v>
      </c>
    </row>
    <row r="9021" spans="1:13">
      <c r="A9021" t="s">
        <v>852</v>
      </c>
      <c r="B9021" t="s">
        <v>853</v>
      </c>
      <c r="C9021" t="s">
        <v>853</v>
      </c>
      <c r="D9021" t="s">
        <v>3185</v>
      </c>
      <c r="E9021" t="s">
        <v>646</v>
      </c>
      <c r="F9021" t="s">
        <v>40</v>
      </c>
      <c r="G9021">
        <v>2020</v>
      </c>
      <c r="H9021" s="12">
        <v>6295</v>
      </c>
      <c r="I9021" t="s">
        <v>3183</v>
      </c>
      <c r="J9021" t="s">
        <v>7</v>
      </c>
      <c r="K9021" t="s">
        <v>9</v>
      </c>
      <c r="L9021" t="s">
        <v>20</v>
      </c>
      <c r="M9021" t="s">
        <v>861</v>
      </c>
    </row>
    <row r="9022" spans="1:13">
      <c r="A9022" t="s">
        <v>852</v>
      </c>
      <c r="B9022" t="s">
        <v>853</v>
      </c>
      <c r="C9022" t="s">
        <v>853</v>
      </c>
      <c r="D9022" t="s">
        <v>3185</v>
      </c>
      <c r="E9022" t="s">
        <v>646</v>
      </c>
      <c r="F9022" t="s">
        <v>40</v>
      </c>
      <c r="G9022">
        <v>2030</v>
      </c>
      <c r="H9022" s="12">
        <v>4695</v>
      </c>
      <c r="I9022" t="s">
        <v>3183</v>
      </c>
      <c r="J9022" t="s">
        <v>7</v>
      </c>
      <c r="K9022" t="s">
        <v>9</v>
      </c>
      <c r="L9022" t="s">
        <v>20</v>
      </c>
      <c r="M9022" t="s">
        <v>861</v>
      </c>
    </row>
    <row r="9023" spans="1:13">
      <c r="A9023" t="s">
        <v>852</v>
      </c>
      <c r="B9023" t="s">
        <v>853</v>
      </c>
      <c r="C9023" t="s">
        <v>853</v>
      </c>
      <c r="D9023" t="s">
        <v>3185</v>
      </c>
      <c r="E9023" t="s">
        <v>646</v>
      </c>
      <c r="F9023" t="s">
        <v>40</v>
      </c>
      <c r="G9023">
        <v>2035</v>
      </c>
      <c r="H9023" s="12">
        <v>3556</v>
      </c>
      <c r="I9023" t="s">
        <v>3183</v>
      </c>
      <c r="J9023" t="s">
        <v>7</v>
      </c>
      <c r="K9023" t="s">
        <v>9</v>
      </c>
      <c r="L9023" t="s">
        <v>20</v>
      </c>
      <c r="M9023" t="s">
        <v>861</v>
      </c>
    </row>
    <row r="9024" spans="1:13">
      <c r="A9024" t="s">
        <v>852</v>
      </c>
      <c r="B9024" t="s">
        <v>853</v>
      </c>
      <c r="C9024" t="s">
        <v>853</v>
      </c>
      <c r="D9024" t="s">
        <v>3185</v>
      </c>
      <c r="E9024" t="s">
        <v>646</v>
      </c>
      <c r="F9024" t="s">
        <v>40</v>
      </c>
      <c r="G9024">
        <v>2040</v>
      </c>
      <c r="H9024" s="12">
        <v>2576</v>
      </c>
      <c r="I9024" t="s">
        <v>3183</v>
      </c>
      <c r="J9024" t="s">
        <v>7</v>
      </c>
      <c r="K9024" t="s">
        <v>9</v>
      </c>
      <c r="L9024" t="s">
        <v>20</v>
      </c>
      <c r="M9024" t="s">
        <v>861</v>
      </c>
    </row>
    <row r="9025" spans="1:13">
      <c r="A9025" t="s">
        <v>852</v>
      </c>
      <c r="B9025" t="s">
        <v>853</v>
      </c>
      <c r="C9025" t="s">
        <v>853</v>
      </c>
      <c r="D9025" t="s">
        <v>3185</v>
      </c>
      <c r="E9025" t="s">
        <v>646</v>
      </c>
      <c r="F9025" t="s">
        <v>40</v>
      </c>
      <c r="G9025">
        <v>2045</v>
      </c>
      <c r="H9025" s="12">
        <v>1815</v>
      </c>
      <c r="I9025" t="s">
        <v>3183</v>
      </c>
      <c r="J9025" t="s">
        <v>7</v>
      </c>
      <c r="K9025" t="s">
        <v>9</v>
      </c>
      <c r="L9025" t="s">
        <v>20</v>
      </c>
      <c r="M9025" t="s">
        <v>861</v>
      </c>
    </row>
    <row r="9026" spans="1:13">
      <c r="A9026" t="s">
        <v>852</v>
      </c>
      <c r="B9026" t="s">
        <v>853</v>
      </c>
      <c r="C9026" t="s">
        <v>853</v>
      </c>
      <c r="D9026" t="s">
        <v>3185</v>
      </c>
      <c r="E9026" t="s">
        <v>646</v>
      </c>
      <c r="F9026" t="s">
        <v>40</v>
      </c>
      <c r="G9026">
        <v>2050</v>
      </c>
      <c r="H9026" s="12">
        <v>1213</v>
      </c>
      <c r="I9026" t="s">
        <v>3183</v>
      </c>
      <c r="J9026" t="s">
        <v>7</v>
      </c>
      <c r="K9026" t="s">
        <v>9</v>
      </c>
      <c r="L9026" t="s">
        <v>20</v>
      </c>
      <c r="M9026" t="s">
        <v>861</v>
      </c>
    </row>
    <row r="9027" spans="1:13">
      <c r="A9027" t="s">
        <v>852</v>
      </c>
      <c r="B9027" t="s">
        <v>853</v>
      </c>
      <c r="C9027" t="s">
        <v>853</v>
      </c>
      <c r="D9027" t="s">
        <v>3185</v>
      </c>
      <c r="E9027" t="s">
        <v>646</v>
      </c>
      <c r="F9027" t="s">
        <v>40</v>
      </c>
      <c r="G9027">
        <v>2010</v>
      </c>
      <c r="H9027" s="12">
        <v>16</v>
      </c>
      <c r="I9027" t="s">
        <v>3183</v>
      </c>
      <c r="J9027" t="s">
        <v>394</v>
      </c>
      <c r="K9027" t="s">
        <v>9</v>
      </c>
      <c r="L9027" t="s">
        <v>20</v>
      </c>
      <c r="M9027" t="s">
        <v>540</v>
      </c>
    </row>
    <row r="9028" spans="1:13">
      <c r="A9028" t="s">
        <v>852</v>
      </c>
      <c r="B9028" t="s">
        <v>853</v>
      </c>
      <c r="C9028" t="s">
        <v>853</v>
      </c>
      <c r="D9028" t="s">
        <v>3185</v>
      </c>
      <c r="E9028" t="s">
        <v>646</v>
      </c>
      <c r="F9028" t="s">
        <v>40</v>
      </c>
      <c r="G9028">
        <v>2015</v>
      </c>
      <c r="H9028" s="12">
        <v>26</v>
      </c>
      <c r="I9028" t="s">
        <v>3183</v>
      </c>
      <c r="J9028" t="s">
        <v>394</v>
      </c>
      <c r="K9028" t="s">
        <v>9</v>
      </c>
      <c r="L9028" t="s">
        <v>20</v>
      </c>
      <c r="M9028" t="s">
        <v>540</v>
      </c>
    </row>
    <row r="9029" spans="1:13">
      <c r="A9029" t="s">
        <v>852</v>
      </c>
      <c r="B9029" t="s">
        <v>853</v>
      </c>
      <c r="C9029" t="s">
        <v>853</v>
      </c>
      <c r="D9029" t="s">
        <v>3185</v>
      </c>
      <c r="E9029" t="s">
        <v>646</v>
      </c>
      <c r="F9029" t="s">
        <v>40</v>
      </c>
      <c r="G9029">
        <v>2020</v>
      </c>
      <c r="H9029" s="12">
        <v>40</v>
      </c>
      <c r="I9029" t="s">
        <v>3183</v>
      </c>
      <c r="J9029" t="s">
        <v>394</v>
      </c>
      <c r="K9029" t="s">
        <v>9</v>
      </c>
      <c r="L9029" t="s">
        <v>20</v>
      </c>
      <c r="M9029" t="s">
        <v>540</v>
      </c>
    </row>
    <row r="9030" spans="1:13">
      <c r="A9030" t="s">
        <v>852</v>
      </c>
      <c r="B9030" t="s">
        <v>853</v>
      </c>
      <c r="C9030" t="s">
        <v>853</v>
      </c>
      <c r="D9030" t="s">
        <v>3185</v>
      </c>
      <c r="E9030" t="s">
        <v>646</v>
      </c>
      <c r="F9030" t="s">
        <v>40</v>
      </c>
      <c r="G9030">
        <v>2030</v>
      </c>
      <c r="H9030" s="12">
        <v>1717</v>
      </c>
      <c r="I9030" t="s">
        <v>3183</v>
      </c>
      <c r="J9030" t="s">
        <v>394</v>
      </c>
      <c r="K9030" t="s">
        <v>9</v>
      </c>
      <c r="L9030" t="s">
        <v>20</v>
      </c>
      <c r="M9030" t="s">
        <v>540</v>
      </c>
    </row>
    <row r="9031" spans="1:13">
      <c r="A9031" t="s">
        <v>852</v>
      </c>
      <c r="B9031" t="s">
        <v>853</v>
      </c>
      <c r="C9031" t="s">
        <v>853</v>
      </c>
      <c r="D9031" t="s">
        <v>3185</v>
      </c>
      <c r="E9031" t="s">
        <v>646</v>
      </c>
      <c r="F9031" t="s">
        <v>40</v>
      </c>
      <c r="G9031">
        <v>2035</v>
      </c>
      <c r="H9031" s="12">
        <v>2901</v>
      </c>
      <c r="I9031" t="s">
        <v>3183</v>
      </c>
      <c r="J9031" t="s">
        <v>394</v>
      </c>
      <c r="K9031" t="s">
        <v>9</v>
      </c>
      <c r="L9031" t="s">
        <v>20</v>
      </c>
      <c r="M9031" t="s">
        <v>540</v>
      </c>
    </row>
    <row r="9032" spans="1:13">
      <c r="A9032" t="s">
        <v>852</v>
      </c>
      <c r="B9032" t="s">
        <v>853</v>
      </c>
      <c r="C9032" t="s">
        <v>853</v>
      </c>
      <c r="D9032" t="s">
        <v>3185</v>
      </c>
      <c r="E9032" t="s">
        <v>646</v>
      </c>
      <c r="F9032" t="s">
        <v>40</v>
      </c>
      <c r="G9032">
        <v>2040</v>
      </c>
      <c r="H9032" s="12">
        <v>3874</v>
      </c>
      <c r="I9032" t="s">
        <v>3183</v>
      </c>
      <c r="J9032" t="s">
        <v>394</v>
      </c>
      <c r="K9032" t="s">
        <v>9</v>
      </c>
      <c r="L9032" t="s">
        <v>20</v>
      </c>
      <c r="M9032" t="s">
        <v>540</v>
      </c>
    </row>
    <row r="9033" spans="1:13">
      <c r="A9033" t="s">
        <v>852</v>
      </c>
      <c r="B9033" t="s">
        <v>853</v>
      </c>
      <c r="C9033" t="s">
        <v>853</v>
      </c>
      <c r="D9033" t="s">
        <v>3185</v>
      </c>
      <c r="E9033" t="s">
        <v>646</v>
      </c>
      <c r="F9033" t="s">
        <v>40</v>
      </c>
      <c r="G9033">
        <v>2045</v>
      </c>
      <c r="H9033" s="12">
        <v>4646</v>
      </c>
      <c r="I9033" t="s">
        <v>3183</v>
      </c>
      <c r="J9033" t="s">
        <v>394</v>
      </c>
      <c r="K9033" t="s">
        <v>9</v>
      </c>
      <c r="L9033" t="s">
        <v>20</v>
      </c>
      <c r="M9033" t="s">
        <v>540</v>
      </c>
    </row>
    <row r="9034" spans="1:13">
      <c r="A9034" t="s">
        <v>852</v>
      </c>
      <c r="B9034" t="s">
        <v>853</v>
      </c>
      <c r="C9034" t="s">
        <v>853</v>
      </c>
      <c r="D9034" t="s">
        <v>3185</v>
      </c>
      <c r="E9034" t="s">
        <v>646</v>
      </c>
      <c r="F9034" t="s">
        <v>40</v>
      </c>
      <c r="G9034">
        <v>2050</v>
      </c>
      <c r="H9034" s="12">
        <v>5375</v>
      </c>
      <c r="I9034" t="s">
        <v>3183</v>
      </c>
      <c r="J9034" t="s">
        <v>394</v>
      </c>
      <c r="K9034" t="s">
        <v>9</v>
      </c>
      <c r="L9034" t="s">
        <v>20</v>
      </c>
      <c r="M9034" t="s">
        <v>540</v>
      </c>
    </row>
    <row r="9035" spans="1:13">
      <c r="A9035" t="s">
        <v>852</v>
      </c>
      <c r="B9035" t="s">
        <v>853</v>
      </c>
      <c r="C9035" t="s">
        <v>853</v>
      </c>
      <c r="D9035" t="s">
        <v>3185</v>
      </c>
      <c r="E9035" t="s">
        <v>646</v>
      </c>
      <c r="F9035" t="s">
        <v>40</v>
      </c>
      <c r="G9035">
        <v>2010</v>
      </c>
      <c r="H9035" s="12">
        <v>1063</v>
      </c>
      <c r="I9035" t="s">
        <v>3183</v>
      </c>
      <c r="J9035" t="s">
        <v>344</v>
      </c>
      <c r="K9035" t="s">
        <v>11</v>
      </c>
      <c r="L9035" t="s">
        <v>20</v>
      </c>
      <c r="M9035" t="s">
        <v>10</v>
      </c>
    </row>
    <row r="9036" spans="1:13">
      <c r="A9036" t="s">
        <v>852</v>
      </c>
      <c r="B9036" t="s">
        <v>853</v>
      </c>
      <c r="C9036" t="s">
        <v>853</v>
      </c>
      <c r="D9036" t="s">
        <v>3185</v>
      </c>
      <c r="E9036" t="s">
        <v>646</v>
      </c>
      <c r="F9036" t="s">
        <v>40</v>
      </c>
      <c r="G9036">
        <v>2015</v>
      </c>
      <c r="H9036" s="12">
        <v>1210</v>
      </c>
      <c r="I9036" t="s">
        <v>3183</v>
      </c>
      <c r="J9036" t="s">
        <v>344</v>
      </c>
      <c r="K9036" t="s">
        <v>11</v>
      </c>
      <c r="L9036" t="s">
        <v>20</v>
      </c>
      <c r="M9036" t="s">
        <v>10</v>
      </c>
    </row>
    <row r="9037" spans="1:13">
      <c r="A9037" t="s">
        <v>852</v>
      </c>
      <c r="B9037" t="s">
        <v>853</v>
      </c>
      <c r="C9037" t="s">
        <v>853</v>
      </c>
      <c r="D9037" t="s">
        <v>3185</v>
      </c>
      <c r="E9037" t="s">
        <v>646</v>
      </c>
      <c r="F9037" t="s">
        <v>40</v>
      </c>
      <c r="G9037">
        <v>2020</v>
      </c>
      <c r="H9037" s="12">
        <v>1471</v>
      </c>
      <c r="I9037" t="s">
        <v>3183</v>
      </c>
      <c r="J9037" t="s">
        <v>344</v>
      </c>
      <c r="K9037" t="s">
        <v>11</v>
      </c>
      <c r="L9037" t="s">
        <v>20</v>
      </c>
      <c r="M9037" t="s">
        <v>10</v>
      </c>
    </row>
    <row r="9038" spans="1:13">
      <c r="A9038" t="s">
        <v>852</v>
      </c>
      <c r="B9038" t="s">
        <v>853</v>
      </c>
      <c r="C9038" t="s">
        <v>853</v>
      </c>
      <c r="D9038" t="s">
        <v>3185</v>
      </c>
      <c r="E9038" t="s">
        <v>646</v>
      </c>
      <c r="F9038" t="s">
        <v>40</v>
      </c>
      <c r="G9038">
        <v>2030</v>
      </c>
      <c r="H9038" s="12">
        <v>8087</v>
      </c>
      <c r="I9038" t="s">
        <v>3183</v>
      </c>
      <c r="J9038" t="s">
        <v>344</v>
      </c>
      <c r="K9038" t="s">
        <v>11</v>
      </c>
      <c r="L9038" t="s">
        <v>20</v>
      </c>
      <c r="M9038" t="s">
        <v>10</v>
      </c>
    </row>
    <row r="9039" spans="1:13">
      <c r="A9039" t="s">
        <v>852</v>
      </c>
      <c r="B9039" t="s">
        <v>853</v>
      </c>
      <c r="C9039" t="s">
        <v>853</v>
      </c>
      <c r="D9039" t="s">
        <v>3185</v>
      </c>
      <c r="E9039" t="s">
        <v>646</v>
      </c>
      <c r="F9039" t="s">
        <v>40</v>
      </c>
      <c r="G9039">
        <v>2035</v>
      </c>
      <c r="H9039" s="12">
        <v>15806</v>
      </c>
      <c r="I9039" t="s">
        <v>3183</v>
      </c>
      <c r="J9039" t="s">
        <v>344</v>
      </c>
      <c r="K9039" t="s">
        <v>11</v>
      </c>
      <c r="L9039" t="s">
        <v>20</v>
      </c>
      <c r="M9039" t="s">
        <v>10</v>
      </c>
    </row>
    <row r="9040" spans="1:13">
      <c r="A9040" t="s">
        <v>852</v>
      </c>
      <c r="B9040" t="s">
        <v>853</v>
      </c>
      <c r="C9040" t="s">
        <v>853</v>
      </c>
      <c r="D9040" t="s">
        <v>3185</v>
      </c>
      <c r="E9040" t="s">
        <v>646</v>
      </c>
      <c r="F9040" t="s">
        <v>40</v>
      </c>
      <c r="G9040">
        <v>2040</v>
      </c>
      <c r="H9040" s="12">
        <v>24442</v>
      </c>
      <c r="I9040" t="s">
        <v>3183</v>
      </c>
      <c r="J9040" t="s">
        <v>344</v>
      </c>
      <c r="K9040" t="s">
        <v>11</v>
      </c>
      <c r="L9040" t="s">
        <v>20</v>
      </c>
      <c r="M9040" t="s">
        <v>10</v>
      </c>
    </row>
    <row r="9041" spans="1:13">
      <c r="A9041" t="s">
        <v>852</v>
      </c>
      <c r="B9041" t="s">
        <v>853</v>
      </c>
      <c r="C9041" t="s">
        <v>853</v>
      </c>
      <c r="D9041" t="s">
        <v>3185</v>
      </c>
      <c r="E9041" t="s">
        <v>646</v>
      </c>
      <c r="F9041" t="s">
        <v>40</v>
      </c>
      <c r="G9041">
        <v>2045</v>
      </c>
      <c r="H9041" s="12">
        <v>31787</v>
      </c>
      <c r="I9041" t="s">
        <v>3183</v>
      </c>
      <c r="J9041" t="s">
        <v>344</v>
      </c>
      <c r="K9041" t="s">
        <v>11</v>
      </c>
      <c r="L9041" t="s">
        <v>20</v>
      </c>
      <c r="M9041" t="s">
        <v>10</v>
      </c>
    </row>
    <row r="9042" spans="1:13">
      <c r="A9042" t="s">
        <v>852</v>
      </c>
      <c r="B9042" t="s">
        <v>853</v>
      </c>
      <c r="C9042" t="s">
        <v>853</v>
      </c>
      <c r="D9042" t="s">
        <v>3185</v>
      </c>
      <c r="E9042" t="s">
        <v>646</v>
      </c>
      <c r="F9042" t="s">
        <v>40</v>
      </c>
      <c r="G9042">
        <v>2050</v>
      </c>
      <c r="H9042" s="12">
        <v>37177</v>
      </c>
      <c r="I9042" t="s">
        <v>3183</v>
      </c>
      <c r="J9042" t="s">
        <v>344</v>
      </c>
      <c r="K9042" t="s">
        <v>11</v>
      </c>
      <c r="L9042" t="s">
        <v>20</v>
      </c>
      <c r="M9042" t="s">
        <v>10</v>
      </c>
    </row>
    <row r="9043" spans="1:13">
      <c r="A9043" t="s">
        <v>852</v>
      </c>
      <c r="B9043" t="s">
        <v>853</v>
      </c>
      <c r="C9043" t="s">
        <v>853</v>
      </c>
      <c r="D9043" t="s">
        <v>3185</v>
      </c>
      <c r="E9043" t="s">
        <v>646</v>
      </c>
      <c r="F9043" t="s">
        <v>40</v>
      </c>
      <c r="G9043">
        <v>2010</v>
      </c>
      <c r="H9043" s="12">
        <v>2371</v>
      </c>
      <c r="I9043" t="s">
        <v>3183</v>
      </c>
      <c r="J9043" t="s">
        <v>148</v>
      </c>
      <c r="K9043" t="s">
        <v>11</v>
      </c>
      <c r="L9043" t="s">
        <v>20</v>
      </c>
      <c r="M9043" t="s">
        <v>855</v>
      </c>
    </row>
    <row r="9044" spans="1:13">
      <c r="A9044" t="s">
        <v>852</v>
      </c>
      <c r="B9044" t="s">
        <v>853</v>
      </c>
      <c r="C9044" t="s">
        <v>853</v>
      </c>
      <c r="D9044" t="s">
        <v>3185</v>
      </c>
      <c r="E9044" t="s">
        <v>646</v>
      </c>
      <c r="F9044" t="s">
        <v>40</v>
      </c>
      <c r="G9044">
        <v>2015</v>
      </c>
      <c r="H9044" s="12">
        <v>3278</v>
      </c>
      <c r="I9044" t="s">
        <v>3183</v>
      </c>
      <c r="J9044" t="s">
        <v>148</v>
      </c>
      <c r="K9044" t="s">
        <v>11</v>
      </c>
      <c r="L9044" t="s">
        <v>20</v>
      </c>
      <c r="M9044" t="s">
        <v>855</v>
      </c>
    </row>
    <row r="9045" spans="1:13">
      <c r="A9045" t="s">
        <v>852</v>
      </c>
      <c r="B9045" t="s">
        <v>853</v>
      </c>
      <c r="C9045" t="s">
        <v>853</v>
      </c>
      <c r="D9045" t="s">
        <v>3185</v>
      </c>
      <c r="E9045" t="s">
        <v>646</v>
      </c>
      <c r="F9045" t="s">
        <v>40</v>
      </c>
      <c r="G9045">
        <v>2020</v>
      </c>
      <c r="H9045" s="12">
        <v>3806</v>
      </c>
      <c r="I9045" t="s">
        <v>3183</v>
      </c>
      <c r="J9045" t="s">
        <v>148</v>
      </c>
      <c r="K9045" t="s">
        <v>11</v>
      </c>
      <c r="L9045" t="s">
        <v>20</v>
      </c>
      <c r="M9045" t="s">
        <v>855</v>
      </c>
    </row>
    <row r="9046" spans="1:13">
      <c r="A9046" t="s">
        <v>852</v>
      </c>
      <c r="B9046" t="s">
        <v>853</v>
      </c>
      <c r="C9046" t="s">
        <v>853</v>
      </c>
      <c r="D9046" t="s">
        <v>3185</v>
      </c>
      <c r="E9046" t="s">
        <v>646</v>
      </c>
      <c r="F9046" t="s">
        <v>40</v>
      </c>
      <c r="G9046">
        <v>2030</v>
      </c>
      <c r="H9046" s="12">
        <v>10669</v>
      </c>
      <c r="I9046" t="s">
        <v>3183</v>
      </c>
      <c r="J9046" t="s">
        <v>148</v>
      </c>
      <c r="K9046" t="s">
        <v>11</v>
      </c>
      <c r="L9046" t="s">
        <v>20</v>
      </c>
      <c r="M9046" t="s">
        <v>855</v>
      </c>
    </row>
    <row r="9047" spans="1:13">
      <c r="A9047" t="s">
        <v>852</v>
      </c>
      <c r="B9047" t="s">
        <v>853</v>
      </c>
      <c r="C9047" t="s">
        <v>853</v>
      </c>
      <c r="D9047" t="s">
        <v>3185</v>
      </c>
      <c r="E9047" t="s">
        <v>646</v>
      </c>
      <c r="F9047" t="s">
        <v>40</v>
      </c>
      <c r="G9047">
        <v>2035</v>
      </c>
      <c r="H9047" s="12">
        <v>12905</v>
      </c>
      <c r="I9047" t="s">
        <v>3183</v>
      </c>
      <c r="J9047" t="s">
        <v>148</v>
      </c>
      <c r="K9047" t="s">
        <v>11</v>
      </c>
      <c r="L9047" t="s">
        <v>20</v>
      </c>
      <c r="M9047" t="s">
        <v>855</v>
      </c>
    </row>
    <row r="9048" spans="1:13">
      <c r="A9048" t="s">
        <v>852</v>
      </c>
      <c r="B9048" t="s">
        <v>853</v>
      </c>
      <c r="C9048" t="s">
        <v>853</v>
      </c>
      <c r="D9048" t="s">
        <v>3185</v>
      </c>
      <c r="E9048" t="s">
        <v>646</v>
      </c>
      <c r="F9048" t="s">
        <v>40</v>
      </c>
      <c r="G9048">
        <v>2040</v>
      </c>
      <c r="H9048" s="12">
        <v>12110</v>
      </c>
      <c r="I9048" t="s">
        <v>3183</v>
      </c>
      <c r="J9048" t="s">
        <v>148</v>
      </c>
      <c r="K9048" t="s">
        <v>11</v>
      </c>
      <c r="L9048" t="s">
        <v>20</v>
      </c>
      <c r="M9048" t="s">
        <v>855</v>
      </c>
    </row>
    <row r="9049" spans="1:13">
      <c r="A9049" t="s">
        <v>852</v>
      </c>
      <c r="B9049" t="s">
        <v>853</v>
      </c>
      <c r="C9049" t="s">
        <v>853</v>
      </c>
      <c r="D9049" t="s">
        <v>3185</v>
      </c>
      <c r="E9049" t="s">
        <v>646</v>
      </c>
      <c r="F9049" t="s">
        <v>40</v>
      </c>
      <c r="G9049">
        <v>2045</v>
      </c>
      <c r="H9049" s="12">
        <v>10997</v>
      </c>
      <c r="I9049" t="s">
        <v>3183</v>
      </c>
      <c r="J9049" t="s">
        <v>148</v>
      </c>
      <c r="K9049" t="s">
        <v>11</v>
      </c>
      <c r="L9049" t="s">
        <v>20</v>
      </c>
      <c r="M9049" t="s">
        <v>855</v>
      </c>
    </row>
    <row r="9050" spans="1:13">
      <c r="A9050" t="s">
        <v>852</v>
      </c>
      <c r="B9050" t="s">
        <v>853</v>
      </c>
      <c r="C9050" t="s">
        <v>853</v>
      </c>
      <c r="D9050" t="s">
        <v>3185</v>
      </c>
      <c r="E9050" t="s">
        <v>646</v>
      </c>
      <c r="F9050" t="s">
        <v>40</v>
      </c>
      <c r="G9050">
        <v>2050</v>
      </c>
      <c r="H9050" s="12">
        <v>9648</v>
      </c>
      <c r="I9050" t="s">
        <v>3183</v>
      </c>
      <c r="J9050" t="s">
        <v>148</v>
      </c>
      <c r="K9050" t="s">
        <v>11</v>
      </c>
      <c r="L9050" t="s">
        <v>20</v>
      </c>
      <c r="M9050" t="s">
        <v>855</v>
      </c>
    </row>
    <row r="9051" spans="1:13">
      <c r="A9051" t="s">
        <v>852</v>
      </c>
      <c r="B9051" t="s">
        <v>853</v>
      </c>
      <c r="C9051" t="s">
        <v>853</v>
      </c>
      <c r="D9051" t="s">
        <v>3185</v>
      </c>
      <c r="E9051" t="s">
        <v>646</v>
      </c>
      <c r="F9051" t="s">
        <v>40</v>
      </c>
      <c r="G9051">
        <v>2010</v>
      </c>
      <c r="H9051" s="12">
        <v>94548</v>
      </c>
      <c r="I9051" t="s">
        <v>3183</v>
      </c>
      <c r="J9051" t="s">
        <v>394</v>
      </c>
      <c r="K9051" t="s">
        <v>11</v>
      </c>
      <c r="L9051" t="s">
        <v>20</v>
      </c>
      <c r="M9051" t="s">
        <v>16</v>
      </c>
    </row>
    <row r="9052" spans="1:13">
      <c r="A9052" t="s">
        <v>852</v>
      </c>
      <c r="B9052" t="s">
        <v>853</v>
      </c>
      <c r="C9052" t="s">
        <v>853</v>
      </c>
      <c r="D9052" t="s">
        <v>3185</v>
      </c>
      <c r="E9052" t="s">
        <v>646</v>
      </c>
      <c r="F9052" t="s">
        <v>40</v>
      </c>
      <c r="G9052">
        <v>2015</v>
      </c>
      <c r="H9052" s="12">
        <v>104256</v>
      </c>
      <c r="I9052" t="s">
        <v>3183</v>
      </c>
      <c r="J9052" t="s">
        <v>394</v>
      </c>
      <c r="K9052" t="s">
        <v>11</v>
      </c>
      <c r="L9052" t="s">
        <v>20</v>
      </c>
      <c r="M9052" t="s">
        <v>16</v>
      </c>
    </row>
    <row r="9053" spans="1:13">
      <c r="A9053" t="s">
        <v>852</v>
      </c>
      <c r="B9053" t="s">
        <v>853</v>
      </c>
      <c r="C9053" t="s">
        <v>853</v>
      </c>
      <c r="D9053" t="s">
        <v>3185</v>
      </c>
      <c r="E9053" t="s">
        <v>646</v>
      </c>
      <c r="F9053" t="s">
        <v>40</v>
      </c>
      <c r="G9053">
        <v>2020</v>
      </c>
      <c r="H9053" s="12">
        <v>94982</v>
      </c>
      <c r="I9053" t="s">
        <v>3183</v>
      </c>
      <c r="J9053" t="s">
        <v>394</v>
      </c>
      <c r="K9053" t="s">
        <v>11</v>
      </c>
      <c r="L9053" t="s">
        <v>20</v>
      </c>
      <c r="M9053" t="s">
        <v>16</v>
      </c>
    </row>
    <row r="9054" spans="1:13">
      <c r="A9054" t="s">
        <v>852</v>
      </c>
      <c r="B9054" t="s">
        <v>853</v>
      </c>
      <c r="C9054" t="s">
        <v>853</v>
      </c>
      <c r="D9054" t="s">
        <v>3185</v>
      </c>
      <c r="E9054" t="s">
        <v>646</v>
      </c>
      <c r="F9054" t="s">
        <v>40</v>
      </c>
      <c r="G9054">
        <v>2030</v>
      </c>
      <c r="H9054" s="12">
        <v>76319</v>
      </c>
      <c r="I9054" t="s">
        <v>3183</v>
      </c>
      <c r="J9054" t="s">
        <v>394</v>
      </c>
      <c r="K9054" t="s">
        <v>11</v>
      </c>
      <c r="L9054" t="s">
        <v>20</v>
      </c>
      <c r="M9054" t="s">
        <v>16</v>
      </c>
    </row>
    <row r="9055" spans="1:13">
      <c r="A9055" t="s">
        <v>852</v>
      </c>
      <c r="B9055" t="s">
        <v>853</v>
      </c>
      <c r="C9055" t="s">
        <v>853</v>
      </c>
      <c r="D9055" t="s">
        <v>3185</v>
      </c>
      <c r="E9055" t="s">
        <v>646</v>
      </c>
      <c r="F9055" t="s">
        <v>40</v>
      </c>
      <c r="G9055">
        <v>2035</v>
      </c>
      <c r="H9055" s="12">
        <v>50792</v>
      </c>
      <c r="I9055" t="s">
        <v>3183</v>
      </c>
      <c r="J9055" t="s">
        <v>394</v>
      </c>
      <c r="K9055" t="s">
        <v>11</v>
      </c>
      <c r="L9055" t="s">
        <v>20</v>
      </c>
      <c r="M9055" t="s">
        <v>16</v>
      </c>
    </row>
    <row r="9056" spans="1:13">
      <c r="A9056" t="s">
        <v>852</v>
      </c>
      <c r="B9056" t="s">
        <v>853</v>
      </c>
      <c r="C9056" t="s">
        <v>853</v>
      </c>
      <c r="D9056" t="s">
        <v>3185</v>
      </c>
      <c r="E9056" t="s">
        <v>646</v>
      </c>
      <c r="F9056" t="s">
        <v>40</v>
      </c>
      <c r="G9056">
        <v>2040</v>
      </c>
      <c r="H9056" s="12">
        <v>30131</v>
      </c>
      <c r="I9056" t="s">
        <v>3183</v>
      </c>
      <c r="J9056" t="s">
        <v>394</v>
      </c>
      <c r="K9056" t="s">
        <v>11</v>
      </c>
      <c r="L9056" t="s">
        <v>20</v>
      </c>
      <c r="M9056" t="s">
        <v>16</v>
      </c>
    </row>
    <row r="9057" spans="1:13">
      <c r="A9057" t="s">
        <v>852</v>
      </c>
      <c r="B9057" t="s">
        <v>853</v>
      </c>
      <c r="C9057" t="s">
        <v>853</v>
      </c>
      <c r="D9057" t="s">
        <v>3185</v>
      </c>
      <c r="E9057" t="s">
        <v>646</v>
      </c>
      <c r="F9057" t="s">
        <v>40</v>
      </c>
      <c r="G9057">
        <v>2045</v>
      </c>
      <c r="H9057" s="12">
        <v>15883</v>
      </c>
      <c r="I9057" t="s">
        <v>3183</v>
      </c>
      <c r="J9057" t="s">
        <v>394</v>
      </c>
      <c r="K9057" t="s">
        <v>11</v>
      </c>
      <c r="L9057" t="s">
        <v>20</v>
      </c>
      <c r="M9057" t="s">
        <v>16</v>
      </c>
    </row>
    <row r="9058" spans="1:13">
      <c r="A9058" t="s">
        <v>852</v>
      </c>
      <c r="B9058" t="s">
        <v>853</v>
      </c>
      <c r="C9058" t="s">
        <v>853</v>
      </c>
      <c r="D9058" t="s">
        <v>3185</v>
      </c>
      <c r="E9058" t="s">
        <v>646</v>
      </c>
      <c r="F9058" t="s">
        <v>40</v>
      </c>
      <c r="G9058">
        <v>2050</v>
      </c>
      <c r="H9058" s="12">
        <v>7070</v>
      </c>
      <c r="I9058" t="s">
        <v>3183</v>
      </c>
      <c r="J9058" t="s">
        <v>394</v>
      </c>
      <c r="K9058" t="s">
        <v>11</v>
      </c>
      <c r="L9058" t="s">
        <v>20</v>
      </c>
      <c r="M9058" t="s">
        <v>16</v>
      </c>
    </row>
    <row r="9059" spans="1:13">
      <c r="A9059" t="s">
        <v>852</v>
      </c>
      <c r="B9059" t="s">
        <v>853</v>
      </c>
      <c r="C9059" t="s">
        <v>853</v>
      </c>
      <c r="D9059" t="s">
        <v>3185</v>
      </c>
      <c r="E9059" t="s">
        <v>646</v>
      </c>
      <c r="F9059" t="s">
        <v>40</v>
      </c>
      <c r="G9059">
        <v>2010</v>
      </c>
      <c r="H9059" s="12">
        <v>8</v>
      </c>
      <c r="I9059" t="s">
        <v>3183</v>
      </c>
      <c r="J9059" t="s">
        <v>148</v>
      </c>
      <c r="K9059" t="s">
        <v>11</v>
      </c>
      <c r="L9059" t="s">
        <v>20</v>
      </c>
      <c r="M9059" t="s">
        <v>860</v>
      </c>
    </row>
    <row r="9060" spans="1:13">
      <c r="A9060" t="s">
        <v>852</v>
      </c>
      <c r="B9060" t="s">
        <v>853</v>
      </c>
      <c r="C9060" t="s">
        <v>853</v>
      </c>
      <c r="D9060" t="s">
        <v>3185</v>
      </c>
      <c r="E9060" t="s">
        <v>646</v>
      </c>
      <c r="F9060" t="s">
        <v>40</v>
      </c>
      <c r="G9060">
        <v>2015</v>
      </c>
      <c r="H9060" s="12">
        <v>24</v>
      </c>
      <c r="I9060" t="s">
        <v>3183</v>
      </c>
      <c r="J9060" t="s">
        <v>148</v>
      </c>
      <c r="K9060" t="s">
        <v>11</v>
      </c>
      <c r="L9060" t="s">
        <v>20</v>
      </c>
      <c r="M9060" t="s">
        <v>860</v>
      </c>
    </row>
    <row r="9061" spans="1:13">
      <c r="A9061" t="s">
        <v>852</v>
      </c>
      <c r="B9061" t="s">
        <v>853</v>
      </c>
      <c r="C9061" t="s">
        <v>853</v>
      </c>
      <c r="D9061" t="s">
        <v>3185</v>
      </c>
      <c r="E9061" t="s">
        <v>646</v>
      </c>
      <c r="F9061" t="s">
        <v>40</v>
      </c>
      <c r="G9061">
        <v>2020</v>
      </c>
      <c r="H9061" s="12">
        <v>56</v>
      </c>
      <c r="I9061" t="s">
        <v>3183</v>
      </c>
      <c r="J9061" t="s">
        <v>148</v>
      </c>
      <c r="K9061" t="s">
        <v>11</v>
      </c>
      <c r="L9061" t="s">
        <v>20</v>
      </c>
      <c r="M9061" t="s">
        <v>860</v>
      </c>
    </row>
    <row r="9062" spans="1:13">
      <c r="A9062" t="s">
        <v>852</v>
      </c>
      <c r="B9062" t="s">
        <v>853</v>
      </c>
      <c r="C9062" t="s">
        <v>853</v>
      </c>
      <c r="D9062" t="s">
        <v>3185</v>
      </c>
      <c r="E9062" t="s">
        <v>646</v>
      </c>
      <c r="F9062" t="s">
        <v>40</v>
      </c>
      <c r="G9062">
        <v>2030</v>
      </c>
      <c r="H9062" s="12">
        <v>193</v>
      </c>
      <c r="I9062" t="s">
        <v>3183</v>
      </c>
      <c r="J9062" t="s">
        <v>148</v>
      </c>
      <c r="K9062" t="s">
        <v>11</v>
      </c>
      <c r="L9062" t="s">
        <v>20</v>
      </c>
      <c r="M9062" t="s">
        <v>860</v>
      </c>
    </row>
    <row r="9063" spans="1:13">
      <c r="A9063" t="s">
        <v>852</v>
      </c>
      <c r="B9063" t="s">
        <v>853</v>
      </c>
      <c r="C9063" t="s">
        <v>853</v>
      </c>
      <c r="D9063" t="s">
        <v>3185</v>
      </c>
      <c r="E9063" t="s">
        <v>646</v>
      </c>
      <c r="F9063" t="s">
        <v>40</v>
      </c>
      <c r="G9063">
        <v>2035</v>
      </c>
      <c r="H9063" s="12">
        <v>269</v>
      </c>
      <c r="I9063" t="s">
        <v>3183</v>
      </c>
      <c r="J9063" t="s">
        <v>148</v>
      </c>
      <c r="K9063" t="s">
        <v>11</v>
      </c>
      <c r="L9063" t="s">
        <v>20</v>
      </c>
      <c r="M9063" t="s">
        <v>860</v>
      </c>
    </row>
    <row r="9064" spans="1:13">
      <c r="A9064" t="s">
        <v>852</v>
      </c>
      <c r="B9064" t="s">
        <v>853</v>
      </c>
      <c r="C9064" t="s">
        <v>853</v>
      </c>
      <c r="D9064" t="s">
        <v>3185</v>
      </c>
      <c r="E9064" t="s">
        <v>646</v>
      </c>
      <c r="F9064" t="s">
        <v>40</v>
      </c>
      <c r="G9064">
        <v>2040</v>
      </c>
      <c r="H9064" s="12">
        <v>343</v>
      </c>
      <c r="I9064" t="s">
        <v>3183</v>
      </c>
      <c r="J9064" t="s">
        <v>148</v>
      </c>
      <c r="K9064" t="s">
        <v>11</v>
      </c>
      <c r="L9064" t="s">
        <v>20</v>
      </c>
      <c r="M9064" t="s">
        <v>860</v>
      </c>
    </row>
    <row r="9065" spans="1:13">
      <c r="A9065" t="s">
        <v>852</v>
      </c>
      <c r="B9065" t="s">
        <v>853</v>
      </c>
      <c r="C9065" t="s">
        <v>853</v>
      </c>
      <c r="D9065" t="s">
        <v>3185</v>
      </c>
      <c r="E9065" t="s">
        <v>646</v>
      </c>
      <c r="F9065" t="s">
        <v>40</v>
      </c>
      <c r="G9065">
        <v>2045</v>
      </c>
      <c r="H9065" s="12">
        <v>403</v>
      </c>
      <c r="I9065" t="s">
        <v>3183</v>
      </c>
      <c r="J9065" t="s">
        <v>148</v>
      </c>
      <c r="K9065" t="s">
        <v>11</v>
      </c>
      <c r="L9065" t="s">
        <v>20</v>
      </c>
      <c r="M9065" t="s">
        <v>860</v>
      </c>
    </row>
    <row r="9066" spans="1:13">
      <c r="A9066" t="s">
        <v>852</v>
      </c>
      <c r="B9066" t="s">
        <v>853</v>
      </c>
      <c r="C9066" t="s">
        <v>853</v>
      </c>
      <c r="D9066" t="s">
        <v>3185</v>
      </c>
      <c r="E9066" t="s">
        <v>646</v>
      </c>
      <c r="F9066" t="s">
        <v>40</v>
      </c>
      <c r="G9066">
        <v>2050</v>
      </c>
      <c r="H9066" s="12">
        <v>460</v>
      </c>
      <c r="I9066" t="s">
        <v>3183</v>
      </c>
      <c r="J9066" t="s">
        <v>148</v>
      </c>
      <c r="K9066" t="s">
        <v>11</v>
      </c>
      <c r="L9066" t="s">
        <v>20</v>
      </c>
      <c r="M9066" t="s">
        <v>860</v>
      </c>
    </row>
    <row r="9067" spans="1:13">
      <c r="A9067" t="s">
        <v>852</v>
      </c>
      <c r="B9067" t="s">
        <v>853</v>
      </c>
      <c r="C9067" t="s">
        <v>853</v>
      </c>
      <c r="D9067" t="s">
        <v>3185</v>
      </c>
      <c r="E9067" t="s">
        <v>646</v>
      </c>
      <c r="F9067" t="s">
        <v>40</v>
      </c>
      <c r="G9067">
        <v>2010</v>
      </c>
      <c r="H9067" s="12">
        <v>0</v>
      </c>
      <c r="I9067" t="s">
        <v>3183</v>
      </c>
      <c r="J9067" t="s">
        <v>8</v>
      </c>
      <c r="K9067" t="s">
        <v>11</v>
      </c>
      <c r="L9067" t="s">
        <v>20</v>
      </c>
      <c r="M9067" t="s">
        <v>8</v>
      </c>
    </row>
    <row r="9068" spans="1:13">
      <c r="A9068" t="s">
        <v>852</v>
      </c>
      <c r="B9068" t="s">
        <v>853</v>
      </c>
      <c r="C9068" t="s">
        <v>853</v>
      </c>
      <c r="D9068" t="s">
        <v>3185</v>
      </c>
      <c r="E9068" t="s">
        <v>646</v>
      </c>
      <c r="F9068" t="s">
        <v>40</v>
      </c>
      <c r="G9068">
        <v>2015</v>
      </c>
      <c r="H9068" s="12">
        <v>0</v>
      </c>
      <c r="I9068" t="s">
        <v>3183</v>
      </c>
      <c r="J9068" t="s">
        <v>8</v>
      </c>
      <c r="K9068" t="s">
        <v>11</v>
      </c>
      <c r="L9068" t="s">
        <v>20</v>
      </c>
      <c r="M9068" t="s">
        <v>8</v>
      </c>
    </row>
    <row r="9069" spans="1:13">
      <c r="A9069" t="s">
        <v>852</v>
      </c>
      <c r="B9069" t="s">
        <v>853</v>
      </c>
      <c r="C9069" t="s">
        <v>853</v>
      </c>
      <c r="D9069" t="s">
        <v>3185</v>
      </c>
      <c r="E9069" t="s">
        <v>646</v>
      </c>
      <c r="F9069" t="s">
        <v>40</v>
      </c>
      <c r="G9069">
        <v>2020</v>
      </c>
      <c r="H9069" s="12">
        <v>3</v>
      </c>
      <c r="I9069" t="s">
        <v>3183</v>
      </c>
      <c r="J9069" t="s">
        <v>8</v>
      </c>
      <c r="K9069" t="s">
        <v>11</v>
      </c>
      <c r="L9069" t="s">
        <v>20</v>
      </c>
      <c r="M9069" t="s">
        <v>8</v>
      </c>
    </row>
    <row r="9070" spans="1:13">
      <c r="A9070" t="s">
        <v>852</v>
      </c>
      <c r="B9070" t="s">
        <v>853</v>
      </c>
      <c r="C9070" t="s">
        <v>853</v>
      </c>
      <c r="D9070" t="s">
        <v>3185</v>
      </c>
      <c r="E9070" t="s">
        <v>646</v>
      </c>
      <c r="F9070" t="s">
        <v>40</v>
      </c>
      <c r="G9070">
        <v>2030</v>
      </c>
      <c r="H9070" s="12">
        <v>1375</v>
      </c>
      <c r="I9070" t="s">
        <v>3183</v>
      </c>
      <c r="J9070" t="s">
        <v>8</v>
      </c>
      <c r="K9070" t="s">
        <v>11</v>
      </c>
      <c r="L9070" t="s">
        <v>20</v>
      </c>
      <c r="M9070" t="s">
        <v>8</v>
      </c>
    </row>
    <row r="9071" spans="1:13">
      <c r="A9071" t="s">
        <v>852</v>
      </c>
      <c r="B9071" t="s">
        <v>853</v>
      </c>
      <c r="C9071" t="s">
        <v>853</v>
      </c>
      <c r="D9071" t="s">
        <v>3185</v>
      </c>
      <c r="E9071" t="s">
        <v>646</v>
      </c>
      <c r="F9071" t="s">
        <v>40</v>
      </c>
      <c r="G9071">
        <v>2035</v>
      </c>
      <c r="H9071" s="12">
        <v>3644</v>
      </c>
      <c r="I9071" t="s">
        <v>3183</v>
      </c>
      <c r="J9071" t="s">
        <v>8</v>
      </c>
      <c r="K9071" t="s">
        <v>11</v>
      </c>
      <c r="L9071" t="s">
        <v>20</v>
      </c>
      <c r="M9071" t="s">
        <v>8</v>
      </c>
    </row>
    <row r="9072" spans="1:13">
      <c r="A9072" t="s">
        <v>852</v>
      </c>
      <c r="B9072" t="s">
        <v>853</v>
      </c>
      <c r="C9072" t="s">
        <v>853</v>
      </c>
      <c r="D9072" t="s">
        <v>3185</v>
      </c>
      <c r="E9072" t="s">
        <v>646</v>
      </c>
      <c r="F9072" t="s">
        <v>40</v>
      </c>
      <c r="G9072">
        <v>2040</v>
      </c>
      <c r="H9072" s="12">
        <v>6890</v>
      </c>
      <c r="I9072" t="s">
        <v>3183</v>
      </c>
      <c r="J9072" t="s">
        <v>8</v>
      </c>
      <c r="K9072" t="s">
        <v>11</v>
      </c>
      <c r="L9072" t="s">
        <v>20</v>
      </c>
      <c r="M9072" t="s">
        <v>8</v>
      </c>
    </row>
    <row r="9073" spans="1:13">
      <c r="A9073" t="s">
        <v>852</v>
      </c>
      <c r="B9073" t="s">
        <v>853</v>
      </c>
      <c r="C9073" t="s">
        <v>853</v>
      </c>
      <c r="D9073" t="s">
        <v>3185</v>
      </c>
      <c r="E9073" t="s">
        <v>646</v>
      </c>
      <c r="F9073" t="s">
        <v>40</v>
      </c>
      <c r="G9073">
        <v>2045</v>
      </c>
      <c r="H9073" s="12">
        <v>10724</v>
      </c>
      <c r="I9073" t="s">
        <v>3183</v>
      </c>
      <c r="J9073" t="s">
        <v>8</v>
      </c>
      <c r="K9073" t="s">
        <v>11</v>
      </c>
      <c r="L9073" t="s">
        <v>20</v>
      </c>
      <c r="M9073" t="s">
        <v>8</v>
      </c>
    </row>
    <row r="9074" spans="1:13">
      <c r="A9074" t="s">
        <v>852</v>
      </c>
      <c r="B9074" t="s">
        <v>853</v>
      </c>
      <c r="C9074" t="s">
        <v>853</v>
      </c>
      <c r="D9074" t="s">
        <v>3185</v>
      </c>
      <c r="E9074" t="s">
        <v>646</v>
      </c>
      <c r="F9074" t="s">
        <v>40</v>
      </c>
      <c r="G9074">
        <v>2050</v>
      </c>
      <c r="H9074" s="12">
        <v>14252</v>
      </c>
      <c r="I9074" t="s">
        <v>3183</v>
      </c>
      <c r="J9074" t="s">
        <v>8</v>
      </c>
      <c r="K9074" t="s">
        <v>11</v>
      </c>
      <c r="L9074" t="s">
        <v>20</v>
      </c>
      <c r="M9074" t="s">
        <v>8</v>
      </c>
    </row>
    <row r="9075" spans="1:13">
      <c r="A9075" t="s">
        <v>852</v>
      </c>
      <c r="B9075" t="s">
        <v>853</v>
      </c>
      <c r="C9075" t="s">
        <v>853</v>
      </c>
      <c r="D9075" t="s">
        <v>3185</v>
      </c>
      <c r="E9075" t="s">
        <v>646</v>
      </c>
      <c r="F9075" t="s">
        <v>40</v>
      </c>
      <c r="G9075">
        <v>2010</v>
      </c>
      <c r="H9075" s="12">
        <v>3736</v>
      </c>
      <c r="I9075" t="s">
        <v>3183</v>
      </c>
      <c r="J9075" t="s">
        <v>6</v>
      </c>
      <c r="K9075" t="s">
        <v>11</v>
      </c>
      <c r="L9075" t="s">
        <v>20</v>
      </c>
      <c r="M9075" t="s">
        <v>659</v>
      </c>
    </row>
    <row r="9076" spans="1:13">
      <c r="A9076" t="s">
        <v>852</v>
      </c>
      <c r="B9076" t="s">
        <v>853</v>
      </c>
      <c r="C9076" t="s">
        <v>853</v>
      </c>
      <c r="D9076" t="s">
        <v>3185</v>
      </c>
      <c r="E9076" t="s">
        <v>646</v>
      </c>
      <c r="F9076" t="s">
        <v>40</v>
      </c>
      <c r="G9076">
        <v>2015</v>
      </c>
      <c r="H9076" s="12">
        <v>4120</v>
      </c>
      <c r="I9076" t="s">
        <v>3183</v>
      </c>
      <c r="J9076" t="s">
        <v>6</v>
      </c>
      <c r="K9076" t="s">
        <v>11</v>
      </c>
      <c r="L9076" t="s">
        <v>20</v>
      </c>
      <c r="M9076" t="s">
        <v>659</v>
      </c>
    </row>
    <row r="9077" spans="1:13">
      <c r="A9077" t="s">
        <v>852</v>
      </c>
      <c r="B9077" t="s">
        <v>853</v>
      </c>
      <c r="C9077" t="s">
        <v>853</v>
      </c>
      <c r="D9077" t="s">
        <v>3185</v>
      </c>
      <c r="E9077" t="s">
        <v>646</v>
      </c>
      <c r="F9077" t="s">
        <v>40</v>
      </c>
      <c r="G9077">
        <v>2020</v>
      </c>
      <c r="H9077" s="12">
        <v>4678</v>
      </c>
      <c r="I9077" t="s">
        <v>3183</v>
      </c>
      <c r="J9077" t="s">
        <v>6</v>
      </c>
      <c r="K9077" t="s">
        <v>11</v>
      </c>
      <c r="L9077" t="s">
        <v>20</v>
      </c>
      <c r="M9077" t="s">
        <v>659</v>
      </c>
    </row>
    <row r="9078" spans="1:13">
      <c r="A9078" t="s">
        <v>852</v>
      </c>
      <c r="B9078" t="s">
        <v>853</v>
      </c>
      <c r="C9078" t="s">
        <v>853</v>
      </c>
      <c r="D9078" t="s">
        <v>3185</v>
      </c>
      <c r="E9078" t="s">
        <v>646</v>
      </c>
      <c r="F9078" t="s">
        <v>40</v>
      </c>
      <c r="G9078">
        <v>2030</v>
      </c>
      <c r="H9078" s="12">
        <v>3436</v>
      </c>
      <c r="I9078" t="s">
        <v>3183</v>
      </c>
      <c r="J9078" t="s">
        <v>6</v>
      </c>
      <c r="K9078" t="s">
        <v>11</v>
      </c>
      <c r="L9078" t="s">
        <v>20</v>
      </c>
      <c r="M9078" t="s">
        <v>659</v>
      </c>
    </row>
    <row r="9079" spans="1:13">
      <c r="A9079" t="s">
        <v>852</v>
      </c>
      <c r="B9079" t="s">
        <v>853</v>
      </c>
      <c r="C9079" t="s">
        <v>853</v>
      </c>
      <c r="D9079" t="s">
        <v>3185</v>
      </c>
      <c r="E9079" t="s">
        <v>646</v>
      </c>
      <c r="F9079" t="s">
        <v>40</v>
      </c>
      <c r="G9079">
        <v>2035</v>
      </c>
      <c r="H9079" s="12">
        <v>2415</v>
      </c>
      <c r="I9079" t="s">
        <v>3183</v>
      </c>
      <c r="J9079" t="s">
        <v>6</v>
      </c>
      <c r="K9079" t="s">
        <v>11</v>
      </c>
      <c r="L9079" t="s">
        <v>20</v>
      </c>
      <c r="M9079" t="s">
        <v>659</v>
      </c>
    </row>
    <row r="9080" spans="1:13">
      <c r="A9080" t="s">
        <v>852</v>
      </c>
      <c r="B9080" t="s">
        <v>853</v>
      </c>
      <c r="C9080" t="s">
        <v>853</v>
      </c>
      <c r="D9080" t="s">
        <v>3185</v>
      </c>
      <c r="E9080" t="s">
        <v>646</v>
      </c>
      <c r="F9080" t="s">
        <v>40</v>
      </c>
      <c r="G9080">
        <v>2040</v>
      </c>
      <c r="H9080" s="12">
        <v>1542</v>
      </c>
      <c r="I9080" t="s">
        <v>3183</v>
      </c>
      <c r="J9080" t="s">
        <v>6</v>
      </c>
      <c r="K9080" t="s">
        <v>11</v>
      </c>
      <c r="L9080" t="s">
        <v>20</v>
      </c>
      <c r="M9080" t="s">
        <v>659</v>
      </c>
    </row>
    <row r="9081" spans="1:13">
      <c r="A9081" t="s">
        <v>852</v>
      </c>
      <c r="B9081" t="s">
        <v>853</v>
      </c>
      <c r="C9081" t="s">
        <v>853</v>
      </c>
      <c r="D9081" t="s">
        <v>3185</v>
      </c>
      <c r="E9081" t="s">
        <v>646</v>
      </c>
      <c r="F9081" t="s">
        <v>40</v>
      </c>
      <c r="G9081">
        <v>2045</v>
      </c>
      <c r="H9081" s="12">
        <v>888</v>
      </c>
      <c r="I9081" t="s">
        <v>3183</v>
      </c>
      <c r="J9081" t="s">
        <v>6</v>
      </c>
      <c r="K9081" t="s">
        <v>11</v>
      </c>
      <c r="L9081" t="s">
        <v>20</v>
      </c>
      <c r="M9081" t="s">
        <v>659</v>
      </c>
    </row>
    <row r="9082" spans="1:13">
      <c r="A9082" t="s">
        <v>852</v>
      </c>
      <c r="B9082" t="s">
        <v>853</v>
      </c>
      <c r="C9082" t="s">
        <v>853</v>
      </c>
      <c r="D9082" t="s">
        <v>3185</v>
      </c>
      <c r="E9082" t="s">
        <v>646</v>
      </c>
      <c r="F9082" t="s">
        <v>40</v>
      </c>
      <c r="G9082">
        <v>2050</v>
      </c>
      <c r="H9082" s="12">
        <v>426</v>
      </c>
      <c r="I9082" t="s">
        <v>3183</v>
      </c>
      <c r="J9082" t="s">
        <v>6</v>
      </c>
      <c r="K9082" t="s">
        <v>11</v>
      </c>
      <c r="L9082" t="s">
        <v>20</v>
      </c>
      <c r="M9082" t="s">
        <v>659</v>
      </c>
    </row>
    <row r="9083" spans="1:13">
      <c r="A9083" t="s">
        <v>852</v>
      </c>
      <c r="B9083" t="s">
        <v>853</v>
      </c>
      <c r="C9083" t="s">
        <v>853</v>
      </c>
      <c r="D9083" t="s">
        <v>3185</v>
      </c>
      <c r="E9083" t="s">
        <v>646</v>
      </c>
      <c r="F9083" t="s">
        <v>40</v>
      </c>
      <c r="G9083">
        <v>2010</v>
      </c>
      <c r="H9083" s="12">
        <v>34691</v>
      </c>
      <c r="I9083" t="s">
        <v>3183</v>
      </c>
      <c r="J9083" t="s">
        <v>344</v>
      </c>
      <c r="K9083" t="s">
        <v>658</v>
      </c>
      <c r="L9083" t="s">
        <v>20</v>
      </c>
      <c r="M9083" t="s">
        <v>10</v>
      </c>
    </row>
    <row r="9084" spans="1:13">
      <c r="A9084" t="s">
        <v>852</v>
      </c>
      <c r="B9084" t="s">
        <v>853</v>
      </c>
      <c r="C9084" t="s">
        <v>853</v>
      </c>
      <c r="D9084" t="s">
        <v>3185</v>
      </c>
      <c r="E9084" t="s">
        <v>646</v>
      </c>
      <c r="F9084" t="s">
        <v>40</v>
      </c>
      <c r="G9084">
        <v>2015</v>
      </c>
      <c r="H9084" s="12">
        <v>38745</v>
      </c>
      <c r="I9084" t="s">
        <v>3183</v>
      </c>
      <c r="J9084" t="s">
        <v>344</v>
      </c>
      <c r="K9084" t="s">
        <v>658</v>
      </c>
      <c r="L9084" t="s">
        <v>20</v>
      </c>
      <c r="M9084" t="s">
        <v>10</v>
      </c>
    </row>
    <row r="9085" spans="1:13">
      <c r="A9085" t="s">
        <v>852</v>
      </c>
      <c r="B9085" t="s">
        <v>853</v>
      </c>
      <c r="C9085" t="s">
        <v>853</v>
      </c>
      <c r="D9085" t="s">
        <v>3185</v>
      </c>
      <c r="E9085" t="s">
        <v>646</v>
      </c>
      <c r="F9085" t="s">
        <v>40</v>
      </c>
      <c r="G9085">
        <v>2020</v>
      </c>
      <c r="H9085" s="12">
        <v>43202</v>
      </c>
      <c r="I9085" t="s">
        <v>3183</v>
      </c>
      <c r="J9085" t="s">
        <v>344</v>
      </c>
      <c r="K9085" t="s">
        <v>658</v>
      </c>
      <c r="L9085" t="s">
        <v>20</v>
      </c>
      <c r="M9085" t="s">
        <v>10</v>
      </c>
    </row>
    <row r="9086" spans="1:13">
      <c r="A9086" t="s">
        <v>852</v>
      </c>
      <c r="B9086" t="s">
        <v>853</v>
      </c>
      <c r="C9086" t="s">
        <v>853</v>
      </c>
      <c r="D9086" t="s">
        <v>3185</v>
      </c>
      <c r="E9086" t="s">
        <v>646</v>
      </c>
      <c r="F9086" t="s">
        <v>40</v>
      </c>
      <c r="G9086">
        <v>2030</v>
      </c>
      <c r="H9086" s="12">
        <v>47854</v>
      </c>
      <c r="I9086" t="s">
        <v>3183</v>
      </c>
      <c r="J9086" t="s">
        <v>344</v>
      </c>
      <c r="K9086" t="s">
        <v>658</v>
      </c>
      <c r="L9086" t="s">
        <v>20</v>
      </c>
      <c r="M9086" t="s">
        <v>10</v>
      </c>
    </row>
    <row r="9087" spans="1:13">
      <c r="A9087" t="s">
        <v>852</v>
      </c>
      <c r="B9087" t="s">
        <v>853</v>
      </c>
      <c r="C9087" t="s">
        <v>853</v>
      </c>
      <c r="D9087" t="s">
        <v>3185</v>
      </c>
      <c r="E9087" t="s">
        <v>646</v>
      </c>
      <c r="F9087" t="s">
        <v>40</v>
      </c>
      <c r="G9087">
        <v>2035</v>
      </c>
      <c r="H9087" s="12">
        <v>49876</v>
      </c>
      <c r="I9087" t="s">
        <v>3183</v>
      </c>
      <c r="J9087" t="s">
        <v>344</v>
      </c>
      <c r="K9087" t="s">
        <v>658</v>
      </c>
      <c r="L9087" t="s">
        <v>20</v>
      </c>
      <c r="M9087" t="s">
        <v>10</v>
      </c>
    </row>
    <row r="9088" spans="1:13">
      <c r="A9088" t="s">
        <v>852</v>
      </c>
      <c r="B9088" t="s">
        <v>853</v>
      </c>
      <c r="C9088" t="s">
        <v>853</v>
      </c>
      <c r="D9088" t="s">
        <v>3185</v>
      </c>
      <c r="E9088" t="s">
        <v>646</v>
      </c>
      <c r="F9088" t="s">
        <v>40</v>
      </c>
      <c r="G9088">
        <v>2040</v>
      </c>
      <c r="H9088" s="12">
        <v>53629</v>
      </c>
      <c r="I9088" t="s">
        <v>3183</v>
      </c>
      <c r="J9088" t="s">
        <v>344</v>
      </c>
      <c r="K9088" t="s">
        <v>658</v>
      </c>
      <c r="L9088" t="s">
        <v>20</v>
      </c>
      <c r="M9088" t="s">
        <v>10</v>
      </c>
    </row>
    <row r="9089" spans="1:13">
      <c r="A9089" t="s">
        <v>852</v>
      </c>
      <c r="B9089" t="s">
        <v>853</v>
      </c>
      <c r="C9089" t="s">
        <v>853</v>
      </c>
      <c r="D9089" t="s">
        <v>3185</v>
      </c>
      <c r="E9089" t="s">
        <v>646</v>
      </c>
      <c r="F9089" t="s">
        <v>40</v>
      </c>
      <c r="G9089">
        <v>2045</v>
      </c>
      <c r="H9089" s="12">
        <v>56099</v>
      </c>
      <c r="I9089" t="s">
        <v>3183</v>
      </c>
      <c r="J9089" t="s">
        <v>344</v>
      </c>
      <c r="K9089" t="s">
        <v>658</v>
      </c>
      <c r="L9089" t="s">
        <v>20</v>
      </c>
      <c r="M9089" t="s">
        <v>10</v>
      </c>
    </row>
    <row r="9090" spans="1:13">
      <c r="A9090" t="s">
        <v>852</v>
      </c>
      <c r="B9090" t="s">
        <v>853</v>
      </c>
      <c r="C9090" t="s">
        <v>853</v>
      </c>
      <c r="D9090" t="s">
        <v>3185</v>
      </c>
      <c r="E9090" t="s">
        <v>646</v>
      </c>
      <c r="F9090" t="s">
        <v>40</v>
      </c>
      <c r="G9090">
        <v>2050</v>
      </c>
      <c r="H9090" s="12">
        <v>57061</v>
      </c>
      <c r="I9090" t="s">
        <v>3183</v>
      </c>
      <c r="J9090" t="s">
        <v>344</v>
      </c>
      <c r="K9090" t="s">
        <v>658</v>
      </c>
      <c r="L9090" t="s">
        <v>20</v>
      </c>
      <c r="M9090" t="s">
        <v>10</v>
      </c>
    </row>
    <row r="9091" spans="1:13">
      <c r="A9091" t="s">
        <v>852</v>
      </c>
      <c r="B9091" t="s">
        <v>853</v>
      </c>
      <c r="C9091" t="s">
        <v>853</v>
      </c>
      <c r="D9091" t="s">
        <v>3185</v>
      </c>
      <c r="E9091" t="s">
        <v>646</v>
      </c>
      <c r="F9091" t="s">
        <v>40</v>
      </c>
      <c r="G9091">
        <v>2010</v>
      </c>
      <c r="H9091" s="12">
        <v>9</v>
      </c>
      <c r="I9091" t="s">
        <v>3183</v>
      </c>
      <c r="J9091" t="s">
        <v>148</v>
      </c>
      <c r="K9091" t="s">
        <v>658</v>
      </c>
      <c r="L9091" t="s">
        <v>20</v>
      </c>
      <c r="M9091" t="s">
        <v>855</v>
      </c>
    </row>
    <row r="9092" spans="1:13">
      <c r="A9092" t="s">
        <v>852</v>
      </c>
      <c r="B9092" t="s">
        <v>853</v>
      </c>
      <c r="C9092" t="s">
        <v>853</v>
      </c>
      <c r="D9092" t="s">
        <v>3185</v>
      </c>
      <c r="E9092" t="s">
        <v>646</v>
      </c>
      <c r="F9092" t="s">
        <v>40</v>
      </c>
      <c r="G9092">
        <v>2015</v>
      </c>
      <c r="H9092" s="12">
        <v>16</v>
      </c>
      <c r="I9092" t="s">
        <v>3183</v>
      </c>
      <c r="J9092" t="s">
        <v>148</v>
      </c>
      <c r="K9092" t="s">
        <v>658</v>
      </c>
      <c r="L9092" t="s">
        <v>20</v>
      </c>
      <c r="M9092" t="s">
        <v>855</v>
      </c>
    </row>
    <row r="9093" spans="1:13">
      <c r="A9093" t="s">
        <v>852</v>
      </c>
      <c r="B9093" t="s">
        <v>853</v>
      </c>
      <c r="C9093" t="s">
        <v>853</v>
      </c>
      <c r="D9093" t="s">
        <v>3185</v>
      </c>
      <c r="E9093" t="s">
        <v>646</v>
      </c>
      <c r="F9093" t="s">
        <v>40</v>
      </c>
      <c r="G9093">
        <v>2020</v>
      </c>
      <c r="H9093" s="12">
        <v>24</v>
      </c>
      <c r="I9093" t="s">
        <v>3183</v>
      </c>
      <c r="J9093" t="s">
        <v>148</v>
      </c>
      <c r="K9093" t="s">
        <v>658</v>
      </c>
      <c r="L9093" t="s">
        <v>20</v>
      </c>
      <c r="M9093" t="s">
        <v>855</v>
      </c>
    </row>
    <row r="9094" spans="1:13">
      <c r="A9094" t="s">
        <v>852</v>
      </c>
      <c r="B9094" t="s">
        <v>853</v>
      </c>
      <c r="C9094" t="s">
        <v>853</v>
      </c>
      <c r="D9094" t="s">
        <v>3185</v>
      </c>
      <c r="E9094" t="s">
        <v>646</v>
      </c>
      <c r="F9094" t="s">
        <v>40</v>
      </c>
      <c r="G9094">
        <v>2030</v>
      </c>
      <c r="H9094" s="12">
        <v>89</v>
      </c>
      <c r="I9094" t="s">
        <v>3183</v>
      </c>
      <c r="J9094" t="s">
        <v>148</v>
      </c>
      <c r="K9094" t="s">
        <v>658</v>
      </c>
      <c r="L9094" t="s">
        <v>20</v>
      </c>
      <c r="M9094" t="s">
        <v>855</v>
      </c>
    </row>
    <row r="9095" spans="1:13">
      <c r="A9095" t="s">
        <v>852</v>
      </c>
      <c r="B9095" t="s">
        <v>853</v>
      </c>
      <c r="C9095" t="s">
        <v>853</v>
      </c>
      <c r="D9095" t="s">
        <v>3185</v>
      </c>
      <c r="E9095" t="s">
        <v>646</v>
      </c>
      <c r="F9095" t="s">
        <v>40</v>
      </c>
      <c r="G9095">
        <v>2035</v>
      </c>
      <c r="H9095" s="12">
        <v>146</v>
      </c>
      <c r="I9095" t="s">
        <v>3183</v>
      </c>
      <c r="J9095" t="s">
        <v>148</v>
      </c>
      <c r="K9095" t="s">
        <v>658</v>
      </c>
      <c r="L9095" t="s">
        <v>20</v>
      </c>
      <c r="M9095" t="s">
        <v>855</v>
      </c>
    </row>
    <row r="9096" spans="1:13">
      <c r="A9096" t="s">
        <v>852</v>
      </c>
      <c r="B9096" t="s">
        <v>853</v>
      </c>
      <c r="C9096" t="s">
        <v>853</v>
      </c>
      <c r="D9096" t="s">
        <v>3185</v>
      </c>
      <c r="E9096" t="s">
        <v>646</v>
      </c>
      <c r="F9096" t="s">
        <v>40</v>
      </c>
      <c r="G9096">
        <v>2040</v>
      </c>
      <c r="H9096" s="12">
        <v>349</v>
      </c>
      <c r="I9096" t="s">
        <v>3183</v>
      </c>
      <c r="J9096" t="s">
        <v>148</v>
      </c>
      <c r="K9096" t="s">
        <v>658</v>
      </c>
      <c r="L9096" t="s">
        <v>20</v>
      </c>
      <c r="M9096" t="s">
        <v>855</v>
      </c>
    </row>
    <row r="9097" spans="1:13">
      <c r="A9097" t="s">
        <v>852</v>
      </c>
      <c r="B9097" t="s">
        <v>853</v>
      </c>
      <c r="C9097" t="s">
        <v>853</v>
      </c>
      <c r="D9097" t="s">
        <v>3185</v>
      </c>
      <c r="E9097" t="s">
        <v>646</v>
      </c>
      <c r="F9097" t="s">
        <v>40</v>
      </c>
      <c r="G9097">
        <v>2045</v>
      </c>
      <c r="H9097" s="12">
        <v>407</v>
      </c>
      <c r="I9097" t="s">
        <v>3183</v>
      </c>
      <c r="J9097" t="s">
        <v>148</v>
      </c>
      <c r="K9097" t="s">
        <v>658</v>
      </c>
      <c r="L9097" t="s">
        <v>20</v>
      </c>
      <c r="M9097" t="s">
        <v>855</v>
      </c>
    </row>
    <row r="9098" spans="1:13">
      <c r="A9098" t="s">
        <v>852</v>
      </c>
      <c r="B9098" t="s">
        <v>853</v>
      </c>
      <c r="C9098" t="s">
        <v>853</v>
      </c>
      <c r="D9098" t="s">
        <v>3185</v>
      </c>
      <c r="E9098" t="s">
        <v>646</v>
      </c>
      <c r="F9098" t="s">
        <v>40</v>
      </c>
      <c r="G9098">
        <v>2050</v>
      </c>
      <c r="H9098" s="12">
        <v>375</v>
      </c>
      <c r="I9098" t="s">
        <v>3183</v>
      </c>
      <c r="J9098" t="s">
        <v>148</v>
      </c>
      <c r="K9098" t="s">
        <v>658</v>
      </c>
      <c r="L9098" t="s">
        <v>20</v>
      </c>
      <c r="M9098" t="s">
        <v>855</v>
      </c>
    </row>
    <row r="9099" spans="1:13">
      <c r="A9099" t="s">
        <v>852</v>
      </c>
      <c r="B9099" t="s">
        <v>853</v>
      </c>
      <c r="C9099" t="s">
        <v>853</v>
      </c>
      <c r="D9099" t="s">
        <v>3185</v>
      </c>
      <c r="E9099" t="s">
        <v>646</v>
      </c>
      <c r="F9099" t="s">
        <v>40</v>
      </c>
      <c r="G9099">
        <v>2010</v>
      </c>
      <c r="H9099" s="12">
        <v>13263</v>
      </c>
      <c r="I9099" t="s">
        <v>3183</v>
      </c>
      <c r="J9099" t="s">
        <v>394</v>
      </c>
      <c r="K9099" t="s">
        <v>658</v>
      </c>
      <c r="L9099" t="s">
        <v>20</v>
      </c>
      <c r="M9099" t="s">
        <v>16</v>
      </c>
    </row>
    <row r="9100" spans="1:13">
      <c r="A9100" t="s">
        <v>852</v>
      </c>
      <c r="B9100" t="s">
        <v>853</v>
      </c>
      <c r="C9100" t="s">
        <v>853</v>
      </c>
      <c r="D9100" t="s">
        <v>3185</v>
      </c>
      <c r="E9100" t="s">
        <v>646</v>
      </c>
      <c r="F9100" t="s">
        <v>40</v>
      </c>
      <c r="G9100">
        <v>2015</v>
      </c>
      <c r="H9100" s="12">
        <v>13078</v>
      </c>
      <c r="I9100" t="s">
        <v>3183</v>
      </c>
      <c r="J9100" t="s">
        <v>394</v>
      </c>
      <c r="K9100" t="s">
        <v>658</v>
      </c>
      <c r="L9100" t="s">
        <v>20</v>
      </c>
      <c r="M9100" t="s">
        <v>16</v>
      </c>
    </row>
    <row r="9101" spans="1:13">
      <c r="A9101" t="s">
        <v>852</v>
      </c>
      <c r="B9101" t="s">
        <v>853</v>
      </c>
      <c r="C9101" t="s">
        <v>853</v>
      </c>
      <c r="D9101" t="s">
        <v>3185</v>
      </c>
      <c r="E9101" t="s">
        <v>646</v>
      </c>
      <c r="F9101" t="s">
        <v>40</v>
      </c>
      <c r="G9101">
        <v>2020</v>
      </c>
      <c r="H9101" s="12">
        <v>13049</v>
      </c>
      <c r="I9101" t="s">
        <v>3183</v>
      </c>
      <c r="J9101" t="s">
        <v>394</v>
      </c>
      <c r="K9101" t="s">
        <v>658</v>
      </c>
      <c r="L9101" t="s">
        <v>20</v>
      </c>
      <c r="M9101" t="s">
        <v>16</v>
      </c>
    </row>
    <row r="9102" spans="1:13">
      <c r="A9102" t="s">
        <v>852</v>
      </c>
      <c r="B9102" t="s">
        <v>853</v>
      </c>
      <c r="C9102" t="s">
        <v>853</v>
      </c>
      <c r="D9102" t="s">
        <v>3185</v>
      </c>
      <c r="E9102" t="s">
        <v>646</v>
      </c>
      <c r="F9102" t="s">
        <v>40</v>
      </c>
      <c r="G9102">
        <v>2030</v>
      </c>
      <c r="H9102" s="12">
        <v>9090</v>
      </c>
      <c r="I9102" t="s">
        <v>3183</v>
      </c>
      <c r="J9102" t="s">
        <v>394</v>
      </c>
      <c r="K9102" t="s">
        <v>658</v>
      </c>
      <c r="L9102" t="s">
        <v>20</v>
      </c>
      <c r="M9102" t="s">
        <v>16</v>
      </c>
    </row>
    <row r="9103" spans="1:13">
      <c r="A9103" t="s">
        <v>852</v>
      </c>
      <c r="B9103" t="s">
        <v>853</v>
      </c>
      <c r="C9103" t="s">
        <v>853</v>
      </c>
      <c r="D9103" t="s">
        <v>3185</v>
      </c>
      <c r="E9103" t="s">
        <v>646</v>
      </c>
      <c r="F9103" t="s">
        <v>40</v>
      </c>
      <c r="G9103">
        <v>2035</v>
      </c>
      <c r="H9103" s="12">
        <v>5986</v>
      </c>
      <c r="I9103" t="s">
        <v>3183</v>
      </c>
      <c r="J9103" t="s">
        <v>394</v>
      </c>
      <c r="K9103" t="s">
        <v>658</v>
      </c>
      <c r="L9103" t="s">
        <v>20</v>
      </c>
      <c r="M9103" t="s">
        <v>16</v>
      </c>
    </row>
    <row r="9104" spans="1:13">
      <c r="A9104" t="s">
        <v>852</v>
      </c>
      <c r="B9104" t="s">
        <v>853</v>
      </c>
      <c r="C9104" t="s">
        <v>853</v>
      </c>
      <c r="D9104" t="s">
        <v>3185</v>
      </c>
      <c r="E9104" t="s">
        <v>646</v>
      </c>
      <c r="F9104" t="s">
        <v>40</v>
      </c>
      <c r="G9104">
        <v>2040</v>
      </c>
      <c r="H9104" s="12">
        <v>3416</v>
      </c>
      <c r="I9104" t="s">
        <v>3183</v>
      </c>
      <c r="J9104" t="s">
        <v>394</v>
      </c>
      <c r="K9104" t="s">
        <v>658</v>
      </c>
      <c r="L9104" t="s">
        <v>20</v>
      </c>
      <c r="M9104" t="s">
        <v>16</v>
      </c>
    </row>
    <row r="9105" spans="1:13">
      <c r="A9105" t="s">
        <v>852</v>
      </c>
      <c r="B9105" t="s">
        <v>853</v>
      </c>
      <c r="C9105" t="s">
        <v>853</v>
      </c>
      <c r="D9105" t="s">
        <v>3185</v>
      </c>
      <c r="E9105" t="s">
        <v>646</v>
      </c>
      <c r="F9105" t="s">
        <v>40</v>
      </c>
      <c r="G9105">
        <v>2045</v>
      </c>
      <c r="H9105" s="12">
        <v>1616</v>
      </c>
      <c r="I9105" t="s">
        <v>3183</v>
      </c>
      <c r="J9105" t="s">
        <v>394</v>
      </c>
      <c r="K9105" t="s">
        <v>658</v>
      </c>
      <c r="L9105" t="s">
        <v>20</v>
      </c>
      <c r="M9105" t="s">
        <v>16</v>
      </c>
    </row>
    <row r="9106" spans="1:13">
      <c r="A9106" t="s">
        <v>852</v>
      </c>
      <c r="B9106" t="s">
        <v>853</v>
      </c>
      <c r="C9106" t="s">
        <v>853</v>
      </c>
      <c r="D9106" t="s">
        <v>3185</v>
      </c>
      <c r="E9106" t="s">
        <v>646</v>
      </c>
      <c r="F9106" t="s">
        <v>40</v>
      </c>
      <c r="G9106">
        <v>2050</v>
      </c>
      <c r="H9106" s="12">
        <v>852</v>
      </c>
      <c r="I9106" t="s">
        <v>3183</v>
      </c>
      <c r="J9106" t="s">
        <v>394</v>
      </c>
      <c r="K9106" t="s">
        <v>658</v>
      </c>
      <c r="L9106" t="s">
        <v>20</v>
      </c>
      <c r="M9106" t="s">
        <v>16</v>
      </c>
    </row>
    <row r="9107" spans="1:13">
      <c r="A9107" t="s">
        <v>852</v>
      </c>
      <c r="B9107" t="s">
        <v>853</v>
      </c>
      <c r="C9107" t="s">
        <v>853</v>
      </c>
      <c r="D9107" t="s">
        <v>3185</v>
      </c>
      <c r="E9107" t="s">
        <v>646</v>
      </c>
      <c r="F9107" t="s">
        <v>40</v>
      </c>
      <c r="G9107">
        <v>2010</v>
      </c>
      <c r="H9107" s="12">
        <v>5</v>
      </c>
      <c r="I9107" t="s">
        <v>3183</v>
      </c>
      <c r="J9107" t="s">
        <v>148</v>
      </c>
      <c r="K9107" t="s">
        <v>658</v>
      </c>
      <c r="L9107" t="s">
        <v>20</v>
      </c>
      <c r="M9107" t="s">
        <v>860</v>
      </c>
    </row>
    <row r="9108" spans="1:13">
      <c r="A9108" t="s">
        <v>852</v>
      </c>
      <c r="B9108" t="s">
        <v>853</v>
      </c>
      <c r="C9108" t="s">
        <v>853</v>
      </c>
      <c r="D9108" t="s">
        <v>3185</v>
      </c>
      <c r="E9108" t="s">
        <v>646</v>
      </c>
      <c r="F9108" t="s">
        <v>40</v>
      </c>
      <c r="G9108">
        <v>2015</v>
      </c>
      <c r="H9108" s="12">
        <v>24</v>
      </c>
      <c r="I9108" t="s">
        <v>3183</v>
      </c>
      <c r="J9108" t="s">
        <v>148</v>
      </c>
      <c r="K9108" t="s">
        <v>658</v>
      </c>
      <c r="L9108" t="s">
        <v>20</v>
      </c>
      <c r="M9108" t="s">
        <v>860</v>
      </c>
    </row>
    <row r="9109" spans="1:13">
      <c r="A9109" t="s">
        <v>852</v>
      </c>
      <c r="B9109" t="s">
        <v>853</v>
      </c>
      <c r="C9109" t="s">
        <v>853</v>
      </c>
      <c r="D9109" t="s">
        <v>3185</v>
      </c>
      <c r="E9109" t="s">
        <v>646</v>
      </c>
      <c r="F9109" t="s">
        <v>40</v>
      </c>
      <c r="G9109">
        <v>2020</v>
      </c>
      <c r="H9109" s="12">
        <v>57</v>
      </c>
      <c r="I9109" t="s">
        <v>3183</v>
      </c>
      <c r="J9109" t="s">
        <v>148</v>
      </c>
      <c r="K9109" t="s">
        <v>658</v>
      </c>
      <c r="L9109" t="s">
        <v>20</v>
      </c>
      <c r="M9109" t="s">
        <v>860</v>
      </c>
    </row>
    <row r="9110" spans="1:13">
      <c r="A9110" t="s">
        <v>852</v>
      </c>
      <c r="B9110" t="s">
        <v>853</v>
      </c>
      <c r="C9110" t="s">
        <v>853</v>
      </c>
      <c r="D9110" t="s">
        <v>3185</v>
      </c>
      <c r="E9110" t="s">
        <v>646</v>
      </c>
      <c r="F9110" t="s">
        <v>40</v>
      </c>
      <c r="G9110">
        <v>2030</v>
      </c>
      <c r="H9110" s="12">
        <v>2610</v>
      </c>
      <c r="I9110" t="s">
        <v>3183</v>
      </c>
      <c r="J9110" t="s">
        <v>148</v>
      </c>
      <c r="K9110" t="s">
        <v>658</v>
      </c>
      <c r="L9110" t="s">
        <v>20</v>
      </c>
      <c r="M9110" t="s">
        <v>860</v>
      </c>
    </row>
    <row r="9111" spans="1:13">
      <c r="A9111" t="s">
        <v>852</v>
      </c>
      <c r="B9111" t="s">
        <v>853</v>
      </c>
      <c r="C9111" t="s">
        <v>853</v>
      </c>
      <c r="D9111" t="s">
        <v>3185</v>
      </c>
      <c r="E9111" t="s">
        <v>646</v>
      </c>
      <c r="F9111" t="s">
        <v>40</v>
      </c>
      <c r="G9111">
        <v>2035</v>
      </c>
      <c r="H9111" s="12">
        <v>3306</v>
      </c>
      <c r="I9111" t="s">
        <v>3183</v>
      </c>
      <c r="J9111" t="s">
        <v>148</v>
      </c>
      <c r="K9111" t="s">
        <v>658</v>
      </c>
      <c r="L9111" t="s">
        <v>20</v>
      </c>
      <c r="M9111" t="s">
        <v>860</v>
      </c>
    </row>
    <row r="9112" spans="1:13">
      <c r="A9112" t="s">
        <v>852</v>
      </c>
      <c r="B9112" t="s">
        <v>853</v>
      </c>
      <c r="C9112" t="s">
        <v>853</v>
      </c>
      <c r="D9112" t="s">
        <v>3185</v>
      </c>
      <c r="E9112" t="s">
        <v>646</v>
      </c>
      <c r="F9112" t="s">
        <v>40</v>
      </c>
      <c r="G9112">
        <v>2040</v>
      </c>
      <c r="H9112" s="12">
        <v>3130</v>
      </c>
      <c r="I9112" t="s">
        <v>3183</v>
      </c>
      <c r="J9112" t="s">
        <v>148</v>
      </c>
      <c r="K9112" t="s">
        <v>658</v>
      </c>
      <c r="L9112" t="s">
        <v>20</v>
      </c>
      <c r="M9112" t="s">
        <v>860</v>
      </c>
    </row>
    <row r="9113" spans="1:13">
      <c r="A9113" t="s">
        <v>852</v>
      </c>
      <c r="B9113" t="s">
        <v>853</v>
      </c>
      <c r="C9113" t="s">
        <v>853</v>
      </c>
      <c r="D9113" t="s">
        <v>3185</v>
      </c>
      <c r="E9113" t="s">
        <v>646</v>
      </c>
      <c r="F9113" t="s">
        <v>40</v>
      </c>
      <c r="G9113">
        <v>2045</v>
      </c>
      <c r="H9113" s="12">
        <v>2446</v>
      </c>
      <c r="I9113" t="s">
        <v>3183</v>
      </c>
      <c r="J9113" t="s">
        <v>148</v>
      </c>
      <c r="K9113" t="s">
        <v>658</v>
      </c>
      <c r="L9113" t="s">
        <v>20</v>
      </c>
      <c r="M9113" t="s">
        <v>860</v>
      </c>
    </row>
    <row r="9114" spans="1:13">
      <c r="A9114" t="s">
        <v>852</v>
      </c>
      <c r="B9114" t="s">
        <v>853</v>
      </c>
      <c r="C9114" t="s">
        <v>853</v>
      </c>
      <c r="D9114" t="s">
        <v>3185</v>
      </c>
      <c r="E9114" t="s">
        <v>646</v>
      </c>
      <c r="F9114" t="s">
        <v>40</v>
      </c>
      <c r="G9114">
        <v>2050</v>
      </c>
      <c r="H9114" s="12">
        <v>1428</v>
      </c>
      <c r="I9114" t="s">
        <v>3183</v>
      </c>
      <c r="J9114" t="s">
        <v>148</v>
      </c>
      <c r="K9114" t="s">
        <v>658</v>
      </c>
      <c r="L9114" t="s">
        <v>20</v>
      </c>
      <c r="M9114" t="s">
        <v>860</v>
      </c>
    </row>
    <row r="9115" spans="1:13">
      <c r="A9115" t="s">
        <v>852</v>
      </c>
      <c r="B9115" t="s">
        <v>853</v>
      </c>
      <c r="C9115" t="s">
        <v>853</v>
      </c>
      <c r="D9115" t="s">
        <v>3185</v>
      </c>
      <c r="E9115" t="s">
        <v>646</v>
      </c>
      <c r="F9115" t="s">
        <v>40</v>
      </c>
      <c r="G9115">
        <v>2010</v>
      </c>
      <c r="H9115" s="12">
        <v>0</v>
      </c>
      <c r="I9115" t="s">
        <v>3183</v>
      </c>
      <c r="J9115" t="s">
        <v>8</v>
      </c>
      <c r="K9115" t="s">
        <v>658</v>
      </c>
      <c r="L9115" t="s">
        <v>20</v>
      </c>
      <c r="M9115" t="s">
        <v>8</v>
      </c>
    </row>
    <row r="9116" spans="1:13">
      <c r="A9116" t="s">
        <v>852</v>
      </c>
      <c r="B9116" t="s">
        <v>853</v>
      </c>
      <c r="C9116" t="s">
        <v>853</v>
      </c>
      <c r="D9116" t="s">
        <v>3185</v>
      </c>
      <c r="E9116" t="s">
        <v>646</v>
      </c>
      <c r="F9116" t="s">
        <v>40</v>
      </c>
      <c r="G9116">
        <v>2015</v>
      </c>
      <c r="H9116" s="12">
        <v>0</v>
      </c>
      <c r="I9116" t="s">
        <v>3183</v>
      </c>
      <c r="J9116" t="s">
        <v>8</v>
      </c>
      <c r="K9116" t="s">
        <v>658</v>
      </c>
      <c r="L9116" t="s">
        <v>20</v>
      </c>
      <c r="M9116" t="s">
        <v>8</v>
      </c>
    </row>
    <row r="9117" spans="1:13">
      <c r="A9117" t="s">
        <v>852</v>
      </c>
      <c r="B9117" t="s">
        <v>853</v>
      </c>
      <c r="C9117" t="s">
        <v>853</v>
      </c>
      <c r="D9117" t="s">
        <v>3185</v>
      </c>
      <c r="E9117" t="s">
        <v>646</v>
      </c>
      <c r="F9117" t="s">
        <v>40</v>
      </c>
      <c r="G9117">
        <v>2020</v>
      </c>
      <c r="H9117" s="12">
        <v>0</v>
      </c>
      <c r="I9117" t="s">
        <v>3183</v>
      </c>
      <c r="J9117" t="s">
        <v>8</v>
      </c>
      <c r="K9117" t="s">
        <v>658</v>
      </c>
      <c r="L9117" t="s">
        <v>20</v>
      </c>
      <c r="M9117" t="s">
        <v>8</v>
      </c>
    </row>
    <row r="9118" spans="1:13">
      <c r="A9118" t="s">
        <v>852</v>
      </c>
      <c r="B9118" t="s">
        <v>853</v>
      </c>
      <c r="C9118" t="s">
        <v>853</v>
      </c>
      <c r="D9118" t="s">
        <v>3185</v>
      </c>
      <c r="E9118" t="s">
        <v>646</v>
      </c>
      <c r="F9118" t="s">
        <v>40</v>
      </c>
      <c r="G9118">
        <v>2030</v>
      </c>
      <c r="H9118" s="12">
        <v>361</v>
      </c>
      <c r="I9118" t="s">
        <v>3183</v>
      </c>
      <c r="J9118" t="s">
        <v>8</v>
      </c>
      <c r="K9118" t="s">
        <v>658</v>
      </c>
      <c r="L9118" t="s">
        <v>20</v>
      </c>
      <c r="M9118" t="s">
        <v>8</v>
      </c>
    </row>
    <row r="9119" spans="1:13">
      <c r="A9119" t="s">
        <v>852</v>
      </c>
      <c r="B9119" t="s">
        <v>853</v>
      </c>
      <c r="C9119" t="s">
        <v>853</v>
      </c>
      <c r="D9119" t="s">
        <v>3185</v>
      </c>
      <c r="E9119" t="s">
        <v>646</v>
      </c>
      <c r="F9119" t="s">
        <v>40</v>
      </c>
      <c r="G9119">
        <v>2035</v>
      </c>
      <c r="H9119" s="12">
        <v>807</v>
      </c>
      <c r="I9119" t="s">
        <v>3183</v>
      </c>
      <c r="J9119" t="s">
        <v>8</v>
      </c>
      <c r="K9119" t="s">
        <v>658</v>
      </c>
      <c r="L9119" t="s">
        <v>20</v>
      </c>
      <c r="M9119" t="s">
        <v>8</v>
      </c>
    </row>
    <row r="9120" spans="1:13">
      <c r="A9120" t="s">
        <v>852</v>
      </c>
      <c r="B9120" t="s">
        <v>853</v>
      </c>
      <c r="C9120" t="s">
        <v>853</v>
      </c>
      <c r="D9120" t="s">
        <v>3185</v>
      </c>
      <c r="E9120" t="s">
        <v>646</v>
      </c>
      <c r="F9120" t="s">
        <v>40</v>
      </c>
      <c r="G9120">
        <v>2040</v>
      </c>
      <c r="H9120" s="12">
        <v>1115</v>
      </c>
      <c r="I9120" t="s">
        <v>3183</v>
      </c>
      <c r="J9120" t="s">
        <v>8</v>
      </c>
      <c r="K9120" t="s">
        <v>658</v>
      </c>
      <c r="L9120" t="s">
        <v>20</v>
      </c>
      <c r="M9120" t="s">
        <v>8</v>
      </c>
    </row>
    <row r="9121" spans="1:13">
      <c r="A9121" t="s">
        <v>852</v>
      </c>
      <c r="B9121" t="s">
        <v>853</v>
      </c>
      <c r="C9121" t="s">
        <v>853</v>
      </c>
      <c r="D9121" t="s">
        <v>3185</v>
      </c>
      <c r="E9121" t="s">
        <v>646</v>
      </c>
      <c r="F9121" t="s">
        <v>40</v>
      </c>
      <c r="G9121">
        <v>2045</v>
      </c>
      <c r="H9121" s="12">
        <v>1304</v>
      </c>
      <c r="I9121" t="s">
        <v>3183</v>
      </c>
      <c r="J9121" t="s">
        <v>8</v>
      </c>
      <c r="K9121" t="s">
        <v>658</v>
      </c>
      <c r="L9121" t="s">
        <v>20</v>
      </c>
      <c r="M9121" t="s">
        <v>8</v>
      </c>
    </row>
    <row r="9122" spans="1:13">
      <c r="A9122" t="s">
        <v>852</v>
      </c>
      <c r="B9122" t="s">
        <v>853</v>
      </c>
      <c r="C9122" t="s">
        <v>853</v>
      </c>
      <c r="D9122" t="s">
        <v>3185</v>
      </c>
      <c r="E9122" t="s">
        <v>646</v>
      </c>
      <c r="F9122" t="s">
        <v>40</v>
      </c>
      <c r="G9122">
        <v>2050</v>
      </c>
      <c r="H9122" s="12">
        <v>1433</v>
      </c>
      <c r="I9122" t="s">
        <v>3183</v>
      </c>
      <c r="J9122" t="s">
        <v>8</v>
      </c>
      <c r="K9122" t="s">
        <v>658</v>
      </c>
      <c r="L9122" t="s">
        <v>20</v>
      </c>
      <c r="M9122" t="s">
        <v>8</v>
      </c>
    </row>
    <row r="9123" spans="1:13">
      <c r="A9123" t="s">
        <v>852</v>
      </c>
      <c r="B9123" t="s">
        <v>853</v>
      </c>
      <c r="C9123" t="s">
        <v>853</v>
      </c>
      <c r="D9123" t="s">
        <v>3185</v>
      </c>
      <c r="E9123" t="s">
        <v>646</v>
      </c>
      <c r="F9123" t="s">
        <v>40</v>
      </c>
      <c r="G9123">
        <v>2010</v>
      </c>
      <c r="H9123" s="12">
        <v>26200</v>
      </c>
      <c r="I9123" t="s">
        <v>3183</v>
      </c>
      <c r="J9123" t="s">
        <v>6</v>
      </c>
      <c r="K9123" t="s">
        <v>658</v>
      </c>
      <c r="L9123" t="s">
        <v>20</v>
      </c>
      <c r="M9123" t="s">
        <v>659</v>
      </c>
    </row>
    <row r="9124" spans="1:13">
      <c r="A9124" t="s">
        <v>852</v>
      </c>
      <c r="B9124" t="s">
        <v>853</v>
      </c>
      <c r="C9124" t="s">
        <v>853</v>
      </c>
      <c r="D9124" t="s">
        <v>3185</v>
      </c>
      <c r="E9124" t="s">
        <v>646</v>
      </c>
      <c r="F9124" t="s">
        <v>40</v>
      </c>
      <c r="G9124">
        <v>2015</v>
      </c>
      <c r="H9124" s="12">
        <v>26392</v>
      </c>
      <c r="I9124" t="s">
        <v>3183</v>
      </c>
      <c r="J9124" t="s">
        <v>6</v>
      </c>
      <c r="K9124" t="s">
        <v>658</v>
      </c>
      <c r="L9124" t="s">
        <v>20</v>
      </c>
      <c r="M9124" t="s">
        <v>659</v>
      </c>
    </row>
    <row r="9125" spans="1:13">
      <c r="A9125" t="s">
        <v>852</v>
      </c>
      <c r="B9125" t="s">
        <v>853</v>
      </c>
      <c r="C9125" t="s">
        <v>853</v>
      </c>
      <c r="D9125" t="s">
        <v>3185</v>
      </c>
      <c r="E9125" t="s">
        <v>646</v>
      </c>
      <c r="F9125" t="s">
        <v>40</v>
      </c>
      <c r="G9125">
        <v>2020</v>
      </c>
      <c r="H9125" s="12">
        <v>29150</v>
      </c>
      <c r="I9125" t="s">
        <v>3183</v>
      </c>
      <c r="J9125" t="s">
        <v>6</v>
      </c>
      <c r="K9125" t="s">
        <v>658</v>
      </c>
      <c r="L9125" t="s">
        <v>20</v>
      </c>
      <c r="M9125" t="s">
        <v>659</v>
      </c>
    </row>
    <row r="9126" spans="1:13">
      <c r="A9126" t="s">
        <v>852</v>
      </c>
      <c r="B9126" t="s">
        <v>853</v>
      </c>
      <c r="C9126" t="s">
        <v>853</v>
      </c>
      <c r="D9126" t="s">
        <v>3185</v>
      </c>
      <c r="E9126" t="s">
        <v>646</v>
      </c>
      <c r="F9126" t="s">
        <v>40</v>
      </c>
      <c r="G9126">
        <v>2030</v>
      </c>
      <c r="H9126" s="12">
        <v>16884</v>
      </c>
      <c r="I9126" t="s">
        <v>3183</v>
      </c>
      <c r="J9126" t="s">
        <v>6</v>
      </c>
      <c r="K9126" t="s">
        <v>658</v>
      </c>
      <c r="L9126" t="s">
        <v>20</v>
      </c>
      <c r="M9126" t="s">
        <v>659</v>
      </c>
    </row>
    <row r="9127" spans="1:13">
      <c r="A9127" t="s">
        <v>852</v>
      </c>
      <c r="B9127" t="s">
        <v>853</v>
      </c>
      <c r="C9127" t="s">
        <v>853</v>
      </c>
      <c r="D9127" t="s">
        <v>3185</v>
      </c>
      <c r="E9127" t="s">
        <v>646</v>
      </c>
      <c r="F9127" t="s">
        <v>40</v>
      </c>
      <c r="G9127">
        <v>2035</v>
      </c>
      <c r="H9127" s="12">
        <v>9735</v>
      </c>
      <c r="I9127" t="s">
        <v>3183</v>
      </c>
      <c r="J9127" t="s">
        <v>6</v>
      </c>
      <c r="K9127" t="s">
        <v>658</v>
      </c>
      <c r="L9127" t="s">
        <v>20</v>
      </c>
      <c r="M9127" t="s">
        <v>659</v>
      </c>
    </row>
    <row r="9128" spans="1:13">
      <c r="A9128" t="s">
        <v>852</v>
      </c>
      <c r="B9128" t="s">
        <v>853</v>
      </c>
      <c r="C9128" t="s">
        <v>853</v>
      </c>
      <c r="D9128" t="s">
        <v>3185</v>
      </c>
      <c r="E9128" t="s">
        <v>646</v>
      </c>
      <c r="F9128" t="s">
        <v>40</v>
      </c>
      <c r="G9128">
        <v>2040</v>
      </c>
      <c r="H9128" s="12">
        <v>4349</v>
      </c>
      <c r="I9128" t="s">
        <v>3183</v>
      </c>
      <c r="J9128" t="s">
        <v>6</v>
      </c>
      <c r="K9128" t="s">
        <v>658</v>
      </c>
      <c r="L9128" t="s">
        <v>20</v>
      </c>
      <c r="M9128" t="s">
        <v>659</v>
      </c>
    </row>
    <row r="9129" spans="1:13">
      <c r="A9129" t="s">
        <v>852</v>
      </c>
      <c r="B9129" t="s">
        <v>853</v>
      </c>
      <c r="C9129" t="s">
        <v>853</v>
      </c>
      <c r="D9129" t="s">
        <v>3185</v>
      </c>
      <c r="E9129" t="s">
        <v>646</v>
      </c>
      <c r="F9129" t="s">
        <v>40</v>
      </c>
      <c r="G9129">
        <v>2045</v>
      </c>
      <c r="H9129" s="12">
        <v>1322</v>
      </c>
      <c r="I9129" t="s">
        <v>3183</v>
      </c>
      <c r="J9129" t="s">
        <v>6</v>
      </c>
      <c r="K9129" t="s">
        <v>658</v>
      </c>
      <c r="L9129" t="s">
        <v>20</v>
      </c>
      <c r="M9129" t="s">
        <v>659</v>
      </c>
    </row>
    <row r="9130" spans="1:13">
      <c r="A9130" t="s">
        <v>852</v>
      </c>
      <c r="B9130" t="s">
        <v>853</v>
      </c>
      <c r="C9130" t="s">
        <v>853</v>
      </c>
      <c r="D9130" t="s">
        <v>3185</v>
      </c>
      <c r="E9130" t="s">
        <v>646</v>
      </c>
      <c r="F9130" t="s">
        <v>40</v>
      </c>
      <c r="G9130">
        <v>2050</v>
      </c>
      <c r="H9130" s="12">
        <v>0</v>
      </c>
      <c r="I9130" t="s">
        <v>3183</v>
      </c>
      <c r="J9130" t="s">
        <v>6</v>
      </c>
      <c r="K9130" t="s">
        <v>658</v>
      </c>
      <c r="L9130" t="s">
        <v>20</v>
      </c>
      <c r="M9130" t="s">
        <v>659</v>
      </c>
    </row>
    <row r="9131" spans="1:13">
      <c r="A9131" t="s">
        <v>852</v>
      </c>
      <c r="B9131" t="s">
        <v>853</v>
      </c>
      <c r="C9131" t="s">
        <v>853</v>
      </c>
      <c r="D9131" t="s">
        <v>3185</v>
      </c>
      <c r="E9131" t="s">
        <v>646</v>
      </c>
      <c r="F9131" t="s">
        <v>40</v>
      </c>
      <c r="G9131">
        <v>2010</v>
      </c>
      <c r="H9131" s="12">
        <v>4282</v>
      </c>
      <c r="I9131" t="s">
        <v>3183</v>
      </c>
      <c r="J9131" t="s">
        <v>41</v>
      </c>
      <c r="K9131" t="s">
        <v>658</v>
      </c>
      <c r="L9131" t="s">
        <v>20</v>
      </c>
      <c r="M9131" t="s">
        <v>854</v>
      </c>
    </row>
    <row r="9132" spans="1:13">
      <c r="A9132" t="s">
        <v>852</v>
      </c>
      <c r="B9132" t="s">
        <v>853</v>
      </c>
      <c r="C9132" t="s">
        <v>853</v>
      </c>
      <c r="D9132" t="s">
        <v>3185</v>
      </c>
      <c r="E9132" t="s">
        <v>646</v>
      </c>
      <c r="F9132" t="s">
        <v>40</v>
      </c>
      <c r="G9132">
        <v>2015</v>
      </c>
      <c r="H9132" s="12">
        <v>4196</v>
      </c>
      <c r="I9132" t="s">
        <v>3183</v>
      </c>
      <c r="J9132" t="s">
        <v>41</v>
      </c>
      <c r="K9132" t="s">
        <v>658</v>
      </c>
      <c r="L9132" t="s">
        <v>20</v>
      </c>
      <c r="M9132" t="s">
        <v>854</v>
      </c>
    </row>
    <row r="9133" spans="1:13">
      <c r="A9133" t="s">
        <v>852</v>
      </c>
      <c r="B9133" t="s">
        <v>853</v>
      </c>
      <c r="C9133" t="s">
        <v>853</v>
      </c>
      <c r="D9133" t="s">
        <v>3185</v>
      </c>
      <c r="E9133" t="s">
        <v>646</v>
      </c>
      <c r="F9133" t="s">
        <v>40</v>
      </c>
      <c r="G9133">
        <v>2020</v>
      </c>
      <c r="H9133" s="12">
        <v>4309</v>
      </c>
      <c r="I9133" t="s">
        <v>3183</v>
      </c>
      <c r="J9133" t="s">
        <v>41</v>
      </c>
      <c r="K9133" t="s">
        <v>658</v>
      </c>
      <c r="L9133" t="s">
        <v>20</v>
      </c>
      <c r="M9133" t="s">
        <v>854</v>
      </c>
    </row>
    <row r="9134" spans="1:13">
      <c r="A9134" t="s">
        <v>852</v>
      </c>
      <c r="B9134" t="s">
        <v>853</v>
      </c>
      <c r="C9134" t="s">
        <v>853</v>
      </c>
      <c r="D9134" t="s">
        <v>3185</v>
      </c>
      <c r="E9134" t="s">
        <v>646</v>
      </c>
      <c r="F9134" t="s">
        <v>40</v>
      </c>
      <c r="G9134">
        <v>2030</v>
      </c>
      <c r="H9134" s="12">
        <v>10097</v>
      </c>
      <c r="I9134" t="s">
        <v>3183</v>
      </c>
      <c r="J9134" t="s">
        <v>41</v>
      </c>
      <c r="K9134" t="s">
        <v>658</v>
      </c>
      <c r="L9134" t="s">
        <v>20</v>
      </c>
      <c r="M9134" t="s">
        <v>854</v>
      </c>
    </row>
    <row r="9135" spans="1:13">
      <c r="A9135" t="s">
        <v>852</v>
      </c>
      <c r="B9135" t="s">
        <v>853</v>
      </c>
      <c r="C9135" t="s">
        <v>853</v>
      </c>
      <c r="D9135" t="s">
        <v>3185</v>
      </c>
      <c r="E9135" t="s">
        <v>646</v>
      </c>
      <c r="F9135" t="s">
        <v>40</v>
      </c>
      <c r="G9135">
        <v>2035</v>
      </c>
      <c r="H9135" s="12">
        <v>8866</v>
      </c>
      <c r="I9135" t="s">
        <v>3183</v>
      </c>
      <c r="J9135" t="s">
        <v>41</v>
      </c>
      <c r="K9135" t="s">
        <v>658</v>
      </c>
      <c r="L9135" t="s">
        <v>20</v>
      </c>
      <c r="M9135" t="s">
        <v>854</v>
      </c>
    </row>
    <row r="9136" spans="1:13">
      <c r="A9136" t="s">
        <v>852</v>
      </c>
      <c r="B9136" t="s">
        <v>853</v>
      </c>
      <c r="C9136" t="s">
        <v>853</v>
      </c>
      <c r="D9136" t="s">
        <v>3185</v>
      </c>
      <c r="E9136" t="s">
        <v>646</v>
      </c>
      <c r="F9136" t="s">
        <v>40</v>
      </c>
      <c r="G9136">
        <v>2040</v>
      </c>
      <c r="H9136" s="12">
        <v>6902</v>
      </c>
      <c r="I9136" t="s">
        <v>3183</v>
      </c>
      <c r="J9136" t="s">
        <v>41</v>
      </c>
      <c r="K9136" t="s">
        <v>658</v>
      </c>
      <c r="L9136" t="s">
        <v>20</v>
      </c>
      <c r="M9136" t="s">
        <v>854</v>
      </c>
    </row>
    <row r="9137" spans="1:13">
      <c r="A9137" t="s">
        <v>852</v>
      </c>
      <c r="B9137" t="s">
        <v>853</v>
      </c>
      <c r="C9137" t="s">
        <v>853</v>
      </c>
      <c r="D9137" t="s">
        <v>3185</v>
      </c>
      <c r="E9137" t="s">
        <v>646</v>
      </c>
      <c r="F9137" t="s">
        <v>40</v>
      </c>
      <c r="G9137">
        <v>2045</v>
      </c>
      <c r="H9137" s="12">
        <v>7191</v>
      </c>
      <c r="I9137" t="s">
        <v>3183</v>
      </c>
      <c r="J9137" t="s">
        <v>41</v>
      </c>
      <c r="K9137" t="s">
        <v>658</v>
      </c>
      <c r="L9137" t="s">
        <v>20</v>
      </c>
      <c r="M9137" t="s">
        <v>854</v>
      </c>
    </row>
    <row r="9138" spans="1:13">
      <c r="A9138" t="s">
        <v>852</v>
      </c>
      <c r="B9138" t="s">
        <v>853</v>
      </c>
      <c r="C9138" t="s">
        <v>853</v>
      </c>
      <c r="D9138" t="s">
        <v>3185</v>
      </c>
      <c r="E9138" t="s">
        <v>646</v>
      </c>
      <c r="F9138" t="s">
        <v>40</v>
      </c>
      <c r="G9138">
        <v>2050</v>
      </c>
      <c r="H9138" s="12">
        <v>6807</v>
      </c>
      <c r="I9138" t="s">
        <v>3183</v>
      </c>
      <c r="J9138" t="s">
        <v>41</v>
      </c>
      <c r="K9138" t="s">
        <v>658</v>
      </c>
      <c r="L9138" t="s">
        <v>20</v>
      </c>
      <c r="M9138" t="s">
        <v>854</v>
      </c>
    </row>
    <row r="9139" spans="1:13">
      <c r="A9139" t="s">
        <v>852</v>
      </c>
      <c r="B9139" t="s">
        <v>853</v>
      </c>
      <c r="C9139" t="s">
        <v>853</v>
      </c>
      <c r="D9139" t="s">
        <v>3185</v>
      </c>
      <c r="E9139" t="s">
        <v>646</v>
      </c>
      <c r="F9139" t="s">
        <v>40</v>
      </c>
      <c r="G9139">
        <v>2010</v>
      </c>
      <c r="H9139" s="12">
        <v>5729</v>
      </c>
      <c r="I9139" t="s">
        <v>3183</v>
      </c>
      <c r="J9139" t="s">
        <v>5</v>
      </c>
      <c r="K9139" t="s">
        <v>658</v>
      </c>
      <c r="L9139" t="s">
        <v>20</v>
      </c>
      <c r="M9139" t="s">
        <v>5</v>
      </c>
    </row>
    <row r="9140" spans="1:13">
      <c r="A9140" t="s">
        <v>852</v>
      </c>
      <c r="B9140" t="s">
        <v>853</v>
      </c>
      <c r="C9140" t="s">
        <v>853</v>
      </c>
      <c r="D9140" t="s">
        <v>3185</v>
      </c>
      <c r="E9140" t="s">
        <v>646</v>
      </c>
      <c r="F9140" t="s">
        <v>40</v>
      </c>
      <c r="G9140">
        <v>2015</v>
      </c>
      <c r="H9140" s="12">
        <v>5627</v>
      </c>
      <c r="I9140" t="s">
        <v>3183</v>
      </c>
      <c r="J9140" t="s">
        <v>5</v>
      </c>
      <c r="K9140" t="s">
        <v>658</v>
      </c>
      <c r="L9140" t="s">
        <v>20</v>
      </c>
      <c r="M9140" t="s">
        <v>5</v>
      </c>
    </row>
    <row r="9141" spans="1:13">
      <c r="A9141" t="s">
        <v>852</v>
      </c>
      <c r="B9141" t="s">
        <v>853</v>
      </c>
      <c r="C9141" t="s">
        <v>853</v>
      </c>
      <c r="D9141" t="s">
        <v>3185</v>
      </c>
      <c r="E9141" t="s">
        <v>646</v>
      </c>
      <c r="F9141" t="s">
        <v>40</v>
      </c>
      <c r="G9141">
        <v>2020</v>
      </c>
      <c r="H9141" s="12">
        <v>4063</v>
      </c>
      <c r="I9141" t="s">
        <v>3183</v>
      </c>
      <c r="J9141" t="s">
        <v>5</v>
      </c>
      <c r="K9141" t="s">
        <v>658</v>
      </c>
      <c r="L9141" t="s">
        <v>20</v>
      </c>
      <c r="M9141" t="s">
        <v>5</v>
      </c>
    </row>
    <row r="9142" spans="1:13">
      <c r="A9142" t="s">
        <v>852</v>
      </c>
      <c r="B9142" t="s">
        <v>853</v>
      </c>
      <c r="C9142" t="s">
        <v>853</v>
      </c>
      <c r="D9142" t="s">
        <v>3185</v>
      </c>
      <c r="E9142" t="s">
        <v>646</v>
      </c>
      <c r="F9142" t="s">
        <v>40</v>
      </c>
      <c r="G9142">
        <v>2030</v>
      </c>
      <c r="H9142" s="12">
        <v>781</v>
      </c>
      <c r="I9142" t="s">
        <v>3183</v>
      </c>
      <c r="J9142" t="s">
        <v>5</v>
      </c>
      <c r="K9142" t="s">
        <v>658</v>
      </c>
      <c r="L9142" t="s">
        <v>20</v>
      </c>
      <c r="M9142" t="s">
        <v>5</v>
      </c>
    </row>
    <row r="9143" spans="1:13">
      <c r="A9143" t="s">
        <v>852</v>
      </c>
      <c r="B9143" t="s">
        <v>853</v>
      </c>
      <c r="C9143" t="s">
        <v>853</v>
      </c>
      <c r="D9143" t="s">
        <v>3185</v>
      </c>
      <c r="E9143" t="s">
        <v>646</v>
      </c>
      <c r="F9143" t="s">
        <v>40</v>
      </c>
      <c r="G9143">
        <v>2035</v>
      </c>
      <c r="H9143" s="12">
        <v>312</v>
      </c>
      <c r="I9143" t="s">
        <v>3183</v>
      </c>
      <c r="J9143" t="s">
        <v>5</v>
      </c>
      <c r="K9143" t="s">
        <v>658</v>
      </c>
      <c r="L9143" t="s">
        <v>20</v>
      </c>
      <c r="M9143" t="s">
        <v>5</v>
      </c>
    </row>
    <row r="9144" spans="1:13">
      <c r="A9144" t="s">
        <v>852</v>
      </c>
      <c r="B9144" t="s">
        <v>853</v>
      </c>
      <c r="C9144" t="s">
        <v>853</v>
      </c>
      <c r="D9144" t="s">
        <v>3185</v>
      </c>
      <c r="E9144" t="s">
        <v>646</v>
      </c>
      <c r="F9144" t="s">
        <v>40</v>
      </c>
      <c r="G9144">
        <v>2040</v>
      </c>
      <c r="H9144" s="12">
        <v>65</v>
      </c>
      <c r="I9144" t="s">
        <v>3183</v>
      </c>
      <c r="J9144" t="s">
        <v>5</v>
      </c>
      <c r="K9144" t="s">
        <v>658</v>
      </c>
      <c r="L9144" t="s">
        <v>20</v>
      </c>
      <c r="M9144" t="s">
        <v>5</v>
      </c>
    </row>
    <row r="9145" spans="1:13">
      <c r="A9145" t="s">
        <v>852</v>
      </c>
      <c r="B9145" t="s">
        <v>853</v>
      </c>
      <c r="C9145" t="s">
        <v>853</v>
      </c>
      <c r="D9145" t="s">
        <v>3185</v>
      </c>
      <c r="E9145" t="s">
        <v>646</v>
      </c>
      <c r="F9145" t="s">
        <v>40</v>
      </c>
      <c r="G9145">
        <v>2045</v>
      </c>
      <c r="H9145" s="12">
        <v>19</v>
      </c>
      <c r="I9145" t="s">
        <v>3183</v>
      </c>
      <c r="J9145" t="s">
        <v>5</v>
      </c>
      <c r="K9145" t="s">
        <v>658</v>
      </c>
      <c r="L9145" t="s">
        <v>20</v>
      </c>
      <c r="M9145" t="s">
        <v>5</v>
      </c>
    </row>
    <row r="9146" spans="1:13">
      <c r="A9146" t="s">
        <v>852</v>
      </c>
      <c r="B9146" t="s">
        <v>853</v>
      </c>
      <c r="C9146" t="s">
        <v>853</v>
      </c>
      <c r="D9146" t="s">
        <v>3185</v>
      </c>
      <c r="E9146" t="s">
        <v>646</v>
      </c>
      <c r="F9146" t="s">
        <v>40</v>
      </c>
      <c r="G9146">
        <v>2050</v>
      </c>
      <c r="H9146" s="12">
        <v>5</v>
      </c>
      <c r="I9146" t="s">
        <v>3183</v>
      </c>
      <c r="J9146" t="s">
        <v>5</v>
      </c>
      <c r="K9146" t="s">
        <v>658</v>
      </c>
      <c r="L9146" t="s">
        <v>20</v>
      </c>
      <c r="M9146" t="s">
        <v>5</v>
      </c>
    </row>
    <row r="9147" spans="1:13">
      <c r="A9147" t="s">
        <v>852</v>
      </c>
      <c r="B9147" t="s">
        <v>853</v>
      </c>
      <c r="C9147" t="s">
        <v>853</v>
      </c>
      <c r="D9147" t="s">
        <v>3185</v>
      </c>
      <c r="E9147" t="s">
        <v>646</v>
      </c>
      <c r="F9147" t="s">
        <v>40</v>
      </c>
      <c r="G9147">
        <v>2010</v>
      </c>
      <c r="H9147" s="12">
        <v>6119</v>
      </c>
      <c r="I9147" t="s">
        <v>3183</v>
      </c>
      <c r="J9147" t="s">
        <v>7</v>
      </c>
      <c r="K9147" t="s">
        <v>658</v>
      </c>
      <c r="L9147" t="s">
        <v>20</v>
      </c>
      <c r="M9147" t="s">
        <v>861</v>
      </c>
    </row>
    <row r="9148" spans="1:13">
      <c r="A9148" t="s">
        <v>852</v>
      </c>
      <c r="B9148" t="s">
        <v>853</v>
      </c>
      <c r="C9148" t="s">
        <v>853</v>
      </c>
      <c r="D9148" t="s">
        <v>3185</v>
      </c>
      <c r="E9148" t="s">
        <v>646</v>
      </c>
      <c r="F9148" t="s">
        <v>40</v>
      </c>
      <c r="G9148">
        <v>2015</v>
      </c>
      <c r="H9148" s="12">
        <v>6020</v>
      </c>
      <c r="I9148" t="s">
        <v>3183</v>
      </c>
      <c r="J9148" t="s">
        <v>7</v>
      </c>
      <c r="K9148" t="s">
        <v>658</v>
      </c>
      <c r="L9148" t="s">
        <v>20</v>
      </c>
      <c r="M9148" t="s">
        <v>861</v>
      </c>
    </row>
    <row r="9149" spans="1:13">
      <c r="A9149" t="s">
        <v>852</v>
      </c>
      <c r="B9149" t="s">
        <v>853</v>
      </c>
      <c r="C9149" t="s">
        <v>853</v>
      </c>
      <c r="D9149" t="s">
        <v>3185</v>
      </c>
      <c r="E9149" t="s">
        <v>646</v>
      </c>
      <c r="F9149" t="s">
        <v>40</v>
      </c>
      <c r="G9149">
        <v>2020</v>
      </c>
      <c r="H9149" s="12">
        <v>6514</v>
      </c>
      <c r="I9149" t="s">
        <v>3183</v>
      </c>
      <c r="J9149" t="s">
        <v>7</v>
      </c>
      <c r="K9149" t="s">
        <v>658</v>
      </c>
      <c r="L9149" t="s">
        <v>20</v>
      </c>
      <c r="M9149" t="s">
        <v>861</v>
      </c>
    </row>
    <row r="9150" spans="1:13">
      <c r="A9150" t="s">
        <v>852</v>
      </c>
      <c r="B9150" t="s">
        <v>853</v>
      </c>
      <c r="C9150" t="s">
        <v>853</v>
      </c>
      <c r="D9150" t="s">
        <v>3185</v>
      </c>
      <c r="E9150" t="s">
        <v>646</v>
      </c>
      <c r="F9150" t="s">
        <v>40</v>
      </c>
      <c r="G9150">
        <v>2030</v>
      </c>
      <c r="H9150" s="12">
        <v>5442</v>
      </c>
      <c r="I9150" t="s">
        <v>3183</v>
      </c>
      <c r="J9150" t="s">
        <v>7</v>
      </c>
      <c r="K9150" t="s">
        <v>658</v>
      </c>
      <c r="L9150" t="s">
        <v>20</v>
      </c>
      <c r="M9150" t="s">
        <v>861</v>
      </c>
    </row>
    <row r="9151" spans="1:13">
      <c r="A9151" t="s">
        <v>852</v>
      </c>
      <c r="B9151" t="s">
        <v>853</v>
      </c>
      <c r="C9151" t="s">
        <v>853</v>
      </c>
      <c r="D9151" t="s">
        <v>3185</v>
      </c>
      <c r="E9151" t="s">
        <v>646</v>
      </c>
      <c r="F9151" t="s">
        <v>40</v>
      </c>
      <c r="G9151">
        <v>2035</v>
      </c>
      <c r="H9151" s="12">
        <v>5039</v>
      </c>
      <c r="I9151" t="s">
        <v>3183</v>
      </c>
      <c r="J9151" t="s">
        <v>7</v>
      </c>
      <c r="K9151" t="s">
        <v>658</v>
      </c>
      <c r="L9151" t="s">
        <v>20</v>
      </c>
      <c r="M9151" t="s">
        <v>861</v>
      </c>
    </row>
    <row r="9152" spans="1:13">
      <c r="A9152" t="s">
        <v>852</v>
      </c>
      <c r="B9152" t="s">
        <v>853</v>
      </c>
      <c r="C9152" t="s">
        <v>853</v>
      </c>
      <c r="D9152" t="s">
        <v>3185</v>
      </c>
      <c r="E9152" t="s">
        <v>646</v>
      </c>
      <c r="F9152" t="s">
        <v>40</v>
      </c>
      <c r="G9152">
        <v>2040</v>
      </c>
      <c r="H9152" s="12">
        <v>4665</v>
      </c>
      <c r="I9152" t="s">
        <v>3183</v>
      </c>
      <c r="J9152" t="s">
        <v>7</v>
      </c>
      <c r="K9152" t="s">
        <v>658</v>
      </c>
      <c r="L9152" t="s">
        <v>20</v>
      </c>
      <c r="M9152" t="s">
        <v>861</v>
      </c>
    </row>
    <row r="9153" spans="1:13">
      <c r="A9153" t="s">
        <v>852</v>
      </c>
      <c r="B9153" t="s">
        <v>853</v>
      </c>
      <c r="C9153" t="s">
        <v>853</v>
      </c>
      <c r="D9153" t="s">
        <v>3185</v>
      </c>
      <c r="E9153" t="s">
        <v>646</v>
      </c>
      <c r="F9153" t="s">
        <v>40</v>
      </c>
      <c r="G9153">
        <v>2045</v>
      </c>
      <c r="H9153" s="12">
        <v>4296</v>
      </c>
      <c r="I9153" t="s">
        <v>3183</v>
      </c>
      <c r="J9153" t="s">
        <v>7</v>
      </c>
      <c r="K9153" t="s">
        <v>658</v>
      </c>
      <c r="L9153" t="s">
        <v>20</v>
      </c>
      <c r="M9153" t="s">
        <v>861</v>
      </c>
    </row>
    <row r="9154" spans="1:13">
      <c r="A9154" t="s">
        <v>852</v>
      </c>
      <c r="B9154" t="s">
        <v>853</v>
      </c>
      <c r="C9154" t="s">
        <v>853</v>
      </c>
      <c r="D9154" t="s">
        <v>3185</v>
      </c>
      <c r="E9154" t="s">
        <v>646</v>
      </c>
      <c r="F9154" t="s">
        <v>40</v>
      </c>
      <c r="G9154">
        <v>2050</v>
      </c>
      <c r="H9154" s="12">
        <v>3987</v>
      </c>
      <c r="I9154" t="s">
        <v>3183</v>
      </c>
      <c r="J9154" t="s">
        <v>7</v>
      </c>
      <c r="K9154" t="s">
        <v>658</v>
      </c>
      <c r="L9154" t="s">
        <v>20</v>
      </c>
      <c r="M9154" t="s">
        <v>861</v>
      </c>
    </row>
    <row r="9155" spans="1:13">
      <c r="A9155" t="s">
        <v>852</v>
      </c>
      <c r="B9155" t="s">
        <v>853</v>
      </c>
      <c r="C9155" t="s">
        <v>853</v>
      </c>
      <c r="D9155" t="s">
        <v>3185</v>
      </c>
      <c r="E9155" t="s">
        <v>646</v>
      </c>
      <c r="F9155" t="s">
        <v>40</v>
      </c>
      <c r="G9155">
        <v>2010</v>
      </c>
      <c r="H9155" s="12">
        <v>860</v>
      </c>
      <c r="I9155" t="s">
        <v>3183</v>
      </c>
      <c r="J9155" t="s">
        <v>394</v>
      </c>
      <c r="K9155" t="s">
        <v>658</v>
      </c>
      <c r="L9155" t="s">
        <v>20</v>
      </c>
      <c r="M9155" t="s">
        <v>540</v>
      </c>
    </row>
    <row r="9156" spans="1:13">
      <c r="A9156" t="s">
        <v>852</v>
      </c>
      <c r="B9156" t="s">
        <v>853</v>
      </c>
      <c r="C9156" t="s">
        <v>853</v>
      </c>
      <c r="D9156" t="s">
        <v>3185</v>
      </c>
      <c r="E9156" t="s">
        <v>646</v>
      </c>
      <c r="F9156" t="s">
        <v>40</v>
      </c>
      <c r="G9156">
        <v>2015</v>
      </c>
      <c r="H9156" s="12">
        <v>1647</v>
      </c>
      <c r="I9156" t="s">
        <v>3183</v>
      </c>
      <c r="J9156" t="s">
        <v>394</v>
      </c>
      <c r="K9156" t="s">
        <v>658</v>
      </c>
      <c r="L9156" t="s">
        <v>20</v>
      </c>
      <c r="M9156" t="s">
        <v>540</v>
      </c>
    </row>
    <row r="9157" spans="1:13">
      <c r="A9157" t="s">
        <v>852</v>
      </c>
      <c r="B9157" t="s">
        <v>853</v>
      </c>
      <c r="C9157" t="s">
        <v>853</v>
      </c>
      <c r="D9157" t="s">
        <v>3185</v>
      </c>
      <c r="E9157" t="s">
        <v>646</v>
      </c>
      <c r="F9157" t="s">
        <v>40</v>
      </c>
      <c r="G9157">
        <v>2020</v>
      </c>
      <c r="H9157" s="12">
        <v>2304</v>
      </c>
      <c r="I9157" t="s">
        <v>3183</v>
      </c>
      <c r="J9157" t="s">
        <v>394</v>
      </c>
      <c r="K9157" t="s">
        <v>658</v>
      </c>
      <c r="L9157" t="s">
        <v>20</v>
      </c>
      <c r="M9157" t="s">
        <v>540</v>
      </c>
    </row>
    <row r="9158" spans="1:13">
      <c r="A9158" t="s">
        <v>852</v>
      </c>
      <c r="B9158" t="s">
        <v>853</v>
      </c>
      <c r="C9158" t="s">
        <v>853</v>
      </c>
      <c r="D9158" t="s">
        <v>3185</v>
      </c>
      <c r="E9158" t="s">
        <v>646</v>
      </c>
      <c r="F9158" t="s">
        <v>40</v>
      </c>
      <c r="G9158">
        <v>2030</v>
      </c>
      <c r="H9158" s="12">
        <v>4985</v>
      </c>
      <c r="I9158" t="s">
        <v>3183</v>
      </c>
      <c r="J9158" t="s">
        <v>394</v>
      </c>
      <c r="K9158" t="s">
        <v>658</v>
      </c>
      <c r="L9158" t="s">
        <v>20</v>
      </c>
      <c r="M9158" t="s">
        <v>540</v>
      </c>
    </row>
    <row r="9159" spans="1:13">
      <c r="A9159" t="s">
        <v>852</v>
      </c>
      <c r="B9159" t="s">
        <v>853</v>
      </c>
      <c r="C9159" t="s">
        <v>853</v>
      </c>
      <c r="D9159" t="s">
        <v>3185</v>
      </c>
      <c r="E9159" t="s">
        <v>646</v>
      </c>
      <c r="F9159" t="s">
        <v>40</v>
      </c>
      <c r="G9159">
        <v>2035</v>
      </c>
      <c r="H9159" s="12">
        <v>6996</v>
      </c>
      <c r="I9159" t="s">
        <v>3183</v>
      </c>
      <c r="J9159" t="s">
        <v>394</v>
      </c>
      <c r="K9159" t="s">
        <v>658</v>
      </c>
      <c r="L9159" t="s">
        <v>20</v>
      </c>
      <c r="M9159" t="s">
        <v>540</v>
      </c>
    </row>
    <row r="9160" spans="1:13">
      <c r="A9160" t="s">
        <v>852</v>
      </c>
      <c r="B9160" t="s">
        <v>853</v>
      </c>
      <c r="C9160" t="s">
        <v>853</v>
      </c>
      <c r="D9160" t="s">
        <v>3185</v>
      </c>
      <c r="E9160" t="s">
        <v>646</v>
      </c>
      <c r="F9160" t="s">
        <v>40</v>
      </c>
      <c r="G9160">
        <v>2040</v>
      </c>
      <c r="H9160" s="12">
        <v>8811</v>
      </c>
      <c r="I9160" t="s">
        <v>3183</v>
      </c>
      <c r="J9160" t="s">
        <v>394</v>
      </c>
      <c r="K9160" t="s">
        <v>658</v>
      </c>
      <c r="L9160" t="s">
        <v>20</v>
      </c>
      <c r="M9160" t="s">
        <v>540</v>
      </c>
    </row>
    <row r="9161" spans="1:13">
      <c r="A9161" t="s">
        <v>852</v>
      </c>
      <c r="B9161" t="s">
        <v>853</v>
      </c>
      <c r="C9161" t="s">
        <v>853</v>
      </c>
      <c r="D9161" t="s">
        <v>3185</v>
      </c>
      <c r="E9161" t="s">
        <v>646</v>
      </c>
      <c r="F9161" t="s">
        <v>40</v>
      </c>
      <c r="G9161">
        <v>2045</v>
      </c>
      <c r="H9161" s="12">
        <v>10145</v>
      </c>
      <c r="I9161" t="s">
        <v>3183</v>
      </c>
      <c r="J9161" t="s">
        <v>394</v>
      </c>
      <c r="K9161" t="s">
        <v>658</v>
      </c>
      <c r="L9161" t="s">
        <v>20</v>
      </c>
      <c r="M9161" t="s">
        <v>540</v>
      </c>
    </row>
    <row r="9162" spans="1:13">
      <c r="A9162" t="s">
        <v>852</v>
      </c>
      <c r="B9162" t="s">
        <v>853</v>
      </c>
      <c r="C9162" t="s">
        <v>853</v>
      </c>
      <c r="D9162" t="s">
        <v>3185</v>
      </c>
      <c r="E9162" t="s">
        <v>646</v>
      </c>
      <c r="F9162" t="s">
        <v>40</v>
      </c>
      <c r="G9162">
        <v>2050</v>
      </c>
      <c r="H9162" s="12">
        <v>11083</v>
      </c>
      <c r="I9162" t="s">
        <v>3183</v>
      </c>
      <c r="J9162" t="s">
        <v>394</v>
      </c>
      <c r="K9162" t="s">
        <v>658</v>
      </c>
      <c r="L9162" t="s">
        <v>20</v>
      </c>
      <c r="M9162" t="s">
        <v>540</v>
      </c>
    </row>
    <row r="9163" spans="1:13">
      <c r="A9163" t="s">
        <v>852</v>
      </c>
      <c r="B9163" t="s">
        <v>853</v>
      </c>
      <c r="C9163" t="s">
        <v>853</v>
      </c>
      <c r="D9163" t="s">
        <v>3185</v>
      </c>
      <c r="E9163" t="s">
        <v>461</v>
      </c>
      <c r="F9163" t="s">
        <v>668</v>
      </c>
      <c r="G9163">
        <v>2010</v>
      </c>
      <c r="H9163" s="12">
        <v>32.07</v>
      </c>
      <c r="I9163" t="s">
        <v>3183</v>
      </c>
      <c r="J9163" t="s">
        <v>17</v>
      </c>
      <c r="K9163" t="s">
        <v>147</v>
      </c>
      <c r="L9163" t="s">
        <v>20</v>
      </c>
      <c r="M9163" t="s">
        <v>671</v>
      </c>
    </row>
    <row r="9164" spans="1:13">
      <c r="A9164" t="s">
        <v>852</v>
      </c>
      <c r="B9164" t="s">
        <v>853</v>
      </c>
      <c r="C9164" t="s">
        <v>853</v>
      </c>
      <c r="D9164" t="s">
        <v>3185</v>
      </c>
      <c r="E9164" t="s">
        <v>461</v>
      </c>
      <c r="F9164" t="s">
        <v>668</v>
      </c>
      <c r="G9164">
        <v>2015</v>
      </c>
      <c r="H9164" s="12">
        <v>244.85</v>
      </c>
      <c r="I9164" t="s">
        <v>3183</v>
      </c>
      <c r="J9164" t="s">
        <v>17</v>
      </c>
      <c r="K9164" t="s">
        <v>147</v>
      </c>
      <c r="L9164" t="s">
        <v>20</v>
      </c>
      <c r="M9164" t="s">
        <v>671</v>
      </c>
    </row>
    <row r="9165" spans="1:13">
      <c r="A9165" t="s">
        <v>852</v>
      </c>
      <c r="B9165" t="s">
        <v>853</v>
      </c>
      <c r="C9165" t="s">
        <v>853</v>
      </c>
      <c r="D9165" t="s">
        <v>3185</v>
      </c>
      <c r="E9165" t="s">
        <v>461</v>
      </c>
      <c r="F9165" t="s">
        <v>668</v>
      </c>
      <c r="G9165">
        <v>2020</v>
      </c>
      <c r="H9165" s="12">
        <v>823.77</v>
      </c>
      <c r="I9165" t="s">
        <v>3183</v>
      </c>
      <c r="J9165" t="s">
        <v>17</v>
      </c>
      <c r="K9165" t="s">
        <v>147</v>
      </c>
      <c r="L9165" t="s">
        <v>20</v>
      </c>
      <c r="M9165" t="s">
        <v>671</v>
      </c>
    </row>
    <row r="9166" spans="1:13">
      <c r="A9166" t="s">
        <v>852</v>
      </c>
      <c r="B9166" t="s">
        <v>853</v>
      </c>
      <c r="C9166" t="s">
        <v>853</v>
      </c>
      <c r="D9166" t="s">
        <v>3185</v>
      </c>
      <c r="E9166" t="s">
        <v>461</v>
      </c>
      <c r="F9166" t="s">
        <v>668</v>
      </c>
      <c r="G9166">
        <v>2030</v>
      </c>
      <c r="H9166" s="12">
        <v>7551.6</v>
      </c>
      <c r="I9166" t="s">
        <v>3183</v>
      </c>
      <c r="J9166" t="s">
        <v>17</v>
      </c>
      <c r="K9166" t="s">
        <v>147</v>
      </c>
      <c r="L9166" t="s">
        <v>20</v>
      </c>
      <c r="M9166" t="s">
        <v>671</v>
      </c>
    </row>
    <row r="9167" spans="1:13">
      <c r="A9167" t="s">
        <v>852</v>
      </c>
      <c r="B9167" t="s">
        <v>853</v>
      </c>
      <c r="C9167" t="s">
        <v>853</v>
      </c>
      <c r="D9167" t="s">
        <v>3185</v>
      </c>
      <c r="E9167" t="s">
        <v>461</v>
      </c>
      <c r="F9167" t="s">
        <v>668</v>
      </c>
      <c r="G9167">
        <v>2035</v>
      </c>
      <c r="H9167" s="12">
        <v>13503.5</v>
      </c>
      <c r="I9167" t="s">
        <v>3183</v>
      </c>
      <c r="J9167" t="s">
        <v>17</v>
      </c>
      <c r="K9167" t="s">
        <v>147</v>
      </c>
      <c r="L9167" t="s">
        <v>20</v>
      </c>
      <c r="M9167" t="s">
        <v>671</v>
      </c>
    </row>
    <row r="9168" spans="1:13">
      <c r="A9168" t="s">
        <v>852</v>
      </c>
      <c r="B9168" t="s">
        <v>853</v>
      </c>
      <c r="C9168" t="s">
        <v>853</v>
      </c>
      <c r="D9168" t="s">
        <v>3185</v>
      </c>
      <c r="E9168" t="s">
        <v>461</v>
      </c>
      <c r="F9168" t="s">
        <v>668</v>
      </c>
      <c r="G9168">
        <v>2040</v>
      </c>
      <c r="H9168" s="12">
        <v>19238.8</v>
      </c>
      <c r="I9168" t="s">
        <v>3183</v>
      </c>
      <c r="J9168" t="s">
        <v>17</v>
      </c>
      <c r="K9168" t="s">
        <v>147</v>
      </c>
      <c r="L9168" t="s">
        <v>20</v>
      </c>
      <c r="M9168" t="s">
        <v>671</v>
      </c>
    </row>
    <row r="9169" spans="1:13">
      <c r="A9169" t="s">
        <v>852</v>
      </c>
      <c r="B9169" t="s">
        <v>853</v>
      </c>
      <c r="C9169" t="s">
        <v>853</v>
      </c>
      <c r="D9169" t="s">
        <v>3185</v>
      </c>
      <c r="E9169" t="s">
        <v>461</v>
      </c>
      <c r="F9169" t="s">
        <v>668</v>
      </c>
      <c r="G9169">
        <v>2045</v>
      </c>
      <c r="H9169" s="12">
        <v>23754.5</v>
      </c>
      <c r="I9169" t="s">
        <v>3183</v>
      </c>
      <c r="J9169" t="s">
        <v>17</v>
      </c>
      <c r="K9169" t="s">
        <v>147</v>
      </c>
      <c r="L9169" t="s">
        <v>20</v>
      </c>
      <c r="M9169" t="s">
        <v>671</v>
      </c>
    </row>
    <row r="9170" spans="1:13">
      <c r="A9170" t="s">
        <v>852</v>
      </c>
      <c r="B9170" t="s">
        <v>853</v>
      </c>
      <c r="C9170" t="s">
        <v>853</v>
      </c>
      <c r="D9170" t="s">
        <v>3185</v>
      </c>
      <c r="E9170" t="s">
        <v>461</v>
      </c>
      <c r="F9170" t="s">
        <v>668</v>
      </c>
      <c r="G9170">
        <v>2050</v>
      </c>
      <c r="H9170" s="12">
        <v>27006.2</v>
      </c>
      <c r="I9170" t="s">
        <v>3183</v>
      </c>
      <c r="J9170" t="s">
        <v>17</v>
      </c>
      <c r="K9170" t="s">
        <v>147</v>
      </c>
      <c r="L9170" t="s">
        <v>20</v>
      </c>
      <c r="M9170" t="s">
        <v>671</v>
      </c>
    </row>
    <row r="9171" spans="1:13">
      <c r="A9171" t="s">
        <v>852</v>
      </c>
      <c r="B9171" t="s">
        <v>853</v>
      </c>
      <c r="C9171" t="s">
        <v>853</v>
      </c>
      <c r="D9171" t="s">
        <v>3185</v>
      </c>
      <c r="E9171" t="s">
        <v>461</v>
      </c>
      <c r="F9171" t="s">
        <v>668</v>
      </c>
      <c r="G9171">
        <v>2010</v>
      </c>
      <c r="H9171" s="12">
        <v>342.2</v>
      </c>
      <c r="I9171" t="s">
        <v>3183</v>
      </c>
      <c r="J9171" t="s">
        <v>18</v>
      </c>
      <c r="K9171" t="s">
        <v>147</v>
      </c>
      <c r="L9171" t="s">
        <v>20</v>
      </c>
      <c r="M9171" t="s">
        <v>18</v>
      </c>
    </row>
    <row r="9172" spans="1:13">
      <c r="A9172" t="s">
        <v>852</v>
      </c>
      <c r="B9172" t="s">
        <v>853</v>
      </c>
      <c r="C9172" t="s">
        <v>853</v>
      </c>
      <c r="D9172" t="s">
        <v>3185</v>
      </c>
      <c r="E9172" t="s">
        <v>461</v>
      </c>
      <c r="F9172" t="s">
        <v>668</v>
      </c>
      <c r="G9172">
        <v>2015</v>
      </c>
      <c r="H9172" s="12">
        <v>834</v>
      </c>
      <c r="I9172" t="s">
        <v>3183</v>
      </c>
      <c r="J9172" t="s">
        <v>18</v>
      </c>
      <c r="K9172" t="s">
        <v>147</v>
      </c>
      <c r="L9172" t="s">
        <v>20</v>
      </c>
      <c r="M9172" t="s">
        <v>18</v>
      </c>
    </row>
    <row r="9173" spans="1:13">
      <c r="A9173" t="s">
        <v>852</v>
      </c>
      <c r="B9173" t="s">
        <v>853</v>
      </c>
      <c r="C9173" t="s">
        <v>853</v>
      </c>
      <c r="D9173" t="s">
        <v>3185</v>
      </c>
      <c r="E9173" t="s">
        <v>461</v>
      </c>
      <c r="F9173" t="s">
        <v>668</v>
      </c>
      <c r="G9173">
        <v>2020</v>
      </c>
      <c r="H9173" s="12">
        <v>1596.84</v>
      </c>
      <c r="I9173" t="s">
        <v>3183</v>
      </c>
      <c r="J9173" t="s">
        <v>18</v>
      </c>
      <c r="K9173" t="s">
        <v>147</v>
      </c>
      <c r="L9173" t="s">
        <v>20</v>
      </c>
      <c r="M9173" t="s">
        <v>18</v>
      </c>
    </row>
    <row r="9174" spans="1:13">
      <c r="A9174" t="s">
        <v>852</v>
      </c>
      <c r="B9174" t="s">
        <v>853</v>
      </c>
      <c r="C9174" t="s">
        <v>853</v>
      </c>
      <c r="D9174" t="s">
        <v>3185</v>
      </c>
      <c r="E9174" t="s">
        <v>461</v>
      </c>
      <c r="F9174" t="s">
        <v>668</v>
      </c>
      <c r="G9174">
        <v>2030</v>
      </c>
      <c r="H9174" s="12">
        <v>7839.66</v>
      </c>
      <c r="I9174" t="s">
        <v>3183</v>
      </c>
      <c r="J9174" t="s">
        <v>18</v>
      </c>
      <c r="K9174" t="s">
        <v>147</v>
      </c>
      <c r="L9174" t="s">
        <v>20</v>
      </c>
      <c r="M9174" t="s">
        <v>18</v>
      </c>
    </row>
    <row r="9175" spans="1:13">
      <c r="A9175" t="s">
        <v>852</v>
      </c>
      <c r="B9175" t="s">
        <v>853</v>
      </c>
      <c r="C9175" t="s">
        <v>853</v>
      </c>
      <c r="D9175" t="s">
        <v>3185</v>
      </c>
      <c r="E9175" t="s">
        <v>461</v>
      </c>
      <c r="F9175" t="s">
        <v>668</v>
      </c>
      <c r="G9175">
        <v>2035</v>
      </c>
      <c r="H9175" s="12">
        <v>13583.3</v>
      </c>
      <c r="I9175" t="s">
        <v>3183</v>
      </c>
      <c r="J9175" t="s">
        <v>18</v>
      </c>
      <c r="K9175" t="s">
        <v>147</v>
      </c>
      <c r="L9175" t="s">
        <v>20</v>
      </c>
      <c r="M9175" t="s">
        <v>18</v>
      </c>
    </row>
    <row r="9176" spans="1:13">
      <c r="A9176" t="s">
        <v>852</v>
      </c>
      <c r="B9176" t="s">
        <v>853</v>
      </c>
      <c r="C9176" t="s">
        <v>853</v>
      </c>
      <c r="D9176" t="s">
        <v>3185</v>
      </c>
      <c r="E9176" t="s">
        <v>461</v>
      </c>
      <c r="F9176" t="s">
        <v>668</v>
      </c>
      <c r="G9176">
        <v>2040</v>
      </c>
      <c r="H9176" s="12">
        <v>18554.900000000001</v>
      </c>
      <c r="I9176" t="s">
        <v>3183</v>
      </c>
      <c r="J9176" t="s">
        <v>18</v>
      </c>
      <c r="K9176" t="s">
        <v>147</v>
      </c>
      <c r="L9176" t="s">
        <v>20</v>
      </c>
      <c r="M9176" t="s">
        <v>18</v>
      </c>
    </row>
    <row r="9177" spans="1:13">
      <c r="A9177" t="s">
        <v>852</v>
      </c>
      <c r="B9177" t="s">
        <v>853</v>
      </c>
      <c r="C9177" t="s">
        <v>853</v>
      </c>
      <c r="D9177" t="s">
        <v>3185</v>
      </c>
      <c r="E9177" t="s">
        <v>461</v>
      </c>
      <c r="F9177" t="s">
        <v>668</v>
      </c>
      <c r="G9177">
        <v>2045</v>
      </c>
      <c r="H9177" s="12">
        <v>21393</v>
      </c>
      <c r="I9177" t="s">
        <v>3183</v>
      </c>
      <c r="J9177" t="s">
        <v>18</v>
      </c>
      <c r="K9177" t="s">
        <v>147</v>
      </c>
      <c r="L9177" t="s">
        <v>20</v>
      </c>
      <c r="M9177" t="s">
        <v>18</v>
      </c>
    </row>
    <row r="9178" spans="1:13">
      <c r="A9178" t="s">
        <v>852</v>
      </c>
      <c r="B9178" t="s">
        <v>853</v>
      </c>
      <c r="C9178" t="s">
        <v>853</v>
      </c>
      <c r="D9178" t="s">
        <v>3185</v>
      </c>
      <c r="E9178" t="s">
        <v>461</v>
      </c>
      <c r="F9178" t="s">
        <v>668</v>
      </c>
      <c r="G9178">
        <v>2050</v>
      </c>
      <c r="H9178" s="12">
        <v>23486.3</v>
      </c>
      <c r="I9178" t="s">
        <v>3183</v>
      </c>
      <c r="J9178" t="s">
        <v>18</v>
      </c>
      <c r="K9178" t="s">
        <v>147</v>
      </c>
      <c r="L9178" t="s">
        <v>20</v>
      </c>
      <c r="M9178" t="s">
        <v>18</v>
      </c>
    </row>
    <row r="9179" spans="1:13">
      <c r="A9179" t="s">
        <v>852</v>
      </c>
      <c r="B9179" t="s">
        <v>853</v>
      </c>
      <c r="C9179" t="s">
        <v>853</v>
      </c>
      <c r="D9179" t="s">
        <v>3185</v>
      </c>
      <c r="E9179" t="s">
        <v>461</v>
      </c>
      <c r="F9179" t="s">
        <v>668</v>
      </c>
      <c r="G9179">
        <v>2010</v>
      </c>
      <c r="H9179" s="12">
        <v>3448.74</v>
      </c>
      <c r="I9179" t="s">
        <v>3183</v>
      </c>
      <c r="J9179" t="s">
        <v>14</v>
      </c>
      <c r="K9179" t="s">
        <v>147</v>
      </c>
      <c r="L9179" t="s">
        <v>20</v>
      </c>
      <c r="M9179" t="s">
        <v>14</v>
      </c>
    </row>
    <row r="9180" spans="1:13">
      <c r="A9180" t="s">
        <v>852</v>
      </c>
      <c r="B9180" t="s">
        <v>853</v>
      </c>
      <c r="C9180" t="s">
        <v>853</v>
      </c>
      <c r="D9180" t="s">
        <v>3185</v>
      </c>
      <c r="E9180" t="s">
        <v>461</v>
      </c>
      <c r="F9180" t="s">
        <v>668</v>
      </c>
      <c r="G9180">
        <v>2015</v>
      </c>
      <c r="H9180" s="12">
        <v>3893.47</v>
      </c>
      <c r="I9180" t="s">
        <v>3183</v>
      </c>
      <c r="J9180" t="s">
        <v>14</v>
      </c>
      <c r="K9180" t="s">
        <v>147</v>
      </c>
      <c r="L9180" t="s">
        <v>20</v>
      </c>
      <c r="M9180" t="s">
        <v>14</v>
      </c>
    </row>
    <row r="9181" spans="1:13">
      <c r="A9181" t="s">
        <v>852</v>
      </c>
      <c r="B9181" t="s">
        <v>853</v>
      </c>
      <c r="C9181" t="s">
        <v>853</v>
      </c>
      <c r="D9181" t="s">
        <v>3185</v>
      </c>
      <c r="E9181" t="s">
        <v>461</v>
      </c>
      <c r="F9181" t="s">
        <v>668</v>
      </c>
      <c r="G9181">
        <v>2020</v>
      </c>
      <c r="H9181" s="12">
        <v>4342.8900000000003</v>
      </c>
      <c r="I9181" t="s">
        <v>3183</v>
      </c>
      <c r="J9181" t="s">
        <v>14</v>
      </c>
      <c r="K9181" t="s">
        <v>147</v>
      </c>
      <c r="L9181" t="s">
        <v>20</v>
      </c>
      <c r="M9181" t="s">
        <v>14</v>
      </c>
    </row>
    <row r="9182" spans="1:13">
      <c r="A9182" t="s">
        <v>852</v>
      </c>
      <c r="B9182" t="s">
        <v>853</v>
      </c>
      <c r="C9182" t="s">
        <v>853</v>
      </c>
      <c r="D9182" t="s">
        <v>3185</v>
      </c>
      <c r="E9182" t="s">
        <v>461</v>
      </c>
      <c r="F9182" t="s">
        <v>668</v>
      </c>
      <c r="G9182">
        <v>2030</v>
      </c>
      <c r="H9182" s="12">
        <v>5724.61</v>
      </c>
      <c r="I9182" t="s">
        <v>3183</v>
      </c>
      <c r="J9182" t="s">
        <v>14</v>
      </c>
      <c r="K9182" t="s">
        <v>147</v>
      </c>
      <c r="L9182" t="s">
        <v>20</v>
      </c>
      <c r="M9182" t="s">
        <v>14</v>
      </c>
    </row>
    <row r="9183" spans="1:13">
      <c r="A9183" t="s">
        <v>852</v>
      </c>
      <c r="B9183" t="s">
        <v>853</v>
      </c>
      <c r="C9183" t="s">
        <v>853</v>
      </c>
      <c r="D9183" t="s">
        <v>3185</v>
      </c>
      <c r="E9183" t="s">
        <v>461</v>
      </c>
      <c r="F9183" t="s">
        <v>668</v>
      </c>
      <c r="G9183">
        <v>2035</v>
      </c>
      <c r="H9183" s="12">
        <v>6763.25</v>
      </c>
      <c r="I9183" t="s">
        <v>3183</v>
      </c>
      <c r="J9183" t="s">
        <v>14</v>
      </c>
      <c r="K9183" t="s">
        <v>147</v>
      </c>
      <c r="L9183" t="s">
        <v>20</v>
      </c>
      <c r="M9183" t="s">
        <v>14</v>
      </c>
    </row>
    <row r="9184" spans="1:13">
      <c r="A9184" t="s">
        <v>852</v>
      </c>
      <c r="B9184" t="s">
        <v>853</v>
      </c>
      <c r="C9184" t="s">
        <v>853</v>
      </c>
      <c r="D9184" t="s">
        <v>3185</v>
      </c>
      <c r="E9184" t="s">
        <v>461</v>
      </c>
      <c r="F9184" t="s">
        <v>668</v>
      </c>
      <c r="G9184">
        <v>2040</v>
      </c>
      <c r="H9184" s="12">
        <v>7637.02</v>
      </c>
      <c r="I9184" t="s">
        <v>3183</v>
      </c>
      <c r="J9184" t="s">
        <v>14</v>
      </c>
      <c r="K9184" t="s">
        <v>147</v>
      </c>
      <c r="L9184" t="s">
        <v>20</v>
      </c>
      <c r="M9184" t="s">
        <v>14</v>
      </c>
    </row>
    <row r="9185" spans="1:13">
      <c r="A9185" t="s">
        <v>852</v>
      </c>
      <c r="B9185" t="s">
        <v>853</v>
      </c>
      <c r="C9185" t="s">
        <v>853</v>
      </c>
      <c r="D9185" t="s">
        <v>3185</v>
      </c>
      <c r="E9185" t="s">
        <v>461</v>
      </c>
      <c r="F9185" t="s">
        <v>668</v>
      </c>
      <c r="G9185">
        <v>2045</v>
      </c>
      <c r="H9185" s="12">
        <v>8014.34</v>
      </c>
      <c r="I9185" t="s">
        <v>3183</v>
      </c>
      <c r="J9185" t="s">
        <v>14</v>
      </c>
      <c r="K9185" t="s">
        <v>147</v>
      </c>
      <c r="L9185" t="s">
        <v>20</v>
      </c>
      <c r="M9185" t="s">
        <v>14</v>
      </c>
    </row>
    <row r="9186" spans="1:13">
      <c r="A9186" t="s">
        <v>852</v>
      </c>
      <c r="B9186" t="s">
        <v>853</v>
      </c>
      <c r="C9186" t="s">
        <v>853</v>
      </c>
      <c r="D9186" t="s">
        <v>3185</v>
      </c>
      <c r="E9186" t="s">
        <v>461</v>
      </c>
      <c r="F9186" t="s">
        <v>668</v>
      </c>
      <c r="G9186">
        <v>2050</v>
      </c>
      <c r="H9186" s="12">
        <v>8251.09</v>
      </c>
      <c r="I9186" t="s">
        <v>3183</v>
      </c>
      <c r="J9186" t="s">
        <v>14</v>
      </c>
      <c r="K9186" t="s">
        <v>147</v>
      </c>
      <c r="L9186" t="s">
        <v>20</v>
      </c>
      <c r="M9186" t="s">
        <v>14</v>
      </c>
    </row>
    <row r="9187" spans="1:13">
      <c r="A9187" t="s">
        <v>852</v>
      </c>
      <c r="B9187" t="s">
        <v>853</v>
      </c>
      <c r="C9187" t="s">
        <v>853</v>
      </c>
      <c r="D9187" t="s">
        <v>3185</v>
      </c>
      <c r="E9187" t="s">
        <v>461</v>
      </c>
      <c r="F9187" t="s">
        <v>668</v>
      </c>
      <c r="G9187">
        <v>2010</v>
      </c>
      <c r="H9187" s="12">
        <v>341.31</v>
      </c>
      <c r="I9187" t="s">
        <v>3183</v>
      </c>
      <c r="J9187" t="s">
        <v>41</v>
      </c>
      <c r="K9187" t="s">
        <v>147</v>
      </c>
      <c r="L9187" t="s">
        <v>20</v>
      </c>
      <c r="M9187" t="s">
        <v>669</v>
      </c>
    </row>
    <row r="9188" spans="1:13">
      <c r="A9188" t="s">
        <v>852</v>
      </c>
      <c r="B9188" t="s">
        <v>853</v>
      </c>
      <c r="C9188" t="s">
        <v>853</v>
      </c>
      <c r="D9188" t="s">
        <v>3185</v>
      </c>
      <c r="E9188" t="s">
        <v>461</v>
      </c>
      <c r="F9188" t="s">
        <v>668</v>
      </c>
      <c r="G9188">
        <v>2015</v>
      </c>
      <c r="H9188" s="12">
        <v>486.14</v>
      </c>
      <c r="I9188" t="s">
        <v>3183</v>
      </c>
      <c r="J9188" t="s">
        <v>41</v>
      </c>
      <c r="K9188" t="s">
        <v>147</v>
      </c>
      <c r="L9188" t="s">
        <v>20</v>
      </c>
      <c r="M9188" t="s">
        <v>669</v>
      </c>
    </row>
    <row r="9189" spans="1:13">
      <c r="A9189" t="s">
        <v>852</v>
      </c>
      <c r="B9189" t="s">
        <v>853</v>
      </c>
      <c r="C9189" t="s">
        <v>853</v>
      </c>
      <c r="D9189" t="s">
        <v>3185</v>
      </c>
      <c r="E9189" t="s">
        <v>461</v>
      </c>
      <c r="F9189" t="s">
        <v>668</v>
      </c>
      <c r="G9189">
        <v>2020</v>
      </c>
      <c r="H9189" s="12">
        <v>665.71</v>
      </c>
      <c r="I9189" t="s">
        <v>3183</v>
      </c>
      <c r="J9189" t="s">
        <v>41</v>
      </c>
      <c r="K9189" t="s">
        <v>147</v>
      </c>
      <c r="L9189" t="s">
        <v>20</v>
      </c>
      <c r="M9189" t="s">
        <v>669</v>
      </c>
    </row>
    <row r="9190" spans="1:13">
      <c r="A9190" t="s">
        <v>852</v>
      </c>
      <c r="B9190" t="s">
        <v>853</v>
      </c>
      <c r="C9190" t="s">
        <v>853</v>
      </c>
      <c r="D9190" t="s">
        <v>3185</v>
      </c>
      <c r="E9190" t="s">
        <v>461</v>
      </c>
      <c r="F9190" t="s">
        <v>668</v>
      </c>
      <c r="G9190">
        <v>2030</v>
      </c>
      <c r="H9190" s="12">
        <v>1441.73</v>
      </c>
      <c r="I9190" t="s">
        <v>3183</v>
      </c>
      <c r="J9190" t="s">
        <v>41</v>
      </c>
      <c r="K9190" t="s">
        <v>147</v>
      </c>
      <c r="L9190" t="s">
        <v>20</v>
      </c>
      <c r="M9190" t="s">
        <v>669</v>
      </c>
    </row>
    <row r="9191" spans="1:13">
      <c r="A9191" t="s">
        <v>852</v>
      </c>
      <c r="B9191" t="s">
        <v>853</v>
      </c>
      <c r="C9191" t="s">
        <v>853</v>
      </c>
      <c r="D9191" t="s">
        <v>3185</v>
      </c>
      <c r="E9191" t="s">
        <v>461</v>
      </c>
      <c r="F9191" t="s">
        <v>668</v>
      </c>
      <c r="G9191">
        <v>2035</v>
      </c>
      <c r="H9191" s="12">
        <v>2089.9699999999998</v>
      </c>
      <c r="I9191" t="s">
        <v>3183</v>
      </c>
      <c r="J9191" t="s">
        <v>41</v>
      </c>
      <c r="K9191" t="s">
        <v>147</v>
      </c>
      <c r="L9191" t="s">
        <v>20</v>
      </c>
      <c r="M9191" t="s">
        <v>669</v>
      </c>
    </row>
    <row r="9192" spans="1:13">
      <c r="A9192" t="s">
        <v>852</v>
      </c>
      <c r="B9192" t="s">
        <v>853</v>
      </c>
      <c r="C9192" t="s">
        <v>853</v>
      </c>
      <c r="D9192" t="s">
        <v>3185</v>
      </c>
      <c r="E9192" t="s">
        <v>461</v>
      </c>
      <c r="F9192" t="s">
        <v>668</v>
      </c>
      <c r="G9192">
        <v>2040</v>
      </c>
      <c r="H9192" s="12">
        <v>2609.91</v>
      </c>
      <c r="I9192" t="s">
        <v>3183</v>
      </c>
      <c r="J9192" t="s">
        <v>41</v>
      </c>
      <c r="K9192" t="s">
        <v>147</v>
      </c>
      <c r="L9192" t="s">
        <v>20</v>
      </c>
      <c r="M9192" t="s">
        <v>669</v>
      </c>
    </row>
    <row r="9193" spans="1:13">
      <c r="A9193" t="s">
        <v>852</v>
      </c>
      <c r="B9193" t="s">
        <v>853</v>
      </c>
      <c r="C9193" t="s">
        <v>853</v>
      </c>
      <c r="D9193" t="s">
        <v>3185</v>
      </c>
      <c r="E9193" t="s">
        <v>461</v>
      </c>
      <c r="F9193" t="s">
        <v>668</v>
      </c>
      <c r="G9193">
        <v>2045</v>
      </c>
      <c r="H9193" s="12">
        <v>2987</v>
      </c>
      <c r="I9193" t="s">
        <v>3183</v>
      </c>
      <c r="J9193" t="s">
        <v>41</v>
      </c>
      <c r="K9193" t="s">
        <v>147</v>
      </c>
      <c r="L9193" t="s">
        <v>20</v>
      </c>
      <c r="M9193" t="s">
        <v>669</v>
      </c>
    </row>
    <row r="9194" spans="1:13">
      <c r="A9194" t="s">
        <v>852</v>
      </c>
      <c r="B9194" t="s">
        <v>853</v>
      </c>
      <c r="C9194" t="s">
        <v>853</v>
      </c>
      <c r="D9194" t="s">
        <v>3185</v>
      </c>
      <c r="E9194" t="s">
        <v>461</v>
      </c>
      <c r="F9194" t="s">
        <v>668</v>
      </c>
      <c r="G9194">
        <v>2050</v>
      </c>
      <c r="H9194" s="12">
        <v>3280.47</v>
      </c>
      <c r="I9194" t="s">
        <v>3183</v>
      </c>
      <c r="J9194" t="s">
        <v>41</v>
      </c>
      <c r="K9194" t="s">
        <v>147</v>
      </c>
      <c r="L9194" t="s">
        <v>20</v>
      </c>
      <c r="M9194" t="s">
        <v>669</v>
      </c>
    </row>
    <row r="9195" spans="1:13">
      <c r="A9195" t="s">
        <v>852</v>
      </c>
      <c r="B9195" t="s">
        <v>853</v>
      </c>
      <c r="C9195" t="s">
        <v>853</v>
      </c>
      <c r="D9195" t="s">
        <v>3185</v>
      </c>
      <c r="E9195" t="s">
        <v>461</v>
      </c>
      <c r="F9195" t="s">
        <v>668</v>
      </c>
      <c r="G9195">
        <v>2010</v>
      </c>
      <c r="H9195" s="12">
        <v>0</v>
      </c>
      <c r="I9195" t="s">
        <v>3183</v>
      </c>
      <c r="J9195" t="s">
        <v>41</v>
      </c>
      <c r="K9195" t="s">
        <v>147</v>
      </c>
      <c r="L9195" t="s">
        <v>20</v>
      </c>
      <c r="M9195" t="s">
        <v>862</v>
      </c>
    </row>
    <row r="9196" spans="1:13">
      <c r="A9196" t="s">
        <v>852</v>
      </c>
      <c r="B9196" t="s">
        <v>853</v>
      </c>
      <c r="C9196" t="s">
        <v>853</v>
      </c>
      <c r="D9196" t="s">
        <v>3185</v>
      </c>
      <c r="E9196" t="s">
        <v>461</v>
      </c>
      <c r="F9196" t="s">
        <v>668</v>
      </c>
      <c r="G9196">
        <v>2015</v>
      </c>
      <c r="H9196" s="12">
        <v>0</v>
      </c>
      <c r="I9196" t="s">
        <v>3183</v>
      </c>
      <c r="J9196" t="s">
        <v>41</v>
      </c>
      <c r="K9196" t="s">
        <v>147</v>
      </c>
      <c r="L9196" t="s">
        <v>20</v>
      </c>
      <c r="M9196" t="s">
        <v>862</v>
      </c>
    </row>
    <row r="9197" spans="1:13">
      <c r="A9197" t="s">
        <v>852</v>
      </c>
      <c r="B9197" t="s">
        <v>853</v>
      </c>
      <c r="C9197" t="s">
        <v>853</v>
      </c>
      <c r="D9197" t="s">
        <v>3185</v>
      </c>
      <c r="E9197" t="s">
        <v>461</v>
      </c>
      <c r="F9197" t="s">
        <v>668</v>
      </c>
      <c r="G9197">
        <v>2020</v>
      </c>
      <c r="H9197" s="12">
        <v>0</v>
      </c>
      <c r="I9197" t="s">
        <v>3183</v>
      </c>
      <c r="J9197" t="s">
        <v>41</v>
      </c>
      <c r="K9197" t="s">
        <v>147</v>
      </c>
      <c r="L9197" t="s">
        <v>20</v>
      </c>
      <c r="M9197" t="s">
        <v>862</v>
      </c>
    </row>
    <row r="9198" spans="1:13">
      <c r="A9198" t="s">
        <v>852</v>
      </c>
      <c r="B9198" t="s">
        <v>853</v>
      </c>
      <c r="C9198" t="s">
        <v>853</v>
      </c>
      <c r="D9198" t="s">
        <v>3185</v>
      </c>
      <c r="E9198" t="s">
        <v>461</v>
      </c>
      <c r="F9198" t="s">
        <v>668</v>
      </c>
      <c r="G9198">
        <v>2030</v>
      </c>
      <c r="H9198" s="12">
        <v>96.04</v>
      </c>
      <c r="I9198" t="s">
        <v>3183</v>
      </c>
      <c r="J9198" t="s">
        <v>41</v>
      </c>
      <c r="K9198" t="s">
        <v>147</v>
      </c>
      <c r="L9198" t="s">
        <v>20</v>
      </c>
      <c r="M9198" t="s">
        <v>862</v>
      </c>
    </row>
    <row r="9199" spans="1:13">
      <c r="A9199" t="s">
        <v>852</v>
      </c>
      <c r="B9199" t="s">
        <v>853</v>
      </c>
      <c r="C9199" t="s">
        <v>853</v>
      </c>
      <c r="D9199" t="s">
        <v>3185</v>
      </c>
      <c r="E9199" t="s">
        <v>461</v>
      </c>
      <c r="F9199" t="s">
        <v>668</v>
      </c>
      <c r="G9199">
        <v>2035</v>
      </c>
      <c r="H9199" s="12">
        <v>352.68</v>
      </c>
      <c r="I9199" t="s">
        <v>3183</v>
      </c>
      <c r="J9199" t="s">
        <v>41</v>
      </c>
      <c r="K9199" t="s">
        <v>147</v>
      </c>
      <c r="L9199" t="s">
        <v>20</v>
      </c>
      <c r="M9199" t="s">
        <v>862</v>
      </c>
    </row>
    <row r="9200" spans="1:13">
      <c r="A9200" t="s">
        <v>852</v>
      </c>
      <c r="B9200" t="s">
        <v>853</v>
      </c>
      <c r="C9200" t="s">
        <v>853</v>
      </c>
      <c r="D9200" t="s">
        <v>3185</v>
      </c>
      <c r="E9200" t="s">
        <v>461</v>
      </c>
      <c r="F9200" t="s">
        <v>668</v>
      </c>
      <c r="G9200">
        <v>2040</v>
      </c>
      <c r="H9200" s="12">
        <v>509.5</v>
      </c>
      <c r="I9200" t="s">
        <v>3183</v>
      </c>
      <c r="J9200" t="s">
        <v>41</v>
      </c>
      <c r="K9200" t="s">
        <v>147</v>
      </c>
      <c r="L9200" t="s">
        <v>20</v>
      </c>
      <c r="M9200" t="s">
        <v>862</v>
      </c>
    </row>
    <row r="9201" spans="1:13">
      <c r="A9201" t="s">
        <v>852</v>
      </c>
      <c r="B9201" t="s">
        <v>853</v>
      </c>
      <c r="C9201" t="s">
        <v>853</v>
      </c>
      <c r="D9201" t="s">
        <v>3185</v>
      </c>
      <c r="E9201" t="s">
        <v>461</v>
      </c>
      <c r="F9201" t="s">
        <v>668</v>
      </c>
      <c r="G9201">
        <v>2045</v>
      </c>
      <c r="H9201" s="12">
        <v>584.16999999999996</v>
      </c>
      <c r="I9201" t="s">
        <v>3183</v>
      </c>
      <c r="J9201" t="s">
        <v>41</v>
      </c>
      <c r="K9201" t="s">
        <v>147</v>
      </c>
      <c r="L9201" t="s">
        <v>20</v>
      </c>
      <c r="M9201" t="s">
        <v>862</v>
      </c>
    </row>
    <row r="9202" spans="1:13">
      <c r="A9202" t="s">
        <v>852</v>
      </c>
      <c r="B9202" t="s">
        <v>853</v>
      </c>
      <c r="C9202" t="s">
        <v>853</v>
      </c>
      <c r="D9202" t="s">
        <v>3185</v>
      </c>
      <c r="E9202" t="s">
        <v>461</v>
      </c>
      <c r="F9202" t="s">
        <v>668</v>
      </c>
      <c r="G9202">
        <v>2050</v>
      </c>
      <c r="H9202" s="12">
        <v>638.80999999999995</v>
      </c>
      <c r="I9202" t="s">
        <v>3183</v>
      </c>
      <c r="J9202" t="s">
        <v>41</v>
      </c>
      <c r="K9202" t="s">
        <v>147</v>
      </c>
      <c r="L9202" t="s">
        <v>20</v>
      </c>
      <c r="M9202" t="s">
        <v>862</v>
      </c>
    </row>
    <row r="9203" spans="1:13">
      <c r="A9203" t="s">
        <v>852</v>
      </c>
      <c r="B9203" t="s">
        <v>853</v>
      </c>
      <c r="C9203" t="s">
        <v>853</v>
      </c>
      <c r="D9203" t="s">
        <v>3185</v>
      </c>
      <c r="E9203" t="s">
        <v>461</v>
      </c>
      <c r="F9203" t="s">
        <v>668</v>
      </c>
      <c r="G9203">
        <v>2010</v>
      </c>
      <c r="H9203" s="12">
        <v>1.65</v>
      </c>
      <c r="I9203" t="s">
        <v>3183</v>
      </c>
      <c r="J9203" t="s">
        <v>17</v>
      </c>
      <c r="K9203" t="s">
        <v>147</v>
      </c>
      <c r="L9203" t="s">
        <v>20</v>
      </c>
      <c r="M9203" t="s">
        <v>863</v>
      </c>
    </row>
    <row r="9204" spans="1:13">
      <c r="A9204" t="s">
        <v>852</v>
      </c>
      <c r="B9204" t="s">
        <v>853</v>
      </c>
      <c r="C9204" t="s">
        <v>853</v>
      </c>
      <c r="D9204" t="s">
        <v>3185</v>
      </c>
      <c r="E9204" t="s">
        <v>461</v>
      </c>
      <c r="F9204" t="s">
        <v>668</v>
      </c>
      <c r="G9204">
        <v>2015</v>
      </c>
      <c r="H9204" s="12">
        <v>9.61</v>
      </c>
      <c r="I9204" t="s">
        <v>3183</v>
      </c>
      <c r="J9204" t="s">
        <v>17</v>
      </c>
      <c r="K9204" t="s">
        <v>147</v>
      </c>
      <c r="L9204" t="s">
        <v>20</v>
      </c>
      <c r="M9204" t="s">
        <v>863</v>
      </c>
    </row>
    <row r="9205" spans="1:13">
      <c r="A9205" t="s">
        <v>852</v>
      </c>
      <c r="B9205" t="s">
        <v>853</v>
      </c>
      <c r="C9205" t="s">
        <v>853</v>
      </c>
      <c r="D9205" t="s">
        <v>3185</v>
      </c>
      <c r="E9205" t="s">
        <v>461</v>
      </c>
      <c r="F9205" t="s">
        <v>668</v>
      </c>
      <c r="G9205">
        <v>2020</v>
      </c>
      <c r="H9205" s="12">
        <v>13.71</v>
      </c>
      <c r="I9205" t="s">
        <v>3183</v>
      </c>
      <c r="J9205" t="s">
        <v>17</v>
      </c>
      <c r="K9205" t="s">
        <v>147</v>
      </c>
      <c r="L9205" t="s">
        <v>20</v>
      </c>
      <c r="M9205" t="s">
        <v>863</v>
      </c>
    </row>
    <row r="9206" spans="1:13">
      <c r="A9206" t="s">
        <v>852</v>
      </c>
      <c r="B9206" t="s">
        <v>853</v>
      </c>
      <c r="C9206" t="s">
        <v>853</v>
      </c>
      <c r="D9206" t="s">
        <v>3185</v>
      </c>
      <c r="E9206" t="s">
        <v>461</v>
      </c>
      <c r="F9206" t="s">
        <v>668</v>
      </c>
      <c r="G9206">
        <v>2030</v>
      </c>
      <c r="H9206" s="12">
        <v>174.69</v>
      </c>
      <c r="I9206" t="s">
        <v>3183</v>
      </c>
      <c r="J9206" t="s">
        <v>17</v>
      </c>
      <c r="K9206" t="s">
        <v>147</v>
      </c>
      <c r="L9206" t="s">
        <v>20</v>
      </c>
      <c r="M9206" t="s">
        <v>863</v>
      </c>
    </row>
    <row r="9207" spans="1:13">
      <c r="A9207" t="s">
        <v>852</v>
      </c>
      <c r="B9207" t="s">
        <v>853</v>
      </c>
      <c r="C9207" t="s">
        <v>853</v>
      </c>
      <c r="D9207" t="s">
        <v>3185</v>
      </c>
      <c r="E9207" t="s">
        <v>461</v>
      </c>
      <c r="F9207" t="s">
        <v>668</v>
      </c>
      <c r="G9207">
        <v>2035</v>
      </c>
      <c r="H9207" s="12">
        <v>488.17</v>
      </c>
      <c r="I9207" t="s">
        <v>3183</v>
      </c>
      <c r="J9207" t="s">
        <v>17</v>
      </c>
      <c r="K9207" t="s">
        <v>147</v>
      </c>
      <c r="L9207" t="s">
        <v>20</v>
      </c>
      <c r="M9207" t="s">
        <v>863</v>
      </c>
    </row>
    <row r="9208" spans="1:13">
      <c r="A9208" t="s">
        <v>852</v>
      </c>
      <c r="B9208" t="s">
        <v>853</v>
      </c>
      <c r="C9208" t="s">
        <v>853</v>
      </c>
      <c r="D9208" t="s">
        <v>3185</v>
      </c>
      <c r="E9208" t="s">
        <v>461</v>
      </c>
      <c r="F9208" t="s">
        <v>668</v>
      </c>
      <c r="G9208">
        <v>2040</v>
      </c>
      <c r="H9208" s="12">
        <v>911.11</v>
      </c>
      <c r="I9208" t="s">
        <v>3183</v>
      </c>
      <c r="J9208" t="s">
        <v>17</v>
      </c>
      <c r="K9208" t="s">
        <v>147</v>
      </c>
      <c r="L9208" t="s">
        <v>20</v>
      </c>
      <c r="M9208" t="s">
        <v>863</v>
      </c>
    </row>
    <row r="9209" spans="1:13">
      <c r="A9209" t="s">
        <v>852</v>
      </c>
      <c r="B9209" t="s">
        <v>853</v>
      </c>
      <c r="C9209" t="s">
        <v>853</v>
      </c>
      <c r="D9209" t="s">
        <v>3185</v>
      </c>
      <c r="E9209" t="s">
        <v>461</v>
      </c>
      <c r="F9209" t="s">
        <v>668</v>
      </c>
      <c r="G9209">
        <v>2045</v>
      </c>
      <c r="H9209" s="12">
        <v>1258.46</v>
      </c>
      <c r="I9209" t="s">
        <v>3183</v>
      </c>
      <c r="J9209" t="s">
        <v>17</v>
      </c>
      <c r="K9209" t="s">
        <v>147</v>
      </c>
      <c r="L9209" t="s">
        <v>20</v>
      </c>
      <c r="M9209" t="s">
        <v>863</v>
      </c>
    </row>
    <row r="9210" spans="1:13">
      <c r="A9210" t="s">
        <v>852</v>
      </c>
      <c r="B9210" t="s">
        <v>853</v>
      </c>
      <c r="C9210" t="s">
        <v>853</v>
      </c>
      <c r="D9210" t="s">
        <v>3185</v>
      </c>
      <c r="E9210" t="s">
        <v>461</v>
      </c>
      <c r="F9210" t="s">
        <v>668</v>
      </c>
      <c r="G9210">
        <v>2050</v>
      </c>
      <c r="H9210" s="12">
        <v>1500.06</v>
      </c>
      <c r="I9210" t="s">
        <v>3183</v>
      </c>
      <c r="J9210" t="s">
        <v>17</v>
      </c>
      <c r="K9210" t="s">
        <v>147</v>
      </c>
      <c r="L9210" t="s">
        <v>20</v>
      </c>
      <c r="M9210" t="s">
        <v>863</v>
      </c>
    </row>
    <row r="9211" spans="1:13">
      <c r="A9211" t="s">
        <v>852</v>
      </c>
      <c r="B9211" t="s">
        <v>853</v>
      </c>
      <c r="C9211" t="s">
        <v>853</v>
      </c>
      <c r="D9211" t="s">
        <v>3185</v>
      </c>
      <c r="E9211" t="s">
        <v>461</v>
      </c>
      <c r="F9211" t="s">
        <v>668</v>
      </c>
      <c r="G9211">
        <v>2010</v>
      </c>
      <c r="H9211" s="12">
        <v>67.72</v>
      </c>
      <c r="I9211" t="s">
        <v>3183</v>
      </c>
      <c r="J9211" t="s">
        <v>318</v>
      </c>
      <c r="K9211" t="s">
        <v>147</v>
      </c>
      <c r="L9211" t="s">
        <v>20</v>
      </c>
      <c r="M9211" t="s">
        <v>13</v>
      </c>
    </row>
    <row r="9212" spans="1:13">
      <c r="A9212" t="s">
        <v>852</v>
      </c>
      <c r="B9212" t="s">
        <v>853</v>
      </c>
      <c r="C9212" t="s">
        <v>853</v>
      </c>
      <c r="D9212" t="s">
        <v>3185</v>
      </c>
      <c r="E9212" t="s">
        <v>461</v>
      </c>
      <c r="F9212" t="s">
        <v>668</v>
      </c>
      <c r="G9212">
        <v>2015</v>
      </c>
      <c r="H9212" s="12">
        <v>80.959999999999994</v>
      </c>
      <c r="I9212" t="s">
        <v>3183</v>
      </c>
      <c r="J9212" t="s">
        <v>318</v>
      </c>
      <c r="K9212" t="s">
        <v>147</v>
      </c>
      <c r="L9212" t="s">
        <v>20</v>
      </c>
      <c r="M9212" t="s">
        <v>13</v>
      </c>
    </row>
    <row r="9213" spans="1:13">
      <c r="A9213" t="s">
        <v>852</v>
      </c>
      <c r="B9213" t="s">
        <v>853</v>
      </c>
      <c r="C9213" t="s">
        <v>853</v>
      </c>
      <c r="D9213" t="s">
        <v>3185</v>
      </c>
      <c r="E9213" t="s">
        <v>461</v>
      </c>
      <c r="F9213" t="s">
        <v>668</v>
      </c>
      <c r="G9213">
        <v>2020</v>
      </c>
      <c r="H9213" s="12">
        <v>94.94</v>
      </c>
      <c r="I9213" t="s">
        <v>3183</v>
      </c>
      <c r="J9213" t="s">
        <v>318</v>
      </c>
      <c r="K9213" t="s">
        <v>147</v>
      </c>
      <c r="L9213" t="s">
        <v>20</v>
      </c>
      <c r="M9213" t="s">
        <v>13</v>
      </c>
    </row>
    <row r="9214" spans="1:13">
      <c r="A9214" t="s">
        <v>852</v>
      </c>
      <c r="B9214" t="s">
        <v>853</v>
      </c>
      <c r="C9214" t="s">
        <v>853</v>
      </c>
      <c r="D9214" t="s">
        <v>3185</v>
      </c>
      <c r="E9214" t="s">
        <v>461</v>
      </c>
      <c r="F9214" t="s">
        <v>668</v>
      </c>
      <c r="G9214">
        <v>2030</v>
      </c>
      <c r="H9214" s="12">
        <v>312.17</v>
      </c>
      <c r="I9214" t="s">
        <v>3183</v>
      </c>
      <c r="J9214" t="s">
        <v>318</v>
      </c>
      <c r="K9214" t="s">
        <v>147</v>
      </c>
      <c r="L9214" t="s">
        <v>20</v>
      </c>
      <c r="M9214" t="s">
        <v>13</v>
      </c>
    </row>
    <row r="9215" spans="1:13">
      <c r="A9215" t="s">
        <v>852</v>
      </c>
      <c r="B9215" t="s">
        <v>853</v>
      </c>
      <c r="C9215" t="s">
        <v>853</v>
      </c>
      <c r="D9215" t="s">
        <v>3185</v>
      </c>
      <c r="E9215" t="s">
        <v>461</v>
      </c>
      <c r="F9215" t="s">
        <v>668</v>
      </c>
      <c r="G9215">
        <v>2035</v>
      </c>
      <c r="H9215" s="12">
        <v>505.76</v>
      </c>
      <c r="I9215" t="s">
        <v>3183</v>
      </c>
      <c r="J9215" t="s">
        <v>318</v>
      </c>
      <c r="K9215" t="s">
        <v>147</v>
      </c>
      <c r="L9215" t="s">
        <v>20</v>
      </c>
      <c r="M9215" t="s">
        <v>13</v>
      </c>
    </row>
    <row r="9216" spans="1:13">
      <c r="A9216" t="s">
        <v>852</v>
      </c>
      <c r="B9216" t="s">
        <v>853</v>
      </c>
      <c r="C9216" t="s">
        <v>853</v>
      </c>
      <c r="D9216" t="s">
        <v>3185</v>
      </c>
      <c r="E9216" t="s">
        <v>461</v>
      </c>
      <c r="F9216" t="s">
        <v>668</v>
      </c>
      <c r="G9216">
        <v>2040</v>
      </c>
      <c r="H9216" s="12">
        <v>654.66</v>
      </c>
      <c r="I9216" t="s">
        <v>3183</v>
      </c>
      <c r="J9216" t="s">
        <v>318</v>
      </c>
      <c r="K9216" t="s">
        <v>147</v>
      </c>
      <c r="L9216" t="s">
        <v>20</v>
      </c>
      <c r="M9216" t="s">
        <v>13</v>
      </c>
    </row>
    <row r="9217" spans="1:13">
      <c r="A9217" t="s">
        <v>852</v>
      </c>
      <c r="B9217" t="s">
        <v>853</v>
      </c>
      <c r="C9217" t="s">
        <v>853</v>
      </c>
      <c r="D9217" t="s">
        <v>3185</v>
      </c>
      <c r="E9217" t="s">
        <v>461</v>
      </c>
      <c r="F9217" t="s">
        <v>668</v>
      </c>
      <c r="G9217">
        <v>2045</v>
      </c>
      <c r="H9217" s="12">
        <v>769.62</v>
      </c>
      <c r="I9217" t="s">
        <v>3183</v>
      </c>
      <c r="J9217" t="s">
        <v>318</v>
      </c>
      <c r="K9217" t="s">
        <v>147</v>
      </c>
      <c r="L9217" t="s">
        <v>20</v>
      </c>
      <c r="M9217" t="s">
        <v>13</v>
      </c>
    </row>
    <row r="9218" spans="1:13">
      <c r="A9218" t="s">
        <v>852</v>
      </c>
      <c r="B9218" t="s">
        <v>853</v>
      </c>
      <c r="C9218" t="s">
        <v>853</v>
      </c>
      <c r="D9218" t="s">
        <v>3185</v>
      </c>
      <c r="E9218" t="s">
        <v>461</v>
      </c>
      <c r="F9218" t="s">
        <v>668</v>
      </c>
      <c r="G9218">
        <v>2050</v>
      </c>
      <c r="H9218" s="12">
        <v>857.27</v>
      </c>
      <c r="I9218" t="s">
        <v>3183</v>
      </c>
      <c r="J9218" t="s">
        <v>318</v>
      </c>
      <c r="K9218" t="s">
        <v>147</v>
      </c>
      <c r="L9218" t="s">
        <v>20</v>
      </c>
      <c r="M9218" t="s">
        <v>13</v>
      </c>
    </row>
    <row r="9219" spans="1:13">
      <c r="A9219" t="s">
        <v>852</v>
      </c>
      <c r="B9219" t="s">
        <v>853</v>
      </c>
      <c r="C9219" t="s">
        <v>853</v>
      </c>
      <c r="D9219" t="s">
        <v>3185</v>
      </c>
      <c r="E9219" t="s">
        <v>461</v>
      </c>
      <c r="F9219" t="s">
        <v>668</v>
      </c>
      <c r="G9219">
        <v>2010</v>
      </c>
      <c r="H9219" s="12">
        <v>0.51</v>
      </c>
      <c r="I9219" t="s">
        <v>3183</v>
      </c>
      <c r="J9219" t="s">
        <v>14</v>
      </c>
      <c r="K9219" t="s">
        <v>147</v>
      </c>
      <c r="L9219" t="s">
        <v>20</v>
      </c>
      <c r="M9219" t="s">
        <v>864</v>
      </c>
    </row>
    <row r="9220" spans="1:13">
      <c r="A9220" t="s">
        <v>852</v>
      </c>
      <c r="B9220" t="s">
        <v>853</v>
      </c>
      <c r="C9220" t="s">
        <v>853</v>
      </c>
      <c r="D9220" t="s">
        <v>3185</v>
      </c>
      <c r="E9220" t="s">
        <v>461</v>
      </c>
      <c r="F9220" t="s">
        <v>668</v>
      </c>
      <c r="G9220">
        <v>2015</v>
      </c>
      <c r="H9220" s="12">
        <v>1.01</v>
      </c>
      <c r="I9220" t="s">
        <v>3183</v>
      </c>
      <c r="J9220" t="s">
        <v>14</v>
      </c>
      <c r="K9220" t="s">
        <v>147</v>
      </c>
      <c r="L9220" t="s">
        <v>20</v>
      </c>
      <c r="M9220" t="s">
        <v>864</v>
      </c>
    </row>
    <row r="9221" spans="1:13">
      <c r="A9221" t="s">
        <v>852</v>
      </c>
      <c r="B9221" t="s">
        <v>853</v>
      </c>
      <c r="C9221" t="s">
        <v>853</v>
      </c>
      <c r="D9221" t="s">
        <v>3185</v>
      </c>
      <c r="E9221" t="s">
        <v>461</v>
      </c>
      <c r="F9221" t="s">
        <v>668</v>
      </c>
      <c r="G9221">
        <v>2020</v>
      </c>
      <c r="H9221" s="12">
        <v>0.99</v>
      </c>
      <c r="I9221" t="s">
        <v>3183</v>
      </c>
      <c r="J9221" t="s">
        <v>14</v>
      </c>
      <c r="K9221" t="s">
        <v>147</v>
      </c>
      <c r="L9221" t="s">
        <v>20</v>
      </c>
      <c r="M9221" t="s">
        <v>864</v>
      </c>
    </row>
    <row r="9222" spans="1:13">
      <c r="A9222" t="s">
        <v>852</v>
      </c>
      <c r="B9222" t="s">
        <v>853</v>
      </c>
      <c r="C9222" t="s">
        <v>853</v>
      </c>
      <c r="D9222" t="s">
        <v>3185</v>
      </c>
      <c r="E9222" t="s">
        <v>461</v>
      </c>
      <c r="F9222" t="s">
        <v>668</v>
      </c>
      <c r="G9222">
        <v>2030</v>
      </c>
      <c r="H9222" s="12">
        <v>19.71</v>
      </c>
      <c r="I9222" t="s">
        <v>3183</v>
      </c>
      <c r="J9222" t="s">
        <v>14</v>
      </c>
      <c r="K9222" t="s">
        <v>147</v>
      </c>
      <c r="L9222" t="s">
        <v>20</v>
      </c>
      <c r="M9222" t="s">
        <v>864</v>
      </c>
    </row>
    <row r="9223" spans="1:13">
      <c r="A9223" t="s">
        <v>852</v>
      </c>
      <c r="B9223" t="s">
        <v>853</v>
      </c>
      <c r="C9223" t="s">
        <v>853</v>
      </c>
      <c r="D9223" t="s">
        <v>3185</v>
      </c>
      <c r="E9223" t="s">
        <v>461</v>
      </c>
      <c r="F9223" t="s">
        <v>668</v>
      </c>
      <c r="G9223">
        <v>2035</v>
      </c>
      <c r="H9223" s="12">
        <v>41.12</v>
      </c>
      <c r="I9223" t="s">
        <v>3183</v>
      </c>
      <c r="J9223" t="s">
        <v>14</v>
      </c>
      <c r="K9223" t="s">
        <v>147</v>
      </c>
      <c r="L9223" t="s">
        <v>20</v>
      </c>
      <c r="M9223" t="s">
        <v>864</v>
      </c>
    </row>
    <row r="9224" spans="1:13">
      <c r="A9224" t="s">
        <v>852</v>
      </c>
      <c r="B9224" t="s">
        <v>853</v>
      </c>
      <c r="C9224" t="s">
        <v>853</v>
      </c>
      <c r="D9224" t="s">
        <v>3185</v>
      </c>
      <c r="E9224" t="s">
        <v>461</v>
      </c>
      <c r="F9224" t="s">
        <v>668</v>
      </c>
      <c r="G9224">
        <v>2040</v>
      </c>
      <c r="H9224" s="12">
        <v>68.72</v>
      </c>
      <c r="I9224" t="s">
        <v>3183</v>
      </c>
      <c r="J9224" t="s">
        <v>14</v>
      </c>
      <c r="K9224" t="s">
        <v>147</v>
      </c>
      <c r="L9224" t="s">
        <v>20</v>
      </c>
      <c r="M9224" t="s">
        <v>864</v>
      </c>
    </row>
    <row r="9225" spans="1:13">
      <c r="A9225" t="s">
        <v>852</v>
      </c>
      <c r="B9225" t="s">
        <v>853</v>
      </c>
      <c r="C9225" t="s">
        <v>853</v>
      </c>
      <c r="D9225" t="s">
        <v>3185</v>
      </c>
      <c r="E9225" t="s">
        <v>461</v>
      </c>
      <c r="F9225" t="s">
        <v>668</v>
      </c>
      <c r="G9225">
        <v>2045</v>
      </c>
      <c r="H9225" s="12">
        <v>98.33</v>
      </c>
      <c r="I9225" t="s">
        <v>3183</v>
      </c>
      <c r="J9225" t="s">
        <v>14</v>
      </c>
      <c r="K9225" t="s">
        <v>147</v>
      </c>
      <c r="L9225" t="s">
        <v>20</v>
      </c>
      <c r="M9225" t="s">
        <v>864</v>
      </c>
    </row>
    <row r="9226" spans="1:13">
      <c r="A9226" t="s">
        <v>852</v>
      </c>
      <c r="B9226" t="s">
        <v>853</v>
      </c>
      <c r="C9226" t="s">
        <v>853</v>
      </c>
      <c r="D9226" t="s">
        <v>3185</v>
      </c>
      <c r="E9226" t="s">
        <v>461</v>
      </c>
      <c r="F9226" t="s">
        <v>668</v>
      </c>
      <c r="G9226">
        <v>2050</v>
      </c>
      <c r="H9226" s="12">
        <v>124.58</v>
      </c>
      <c r="I9226" t="s">
        <v>3183</v>
      </c>
      <c r="J9226" t="s">
        <v>14</v>
      </c>
      <c r="K9226" t="s">
        <v>147</v>
      </c>
      <c r="L9226" t="s">
        <v>20</v>
      </c>
      <c r="M9226" t="s">
        <v>864</v>
      </c>
    </row>
    <row r="9227" spans="1:13">
      <c r="A9227" t="s">
        <v>852</v>
      </c>
      <c r="B9227" t="s">
        <v>853</v>
      </c>
      <c r="C9227" t="s">
        <v>853</v>
      </c>
      <c r="D9227" t="s">
        <v>3185</v>
      </c>
      <c r="E9227" t="s">
        <v>461</v>
      </c>
      <c r="F9227" t="s">
        <v>668</v>
      </c>
      <c r="G9227">
        <v>2010</v>
      </c>
      <c r="H9227" s="12">
        <v>2756.29</v>
      </c>
      <c r="I9227" t="s">
        <v>3183</v>
      </c>
      <c r="J9227" t="s">
        <v>15</v>
      </c>
      <c r="K9227" t="s">
        <v>147</v>
      </c>
      <c r="L9227" t="s">
        <v>20</v>
      </c>
      <c r="M9227" t="s">
        <v>15</v>
      </c>
    </row>
    <row r="9228" spans="1:13">
      <c r="A9228" t="s">
        <v>852</v>
      </c>
      <c r="B9228" t="s">
        <v>853</v>
      </c>
      <c r="C9228" t="s">
        <v>853</v>
      </c>
      <c r="D9228" t="s">
        <v>3185</v>
      </c>
      <c r="E9228" t="s">
        <v>461</v>
      </c>
      <c r="F9228" t="s">
        <v>668</v>
      </c>
      <c r="G9228">
        <v>2015</v>
      </c>
      <c r="H9228" s="12">
        <v>2570.0700000000002</v>
      </c>
      <c r="I9228" t="s">
        <v>3183</v>
      </c>
      <c r="J9228" t="s">
        <v>15</v>
      </c>
      <c r="K9228" t="s">
        <v>147</v>
      </c>
      <c r="L9228" t="s">
        <v>20</v>
      </c>
      <c r="M9228" t="s">
        <v>15</v>
      </c>
    </row>
    <row r="9229" spans="1:13">
      <c r="A9229" t="s">
        <v>852</v>
      </c>
      <c r="B9229" t="s">
        <v>853</v>
      </c>
      <c r="C9229" t="s">
        <v>853</v>
      </c>
      <c r="D9229" t="s">
        <v>3185</v>
      </c>
      <c r="E9229" t="s">
        <v>461</v>
      </c>
      <c r="F9229" t="s">
        <v>668</v>
      </c>
      <c r="G9229">
        <v>2020</v>
      </c>
      <c r="H9229" s="12">
        <v>2673.21</v>
      </c>
      <c r="I9229" t="s">
        <v>3183</v>
      </c>
      <c r="J9229" t="s">
        <v>15</v>
      </c>
      <c r="K9229" t="s">
        <v>147</v>
      </c>
      <c r="L9229" t="s">
        <v>20</v>
      </c>
      <c r="M9229" t="s">
        <v>15</v>
      </c>
    </row>
    <row r="9230" spans="1:13">
      <c r="A9230" t="s">
        <v>852</v>
      </c>
      <c r="B9230" t="s">
        <v>853</v>
      </c>
      <c r="C9230" t="s">
        <v>853</v>
      </c>
      <c r="D9230" t="s">
        <v>3185</v>
      </c>
      <c r="E9230" t="s">
        <v>461</v>
      </c>
      <c r="F9230" t="s">
        <v>668</v>
      </c>
      <c r="G9230">
        <v>2030</v>
      </c>
      <c r="H9230" s="12">
        <v>3896.03</v>
      </c>
      <c r="I9230" t="s">
        <v>3183</v>
      </c>
      <c r="J9230" t="s">
        <v>15</v>
      </c>
      <c r="K9230" t="s">
        <v>147</v>
      </c>
      <c r="L9230" t="s">
        <v>20</v>
      </c>
      <c r="M9230" t="s">
        <v>15</v>
      </c>
    </row>
    <row r="9231" spans="1:13">
      <c r="A9231" t="s">
        <v>852</v>
      </c>
      <c r="B9231" t="s">
        <v>853</v>
      </c>
      <c r="C9231" t="s">
        <v>853</v>
      </c>
      <c r="D9231" t="s">
        <v>3185</v>
      </c>
      <c r="E9231" t="s">
        <v>461</v>
      </c>
      <c r="F9231" t="s">
        <v>668</v>
      </c>
      <c r="G9231">
        <v>2035</v>
      </c>
      <c r="H9231" s="12">
        <v>4628.7700000000004</v>
      </c>
      <c r="I9231" t="s">
        <v>3183</v>
      </c>
      <c r="J9231" t="s">
        <v>15</v>
      </c>
      <c r="K9231" t="s">
        <v>147</v>
      </c>
      <c r="L9231" t="s">
        <v>20</v>
      </c>
      <c r="M9231" t="s">
        <v>15</v>
      </c>
    </row>
    <row r="9232" spans="1:13">
      <c r="A9232" t="s">
        <v>852</v>
      </c>
      <c r="B9232" t="s">
        <v>853</v>
      </c>
      <c r="C9232" t="s">
        <v>853</v>
      </c>
      <c r="D9232" t="s">
        <v>3185</v>
      </c>
      <c r="E9232" t="s">
        <v>461</v>
      </c>
      <c r="F9232" t="s">
        <v>668</v>
      </c>
      <c r="G9232">
        <v>2040</v>
      </c>
      <c r="H9232" s="12">
        <v>5413.16</v>
      </c>
      <c r="I9232" t="s">
        <v>3183</v>
      </c>
      <c r="J9232" t="s">
        <v>15</v>
      </c>
      <c r="K9232" t="s">
        <v>147</v>
      </c>
      <c r="L9232" t="s">
        <v>20</v>
      </c>
      <c r="M9232" t="s">
        <v>15</v>
      </c>
    </row>
    <row r="9233" spans="1:13">
      <c r="A9233" t="s">
        <v>852</v>
      </c>
      <c r="B9233" t="s">
        <v>853</v>
      </c>
      <c r="C9233" t="s">
        <v>853</v>
      </c>
      <c r="D9233" t="s">
        <v>3185</v>
      </c>
      <c r="E9233" t="s">
        <v>461</v>
      </c>
      <c r="F9233" t="s">
        <v>668</v>
      </c>
      <c r="G9233">
        <v>2045</v>
      </c>
      <c r="H9233" s="12">
        <v>5609.7</v>
      </c>
      <c r="I9233" t="s">
        <v>3183</v>
      </c>
      <c r="J9233" t="s">
        <v>15</v>
      </c>
      <c r="K9233" t="s">
        <v>147</v>
      </c>
      <c r="L9233" t="s">
        <v>20</v>
      </c>
      <c r="M9233" t="s">
        <v>15</v>
      </c>
    </row>
    <row r="9234" spans="1:13">
      <c r="A9234" t="s">
        <v>852</v>
      </c>
      <c r="B9234" t="s">
        <v>853</v>
      </c>
      <c r="C9234" t="s">
        <v>853</v>
      </c>
      <c r="D9234" t="s">
        <v>3185</v>
      </c>
      <c r="E9234" t="s">
        <v>461</v>
      </c>
      <c r="F9234" t="s">
        <v>668</v>
      </c>
      <c r="G9234">
        <v>2050</v>
      </c>
      <c r="H9234" s="12">
        <v>5809.81</v>
      </c>
      <c r="I9234" t="s">
        <v>3183</v>
      </c>
      <c r="J9234" t="s">
        <v>15</v>
      </c>
      <c r="K9234" t="s">
        <v>147</v>
      </c>
      <c r="L9234" t="s">
        <v>20</v>
      </c>
      <c r="M9234" t="s">
        <v>15</v>
      </c>
    </row>
    <row r="9235" spans="1:13">
      <c r="A9235" t="s">
        <v>852</v>
      </c>
      <c r="B9235" t="s">
        <v>853</v>
      </c>
      <c r="C9235" t="s">
        <v>853</v>
      </c>
      <c r="D9235" t="s">
        <v>3185</v>
      </c>
      <c r="E9235" t="s">
        <v>461</v>
      </c>
      <c r="F9235" t="s">
        <v>668</v>
      </c>
      <c r="G9235">
        <v>2010</v>
      </c>
      <c r="H9235" s="12">
        <v>0</v>
      </c>
      <c r="I9235" t="s">
        <v>3183</v>
      </c>
      <c r="J9235" t="s">
        <v>8</v>
      </c>
      <c r="K9235" t="s">
        <v>147</v>
      </c>
      <c r="L9235" t="s">
        <v>20</v>
      </c>
      <c r="M9235" t="s">
        <v>670</v>
      </c>
    </row>
    <row r="9236" spans="1:13">
      <c r="A9236" t="s">
        <v>852</v>
      </c>
      <c r="B9236" t="s">
        <v>853</v>
      </c>
      <c r="C9236" t="s">
        <v>853</v>
      </c>
      <c r="D9236" t="s">
        <v>3185</v>
      </c>
      <c r="E9236" t="s">
        <v>461</v>
      </c>
      <c r="F9236" t="s">
        <v>668</v>
      </c>
      <c r="G9236">
        <v>2015</v>
      </c>
      <c r="H9236" s="12">
        <v>0</v>
      </c>
      <c r="I9236" t="s">
        <v>3183</v>
      </c>
      <c r="J9236" t="s">
        <v>8</v>
      </c>
      <c r="K9236" t="s">
        <v>147</v>
      </c>
      <c r="L9236" t="s">
        <v>20</v>
      </c>
      <c r="M9236" t="s">
        <v>670</v>
      </c>
    </row>
    <row r="9237" spans="1:13">
      <c r="A9237" t="s">
        <v>852</v>
      </c>
      <c r="B9237" t="s">
        <v>853</v>
      </c>
      <c r="C9237" t="s">
        <v>853</v>
      </c>
      <c r="D9237" t="s">
        <v>3185</v>
      </c>
      <c r="E9237" t="s">
        <v>461</v>
      </c>
      <c r="F9237" t="s">
        <v>668</v>
      </c>
      <c r="G9237">
        <v>2020</v>
      </c>
      <c r="H9237" s="12">
        <v>0</v>
      </c>
      <c r="I9237" t="s">
        <v>3183</v>
      </c>
      <c r="J9237" t="s">
        <v>8</v>
      </c>
      <c r="K9237" t="s">
        <v>147</v>
      </c>
      <c r="L9237" t="s">
        <v>20</v>
      </c>
      <c r="M9237" t="s">
        <v>670</v>
      </c>
    </row>
    <row r="9238" spans="1:13">
      <c r="A9238" t="s">
        <v>852</v>
      </c>
      <c r="B9238" t="s">
        <v>853</v>
      </c>
      <c r="C9238" t="s">
        <v>853</v>
      </c>
      <c r="D9238" t="s">
        <v>3185</v>
      </c>
      <c r="E9238" t="s">
        <v>461</v>
      </c>
      <c r="F9238" t="s">
        <v>668</v>
      </c>
      <c r="G9238">
        <v>2030</v>
      </c>
      <c r="H9238" s="12">
        <v>603.01</v>
      </c>
      <c r="I9238" t="s">
        <v>3183</v>
      </c>
      <c r="J9238" t="s">
        <v>8</v>
      </c>
      <c r="K9238" t="s">
        <v>147</v>
      </c>
      <c r="L9238" t="s">
        <v>20</v>
      </c>
      <c r="M9238" t="s">
        <v>670</v>
      </c>
    </row>
    <row r="9239" spans="1:13">
      <c r="A9239" t="s">
        <v>852</v>
      </c>
      <c r="B9239" t="s">
        <v>853</v>
      </c>
      <c r="C9239" t="s">
        <v>853</v>
      </c>
      <c r="D9239" t="s">
        <v>3185</v>
      </c>
      <c r="E9239" t="s">
        <v>461</v>
      </c>
      <c r="F9239" t="s">
        <v>668</v>
      </c>
      <c r="G9239">
        <v>2035</v>
      </c>
      <c r="H9239" s="12">
        <v>1200.8800000000001</v>
      </c>
      <c r="I9239" t="s">
        <v>3183</v>
      </c>
      <c r="J9239" t="s">
        <v>8</v>
      </c>
      <c r="K9239" t="s">
        <v>147</v>
      </c>
      <c r="L9239" t="s">
        <v>20</v>
      </c>
      <c r="M9239" t="s">
        <v>670</v>
      </c>
    </row>
    <row r="9240" spans="1:13">
      <c r="A9240" t="s">
        <v>852</v>
      </c>
      <c r="B9240" t="s">
        <v>853</v>
      </c>
      <c r="C9240" t="s">
        <v>853</v>
      </c>
      <c r="D9240" t="s">
        <v>3185</v>
      </c>
      <c r="E9240" t="s">
        <v>461</v>
      </c>
      <c r="F9240" t="s">
        <v>668</v>
      </c>
      <c r="G9240">
        <v>2040</v>
      </c>
      <c r="H9240" s="12">
        <v>1414.86</v>
      </c>
      <c r="I9240" t="s">
        <v>3183</v>
      </c>
      <c r="J9240" t="s">
        <v>8</v>
      </c>
      <c r="K9240" t="s">
        <v>147</v>
      </c>
      <c r="L9240" t="s">
        <v>20</v>
      </c>
      <c r="M9240" t="s">
        <v>670</v>
      </c>
    </row>
    <row r="9241" spans="1:13">
      <c r="A9241" t="s">
        <v>852</v>
      </c>
      <c r="B9241" t="s">
        <v>853</v>
      </c>
      <c r="C9241" t="s">
        <v>853</v>
      </c>
      <c r="D9241" t="s">
        <v>3185</v>
      </c>
      <c r="E9241" t="s">
        <v>461</v>
      </c>
      <c r="F9241" t="s">
        <v>668</v>
      </c>
      <c r="G9241">
        <v>2045</v>
      </c>
      <c r="H9241" s="12">
        <v>1455.24</v>
      </c>
      <c r="I9241" t="s">
        <v>3183</v>
      </c>
      <c r="J9241" t="s">
        <v>8</v>
      </c>
      <c r="K9241" t="s">
        <v>147</v>
      </c>
      <c r="L9241" t="s">
        <v>20</v>
      </c>
      <c r="M9241" t="s">
        <v>670</v>
      </c>
    </row>
    <row r="9242" spans="1:13">
      <c r="A9242" t="s">
        <v>852</v>
      </c>
      <c r="B9242" t="s">
        <v>853</v>
      </c>
      <c r="C9242" t="s">
        <v>853</v>
      </c>
      <c r="D9242" t="s">
        <v>3185</v>
      </c>
      <c r="E9242" t="s">
        <v>461</v>
      </c>
      <c r="F9242" t="s">
        <v>668</v>
      </c>
      <c r="G9242">
        <v>2050</v>
      </c>
      <c r="H9242" s="12">
        <v>1467.01</v>
      </c>
      <c r="I9242" t="s">
        <v>3183</v>
      </c>
      <c r="J9242" t="s">
        <v>8</v>
      </c>
      <c r="K9242" t="s">
        <v>147</v>
      </c>
      <c r="L9242" t="s">
        <v>20</v>
      </c>
      <c r="M9242" t="s">
        <v>670</v>
      </c>
    </row>
    <row r="9243" spans="1:13">
      <c r="A9243" t="s">
        <v>852</v>
      </c>
      <c r="B9243" t="s">
        <v>853</v>
      </c>
      <c r="C9243" t="s">
        <v>853</v>
      </c>
      <c r="D9243" t="s">
        <v>3185</v>
      </c>
      <c r="E9243" t="s">
        <v>461</v>
      </c>
      <c r="F9243" t="s">
        <v>668</v>
      </c>
      <c r="G9243">
        <v>2010</v>
      </c>
      <c r="H9243" s="12">
        <v>0</v>
      </c>
      <c r="I9243" t="s">
        <v>3183</v>
      </c>
      <c r="J9243" t="s">
        <v>5</v>
      </c>
      <c r="K9243" t="s">
        <v>147</v>
      </c>
      <c r="L9243" t="s">
        <v>20</v>
      </c>
      <c r="M9243" t="s">
        <v>858</v>
      </c>
    </row>
    <row r="9244" spans="1:13">
      <c r="A9244" t="s">
        <v>852</v>
      </c>
      <c r="B9244" t="s">
        <v>853</v>
      </c>
      <c r="C9244" t="s">
        <v>853</v>
      </c>
      <c r="D9244" t="s">
        <v>3185</v>
      </c>
      <c r="E9244" t="s">
        <v>461</v>
      </c>
      <c r="F9244" t="s">
        <v>668</v>
      </c>
      <c r="G9244">
        <v>2015</v>
      </c>
      <c r="H9244" s="12">
        <v>0.86</v>
      </c>
      <c r="I9244" t="s">
        <v>3183</v>
      </c>
      <c r="J9244" t="s">
        <v>5</v>
      </c>
      <c r="K9244" t="s">
        <v>147</v>
      </c>
      <c r="L9244" t="s">
        <v>20</v>
      </c>
      <c r="M9244" t="s">
        <v>858</v>
      </c>
    </row>
    <row r="9245" spans="1:13">
      <c r="A9245" t="s">
        <v>852</v>
      </c>
      <c r="B9245" t="s">
        <v>853</v>
      </c>
      <c r="C9245" t="s">
        <v>853</v>
      </c>
      <c r="D9245" t="s">
        <v>3185</v>
      </c>
      <c r="E9245" t="s">
        <v>461</v>
      </c>
      <c r="F9245" t="s">
        <v>668</v>
      </c>
      <c r="G9245">
        <v>2020</v>
      </c>
      <c r="H9245" s="12">
        <v>0.75</v>
      </c>
      <c r="I9245" t="s">
        <v>3183</v>
      </c>
      <c r="J9245" t="s">
        <v>5</v>
      </c>
      <c r="K9245" t="s">
        <v>147</v>
      </c>
      <c r="L9245" t="s">
        <v>20</v>
      </c>
      <c r="M9245" t="s">
        <v>858</v>
      </c>
    </row>
    <row r="9246" spans="1:13">
      <c r="A9246" t="s">
        <v>852</v>
      </c>
      <c r="B9246" t="s">
        <v>853</v>
      </c>
      <c r="C9246" t="s">
        <v>853</v>
      </c>
      <c r="D9246" t="s">
        <v>3185</v>
      </c>
      <c r="E9246" t="s">
        <v>461</v>
      </c>
      <c r="F9246" t="s">
        <v>668</v>
      </c>
      <c r="G9246">
        <v>2030</v>
      </c>
      <c r="H9246" s="12">
        <v>197.66</v>
      </c>
      <c r="I9246" t="s">
        <v>3183</v>
      </c>
      <c r="J9246" t="s">
        <v>5</v>
      </c>
      <c r="K9246" t="s">
        <v>147</v>
      </c>
      <c r="L9246" t="s">
        <v>20</v>
      </c>
      <c r="M9246" t="s">
        <v>858</v>
      </c>
    </row>
    <row r="9247" spans="1:13">
      <c r="A9247" t="s">
        <v>852</v>
      </c>
      <c r="B9247" t="s">
        <v>853</v>
      </c>
      <c r="C9247" t="s">
        <v>853</v>
      </c>
      <c r="D9247" t="s">
        <v>3185</v>
      </c>
      <c r="E9247" t="s">
        <v>461</v>
      </c>
      <c r="F9247" t="s">
        <v>668</v>
      </c>
      <c r="G9247">
        <v>2035</v>
      </c>
      <c r="H9247" s="12">
        <v>518.08000000000004</v>
      </c>
      <c r="I9247" t="s">
        <v>3183</v>
      </c>
      <c r="J9247" t="s">
        <v>5</v>
      </c>
      <c r="K9247" t="s">
        <v>147</v>
      </c>
      <c r="L9247" t="s">
        <v>20</v>
      </c>
      <c r="M9247" t="s">
        <v>858</v>
      </c>
    </row>
    <row r="9248" spans="1:13">
      <c r="A9248" t="s">
        <v>852</v>
      </c>
      <c r="B9248" t="s">
        <v>853</v>
      </c>
      <c r="C9248" t="s">
        <v>853</v>
      </c>
      <c r="D9248" t="s">
        <v>3185</v>
      </c>
      <c r="E9248" t="s">
        <v>461</v>
      </c>
      <c r="F9248" t="s">
        <v>668</v>
      </c>
      <c r="G9248">
        <v>2040</v>
      </c>
      <c r="H9248" s="12">
        <v>765.33</v>
      </c>
      <c r="I9248" t="s">
        <v>3183</v>
      </c>
      <c r="J9248" t="s">
        <v>5</v>
      </c>
      <c r="K9248" t="s">
        <v>147</v>
      </c>
      <c r="L9248" t="s">
        <v>20</v>
      </c>
      <c r="M9248" t="s">
        <v>858</v>
      </c>
    </row>
    <row r="9249" spans="1:13">
      <c r="A9249" t="s">
        <v>852</v>
      </c>
      <c r="B9249" t="s">
        <v>853</v>
      </c>
      <c r="C9249" t="s">
        <v>853</v>
      </c>
      <c r="D9249" t="s">
        <v>3185</v>
      </c>
      <c r="E9249" t="s">
        <v>461</v>
      </c>
      <c r="F9249" t="s">
        <v>668</v>
      </c>
      <c r="G9249">
        <v>2045</v>
      </c>
      <c r="H9249" s="12">
        <v>794.57</v>
      </c>
      <c r="I9249" t="s">
        <v>3183</v>
      </c>
      <c r="J9249" t="s">
        <v>5</v>
      </c>
      <c r="K9249" t="s">
        <v>147</v>
      </c>
      <c r="L9249" t="s">
        <v>20</v>
      </c>
      <c r="M9249" t="s">
        <v>858</v>
      </c>
    </row>
    <row r="9250" spans="1:13">
      <c r="A9250" t="s">
        <v>852</v>
      </c>
      <c r="B9250" t="s">
        <v>853</v>
      </c>
      <c r="C9250" t="s">
        <v>853</v>
      </c>
      <c r="D9250" t="s">
        <v>3185</v>
      </c>
      <c r="E9250" t="s">
        <v>461</v>
      </c>
      <c r="F9250" t="s">
        <v>668</v>
      </c>
      <c r="G9250">
        <v>2050</v>
      </c>
      <c r="H9250" s="12">
        <v>827.26</v>
      </c>
      <c r="I9250" t="s">
        <v>3183</v>
      </c>
      <c r="J9250" t="s">
        <v>5</v>
      </c>
      <c r="K9250" t="s">
        <v>147</v>
      </c>
      <c r="L9250" t="s">
        <v>20</v>
      </c>
      <c r="M9250" t="s">
        <v>858</v>
      </c>
    </row>
    <row r="9251" spans="1:13">
      <c r="A9251" t="s">
        <v>852</v>
      </c>
      <c r="B9251" t="s">
        <v>853</v>
      </c>
      <c r="C9251" t="s">
        <v>853</v>
      </c>
      <c r="D9251" t="s">
        <v>3185</v>
      </c>
      <c r="E9251" t="s">
        <v>461</v>
      </c>
      <c r="F9251" t="s">
        <v>668</v>
      </c>
      <c r="G9251">
        <v>2010</v>
      </c>
      <c r="H9251" s="12">
        <v>0</v>
      </c>
      <c r="I9251" t="s">
        <v>3183</v>
      </c>
      <c r="J9251" t="s">
        <v>6</v>
      </c>
      <c r="K9251" t="s">
        <v>147</v>
      </c>
      <c r="L9251" t="s">
        <v>20</v>
      </c>
      <c r="M9251" t="s">
        <v>857</v>
      </c>
    </row>
    <row r="9252" spans="1:13">
      <c r="A9252" t="s">
        <v>852</v>
      </c>
      <c r="B9252" t="s">
        <v>853</v>
      </c>
      <c r="C9252" t="s">
        <v>853</v>
      </c>
      <c r="D9252" t="s">
        <v>3185</v>
      </c>
      <c r="E9252" t="s">
        <v>461</v>
      </c>
      <c r="F9252" t="s">
        <v>668</v>
      </c>
      <c r="G9252">
        <v>2015</v>
      </c>
      <c r="H9252" s="12">
        <v>0</v>
      </c>
      <c r="I9252" t="s">
        <v>3183</v>
      </c>
      <c r="J9252" t="s">
        <v>6</v>
      </c>
      <c r="K9252" t="s">
        <v>147</v>
      </c>
      <c r="L9252" t="s">
        <v>20</v>
      </c>
      <c r="M9252" t="s">
        <v>857</v>
      </c>
    </row>
    <row r="9253" spans="1:13">
      <c r="A9253" t="s">
        <v>852</v>
      </c>
      <c r="B9253" t="s">
        <v>853</v>
      </c>
      <c r="C9253" t="s">
        <v>853</v>
      </c>
      <c r="D9253" t="s">
        <v>3185</v>
      </c>
      <c r="E9253" t="s">
        <v>461</v>
      </c>
      <c r="F9253" t="s">
        <v>668</v>
      </c>
      <c r="G9253">
        <v>2020</v>
      </c>
      <c r="H9253" s="12">
        <v>0</v>
      </c>
      <c r="I9253" t="s">
        <v>3183</v>
      </c>
      <c r="J9253" t="s">
        <v>6</v>
      </c>
      <c r="K9253" t="s">
        <v>147</v>
      </c>
      <c r="L9253" t="s">
        <v>20</v>
      </c>
      <c r="M9253" t="s">
        <v>857</v>
      </c>
    </row>
    <row r="9254" spans="1:13">
      <c r="A9254" t="s">
        <v>852</v>
      </c>
      <c r="B9254" t="s">
        <v>853</v>
      </c>
      <c r="C9254" t="s">
        <v>853</v>
      </c>
      <c r="D9254" t="s">
        <v>3185</v>
      </c>
      <c r="E9254" t="s">
        <v>461</v>
      </c>
      <c r="F9254" t="s">
        <v>668</v>
      </c>
      <c r="G9254">
        <v>2030</v>
      </c>
      <c r="H9254" s="12">
        <v>84.38</v>
      </c>
      <c r="I9254" t="s">
        <v>3183</v>
      </c>
      <c r="J9254" t="s">
        <v>6</v>
      </c>
      <c r="K9254" t="s">
        <v>147</v>
      </c>
      <c r="L9254" t="s">
        <v>20</v>
      </c>
      <c r="M9254" t="s">
        <v>857</v>
      </c>
    </row>
    <row r="9255" spans="1:13">
      <c r="A9255" t="s">
        <v>852</v>
      </c>
      <c r="B9255" t="s">
        <v>853</v>
      </c>
      <c r="C9255" t="s">
        <v>853</v>
      </c>
      <c r="D9255" t="s">
        <v>3185</v>
      </c>
      <c r="E9255" t="s">
        <v>461</v>
      </c>
      <c r="F9255" t="s">
        <v>668</v>
      </c>
      <c r="G9255">
        <v>2035</v>
      </c>
      <c r="H9255" s="12">
        <v>270.81</v>
      </c>
      <c r="I9255" t="s">
        <v>3183</v>
      </c>
      <c r="J9255" t="s">
        <v>6</v>
      </c>
      <c r="K9255" t="s">
        <v>147</v>
      </c>
      <c r="L9255" t="s">
        <v>20</v>
      </c>
      <c r="M9255" t="s">
        <v>857</v>
      </c>
    </row>
    <row r="9256" spans="1:13">
      <c r="A9256" t="s">
        <v>852</v>
      </c>
      <c r="B9256" t="s">
        <v>853</v>
      </c>
      <c r="C9256" t="s">
        <v>853</v>
      </c>
      <c r="D9256" t="s">
        <v>3185</v>
      </c>
      <c r="E9256" t="s">
        <v>461</v>
      </c>
      <c r="F9256" t="s">
        <v>668</v>
      </c>
      <c r="G9256">
        <v>2040</v>
      </c>
      <c r="H9256" s="12">
        <v>445.82</v>
      </c>
      <c r="I9256" t="s">
        <v>3183</v>
      </c>
      <c r="J9256" t="s">
        <v>6</v>
      </c>
      <c r="K9256" t="s">
        <v>147</v>
      </c>
      <c r="L9256" t="s">
        <v>20</v>
      </c>
      <c r="M9256" t="s">
        <v>857</v>
      </c>
    </row>
    <row r="9257" spans="1:13">
      <c r="A9257" t="s">
        <v>852</v>
      </c>
      <c r="B9257" t="s">
        <v>853</v>
      </c>
      <c r="C9257" t="s">
        <v>853</v>
      </c>
      <c r="D9257" t="s">
        <v>3185</v>
      </c>
      <c r="E9257" t="s">
        <v>461</v>
      </c>
      <c r="F9257" t="s">
        <v>668</v>
      </c>
      <c r="G9257">
        <v>2045</v>
      </c>
      <c r="H9257" s="12">
        <v>449.8</v>
      </c>
      <c r="I9257" t="s">
        <v>3183</v>
      </c>
      <c r="J9257" t="s">
        <v>6</v>
      </c>
      <c r="K9257" t="s">
        <v>147</v>
      </c>
      <c r="L9257" t="s">
        <v>20</v>
      </c>
      <c r="M9257" t="s">
        <v>857</v>
      </c>
    </row>
    <row r="9258" spans="1:13">
      <c r="A9258" t="s">
        <v>852</v>
      </c>
      <c r="B9258" t="s">
        <v>853</v>
      </c>
      <c r="C9258" t="s">
        <v>853</v>
      </c>
      <c r="D9258" t="s">
        <v>3185</v>
      </c>
      <c r="E9258" t="s">
        <v>461</v>
      </c>
      <c r="F9258" t="s">
        <v>668</v>
      </c>
      <c r="G9258">
        <v>2050</v>
      </c>
      <c r="H9258" s="12">
        <v>489.75</v>
      </c>
      <c r="I9258" t="s">
        <v>3183</v>
      </c>
      <c r="J9258" t="s">
        <v>6</v>
      </c>
      <c r="K9258" t="s">
        <v>147</v>
      </c>
      <c r="L9258" t="s">
        <v>20</v>
      </c>
      <c r="M9258" t="s">
        <v>857</v>
      </c>
    </row>
    <row r="9259" spans="1:13">
      <c r="A9259" t="s">
        <v>852</v>
      </c>
      <c r="B9259" t="s">
        <v>853</v>
      </c>
      <c r="C9259" t="s">
        <v>853</v>
      </c>
      <c r="D9259" t="s">
        <v>3185</v>
      </c>
      <c r="E9259" t="s">
        <v>461</v>
      </c>
      <c r="F9259" t="s">
        <v>668</v>
      </c>
      <c r="G9259">
        <v>2010</v>
      </c>
      <c r="H9259" s="12">
        <v>8669.89</v>
      </c>
      <c r="I9259" t="s">
        <v>3183</v>
      </c>
      <c r="J9259" t="s">
        <v>5</v>
      </c>
      <c r="K9259" t="s">
        <v>147</v>
      </c>
      <c r="L9259" t="s">
        <v>20</v>
      </c>
      <c r="M9259" t="s">
        <v>665</v>
      </c>
    </row>
    <row r="9260" spans="1:13">
      <c r="A9260" t="s">
        <v>852</v>
      </c>
      <c r="B9260" t="s">
        <v>853</v>
      </c>
      <c r="C9260" t="s">
        <v>853</v>
      </c>
      <c r="D9260" t="s">
        <v>3185</v>
      </c>
      <c r="E9260" t="s">
        <v>461</v>
      </c>
      <c r="F9260" t="s">
        <v>668</v>
      </c>
      <c r="G9260">
        <v>2015</v>
      </c>
      <c r="H9260" s="12">
        <v>9535.41</v>
      </c>
      <c r="I9260" t="s">
        <v>3183</v>
      </c>
      <c r="J9260" t="s">
        <v>5</v>
      </c>
      <c r="K9260" t="s">
        <v>147</v>
      </c>
      <c r="L9260" t="s">
        <v>20</v>
      </c>
      <c r="M9260" t="s">
        <v>665</v>
      </c>
    </row>
    <row r="9261" spans="1:13">
      <c r="A9261" t="s">
        <v>852</v>
      </c>
      <c r="B9261" t="s">
        <v>853</v>
      </c>
      <c r="C9261" t="s">
        <v>853</v>
      </c>
      <c r="D9261" t="s">
        <v>3185</v>
      </c>
      <c r="E9261" t="s">
        <v>461</v>
      </c>
      <c r="F9261" t="s">
        <v>668</v>
      </c>
      <c r="G9261">
        <v>2020</v>
      </c>
      <c r="H9261" s="12">
        <v>9438.5499999999993</v>
      </c>
      <c r="I9261" t="s">
        <v>3183</v>
      </c>
      <c r="J9261" t="s">
        <v>5</v>
      </c>
      <c r="K9261" t="s">
        <v>147</v>
      </c>
      <c r="L9261" t="s">
        <v>20</v>
      </c>
      <c r="M9261" t="s">
        <v>665</v>
      </c>
    </row>
    <row r="9262" spans="1:13">
      <c r="A9262" t="s">
        <v>852</v>
      </c>
      <c r="B9262" t="s">
        <v>853</v>
      </c>
      <c r="C9262" t="s">
        <v>853</v>
      </c>
      <c r="D9262" t="s">
        <v>3185</v>
      </c>
      <c r="E9262" t="s">
        <v>461</v>
      </c>
      <c r="F9262" t="s">
        <v>668</v>
      </c>
      <c r="G9262">
        <v>2030</v>
      </c>
      <c r="H9262" s="12">
        <v>4666.32</v>
      </c>
      <c r="I9262" t="s">
        <v>3183</v>
      </c>
      <c r="J9262" t="s">
        <v>5</v>
      </c>
      <c r="K9262" t="s">
        <v>147</v>
      </c>
      <c r="L9262" t="s">
        <v>20</v>
      </c>
      <c r="M9262" t="s">
        <v>665</v>
      </c>
    </row>
    <row r="9263" spans="1:13">
      <c r="A9263" t="s">
        <v>852</v>
      </c>
      <c r="B9263" t="s">
        <v>853</v>
      </c>
      <c r="C9263" t="s">
        <v>853</v>
      </c>
      <c r="D9263" t="s">
        <v>3185</v>
      </c>
      <c r="E9263" t="s">
        <v>461</v>
      </c>
      <c r="F9263" t="s">
        <v>668</v>
      </c>
      <c r="G9263">
        <v>2035</v>
      </c>
      <c r="H9263" s="12">
        <v>1997.05</v>
      </c>
      <c r="I9263" t="s">
        <v>3183</v>
      </c>
      <c r="J9263" t="s">
        <v>5</v>
      </c>
      <c r="K9263" t="s">
        <v>147</v>
      </c>
      <c r="L9263" t="s">
        <v>20</v>
      </c>
      <c r="M9263" t="s">
        <v>665</v>
      </c>
    </row>
    <row r="9264" spans="1:13">
      <c r="A9264" t="s">
        <v>852</v>
      </c>
      <c r="B9264" t="s">
        <v>853</v>
      </c>
      <c r="C9264" t="s">
        <v>853</v>
      </c>
      <c r="D9264" t="s">
        <v>3185</v>
      </c>
      <c r="E9264" t="s">
        <v>461</v>
      </c>
      <c r="F9264" t="s">
        <v>668</v>
      </c>
      <c r="G9264">
        <v>2040</v>
      </c>
      <c r="H9264" s="12">
        <v>0.06</v>
      </c>
      <c r="I9264" t="s">
        <v>3183</v>
      </c>
      <c r="J9264" t="s">
        <v>5</v>
      </c>
      <c r="K9264" t="s">
        <v>147</v>
      </c>
      <c r="L9264" t="s">
        <v>20</v>
      </c>
      <c r="M9264" t="s">
        <v>665</v>
      </c>
    </row>
    <row r="9265" spans="1:13">
      <c r="A9265" t="s">
        <v>852</v>
      </c>
      <c r="B9265" t="s">
        <v>853</v>
      </c>
      <c r="C9265" t="s">
        <v>853</v>
      </c>
      <c r="D9265" t="s">
        <v>3185</v>
      </c>
      <c r="E9265" t="s">
        <v>461</v>
      </c>
      <c r="F9265" t="s">
        <v>668</v>
      </c>
      <c r="G9265">
        <v>2045</v>
      </c>
      <c r="H9265" s="12">
        <v>0.27</v>
      </c>
      <c r="I9265" t="s">
        <v>3183</v>
      </c>
      <c r="J9265" t="s">
        <v>5</v>
      </c>
      <c r="K9265" t="s">
        <v>147</v>
      </c>
      <c r="L9265" t="s">
        <v>20</v>
      </c>
      <c r="M9265" t="s">
        <v>665</v>
      </c>
    </row>
    <row r="9266" spans="1:13">
      <c r="A9266" t="s">
        <v>852</v>
      </c>
      <c r="B9266" t="s">
        <v>853</v>
      </c>
      <c r="C9266" t="s">
        <v>853</v>
      </c>
      <c r="D9266" t="s">
        <v>3185</v>
      </c>
      <c r="E9266" t="s">
        <v>461</v>
      </c>
      <c r="F9266" t="s">
        <v>668</v>
      </c>
      <c r="G9266">
        <v>2050</v>
      </c>
      <c r="H9266" s="12">
        <v>0.12</v>
      </c>
      <c r="I9266" t="s">
        <v>3183</v>
      </c>
      <c r="J9266" t="s">
        <v>5</v>
      </c>
      <c r="K9266" t="s">
        <v>147</v>
      </c>
      <c r="L9266" t="s">
        <v>20</v>
      </c>
      <c r="M9266" t="s">
        <v>665</v>
      </c>
    </row>
    <row r="9267" spans="1:13">
      <c r="A9267" t="s">
        <v>852</v>
      </c>
      <c r="B9267" t="s">
        <v>853</v>
      </c>
      <c r="C9267" t="s">
        <v>853</v>
      </c>
      <c r="D9267" t="s">
        <v>3185</v>
      </c>
      <c r="E9267" t="s">
        <v>461</v>
      </c>
      <c r="F9267" t="s">
        <v>668</v>
      </c>
      <c r="G9267">
        <v>2010</v>
      </c>
      <c r="H9267" s="12">
        <v>4855.04</v>
      </c>
      <c r="I9267" t="s">
        <v>3183</v>
      </c>
      <c r="J9267" t="s">
        <v>6</v>
      </c>
      <c r="K9267" t="s">
        <v>147</v>
      </c>
      <c r="L9267" t="s">
        <v>20</v>
      </c>
      <c r="M9267" t="s">
        <v>666</v>
      </c>
    </row>
    <row r="9268" spans="1:13">
      <c r="A9268" t="s">
        <v>852</v>
      </c>
      <c r="B9268" t="s">
        <v>853</v>
      </c>
      <c r="C9268" t="s">
        <v>853</v>
      </c>
      <c r="D9268" t="s">
        <v>3185</v>
      </c>
      <c r="E9268" t="s">
        <v>461</v>
      </c>
      <c r="F9268" t="s">
        <v>668</v>
      </c>
      <c r="G9268">
        <v>2015</v>
      </c>
      <c r="H9268" s="12">
        <v>5547.85</v>
      </c>
      <c r="I9268" t="s">
        <v>3183</v>
      </c>
      <c r="J9268" t="s">
        <v>6</v>
      </c>
      <c r="K9268" t="s">
        <v>147</v>
      </c>
      <c r="L9268" t="s">
        <v>20</v>
      </c>
      <c r="M9268" t="s">
        <v>666</v>
      </c>
    </row>
    <row r="9269" spans="1:13">
      <c r="A9269" t="s">
        <v>852</v>
      </c>
      <c r="B9269" t="s">
        <v>853</v>
      </c>
      <c r="C9269" t="s">
        <v>853</v>
      </c>
      <c r="D9269" t="s">
        <v>3185</v>
      </c>
      <c r="E9269" t="s">
        <v>461</v>
      </c>
      <c r="F9269" t="s">
        <v>668</v>
      </c>
      <c r="G9269">
        <v>2020</v>
      </c>
      <c r="H9269" s="12">
        <v>6333.17</v>
      </c>
      <c r="I9269" t="s">
        <v>3183</v>
      </c>
      <c r="J9269" t="s">
        <v>6</v>
      </c>
      <c r="K9269" t="s">
        <v>147</v>
      </c>
      <c r="L9269" t="s">
        <v>20</v>
      </c>
      <c r="M9269" t="s">
        <v>666</v>
      </c>
    </row>
    <row r="9270" spans="1:13">
      <c r="A9270" t="s">
        <v>852</v>
      </c>
      <c r="B9270" t="s">
        <v>853</v>
      </c>
      <c r="C9270" t="s">
        <v>853</v>
      </c>
      <c r="D9270" t="s">
        <v>3185</v>
      </c>
      <c r="E9270" t="s">
        <v>461</v>
      </c>
      <c r="F9270" t="s">
        <v>668</v>
      </c>
      <c r="G9270">
        <v>2030</v>
      </c>
      <c r="H9270" s="12">
        <v>4977.07</v>
      </c>
      <c r="I9270" t="s">
        <v>3183</v>
      </c>
      <c r="J9270" t="s">
        <v>6</v>
      </c>
      <c r="K9270" t="s">
        <v>147</v>
      </c>
      <c r="L9270" t="s">
        <v>20</v>
      </c>
      <c r="M9270" t="s">
        <v>666</v>
      </c>
    </row>
    <row r="9271" spans="1:13">
      <c r="A9271" t="s">
        <v>852</v>
      </c>
      <c r="B9271" t="s">
        <v>853</v>
      </c>
      <c r="C9271" t="s">
        <v>853</v>
      </c>
      <c r="D9271" t="s">
        <v>3185</v>
      </c>
      <c r="E9271" t="s">
        <v>461</v>
      </c>
      <c r="F9271" t="s">
        <v>668</v>
      </c>
      <c r="G9271">
        <v>2035</v>
      </c>
      <c r="H9271" s="12">
        <v>1902.4</v>
      </c>
      <c r="I9271" t="s">
        <v>3183</v>
      </c>
      <c r="J9271" t="s">
        <v>6</v>
      </c>
      <c r="K9271" t="s">
        <v>147</v>
      </c>
      <c r="L9271" t="s">
        <v>20</v>
      </c>
      <c r="M9271" t="s">
        <v>666</v>
      </c>
    </row>
    <row r="9272" spans="1:13">
      <c r="A9272" t="s">
        <v>852</v>
      </c>
      <c r="B9272" t="s">
        <v>853</v>
      </c>
      <c r="C9272" t="s">
        <v>853</v>
      </c>
      <c r="D9272" t="s">
        <v>3185</v>
      </c>
      <c r="E9272" t="s">
        <v>461</v>
      </c>
      <c r="F9272" t="s">
        <v>668</v>
      </c>
      <c r="G9272">
        <v>2040</v>
      </c>
      <c r="H9272" s="12">
        <v>163.54</v>
      </c>
      <c r="I9272" t="s">
        <v>3183</v>
      </c>
      <c r="J9272" t="s">
        <v>6</v>
      </c>
      <c r="K9272" t="s">
        <v>147</v>
      </c>
      <c r="L9272" t="s">
        <v>20</v>
      </c>
      <c r="M9272" t="s">
        <v>666</v>
      </c>
    </row>
    <row r="9273" spans="1:13">
      <c r="A9273" t="s">
        <v>852</v>
      </c>
      <c r="B9273" t="s">
        <v>853</v>
      </c>
      <c r="C9273" t="s">
        <v>853</v>
      </c>
      <c r="D9273" t="s">
        <v>3185</v>
      </c>
      <c r="E9273" t="s">
        <v>461</v>
      </c>
      <c r="F9273" t="s">
        <v>668</v>
      </c>
      <c r="G9273">
        <v>2045</v>
      </c>
      <c r="H9273" s="12">
        <v>80.489999999999995</v>
      </c>
      <c r="I9273" t="s">
        <v>3183</v>
      </c>
      <c r="J9273" t="s">
        <v>6</v>
      </c>
      <c r="K9273" t="s">
        <v>147</v>
      </c>
      <c r="L9273" t="s">
        <v>20</v>
      </c>
      <c r="M9273" t="s">
        <v>666</v>
      </c>
    </row>
    <row r="9274" spans="1:13">
      <c r="A9274" t="s">
        <v>852</v>
      </c>
      <c r="B9274" t="s">
        <v>853</v>
      </c>
      <c r="C9274" t="s">
        <v>853</v>
      </c>
      <c r="D9274" t="s">
        <v>3185</v>
      </c>
      <c r="E9274" t="s">
        <v>461</v>
      </c>
      <c r="F9274" t="s">
        <v>668</v>
      </c>
      <c r="G9274">
        <v>2050</v>
      </c>
      <c r="H9274" s="12">
        <v>81.849999999999994</v>
      </c>
      <c r="I9274" t="s">
        <v>3183</v>
      </c>
      <c r="J9274" t="s">
        <v>6</v>
      </c>
      <c r="K9274" t="s">
        <v>147</v>
      </c>
      <c r="L9274" t="s">
        <v>20</v>
      </c>
      <c r="M9274" t="s">
        <v>666</v>
      </c>
    </row>
    <row r="9275" spans="1:13">
      <c r="A9275" t="s">
        <v>852</v>
      </c>
      <c r="B9275" t="s">
        <v>853</v>
      </c>
      <c r="C9275" t="s">
        <v>853</v>
      </c>
      <c r="D9275" t="s">
        <v>3185</v>
      </c>
      <c r="E9275" t="s">
        <v>461</v>
      </c>
      <c r="F9275" t="s">
        <v>668</v>
      </c>
      <c r="G9275">
        <v>2010</v>
      </c>
      <c r="H9275" s="12">
        <v>968.64</v>
      </c>
      <c r="I9275" t="s">
        <v>3183</v>
      </c>
      <c r="J9275" t="s">
        <v>394</v>
      </c>
      <c r="K9275" t="s">
        <v>147</v>
      </c>
      <c r="L9275" t="s">
        <v>20</v>
      </c>
      <c r="M9275" t="s">
        <v>16</v>
      </c>
    </row>
    <row r="9276" spans="1:13">
      <c r="A9276" t="s">
        <v>852</v>
      </c>
      <c r="B9276" t="s">
        <v>853</v>
      </c>
      <c r="C9276" t="s">
        <v>853</v>
      </c>
      <c r="D9276" t="s">
        <v>3185</v>
      </c>
      <c r="E9276" t="s">
        <v>461</v>
      </c>
      <c r="F9276" t="s">
        <v>668</v>
      </c>
      <c r="G9276">
        <v>2015</v>
      </c>
      <c r="H9276" s="12">
        <v>1020.95</v>
      </c>
      <c r="I9276" t="s">
        <v>3183</v>
      </c>
      <c r="J9276" t="s">
        <v>394</v>
      </c>
      <c r="K9276" t="s">
        <v>147</v>
      </c>
      <c r="L9276" t="s">
        <v>20</v>
      </c>
      <c r="M9276" t="s">
        <v>16</v>
      </c>
    </row>
    <row r="9277" spans="1:13">
      <c r="A9277" t="s">
        <v>852</v>
      </c>
      <c r="B9277" t="s">
        <v>853</v>
      </c>
      <c r="C9277" t="s">
        <v>853</v>
      </c>
      <c r="D9277" t="s">
        <v>3185</v>
      </c>
      <c r="E9277" t="s">
        <v>461</v>
      </c>
      <c r="F9277" t="s">
        <v>668</v>
      </c>
      <c r="G9277">
        <v>2020</v>
      </c>
      <c r="H9277" s="12">
        <v>663.59</v>
      </c>
      <c r="I9277" t="s">
        <v>3183</v>
      </c>
      <c r="J9277" t="s">
        <v>394</v>
      </c>
      <c r="K9277" t="s">
        <v>147</v>
      </c>
      <c r="L9277" t="s">
        <v>20</v>
      </c>
      <c r="M9277" t="s">
        <v>16</v>
      </c>
    </row>
    <row r="9278" spans="1:13">
      <c r="A9278" t="s">
        <v>852</v>
      </c>
      <c r="B9278" t="s">
        <v>853</v>
      </c>
      <c r="C9278" t="s">
        <v>853</v>
      </c>
      <c r="D9278" t="s">
        <v>3185</v>
      </c>
      <c r="E9278" t="s">
        <v>461</v>
      </c>
      <c r="F9278" t="s">
        <v>668</v>
      </c>
      <c r="G9278">
        <v>2030</v>
      </c>
      <c r="H9278" s="12">
        <v>180.14</v>
      </c>
      <c r="I9278" t="s">
        <v>3183</v>
      </c>
      <c r="J9278" t="s">
        <v>394</v>
      </c>
      <c r="K9278" t="s">
        <v>147</v>
      </c>
      <c r="L9278" t="s">
        <v>20</v>
      </c>
      <c r="M9278" t="s">
        <v>16</v>
      </c>
    </row>
    <row r="9279" spans="1:13">
      <c r="A9279" t="s">
        <v>852</v>
      </c>
      <c r="B9279" t="s">
        <v>853</v>
      </c>
      <c r="C9279" t="s">
        <v>853</v>
      </c>
      <c r="D9279" t="s">
        <v>3185</v>
      </c>
      <c r="E9279" t="s">
        <v>461</v>
      </c>
      <c r="F9279" t="s">
        <v>668</v>
      </c>
      <c r="G9279">
        <v>2035</v>
      </c>
      <c r="H9279" s="12">
        <v>56.36</v>
      </c>
      <c r="I9279" t="s">
        <v>3183</v>
      </c>
      <c r="J9279" t="s">
        <v>394</v>
      </c>
      <c r="K9279" t="s">
        <v>147</v>
      </c>
      <c r="L9279" t="s">
        <v>20</v>
      </c>
      <c r="M9279" t="s">
        <v>16</v>
      </c>
    </row>
    <row r="9280" spans="1:13">
      <c r="A9280" t="s">
        <v>852</v>
      </c>
      <c r="B9280" t="s">
        <v>853</v>
      </c>
      <c r="C9280" t="s">
        <v>853</v>
      </c>
      <c r="D9280" t="s">
        <v>3185</v>
      </c>
      <c r="E9280" t="s">
        <v>461</v>
      </c>
      <c r="F9280" t="s">
        <v>668</v>
      </c>
      <c r="G9280">
        <v>2040</v>
      </c>
      <c r="H9280" s="12">
        <v>4.4400000000000004</v>
      </c>
      <c r="I9280" t="s">
        <v>3183</v>
      </c>
      <c r="J9280" t="s">
        <v>394</v>
      </c>
      <c r="K9280" t="s">
        <v>147</v>
      </c>
      <c r="L9280" t="s">
        <v>20</v>
      </c>
      <c r="M9280" t="s">
        <v>16</v>
      </c>
    </row>
    <row r="9281" spans="1:13">
      <c r="A9281" t="s">
        <v>852</v>
      </c>
      <c r="B9281" t="s">
        <v>853</v>
      </c>
      <c r="C9281" t="s">
        <v>853</v>
      </c>
      <c r="D9281" t="s">
        <v>3185</v>
      </c>
      <c r="E9281" t="s">
        <v>461</v>
      </c>
      <c r="F9281" t="s">
        <v>668</v>
      </c>
      <c r="G9281">
        <v>2045</v>
      </c>
      <c r="H9281" s="12">
        <v>3.83</v>
      </c>
      <c r="I9281" t="s">
        <v>3183</v>
      </c>
      <c r="J9281" t="s">
        <v>394</v>
      </c>
      <c r="K9281" t="s">
        <v>147</v>
      </c>
      <c r="L9281" t="s">
        <v>20</v>
      </c>
      <c r="M9281" t="s">
        <v>16</v>
      </c>
    </row>
    <row r="9282" spans="1:13">
      <c r="A9282" t="s">
        <v>852</v>
      </c>
      <c r="B9282" t="s">
        <v>853</v>
      </c>
      <c r="C9282" t="s">
        <v>853</v>
      </c>
      <c r="D9282" t="s">
        <v>3185</v>
      </c>
      <c r="E9282" t="s">
        <v>461</v>
      </c>
      <c r="F9282" t="s">
        <v>668</v>
      </c>
      <c r="G9282">
        <v>2050</v>
      </c>
      <c r="H9282" s="12">
        <v>3.46</v>
      </c>
      <c r="I9282" t="s">
        <v>3183</v>
      </c>
      <c r="J9282" t="s">
        <v>394</v>
      </c>
      <c r="K9282" t="s">
        <v>147</v>
      </c>
      <c r="L9282" t="s">
        <v>20</v>
      </c>
      <c r="M9282" t="s">
        <v>16</v>
      </c>
    </row>
    <row r="9283" spans="1:13">
      <c r="A9283" t="s">
        <v>852</v>
      </c>
      <c r="B9283" t="s">
        <v>853</v>
      </c>
      <c r="C9283" t="s">
        <v>853</v>
      </c>
      <c r="D9283" t="s">
        <v>3185</v>
      </c>
      <c r="E9283" t="s">
        <v>656</v>
      </c>
      <c r="F9283" t="s">
        <v>31</v>
      </c>
      <c r="G9283">
        <v>2010</v>
      </c>
      <c r="H9283" s="12">
        <v>39.299999999999997</v>
      </c>
      <c r="I9283" t="s">
        <v>3183</v>
      </c>
      <c r="J9283" t="s">
        <v>17</v>
      </c>
      <c r="K9283" t="s">
        <v>147</v>
      </c>
      <c r="L9283" t="s">
        <v>20</v>
      </c>
      <c r="M9283" t="s">
        <v>671</v>
      </c>
    </row>
    <row r="9284" spans="1:13">
      <c r="A9284" t="s">
        <v>852</v>
      </c>
      <c r="B9284" t="s">
        <v>853</v>
      </c>
      <c r="C9284" t="s">
        <v>853</v>
      </c>
      <c r="D9284" t="s">
        <v>3185</v>
      </c>
      <c r="E9284" t="s">
        <v>656</v>
      </c>
      <c r="F9284" t="s">
        <v>31</v>
      </c>
      <c r="G9284">
        <v>2015</v>
      </c>
      <c r="H9284" s="12">
        <v>226.53</v>
      </c>
      <c r="I9284" t="s">
        <v>3183</v>
      </c>
      <c r="J9284" t="s">
        <v>17</v>
      </c>
      <c r="K9284" t="s">
        <v>147</v>
      </c>
      <c r="L9284" t="s">
        <v>20</v>
      </c>
      <c r="M9284" t="s">
        <v>671</v>
      </c>
    </row>
    <row r="9285" spans="1:13">
      <c r="A9285" t="s">
        <v>852</v>
      </c>
      <c r="B9285" t="s">
        <v>853</v>
      </c>
      <c r="C9285" t="s">
        <v>853</v>
      </c>
      <c r="D9285" t="s">
        <v>3185</v>
      </c>
      <c r="E9285" t="s">
        <v>656</v>
      </c>
      <c r="F9285" t="s">
        <v>31</v>
      </c>
      <c r="G9285">
        <v>2020</v>
      </c>
      <c r="H9285" s="12">
        <v>740.71</v>
      </c>
      <c r="I9285" t="s">
        <v>3183</v>
      </c>
      <c r="J9285" t="s">
        <v>17</v>
      </c>
      <c r="K9285" t="s">
        <v>147</v>
      </c>
      <c r="L9285" t="s">
        <v>20</v>
      </c>
      <c r="M9285" t="s">
        <v>671</v>
      </c>
    </row>
    <row r="9286" spans="1:13">
      <c r="A9286" t="s">
        <v>852</v>
      </c>
      <c r="B9286" t="s">
        <v>853</v>
      </c>
      <c r="C9286" t="s">
        <v>853</v>
      </c>
      <c r="D9286" t="s">
        <v>3185</v>
      </c>
      <c r="E9286" t="s">
        <v>656</v>
      </c>
      <c r="F9286" t="s">
        <v>31</v>
      </c>
      <c r="G9286">
        <v>2030</v>
      </c>
      <c r="H9286" s="12">
        <v>5052.46</v>
      </c>
      <c r="I9286" t="s">
        <v>3183</v>
      </c>
      <c r="J9286" t="s">
        <v>17</v>
      </c>
      <c r="K9286" t="s">
        <v>147</v>
      </c>
      <c r="L9286" t="s">
        <v>20</v>
      </c>
      <c r="M9286" t="s">
        <v>671</v>
      </c>
    </row>
    <row r="9287" spans="1:13">
      <c r="A9287" t="s">
        <v>852</v>
      </c>
      <c r="B9287" t="s">
        <v>853</v>
      </c>
      <c r="C9287" t="s">
        <v>853</v>
      </c>
      <c r="D9287" t="s">
        <v>3185</v>
      </c>
      <c r="E9287" t="s">
        <v>656</v>
      </c>
      <c r="F9287" t="s">
        <v>31</v>
      </c>
      <c r="G9287">
        <v>2035</v>
      </c>
      <c r="H9287" s="12">
        <v>8423.52</v>
      </c>
      <c r="I9287" t="s">
        <v>3183</v>
      </c>
      <c r="J9287" t="s">
        <v>17</v>
      </c>
      <c r="K9287" t="s">
        <v>147</v>
      </c>
      <c r="L9287" t="s">
        <v>20</v>
      </c>
      <c r="M9287" t="s">
        <v>671</v>
      </c>
    </row>
    <row r="9288" spans="1:13">
      <c r="A9288" t="s">
        <v>852</v>
      </c>
      <c r="B9288" t="s">
        <v>853</v>
      </c>
      <c r="C9288" t="s">
        <v>853</v>
      </c>
      <c r="D9288" t="s">
        <v>3185</v>
      </c>
      <c r="E9288" t="s">
        <v>656</v>
      </c>
      <c r="F9288" t="s">
        <v>31</v>
      </c>
      <c r="G9288">
        <v>2040</v>
      </c>
      <c r="H9288" s="12">
        <v>11620.3</v>
      </c>
      <c r="I9288" t="s">
        <v>3183</v>
      </c>
      <c r="J9288" t="s">
        <v>17</v>
      </c>
      <c r="K9288" t="s">
        <v>147</v>
      </c>
      <c r="L9288" t="s">
        <v>20</v>
      </c>
      <c r="M9288" t="s">
        <v>671</v>
      </c>
    </row>
    <row r="9289" spans="1:13">
      <c r="A9289" t="s">
        <v>852</v>
      </c>
      <c r="B9289" t="s">
        <v>853</v>
      </c>
      <c r="C9289" t="s">
        <v>853</v>
      </c>
      <c r="D9289" t="s">
        <v>3185</v>
      </c>
      <c r="E9289" t="s">
        <v>656</v>
      </c>
      <c r="F9289" t="s">
        <v>31</v>
      </c>
      <c r="G9289">
        <v>2045</v>
      </c>
      <c r="H9289" s="12">
        <v>13915.5</v>
      </c>
      <c r="I9289" t="s">
        <v>3183</v>
      </c>
      <c r="J9289" t="s">
        <v>17</v>
      </c>
      <c r="K9289" t="s">
        <v>147</v>
      </c>
      <c r="L9289" t="s">
        <v>20</v>
      </c>
      <c r="M9289" t="s">
        <v>671</v>
      </c>
    </row>
    <row r="9290" spans="1:13">
      <c r="A9290" t="s">
        <v>852</v>
      </c>
      <c r="B9290" t="s">
        <v>853</v>
      </c>
      <c r="C9290" t="s">
        <v>853</v>
      </c>
      <c r="D9290" t="s">
        <v>3185</v>
      </c>
      <c r="E9290" t="s">
        <v>656</v>
      </c>
      <c r="F9290" t="s">
        <v>31</v>
      </c>
      <c r="G9290">
        <v>2050</v>
      </c>
      <c r="H9290" s="12">
        <v>15467.7</v>
      </c>
      <c r="I9290" t="s">
        <v>3183</v>
      </c>
      <c r="J9290" t="s">
        <v>17</v>
      </c>
      <c r="K9290" t="s">
        <v>147</v>
      </c>
      <c r="L9290" t="s">
        <v>20</v>
      </c>
      <c r="M9290" t="s">
        <v>671</v>
      </c>
    </row>
    <row r="9291" spans="1:13">
      <c r="A9291" t="s">
        <v>852</v>
      </c>
      <c r="B9291" t="s">
        <v>853</v>
      </c>
      <c r="C9291" t="s">
        <v>853</v>
      </c>
      <c r="D9291" t="s">
        <v>3185</v>
      </c>
      <c r="E9291" t="s">
        <v>656</v>
      </c>
      <c r="F9291" t="s">
        <v>31</v>
      </c>
      <c r="G9291">
        <v>2010</v>
      </c>
      <c r="H9291" s="12">
        <v>180.77</v>
      </c>
      <c r="I9291" t="s">
        <v>3183</v>
      </c>
      <c r="J9291" t="s">
        <v>18</v>
      </c>
      <c r="K9291" t="s">
        <v>147</v>
      </c>
      <c r="L9291" t="s">
        <v>20</v>
      </c>
      <c r="M9291" t="s">
        <v>18</v>
      </c>
    </row>
    <row r="9292" spans="1:13">
      <c r="A9292" t="s">
        <v>852</v>
      </c>
      <c r="B9292" t="s">
        <v>853</v>
      </c>
      <c r="C9292" t="s">
        <v>853</v>
      </c>
      <c r="D9292" t="s">
        <v>3185</v>
      </c>
      <c r="E9292" t="s">
        <v>656</v>
      </c>
      <c r="F9292" t="s">
        <v>31</v>
      </c>
      <c r="G9292">
        <v>2015</v>
      </c>
      <c r="H9292" s="12">
        <v>416.37</v>
      </c>
      <c r="I9292" t="s">
        <v>3183</v>
      </c>
      <c r="J9292" t="s">
        <v>18</v>
      </c>
      <c r="K9292" t="s">
        <v>147</v>
      </c>
      <c r="L9292" t="s">
        <v>20</v>
      </c>
      <c r="M9292" t="s">
        <v>18</v>
      </c>
    </row>
    <row r="9293" spans="1:13">
      <c r="A9293" t="s">
        <v>852</v>
      </c>
      <c r="B9293" t="s">
        <v>853</v>
      </c>
      <c r="C9293" t="s">
        <v>853</v>
      </c>
      <c r="D9293" t="s">
        <v>3185</v>
      </c>
      <c r="E9293" t="s">
        <v>656</v>
      </c>
      <c r="F9293" t="s">
        <v>31</v>
      </c>
      <c r="G9293">
        <v>2020</v>
      </c>
      <c r="H9293" s="12">
        <v>737.35</v>
      </c>
      <c r="I9293" t="s">
        <v>3183</v>
      </c>
      <c r="J9293" t="s">
        <v>18</v>
      </c>
      <c r="K9293" t="s">
        <v>147</v>
      </c>
      <c r="L9293" t="s">
        <v>20</v>
      </c>
      <c r="M9293" t="s">
        <v>18</v>
      </c>
    </row>
    <row r="9294" spans="1:13">
      <c r="A9294" t="s">
        <v>852</v>
      </c>
      <c r="B9294" t="s">
        <v>853</v>
      </c>
      <c r="C9294" t="s">
        <v>853</v>
      </c>
      <c r="D9294" t="s">
        <v>3185</v>
      </c>
      <c r="E9294" t="s">
        <v>656</v>
      </c>
      <c r="F9294" t="s">
        <v>31</v>
      </c>
      <c r="G9294">
        <v>2030</v>
      </c>
      <c r="H9294" s="12">
        <v>3071.86</v>
      </c>
      <c r="I9294" t="s">
        <v>3183</v>
      </c>
      <c r="J9294" t="s">
        <v>18</v>
      </c>
      <c r="K9294" t="s">
        <v>147</v>
      </c>
      <c r="L9294" t="s">
        <v>20</v>
      </c>
      <c r="M9294" t="s">
        <v>18</v>
      </c>
    </row>
    <row r="9295" spans="1:13">
      <c r="A9295" t="s">
        <v>852</v>
      </c>
      <c r="B9295" t="s">
        <v>853</v>
      </c>
      <c r="C9295" t="s">
        <v>853</v>
      </c>
      <c r="D9295" t="s">
        <v>3185</v>
      </c>
      <c r="E9295" t="s">
        <v>656</v>
      </c>
      <c r="F9295" t="s">
        <v>31</v>
      </c>
      <c r="G9295">
        <v>2035</v>
      </c>
      <c r="H9295" s="12">
        <v>4945.51</v>
      </c>
      <c r="I9295" t="s">
        <v>3183</v>
      </c>
      <c r="J9295" t="s">
        <v>18</v>
      </c>
      <c r="K9295" t="s">
        <v>147</v>
      </c>
      <c r="L9295" t="s">
        <v>20</v>
      </c>
      <c r="M9295" t="s">
        <v>18</v>
      </c>
    </row>
    <row r="9296" spans="1:13">
      <c r="A9296" t="s">
        <v>852</v>
      </c>
      <c r="B9296" t="s">
        <v>853</v>
      </c>
      <c r="C9296" t="s">
        <v>853</v>
      </c>
      <c r="D9296" t="s">
        <v>3185</v>
      </c>
      <c r="E9296" t="s">
        <v>656</v>
      </c>
      <c r="F9296" t="s">
        <v>31</v>
      </c>
      <c r="G9296">
        <v>2040</v>
      </c>
      <c r="H9296" s="12">
        <v>6434.53</v>
      </c>
      <c r="I9296" t="s">
        <v>3183</v>
      </c>
      <c r="J9296" t="s">
        <v>18</v>
      </c>
      <c r="K9296" t="s">
        <v>147</v>
      </c>
      <c r="L9296" t="s">
        <v>20</v>
      </c>
      <c r="M9296" t="s">
        <v>18</v>
      </c>
    </row>
    <row r="9297" spans="1:13">
      <c r="A9297" t="s">
        <v>852</v>
      </c>
      <c r="B9297" t="s">
        <v>853</v>
      </c>
      <c r="C9297" t="s">
        <v>853</v>
      </c>
      <c r="D9297" t="s">
        <v>3185</v>
      </c>
      <c r="E9297" t="s">
        <v>656</v>
      </c>
      <c r="F9297" t="s">
        <v>31</v>
      </c>
      <c r="G9297">
        <v>2045</v>
      </c>
      <c r="H9297" s="12">
        <v>7179.36</v>
      </c>
      <c r="I9297" t="s">
        <v>3183</v>
      </c>
      <c r="J9297" t="s">
        <v>18</v>
      </c>
      <c r="K9297" t="s">
        <v>147</v>
      </c>
      <c r="L9297" t="s">
        <v>20</v>
      </c>
      <c r="M9297" t="s">
        <v>18</v>
      </c>
    </row>
    <row r="9298" spans="1:13">
      <c r="A9298" t="s">
        <v>852</v>
      </c>
      <c r="B9298" t="s">
        <v>853</v>
      </c>
      <c r="C9298" t="s">
        <v>853</v>
      </c>
      <c r="D9298" t="s">
        <v>3185</v>
      </c>
      <c r="E9298" t="s">
        <v>656</v>
      </c>
      <c r="F9298" t="s">
        <v>31</v>
      </c>
      <c r="G9298">
        <v>2050</v>
      </c>
      <c r="H9298" s="12">
        <v>7794.85</v>
      </c>
      <c r="I9298" t="s">
        <v>3183</v>
      </c>
      <c r="J9298" t="s">
        <v>18</v>
      </c>
      <c r="K9298" t="s">
        <v>147</v>
      </c>
      <c r="L9298" t="s">
        <v>20</v>
      </c>
      <c r="M9298" t="s">
        <v>18</v>
      </c>
    </row>
    <row r="9299" spans="1:13">
      <c r="A9299" t="s">
        <v>852</v>
      </c>
      <c r="B9299" t="s">
        <v>853</v>
      </c>
      <c r="C9299" t="s">
        <v>853</v>
      </c>
      <c r="D9299" t="s">
        <v>3185</v>
      </c>
      <c r="E9299" t="s">
        <v>656</v>
      </c>
      <c r="F9299" t="s">
        <v>31</v>
      </c>
      <c r="G9299">
        <v>2010</v>
      </c>
      <c r="H9299" s="12">
        <v>1027.45</v>
      </c>
      <c r="I9299" t="s">
        <v>3183</v>
      </c>
      <c r="J9299" t="s">
        <v>14</v>
      </c>
      <c r="K9299" t="s">
        <v>147</v>
      </c>
      <c r="L9299" t="s">
        <v>20</v>
      </c>
      <c r="M9299" t="s">
        <v>14</v>
      </c>
    </row>
    <row r="9300" spans="1:13">
      <c r="A9300" t="s">
        <v>852</v>
      </c>
      <c r="B9300" t="s">
        <v>853</v>
      </c>
      <c r="C9300" t="s">
        <v>853</v>
      </c>
      <c r="D9300" t="s">
        <v>3185</v>
      </c>
      <c r="E9300" t="s">
        <v>656</v>
      </c>
      <c r="F9300" t="s">
        <v>31</v>
      </c>
      <c r="G9300">
        <v>2015</v>
      </c>
      <c r="H9300" s="12">
        <v>1209.9100000000001</v>
      </c>
      <c r="I9300" t="s">
        <v>3183</v>
      </c>
      <c r="J9300" t="s">
        <v>14</v>
      </c>
      <c r="K9300" t="s">
        <v>147</v>
      </c>
      <c r="L9300" t="s">
        <v>20</v>
      </c>
      <c r="M9300" t="s">
        <v>14</v>
      </c>
    </row>
    <row r="9301" spans="1:13">
      <c r="A9301" t="s">
        <v>852</v>
      </c>
      <c r="B9301" t="s">
        <v>853</v>
      </c>
      <c r="C9301" t="s">
        <v>853</v>
      </c>
      <c r="D9301" t="s">
        <v>3185</v>
      </c>
      <c r="E9301" t="s">
        <v>656</v>
      </c>
      <c r="F9301" t="s">
        <v>31</v>
      </c>
      <c r="G9301">
        <v>2020</v>
      </c>
      <c r="H9301" s="12">
        <v>1328.86</v>
      </c>
      <c r="I9301" t="s">
        <v>3183</v>
      </c>
      <c r="J9301" t="s">
        <v>14</v>
      </c>
      <c r="K9301" t="s">
        <v>147</v>
      </c>
      <c r="L9301" t="s">
        <v>20</v>
      </c>
      <c r="M9301" t="s">
        <v>14</v>
      </c>
    </row>
    <row r="9302" spans="1:13">
      <c r="A9302" t="s">
        <v>852</v>
      </c>
      <c r="B9302" t="s">
        <v>853</v>
      </c>
      <c r="C9302" t="s">
        <v>853</v>
      </c>
      <c r="D9302" t="s">
        <v>3185</v>
      </c>
      <c r="E9302" t="s">
        <v>656</v>
      </c>
      <c r="F9302" t="s">
        <v>31</v>
      </c>
      <c r="G9302">
        <v>2030</v>
      </c>
      <c r="H9302" s="12">
        <v>1782.45</v>
      </c>
      <c r="I9302" t="s">
        <v>3183</v>
      </c>
      <c r="J9302" t="s">
        <v>14</v>
      </c>
      <c r="K9302" t="s">
        <v>147</v>
      </c>
      <c r="L9302" t="s">
        <v>20</v>
      </c>
      <c r="M9302" t="s">
        <v>14</v>
      </c>
    </row>
    <row r="9303" spans="1:13">
      <c r="A9303" t="s">
        <v>852</v>
      </c>
      <c r="B9303" t="s">
        <v>853</v>
      </c>
      <c r="C9303" t="s">
        <v>853</v>
      </c>
      <c r="D9303" t="s">
        <v>3185</v>
      </c>
      <c r="E9303" t="s">
        <v>656</v>
      </c>
      <c r="F9303" t="s">
        <v>31</v>
      </c>
      <c r="G9303">
        <v>2035</v>
      </c>
      <c r="H9303" s="12">
        <v>2084.11</v>
      </c>
      <c r="I9303" t="s">
        <v>3183</v>
      </c>
      <c r="J9303" t="s">
        <v>14</v>
      </c>
      <c r="K9303" t="s">
        <v>147</v>
      </c>
      <c r="L9303" t="s">
        <v>20</v>
      </c>
      <c r="M9303" t="s">
        <v>14</v>
      </c>
    </row>
    <row r="9304" spans="1:13">
      <c r="A9304" t="s">
        <v>852</v>
      </c>
      <c r="B9304" t="s">
        <v>853</v>
      </c>
      <c r="C9304" t="s">
        <v>853</v>
      </c>
      <c r="D9304" t="s">
        <v>3185</v>
      </c>
      <c r="E9304" t="s">
        <v>656</v>
      </c>
      <c r="F9304" t="s">
        <v>31</v>
      </c>
      <c r="G9304">
        <v>2040</v>
      </c>
      <c r="H9304" s="12">
        <v>2349.27</v>
      </c>
      <c r="I9304" t="s">
        <v>3183</v>
      </c>
      <c r="J9304" t="s">
        <v>14</v>
      </c>
      <c r="K9304" t="s">
        <v>147</v>
      </c>
      <c r="L9304" t="s">
        <v>20</v>
      </c>
      <c r="M9304" t="s">
        <v>14</v>
      </c>
    </row>
    <row r="9305" spans="1:13">
      <c r="A9305" t="s">
        <v>852</v>
      </c>
      <c r="B9305" t="s">
        <v>853</v>
      </c>
      <c r="C9305" t="s">
        <v>853</v>
      </c>
      <c r="D9305" t="s">
        <v>3185</v>
      </c>
      <c r="E9305" t="s">
        <v>656</v>
      </c>
      <c r="F9305" t="s">
        <v>31</v>
      </c>
      <c r="G9305">
        <v>2045</v>
      </c>
      <c r="H9305" s="12">
        <v>2539.2199999999998</v>
      </c>
      <c r="I9305" t="s">
        <v>3183</v>
      </c>
      <c r="J9305" t="s">
        <v>14</v>
      </c>
      <c r="K9305" t="s">
        <v>147</v>
      </c>
      <c r="L9305" t="s">
        <v>20</v>
      </c>
      <c r="M9305" t="s">
        <v>14</v>
      </c>
    </row>
    <row r="9306" spans="1:13">
      <c r="A9306" t="s">
        <v>852</v>
      </c>
      <c r="B9306" t="s">
        <v>853</v>
      </c>
      <c r="C9306" t="s">
        <v>853</v>
      </c>
      <c r="D9306" t="s">
        <v>3185</v>
      </c>
      <c r="E9306" t="s">
        <v>656</v>
      </c>
      <c r="F9306" t="s">
        <v>31</v>
      </c>
      <c r="G9306">
        <v>2050</v>
      </c>
      <c r="H9306" s="12">
        <v>2685.45</v>
      </c>
      <c r="I9306" t="s">
        <v>3183</v>
      </c>
      <c r="J9306" t="s">
        <v>14</v>
      </c>
      <c r="K9306" t="s">
        <v>147</v>
      </c>
      <c r="L9306" t="s">
        <v>20</v>
      </c>
      <c r="M9306" t="s">
        <v>14</v>
      </c>
    </row>
    <row r="9307" spans="1:13">
      <c r="A9307" t="s">
        <v>852</v>
      </c>
      <c r="B9307" t="s">
        <v>853</v>
      </c>
      <c r="C9307" t="s">
        <v>853</v>
      </c>
      <c r="D9307" t="s">
        <v>3185</v>
      </c>
      <c r="E9307" t="s">
        <v>656</v>
      </c>
      <c r="F9307" t="s">
        <v>31</v>
      </c>
      <c r="G9307">
        <v>2010</v>
      </c>
      <c r="H9307" s="12">
        <v>83.28</v>
      </c>
      <c r="I9307" t="s">
        <v>3183</v>
      </c>
      <c r="J9307" t="s">
        <v>41</v>
      </c>
      <c r="K9307" t="s">
        <v>147</v>
      </c>
      <c r="L9307" t="s">
        <v>20</v>
      </c>
      <c r="M9307" t="s">
        <v>669</v>
      </c>
    </row>
    <row r="9308" spans="1:13">
      <c r="A9308" t="s">
        <v>852</v>
      </c>
      <c r="B9308" t="s">
        <v>853</v>
      </c>
      <c r="C9308" t="s">
        <v>853</v>
      </c>
      <c r="D9308" t="s">
        <v>3185</v>
      </c>
      <c r="E9308" t="s">
        <v>656</v>
      </c>
      <c r="F9308" t="s">
        <v>31</v>
      </c>
      <c r="G9308">
        <v>2015</v>
      </c>
      <c r="H9308" s="12">
        <v>119.79</v>
      </c>
      <c r="I9308" t="s">
        <v>3183</v>
      </c>
      <c r="J9308" t="s">
        <v>41</v>
      </c>
      <c r="K9308" t="s">
        <v>147</v>
      </c>
      <c r="L9308" t="s">
        <v>20</v>
      </c>
      <c r="M9308" t="s">
        <v>669</v>
      </c>
    </row>
    <row r="9309" spans="1:13">
      <c r="A9309" t="s">
        <v>852</v>
      </c>
      <c r="B9309" t="s">
        <v>853</v>
      </c>
      <c r="C9309" t="s">
        <v>853</v>
      </c>
      <c r="D9309" t="s">
        <v>3185</v>
      </c>
      <c r="E9309" t="s">
        <v>656</v>
      </c>
      <c r="F9309" t="s">
        <v>31</v>
      </c>
      <c r="G9309">
        <v>2020</v>
      </c>
      <c r="H9309" s="12">
        <v>160.33000000000001</v>
      </c>
      <c r="I9309" t="s">
        <v>3183</v>
      </c>
      <c r="J9309" t="s">
        <v>41</v>
      </c>
      <c r="K9309" t="s">
        <v>147</v>
      </c>
      <c r="L9309" t="s">
        <v>20</v>
      </c>
      <c r="M9309" t="s">
        <v>669</v>
      </c>
    </row>
    <row r="9310" spans="1:13">
      <c r="A9310" t="s">
        <v>852</v>
      </c>
      <c r="B9310" t="s">
        <v>853</v>
      </c>
      <c r="C9310" t="s">
        <v>853</v>
      </c>
      <c r="D9310" t="s">
        <v>3185</v>
      </c>
      <c r="E9310" t="s">
        <v>656</v>
      </c>
      <c r="F9310" t="s">
        <v>31</v>
      </c>
      <c r="G9310">
        <v>2030</v>
      </c>
      <c r="H9310" s="12">
        <v>320.39</v>
      </c>
      <c r="I9310" t="s">
        <v>3183</v>
      </c>
      <c r="J9310" t="s">
        <v>41</v>
      </c>
      <c r="K9310" t="s">
        <v>147</v>
      </c>
      <c r="L9310" t="s">
        <v>20</v>
      </c>
      <c r="M9310" t="s">
        <v>669</v>
      </c>
    </row>
    <row r="9311" spans="1:13">
      <c r="A9311" t="s">
        <v>852</v>
      </c>
      <c r="B9311" t="s">
        <v>853</v>
      </c>
      <c r="C9311" t="s">
        <v>853</v>
      </c>
      <c r="D9311" t="s">
        <v>3185</v>
      </c>
      <c r="E9311" t="s">
        <v>656</v>
      </c>
      <c r="F9311" t="s">
        <v>31</v>
      </c>
      <c r="G9311">
        <v>2035</v>
      </c>
      <c r="H9311" s="12">
        <v>463.69</v>
      </c>
      <c r="I9311" t="s">
        <v>3183</v>
      </c>
      <c r="J9311" t="s">
        <v>41</v>
      </c>
      <c r="K9311" t="s">
        <v>147</v>
      </c>
      <c r="L9311" t="s">
        <v>20</v>
      </c>
      <c r="M9311" t="s">
        <v>669</v>
      </c>
    </row>
    <row r="9312" spans="1:13">
      <c r="A9312" t="s">
        <v>852</v>
      </c>
      <c r="B9312" t="s">
        <v>853</v>
      </c>
      <c r="C9312" t="s">
        <v>853</v>
      </c>
      <c r="D9312" t="s">
        <v>3185</v>
      </c>
      <c r="E9312" t="s">
        <v>656</v>
      </c>
      <c r="F9312" t="s">
        <v>31</v>
      </c>
      <c r="G9312">
        <v>2040</v>
      </c>
      <c r="H9312" s="12">
        <v>585.32000000000005</v>
      </c>
      <c r="I9312" t="s">
        <v>3183</v>
      </c>
      <c r="J9312" t="s">
        <v>41</v>
      </c>
      <c r="K9312" t="s">
        <v>147</v>
      </c>
      <c r="L9312" t="s">
        <v>20</v>
      </c>
      <c r="M9312" t="s">
        <v>669</v>
      </c>
    </row>
    <row r="9313" spans="1:13">
      <c r="A9313" t="s">
        <v>852</v>
      </c>
      <c r="B9313" t="s">
        <v>853</v>
      </c>
      <c r="C9313" t="s">
        <v>853</v>
      </c>
      <c r="D9313" t="s">
        <v>3185</v>
      </c>
      <c r="E9313" t="s">
        <v>656</v>
      </c>
      <c r="F9313" t="s">
        <v>31</v>
      </c>
      <c r="G9313">
        <v>2045</v>
      </c>
      <c r="H9313" s="12">
        <v>677.47</v>
      </c>
      <c r="I9313" t="s">
        <v>3183</v>
      </c>
      <c r="J9313" t="s">
        <v>41</v>
      </c>
      <c r="K9313" t="s">
        <v>147</v>
      </c>
      <c r="L9313" t="s">
        <v>20</v>
      </c>
      <c r="M9313" t="s">
        <v>669</v>
      </c>
    </row>
    <row r="9314" spans="1:13">
      <c r="A9314" t="s">
        <v>852</v>
      </c>
      <c r="B9314" t="s">
        <v>853</v>
      </c>
      <c r="C9314" t="s">
        <v>853</v>
      </c>
      <c r="D9314" t="s">
        <v>3185</v>
      </c>
      <c r="E9314" t="s">
        <v>656</v>
      </c>
      <c r="F9314" t="s">
        <v>31</v>
      </c>
      <c r="G9314">
        <v>2050</v>
      </c>
      <c r="H9314" s="12">
        <v>744.47</v>
      </c>
      <c r="I9314" t="s">
        <v>3183</v>
      </c>
      <c r="J9314" t="s">
        <v>41</v>
      </c>
      <c r="K9314" t="s">
        <v>147</v>
      </c>
      <c r="L9314" t="s">
        <v>20</v>
      </c>
      <c r="M9314" t="s">
        <v>669</v>
      </c>
    </row>
    <row r="9315" spans="1:13">
      <c r="A9315" t="s">
        <v>852</v>
      </c>
      <c r="B9315" t="s">
        <v>853</v>
      </c>
      <c r="C9315" t="s">
        <v>853</v>
      </c>
      <c r="D9315" t="s">
        <v>3185</v>
      </c>
      <c r="E9315" t="s">
        <v>656</v>
      </c>
      <c r="F9315" t="s">
        <v>31</v>
      </c>
      <c r="G9315">
        <v>2010</v>
      </c>
      <c r="H9315" s="12">
        <v>0</v>
      </c>
      <c r="I9315" t="s">
        <v>3183</v>
      </c>
      <c r="J9315" t="s">
        <v>41</v>
      </c>
      <c r="K9315" t="s">
        <v>147</v>
      </c>
      <c r="L9315" t="s">
        <v>20</v>
      </c>
      <c r="M9315" t="s">
        <v>862</v>
      </c>
    </row>
    <row r="9316" spans="1:13">
      <c r="A9316" t="s">
        <v>852</v>
      </c>
      <c r="B9316" t="s">
        <v>853</v>
      </c>
      <c r="C9316" t="s">
        <v>853</v>
      </c>
      <c r="D9316" t="s">
        <v>3185</v>
      </c>
      <c r="E9316" t="s">
        <v>656</v>
      </c>
      <c r="F9316" t="s">
        <v>31</v>
      </c>
      <c r="G9316">
        <v>2015</v>
      </c>
      <c r="H9316" s="12">
        <v>0</v>
      </c>
      <c r="I9316" t="s">
        <v>3183</v>
      </c>
      <c r="J9316" t="s">
        <v>41</v>
      </c>
      <c r="K9316" t="s">
        <v>147</v>
      </c>
      <c r="L9316" t="s">
        <v>20</v>
      </c>
      <c r="M9316" t="s">
        <v>862</v>
      </c>
    </row>
    <row r="9317" spans="1:13">
      <c r="A9317" t="s">
        <v>852</v>
      </c>
      <c r="B9317" t="s">
        <v>853</v>
      </c>
      <c r="C9317" t="s">
        <v>853</v>
      </c>
      <c r="D9317" t="s">
        <v>3185</v>
      </c>
      <c r="E9317" t="s">
        <v>656</v>
      </c>
      <c r="F9317" t="s">
        <v>31</v>
      </c>
      <c r="G9317">
        <v>2020</v>
      </c>
      <c r="H9317" s="12">
        <v>0</v>
      </c>
      <c r="I9317" t="s">
        <v>3183</v>
      </c>
      <c r="J9317" t="s">
        <v>41</v>
      </c>
      <c r="K9317" t="s">
        <v>147</v>
      </c>
      <c r="L9317" t="s">
        <v>20</v>
      </c>
      <c r="M9317" t="s">
        <v>862</v>
      </c>
    </row>
    <row r="9318" spans="1:13">
      <c r="A9318" t="s">
        <v>852</v>
      </c>
      <c r="B9318" t="s">
        <v>853</v>
      </c>
      <c r="C9318" t="s">
        <v>853</v>
      </c>
      <c r="D9318" t="s">
        <v>3185</v>
      </c>
      <c r="E9318" t="s">
        <v>656</v>
      </c>
      <c r="F9318" t="s">
        <v>31</v>
      </c>
      <c r="G9318">
        <v>2030</v>
      </c>
      <c r="H9318" s="12">
        <v>21.96</v>
      </c>
      <c r="I9318" t="s">
        <v>3183</v>
      </c>
      <c r="J9318" t="s">
        <v>41</v>
      </c>
      <c r="K9318" t="s">
        <v>147</v>
      </c>
      <c r="L9318" t="s">
        <v>20</v>
      </c>
      <c r="M9318" t="s">
        <v>862</v>
      </c>
    </row>
    <row r="9319" spans="1:13">
      <c r="A9319" t="s">
        <v>852</v>
      </c>
      <c r="B9319" t="s">
        <v>853</v>
      </c>
      <c r="C9319" t="s">
        <v>853</v>
      </c>
      <c r="D9319" t="s">
        <v>3185</v>
      </c>
      <c r="E9319" t="s">
        <v>656</v>
      </c>
      <c r="F9319" t="s">
        <v>31</v>
      </c>
      <c r="G9319">
        <v>2035</v>
      </c>
      <c r="H9319" s="12">
        <v>71.08</v>
      </c>
      <c r="I9319" t="s">
        <v>3183</v>
      </c>
      <c r="J9319" t="s">
        <v>41</v>
      </c>
      <c r="K9319" t="s">
        <v>147</v>
      </c>
      <c r="L9319" t="s">
        <v>20</v>
      </c>
      <c r="M9319" t="s">
        <v>862</v>
      </c>
    </row>
    <row r="9320" spans="1:13">
      <c r="A9320" t="s">
        <v>852</v>
      </c>
      <c r="B9320" t="s">
        <v>853</v>
      </c>
      <c r="C9320" t="s">
        <v>853</v>
      </c>
      <c r="D9320" t="s">
        <v>3185</v>
      </c>
      <c r="E9320" t="s">
        <v>656</v>
      </c>
      <c r="F9320" t="s">
        <v>31</v>
      </c>
      <c r="G9320">
        <v>2040</v>
      </c>
      <c r="H9320" s="12">
        <v>97.89</v>
      </c>
      <c r="I9320" t="s">
        <v>3183</v>
      </c>
      <c r="J9320" t="s">
        <v>41</v>
      </c>
      <c r="K9320" t="s">
        <v>147</v>
      </c>
      <c r="L9320" t="s">
        <v>20</v>
      </c>
      <c r="M9320" t="s">
        <v>862</v>
      </c>
    </row>
    <row r="9321" spans="1:13">
      <c r="A9321" t="s">
        <v>852</v>
      </c>
      <c r="B9321" t="s">
        <v>853</v>
      </c>
      <c r="C9321" t="s">
        <v>853</v>
      </c>
      <c r="D9321" t="s">
        <v>3185</v>
      </c>
      <c r="E9321" t="s">
        <v>656</v>
      </c>
      <c r="F9321" t="s">
        <v>31</v>
      </c>
      <c r="G9321">
        <v>2045</v>
      </c>
      <c r="H9321" s="12">
        <v>109.98</v>
      </c>
      <c r="I9321" t="s">
        <v>3183</v>
      </c>
      <c r="J9321" t="s">
        <v>41</v>
      </c>
      <c r="K9321" t="s">
        <v>147</v>
      </c>
      <c r="L9321" t="s">
        <v>20</v>
      </c>
      <c r="M9321" t="s">
        <v>862</v>
      </c>
    </row>
    <row r="9322" spans="1:13">
      <c r="A9322" t="s">
        <v>852</v>
      </c>
      <c r="B9322" t="s">
        <v>853</v>
      </c>
      <c r="C9322" t="s">
        <v>853</v>
      </c>
      <c r="D9322" t="s">
        <v>3185</v>
      </c>
      <c r="E9322" t="s">
        <v>656</v>
      </c>
      <c r="F9322" t="s">
        <v>31</v>
      </c>
      <c r="G9322">
        <v>2050</v>
      </c>
      <c r="H9322" s="12">
        <v>119.25</v>
      </c>
      <c r="I9322" t="s">
        <v>3183</v>
      </c>
      <c r="J9322" t="s">
        <v>41</v>
      </c>
      <c r="K9322" t="s">
        <v>147</v>
      </c>
      <c r="L9322" t="s">
        <v>20</v>
      </c>
      <c r="M9322" t="s">
        <v>862</v>
      </c>
    </row>
    <row r="9323" spans="1:13">
      <c r="A9323" t="s">
        <v>852</v>
      </c>
      <c r="B9323" t="s">
        <v>853</v>
      </c>
      <c r="C9323" t="s">
        <v>853</v>
      </c>
      <c r="D9323" t="s">
        <v>3185</v>
      </c>
      <c r="E9323" t="s">
        <v>656</v>
      </c>
      <c r="F9323" t="s">
        <v>31</v>
      </c>
      <c r="G9323">
        <v>2010</v>
      </c>
      <c r="H9323" s="12">
        <v>1.25</v>
      </c>
      <c r="I9323" t="s">
        <v>3183</v>
      </c>
      <c r="J9323" t="s">
        <v>17</v>
      </c>
      <c r="K9323" t="s">
        <v>147</v>
      </c>
      <c r="L9323" t="s">
        <v>20</v>
      </c>
      <c r="M9323" t="s">
        <v>863</v>
      </c>
    </row>
    <row r="9324" spans="1:13">
      <c r="A9324" t="s">
        <v>852</v>
      </c>
      <c r="B9324" t="s">
        <v>853</v>
      </c>
      <c r="C9324" t="s">
        <v>853</v>
      </c>
      <c r="D9324" t="s">
        <v>3185</v>
      </c>
      <c r="E9324" t="s">
        <v>656</v>
      </c>
      <c r="F9324" t="s">
        <v>31</v>
      </c>
      <c r="G9324">
        <v>2015</v>
      </c>
      <c r="H9324" s="12">
        <v>4.55</v>
      </c>
      <c r="I9324" t="s">
        <v>3183</v>
      </c>
      <c r="J9324" t="s">
        <v>17</v>
      </c>
      <c r="K9324" t="s">
        <v>147</v>
      </c>
      <c r="L9324" t="s">
        <v>20</v>
      </c>
      <c r="M9324" t="s">
        <v>863</v>
      </c>
    </row>
    <row r="9325" spans="1:13">
      <c r="A9325" t="s">
        <v>852</v>
      </c>
      <c r="B9325" t="s">
        <v>853</v>
      </c>
      <c r="C9325" t="s">
        <v>853</v>
      </c>
      <c r="D9325" t="s">
        <v>3185</v>
      </c>
      <c r="E9325" t="s">
        <v>656</v>
      </c>
      <c r="F9325" t="s">
        <v>31</v>
      </c>
      <c r="G9325">
        <v>2020</v>
      </c>
      <c r="H9325" s="12">
        <v>6.44</v>
      </c>
      <c r="I9325" t="s">
        <v>3183</v>
      </c>
      <c r="J9325" t="s">
        <v>17</v>
      </c>
      <c r="K9325" t="s">
        <v>147</v>
      </c>
      <c r="L9325" t="s">
        <v>20</v>
      </c>
      <c r="M9325" t="s">
        <v>863</v>
      </c>
    </row>
    <row r="9326" spans="1:13">
      <c r="A9326" t="s">
        <v>852</v>
      </c>
      <c r="B9326" t="s">
        <v>853</v>
      </c>
      <c r="C9326" t="s">
        <v>853</v>
      </c>
      <c r="D9326" t="s">
        <v>3185</v>
      </c>
      <c r="E9326" t="s">
        <v>656</v>
      </c>
      <c r="F9326" t="s">
        <v>31</v>
      </c>
      <c r="G9326">
        <v>2030</v>
      </c>
      <c r="H9326" s="12">
        <v>63.68</v>
      </c>
      <c r="I9326" t="s">
        <v>3183</v>
      </c>
      <c r="J9326" t="s">
        <v>17</v>
      </c>
      <c r="K9326" t="s">
        <v>147</v>
      </c>
      <c r="L9326" t="s">
        <v>20</v>
      </c>
      <c r="M9326" t="s">
        <v>863</v>
      </c>
    </row>
    <row r="9327" spans="1:13">
      <c r="A9327" t="s">
        <v>852</v>
      </c>
      <c r="B9327" t="s">
        <v>853</v>
      </c>
      <c r="C9327" t="s">
        <v>853</v>
      </c>
      <c r="D9327" t="s">
        <v>3185</v>
      </c>
      <c r="E9327" t="s">
        <v>656</v>
      </c>
      <c r="F9327" t="s">
        <v>31</v>
      </c>
      <c r="G9327">
        <v>2035</v>
      </c>
      <c r="H9327" s="12">
        <v>161.91</v>
      </c>
      <c r="I9327" t="s">
        <v>3183</v>
      </c>
      <c r="J9327" t="s">
        <v>17</v>
      </c>
      <c r="K9327" t="s">
        <v>147</v>
      </c>
      <c r="L9327" t="s">
        <v>20</v>
      </c>
      <c r="M9327" t="s">
        <v>863</v>
      </c>
    </row>
    <row r="9328" spans="1:13">
      <c r="A9328" t="s">
        <v>852</v>
      </c>
      <c r="B9328" t="s">
        <v>853</v>
      </c>
      <c r="C9328" t="s">
        <v>853</v>
      </c>
      <c r="D9328" t="s">
        <v>3185</v>
      </c>
      <c r="E9328" t="s">
        <v>656</v>
      </c>
      <c r="F9328" t="s">
        <v>31</v>
      </c>
      <c r="G9328">
        <v>2040</v>
      </c>
      <c r="H9328" s="12">
        <v>282.60000000000002</v>
      </c>
      <c r="I9328" t="s">
        <v>3183</v>
      </c>
      <c r="J9328" t="s">
        <v>17</v>
      </c>
      <c r="K9328" t="s">
        <v>147</v>
      </c>
      <c r="L9328" t="s">
        <v>20</v>
      </c>
      <c r="M9328" t="s">
        <v>863</v>
      </c>
    </row>
    <row r="9329" spans="1:13">
      <c r="A9329" t="s">
        <v>852</v>
      </c>
      <c r="B9329" t="s">
        <v>853</v>
      </c>
      <c r="C9329" t="s">
        <v>853</v>
      </c>
      <c r="D9329" t="s">
        <v>3185</v>
      </c>
      <c r="E9329" t="s">
        <v>656</v>
      </c>
      <c r="F9329" t="s">
        <v>31</v>
      </c>
      <c r="G9329">
        <v>2045</v>
      </c>
      <c r="H9329" s="12">
        <v>374.52</v>
      </c>
      <c r="I9329" t="s">
        <v>3183</v>
      </c>
      <c r="J9329" t="s">
        <v>17</v>
      </c>
      <c r="K9329" t="s">
        <v>147</v>
      </c>
      <c r="L9329" t="s">
        <v>20</v>
      </c>
      <c r="M9329" t="s">
        <v>863</v>
      </c>
    </row>
    <row r="9330" spans="1:13">
      <c r="A9330" t="s">
        <v>852</v>
      </c>
      <c r="B9330" t="s">
        <v>853</v>
      </c>
      <c r="C9330" t="s">
        <v>853</v>
      </c>
      <c r="D9330" t="s">
        <v>3185</v>
      </c>
      <c r="E9330" t="s">
        <v>656</v>
      </c>
      <c r="F9330" t="s">
        <v>31</v>
      </c>
      <c r="G9330">
        <v>2050</v>
      </c>
      <c r="H9330" s="12">
        <v>436.53</v>
      </c>
      <c r="I9330" t="s">
        <v>3183</v>
      </c>
      <c r="J9330" t="s">
        <v>17</v>
      </c>
      <c r="K9330" t="s">
        <v>147</v>
      </c>
      <c r="L9330" t="s">
        <v>20</v>
      </c>
      <c r="M9330" t="s">
        <v>863</v>
      </c>
    </row>
    <row r="9331" spans="1:13">
      <c r="A9331" t="s">
        <v>852</v>
      </c>
      <c r="B9331" t="s">
        <v>853</v>
      </c>
      <c r="C9331" t="s">
        <v>853</v>
      </c>
      <c r="D9331" t="s">
        <v>3185</v>
      </c>
      <c r="E9331" t="s">
        <v>656</v>
      </c>
      <c r="F9331" t="s">
        <v>31</v>
      </c>
      <c r="G9331">
        <v>2010</v>
      </c>
      <c r="H9331" s="12">
        <v>10.5</v>
      </c>
      <c r="I9331" t="s">
        <v>3183</v>
      </c>
      <c r="J9331" t="s">
        <v>318</v>
      </c>
      <c r="K9331" t="s">
        <v>147</v>
      </c>
      <c r="L9331" t="s">
        <v>20</v>
      </c>
      <c r="M9331" t="s">
        <v>13</v>
      </c>
    </row>
    <row r="9332" spans="1:13">
      <c r="A9332" t="s">
        <v>852</v>
      </c>
      <c r="B9332" t="s">
        <v>853</v>
      </c>
      <c r="C9332" t="s">
        <v>853</v>
      </c>
      <c r="D9332" t="s">
        <v>3185</v>
      </c>
      <c r="E9332" t="s">
        <v>656</v>
      </c>
      <c r="F9332" t="s">
        <v>31</v>
      </c>
      <c r="G9332">
        <v>2015</v>
      </c>
      <c r="H9332" s="12">
        <v>12.36</v>
      </c>
      <c r="I9332" t="s">
        <v>3183</v>
      </c>
      <c r="J9332" t="s">
        <v>318</v>
      </c>
      <c r="K9332" t="s">
        <v>147</v>
      </c>
      <c r="L9332" t="s">
        <v>20</v>
      </c>
      <c r="M9332" t="s">
        <v>13</v>
      </c>
    </row>
    <row r="9333" spans="1:13">
      <c r="A9333" t="s">
        <v>852</v>
      </c>
      <c r="B9333" t="s">
        <v>853</v>
      </c>
      <c r="C9333" t="s">
        <v>853</v>
      </c>
      <c r="D9333" t="s">
        <v>3185</v>
      </c>
      <c r="E9333" t="s">
        <v>656</v>
      </c>
      <c r="F9333" t="s">
        <v>31</v>
      </c>
      <c r="G9333">
        <v>2020</v>
      </c>
      <c r="H9333" s="12">
        <v>14.84</v>
      </c>
      <c r="I9333" t="s">
        <v>3183</v>
      </c>
      <c r="J9333" t="s">
        <v>318</v>
      </c>
      <c r="K9333" t="s">
        <v>147</v>
      </c>
      <c r="L9333" t="s">
        <v>20</v>
      </c>
      <c r="M9333" t="s">
        <v>13</v>
      </c>
    </row>
    <row r="9334" spans="1:13">
      <c r="A9334" t="s">
        <v>852</v>
      </c>
      <c r="B9334" t="s">
        <v>853</v>
      </c>
      <c r="C9334" t="s">
        <v>853</v>
      </c>
      <c r="D9334" t="s">
        <v>3185</v>
      </c>
      <c r="E9334" t="s">
        <v>656</v>
      </c>
      <c r="F9334" t="s">
        <v>31</v>
      </c>
      <c r="G9334">
        <v>2030</v>
      </c>
      <c r="H9334" s="12">
        <v>49.73</v>
      </c>
      <c r="I9334" t="s">
        <v>3183</v>
      </c>
      <c r="J9334" t="s">
        <v>318</v>
      </c>
      <c r="K9334" t="s">
        <v>147</v>
      </c>
      <c r="L9334" t="s">
        <v>20</v>
      </c>
      <c r="M9334" t="s">
        <v>13</v>
      </c>
    </row>
    <row r="9335" spans="1:13">
      <c r="A9335" t="s">
        <v>852</v>
      </c>
      <c r="B9335" t="s">
        <v>853</v>
      </c>
      <c r="C9335" t="s">
        <v>853</v>
      </c>
      <c r="D9335" t="s">
        <v>3185</v>
      </c>
      <c r="E9335" t="s">
        <v>656</v>
      </c>
      <c r="F9335" t="s">
        <v>31</v>
      </c>
      <c r="G9335">
        <v>2035</v>
      </c>
      <c r="H9335" s="12">
        <v>77.77</v>
      </c>
      <c r="I9335" t="s">
        <v>3183</v>
      </c>
      <c r="J9335" t="s">
        <v>318</v>
      </c>
      <c r="K9335" t="s">
        <v>147</v>
      </c>
      <c r="L9335" t="s">
        <v>20</v>
      </c>
      <c r="M9335" t="s">
        <v>13</v>
      </c>
    </row>
    <row r="9336" spans="1:13">
      <c r="A9336" t="s">
        <v>852</v>
      </c>
      <c r="B9336" t="s">
        <v>853</v>
      </c>
      <c r="C9336" t="s">
        <v>853</v>
      </c>
      <c r="D9336" t="s">
        <v>3185</v>
      </c>
      <c r="E9336" t="s">
        <v>656</v>
      </c>
      <c r="F9336" t="s">
        <v>31</v>
      </c>
      <c r="G9336">
        <v>2040</v>
      </c>
      <c r="H9336" s="12">
        <v>98.49</v>
      </c>
      <c r="I9336" t="s">
        <v>3183</v>
      </c>
      <c r="J9336" t="s">
        <v>318</v>
      </c>
      <c r="K9336" t="s">
        <v>147</v>
      </c>
      <c r="L9336" t="s">
        <v>20</v>
      </c>
      <c r="M9336" t="s">
        <v>13</v>
      </c>
    </row>
    <row r="9337" spans="1:13">
      <c r="A9337" t="s">
        <v>852</v>
      </c>
      <c r="B9337" t="s">
        <v>853</v>
      </c>
      <c r="C9337" t="s">
        <v>853</v>
      </c>
      <c r="D9337" t="s">
        <v>3185</v>
      </c>
      <c r="E9337" t="s">
        <v>656</v>
      </c>
      <c r="F9337" t="s">
        <v>31</v>
      </c>
      <c r="G9337">
        <v>2045</v>
      </c>
      <c r="H9337" s="12">
        <v>114.37</v>
      </c>
      <c r="I9337" t="s">
        <v>3183</v>
      </c>
      <c r="J9337" t="s">
        <v>318</v>
      </c>
      <c r="K9337" t="s">
        <v>147</v>
      </c>
      <c r="L9337" t="s">
        <v>20</v>
      </c>
      <c r="M9337" t="s">
        <v>13</v>
      </c>
    </row>
    <row r="9338" spans="1:13">
      <c r="A9338" t="s">
        <v>852</v>
      </c>
      <c r="B9338" t="s">
        <v>853</v>
      </c>
      <c r="C9338" t="s">
        <v>853</v>
      </c>
      <c r="D9338" t="s">
        <v>3185</v>
      </c>
      <c r="E9338" t="s">
        <v>656</v>
      </c>
      <c r="F9338" t="s">
        <v>31</v>
      </c>
      <c r="G9338">
        <v>2050</v>
      </c>
      <c r="H9338" s="12">
        <v>126.37</v>
      </c>
      <c r="I9338" t="s">
        <v>3183</v>
      </c>
      <c r="J9338" t="s">
        <v>318</v>
      </c>
      <c r="K9338" t="s">
        <v>147</v>
      </c>
      <c r="L9338" t="s">
        <v>20</v>
      </c>
      <c r="M9338" t="s">
        <v>13</v>
      </c>
    </row>
    <row r="9339" spans="1:13">
      <c r="A9339" t="s">
        <v>852</v>
      </c>
      <c r="B9339" t="s">
        <v>853</v>
      </c>
      <c r="C9339" t="s">
        <v>853</v>
      </c>
      <c r="D9339" t="s">
        <v>3185</v>
      </c>
      <c r="E9339" t="s">
        <v>656</v>
      </c>
      <c r="F9339" t="s">
        <v>31</v>
      </c>
      <c r="G9339">
        <v>2010</v>
      </c>
      <c r="H9339" s="12">
        <v>0.27</v>
      </c>
      <c r="I9339" t="s">
        <v>3183</v>
      </c>
      <c r="J9339" t="s">
        <v>14</v>
      </c>
      <c r="K9339" t="s">
        <v>147</v>
      </c>
      <c r="L9339" t="s">
        <v>20</v>
      </c>
      <c r="M9339" t="s">
        <v>864</v>
      </c>
    </row>
    <row r="9340" spans="1:13">
      <c r="A9340" t="s">
        <v>852</v>
      </c>
      <c r="B9340" t="s">
        <v>853</v>
      </c>
      <c r="C9340" t="s">
        <v>853</v>
      </c>
      <c r="D9340" t="s">
        <v>3185</v>
      </c>
      <c r="E9340" t="s">
        <v>656</v>
      </c>
      <c r="F9340" t="s">
        <v>31</v>
      </c>
      <c r="G9340">
        <v>2015</v>
      </c>
      <c r="H9340" s="12">
        <v>0.54</v>
      </c>
      <c r="I9340" t="s">
        <v>3183</v>
      </c>
      <c r="J9340" t="s">
        <v>14</v>
      </c>
      <c r="K9340" t="s">
        <v>147</v>
      </c>
      <c r="L9340" t="s">
        <v>20</v>
      </c>
      <c r="M9340" t="s">
        <v>864</v>
      </c>
    </row>
    <row r="9341" spans="1:13">
      <c r="A9341" t="s">
        <v>852</v>
      </c>
      <c r="B9341" t="s">
        <v>853</v>
      </c>
      <c r="C9341" t="s">
        <v>853</v>
      </c>
      <c r="D9341" t="s">
        <v>3185</v>
      </c>
      <c r="E9341" t="s">
        <v>656</v>
      </c>
      <c r="F9341" t="s">
        <v>31</v>
      </c>
      <c r="G9341">
        <v>2020</v>
      </c>
      <c r="H9341" s="12">
        <v>0.77</v>
      </c>
      <c r="I9341" t="s">
        <v>3183</v>
      </c>
      <c r="J9341" t="s">
        <v>14</v>
      </c>
      <c r="K9341" t="s">
        <v>147</v>
      </c>
      <c r="L9341" t="s">
        <v>20</v>
      </c>
      <c r="M9341" t="s">
        <v>864</v>
      </c>
    </row>
    <row r="9342" spans="1:13">
      <c r="A9342" t="s">
        <v>852</v>
      </c>
      <c r="B9342" t="s">
        <v>853</v>
      </c>
      <c r="C9342" t="s">
        <v>853</v>
      </c>
      <c r="D9342" t="s">
        <v>3185</v>
      </c>
      <c r="E9342" t="s">
        <v>656</v>
      </c>
      <c r="F9342" t="s">
        <v>31</v>
      </c>
      <c r="G9342">
        <v>2030</v>
      </c>
      <c r="H9342" s="12">
        <v>8.58</v>
      </c>
      <c r="I9342" t="s">
        <v>3183</v>
      </c>
      <c r="J9342" t="s">
        <v>14</v>
      </c>
      <c r="K9342" t="s">
        <v>147</v>
      </c>
      <c r="L9342" t="s">
        <v>20</v>
      </c>
      <c r="M9342" t="s">
        <v>864</v>
      </c>
    </row>
    <row r="9343" spans="1:13">
      <c r="A9343" t="s">
        <v>852</v>
      </c>
      <c r="B9343" t="s">
        <v>853</v>
      </c>
      <c r="C9343" t="s">
        <v>853</v>
      </c>
      <c r="D9343" t="s">
        <v>3185</v>
      </c>
      <c r="E9343" t="s">
        <v>656</v>
      </c>
      <c r="F9343" t="s">
        <v>31</v>
      </c>
      <c r="G9343">
        <v>2035</v>
      </c>
      <c r="H9343" s="12">
        <v>17.13</v>
      </c>
      <c r="I9343" t="s">
        <v>3183</v>
      </c>
      <c r="J9343" t="s">
        <v>14</v>
      </c>
      <c r="K9343" t="s">
        <v>147</v>
      </c>
      <c r="L9343" t="s">
        <v>20</v>
      </c>
      <c r="M9343" t="s">
        <v>864</v>
      </c>
    </row>
    <row r="9344" spans="1:13">
      <c r="A9344" t="s">
        <v>852</v>
      </c>
      <c r="B9344" t="s">
        <v>853</v>
      </c>
      <c r="C9344" t="s">
        <v>853</v>
      </c>
      <c r="D9344" t="s">
        <v>3185</v>
      </c>
      <c r="E9344" t="s">
        <v>656</v>
      </c>
      <c r="F9344" t="s">
        <v>31</v>
      </c>
      <c r="G9344">
        <v>2040</v>
      </c>
      <c r="H9344" s="12">
        <v>27.74</v>
      </c>
      <c r="I9344" t="s">
        <v>3183</v>
      </c>
      <c r="J9344" t="s">
        <v>14</v>
      </c>
      <c r="K9344" t="s">
        <v>147</v>
      </c>
      <c r="L9344" t="s">
        <v>20</v>
      </c>
      <c r="M9344" t="s">
        <v>864</v>
      </c>
    </row>
    <row r="9345" spans="1:13">
      <c r="A9345" t="s">
        <v>852</v>
      </c>
      <c r="B9345" t="s">
        <v>853</v>
      </c>
      <c r="C9345" t="s">
        <v>853</v>
      </c>
      <c r="D9345" t="s">
        <v>3185</v>
      </c>
      <c r="E9345" t="s">
        <v>656</v>
      </c>
      <c r="F9345" t="s">
        <v>31</v>
      </c>
      <c r="G9345">
        <v>2045</v>
      </c>
      <c r="H9345" s="12">
        <v>38.619999999999997</v>
      </c>
      <c r="I9345" t="s">
        <v>3183</v>
      </c>
      <c r="J9345" t="s">
        <v>14</v>
      </c>
      <c r="K9345" t="s">
        <v>147</v>
      </c>
      <c r="L9345" t="s">
        <v>20</v>
      </c>
      <c r="M9345" t="s">
        <v>864</v>
      </c>
    </row>
    <row r="9346" spans="1:13">
      <c r="A9346" t="s">
        <v>852</v>
      </c>
      <c r="B9346" t="s">
        <v>853</v>
      </c>
      <c r="C9346" t="s">
        <v>853</v>
      </c>
      <c r="D9346" t="s">
        <v>3185</v>
      </c>
      <c r="E9346" t="s">
        <v>656</v>
      </c>
      <c r="F9346" t="s">
        <v>31</v>
      </c>
      <c r="G9346">
        <v>2050</v>
      </c>
      <c r="H9346" s="12">
        <v>48.85</v>
      </c>
      <c r="I9346" t="s">
        <v>3183</v>
      </c>
      <c r="J9346" t="s">
        <v>14</v>
      </c>
      <c r="K9346" t="s">
        <v>147</v>
      </c>
      <c r="L9346" t="s">
        <v>20</v>
      </c>
      <c r="M9346" t="s">
        <v>864</v>
      </c>
    </row>
    <row r="9347" spans="1:13">
      <c r="A9347" t="s">
        <v>852</v>
      </c>
      <c r="B9347" t="s">
        <v>853</v>
      </c>
      <c r="C9347" t="s">
        <v>853</v>
      </c>
      <c r="D9347" t="s">
        <v>3185</v>
      </c>
      <c r="E9347" t="s">
        <v>656</v>
      </c>
      <c r="F9347" t="s">
        <v>31</v>
      </c>
      <c r="G9347">
        <v>2010</v>
      </c>
      <c r="H9347" s="12">
        <v>402.56</v>
      </c>
      <c r="I9347" t="s">
        <v>3183</v>
      </c>
      <c r="J9347" t="s">
        <v>15</v>
      </c>
      <c r="K9347" t="s">
        <v>147</v>
      </c>
      <c r="L9347" t="s">
        <v>20</v>
      </c>
      <c r="M9347" t="s">
        <v>15</v>
      </c>
    </row>
    <row r="9348" spans="1:13">
      <c r="A9348" t="s">
        <v>852</v>
      </c>
      <c r="B9348" t="s">
        <v>853</v>
      </c>
      <c r="C9348" t="s">
        <v>853</v>
      </c>
      <c r="D9348" t="s">
        <v>3185</v>
      </c>
      <c r="E9348" t="s">
        <v>656</v>
      </c>
      <c r="F9348" t="s">
        <v>31</v>
      </c>
      <c r="G9348">
        <v>2015</v>
      </c>
      <c r="H9348" s="12">
        <v>406.47</v>
      </c>
      <c r="I9348" t="s">
        <v>3183</v>
      </c>
      <c r="J9348" t="s">
        <v>15</v>
      </c>
      <c r="K9348" t="s">
        <v>147</v>
      </c>
      <c r="L9348" t="s">
        <v>20</v>
      </c>
      <c r="M9348" t="s">
        <v>15</v>
      </c>
    </row>
    <row r="9349" spans="1:13">
      <c r="A9349" t="s">
        <v>852</v>
      </c>
      <c r="B9349" t="s">
        <v>853</v>
      </c>
      <c r="C9349" t="s">
        <v>853</v>
      </c>
      <c r="D9349" t="s">
        <v>3185</v>
      </c>
      <c r="E9349" t="s">
        <v>656</v>
      </c>
      <c r="F9349" t="s">
        <v>31</v>
      </c>
      <c r="G9349">
        <v>2020</v>
      </c>
      <c r="H9349" s="12">
        <v>415.28</v>
      </c>
      <c r="I9349" t="s">
        <v>3183</v>
      </c>
      <c r="J9349" t="s">
        <v>15</v>
      </c>
      <c r="K9349" t="s">
        <v>147</v>
      </c>
      <c r="L9349" t="s">
        <v>20</v>
      </c>
      <c r="M9349" t="s">
        <v>15</v>
      </c>
    </row>
    <row r="9350" spans="1:13">
      <c r="A9350" t="s">
        <v>852</v>
      </c>
      <c r="B9350" t="s">
        <v>853</v>
      </c>
      <c r="C9350" t="s">
        <v>853</v>
      </c>
      <c r="D9350" t="s">
        <v>3185</v>
      </c>
      <c r="E9350" t="s">
        <v>656</v>
      </c>
      <c r="F9350" t="s">
        <v>31</v>
      </c>
      <c r="G9350">
        <v>2030</v>
      </c>
      <c r="H9350" s="12">
        <v>535.33000000000004</v>
      </c>
      <c r="I9350" t="s">
        <v>3183</v>
      </c>
      <c r="J9350" t="s">
        <v>15</v>
      </c>
      <c r="K9350" t="s">
        <v>147</v>
      </c>
      <c r="L9350" t="s">
        <v>20</v>
      </c>
      <c r="M9350" t="s">
        <v>15</v>
      </c>
    </row>
    <row r="9351" spans="1:13">
      <c r="A9351" t="s">
        <v>852</v>
      </c>
      <c r="B9351" t="s">
        <v>853</v>
      </c>
      <c r="C9351" t="s">
        <v>853</v>
      </c>
      <c r="D9351" t="s">
        <v>3185</v>
      </c>
      <c r="E9351" t="s">
        <v>656</v>
      </c>
      <c r="F9351" t="s">
        <v>31</v>
      </c>
      <c r="G9351">
        <v>2035</v>
      </c>
      <c r="H9351" s="12">
        <v>661.75</v>
      </c>
      <c r="I9351" t="s">
        <v>3183</v>
      </c>
      <c r="J9351" t="s">
        <v>15</v>
      </c>
      <c r="K9351" t="s">
        <v>147</v>
      </c>
      <c r="L9351" t="s">
        <v>20</v>
      </c>
      <c r="M9351" t="s">
        <v>15</v>
      </c>
    </row>
    <row r="9352" spans="1:13">
      <c r="A9352" t="s">
        <v>852</v>
      </c>
      <c r="B9352" t="s">
        <v>853</v>
      </c>
      <c r="C9352" t="s">
        <v>853</v>
      </c>
      <c r="D9352" t="s">
        <v>3185</v>
      </c>
      <c r="E9352" t="s">
        <v>656</v>
      </c>
      <c r="F9352" t="s">
        <v>31</v>
      </c>
      <c r="G9352">
        <v>2040</v>
      </c>
      <c r="H9352" s="12">
        <v>776.98</v>
      </c>
      <c r="I9352" t="s">
        <v>3183</v>
      </c>
      <c r="J9352" t="s">
        <v>15</v>
      </c>
      <c r="K9352" t="s">
        <v>147</v>
      </c>
      <c r="L9352" t="s">
        <v>20</v>
      </c>
      <c r="M9352" t="s">
        <v>15</v>
      </c>
    </row>
    <row r="9353" spans="1:13">
      <c r="A9353" t="s">
        <v>852</v>
      </c>
      <c r="B9353" t="s">
        <v>853</v>
      </c>
      <c r="C9353" t="s">
        <v>853</v>
      </c>
      <c r="D9353" t="s">
        <v>3185</v>
      </c>
      <c r="E9353" t="s">
        <v>656</v>
      </c>
      <c r="F9353" t="s">
        <v>31</v>
      </c>
      <c r="G9353">
        <v>2045</v>
      </c>
      <c r="H9353" s="12">
        <v>826.47</v>
      </c>
      <c r="I9353" t="s">
        <v>3183</v>
      </c>
      <c r="J9353" t="s">
        <v>15</v>
      </c>
      <c r="K9353" t="s">
        <v>147</v>
      </c>
      <c r="L9353" t="s">
        <v>20</v>
      </c>
      <c r="M9353" t="s">
        <v>15</v>
      </c>
    </row>
    <row r="9354" spans="1:13">
      <c r="A9354" t="s">
        <v>852</v>
      </c>
      <c r="B9354" t="s">
        <v>853</v>
      </c>
      <c r="C9354" t="s">
        <v>853</v>
      </c>
      <c r="D9354" t="s">
        <v>3185</v>
      </c>
      <c r="E9354" t="s">
        <v>656</v>
      </c>
      <c r="F9354" t="s">
        <v>31</v>
      </c>
      <c r="G9354">
        <v>2050</v>
      </c>
      <c r="H9354" s="12">
        <v>871.24</v>
      </c>
      <c r="I9354" t="s">
        <v>3183</v>
      </c>
      <c r="J9354" t="s">
        <v>15</v>
      </c>
      <c r="K9354" t="s">
        <v>147</v>
      </c>
      <c r="L9354" t="s">
        <v>20</v>
      </c>
      <c r="M9354" t="s">
        <v>15</v>
      </c>
    </row>
    <row r="9355" spans="1:13">
      <c r="A9355" t="s">
        <v>852</v>
      </c>
      <c r="B9355" t="s">
        <v>853</v>
      </c>
      <c r="C9355" t="s">
        <v>853</v>
      </c>
      <c r="D9355" t="s">
        <v>3185</v>
      </c>
      <c r="E9355" t="s">
        <v>656</v>
      </c>
      <c r="F9355" t="s">
        <v>31</v>
      </c>
      <c r="G9355">
        <v>2010</v>
      </c>
      <c r="H9355" s="12">
        <v>0</v>
      </c>
      <c r="I9355" t="s">
        <v>3183</v>
      </c>
      <c r="J9355" t="s">
        <v>8</v>
      </c>
      <c r="K9355" t="s">
        <v>147</v>
      </c>
      <c r="L9355" t="s">
        <v>20</v>
      </c>
      <c r="M9355" t="s">
        <v>670</v>
      </c>
    </row>
    <row r="9356" spans="1:13">
      <c r="A9356" t="s">
        <v>852</v>
      </c>
      <c r="B9356" t="s">
        <v>853</v>
      </c>
      <c r="C9356" t="s">
        <v>853</v>
      </c>
      <c r="D9356" t="s">
        <v>3185</v>
      </c>
      <c r="E9356" t="s">
        <v>656</v>
      </c>
      <c r="F9356" t="s">
        <v>31</v>
      </c>
      <c r="G9356">
        <v>2015</v>
      </c>
      <c r="H9356" s="12">
        <v>0</v>
      </c>
      <c r="I9356" t="s">
        <v>3183</v>
      </c>
      <c r="J9356" t="s">
        <v>8</v>
      </c>
      <c r="K9356" t="s">
        <v>147</v>
      </c>
      <c r="L9356" t="s">
        <v>20</v>
      </c>
      <c r="M9356" t="s">
        <v>670</v>
      </c>
    </row>
    <row r="9357" spans="1:13">
      <c r="A9357" t="s">
        <v>852</v>
      </c>
      <c r="B9357" t="s">
        <v>853</v>
      </c>
      <c r="C9357" t="s">
        <v>853</v>
      </c>
      <c r="D9357" t="s">
        <v>3185</v>
      </c>
      <c r="E9357" t="s">
        <v>656</v>
      </c>
      <c r="F9357" t="s">
        <v>31</v>
      </c>
      <c r="G9357">
        <v>2020</v>
      </c>
      <c r="H9357" s="12">
        <v>0</v>
      </c>
      <c r="I9357" t="s">
        <v>3183</v>
      </c>
      <c r="J9357" t="s">
        <v>8</v>
      </c>
      <c r="K9357" t="s">
        <v>147</v>
      </c>
      <c r="L9357" t="s">
        <v>20</v>
      </c>
      <c r="M9357" t="s">
        <v>670</v>
      </c>
    </row>
    <row r="9358" spans="1:13">
      <c r="A9358" t="s">
        <v>852</v>
      </c>
      <c r="B9358" t="s">
        <v>853</v>
      </c>
      <c r="C9358" t="s">
        <v>853</v>
      </c>
      <c r="D9358" t="s">
        <v>3185</v>
      </c>
      <c r="E9358" t="s">
        <v>656</v>
      </c>
      <c r="F9358" t="s">
        <v>31</v>
      </c>
      <c r="G9358">
        <v>2030</v>
      </c>
      <c r="H9358" s="12">
        <v>188.65</v>
      </c>
      <c r="I9358" t="s">
        <v>3183</v>
      </c>
      <c r="J9358" t="s">
        <v>8</v>
      </c>
      <c r="K9358" t="s">
        <v>147</v>
      </c>
      <c r="L9358" t="s">
        <v>20</v>
      </c>
      <c r="M9358" t="s">
        <v>670</v>
      </c>
    </row>
    <row r="9359" spans="1:13">
      <c r="A9359" t="s">
        <v>852</v>
      </c>
      <c r="B9359" t="s">
        <v>853</v>
      </c>
      <c r="C9359" t="s">
        <v>853</v>
      </c>
      <c r="D9359" t="s">
        <v>3185</v>
      </c>
      <c r="E9359" t="s">
        <v>656</v>
      </c>
      <c r="F9359" t="s">
        <v>31</v>
      </c>
      <c r="G9359">
        <v>2035</v>
      </c>
      <c r="H9359" s="12">
        <v>465.35</v>
      </c>
      <c r="I9359" t="s">
        <v>3183</v>
      </c>
      <c r="J9359" t="s">
        <v>8</v>
      </c>
      <c r="K9359" t="s">
        <v>147</v>
      </c>
      <c r="L9359" t="s">
        <v>20</v>
      </c>
      <c r="M9359" t="s">
        <v>670</v>
      </c>
    </row>
    <row r="9360" spans="1:13">
      <c r="A9360" t="s">
        <v>852</v>
      </c>
      <c r="B9360" t="s">
        <v>853</v>
      </c>
      <c r="C9360" t="s">
        <v>853</v>
      </c>
      <c r="D9360" t="s">
        <v>3185</v>
      </c>
      <c r="E9360" t="s">
        <v>656</v>
      </c>
      <c r="F9360" t="s">
        <v>31</v>
      </c>
      <c r="G9360">
        <v>2040</v>
      </c>
      <c r="H9360" s="12">
        <v>640.35</v>
      </c>
      <c r="I9360" t="s">
        <v>3183</v>
      </c>
      <c r="J9360" t="s">
        <v>8</v>
      </c>
      <c r="K9360" t="s">
        <v>147</v>
      </c>
      <c r="L9360" t="s">
        <v>20</v>
      </c>
      <c r="M9360" t="s">
        <v>670</v>
      </c>
    </row>
    <row r="9361" spans="1:13">
      <c r="A9361" t="s">
        <v>852</v>
      </c>
      <c r="B9361" t="s">
        <v>853</v>
      </c>
      <c r="C9361" t="s">
        <v>853</v>
      </c>
      <c r="D9361" t="s">
        <v>3185</v>
      </c>
      <c r="E9361" t="s">
        <v>656</v>
      </c>
      <c r="F9361" t="s">
        <v>31</v>
      </c>
      <c r="G9361">
        <v>2045</v>
      </c>
      <c r="H9361" s="12">
        <v>622.11</v>
      </c>
      <c r="I9361" t="s">
        <v>3183</v>
      </c>
      <c r="J9361" t="s">
        <v>8</v>
      </c>
      <c r="K9361" t="s">
        <v>147</v>
      </c>
      <c r="L9361" t="s">
        <v>20</v>
      </c>
      <c r="M9361" t="s">
        <v>670</v>
      </c>
    </row>
    <row r="9362" spans="1:13">
      <c r="A9362" t="s">
        <v>852</v>
      </c>
      <c r="B9362" t="s">
        <v>853</v>
      </c>
      <c r="C9362" t="s">
        <v>853</v>
      </c>
      <c r="D9362" t="s">
        <v>3185</v>
      </c>
      <c r="E9362" t="s">
        <v>656</v>
      </c>
      <c r="F9362" t="s">
        <v>31</v>
      </c>
      <c r="G9362">
        <v>2050</v>
      </c>
      <c r="H9362" s="12">
        <v>572.99</v>
      </c>
      <c r="I9362" t="s">
        <v>3183</v>
      </c>
      <c r="J9362" t="s">
        <v>8</v>
      </c>
      <c r="K9362" t="s">
        <v>147</v>
      </c>
      <c r="L9362" t="s">
        <v>20</v>
      </c>
      <c r="M9362" t="s">
        <v>670</v>
      </c>
    </row>
    <row r="9363" spans="1:13">
      <c r="A9363" t="s">
        <v>852</v>
      </c>
      <c r="B9363" t="s">
        <v>853</v>
      </c>
      <c r="C9363" t="s">
        <v>853</v>
      </c>
      <c r="D9363" t="s">
        <v>3185</v>
      </c>
      <c r="E9363" t="s">
        <v>656</v>
      </c>
      <c r="F9363" t="s">
        <v>31</v>
      </c>
      <c r="G9363">
        <v>2010</v>
      </c>
      <c r="H9363" s="12">
        <v>0</v>
      </c>
      <c r="I9363" t="s">
        <v>3183</v>
      </c>
      <c r="J9363" t="s">
        <v>5</v>
      </c>
      <c r="K9363" t="s">
        <v>147</v>
      </c>
      <c r="L9363" t="s">
        <v>20</v>
      </c>
      <c r="M9363" t="s">
        <v>858</v>
      </c>
    </row>
    <row r="9364" spans="1:13">
      <c r="A9364" t="s">
        <v>852</v>
      </c>
      <c r="B9364" t="s">
        <v>853</v>
      </c>
      <c r="C9364" t="s">
        <v>853</v>
      </c>
      <c r="D9364" t="s">
        <v>3185</v>
      </c>
      <c r="E9364" t="s">
        <v>656</v>
      </c>
      <c r="F9364" t="s">
        <v>31</v>
      </c>
      <c r="G9364">
        <v>2015</v>
      </c>
      <c r="H9364" s="12">
        <v>0.12</v>
      </c>
      <c r="I9364" t="s">
        <v>3183</v>
      </c>
      <c r="J9364" t="s">
        <v>5</v>
      </c>
      <c r="K9364" t="s">
        <v>147</v>
      </c>
      <c r="L9364" t="s">
        <v>20</v>
      </c>
      <c r="M9364" t="s">
        <v>858</v>
      </c>
    </row>
    <row r="9365" spans="1:13">
      <c r="A9365" t="s">
        <v>852</v>
      </c>
      <c r="B9365" t="s">
        <v>853</v>
      </c>
      <c r="C9365" t="s">
        <v>853</v>
      </c>
      <c r="D9365" t="s">
        <v>3185</v>
      </c>
      <c r="E9365" t="s">
        <v>656</v>
      </c>
      <c r="F9365" t="s">
        <v>31</v>
      </c>
      <c r="G9365">
        <v>2020</v>
      </c>
      <c r="H9365" s="12">
        <v>0.12</v>
      </c>
      <c r="I9365" t="s">
        <v>3183</v>
      </c>
      <c r="J9365" t="s">
        <v>5</v>
      </c>
      <c r="K9365" t="s">
        <v>147</v>
      </c>
      <c r="L9365" t="s">
        <v>20</v>
      </c>
      <c r="M9365" t="s">
        <v>858</v>
      </c>
    </row>
    <row r="9366" spans="1:13">
      <c r="A9366" t="s">
        <v>852</v>
      </c>
      <c r="B9366" t="s">
        <v>853</v>
      </c>
      <c r="C9366" t="s">
        <v>853</v>
      </c>
      <c r="D9366" t="s">
        <v>3185</v>
      </c>
      <c r="E9366" t="s">
        <v>656</v>
      </c>
      <c r="F9366" t="s">
        <v>31</v>
      </c>
      <c r="G9366">
        <v>2030</v>
      </c>
      <c r="H9366" s="12">
        <v>43.55</v>
      </c>
      <c r="I9366" t="s">
        <v>3183</v>
      </c>
      <c r="J9366" t="s">
        <v>5</v>
      </c>
      <c r="K9366" t="s">
        <v>147</v>
      </c>
      <c r="L9366" t="s">
        <v>20</v>
      </c>
      <c r="M9366" t="s">
        <v>858</v>
      </c>
    </row>
    <row r="9367" spans="1:13">
      <c r="A9367" t="s">
        <v>852</v>
      </c>
      <c r="B9367" t="s">
        <v>853</v>
      </c>
      <c r="C9367" t="s">
        <v>853</v>
      </c>
      <c r="D9367" t="s">
        <v>3185</v>
      </c>
      <c r="E9367" t="s">
        <v>656</v>
      </c>
      <c r="F9367" t="s">
        <v>31</v>
      </c>
      <c r="G9367">
        <v>2035</v>
      </c>
      <c r="H9367" s="12">
        <v>110.85</v>
      </c>
      <c r="I9367" t="s">
        <v>3183</v>
      </c>
      <c r="J9367" t="s">
        <v>5</v>
      </c>
      <c r="K9367" t="s">
        <v>147</v>
      </c>
      <c r="L9367" t="s">
        <v>20</v>
      </c>
      <c r="M9367" t="s">
        <v>858</v>
      </c>
    </row>
    <row r="9368" spans="1:13">
      <c r="A9368" t="s">
        <v>852</v>
      </c>
      <c r="B9368" t="s">
        <v>853</v>
      </c>
      <c r="C9368" t="s">
        <v>853</v>
      </c>
      <c r="D9368" t="s">
        <v>3185</v>
      </c>
      <c r="E9368" t="s">
        <v>656</v>
      </c>
      <c r="F9368" t="s">
        <v>31</v>
      </c>
      <c r="G9368">
        <v>2040</v>
      </c>
      <c r="H9368" s="12">
        <v>168.31</v>
      </c>
      <c r="I9368" t="s">
        <v>3183</v>
      </c>
      <c r="J9368" t="s">
        <v>5</v>
      </c>
      <c r="K9368" t="s">
        <v>147</v>
      </c>
      <c r="L9368" t="s">
        <v>20</v>
      </c>
      <c r="M9368" t="s">
        <v>858</v>
      </c>
    </row>
    <row r="9369" spans="1:13">
      <c r="A9369" t="s">
        <v>852</v>
      </c>
      <c r="B9369" t="s">
        <v>853</v>
      </c>
      <c r="C9369" t="s">
        <v>853</v>
      </c>
      <c r="D9369" t="s">
        <v>3185</v>
      </c>
      <c r="E9369" t="s">
        <v>656</v>
      </c>
      <c r="F9369" t="s">
        <v>31</v>
      </c>
      <c r="G9369">
        <v>2045</v>
      </c>
      <c r="H9369" s="12">
        <v>192.68</v>
      </c>
      <c r="I9369" t="s">
        <v>3183</v>
      </c>
      <c r="J9369" t="s">
        <v>5</v>
      </c>
      <c r="K9369" t="s">
        <v>147</v>
      </c>
      <c r="L9369" t="s">
        <v>20</v>
      </c>
      <c r="M9369" t="s">
        <v>858</v>
      </c>
    </row>
    <row r="9370" spans="1:13">
      <c r="A9370" t="s">
        <v>852</v>
      </c>
      <c r="B9370" t="s">
        <v>853</v>
      </c>
      <c r="C9370" t="s">
        <v>853</v>
      </c>
      <c r="D9370" t="s">
        <v>3185</v>
      </c>
      <c r="E9370" t="s">
        <v>656</v>
      </c>
      <c r="F9370" t="s">
        <v>31</v>
      </c>
      <c r="G9370">
        <v>2050</v>
      </c>
      <c r="H9370" s="12">
        <v>201.45</v>
      </c>
      <c r="I9370" t="s">
        <v>3183</v>
      </c>
      <c r="J9370" t="s">
        <v>5</v>
      </c>
      <c r="K9370" t="s">
        <v>147</v>
      </c>
      <c r="L9370" t="s">
        <v>20</v>
      </c>
      <c r="M9370" t="s">
        <v>858</v>
      </c>
    </row>
    <row r="9371" spans="1:13">
      <c r="A9371" t="s">
        <v>852</v>
      </c>
      <c r="B9371" t="s">
        <v>853</v>
      </c>
      <c r="C9371" t="s">
        <v>853</v>
      </c>
      <c r="D9371" t="s">
        <v>3185</v>
      </c>
      <c r="E9371" t="s">
        <v>656</v>
      </c>
      <c r="F9371" t="s">
        <v>31</v>
      </c>
      <c r="G9371">
        <v>2010</v>
      </c>
      <c r="H9371" s="12">
        <v>0</v>
      </c>
      <c r="I9371" t="s">
        <v>3183</v>
      </c>
      <c r="J9371" t="s">
        <v>6</v>
      </c>
      <c r="K9371" t="s">
        <v>147</v>
      </c>
      <c r="L9371" t="s">
        <v>20</v>
      </c>
      <c r="M9371" t="s">
        <v>857</v>
      </c>
    </row>
    <row r="9372" spans="1:13">
      <c r="A9372" t="s">
        <v>852</v>
      </c>
      <c r="B9372" t="s">
        <v>853</v>
      </c>
      <c r="C9372" t="s">
        <v>853</v>
      </c>
      <c r="D9372" t="s">
        <v>3185</v>
      </c>
      <c r="E9372" t="s">
        <v>656</v>
      </c>
      <c r="F9372" t="s">
        <v>31</v>
      </c>
      <c r="G9372">
        <v>2015</v>
      </c>
      <c r="H9372" s="12">
        <v>0</v>
      </c>
      <c r="I9372" t="s">
        <v>3183</v>
      </c>
      <c r="J9372" t="s">
        <v>6</v>
      </c>
      <c r="K9372" t="s">
        <v>147</v>
      </c>
      <c r="L9372" t="s">
        <v>20</v>
      </c>
      <c r="M9372" t="s">
        <v>857</v>
      </c>
    </row>
    <row r="9373" spans="1:13">
      <c r="A9373" t="s">
        <v>852</v>
      </c>
      <c r="B9373" t="s">
        <v>853</v>
      </c>
      <c r="C9373" t="s">
        <v>853</v>
      </c>
      <c r="D9373" t="s">
        <v>3185</v>
      </c>
      <c r="E9373" t="s">
        <v>656</v>
      </c>
      <c r="F9373" t="s">
        <v>31</v>
      </c>
      <c r="G9373">
        <v>2020</v>
      </c>
      <c r="H9373" s="12">
        <v>0</v>
      </c>
      <c r="I9373" t="s">
        <v>3183</v>
      </c>
      <c r="J9373" t="s">
        <v>6</v>
      </c>
      <c r="K9373" t="s">
        <v>147</v>
      </c>
      <c r="L9373" t="s">
        <v>20</v>
      </c>
      <c r="M9373" t="s">
        <v>857</v>
      </c>
    </row>
    <row r="9374" spans="1:13">
      <c r="A9374" t="s">
        <v>852</v>
      </c>
      <c r="B9374" t="s">
        <v>853</v>
      </c>
      <c r="C9374" t="s">
        <v>853</v>
      </c>
      <c r="D9374" t="s">
        <v>3185</v>
      </c>
      <c r="E9374" t="s">
        <v>656</v>
      </c>
      <c r="F9374" t="s">
        <v>31</v>
      </c>
      <c r="G9374">
        <v>2030</v>
      </c>
      <c r="H9374" s="12">
        <v>18.29</v>
      </c>
      <c r="I9374" t="s">
        <v>3183</v>
      </c>
      <c r="J9374" t="s">
        <v>6</v>
      </c>
      <c r="K9374" t="s">
        <v>147</v>
      </c>
      <c r="L9374" t="s">
        <v>20</v>
      </c>
      <c r="M9374" t="s">
        <v>857</v>
      </c>
    </row>
    <row r="9375" spans="1:13">
      <c r="A9375" t="s">
        <v>852</v>
      </c>
      <c r="B9375" t="s">
        <v>853</v>
      </c>
      <c r="C9375" t="s">
        <v>853</v>
      </c>
      <c r="D9375" t="s">
        <v>3185</v>
      </c>
      <c r="E9375" t="s">
        <v>656</v>
      </c>
      <c r="F9375" t="s">
        <v>31</v>
      </c>
      <c r="G9375">
        <v>2035</v>
      </c>
      <c r="H9375" s="12">
        <v>58.33</v>
      </c>
      <c r="I9375" t="s">
        <v>3183</v>
      </c>
      <c r="J9375" t="s">
        <v>6</v>
      </c>
      <c r="K9375" t="s">
        <v>147</v>
      </c>
      <c r="L9375" t="s">
        <v>20</v>
      </c>
      <c r="M9375" t="s">
        <v>857</v>
      </c>
    </row>
    <row r="9376" spans="1:13">
      <c r="A9376" t="s">
        <v>852</v>
      </c>
      <c r="B9376" t="s">
        <v>853</v>
      </c>
      <c r="C9376" t="s">
        <v>853</v>
      </c>
      <c r="D9376" t="s">
        <v>3185</v>
      </c>
      <c r="E9376" t="s">
        <v>656</v>
      </c>
      <c r="F9376" t="s">
        <v>31</v>
      </c>
      <c r="G9376">
        <v>2040</v>
      </c>
      <c r="H9376" s="12">
        <v>98.12</v>
      </c>
      <c r="I9376" t="s">
        <v>3183</v>
      </c>
      <c r="J9376" t="s">
        <v>6</v>
      </c>
      <c r="K9376" t="s">
        <v>147</v>
      </c>
      <c r="L9376" t="s">
        <v>20</v>
      </c>
      <c r="M9376" t="s">
        <v>857</v>
      </c>
    </row>
    <row r="9377" spans="1:13">
      <c r="A9377" t="s">
        <v>852</v>
      </c>
      <c r="B9377" t="s">
        <v>853</v>
      </c>
      <c r="C9377" t="s">
        <v>853</v>
      </c>
      <c r="D9377" t="s">
        <v>3185</v>
      </c>
      <c r="E9377" t="s">
        <v>656</v>
      </c>
      <c r="F9377" t="s">
        <v>31</v>
      </c>
      <c r="G9377">
        <v>2045</v>
      </c>
      <c r="H9377" s="12">
        <v>120.31</v>
      </c>
      <c r="I9377" t="s">
        <v>3183</v>
      </c>
      <c r="J9377" t="s">
        <v>6</v>
      </c>
      <c r="K9377" t="s">
        <v>147</v>
      </c>
      <c r="L9377" t="s">
        <v>20</v>
      </c>
      <c r="M9377" t="s">
        <v>857</v>
      </c>
    </row>
    <row r="9378" spans="1:13">
      <c r="A9378" t="s">
        <v>852</v>
      </c>
      <c r="B9378" t="s">
        <v>853</v>
      </c>
      <c r="C9378" t="s">
        <v>853</v>
      </c>
      <c r="D9378" t="s">
        <v>3185</v>
      </c>
      <c r="E9378" t="s">
        <v>656</v>
      </c>
      <c r="F9378" t="s">
        <v>31</v>
      </c>
      <c r="G9378">
        <v>2050</v>
      </c>
      <c r="H9378" s="12">
        <v>133.72</v>
      </c>
      <c r="I9378" t="s">
        <v>3183</v>
      </c>
      <c r="J9378" t="s">
        <v>6</v>
      </c>
      <c r="K9378" t="s">
        <v>147</v>
      </c>
      <c r="L9378" t="s">
        <v>20</v>
      </c>
      <c r="M9378" t="s">
        <v>857</v>
      </c>
    </row>
    <row r="9379" spans="1:13">
      <c r="A9379" t="s">
        <v>852</v>
      </c>
      <c r="B9379" t="s">
        <v>853</v>
      </c>
      <c r="C9379" t="s">
        <v>853</v>
      </c>
      <c r="D9379" t="s">
        <v>3185</v>
      </c>
      <c r="E9379" t="s">
        <v>656</v>
      </c>
      <c r="F9379" t="s">
        <v>31</v>
      </c>
      <c r="G9379">
        <v>2010</v>
      </c>
      <c r="H9379" s="12">
        <v>1621.32</v>
      </c>
      <c r="I9379" t="s">
        <v>3183</v>
      </c>
      <c r="J9379" t="s">
        <v>5</v>
      </c>
      <c r="K9379" t="s">
        <v>147</v>
      </c>
      <c r="L9379" t="s">
        <v>20</v>
      </c>
      <c r="M9379" t="s">
        <v>665</v>
      </c>
    </row>
    <row r="9380" spans="1:13">
      <c r="A9380" t="s">
        <v>852</v>
      </c>
      <c r="B9380" t="s">
        <v>853</v>
      </c>
      <c r="C9380" t="s">
        <v>853</v>
      </c>
      <c r="D9380" t="s">
        <v>3185</v>
      </c>
      <c r="E9380" t="s">
        <v>656</v>
      </c>
      <c r="F9380" t="s">
        <v>31</v>
      </c>
      <c r="G9380">
        <v>2015</v>
      </c>
      <c r="H9380" s="12">
        <v>1962.73</v>
      </c>
      <c r="I9380" t="s">
        <v>3183</v>
      </c>
      <c r="J9380" t="s">
        <v>5</v>
      </c>
      <c r="K9380" t="s">
        <v>147</v>
      </c>
      <c r="L9380" t="s">
        <v>20</v>
      </c>
      <c r="M9380" t="s">
        <v>665</v>
      </c>
    </row>
    <row r="9381" spans="1:13">
      <c r="A9381" t="s">
        <v>852</v>
      </c>
      <c r="B9381" t="s">
        <v>853</v>
      </c>
      <c r="C9381" t="s">
        <v>853</v>
      </c>
      <c r="D9381" t="s">
        <v>3185</v>
      </c>
      <c r="E9381" t="s">
        <v>656</v>
      </c>
      <c r="F9381" t="s">
        <v>31</v>
      </c>
      <c r="G9381">
        <v>2020</v>
      </c>
      <c r="H9381" s="12">
        <v>2160.75</v>
      </c>
      <c r="I9381" t="s">
        <v>3183</v>
      </c>
      <c r="J9381" t="s">
        <v>5</v>
      </c>
      <c r="K9381" t="s">
        <v>147</v>
      </c>
      <c r="L9381" t="s">
        <v>20</v>
      </c>
      <c r="M9381" t="s">
        <v>665</v>
      </c>
    </row>
    <row r="9382" spans="1:13">
      <c r="A9382" t="s">
        <v>852</v>
      </c>
      <c r="B9382" t="s">
        <v>853</v>
      </c>
      <c r="C9382" t="s">
        <v>853</v>
      </c>
      <c r="D9382" t="s">
        <v>3185</v>
      </c>
      <c r="E9382" t="s">
        <v>656</v>
      </c>
      <c r="F9382" t="s">
        <v>31</v>
      </c>
      <c r="G9382">
        <v>2030</v>
      </c>
      <c r="H9382" s="12">
        <v>1452.25</v>
      </c>
      <c r="I9382" t="s">
        <v>3183</v>
      </c>
      <c r="J9382" t="s">
        <v>5</v>
      </c>
      <c r="K9382" t="s">
        <v>147</v>
      </c>
      <c r="L9382" t="s">
        <v>20</v>
      </c>
      <c r="M9382" t="s">
        <v>665</v>
      </c>
    </row>
    <row r="9383" spans="1:13">
      <c r="A9383" t="s">
        <v>852</v>
      </c>
      <c r="B9383" t="s">
        <v>853</v>
      </c>
      <c r="C9383" t="s">
        <v>853</v>
      </c>
      <c r="D9383" t="s">
        <v>3185</v>
      </c>
      <c r="E9383" t="s">
        <v>656</v>
      </c>
      <c r="F9383" t="s">
        <v>31</v>
      </c>
      <c r="G9383">
        <v>2035</v>
      </c>
      <c r="H9383" s="12">
        <v>854.35</v>
      </c>
      <c r="I9383" t="s">
        <v>3183</v>
      </c>
      <c r="J9383" t="s">
        <v>5</v>
      </c>
      <c r="K9383" t="s">
        <v>147</v>
      </c>
      <c r="L9383" t="s">
        <v>20</v>
      </c>
      <c r="M9383" t="s">
        <v>665</v>
      </c>
    </row>
    <row r="9384" spans="1:13">
      <c r="A9384" t="s">
        <v>852</v>
      </c>
      <c r="B9384" t="s">
        <v>853</v>
      </c>
      <c r="C9384" t="s">
        <v>853</v>
      </c>
      <c r="D9384" t="s">
        <v>3185</v>
      </c>
      <c r="E9384" t="s">
        <v>656</v>
      </c>
      <c r="F9384" t="s">
        <v>31</v>
      </c>
      <c r="G9384">
        <v>2040</v>
      </c>
      <c r="H9384" s="12">
        <v>400.91</v>
      </c>
      <c r="I9384" t="s">
        <v>3183</v>
      </c>
      <c r="J9384" t="s">
        <v>5</v>
      </c>
      <c r="K9384" t="s">
        <v>147</v>
      </c>
      <c r="L9384" t="s">
        <v>20</v>
      </c>
      <c r="M9384" t="s">
        <v>665</v>
      </c>
    </row>
    <row r="9385" spans="1:13">
      <c r="A9385" t="s">
        <v>852</v>
      </c>
      <c r="B9385" t="s">
        <v>853</v>
      </c>
      <c r="C9385" t="s">
        <v>853</v>
      </c>
      <c r="D9385" t="s">
        <v>3185</v>
      </c>
      <c r="E9385" t="s">
        <v>656</v>
      </c>
      <c r="F9385" t="s">
        <v>31</v>
      </c>
      <c r="G9385">
        <v>2045</v>
      </c>
      <c r="H9385" s="12">
        <v>221.81</v>
      </c>
      <c r="I9385" t="s">
        <v>3183</v>
      </c>
      <c r="J9385" t="s">
        <v>5</v>
      </c>
      <c r="K9385" t="s">
        <v>147</v>
      </c>
      <c r="L9385" t="s">
        <v>20</v>
      </c>
      <c r="M9385" t="s">
        <v>665</v>
      </c>
    </row>
    <row r="9386" spans="1:13">
      <c r="A9386" t="s">
        <v>852</v>
      </c>
      <c r="B9386" t="s">
        <v>853</v>
      </c>
      <c r="C9386" t="s">
        <v>853</v>
      </c>
      <c r="D9386" t="s">
        <v>3185</v>
      </c>
      <c r="E9386" t="s">
        <v>656</v>
      </c>
      <c r="F9386" t="s">
        <v>31</v>
      </c>
      <c r="G9386">
        <v>2050</v>
      </c>
      <c r="H9386" s="12">
        <v>184.07</v>
      </c>
      <c r="I9386" t="s">
        <v>3183</v>
      </c>
      <c r="J9386" t="s">
        <v>5</v>
      </c>
      <c r="K9386" t="s">
        <v>147</v>
      </c>
      <c r="L9386" t="s">
        <v>20</v>
      </c>
      <c r="M9386" t="s">
        <v>665</v>
      </c>
    </row>
    <row r="9387" spans="1:13">
      <c r="A9387" t="s">
        <v>852</v>
      </c>
      <c r="B9387" t="s">
        <v>853</v>
      </c>
      <c r="C9387" t="s">
        <v>853</v>
      </c>
      <c r="D9387" t="s">
        <v>3185</v>
      </c>
      <c r="E9387" t="s">
        <v>656</v>
      </c>
      <c r="F9387" t="s">
        <v>31</v>
      </c>
      <c r="G9387">
        <v>2010</v>
      </c>
      <c r="H9387" s="12">
        <v>1388.82</v>
      </c>
      <c r="I9387" t="s">
        <v>3183</v>
      </c>
      <c r="J9387" t="s">
        <v>6</v>
      </c>
      <c r="K9387" t="s">
        <v>147</v>
      </c>
      <c r="L9387" t="s">
        <v>20</v>
      </c>
      <c r="M9387" t="s">
        <v>666</v>
      </c>
    </row>
    <row r="9388" spans="1:13">
      <c r="A9388" t="s">
        <v>852</v>
      </c>
      <c r="B9388" t="s">
        <v>853</v>
      </c>
      <c r="C9388" t="s">
        <v>853</v>
      </c>
      <c r="D9388" t="s">
        <v>3185</v>
      </c>
      <c r="E9388" t="s">
        <v>656</v>
      </c>
      <c r="F9388" t="s">
        <v>31</v>
      </c>
      <c r="G9388">
        <v>2015</v>
      </c>
      <c r="H9388" s="12">
        <v>1618.1</v>
      </c>
      <c r="I9388" t="s">
        <v>3183</v>
      </c>
      <c r="J9388" t="s">
        <v>6</v>
      </c>
      <c r="K9388" t="s">
        <v>147</v>
      </c>
      <c r="L9388" t="s">
        <v>20</v>
      </c>
      <c r="M9388" t="s">
        <v>666</v>
      </c>
    </row>
    <row r="9389" spans="1:13">
      <c r="A9389" t="s">
        <v>852</v>
      </c>
      <c r="B9389" t="s">
        <v>853</v>
      </c>
      <c r="C9389" t="s">
        <v>853</v>
      </c>
      <c r="D9389" t="s">
        <v>3185</v>
      </c>
      <c r="E9389" t="s">
        <v>656</v>
      </c>
      <c r="F9389" t="s">
        <v>31</v>
      </c>
      <c r="G9389">
        <v>2020</v>
      </c>
      <c r="H9389" s="12">
        <v>1830.46</v>
      </c>
      <c r="I9389" t="s">
        <v>3183</v>
      </c>
      <c r="J9389" t="s">
        <v>6</v>
      </c>
      <c r="K9389" t="s">
        <v>147</v>
      </c>
      <c r="L9389" t="s">
        <v>20</v>
      </c>
      <c r="M9389" t="s">
        <v>666</v>
      </c>
    </row>
    <row r="9390" spans="1:13">
      <c r="A9390" t="s">
        <v>852</v>
      </c>
      <c r="B9390" t="s">
        <v>853</v>
      </c>
      <c r="C9390" t="s">
        <v>853</v>
      </c>
      <c r="D9390" t="s">
        <v>3185</v>
      </c>
      <c r="E9390" t="s">
        <v>656</v>
      </c>
      <c r="F9390" t="s">
        <v>31</v>
      </c>
      <c r="G9390">
        <v>2030</v>
      </c>
      <c r="H9390" s="12">
        <v>1724.25</v>
      </c>
      <c r="I9390" t="s">
        <v>3183</v>
      </c>
      <c r="J9390" t="s">
        <v>6</v>
      </c>
      <c r="K9390" t="s">
        <v>147</v>
      </c>
      <c r="L9390" t="s">
        <v>20</v>
      </c>
      <c r="M9390" t="s">
        <v>666</v>
      </c>
    </row>
    <row r="9391" spans="1:13">
      <c r="A9391" t="s">
        <v>852</v>
      </c>
      <c r="B9391" t="s">
        <v>853</v>
      </c>
      <c r="C9391" t="s">
        <v>853</v>
      </c>
      <c r="D9391" t="s">
        <v>3185</v>
      </c>
      <c r="E9391" t="s">
        <v>656</v>
      </c>
      <c r="F9391" t="s">
        <v>31</v>
      </c>
      <c r="G9391">
        <v>2035</v>
      </c>
      <c r="H9391" s="12">
        <v>1360.15</v>
      </c>
      <c r="I9391" t="s">
        <v>3183</v>
      </c>
      <c r="J9391" t="s">
        <v>6</v>
      </c>
      <c r="K9391" t="s">
        <v>147</v>
      </c>
      <c r="L9391" t="s">
        <v>20</v>
      </c>
      <c r="M9391" t="s">
        <v>666</v>
      </c>
    </row>
    <row r="9392" spans="1:13">
      <c r="A9392" t="s">
        <v>852</v>
      </c>
      <c r="B9392" t="s">
        <v>853</v>
      </c>
      <c r="C9392" t="s">
        <v>853</v>
      </c>
      <c r="D9392" t="s">
        <v>3185</v>
      </c>
      <c r="E9392" t="s">
        <v>656</v>
      </c>
      <c r="F9392" t="s">
        <v>31</v>
      </c>
      <c r="G9392">
        <v>2040</v>
      </c>
      <c r="H9392" s="12">
        <v>1003.85</v>
      </c>
      <c r="I9392" t="s">
        <v>3183</v>
      </c>
      <c r="J9392" t="s">
        <v>6</v>
      </c>
      <c r="K9392" t="s">
        <v>147</v>
      </c>
      <c r="L9392" t="s">
        <v>20</v>
      </c>
      <c r="M9392" t="s">
        <v>666</v>
      </c>
    </row>
    <row r="9393" spans="1:13">
      <c r="A9393" t="s">
        <v>852</v>
      </c>
      <c r="B9393" t="s">
        <v>853</v>
      </c>
      <c r="C9393" t="s">
        <v>853</v>
      </c>
      <c r="D9393" t="s">
        <v>3185</v>
      </c>
      <c r="E9393" t="s">
        <v>656</v>
      </c>
      <c r="F9393" t="s">
        <v>31</v>
      </c>
      <c r="G9393">
        <v>2045</v>
      </c>
      <c r="H9393" s="12">
        <v>871.49</v>
      </c>
      <c r="I9393" t="s">
        <v>3183</v>
      </c>
      <c r="J9393" t="s">
        <v>6</v>
      </c>
      <c r="K9393" t="s">
        <v>147</v>
      </c>
      <c r="L9393" t="s">
        <v>20</v>
      </c>
      <c r="M9393" t="s">
        <v>666</v>
      </c>
    </row>
    <row r="9394" spans="1:13">
      <c r="A9394" t="s">
        <v>852</v>
      </c>
      <c r="B9394" t="s">
        <v>853</v>
      </c>
      <c r="C9394" t="s">
        <v>853</v>
      </c>
      <c r="D9394" t="s">
        <v>3185</v>
      </c>
      <c r="E9394" t="s">
        <v>656</v>
      </c>
      <c r="F9394" t="s">
        <v>31</v>
      </c>
      <c r="G9394">
        <v>2050</v>
      </c>
      <c r="H9394" s="12">
        <v>710.85</v>
      </c>
      <c r="I9394" t="s">
        <v>3183</v>
      </c>
      <c r="J9394" t="s">
        <v>6</v>
      </c>
      <c r="K9394" t="s">
        <v>147</v>
      </c>
      <c r="L9394" t="s">
        <v>20</v>
      </c>
      <c r="M9394" t="s">
        <v>666</v>
      </c>
    </row>
    <row r="9395" spans="1:13">
      <c r="A9395" t="s">
        <v>852</v>
      </c>
      <c r="B9395" t="s">
        <v>853</v>
      </c>
      <c r="C9395" t="s">
        <v>853</v>
      </c>
      <c r="D9395" t="s">
        <v>3185</v>
      </c>
      <c r="E9395" t="s">
        <v>656</v>
      </c>
      <c r="F9395" t="s">
        <v>31</v>
      </c>
      <c r="G9395">
        <v>2010</v>
      </c>
      <c r="H9395" s="12">
        <v>437.52</v>
      </c>
      <c r="I9395" t="s">
        <v>3183</v>
      </c>
      <c r="J9395" t="s">
        <v>394</v>
      </c>
      <c r="K9395" t="s">
        <v>147</v>
      </c>
      <c r="L9395" t="s">
        <v>20</v>
      </c>
      <c r="M9395" t="s">
        <v>16</v>
      </c>
    </row>
    <row r="9396" spans="1:13">
      <c r="A9396" t="s">
        <v>852</v>
      </c>
      <c r="B9396" t="s">
        <v>853</v>
      </c>
      <c r="C9396" t="s">
        <v>853</v>
      </c>
      <c r="D9396" t="s">
        <v>3185</v>
      </c>
      <c r="E9396" t="s">
        <v>656</v>
      </c>
      <c r="F9396" t="s">
        <v>31</v>
      </c>
      <c r="G9396">
        <v>2015</v>
      </c>
      <c r="H9396" s="12">
        <v>426.45</v>
      </c>
      <c r="I9396" t="s">
        <v>3183</v>
      </c>
      <c r="J9396" t="s">
        <v>394</v>
      </c>
      <c r="K9396" t="s">
        <v>147</v>
      </c>
      <c r="L9396" t="s">
        <v>20</v>
      </c>
      <c r="M9396" t="s">
        <v>16</v>
      </c>
    </row>
    <row r="9397" spans="1:13">
      <c r="A9397" t="s">
        <v>852</v>
      </c>
      <c r="B9397" t="s">
        <v>853</v>
      </c>
      <c r="C9397" t="s">
        <v>853</v>
      </c>
      <c r="D9397" t="s">
        <v>3185</v>
      </c>
      <c r="E9397" t="s">
        <v>656</v>
      </c>
      <c r="F9397" t="s">
        <v>31</v>
      </c>
      <c r="G9397">
        <v>2020</v>
      </c>
      <c r="H9397" s="12">
        <v>429.71</v>
      </c>
      <c r="I9397" t="s">
        <v>3183</v>
      </c>
      <c r="J9397" t="s">
        <v>394</v>
      </c>
      <c r="K9397" t="s">
        <v>147</v>
      </c>
      <c r="L9397" t="s">
        <v>20</v>
      </c>
      <c r="M9397" t="s">
        <v>16</v>
      </c>
    </row>
    <row r="9398" spans="1:13">
      <c r="A9398" t="s">
        <v>852</v>
      </c>
      <c r="B9398" t="s">
        <v>853</v>
      </c>
      <c r="C9398" t="s">
        <v>853</v>
      </c>
      <c r="D9398" t="s">
        <v>3185</v>
      </c>
      <c r="E9398" t="s">
        <v>656</v>
      </c>
      <c r="F9398" t="s">
        <v>31</v>
      </c>
      <c r="G9398">
        <v>2030</v>
      </c>
      <c r="H9398" s="12">
        <v>212.62</v>
      </c>
      <c r="I9398" t="s">
        <v>3183</v>
      </c>
      <c r="J9398" t="s">
        <v>394</v>
      </c>
      <c r="K9398" t="s">
        <v>147</v>
      </c>
      <c r="L9398" t="s">
        <v>20</v>
      </c>
      <c r="M9398" t="s">
        <v>16</v>
      </c>
    </row>
    <row r="9399" spans="1:13">
      <c r="A9399" t="s">
        <v>852</v>
      </c>
      <c r="B9399" t="s">
        <v>853</v>
      </c>
      <c r="C9399" t="s">
        <v>853</v>
      </c>
      <c r="D9399" t="s">
        <v>3185</v>
      </c>
      <c r="E9399" t="s">
        <v>656</v>
      </c>
      <c r="F9399" t="s">
        <v>31</v>
      </c>
      <c r="G9399">
        <v>2035</v>
      </c>
      <c r="H9399" s="12">
        <v>133.41</v>
      </c>
      <c r="I9399" t="s">
        <v>3183</v>
      </c>
      <c r="J9399" t="s">
        <v>394</v>
      </c>
      <c r="K9399" t="s">
        <v>147</v>
      </c>
      <c r="L9399" t="s">
        <v>20</v>
      </c>
      <c r="M9399" t="s">
        <v>16</v>
      </c>
    </row>
    <row r="9400" spans="1:13">
      <c r="A9400" t="s">
        <v>852</v>
      </c>
      <c r="B9400" t="s">
        <v>853</v>
      </c>
      <c r="C9400" t="s">
        <v>853</v>
      </c>
      <c r="D9400" t="s">
        <v>3185</v>
      </c>
      <c r="E9400" t="s">
        <v>656</v>
      </c>
      <c r="F9400" t="s">
        <v>31</v>
      </c>
      <c r="G9400">
        <v>2040</v>
      </c>
      <c r="H9400" s="12">
        <v>71.08</v>
      </c>
      <c r="I9400" t="s">
        <v>3183</v>
      </c>
      <c r="J9400" t="s">
        <v>394</v>
      </c>
      <c r="K9400" t="s">
        <v>147</v>
      </c>
      <c r="L9400" t="s">
        <v>20</v>
      </c>
      <c r="M9400" t="s">
        <v>16</v>
      </c>
    </row>
    <row r="9401" spans="1:13">
      <c r="A9401" t="s">
        <v>852</v>
      </c>
      <c r="B9401" t="s">
        <v>853</v>
      </c>
      <c r="C9401" t="s">
        <v>853</v>
      </c>
      <c r="D9401" t="s">
        <v>3185</v>
      </c>
      <c r="E9401" t="s">
        <v>656</v>
      </c>
      <c r="F9401" t="s">
        <v>31</v>
      </c>
      <c r="G9401">
        <v>2045</v>
      </c>
      <c r="H9401" s="12">
        <v>44.2</v>
      </c>
      <c r="I9401" t="s">
        <v>3183</v>
      </c>
      <c r="J9401" t="s">
        <v>394</v>
      </c>
      <c r="K9401" t="s">
        <v>147</v>
      </c>
      <c r="L9401" t="s">
        <v>20</v>
      </c>
      <c r="M9401" t="s">
        <v>16</v>
      </c>
    </row>
    <row r="9402" spans="1:13">
      <c r="A9402" t="s">
        <v>852</v>
      </c>
      <c r="B9402" t="s">
        <v>853</v>
      </c>
      <c r="C9402" t="s">
        <v>853</v>
      </c>
      <c r="D9402" t="s">
        <v>3185</v>
      </c>
      <c r="E9402" t="s">
        <v>656</v>
      </c>
      <c r="F9402" t="s">
        <v>31</v>
      </c>
      <c r="G9402">
        <v>2050</v>
      </c>
      <c r="H9402" s="12">
        <v>37.5</v>
      </c>
      <c r="I9402" t="s">
        <v>3183</v>
      </c>
      <c r="J9402" t="s">
        <v>394</v>
      </c>
      <c r="K9402" t="s">
        <v>147</v>
      </c>
      <c r="L9402" t="s">
        <v>20</v>
      </c>
      <c r="M9402" t="s">
        <v>16</v>
      </c>
    </row>
    <row r="9403" spans="1:13">
      <c r="A9403" t="s">
        <v>852</v>
      </c>
      <c r="B9403" t="s">
        <v>853</v>
      </c>
      <c r="C9403" t="s">
        <v>853</v>
      </c>
      <c r="D9403" t="s">
        <v>3185</v>
      </c>
      <c r="E9403" t="s">
        <v>656</v>
      </c>
      <c r="F9403" t="s">
        <v>31</v>
      </c>
      <c r="G9403">
        <v>2010</v>
      </c>
      <c r="H9403" s="12">
        <v>0.74</v>
      </c>
      <c r="I9403" t="s">
        <v>3183</v>
      </c>
      <c r="J9403" t="s">
        <v>484</v>
      </c>
      <c r="K9403" t="s">
        <v>147</v>
      </c>
      <c r="L9403" t="s">
        <v>20</v>
      </c>
      <c r="M9403" t="s">
        <v>667</v>
      </c>
    </row>
    <row r="9404" spans="1:13">
      <c r="A9404" t="s">
        <v>852</v>
      </c>
      <c r="B9404" t="s">
        <v>853</v>
      </c>
      <c r="C9404" t="s">
        <v>853</v>
      </c>
      <c r="D9404" t="s">
        <v>3185</v>
      </c>
      <c r="E9404" t="s">
        <v>656</v>
      </c>
      <c r="F9404" t="s">
        <v>31</v>
      </c>
      <c r="G9404">
        <v>2015</v>
      </c>
      <c r="H9404" s="12">
        <v>2.21</v>
      </c>
      <c r="I9404" t="s">
        <v>3183</v>
      </c>
      <c r="J9404" t="s">
        <v>484</v>
      </c>
      <c r="K9404" t="s">
        <v>147</v>
      </c>
      <c r="L9404" t="s">
        <v>20</v>
      </c>
      <c r="M9404" t="s">
        <v>667</v>
      </c>
    </row>
    <row r="9405" spans="1:13">
      <c r="A9405" t="s">
        <v>852</v>
      </c>
      <c r="B9405" t="s">
        <v>853</v>
      </c>
      <c r="C9405" t="s">
        <v>853</v>
      </c>
      <c r="D9405" t="s">
        <v>3185</v>
      </c>
      <c r="E9405" t="s">
        <v>656</v>
      </c>
      <c r="F9405" t="s">
        <v>31</v>
      </c>
      <c r="G9405">
        <v>2020</v>
      </c>
      <c r="H9405" s="12">
        <v>17.72</v>
      </c>
      <c r="I9405" t="s">
        <v>3183</v>
      </c>
      <c r="J9405" t="s">
        <v>484</v>
      </c>
      <c r="K9405" t="s">
        <v>147</v>
      </c>
      <c r="L9405" t="s">
        <v>20</v>
      </c>
      <c r="M9405" t="s">
        <v>667</v>
      </c>
    </row>
    <row r="9406" spans="1:13">
      <c r="A9406" t="s">
        <v>852</v>
      </c>
      <c r="B9406" t="s">
        <v>853</v>
      </c>
      <c r="C9406" t="s">
        <v>853</v>
      </c>
      <c r="D9406" t="s">
        <v>3185</v>
      </c>
      <c r="E9406" t="s">
        <v>656</v>
      </c>
      <c r="F9406" t="s">
        <v>31</v>
      </c>
      <c r="G9406">
        <v>2030</v>
      </c>
      <c r="H9406" s="12">
        <v>778.15</v>
      </c>
      <c r="I9406" t="s">
        <v>3183</v>
      </c>
      <c r="J9406" t="s">
        <v>484</v>
      </c>
      <c r="K9406" t="s">
        <v>147</v>
      </c>
      <c r="L9406" t="s">
        <v>20</v>
      </c>
      <c r="M9406" t="s">
        <v>667</v>
      </c>
    </row>
    <row r="9407" spans="1:13">
      <c r="A9407" t="s">
        <v>852</v>
      </c>
      <c r="B9407" t="s">
        <v>853</v>
      </c>
      <c r="C9407" t="s">
        <v>853</v>
      </c>
      <c r="D9407" t="s">
        <v>3185</v>
      </c>
      <c r="E9407" t="s">
        <v>656</v>
      </c>
      <c r="F9407" t="s">
        <v>31</v>
      </c>
      <c r="G9407">
        <v>2035</v>
      </c>
      <c r="H9407" s="12">
        <v>1545.42</v>
      </c>
      <c r="I9407" t="s">
        <v>3183</v>
      </c>
      <c r="J9407" t="s">
        <v>484</v>
      </c>
      <c r="K9407" t="s">
        <v>147</v>
      </c>
      <c r="L9407" t="s">
        <v>20</v>
      </c>
      <c r="M9407" t="s">
        <v>667</v>
      </c>
    </row>
    <row r="9408" spans="1:13">
      <c r="A9408" t="s">
        <v>852</v>
      </c>
      <c r="B9408" t="s">
        <v>853</v>
      </c>
      <c r="C9408" t="s">
        <v>853</v>
      </c>
      <c r="D9408" t="s">
        <v>3185</v>
      </c>
      <c r="E9408" t="s">
        <v>656</v>
      </c>
      <c r="F9408" t="s">
        <v>31</v>
      </c>
      <c r="G9408">
        <v>2040</v>
      </c>
      <c r="H9408" s="12">
        <v>2310.85</v>
      </c>
      <c r="I9408" t="s">
        <v>3183</v>
      </c>
      <c r="J9408" t="s">
        <v>484</v>
      </c>
      <c r="K9408" t="s">
        <v>147</v>
      </c>
      <c r="L9408" t="s">
        <v>20</v>
      </c>
      <c r="M9408" t="s">
        <v>667</v>
      </c>
    </row>
    <row r="9409" spans="1:13">
      <c r="A9409" t="s">
        <v>852</v>
      </c>
      <c r="B9409" t="s">
        <v>853</v>
      </c>
      <c r="C9409" t="s">
        <v>853</v>
      </c>
      <c r="D9409" t="s">
        <v>3185</v>
      </c>
      <c r="E9409" t="s">
        <v>656</v>
      </c>
      <c r="F9409" t="s">
        <v>31</v>
      </c>
      <c r="G9409">
        <v>2045</v>
      </c>
      <c r="H9409" s="12">
        <v>3118.48</v>
      </c>
      <c r="I9409" t="s">
        <v>3183</v>
      </c>
      <c r="J9409" t="s">
        <v>484</v>
      </c>
      <c r="K9409" t="s">
        <v>147</v>
      </c>
      <c r="L9409" t="s">
        <v>20</v>
      </c>
      <c r="M9409" t="s">
        <v>667</v>
      </c>
    </row>
    <row r="9410" spans="1:13">
      <c r="A9410" t="s">
        <v>852</v>
      </c>
      <c r="B9410" t="s">
        <v>853</v>
      </c>
      <c r="C9410" t="s">
        <v>853</v>
      </c>
      <c r="D9410" t="s">
        <v>3185</v>
      </c>
      <c r="E9410" t="s">
        <v>656</v>
      </c>
      <c r="F9410" t="s">
        <v>31</v>
      </c>
      <c r="G9410">
        <v>2050</v>
      </c>
      <c r="H9410" s="12">
        <v>3860.17</v>
      </c>
      <c r="I9410" t="s">
        <v>3183</v>
      </c>
      <c r="J9410" t="s">
        <v>484</v>
      </c>
      <c r="K9410" t="s">
        <v>147</v>
      </c>
      <c r="L9410" t="s">
        <v>20</v>
      </c>
      <c r="M9410" t="s">
        <v>667</v>
      </c>
    </row>
    <row r="9411" spans="1:13">
      <c r="A9411" t="s">
        <v>852</v>
      </c>
      <c r="B9411" t="s">
        <v>853</v>
      </c>
      <c r="C9411" t="s">
        <v>853</v>
      </c>
      <c r="D9411" t="s">
        <v>3185</v>
      </c>
      <c r="E9411" t="s">
        <v>242</v>
      </c>
      <c r="F9411" t="s">
        <v>663</v>
      </c>
      <c r="G9411">
        <v>2010</v>
      </c>
      <c r="H9411" s="12">
        <v>8945.8799999999992</v>
      </c>
      <c r="I9411" t="s">
        <v>3183</v>
      </c>
      <c r="J9411" t="s">
        <v>5</v>
      </c>
      <c r="K9411" t="s">
        <v>147</v>
      </c>
      <c r="L9411" t="s">
        <v>20</v>
      </c>
      <c r="M9411" t="s">
        <v>5</v>
      </c>
    </row>
    <row r="9412" spans="1:13">
      <c r="A9412" t="s">
        <v>852</v>
      </c>
      <c r="B9412" t="s">
        <v>853</v>
      </c>
      <c r="C9412" t="s">
        <v>853</v>
      </c>
      <c r="D9412" t="s">
        <v>3185</v>
      </c>
      <c r="E9412" t="s">
        <v>242</v>
      </c>
      <c r="F9412" t="s">
        <v>663</v>
      </c>
      <c r="G9412">
        <v>2015</v>
      </c>
      <c r="H9412" s="12">
        <v>9585.8700000000008</v>
      </c>
      <c r="I9412" t="s">
        <v>3183</v>
      </c>
      <c r="J9412" t="s">
        <v>5</v>
      </c>
      <c r="K9412" t="s">
        <v>147</v>
      </c>
      <c r="L9412" t="s">
        <v>20</v>
      </c>
      <c r="M9412" t="s">
        <v>5</v>
      </c>
    </row>
    <row r="9413" spans="1:13">
      <c r="A9413" t="s">
        <v>852</v>
      </c>
      <c r="B9413" t="s">
        <v>853</v>
      </c>
      <c r="C9413" t="s">
        <v>853</v>
      </c>
      <c r="D9413" t="s">
        <v>3185</v>
      </c>
      <c r="E9413" t="s">
        <v>242</v>
      </c>
      <c r="F9413" t="s">
        <v>663</v>
      </c>
      <c r="G9413">
        <v>2020</v>
      </c>
      <c r="H9413" s="12">
        <v>9750.4</v>
      </c>
      <c r="I9413" t="s">
        <v>3183</v>
      </c>
      <c r="J9413" t="s">
        <v>5</v>
      </c>
      <c r="K9413" t="s">
        <v>147</v>
      </c>
      <c r="L9413" t="s">
        <v>20</v>
      </c>
      <c r="M9413" t="s">
        <v>5</v>
      </c>
    </row>
    <row r="9414" spans="1:13">
      <c r="A9414" t="s">
        <v>852</v>
      </c>
      <c r="B9414" t="s">
        <v>853</v>
      </c>
      <c r="C9414" t="s">
        <v>853</v>
      </c>
      <c r="D9414" t="s">
        <v>3185</v>
      </c>
      <c r="E9414" t="s">
        <v>242</v>
      </c>
      <c r="F9414" t="s">
        <v>663</v>
      </c>
      <c r="G9414">
        <v>2030</v>
      </c>
      <c r="H9414" s="12">
        <v>4653.4799999999996</v>
      </c>
      <c r="I9414" t="s">
        <v>3183</v>
      </c>
      <c r="J9414" t="s">
        <v>5</v>
      </c>
      <c r="K9414" t="s">
        <v>147</v>
      </c>
      <c r="L9414" t="s">
        <v>20</v>
      </c>
      <c r="M9414" t="s">
        <v>5</v>
      </c>
    </row>
    <row r="9415" spans="1:13">
      <c r="A9415" t="s">
        <v>852</v>
      </c>
      <c r="B9415" t="s">
        <v>853</v>
      </c>
      <c r="C9415" t="s">
        <v>853</v>
      </c>
      <c r="D9415" t="s">
        <v>3185</v>
      </c>
      <c r="E9415" t="s">
        <v>242</v>
      </c>
      <c r="F9415" t="s">
        <v>663</v>
      </c>
      <c r="G9415">
        <v>2035</v>
      </c>
      <c r="H9415" s="12">
        <v>2039.71</v>
      </c>
      <c r="I9415" t="s">
        <v>3183</v>
      </c>
      <c r="J9415" t="s">
        <v>5</v>
      </c>
      <c r="K9415" t="s">
        <v>147</v>
      </c>
      <c r="L9415" t="s">
        <v>20</v>
      </c>
      <c r="M9415" t="s">
        <v>5</v>
      </c>
    </row>
    <row r="9416" spans="1:13">
      <c r="A9416" t="s">
        <v>852</v>
      </c>
      <c r="B9416" t="s">
        <v>853</v>
      </c>
      <c r="C9416" t="s">
        <v>853</v>
      </c>
      <c r="D9416" t="s">
        <v>3185</v>
      </c>
      <c r="E9416" t="s">
        <v>242</v>
      </c>
      <c r="F9416" t="s">
        <v>663</v>
      </c>
      <c r="G9416">
        <v>2040</v>
      </c>
      <c r="H9416" s="12">
        <v>48.73</v>
      </c>
      <c r="I9416" t="s">
        <v>3183</v>
      </c>
      <c r="J9416" t="s">
        <v>5</v>
      </c>
      <c r="K9416" t="s">
        <v>147</v>
      </c>
      <c r="L9416" t="s">
        <v>20</v>
      </c>
      <c r="M9416" t="s">
        <v>5</v>
      </c>
    </row>
    <row r="9417" spans="1:13">
      <c r="A9417" t="s">
        <v>852</v>
      </c>
      <c r="B9417" t="s">
        <v>853</v>
      </c>
      <c r="C9417" t="s">
        <v>853</v>
      </c>
      <c r="D9417" t="s">
        <v>3185</v>
      </c>
      <c r="E9417" t="s">
        <v>242</v>
      </c>
      <c r="F9417" t="s">
        <v>663</v>
      </c>
      <c r="G9417">
        <v>2045</v>
      </c>
      <c r="H9417" s="12">
        <v>25.73</v>
      </c>
      <c r="I9417" t="s">
        <v>3183</v>
      </c>
      <c r="J9417" t="s">
        <v>5</v>
      </c>
      <c r="K9417" t="s">
        <v>147</v>
      </c>
      <c r="L9417" t="s">
        <v>20</v>
      </c>
      <c r="M9417" t="s">
        <v>5</v>
      </c>
    </row>
    <row r="9418" spans="1:13">
      <c r="A9418" t="s">
        <v>852</v>
      </c>
      <c r="B9418" t="s">
        <v>853</v>
      </c>
      <c r="C9418" t="s">
        <v>853</v>
      </c>
      <c r="D9418" t="s">
        <v>3185</v>
      </c>
      <c r="E9418" t="s">
        <v>242</v>
      </c>
      <c r="F9418" t="s">
        <v>663</v>
      </c>
      <c r="G9418">
        <v>2050</v>
      </c>
      <c r="H9418" s="12">
        <v>26.65</v>
      </c>
      <c r="I9418" t="s">
        <v>3183</v>
      </c>
      <c r="J9418" t="s">
        <v>5</v>
      </c>
      <c r="K9418" t="s">
        <v>147</v>
      </c>
      <c r="L9418" t="s">
        <v>20</v>
      </c>
      <c r="M9418" t="s">
        <v>5</v>
      </c>
    </row>
    <row r="9419" spans="1:13">
      <c r="A9419" t="s">
        <v>852</v>
      </c>
      <c r="B9419" t="s">
        <v>853</v>
      </c>
      <c r="C9419" t="s">
        <v>853</v>
      </c>
      <c r="D9419" t="s">
        <v>3185</v>
      </c>
      <c r="E9419" t="s">
        <v>242</v>
      </c>
      <c r="F9419" t="s">
        <v>663</v>
      </c>
      <c r="G9419">
        <v>2010</v>
      </c>
      <c r="H9419" s="12">
        <v>827.85</v>
      </c>
      <c r="I9419" t="s">
        <v>3183</v>
      </c>
      <c r="J9419" t="s">
        <v>394</v>
      </c>
      <c r="K9419" t="s">
        <v>147</v>
      </c>
      <c r="L9419" t="s">
        <v>20</v>
      </c>
      <c r="M9419" t="s">
        <v>16</v>
      </c>
    </row>
    <row r="9420" spans="1:13">
      <c r="A9420" t="s">
        <v>852</v>
      </c>
      <c r="B9420" t="s">
        <v>853</v>
      </c>
      <c r="C9420" t="s">
        <v>853</v>
      </c>
      <c r="D9420" t="s">
        <v>3185</v>
      </c>
      <c r="E9420" t="s">
        <v>242</v>
      </c>
      <c r="F9420" t="s">
        <v>663</v>
      </c>
      <c r="G9420">
        <v>2015</v>
      </c>
      <c r="H9420" s="12">
        <v>818.61</v>
      </c>
      <c r="I9420" t="s">
        <v>3183</v>
      </c>
      <c r="J9420" t="s">
        <v>394</v>
      </c>
      <c r="K9420" t="s">
        <v>147</v>
      </c>
      <c r="L9420" t="s">
        <v>20</v>
      </c>
      <c r="M9420" t="s">
        <v>16</v>
      </c>
    </row>
    <row r="9421" spans="1:13">
      <c r="A9421" t="s">
        <v>852</v>
      </c>
      <c r="B9421" t="s">
        <v>853</v>
      </c>
      <c r="C9421" t="s">
        <v>853</v>
      </c>
      <c r="D9421" t="s">
        <v>3185</v>
      </c>
      <c r="E9421" t="s">
        <v>242</v>
      </c>
      <c r="F9421" t="s">
        <v>663</v>
      </c>
      <c r="G9421">
        <v>2020</v>
      </c>
      <c r="H9421" s="12">
        <v>557.29999999999995</v>
      </c>
      <c r="I9421" t="s">
        <v>3183</v>
      </c>
      <c r="J9421" t="s">
        <v>394</v>
      </c>
      <c r="K9421" t="s">
        <v>147</v>
      </c>
      <c r="L9421" t="s">
        <v>20</v>
      </c>
      <c r="M9421" t="s">
        <v>16</v>
      </c>
    </row>
    <row r="9422" spans="1:13">
      <c r="A9422" t="s">
        <v>852</v>
      </c>
      <c r="B9422" t="s">
        <v>853</v>
      </c>
      <c r="C9422" t="s">
        <v>853</v>
      </c>
      <c r="D9422" t="s">
        <v>3185</v>
      </c>
      <c r="E9422" t="s">
        <v>242</v>
      </c>
      <c r="F9422" t="s">
        <v>663</v>
      </c>
      <c r="G9422">
        <v>2030</v>
      </c>
      <c r="H9422" s="12">
        <v>167.39</v>
      </c>
      <c r="I9422" t="s">
        <v>3183</v>
      </c>
      <c r="J9422" t="s">
        <v>394</v>
      </c>
      <c r="K9422" t="s">
        <v>147</v>
      </c>
      <c r="L9422" t="s">
        <v>20</v>
      </c>
      <c r="M9422" t="s">
        <v>16</v>
      </c>
    </row>
    <row r="9423" spans="1:13">
      <c r="A9423" t="s">
        <v>852</v>
      </c>
      <c r="B9423" t="s">
        <v>853</v>
      </c>
      <c r="C9423" t="s">
        <v>853</v>
      </c>
      <c r="D9423" t="s">
        <v>3185</v>
      </c>
      <c r="E9423" t="s">
        <v>242</v>
      </c>
      <c r="F9423" t="s">
        <v>663</v>
      </c>
      <c r="G9423">
        <v>2035</v>
      </c>
      <c r="H9423" s="12">
        <v>60.62</v>
      </c>
      <c r="I9423" t="s">
        <v>3183</v>
      </c>
      <c r="J9423" t="s">
        <v>394</v>
      </c>
      <c r="K9423" t="s">
        <v>147</v>
      </c>
      <c r="L9423" t="s">
        <v>20</v>
      </c>
      <c r="M9423" t="s">
        <v>16</v>
      </c>
    </row>
    <row r="9424" spans="1:13">
      <c r="A9424" t="s">
        <v>852</v>
      </c>
      <c r="B9424" t="s">
        <v>853</v>
      </c>
      <c r="C9424" t="s">
        <v>853</v>
      </c>
      <c r="D9424" t="s">
        <v>3185</v>
      </c>
      <c r="E9424" t="s">
        <v>242</v>
      </c>
      <c r="F9424" t="s">
        <v>663</v>
      </c>
      <c r="G9424">
        <v>2040</v>
      </c>
      <c r="H9424" s="12">
        <v>17.8</v>
      </c>
      <c r="I9424" t="s">
        <v>3183</v>
      </c>
      <c r="J9424" t="s">
        <v>394</v>
      </c>
      <c r="K9424" t="s">
        <v>147</v>
      </c>
      <c r="L9424" t="s">
        <v>20</v>
      </c>
      <c r="M9424" t="s">
        <v>16</v>
      </c>
    </row>
    <row r="9425" spans="1:13">
      <c r="A9425" t="s">
        <v>852</v>
      </c>
      <c r="B9425" t="s">
        <v>853</v>
      </c>
      <c r="C9425" t="s">
        <v>853</v>
      </c>
      <c r="D9425" t="s">
        <v>3185</v>
      </c>
      <c r="E9425" t="s">
        <v>242</v>
      </c>
      <c r="F9425" t="s">
        <v>663</v>
      </c>
      <c r="G9425">
        <v>2045</v>
      </c>
      <c r="H9425" s="12">
        <v>2.64</v>
      </c>
      <c r="I9425" t="s">
        <v>3183</v>
      </c>
      <c r="J9425" t="s">
        <v>394</v>
      </c>
      <c r="K9425" t="s">
        <v>147</v>
      </c>
      <c r="L9425" t="s">
        <v>20</v>
      </c>
      <c r="M9425" t="s">
        <v>16</v>
      </c>
    </row>
    <row r="9426" spans="1:13">
      <c r="A9426" t="s">
        <v>852</v>
      </c>
      <c r="B9426" t="s">
        <v>853</v>
      </c>
      <c r="C9426" t="s">
        <v>853</v>
      </c>
      <c r="D9426" t="s">
        <v>3185</v>
      </c>
      <c r="E9426" t="s">
        <v>242</v>
      </c>
      <c r="F9426" t="s">
        <v>663</v>
      </c>
      <c r="G9426">
        <v>2050</v>
      </c>
      <c r="H9426" s="12">
        <v>2.34</v>
      </c>
      <c r="I9426" t="s">
        <v>3183</v>
      </c>
      <c r="J9426" t="s">
        <v>394</v>
      </c>
      <c r="K9426" t="s">
        <v>147</v>
      </c>
      <c r="L9426" t="s">
        <v>20</v>
      </c>
      <c r="M9426" t="s">
        <v>16</v>
      </c>
    </row>
    <row r="9427" spans="1:13">
      <c r="A9427" t="s">
        <v>852</v>
      </c>
      <c r="B9427" t="s">
        <v>853</v>
      </c>
      <c r="C9427" t="s">
        <v>853</v>
      </c>
      <c r="D9427" t="s">
        <v>3185</v>
      </c>
      <c r="E9427" t="s">
        <v>242</v>
      </c>
      <c r="F9427" t="s">
        <v>663</v>
      </c>
      <c r="G9427">
        <v>2010</v>
      </c>
      <c r="H9427" s="12">
        <v>2622.52</v>
      </c>
      <c r="I9427" t="s">
        <v>3183</v>
      </c>
      <c r="J9427" t="s">
        <v>6</v>
      </c>
      <c r="K9427" t="s">
        <v>147</v>
      </c>
      <c r="L9427" t="s">
        <v>20</v>
      </c>
      <c r="M9427" t="s">
        <v>659</v>
      </c>
    </row>
    <row r="9428" spans="1:13">
      <c r="A9428" t="s">
        <v>852</v>
      </c>
      <c r="B9428" t="s">
        <v>853</v>
      </c>
      <c r="C9428" t="s">
        <v>853</v>
      </c>
      <c r="D9428" t="s">
        <v>3185</v>
      </c>
      <c r="E9428" t="s">
        <v>242</v>
      </c>
      <c r="F9428" t="s">
        <v>663</v>
      </c>
      <c r="G9428">
        <v>2015</v>
      </c>
      <c r="H9428" s="12">
        <v>2828.72</v>
      </c>
      <c r="I9428" t="s">
        <v>3183</v>
      </c>
      <c r="J9428" t="s">
        <v>6</v>
      </c>
      <c r="K9428" t="s">
        <v>147</v>
      </c>
      <c r="L9428" t="s">
        <v>20</v>
      </c>
      <c r="M9428" t="s">
        <v>659</v>
      </c>
    </row>
    <row r="9429" spans="1:13">
      <c r="A9429" t="s">
        <v>852</v>
      </c>
      <c r="B9429" t="s">
        <v>853</v>
      </c>
      <c r="C9429" t="s">
        <v>853</v>
      </c>
      <c r="D9429" t="s">
        <v>3185</v>
      </c>
      <c r="E9429" t="s">
        <v>242</v>
      </c>
      <c r="F9429" t="s">
        <v>663</v>
      </c>
      <c r="G9429">
        <v>2020</v>
      </c>
      <c r="H9429" s="12">
        <v>3095.24</v>
      </c>
      <c r="I9429" t="s">
        <v>3183</v>
      </c>
      <c r="J9429" t="s">
        <v>6</v>
      </c>
      <c r="K9429" t="s">
        <v>147</v>
      </c>
      <c r="L9429" t="s">
        <v>20</v>
      </c>
      <c r="M9429" t="s">
        <v>659</v>
      </c>
    </row>
    <row r="9430" spans="1:13">
      <c r="A9430" t="s">
        <v>852</v>
      </c>
      <c r="B9430" t="s">
        <v>853</v>
      </c>
      <c r="C9430" t="s">
        <v>853</v>
      </c>
      <c r="D9430" t="s">
        <v>3185</v>
      </c>
      <c r="E9430" t="s">
        <v>242</v>
      </c>
      <c r="F9430" t="s">
        <v>663</v>
      </c>
      <c r="G9430">
        <v>2030</v>
      </c>
      <c r="H9430" s="12">
        <v>2264.1799999999998</v>
      </c>
      <c r="I9430" t="s">
        <v>3183</v>
      </c>
      <c r="J9430" t="s">
        <v>6</v>
      </c>
      <c r="K9430" t="s">
        <v>147</v>
      </c>
      <c r="L9430" t="s">
        <v>20</v>
      </c>
      <c r="M9430" t="s">
        <v>659</v>
      </c>
    </row>
    <row r="9431" spans="1:13">
      <c r="A9431" t="s">
        <v>852</v>
      </c>
      <c r="B9431" t="s">
        <v>853</v>
      </c>
      <c r="C9431" t="s">
        <v>853</v>
      </c>
      <c r="D9431" t="s">
        <v>3185</v>
      </c>
      <c r="E9431" t="s">
        <v>242</v>
      </c>
      <c r="F9431" t="s">
        <v>663</v>
      </c>
      <c r="G9431">
        <v>2035</v>
      </c>
      <c r="H9431" s="12">
        <v>873.06</v>
      </c>
      <c r="I9431" t="s">
        <v>3183</v>
      </c>
      <c r="J9431" t="s">
        <v>6</v>
      </c>
      <c r="K9431" t="s">
        <v>147</v>
      </c>
      <c r="L9431" t="s">
        <v>20</v>
      </c>
      <c r="M9431" t="s">
        <v>659</v>
      </c>
    </row>
    <row r="9432" spans="1:13">
      <c r="A9432" t="s">
        <v>852</v>
      </c>
      <c r="B9432" t="s">
        <v>853</v>
      </c>
      <c r="C9432" t="s">
        <v>853</v>
      </c>
      <c r="D9432" t="s">
        <v>3185</v>
      </c>
      <c r="E9432" t="s">
        <v>242</v>
      </c>
      <c r="F9432" t="s">
        <v>663</v>
      </c>
      <c r="G9432">
        <v>2040</v>
      </c>
      <c r="H9432" s="12">
        <v>79.989999999999995</v>
      </c>
      <c r="I9432" t="s">
        <v>3183</v>
      </c>
      <c r="J9432" t="s">
        <v>6</v>
      </c>
      <c r="K9432" t="s">
        <v>147</v>
      </c>
      <c r="L9432" t="s">
        <v>20</v>
      </c>
      <c r="M9432" t="s">
        <v>659</v>
      </c>
    </row>
    <row r="9433" spans="1:13">
      <c r="A9433" t="s">
        <v>852</v>
      </c>
      <c r="B9433" t="s">
        <v>853</v>
      </c>
      <c r="C9433" t="s">
        <v>853</v>
      </c>
      <c r="D9433" t="s">
        <v>3185</v>
      </c>
      <c r="E9433" t="s">
        <v>242</v>
      </c>
      <c r="F9433" t="s">
        <v>663</v>
      </c>
      <c r="G9433">
        <v>2045</v>
      </c>
      <c r="H9433" s="12">
        <v>43.83</v>
      </c>
      <c r="I9433" t="s">
        <v>3183</v>
      </c>
      <c r="J9433" t="s">
        <v>6</v>
      </c>
      <c r="K9433" t="s">
        <v>147</v>
      </c>
      <c r="L9433" t="s">
        <v>20</v>
      </c>
      <c r="M9433" t="s">
        <v>659</v>
      </c>
    </row>
    <row r="9434" spans="1:13">
      <c r="A9434" t="s">
        <v>852</v>
      </c>
      <c r="B9434" t="s">
        <v>853</v>
      </c>
      <c r="C9434" t="s">
        <v>853</v>
      </c>
      <c r="D9434" t="s">
        <v>3185</v>
      </c>
      <c r="E9434" t="s">
        <v>242</v>
      </c>
      <c r="F9434" t="s">
        <v>663</v>
      </c>
      <c r="G9434">
        <v>2050</v>
      </c>
      <c r="H9434" s="12">
        <v>41.69</v>
      </c>
      <c r="I9434" t="s">
        <v>3183</v>
      </c>
      <c r="J9434" t="s">
        <v>6</v>
      </c>
      <c r="K9434" t="s">
        <v>147</v>
      </c>
      <c r="L9434" t="s">
        <v>20</v>
      </c>
      <c r="M9434" t="s">
        <v>659</v>
      </c>
    </row>
    <row r="9435" spans="1:13">
      <c r="A9435" t="s">
        <v>852</v>
      </c>
      <c r="B9435" t="s">
        <v>853</v>
      </c>
      <c r="C9435" t="s">
        <v>853</v>
      </c>
      <c r="D9435" t="s">
        <v>3185</v>
      </c>
      <c r="E9435" t="s">
        <v>242</v>
      </c>
      <c r="F9435" t="s">
        <v>663</v>
      </c>
      <c r="G9435">
        <v>2010</v>
      </c>
      <c r="H9435" s="12">
        <v>4706.84</v>
      </c>
      <c r="I9435" t="s">
        <v>3183</v>
      </c>
      <c r="J9435" t="s">
        <v>5</v>
      </c>
      <c r="K9435" t="s">
        <v>664</v>
      </c>
      <c r="L9435" t="s">
        <v>20</v>
      </c>
      <c r="M9435" t="s">
        <v>5</v>
      </c>
    </row>
    <row r="9436" spans="1:13">
      <c r="A9436" t="s">
        <v>852</v>
      </c>
      <c r="B9436" t="s">
        <v>853</v>
      </c>
      <c r="C9436" t="s">
        <v>853</v>
      </c>
      <c r="D9436" t="s">
        <v>3185</v>
      </c>
      <c r="E9436" t="s">
        <v>242</v>
      </c>
      <c r="F9436" t="s">
        <v>663</v>
      </c>
      <c r="G9436">
        <v>2015</v>
      </c>
      <c r="H9436" s="12">
        <v>4930.29</v>
      </c>
      <c r="I9436" t="s">
        <v>3183</v>
      </c>
      <c r="J9436" t="s">
        <v>5</v>
      </c>
      <c r="K9436" t="s">
        <v>664</v>
      </c>
      <c r="L9436" t="s">
        <v>20</v>
      </c>
      <c r="M9436" t="s">
        <v>5</v>
      </c>
    </row>
    <row r="9437" spans="1:13">
      <c r="A9437" t="s">
        <v>852</v>
      </c>
      <c r="B9437" t="s">
        <v>853</v>
      </c>
      <c r="C9437" t="s">
        <v>853</v>
      </c>
      <c r="D9437" t="s">
        <v>3185</v>
      </c>
      <c r="E9437" t="s">
        <v>242</v>
      </c>
      <c r="F9437" t="s">
        <v>663</v>
      </c>
      <c r="G9437">
        <v>2020</v>
      </c>
      <c r="H9437" s="12">
        <v>4474.28</v>
      </c>
      <c r="I9437" t="s">
        <v>3183</v>
      </c>
      <c r="J9437" t="s">
        <v>5</v>
      </c>
      <c r="K9437" t="s">
        <v>664</v>
      </c>
      <c r="L9437" t="s">
        <v>20</v>
      </c>
      <c r="M9437" t="s">
        <v>5</v>
      </c>
    </row>
    <row r="9438" spans="1:13">
      <c r="A9438" t="s">
        <v>852</v>
      </c>
      <c r="B9438" t="s">
        <v>853</v>
      </c>
      <c r="C9438" t="s">
        <v>853</v>
      </c>
      <c r="D9438" t="s">
        <v>3185</v>
      </c>
      <c r="E9438" t="s">
        <v>242</v>
      </c>
      <c r="F9438" t="s">
        <v>663</v>
      </c>
      <c r="G9438">
        <v>2030</v>
      </c>
      <c r="H9438" s="12">
        <v>2835.23</v>
      </c>
      <c r="I9438" t="s">
        <v>3183</v>
      </c>
      <c r="J9438" t="s">
        <v>5</v>
      </c>
      <c r="K9438" t="s">
        <v>664</v>
      </c>
      <c r="L9438" t="s">
        <v>20</v>
      </c>
      <c r="M9438" t="s">
        <v>5</v>
      </c>
    </row>
    <row r="9439" spans="1:13">
      <c r="A9439" t="s">
        <v>852</v>
      </c>
      <c r="B9439" t="s">
        <v>853</v>
      </c>
      <c r="C9439" t="s">
        <v>853</v>
      </c>
      <c r="D9439" t="s">
        <v>3185</v>
      </c>
      <c r="E9439" t="s">
        <v>242</v>
      </c>
      <c r="F9439" t="s">
        <v>663</v>
      </c>
      <c r="G9439">
        <v>2035</v>
      </c>
      <c r="H9439" s="12">
        <v>1849.14</v>
      </c>
      <c r="I9439" t="s">
        <v>3183</v>
      </c>
      <c r="J9439" t="s">
        <v>5</v>
      </c>
      <c r="K9439" t="s">
        <v>664</v>
      </c>
      <c r="L9439" t="s">
        <v>20</v>
      </c>
      <c r="M9439" t="s">
        <v>5</v>
      </c>
    </row>
    <row r="9440" spans="1:13">
      <c r="A9440" t="s">
        <v>852</v>
      </c>
      <c r="B9440" t="s">
        <v>853</v>
      </c>
      <c r="C9440" t="s">
        <v>853</v>
      </c>
      <c r="D9440" t="s">
        <v>3185</v>
      </c>
      <c r="E9440" t="s">
        <v>242</v>
      </c>
      <c r="F9440" t="s">
        <v>663</v>
      </c>
      <c r="G9440">
        <v>2040</v>
      </c>
      <c r="H9440" s="12">
        <v>1043.45</v>
      </c>
      <c r="I9440" t="s">
        <v>3183</v>
      </c>
      <c r="J9440" t="s">
        <v>5</v>
      </c>
      <c r="K9440" t="s">
        <v>664</v>
      </c>
      <c r="L9440" t="s">
        <v>20</v>
      </c>
      <c r="M9440" t="s">
        <v>5</v>
      </c>
    </row>
    <row r="9441" spans="1:13">
      <c r="A9441" t="s">
        <v>852</v>
      </c>
      <c r="B9441" t="s">
        <v>853</v>
      </c>
      <c r="C9441" t="s">
        <v>853</v>
      </c>
      <c r="D9441" t="s">
        <v>3185</v>
      </c>
      <c r="E9441" t="s">
        <v>242</v>
      </c>
      <c r="F9441" t="s">
        <v>663</v>
      </c>
      <c r="G9441">
        <v>2045</v>
      </c>
      <c r="H9441" s="12">
        <v>454.62</v>
      </c>
      <c r="I9441" t="s">
        <v>3183</v>
      </c>
      <c r="J9441" t="s">
        <v>5</v>
      </c>
      <c r="K9441" t="s">
        <v>664</v>
      </c>
      <c r="L9441" t="s">
        <v>20</v>
      </c>
      <c r="M9441" t="s">
        <v>5</v>
      </c>
    </row>
    <row r="9442" spans="1:13">
      <c r="A9442" t="s">
        <v>852</v>
      </c>
      <c r="B9442" t="s">
        <v>853</v>
      </c>
      <c r="C9442" t="s">
        <v>853</v>
      </c>
      <c r="D9442" t="s">
        <v>3185</v>
      </c>
      <c r="E9442" t="s">
        <v>242</v>
      </c>
      <c r="F9442" t="s">
        <v>663</v>
      </c>
      <c r="G9442">
        <v>2050</v>
      </c>
      <c r="H9442" s="12">
        <v>72.92</v>
      </c>
      <c r="I9442" t="s">
        <v>3183</v>
      </c>
      <c r="J9442" t="s">
        <v>5</v>
      </c>
      <c r="K9442" t="s">
        <v>664</v>
      </c>
      <c r="L9442" t="s">
        <v>20</v>
      </c>
      <c r="M9442" t="s">
        <v>5</v>
      </c>
    </row>
    <row r="9443" spans="1:13">
      <c r="A9443" t="s">
        <v>852</v>
      </c>
      <c r="B9443" t="s">
        <v>853</v>
      </c>
      <c r="C9443" t="s">
        <v>853</v>
      </c>
      <c r="D9443" t="s">
        <v>3185</v>
      </c>
      <c r="E9443" t="s">
        <v>242</v>
      </c>
      <c r="F9443" t="s">
        <v>663</v>
      </c>
      <c r="G9443">
        <v>2010</v>
      </c>
      <c r="H9443" s="12">
        <v>9117.2800000000007</v>
      </c>
      <c r="I9443" t="s">
        <v>3183</v>
      </c>
      <c r="J9443" t="s">
        <v>394</v>
      </c>
      <c r="K9443" t="s">
        <v>664</v>
      </c>
      <c r="L9443" t="s">
        <v>20</v>
      </c>
      <c r="M9443" t="s">
        <v>16</v>
      </c>
    </row>
    <row r="9444" spans="1:13">
      <c r="A9444" t="s">
        <v>852</v>
      </c>
      <c r="B9444" t="s">
        <v>853</v>
      </c>
      <c r="C9444" t="s">
        <v>853</v>
      </c>
      <c r="D9444" t="s">
        <v>3185</v>
      </c>
      <c r="E9444" t="s">
        <v>242</v>
      </c>
      <c r="F9444" t="s">
        <v>663</v>
      </c>
      <c r="G9444">
        <v>2015</v>
      </c>
      <c r="H9444" s="12">
        <v>9752.68</v>
      </c>
      <c r="I9444" t="s">
        <v>3183</v>
      </c>
      <c r="J9444" t="s">
        <v>394</v>
      </c>
      <c r="K9444" t="s">
        <v>664</v>
      </c>
      <c r="L9444" t="s">
        <v>20</v>
      </c>
      <c r="M9444" t="s">
        <v>16</v>
      </c>
    </row>
    <row r="9445" spans="1:13">
      <c r="A9445" t="s">
        <v>852</v>
      </c>
      <c r="B9445" t="s">
        <v>853</v>
      </c>
      <c r="C9445" t="s">
        <v>853</v>
      </c>
      <c r="D9445" t="s">
        <v>3185</v>
      </c>
      <c r="E9445" t="s">
        <v>242</v>
      </c>
      <c r="F9445" t="s">
        <v>663</v>
      </c>
      <c r="G9445">
        <v>2020</v>
      </c>
      <c r="H9445" s="12">
        <v>9080.06</v>
      </c>
      <c r="I9445" t="s">
        <v>3183</v>
      </c>
      <c r="J9445" t="s">
        <v>394</v>
      </c>
      <c r="K9445" t="s">
        <v>664</v>
      </c>
      <c r="L9445" t="s">
        <v>20</v>
      </c>
      <c r="M9445" t="s">
        <v>16</v>
      </c>
    </row>
    <row r="9446" spans="1:13">
      <c r="A9446" t="s">
        <v>852</v>
      </c>
      <c r="B9446" t="s">
        <v>853</v>
      </c>
      <c r="C9446" t="s">
        <v>853</v>
      </c>
      <c r="D9446" t="s">
        <v>3185</v>
      </c>
      <c r="E9446" t="s">
        <v>242</v>
      </c>
      <c r="F9446" t="s">
        <v>663</v>
      </c>
      <c r="G9446">
        <v>2030</v>
      </c>
      <c r="H9446" s="12">
        <v>7162.05</v>
      </c>
      <c r="I9446" t="s">
        <v>3183</v>
      </c>
      <c r="J9446" t="s">
        <v>394</v>
      </c>
      <c r="K9446" t="s">
        <v>664</v>
      </c>
      <c r="L9446" t="s">
        <v>20</v>
      </c>
      <c r="M9446" t="s">
        <v>16</v>
      </c>
    </row>
    <row r="9447" spans="1:13">
      <c r="A9447" t="s">
        <v>852</v>
      </c>
      <c r="B9447" t="s">
        <v>853</v>
      </c>
      <c r="C9447" t="s">
        <v>853</v>
      </c>
      <c r="D9447" t="s">
        <v>3185</v>
      </c>
      <c r="E9447" t="s">
        <v>242</v>
      </c>
      <c r="F9447" t="s">
        <v>663</v>
      </c>
      <c r="G9447">
        <v>2035</v>
      </c>
      <c r="H9447" s="12">
        <v>4811.75</v>
      </c>
      <c r="I9447" t="s">
        <v>3183</v>
      </c>
      <c r="J9447" t="s">
        <v>394</v>
      </c>
      <c r="K9447" t="s">
        <v>664</v>
      </c>
      <c r="L9447" t="s">
        <v>20</v>
      </c>
      <c r="M9447" t="s">
        <v>16</v>
      </c>
    </row>
    <row r="9448" spans="1:13">
      <c r="A9448" t="s">
        <v>852</v>
      </c>
      <c r="B9448" t="s">
        <v>853</v>
      </c>
      <c r="C9448" t="s">
        <v>853</v>
      </c>
      <c r="D9448" t="s">
        <v>3185</v>
      </c>
      <c r="E9448" t="s">
        <v>242</v>
      </c>
      <c r="F9448" t="s">
        <v>663</v>
      </c>
      <c r="G9448">
        <v>2040</v>
      </c>
      <c r="H9448" s="12">
        <v>2864.5</v>
      </c>
      <c r="I9448" t="s">
        <v>3183</v>
      </c>
      <c r="J9448" t="s">
        <v>394</v>
      </c>
      <c r="K9448" t="s">
        <v>664</v>
      </c>
      <c r="L9448" t="s">
        <v>20</v>
      </c>
      <c r="M9448" t="s">
        <v>16</v>
      </c>
    </row>
    <row r="9449" spans="1:13">
      <c r="A9449" t="s">
        <v>852</v>
      </c>
      <c r="B9449" t="s">
        <v>853</v>
      </c>
      <c r="C9449" t="s">
        <v>853</v>
      </c>
      <c r="D9449" t="s">
        <v>3185</v>
      </c>
      <c r="E9449" t="s">
        <v>242</v>
      </c>
      <c r="F9449" t="s">
        <v>663</v>
      </c>
      <c r="G9449">
        <v>2045</v>
      </c>
      <c r="H9449" s="12">
        <v>1490.42</v>
      </c>
      <c r="I9449" t="s">
        <v>3183</v>
      </c>
      <c r="J9449" t="s">
        <v>394</v>
      </c>
      <c r="K9449" t="s">
        <v>664</v>
      </c>
      <c r="L9449" t="s">
        <v>20</v>
      </c>
      <c r="M9449" t="s">
        <v>16</v>
      </c>
    </row>
    <row r="9450" spans="1:13">
      <c r="A9450" t="s">
        <v>852</v>
      </c>
      <c r="B9450" t="s">
        <v>853</v>
      </c>
      <c r="C9450" t="s">
        <v>853</v>
      </c>
      <c r="D9450" t="s">
        <v>3185</v>
      </c>
      <c r="E9450" t="s">
        <v>242</v>
      </c>
      <c r="F9450" t="s">
        <v>663</v>
      </c>
      <c r="G9450">
        <v>2050</v>
      </c>
      <c r="H9450" s="12">
        <v>650.79</v>
      </c>
      <c r="I9450" t="s">
        <v>3183</v>
      </c>
      <c r="J9450" t="s">
        <v>394</v>
      </c>
      <c r="K9450" t="s">
        <v>664</v>
      </c>
      <c r="L9450" t="s">
        <v>20</v>
      </c>
      <c r="M9450" t="s">
        <v>16</v>
      </c>
    </row>
    <row r="9451" spans="1:13">
      <c r="A9451" t="s">
        <v>852</v>
      </c>
      <c r="B9451" t="s">
        <v>853</v>
      </c>
      <c r="C9451" t="s">
        <v>853</v>
      </c>
      <c r="D9451" t="s">
        <v>3185</v>
      </c>
      <c r="E9451" t="s">
        <v>242</v>
      </c>
      <c r="F9451" t="s">
        <v>663</v>
      </c>
      <c r="G9451">
        <v>2010</v>
      </c>
      <c r="H9451" s="12">
        <v>2858.61</v>
      </c>
      <c r="I9451" t="s">
        <v>3183</v>
      </c>
      <c r="J9451" t="s">
        <v>6</v>
      </c>
      <c r="K9451" t="s">
        <v>664</v>
      </c>
      <c r="L9451" t="s">
        <v>20</v>
      </c>
      <c r="M9451" t="s">
        <v>659</v>
      </c>
    </row>
    <row r="9452" spans="1:13">
      <c r="A9452" t="s">
        <v>852</v>
      </c>
      <c r="B9452" t="s">
        <v>853</v>
      </c>
      <c r="C9452" t="s">
        <v>853</v>
      </c>
      <c r="D9452" t="s">
        <v>3185</v>
      </c>
      <c r="E9452" t="s">
        <v>242</v>
      </c>
      <c r="F9452" t="s">
        <v>663</v>
      </c>
      <c r="G9452">
        <v>2015</v>
      </c>
      <c r="H9452" s="12">
        <v>3001.53</v>
      </c>
      <c r="I9452" t="s">
        <v>3183</v>
      </c>
      <c r="J9452" t="s">
        <v>6</v>
      </c>
      <c r="K9452" t="s">
        <v>664</v>
      </c>
      <c r="L9452" t="s">
        <v>20</v>
      </c>
      <c r="M9452" t="s">
        <v>659</v>
      </c>
    </row>
    <row r="9453" spans="1:13">
      <c r="A9453" t="s">
        <v>852</v>
      </c>
      <c r="B9453" t="s">
        <v>853</v>
      </c>
      <c r="C9453" t="s">
        <v>853</v>
      </c>
      <c r="D9453" t="s">
        <v>3185</v>
      </c>
      <c r="E9453" t="s">
        <v>242</v>
      </c>
      <c r="F9453" t="s">
        <v>663</v>
      </c>
      <c r="G9453">
        <v>2020</v>
      </c>
      <c r="H9453" s="12">
        <v>3320.85</v>
      </c>
      <c r="I9453" t="s">
        <v>3183</v>
      </c>
      <c r="J9453" t="s">
        <v>6</v>
      </c>
      <c r="K9453" t="s">
        <v>664</v>
      </c>
      <c r="L9453" t="s">
        <v>20</v>
      </c>
      <c r="M9453" t="s">
        <v>659</v>
      </c>
    </row>
    <row r="9454" spans="1:13">
      <c r="A9454" t="s">
        <v>852</v>
      </c>
      <c r="B9454" t="s">
        <v>853</v>
      </c>
      <c r="C9454" t="s">
        <v>853</v>
      </c>
      <c r="D9454" t="s">
        <v>3185</v>
      </c>
      <c r="E9454" t="s">
        <v>242</v>
      </c>
      <c r="F9454" t="s">
        <v>663</v>
      </c>
      <c r="G9454">
        <v>2030</v>
      </c>
      <c r="H9454" s="12">
        <v>2490.73</v>
      </c>
      <c r="I9454" t="s">
        <v>3183</v>
      </c>
      <c r="J9454" t="s">
        <v>6</v>
      </c>
      <c r="K9454" t="s">
        <v>664</v>
      </c>
      <c r="L9454" t="s">
        <v>20</v>
      </c>
      <c r="M9454" t="s">
        <v>659</v>
      </c>
    </row>
    <row r="9455" spans="1:13">
      <c r="A9455" t="s">
        <v>852</v>
      </c>
      <c r="B9455" t="s">
        <v>853</v>
      </c>
      <c r="C9455" t="s">
        <v>853</v>
      </c>
      <c r="D9455" t="s">
        <v>3185</v>
      </c>
      <c r="E9455" t="s">
        <v>242</v>
      </c>
      <c r="F9455" t="s">
        <v>663</v>
      </c>
      <c r="G9455">
        <v>2035</v>
      </c>
      <c r="H9455" s="12">
        <v>1747.84</v>
      </c>
      <c r="I9455" t="s">
        <v>3183</v>
      </c>
      <c r="J9455" t="s">
        <v>6</v>
      </c>
      <c r="K9455" t="s">
        <v>664</v>
      </c>
      <c r="L9455" t="s">
        <v>20</v>
      </c>
      <c r="M9455" t="s">
        <v>659</v>
      </c>
    </row>
    <row r="9456" spans="1:13">
      <c r="A9456" t="s">
        <v>852</v>
      </c>
      <c r="B9456" t="s">
        <v>853</v>
      </c>
      <c r="C9456" t="s">
        <v>853</v>
      </c>
      <c r="D9456" t="s">
        <v>3185</v>
      </c>
      <c r="E9456" t="s">
        <v>242</v>
      </c>
      <c r="F9456" t="s">
        <v>663</v>
      </c>
      <c r="G9456">
        <v>2040</v>
      </c>
      <c r="H9456" s="12">
        <v>1094.3</v>
      </c>
      <c r="I9456" t="s">
        <v>3183</v>
      </c>
      <c r="J9456" t="s">
        <v>6</v>
      </c>
      <c r="K9456" t="s">
        <v>664</v>
      </c>
      <c r="L9456" t="s">
        <v>20</v>
      </c>
      <c r="M9456" t="s">
        <v>659</v>
      </c>
    </row>
    <row r="9457" spans="1:13">
      <c r="A9457" t="s">
        <v>852</v>
      </c>
      <c r="B9457" t="s">
        <v>853</v>
      </c>
      <c r="C9457" t="s">
        <v>853</v>
      </c>
      <c r="D9457" t="s">
        <v>3185</v>
      </c>
      <c r="E9457" t="s">
        <v>242</v>
      </c>
      <c r="F9457" t="s">
        <v>663</v>
      </c>
      <c r="G9457">
        <v>2045</v>
      </c>
      <c r="H9457" s="12">
        <v>584.08000000000004</v>
      </c>
      <c r="I9457" t="s">
        <v>3183</v>
      </c>
      <c r="J9457" t="s">
        <v>6</v>
      </c>
      <c r="K9457" t="s">
        <v>664</v>
      </c>
      <c r="L9457" t="s">
        <v>20</v>
      </c>
      <c r="M9457" t="s">
        <v>659</v>
      </c>
    </row>
    <row r="9458" spans="1:13">
      <c r="A9458" t="s">
        <v>852</v>
      </c>
      <c r="B9458" t="s">
        <v>853</v>
      </c>
      <c r="C9458" t="s">
        <v>853</v>
      </c>
      <c r="D9458" t="s">
        <v>3185</v>
      </c>
      <c r="E9458" t="s">
        <v>242</v>
      </c>
      <c r="F9458" t="s">
        <v>663</v>
      </c>
      <c r="G9458">
        <v>2050</v>
      </c>
      <c r="H9458" s="12">
        <v>213.23</v>
      </c>
      <c r="I9458" t="s">
        <v>3183</v>
      </c>
      <c r="J9458" t="s">
        <v>6</v>
      </c>
      <c r="K9458" t="s">
        <v>664</v>
      </c>
      <c r="L9458" t="s">
        <v>20</v>
      </c>
      <c r="M9458" t="s">
        <v>659</v>
      </c>
    </row>
    <row r="9459" spans="1:13">
      <c r="H9459" s="12"/>
    </row>
    <row r="9460" spans="1:13">
      <c r="H9460" s="12"/>
    </row>
    <row r="9461" spans="1:13">
      <c r="H9461" s="12"/>
    </row>
    <row r="9462" spans="1:13">
      <c r="H9462" s="12"/>
    </row>
    <row r="9463" spans="1:13">
      <c r="H9463" s="12"/>
    </row>
    <row r="9464" spans="1:13">
      <c r="H9464" s="12"/>
    </row>
    <row r="9465" spans="1:13">
      <c r="H9465" s="12"/>
    </row>
    <row r="9466" spans="1:13">
      <c r="H9466" s="12"/>
    </row>
    <row r="9467" spans="1:13">
      <c r="H9467" s="12"/>
    </row>
    <row r="9468" spans="1:13">
      <c r="H9468" s="12"/>
    </row>
    <row r="9469" spans="1:13">
      <c r="H9469" s="12"/>
    </row>
    <row r="9470" spans="1:13">
      <c r="H9470" s="12"/>
    </row>
    <row r="9471" spans="1:13">
      <c r="H9471" s="12"/>
    </row>
    <row r="9472" spans="1:13">
      <c r="H9472" s="12"/>
    </row>
    <row r="9473" spans="8:8">
      <c r="H9473" s="12"/>
    </row>
    <row r="9474" spans="8:8">
      <c r="H9474" s="12"/>
    </row>
    <row r="9475" spans="8:8">
      <c r="H9475" s="12"/>
    </row>
    <row r="9476" spans="8:8">
      <c r="H9476" s="12"/>
    </row>
    <row r="9477" spans="8:8">
      <c r="H9477" s="12"/>
    </row>
    <row r="9478" spans="8:8">
      <c r="H9478" s="12"/>
    </row>
    <row r="9479" spans="8:8">
      <c r="H9479" s="12"/>
    </row>
    <row r="9480" spans="8:8">
      <c r="H9480" s="12"/>
    </row>
    <row r="9481" spans="8:8">
      <c r="H9481" s="12"/>
    </row>
    <row r="9482" spans="8:8">
      <c r="H9482" s="12"/>
    </row>
    <row r="9483" spans="8:8">
      <c r="H9483" s="12"/>
    </row>
    <row r="9484" spans="8:8">
      <c r="H9484" s="12"/>
    </row>
    <row r="9485" spans="8:8">
      <c r="H9485" s="12"/>
    </row>
    <row r="9486" spans="8:8">
      <c r="H9486" s="12"/>
    </row>
    <row r="9487" spans="8:8">
      <c r="H9487" s="12"/>
    </row>
    <row r="9488" spans="8:8">
      <c r="H9488" s="12"/>
    </row>
    <row r="9489" spans="8:8">
      <c r="H9489" s="12"/>
    </row>
    <row r="9490" spans="8:8">
      <c r="H9490" s="12"/>
    </row>
    <row r="9491" spans="8:8">
      <c r="H9491" s="12"/>
    </row>
    <row r="9492" spans="8:8">
      <c r="H9492" s="12"/>
    </row>
    <row r="9493" spans="8:8">
      <c r="H9493" s="12"/>
    </row>
    <row r="9494" spans="8:8">
      <c r="H9494" s="12"/>
    </row>
    <row r="9495" spans="8:8">
      <c r="H9495" s="12"/>
    </row>
    <row r="9496" spans="8:8">
      <c r="H9496" s="12"/>
    </row>
    <row r="9497" spans="8:8">
      <c r="H9497" s="12"/>
    </row>
    <row r="9498" spans="8:8">
      <c r="H9498" s="12"/>
    </row>
    <row r="9499" spans="8:8">
      <c r="H9499" s="12"/>
    </row>
    <row r="9500" spans="8:8">
      <c r="H9500" s="12"/>
    </row>
    <row r="9501" spans="8:8">
      <c r="H9501" s="12"/>
    </row>
    <row r="9502" spans="8:8">
      <c r="H9502" s="12"/>
    </row>
    <row r="9503" spans="8:8">
      <c r="H9503" s="12"/>
    </row>
    <row r="9504" spans="8:8">
      <c r="H9504" s="12"/>
    </row>
    <row r="9505" spans="8:8">
      <c r="H9505" s="12"/>
    </row>
    <row r="9506" spans="8:8">
      <c r="H9506" s="12"/>
    </row>
    <row r="9507" spans="8:8">
      <c r="H9507" s="12"/>
    </row>
    <row r="9508" spans="8:8">
      <c r="H9508" s="12"/>
    </row>
    <row r="9509" spans="8:8">
      <c r="H9509" s="12"/>
    </row>
    <row r="9510" spans="8:8">
      <c r="H9510" s="12"/>
    </row>
    <row r="9511" spans="8:8">
      <c r="H9511" s="12"/>
    </row>
    <row r="9512" spans="8:8">
      <c r="H9512" s="12"/>
    </row>
    <row r="9513" spans="8:8">
      <c r="H9513" s="12"/>
    </row>
    <row r="9514" spans="8:8">
      <c r="H9514" s="12"/>
    </row>
    <row r="9515" spans="8:8">
      <c r="H9515" s="12"/>
    </row>
    <row r="9516" spans="8:8">
      <c r="H9516" s="12"/>
    </row>
    <row r="9517" spans="8:8">
      <c r="H9517" s="12"/>
    </row>
    <row r="9518" spans="8:8">
      <c r="H9518" s="12"/>
    </row>
    <row r="9519" spans="8:8">
      <c r="H9519" s="12"/>
    </row>
    <row r="9520" spans="8:8">
      <c r="H9520" s="12"/>
    </row>
    <row r="9521" spans="8:8">
      <c r="H9521" s="12"/>
    </row>
    <row r="9522" spans="8:8">
      <c r="H9522" s="12"/>
    </row>
    <row r="9523" spans="8:8">
      <c r="H9523" s="12"/>
    </row>
    <row r="9524" spans="8:8">
      <c r="H9524" s="12"/>
    </row>
    <row r="9525" spans="8:8">
      <c r="H9525" s="12"/>
    </row>
    <row r="9526" spans="8:8">
      <c r="H9526" s="12"/>
    </row>
    <row r="9527" spans="8:8">
      <c r="H9527" s="12"/>
    </row>
    <row r="9528" spans="8:8">
      <c r="H9528" s="12"/>
    </row>
    <row r="9529" spans="8:8">
      <c r="H9529" s="12"/>
    </row>
    <row r="9530" spans="8:8">
      <c r="H9530" s="12"/>
    </row>
    <row r="9531" spans="8:8">
      <c r="H9531" s="12"/>
    </row>
    <row r="9532" spans="8:8">
      <c r="H9532" s="12"/>
    </row>
    <row r="9533" spans="8:8">
      <c r="H9533" s="12"/>
    </row>
    <row r="9534" spans="8:8">
      <c r="H9534" s="12"/>
    </row>
    <row r="9535" spans="8:8">
      <c r="H9535" s="12"/>
    </row>
    <row r="9536" spans="8:8">
      <c r="H9536" s="12"/>
    </row>
    <row r="9537" spans="8:8">
      <c r="H9537" s="12"/>
    </row>
    <row r="9538" spans="8:8">
      <c r="H9538" s="12"/>
    </row>
    <row r="9539" spans="8:8">
      <c r="H9539" s="12"/>
    </row>
    <row r="9540" spans="8:8">
      <c r="H9540" s="12"/>
    </row>
    <row r="9541" spans="8:8">
      <c r="H9541" s="12"/>
    </row>
    <row r="9542" spans="8:8">
      <c r="H9542" s="12"/>
    </row>
    <row r="9543" spans="8:8">
      <c r="H9543" s="12"/>
    </row>
    <row r="9544" spans="8:8">
      <c r="H9544" s="12"/>
    </row>
    <row r="9545" spans="8:8">
      <c r="H9545" s="12"/>
    </row>
    <row r="9546" spans="8:8">
      <c r="H9546" s="12"/>
    </row>
    <row r="9547" spans="8:8">
      <c r="H9547" s="12"/>
    </row>
    <row r="9548" spans="8:8">
      <c r="H9548" s="12"/>
    </row>
    <row r="9549" spans="8:8">
      <c r="H9549" s="12"/>
    </row>
    <row r="9550" spans="8:8">
      <c r="H9550" s="12"/>
    </row>
    <row r="9551" spans="8:8">
      <c r="H9551" s="12"/>
    </row>
    <row r="9552" spans="8:8">
      <c r="H9552" s="12"/>
    </row>
    <row r="9553" spans="8:8">
      <c r="H9553" s="12"/>
    </row>
    <row r="9554" spans="8:8">
      <c r="H9554" s="12"/>
    </row>
    <row r="9555" spans="8:8">
      <c r="H9555" s="12"/>
    </row>
    <row r="9556" spans="8:8">
      <c r="H9556" s="12"/>
    </row>
    <row r="9557" spans="8:8">
      <c r="H9557" s="12"/>
    </row>
    <row r="9558" spans="8:8">
      <c r="H9558" s="12"/>
    </row>
    <row r="9559" spans="8:8">
      <c r="H9559" s="12"/>
    </row>
    <row r="9560" spans="8:8">
      <c r="H9560" s="12"/>
    </row>
    <row r="9561" spans="8:8">
      <c r="H9561" s="12"/>
    </row>
    <row r="9562" spans="8:8">
      <c r="H9562" s="12"/>
    </row>
    <row r="9563" spans="8:8">
      <c r="H9563" s="12"/>
    </row>
    <row r="9564" spans="8:8">
      <c r="H9564" s="12"/>
    </row>
    <row r="9565" spans="8:8">
      <c r="H9565" s="12"/>
    </row>
    <row r="9566" spans="8:8">
      <c r="H9566" s="12"/>
    </row>
    <row r="9567" spans="8:8">
      <c r="H9567" s="12"/>
    </row>
    <row r="9568" spans="8:8">
      <c r="H9568" s="12"/>
    </row>
    <row r="9569" spans="8:8">
      <c r="H9569" s="12"/>
    </row>
    <row r="9570" spans="8:8">
      <c r="H9570" s="12"/>
    </row>
    <row r="9571" spans="8:8">
      <c r="H9571" s="12"/>
    </row>
    <row r="9572" spans="8:8">
      <c r="H9572" s="12"/>
    </row>
    <row r="9573" spans="8:8">
      <c r="H9573" s="12"/>
    </row>
    <row r="9574" spans="8:8">
      <c r="H9574" s="12"/>
    </row>
    <row r="9575" spans="8:8">
      <c r="H9575" s="12"/>
    </row>
    <row r="9576" spans="8:8">
      <c r="H9576" s="12"/>
    </row>
    <row r="9577" spans="8:8">
      <c r="H9577" s="12"/>
    </row>
    <row r="9578" spans="8:8">
      <c r="H9578" s="12"/>
    </row>
    <row r="9579" spans="8:8">
      <c r="H9579" s="12"/>
    </row>
    <row r="9580" spans="8:8">
      <c r="H9580" s="12"/>
    </row>
    <row r="9581" spans="8:8">
      <c r="H9581" s="12"/>
    </row>
    <row r="9582" spans="8:8">
      <c r="H9582" s="12"/>
    </row>
    <row r="9583" spans="8:8">
      <c r="H9583" s="12"/>
    </row>
    <row r="9584" spans="8:8">
      <c r="H9584" s="12"/>
    </row>
    <row r="9585" spans="8:8">
      <c r="H9585" s="12"/>
    </row>
    <row r="9586" spans="8:8">
      <c r="H9586" s="12"/>
    </row>
    <row r="9587" spans="8:8">
      <c r="H9587" s="12"/>
    </row>
    <row r="9588" spans="8:8">
      <c r="H9588" s="12"/>
    </row>
    <row r="9589" spans="8:8">
      <c r="H9589" s="12"/>
    </row>
    <row r="9590" spans="8:8">
      <c r="H9590" s="12"/>
    </row>
    <row r="9591" spans="8:8">
      <c r="H9591" s="12"/>
    </row>
    <row r="9592" spans="8:8">
      <c r="H9592" s="12"/>
    </row>
    <row r="9593" spans="8:8">
      <c r="H9593" s="12"/>
    </row>
    <row r="9594" spans="8:8">
      <c r="H9594" s="12"/>
    </row>
    <row r="9595" spans="8:8">
      <c r="H9595" s="12"/>
    </row>
    <row r="9596" spans="8:8">
      <c r="H9596" s="12"/>
    </row>
    <row r="9597" spans="8:8">
      <c r="H9597" s="12"/>
    </row>
    <row r="9598" spans="8:8">
      <c r="H9598" s="12"/>
    </row>
    <row r="9599" spans="8:8">
      <c r="H9599" s="12"/>
    </row>
    <row r="9600" spans="8:8">
      <c r="H9600" s="12"/>
    </row>
    <row r="9601" spans="8:8">
      <c r="H9601" s="12"/>
    </row>
    <row r="9602" spans="8:8">
      <c r="H9602" s="12"/>
    </row>
    <row r="9603" spans="8:8">
      <c r="H9603" s="12"/>
    </row>
    <row r="9604" spans="8:8">
      <c r="H9604" s="12"/>
    </row>
    <row r="9605" spans="8:8">
      <c r="H9605" s="12"/>
    </row>
    <row r="9606" spans="8:8">
      <c r="H9606" s="12"/>
    </row>
    <row r="9607" spans="8:8">
      <c r="H9607" s="12"/>
    </row>
    <row r="9608" spans="8:8">
      <c r="H9608" s="12"/>
    </row>
    <row r="9609" spans="8:8">
      <c r="H9609" s="12"/>
    </row>
    <row r="9610" spans="8:8">
      <c r="H9610" s="12"/>
    </row>
    <row r="9611" spans="8:8">
      <c r="H9611" s="12"/>
    </row>
    <row r="9612" spans="8:8">
      <c r="H9612" s="12"/>
    </row>
    <row r="9613" spans="8:8">
      <c r="H9613" s="12"/>
    </row>
    <row r="9614" spans="8:8">
      <c r="H9614" s="12"/>
    </row>
    <row r="9615" spans="8:8">
      <c r="H9615" s="12"/>
    </row>
    <row r="9616" spans="8:8">
      <c r="H9616" s="12"/>
    </row>
    <row r="9617" spans="8:8">
      <c r="H9617" s="12"/>
    </row>
    <row r="9618" spans="8:8">
      <c r="H9618" s="12"/>
    </row>
    <row r="9619" spans="8:8">
      <c r="H9619" s="12"/>
    </row>
    <row r="9620" spans="8:8">
      <c r="H9620" s="12"/>
    </row>
    <row r="9621" spans="8:8">
      <c r="H9621" s="12"/>
    </row>
    <row r="9622" spans="8:8">
      <c r="H9622" s="12"/>
    </row>
    <row r="9623" spans="8:8">
      <c r="H9623" s="12"/>
    </row>
    <row r="9624" spans="8:8">
      <c r="H9624" s="12"/>
    </row>
    <row r="9625" spans="8:8">
      <c r="H9625" s="12"/>
    </row>
    <row r="9626" spans="8:8">
      <c r="H9626" s="12"/>
    </row>
    <row r="9627" spans="8:8">
      <c r="H9627" s="12"/>
    </row>
    <row r="9628" spans="8:8">
      <c r="H9628" s="12"/>
    </row>
    <row r="9629" spans="8:8">
      <c r="H9629" s="12"/>
    </row>
    <row r="9630" spans="8:8">
      <c r="H9630" s="12"/>
    </row>
    <row r="9631" spans="8:8">
      <c r="H9631" s="12"/>
    </row>
    <row r="9632" spans="8:8">
      <c r="H9632" s="12"/>
    </row>
    <row r="9633" spans="8:8">
      <c r="H9633" s="12"/>
    </row>
    <row r="9634" spans="8:8">
      <c r="H9634" s="12"/>
    </row>
    <row r="9635" spans="8:8">
      <c r="H9635" s="12"/>
    </row>
    <row r="9636" spans="8:8">
      <c r="H9636" s="12"/>
    </row>
    <row r="9637" spans="8:8">
      <c r="H9637" s="12"/>
    </row>
    <row r="9638" spans="8:8">
      <c r="H9638" s="12"/>
    </row>
    <row r="9639" spans="8:8">
      <c r="H9639" s="12"/>
    </row>
    <row r="9640" spans="8:8">
      <c r="H9640" s="12"/>
    </row>
    <row r="9641" spans="8:8">
      <c r="H9641" s="12"/>
    </row>
    <row r="9642" spans="8:8">
      <c r="H9642" s="12"/>
    </row>
    <row r="9643" spans="8:8">
      <c r="H9643" s="12"/>
    </row>
    <row r="9644" spans="8:8">
      <c r="H9644" s="12"/>
    </row>
    <row r="9645" spans="8:8">
      <c r="H9645" s="12"/>
    </row>
    <row r="9646" spans="8:8">
      <c r="H9646" s="12"/>
    </row>
    <row r="9647" spans="8:8">
      <c r="H9647" s="12"/>
    </row>
    <row r="9648" spans="8:8">
      <c r="H9648" s="12"/>
    </row>
    <row r="9649" spans="8:8">
      <c r="H9649" s="12"/>
    </row>
    <row r="9650" spans="8:8">
      <c r="H9650" s="12"/>
    </row>
    <row r="9651" spans="8:8">
      <c r="H9651" s="12"/>
    </row>
    <row r="9652" spans="8:8">
      <c r="H9652" s="12"/>
    </row>
    <row r="9653" spans="8:8">
      <c r="H9653" s="12"/>
    </row>
    <row r="9654" spans="8:8">
      <c r="H9654" s="12"/>
    </row>
    <row r="9655" spans="8:8">
      <c r="H9655" s="12"/>
    </row>
    <row r="9656" spans="8:8">
      <c r="H9656" s="12"/>
    </row>
    <row r="9657" spans="8:8">
      <c r="H9657" s="12"/>
    </row>
    <row r="9658" spans="8:8">
      <c r="H9658" s="12"/>
    </row>
    <row r="9659" spans="8:8">
      <c r="H9659" s="12"/>
    </row>
    <row r="9660" spans="8:8">
      <c r="H9660" s="12"/>
    </row>
    <row r="9661" spans="8:8">
      <c r="H9661" s="12"/>
    </row>
    <row r="9662" spans="8:8">
      <c r="H9662" s="12"/>
    </row>
    <row r="9663" spans="8:8">
      <c r="H9663" s="12"/>
    </row>
    <row r="9664" spans="8:8">
      <c r="H9664" s="12"/>
    </row>
    <row r="9665" spans="8:8">
      <c r="H9665" s="12"/>
    </row>
    <row r="9666" spans="8:8">
      <c r="H9666" s="12"/>
    </row>
    <row r="9667" spans="8:8">
      <c r="H9667" s="12"/>
    </row>
    <row r="9668" spans="8:8">
      <c r="H9668" s="12"/>
    </row>
    <row r="9669" spans="8:8">
      <c r="H9669" s="12"/>
    </row>
    <row r="9670" spans="8:8">
      <c r="H9670" s="12"/>
    </row>
    <row r="9671" spans="8:8">
      <c r="H9671" s="12"/>
    </row>
    <row r="9672" spans="8:8">
      <c r="H9672" s="12"/>
    </row>
    <row r="9673" spans="8:8">
      <c r="H9673" s="12"/>
    </row>
    <row r="9674" spans="8:8">
      <c r="H9674" s="12"/>
    </row>
    <row r="9675" spans="8:8">
      <c r="H9675" s="12"/>
    </row>
    <row r="9676" spans="8:8">
      <c r="H9676" s="12"/>
    </row>
    <row r="9677" spans="8:8">
      <c r="H9677" s="12"/>
    </row>
    <row r="9678" spans="8:8">
      <c r="H9678" s="12"/>
    </row>
    <row r="9679" spans="8:8">
      <c r="H9679" s="12"/>
    </row>
    <row r="9680" spans="8:8">
      <c r="H9680" s="12"/>
    </row>
    <row r="9681" spans="8:8">
      <c r="H9681" s="12"/>
    </row>
    <row r="9682" spans="8:8">
      <c r="H9682" s="12"/>
    </row>
    <row r="9683" spans="8:8">
      <c r="H9683" s="12"/>
    </row>
    <row r="9684" spans="8:8">
      <c r="H9684" s="12"/>
    </row>
    <row r="9685" spans="8:8">
      <c r="H9685" s="12"/>
    </row>
    <row r="9686" spans="8:8">
      <c r="H9686" s="12"/>
    </row>
    <row r="9687" spans="8:8">
      <c r="H9687" s="12"/>
    </row>
    <row r="9688" spans="8:8">
      <c r="H9688" s="12"/>
    </row>
    <row r="9689" spans="8:8">
      <c r="H9689" s="12"/>
    </row>
    <row r="9690" spans="8:8">
      <c r="H9690" s="12"/>
    </row>
    <row r="9691" spans="8:8">
      <c r="H9691" s="12"/>
    </row>
    <row r="9692" spans="8:8">
      <c r="H9692" s="12"/>
    </row>
    <row r="9693" spans="8:8">
      <c r="H9693" s="12"/>
    </row>
    <row r="9694" spans="8:8">
      <c r="H9694" s="12"/>
    </row>
    <row r="9695" spans="8:8">
      <c r="H9695" s="12"/>
    </row>
    <row r="9696" spans="8:8">
      <c r="H9696" s="12"/>
    </row>
    <row r="9697" spans="8:8">
      <c r="H9697" s="12"/>
    </row>
    <row r="9698" spans="8:8">
      <c r="H9698" s="12"/>
    </row>
    <row r="9699" spans="8:8">
      <c r="H9699" s="12"/>
    </row>
    <row r="9700" spans="8:8">
      <c r="H9700" s="12"/>
    </row>
    <row r="9701" spans="8:8">
      <c r="H9701" s="12"/>
    </row>
    <row r="9702" spans="8:8">
      <c r="H9702" s="12"/>
    </row>
    <row r="9703" spans="8:8">
      <c r="H9703" s="12"/>
    </row>
    <row r="9704" spans="8:8">
      <c r="H9704" s="12"/>
    </row>
    <row r="9705" spans="8:8">
      <c r="H9705" s="12"/>
    </row>
    <row r="9706" spans="8:8">
      <c r="H9706" s="12"/>
    </row>
    <row r="9707" spans="8:8">
      <c r="H9707" s="12"/>
    </row>
    <row r="9708" spans="8:8">
      <c r="H9708" s="12"/>
    </row>
    <row r="9709" spans="8:8">
      <c r="H9709" s="12"/>
    </row>
    <row r="9710" spans="8:8">
      <c r="H9710" s="12"/>
    </row>
    <row r="9711" spans="8:8">
      <c r="H9711" s="12"/>
    </row>
    <row r="9712" spans="8:8">
      <c r="H9712" s="12"/>
    </row>
    <row r="9713" spans="8:8">
      <c r="H9713" s="12"/>
    </row>
    <row r="9714" spans="8:8">
      <c r="H9714" s="12"/>
    </row>
    <row r="9715" spans="8:8">
      <c r="H9715" s="12"/>
    </row>
    <row r="9716" spans="8:8">
      <c r="H9716" s="12"/>
    </row>
    <row r="9717" spans="8:8">
      <c r="H9717" s="12"/>
    </row>
    <row r="9718" spans="8:8">
      <c r="H9718" s="12"/>
    </row>
    <row r="9719" spans="8:8">
      <c r="H9719" s="12"/>
    </row>
    <row r="9720" spans="8:8">
      <c r="H9720" s="12"/>
    </row>
    <row r="9721" spans="8:8">
      <c r="H9721" s="12"/>
    </row>
    <row r="9722" spans="8:8">
      <c r="H9722" s="12"/>
    </row>
    <row r="9723" spans="8:8">
      <c r="H9723" s="12"/>
    </row>
    <row r="9724" spans="8:8">
      <c r="H9724" s="12"/>
    </row>
    <row r="9725" spans="8:8">
      <c r="H9725" s="12"/>
    </row>
    <row r="9726" spans="8:8">
      <c r="H9726" s="12"/>
    </row>
    <row r="9727" spans="8:8">
      <c r="H9727" s="12"/>
    </row>
    <row r="9728" spans="8:8">
      <c r="H9728" s="12"/>
    </row>
    <row r="9729" spans="8:8">
      <c r="H9729" s="12"/>
    </row>
    <row r="9730" spans="8:8">
      <c r="H9730" s="12"/>
    </row>
    <row r="9731" spans="8:8">
      <c r="H9731" s="12"/>
    </row>
    <row r="9732" spans="8:8">
      <c r="H9732" s="12"/>
    </row>
    <row r="9733" spans="8:8">
      <c r="H9733" s="12"/>
    </row>
    <row r="9734" spans="8:8">
      <c r="H9734" s="12"/>
    </row>
    <row r="9735" spans="8:8">
      <c r="H9735" s="12"/>
    </row>
    <row r="9736" spans="8:8">
      <c r="H9736" s="12"/>
    </row>
    <row r="9737" spans="8:8">
      <c r="H9737" s="12"/>
    </row>
    <row r="9738" spans="8:8">
      <c r="H9738" s="12"/>
    </row>
    <row r="9739" spans="8:8">
      <c r="H9739" s="12"/>
    </row>
    <row r="9740" spans="8:8">
      <c r="H9740" s="12"/>
    </row>
    <row r="9741" spans="8:8">
      <c r="H9741" s="12"/>
    </row>
    <row r="9742" spans="8:8">
      <c r="H9742" s="12"/>
    </row>
    <row r="9743" spans="8:8">
      <c r="H9743" s="12"/>
    </row>
    <row r="9744" spans="8:8">
      <c r="H9744" s="12"/>
    </row>
    <row r="9745" spans="8:8">
      <c r="H9745" s="12"/>
    </row>
    <row r="9746" spans="8:8">
      <c r="H9746" s="12"/>
    </row>
    <row r="9747" spans="8:8">
      <c r="H9747" s="12"/>
    </row>
    <row r="9748" spans="8:8">
      <c r="H9748" s="12"/>
    </row>
    <row r="9749" spans="8:8">
      <c r="H9749" s="12"/>
    </row>
    <row r="9750" spans="8:8">
      <c r="H9750" s="12"/>
    </row>
    <row r="9751" spans="8:8">
      <c r="H9751" s="12"/>
    </row>
    <row r="9752" spans="8:8">
      <c r="H9752" s="12"/>
    </row>
    <row r="9753" spans="8:8">
      <c r="H9753" s="12"/>
    </row>
    <row r="9754" spans="8:8">
      <c r="H9754" s="12"/>
    </row>
    <row r="9755" spans="8:8">
      <c r="H9755" s="12"/>
    </row>
    <row r="9756" spans="8:8">
      <c r="H9756" s="12"/>
    </row>
    <row r="9757" spans="8:8">
      <c r="H9757" s="12"/>
    </row>
    <row r="9758" spans="8:8">
      <c r="H9758" s="12"/>
    </row>
    <row r="9759" spans="8:8">
      <c r="H9759" s="12"/>
    </row>
    <row r="9760" spans="8:8">
      <c r="H9760" s="12"/>
    </row>
    <row r="9761" spans="8:8">
      <c r="H9761" s="12"/>
    </row>
    <row r="9762" spans="8:8">
      <c r="H9762" s="12"/>
    </row>
    <row r="9763" spans="8:8">
      <c r="H9763" s="12"/>
    </row>
    <row r="9764" spans="8:8">
      <c r="H9764" s="12"/>
    </row>
    <row r="9765" spans="8:8">
      <c r="H9765" s="12"/>
    </row>
    <row r="9766" spans="8:8">
      <c r="H9766" s="12"/>
    </row>
    <row r="9767" spans="8:8">
      <c r="H9767" s="12"/>
    </row>
    <row r="9768" spans="8:8">
      <c r="H9768" s="12"/>
    </row>
    <row r="9769" spans="8:8">
      <c r="H9769" s="12"/>
    </row>
    <row r="9770" spans="8:8">
      <c r="H9770" s="12"/>
    </row>
    <row r="9771" spans="8:8">
      <c r="H9771" s="12"/>
    </row>
    <row r="9772" spans="8:8">
      <c r="H9772" s="12"/>
    </row>
    <row r="9773" spans="8:8">
      <c r="H9773" s="12"/>
    </row>
    <row r="9774" spans="8:8">
      <c r="H9774" s="12"/>
    </row>
    <row r="9775" spans="8:8">
      <c r="H9775" s="12"/>
    </row>
    <row r="9776" spans="8:8">
      <c r="H9776" s="12"/>
    </row>
    <row r="9777" spans="8:8">
      <c r="H9777" s="12"/>
    </row>
    <row r="9778" spans="8:8">
      <c r="H9778" s="12"/>
    </row>
    <row r="9779" spans="8:8">
      <c r="H9779" s="12"/>
    </row>
    <row r="9780" spans="8:8">
      <c r="H9780" s="12"/>
    </row>
    <row r="9781" spans="8:8">
      <c r="H9781" s="12"/>
    </row>
    <row r="9782" spans="8:8">
      <c r="H9782" s="12"/>
    </row>
    <row r="9783" spans="8:8">
      <c r="H9783" s="12"/>
    </row>
    <row r="9784" spans="8:8">
      <c r="H9784" s="12"/>
    </row>
    <row r="9785" spans="8:8">
      <c r="H9785" s="12"/>
    </row>
    <row r="9786" spans="8:8">
      <c r="H9786" s="12"/>
    </row>
    <row r="9787" spans="8:8">
      <c r="H9787" s="12"/>
    </row>
    <row r="9788" spans="8:8">
      <c r="H9788" s="12"/>
    </row>
    <row r="9789" spans="8:8">
      <c r="H9789" s="12"/>
    </row>
    <row r="9790" spans="8:8">
      <c r="H9790" s="12"/>
    </row>
    <row r="9791" spans="8:8">
      <c r="H9791" s="12"/>
    </row>
    <row r="9792" spans="8:8">
      <c r="H9792" s="12"/>
    </row>
    <row r="9793" spans="8:8">
      <c r="H9793" s="12"/>
    </row>
    <row r="9794" spans="8:8">
      <c r="H9794" s="12"/>
    </row>
    <row r="9795" spans="8:8">
      <c r="H9795" s="12"/>
    </row>
    <row r="9796" spans="8:8">
      <c r="H9796" s="12"/>
    </row>
    <row r="9797" spans="8:8">
      <c r="H9797" s="12"/>
    </row>
    <row r="9798" spans="8:8">
      <c r="H9798" s="12"/>
    </row>
    <row r="9799" spans="8:8">
      <c r="H9799" s="12"/>
    </row>
    <row r="9800" spans="8:8">
      <c r="H9800" s="12"/>
    </row>
    <row r="9801" spans="8:8">
      <c r="H9801" s="12"/>
    </row>
    <row r="9802" spans="8:8">
      <c r="H9802" s="12"/>
    </row>
    <row r="9803" spans="8:8">
      <c r="H9803" s="12"/>
    </row>
    <row r="9804" spans="8:8">
      <c r="H9804" s="12"/>
    </row>
    <row r="9805" spans="8:8">
      <c r="H9805" s="12"/>
    </row>
    <row r="9806" spans="8:8">
      <c r="H9806" s="12"/>
    </row>
    <row r="9807" spans="8:8">
      <c r="H9807" s="12"/>
    </row>
    <row r="9808" spans="8:8">
      <c r="H9808" s="12"/>
    </row>
    <row r="9809" spans="8:8">
      <c r="H9809" s="12"/>
    </row>
    <row r="9810" spans="8:8">
      <c r="H9810" s="12"/>
    </row>
    <row r="9811" spans="8:8">
      <c r="H9811" s="12"/>
    </row>
    <row r="9812" spans="8:8">
      <c r="H9812" s="12"/>
    </row>
    <row r="9813" spans="8:8">
      <c r="H9813" s="12"/>
    </row>
    <row r="9814" spans="8:8">
      <c r="H9814" s="12"/>
    </row>
    <row r="9815" spans="8:8">
      <c r="H9815" s="12"/>
    </row>
    <row r="9816" spans="8:8">
      <c r="H9816" s="12"/>
    </row>
    <row r="9817" spans="8:8">
      <c r="H9817" s="12"/>
    </row>
    <row r="9818" spans="8:8">
      <c r="H9818" s="12"/>
    </row>
    <row r="9819" spans="8:8">
      <c r="H9819" s="12"/>
    </row>
    <row r="9820" spans="8:8">
      <c r="H9820" s="12"/>
    </row>
    <row r="9821" spans="8:8">
      <c r="H9821" s="12"/>
    </row>
    <row r="9822" spans="8:8">
      <c r="H9822" s="12"/>
    </row>
    <row r="9823" spans="8:8">
      <c r="H9823" s="12"/>
    </row>
    <row r="9824" spans="8:8">
      <c r="H9824" s="12"/>
    </row>
    <row r="9825" spans="8:8">
      <c r="H9825" s="12"/>
    </row>
    <row r="9826" spans="8:8">
      <c r="H9826" s="12"/>
    </row>
    <row r="9827" spans="8:8">
      <c r="H9827" s="12"/>
    </row>
    <row r="9828" spans="8:8">
      <c r="H9828" s="12"/>
    </row>
    <row r="9829" spans="8:8">
      <c r="H9829" s="12"/>
    </row>
    <row r="9830" spans="8:8">
      <c r="H9830" s="12"/>
    </row>
    <row r="9831" spans="8:8">
      <c r="H9831" s="12"/>
    </row>
    <row r="9832" spans="8:8">
      <c r="H9832" s="12"/>
    </row>
    <row r="9833" spans="8:8">
      <c r="H9833" s="12"/>
    </row>
    <row r="9834" spans="8:8">
      <c r="H9834" s="12"/>
    </row>
    <row r="9835" spans="8:8">
      <c r="H9835" s="12"/>
    </row>
    <row r="9836" spans="8:8">
      <c r="H9836" s="12"/>
    </row>
    <row r="9837" spans="8:8">
      <c r="H9837" s="12"/>
    </row>
    <row r="9838" spans="8:8">
      <c r="H9838" s="12"/>
    </row>
    <row r="9839" spans="8:8">
      <c r="H9839" s="12"/>
    </row>
    <row r="9840" spans="8:8">
      <c r="H9840" s="12"/>
    </row>
    <row r="9841" spans="8:8">
      <c r="H9841" s="12"/>
    </row>
    <row r="9842" spans="8:8">
      <c r="H9842" s="12"/>
    </row>
    <row r="9843" spans="8:8">
      <c r="H9843" s="12"/>
    </row>
    <row r="9844" spans="8:8">
      <c r="H9844" s="12"/>
    </row>
    <row r="9845" spans="8:8">
      <c r="H9845" s="12"/>
    </row>
    <row r="9846" spans="8:8">
      <c r="H9846" s="12"/>
    </row>
    <row r="9847" spans="8:8">
      <c r="H9847" s="12"/>
    </row>
    <row r="9848" spans="8:8">
      <c r="H9848" s="12"/>
    </row>
    <row r="9849" spans="8:8">
      <c r="H9849" s="12"/>
    </row>
    <row r="9850" spans="8:8">
      <c r="H9850" s="12"/>
    </row>
    <row r="9851" spans="8:8">
      <c r="H9851" s="12"/>
    </row>
    <row r="9852" spans="8:8">
      <c r="H9852" s="12"/>
    </row>
    <row r="9853" spans="8:8">
      <c r="H9853" s="12"/>
    </row>
    <row r="9854" spans="8:8">
      <c r="H9854" s="12"/>
    </row>
    <row r="9855" spans="8:8">
      <c r="H9855" s="12"/>
    </row>
    <row r="9856" spans="8:8">
      <c r="H9856" s="12"/>
    </row>
    <row r="9857" spans="8:8">
      <c r="H9857" s="12"/>
    </row>
    <row r="9858" spans="8:8">
      <c r="H9858" s="12"/>
    </row>
    <row r="9859" spans="8:8">
      <c r="H9859" s="12"/>
    </row>
    <row r="9860" spans="8:8">
      <c r="H9860" s="12"/>
    </row>
    <row r="9861" spans="8:8">
      <c r="H9861" s="12"/>
    </row>
    <row r="9862" spans="8:8">
      <c r="H9862" s="12"/>
    </row>
    <row r="9863" spans="8:8">
      <c r="H9863" s="12"/>
    </row>
    <row r="9864" spans="8:8">
      <c r="H9864" s="12"/>
    </row>
    <row r="9865" spans="8:8">
      <c r="H9865" s="12"/>
    </row>
    <row r="9866" spans="8:8">
      <c r="H9866" s="12"/>
    </row>
    <row r="9867" spans="8:8">
      <c r="H9867" s="12"/>
    </row>
    <row r="9868" spans="8:8">
      <c r="H9868" s="12"/>
    </row>
    <row r="9869" spans="8:8">
      <c r="H9869" s="12"/>
    </row>
    <row r="9870" spans="8:8">
      <c r="H9870" s="12"/>
    </row>
    <row r="9871" spans="8:8">
      <c r="H9871" s="12"/>
    </row>
    <row r="9872" spans="8:8">
      <c r="H9872" s="12"/>
    </row>
    <row r="9873" spans="8:8">
      <c r="H9873" s="12"/>
    </row>
    <row r="9874" spans="8:8">
      <c r="H9874" s="12"/>
    </row>
    <row r="9875" spans="8:8">
      <c r="H9875" s="12"/>
    </row>
    <row r="9876" spans="8:8">
      <c r="H9876" s="12"/>
    </row>
    <row r="9877" spans="8:8">
      <c r="H9877" s="12"/>
    </row>
    <row r="9878" spans="8:8">
      <c r="H9878" s="12"/>
    </row>
    <row r="9879" spans="8:8">
      <c r="H9879" s="12"/>
    </row>
    <row r="9880" spans="8:8">
      <c r="H9880" s="12"/>
    </row>
    <row r="9881" spans="8:8">
      <c r="H9881" s="12"/>
    </row>
    <row r="9882" spans="8:8">
      <c r="H9882" s="12"/>
    </row>
    <row r="9883" spans="8:8">
      <c r="H9883" s="12"/>
    </row>
    <row r="9884" spans="8:8">
      <c r="H9884" s="12"/>
    </row>
    <row r="9885" spans="8:8">
      <c r="H9885" s="12"/>
    </row>
    <row r="9886" spans="8:8">
      <c r="H9886" s="12"/>
    </row>
    <row r="9887" spans="8:8">
      <c r="H9887" s="12"/>
    </row>
    <row r="9888" spans="8:8">
      <c r="H9888" s="12"/>
    </row>
    <row r="9889" spans="8:8">
      <c r="H9889" s="12"/>
    </row>
    <row r="9890" spans="8:8">
      <c r="H9890" s="12"/>
    </row>
    <row r="9891" spans="8:8">
      <c r="H9891" s="12"/>
    </row>
    <row r="9892" spans="8:8">
      <c r="H9892" s="12"/>
    </row>
    <row r="9893" spans="8:8">
      <c r="H9893" s="12"/>
    </row>
    <row r="9894" spans="8:8">
      <c r="H9894" s="12"/>
    </row>
    <row r="9895" spans="8:8">
      <c r="H9895" s="12"/>
    </row>
    <row r="9896" spans="8:8">
      <c r="H9896" s="12"/>
    </row>
    <row r="9897" spans="8:8">
      <c r="H9897" s="12"/>
    </row>
    <row r="9898" spans="8:8">
      <c r="H9898" s="12"/>
    </row>
    <row r="9899" spans="8:8">
      <c r="H9899" s="12"/>
    </row>
    <row r="9900" spans="8:8">
      <c r="H9900" s="12"/>
    </row>
    <row r="9901" spans="8:8">
      <c r="H9901" s="12"/>
    </row>
    <row r="9902" spans="8:8">
      <c r="H9902" s="12"/>
    </row>
    <row r="9903" spans="8:8">
      <c r="H9903" s="12"/>
    </row>
    <row r="9904" spans="8:8">
      <c r="H9904" s="12"/>
    </row>
    <row r="9905" spans="8:8">
      <c r="H9905" s="12"/>
    </row>
    <row r="9906" spans="8:8">
      <c r="H9906" s="12"/>
    </row>
    <row r="9907" spans="8:8">
      <c r="H9907" s="12"/>
    </row>
    <row r="9908" spans="8:8">
      <c r="H9908" s="12"/>
    </row>
    <row r="9909" spans="8:8">
      <c r="H9909" s="12"/>
    </row>
    <row r="9910" spans="8:8">
      <c r="H9910" s="12"/>
    </row>
    <row r="9911" spans="8:8">
      <c r="H9911" s="12"/>
    </row>
    <row r="9912" spans="8:8">
      <c r="H9912" s="12"/>
    </row>
    <row r="9913" spans="8:8">
      <c r="H9913" s="12"/>
    </row>
    <row r="9914" spans="8:8">
      <c r="H9914" s="12"/>
    </row>
    <row r="9915" spans="8:8">
      <c r="H9915" s="12"/>
    </row>
    <row r="9916" spans="8:8">
      <c r="H9916" s="12"/>
    </row>
    <row r="9917" spans="8:8">
      <c r="H9917" s="12"/>
    </row>
    <row r="9918" spans="8:8">
      <c r="H9918" s="12"/>
    </row>
    <row r="9919" spans="8:8">
      <c r="H9919" s="12"/>
    </row>
    <row r="9920" spans="8:8">
      <c r="H9920" s="12"/>
    </row>
    <row r="9921" spans="8:8">
      <c r="H9921" s="12"/>
    </row>
    <row r="9922" spans="8:8">
      <c r="H9922" s="12"/>
    </row>
    <row r="9923" spans="8:8">
      <c r="H9923" s="12"/>
    </row>
    <row r="9924" spans="8:8">
      <c r="H9924" s="12"/>
    </row>
    <row r="9925" spans="8:8">
      <c r="H9925" s="12"/>
    </row>
    <row r="9926" spans="8:8">
      <c r="H9926" s="12"/>
    </row>
    <row r="9927" spans="8:8">
      <c r="H9927" s="12"/>
    </row>
    <row r="9928" spans="8:8">
      <c r="H9928" s="12"/>
    </row>
    <row r="9929" spans="8:8">
      <c r="H9929" s="12"/>
    </row>
    <row r="9930" spans="8:8">
      <c r="H9930" s="12"/>
    </row>
    <row r="9931" spans="8:8">
      <c r="H9931" s="12"/>
    </row>
    <row r="9932" spans="8:8">
      <c r="H9932" s="12"/>
    </row>
    <row r="9933" spans="8:8">
      <c r="H9933" s="12"/>
    </row>
    <row r="9934" spans="8:8">
      <c r="H9934" s="12"/>
    </row>
    <row r="9935" spans="8:8">
      <c r="H9935" s="12"/>
    </row>
    <row r="9936" spans="8:8">
      <c r="H9936" s="12"/>
    </row>
    <row r="9937" spans="8:8">
      <c r="H9937" s="12"/>
    </row>
    <row r="9938" spans="8:8">
      <c r="H9938" s="12"/>
    </row>
    <row r="9939" spans="8:8">
      <c r="H9939" s="12"/>
    </row>
    <row r="9940" spans="8:8">
      <c r="H9940" s="12"/>
    </row>
    <row r="9941" spans="8:8">
      <c r="H9941" s="12"/>
    </row>
    <row r="9942" spans="8:8">
      <c r="H9942" s="12"/>
    </row>
    <row r="9943" spans="8:8">
      <c r="H9943" s="12"/>
    </row>
    <row r="9944" spans="8:8">
      <c r="H9944" s="12"/>
    </row>
    <row r="9945" spans="8:8">
      <c r="H9945" s="12"/>
    </row>
    <row r="9946" spans="8:8">
      <c r="H9946" s="12"/>
    </row>
    <row r="9947" spans="8:8">
      <c r="H9947" s="12"/>
    </row>
    <row r="9948" spans="8:8">
      <c r="H9948" s="12"/>
    </row>
    <row r="9949" spans="8:8">
      <c r="H9949" s="12"/>
    </row>
    <row r="9950" spans="8:8">
      <c r="H9950" s="12"/>
    </row>
    <row r="9951" spans="8:8">
      <c r="H9951" s="12"/>
    </row>
    <row r="9952" spans="8:8">
      <c r="H9952" s="12"/>
    </row>
    <row r="9953" spans="8:8">
      <c r="H9953" s="12"/>
    </row>
    <row r="9954" spans="8:8">
      <c r="H9954" s="12"/>
    </row>
    <row r="9955" spans="8:8">
      <c r="H9955" s="12"/>
    </row>
    <row r="9956" spans="8:8">
      <c r="H9956" s="12"/>
    </row>
    <row r="9957" spans="8:8">
      <c r="H9957" s="12"/>
    </row>
    <row r="9958" spans="8:8">
      <c r="H9958" s="12"/>
    </row>
    <row r="9959" spans="8:8">
      <c r="H9959" s="12"/>
    </row>
    <row r="9960" spans="8:8">
      <c r="H9960" s="12"/>
    </row>
    <row r="9961" spans="8:8">
      <c r="H9961" s="12"/>
    </row>
    <row r="9962" spans="8:8">
      <c r="H9962" s="12"/>
    </row>
    <row r="9963" spans="8:8">
      <c r="H9963" s="12"/>
    </row>
    <row r="9964" spans="8:8">
      <c r="H9964" s="12"/>
    </row>
    <row r="9965" spans="8:8">
      <c r="H9965" s="12"/>
    </row>
    <row r="9966" spans="8:8">
      <c r="H9966" s="12"/>
    </row>
    <row r="9967" spans="8:8">
      <c r="H9967" s="12"/>
    </row>
    <row r="9968" spans="8:8">
      <c r="H9968" s="12"/>
    </row>
    <row r="9969" spans="8:8">
      <c r="H9969" s="12"/>
    </row>
    <row r="9970" spans="8:8">
      <c r="H9970" s="12"/>
    </row>
    <row r="9971" spans="8:8">
      <c r="H9971" s="12"/>
    </row>
    <row r="9972" spans="8:8">
      <c r="H9972" s="12"/>
    </row>
    <row r="9973" spans="8:8">
      <c r="H9973" s="12"/>
    </row>
    <row r="9974" spans="8:8">
      <c r="H9974" s="12"/>
    </row>
    <row r="9975" spans="8:8">
      <c r="H9975" s="12"/>
    </row>
    <row r="9976" spans="8:8">
      <c r="H9976" s="12"/>
    </row>
    <row r="9977" spans="8:8">
      <c r="H9977" s="12"/>
    </row>
    <row r="9978" spans="8:8">
      <c r="H9978" s="12"/>
    </row>
    <row r="9979" spans="8:8">
      <c r="H9979" s="12"/>
    </row>
    <row r="9980" spans="8:8">
      <c r="H9980" s="12"/>
    </row>
    <row r="9981" spans="8:8">
      <c r="H9981" s="12"/>
    </row>
    <row r="9982" spans="8:8">
      <c r="H9982" s="12"/>
    </row>
    <row r="9983" spans="8:8">
      <c r="H9983" s="12"/>
    </row>
    <row r="9984" spans="8:8">
      <c r="H9984" s="12"/>
    </row>
    <row r="9985" spans="8:8">
      <c r="H9985" s="12"/>
    </row>
    <row r="9986" spans="8:8">
      <c r="H9986" s="12"/>
    </row>
    <row r="9987" spans="8:8">
      <c r="H9987" s="12"/>
    </row>
    <row r="9988" spans="8:8">
      <c r="H9988" s="12"/>
    </row>
    <row r="9989" spans="8:8">
      <c r="H9989" s="12"/>
    </row>
    <row r="9990" spans="8:8">
      <c r="H9990" s="12"/>
    </row>
    <row r="9991" spans="8:8">
      <c r="H9991" s="12"/>
    </row>
    <row r="9992" spans="8:8">
      <c r="H9992" s="12"/>
    </row>
    <row r="9993" spans="8:8">
      <c r="H9993" s="12"/>
    </row>
    <row r="9994" spans="8:8">
      <c r="H9994" s="12"/>
    </row>
    <row r="9995" spans="8:8">
      <c r="H9995" s="12"/>
    </row>
    <row r="9996" spans="8:8">
      <c r="H9996" s="12"/>
    </row>
    <row r="9997" spans="8:8">
      <c r="H9997" s="12"/>
    </row>
    <row r="9998" spans="8:8">
      <c r="H9998" s="12"/>
    </row>
    <row r="9999" spans="8:8">
      <c r="H9999" s="12"/>
    </row>
    <row r="10000" spans="8:8">
      <c r="H10000" s="12"/>
    </row>
    <row r="10001" spans="8:8">
      <c r="H10001" s="12"/>
    </row>
    <row r="10002" spans="8:8">
      <c r="H10002" s="12"/>
    </row>
    <row r="10003" spans="8:8">
      <c r="H10003" s="12"/>
    </row>
    <row r="10004" spans="8:8">
      <c r="H10004" s="12"/>
    </row>
    <row r="10005" spans="8:8">
      <c r="H10005" s="12"/>
    </row>
    <row r="10006" spans="8:8">
      <c r="H10006" s="12"/>
    </row>
    <row r="10007" spans="8:8">
      <c r="H10007" s="12"/>
    </row>
    <row r="10008" spans="8:8">
      <c r="H10008" s="12"/>
    </row>
    <row r="10009" spans="8:8">
      <c r="H10009" s="12"/>
    </row>
    <row r="10010" spans="8:8">
      <c r="H10010" s="12"/>
    </row>
    <row r="10011" spans="8:8">
      <c r="H10011" s="12"/>
    </row>
    <row r="10012" spans="8:8">
      <c r="H10012" s="12"/>
    </row>
    <row r="10013" spans="8:8">
      <c r="H10013" s="12"/>
    </row>
    <row r="10014" spans="8:8">
      <c r="H10014" s="12"/>
    </row>
    <row r="10015" spans="8:8">
      <c r="H10015" s="12"/>
    </row>
    <row r="10016" spans="8:8">
      <c r="H10016" s="12"/>
    </row>
    <row r="10017" spans="8:8">
      <c r="H10017" s="12"/>
    </row>
    <row r="10018" spans="8:8">
      <c r="H10018" s="12"/>
    </row>
    <row r="10019" spans="8:8">
      <c r="H10019" s="12"/>
    </row>
    <row r="10020" spans="8:8">
      <c r="H10020" s="12"/>
    </row>
    <row r="10021" spans="8:8">
      <c r="H10021" s="12"/>
    </row>
    <row r="10022" spans="8:8">
      <c r="H10022" s="12"/>
    </row>
    <row r="10023" spans="8:8">
      <c r="H10023" s="12"/>
    </row>
    <row r="10024" spans="8:8">
      <c r="H10024" s="12"/>
    </row>
    <row r="10025" spans="8:8">
      <c r="H10025" s="12"/>
    </row>
    <row r="10026" spans="8:8">
      <c r="H10026" s="12"/>
    </row>
    <row r="10027" spans="8:8">
      <c r="H10027" s="12"/>
    </row>
    <row r="10028" spans="8:8">
      <c r="H10028" s="12"/>
    </row>
    <row r="10029" spans="8:8">
      <c r="H10029" s="12"/>
    </row>
    <row r="10030" spans="8:8">
      <c r="H10030" s="12"/>
    </row>
    <row r="10031" spans="8:8">
      <c r="H10031" s="12"/>
    </row>
    <row r="10032" spans="8:8">
      <c r="H10032" s="12"/>
    </row>
    <row r="10033" spans="8:8">
      <c r="H10033" s="12"/>
    </row>
    <row r="10034" spans="8:8">
      <c r="H10034" s="12"/>
    </row>
    <row r="10035" spans="8:8">
      <c r="H10035" s="12"/>
    </row>
    <row r="10036" spans="8:8">
      <c r="H10036" s="12"/>
    </row>
    <row r="10037" spans="8:8">
      <c r="H10037" s="12"/>
    </row>
    <row r="10038" spans="8:8">
      <c r="H10038" s="12"/>
    </row>
    <row r="10039" spans="8:8">
      <c r="H10039" s="12"/>
    </row>
    <row r="10040" spans="8:8">
      <c r="H10040" s="12"/>
    </row>
    <row r="10041" spans="8:8">
      <c r="H10041" s="12"/>
    </row>
    <row r="10042" spans="8:8">
      <c r="H10042" s="12"/>
    </row>
    <row r="10043" spans="8:8">
      <c r="H10043" s="12"/>
    </row>
    <row r="10044" spans="8:8">
      <c r="H10044" s="12"/>
    </row>
    <row r="10045" spans="8:8">
      <c r="H10045" s="12"/>
    </row>
    <row r="10046" spans="8:8">
      <c r="H10046" s="12"/>
    </row>
    <row r="10047" spans="8:8">
      <c r="H10047" s="12"/>
    </row>
    <row r="10048" spans="8:8">
      <c r="H10048" s="12"/>
    </row>
    <row r="10049" spans="8:8">
      <c r="H10049" s="12"/>
    </row>
    <row r="10050" spans="8:8">
      <c r="H10050" s="12"/>
    </row>
    <row r="10051" spans="8:8">
      <c r="H10051" s="12"/>
    </row>
    <row r="10052" spans="8:8">
      <c r="H10052" s="12"/>
    </row>
    <row r="10053" spans="8:8">
      <c r="H10053" s="12"/>
    </row>
    <row r="10054" spans="8:8">
      <c r="H10054" s="12"/>
    </row>
    <row r="10055" spans="8:8">
      <c r="H10055" s="12"/>
    </row>
    <row r="10056" spans="8:8">
      <c r="H10056" s="12"/>
    </row>
    <row r="10057" spans="8:8">
      <c r="H10057" s="12"/>
    </row>
    <row r="10058" spans="8:8">
      <c r="H10058" s="12"/>
    </row>
    <row r="10059" spans="8:8">
      <c r="H10059" s="12"/>
    </row>
    <row r="10060" spans="8:8">
      <c r="H10060" s="12"/>
    </row>
    <row r="10061" spans="8:8">
      <c r="H10061" s="12"/>
    </row>
    <row r="10062" spans="8:8">
      <c r="H10062" s="12"/>
    </row>
    <row r="10063" spans="8:8">
      <c r="H10063" s="12"/>
    </row>
    <row r="10064" spans="8:8">
      <c r="H10064" s="12"/>
    </row>
    <row r="10065" spans="8:8">
      <c r="H10065" s="12"/>
    </row>
    <row r="10066" spans="8:8">
      <c r="H10066" s="12"/>
    </row>
    <row r="10067" spans="8:8">
      <c r="H10067" s="12"/>
    </row>
    <row r="10068" spans="8:8">
      <c r="H10068" s="12"/>
    </row>
    <row r="10069" spans="8:8">
      <c r="H10069" s="12"/>
    </row>
    <row r="10070" spans="8:8">
      <c r="H10070" s="12"/>
    </row>
    <row r="10071" spans="8:8">
      <c r="H10071" s="12"/>
    </row>
    <row r="10072" spans="8:8">
      <c r="H10072" s="12"/>
    </row>
    <row r="10073" spans="8:8">
      <c r="H10073" s="12"/>
    </row>
    <row r="10074" spans="8:8">
      <c r="H10074" s="12"/>
    </row>
    <row r="10075" spans="8:8">
      <c r="H10075" s="12"/>
    </row>
    <row r="10076" spans="8:8">
      <c r="H10076" s="12"/>
    </row>
    <row r="10077" spans="8:8">
      <c r="H10077" s="12"/>
    </row>
    <row r="10078" spans="8:8">
      <c r="H10078" s="12"/>
    </row>
    <row r="10079" spans="8:8">
      <c r="H10079" s="12"/>
    </row>
    <row r="10080" spans="8:8">
      <c r="H10080" s="12"/>
    </row>
    <row r="10081" spans="8:8">
      <c r="H10081" s="12"/>
    </row>
    <row r="10082" spans="8:8">
      <c r="H10082" s="12"/>
    </row>
    <row r="10083" spans="8:8">
      <c r="H10083" s="12"/>
    </row>
    <row r="10084" spans="8:8">
      <c r="H10084" s="12"/>
    </row>
    <row r="10085" spans="8:8">
      <c r="H10085" s="12"/>
    </row>
    <row r="10086" spans="8:8">
      <c r="H10086" s="12"/>
    </row>
    <row r="10087" spans="8:8">
      <c r="H10087" s="12"/>
    </row>
    <row r="10088" spans="8:8">
      <c r="H10088" s="12"/>
    </row>
    <row r="10089" spans="8:8">
      <c r="H10089" s="12"/>
    </row>
    <row r="10090" spans="8:8">
      <c r="H10090" s="12"/>
    </row>
    <row r="10091" spans="8:8">
      <c r="H10091" s="12"/>
    </row>
    <row r="10092" spans="8:8">
      <c r="H10092" s="12"/>
    </row>
    <row r="10093" spans="8:8">
      <c r="H10093" s="12"/>
    </row>
    <row r="10094" spans="8:8">
      <c r="H10094" s="12"/>
    </row>
    <row r="10095" spans="8:8">
      <c r="H10095" s="12"/>
    </row>
    <row r="10096" spans="8:8">
      <c r="H10096" s="12"/>
    </row>
    <row r="10097" spans="8:8">
      <c r="H10097" s="12"/>
    </row>
    <row r="10098" spans="8:8">
      <c r="H10098" s="12"/>
    </row>
    <row r="10099" spans="8:8">
      <c r="H10099" s="12"/>
    </row>
    <row r="10100" spans="8:8">
      <c r="H10100" s="12"/>
    </row>
    <row r="10101" spans="8:8">
      <c r="H10101" s="12"/>
    </row>
    <row r="10102" spans="8:8">
      <c r="H10102" s="12"/>
    </row>
    <row r="10103" spans="8:8">
      <c r="H10103" s="12"/>
    </row>
    <row r="10104" spans="8:8">
      <c r="H10104" s="12"/>
    </row>
    <row r="10105" spans="8:8">
      <c r="H10105" s="12"/>
    </row>
    <row r="10106" spans="8:8">
      <c r="H10106" s="12"/>
    </row>
    <row r="10107" spans="8:8">
      <c r="H10107" s="12"/>
    </row>
    <row r="10108" spans="8:8">
      <c r="H10108" s="12"/>
    </row>
    <row r="10109" spans="8:8">
      <c r="H10109" s="12"/>
    </row>
    <row r="10110" spans="8:8">
      <c r="H10110" s="12"/>
    </row>
    <row r="10111" spans="8:8">
      <c r="H10111" s="12"/>
    </row>
    <row r="10112" spans="8:8">
      <c r="H10112" s="12"/>
    </row>
    <row r="10113" spans="8:8">
      <c r="H10113" s="12"/>
    </row>
    <row r="10114" spans="8:8">
      <c r="H10114" s="12"/>
    </row>
    <row r="10115" spans="8:8">
      <c r="H10115" s="12"/>
    </row>
    <row r="10116" spans="8:8">
      <c r="H10116" s="12"/>
    </row>
    <row r="10117" spans="8:8">
      <c r="H10117" s="12"/>
    </row>
    <row r="10118" spans="8:8">
      <c r="H10118" s="12"/>
    </row>
    <row r="10119" spans="8:8">
      <c r="H10119" s="12"/>
    </row>
    <row r="10120" spans="8:8">
      <c r="H10120" s="12"/>
    </row>
    <row r="10121" spans="8:8">
      <c r="H10121" s="12"/>
    </row>
    <row r="10122" spans="8:8">
      <c r="H10122" s="12"/>
    </row>
    <row r="10123" spans="8:8">
      <c r="H10123" s="12"/>
    </row>
    <row r="10124" spans="8:8">
      <c r="H10124" s="12"/>
    </row>
    <row r="10125" spans="8:8">
      <c r="H10125" s="12"/>
    </row>
    <row r="10126" spans="8:8">
      <c r="H10126" s="12"/>
    </row>
    <row r="10127" spans="8:8">
      <c r="H10127" s="12"/>
    </row>
    <row r="10128" spans="8:8">
      <c r="H10128" s="12"/>
    </row>
    <row r="10129" spans="8:8">
      <c r="H10129" s="12"/>
    </row>
    <row r="10130" spans="8:8">
      <c r="H10130" s="12"/>
    </row>
    <row r="10131" spans="8:8">
      <c r="H10131" s="12"/>
    </row>
    <row r="10132" spans="8:8">
      <c r="H10132" s="12"/>
    </row>
    <row r="10133" spans="8:8">
      <c r="H10133" s="12"/>
    </row>
    <row r="10134" spans="8:8">
      <c r="H10134" s="12"/>
    </row>
    <row r="10135" spans="8:8">
      <c r="H10135" s="12"/>
    </row>
    <row r="10136" spans="8:8">
      <c r="H10136" s="12"/>
    </row>
    <row r="10137" spans="8:8">
      <c r="H10137" s="12"/>
    </row>
    <row r="10138" spans="8:8">
      <c r="H10138" s="12"/>
    </row>
    <row r="10139" spans="8:8">
      <c r="H10139" s="12"/>
    </row>
    <row r="10140" spans="8:8">
      <c r="H10140" s="12"/>
    </row>
    <row r="10141" spans="8:8">
      <c r="H10141" s="12"/>
    </row>
    <row r="10142" spans="8:8">
      <c r="H10142" s="12"/>
    </row>
    <row r="10143" spans="8:8">
      <c r="H10143" s="12"/>
    </row>
    <row r="10144" spans="8:8">
      <c r="H10144" s="12"/>
    </row>
    <row r="10145" spans="8:8">
      <c r="H10145" s="12"/>
    </row>
    <row r="10146" spans="8:8">
      <c r="H10146" s="12"/>
    </row>
    <row r="10147" spans="8:8">
      <c r="H10147" s="12"/>
    </row>
    <row r="10148" spans="8:8">
      <c r="H10148" s="12"/>
    </row>
    <row r="10149" spans="8:8">
      <c r="H10149" s="12"/>
    </row>
    <row r="10150" spans="8:8">
      <c r="H10150" s="12"/>
    </row>
    <row r="10151" spans="8:8">
      <c r="H10151" s="12"/>
    </row>
    <row r="10152" spans="8:8">
      <c r="H10152" s="12"/>
    </row>
    <row r="10153" spans="8:8">
      <c r="H10153" s="12"/>
    </row>
    <row r="10154" spans="8:8">
      <c r="H10154" s="12"/>
    </row>
    <row r="10155" spans="8:8">
      <c r="H10155" s="12"/>
    </row>
    <row r="10156" spans="8:8">
      <c r="H10156" s="12"/>
    </row>
    <row r="10157" spans="8:8">
      <c r="H10157" s="12"/>
    </row>
    <row r="10158" spans="8:8">
      <c r="H10158" s="12"/>
    </row>
    <row r="10159" spans="8:8">
      <c r="H10159" s="12"/>
    </row>
    <row r="10160" spans="8:8">
      <c r="H10160" s="12"/>
    </row>
    <row r="10161" spans="8:8">
      <c r="H10161" s="12"/>
    </row>
    <row r="10162" spans="8:8">
      <c r="H10162" s="12"/>
    </row>
    <row r="10163" spans="8:8">
      <c r="H10163" s="12"/>
    </row>
    <row r="10164" spans="8:8">
      <c r="H10164" s="12"/>
    </row>
    <row r="10165" spans="8:8">
      <c r="H10165" s="12"/>
    </row>
    <row r="10166" spans="8:8">
      <c r="H10166" s="12"/>
    </row>
    <row r="10167" spans="8:8">
      <c r="H10167" s="12"/>
    </row>
    <row r="10168" spans="8:8">
      <c r="H10168" s="12"/>
    </row>
    <row r="10169" spans="8:8">
      <c r="H10169" s="12"/>
    </row>
    <row r="10170" spans="8:8">
      <c r="H10170" s="12"/>
    </row>
    <row r="10171" spans="8:8">
      <c r="H10171" s="12"/>
    </row>
    <row r="10172" spans="8:8">
      <c r="H10172" s="12"/>
    </row>
    <row r="10173" spans="8:8">
      <c r="H10173" s="12"/>
    </row>
    <row r="10174" spans="8:8">
      <c r="H10174" s="12"/>
    </row>
    <row r="10175" spans="8:8">
      <c r="H10175" s="12"/>
    </row>
    <row r="10176" spans="8:8">
      <c r="H10176" s="12"/>
    </row>
    <row r="10177" spans="8:8">
      <c r="H10177" s="12"/>
    </row>
    <row r="10178" spans="8:8">
      <c r="H10178" s="12"/>
    </row>
    <row r="10179" spans="8:8">
      <c r="H10179" s="12"/>
    </row>
    <row r="10180" spans="8:8">
      <c r="H10180" s="12"/>
    </row>
    <row r="10181" spans="8:8">
      <c r="H10181" s="12"/>
    </row>
    <row r="10182" spans="8:8">
      <c r="H10182" s="12"/>
    </row>
    <row r="10183" spans="8:8">
      <c r="H10183" s="12"/>
    </row>
    <row r="10184" spans="8:8">
      <c r="H10184" s="12"/>
    </row>
    <row r="10185" spans="8:8">
      <c r="H10185" s="12"/>
    </row>
    <row r="10186" spans="8:8">
      <c r="H10186" s="12"/>
    </row>
    <row r="10187" spans="8:8">
      <c r="H10187" s="12"/>
    </row>
    <row r="10188" spans="8:8">
      <c r="H10188" s="12"/>
    </row>
    <row r="10189" spans="8:8">
      <c r="H10189" s="12"/>
    </row>
    <row r="10190" spans="8:8">
      <c r="H10190" s="12"/>
    </row>
    <row r="10191" spans="8:8">
      <c r="H10191" s="12"/>
    </row>
    <row r="10192" spans="8:8">
      <c r="H10192" s="12"/>
    </row>
    <row r="10193" spans="8:8">
      <c r="H10193" s="12"/>
    </row>
    <row r="10194" spans="8:8">
      <c r="H10194" s="12"/>
    </row>
    <row r="10195" spans="8:8">
      <c r="H10195" s="12"/>
    </row>
    <row r="10196" spans="8:8">
      <c r="H10196" s="12"/>
    </row>
    <row r="10197" spans="8:8">
      <c r="H10197" s="12"/>
    </row>
    <row r="10198" spans="8:8">
      <c r="H10198" s="12"/>
    </row>
    <row r="10199" spans="8:8">
      <c r="H10199" s="12"/>
    </row>
    <row r="10200" spans="8:8">
      <c r="H10200" s="12"/>
    </row>
    <row r="10201" spans="8:8">
      <c r="H10201" s="12"/>
    </row>
    <row r="10202" spans="8:8">
      <c r="H10202" s="12"/>
    </row>
    <row r="10203" spans="8:8">
      <c r="H10203" s="12"/>
    </row>
    <row r="10204" spans="8:8">
      <c r="H10204" s="12"/>
    </row>
    <row r="10205" spans="8:8">
      <c r="H10205" s="12"/>
    </row>
    <row r="10206" spans="8:8">
      <c r="H10206" s="12"/>
    </row>
    <row r="10207" spans="8:8">
      <c r="H10207" s="12"/>
    </row>
    <row r="10208" spans="8:8">
      <c r="H10208" s="12"/>
    </row>
    <row r="10209" spans="8:8">
      <c r="H10209" s="12"/>
    </row>
    <row r="10210" spans="8:8">
      <c r="H10210" s="12"/>
    </row>
    <row r="10211" spans="8:8">
      <c r="H10211" s="12"/>
    </row>
    <row r="10212" spans="8:8">
      <c r="H10212" s="12"/>
    </row>
    <row r="10213" spans="8:8">
      <c r="H10213" s="12"/>
    </row>
    <row r="10214" spans="8:8">
      <c r="H10214" s="12"/>
    </row>
    <row r="10215" spans="8:8">
      <c r="H10215" s="12"/>
    </row>
    <row r="10216" spans="8:8">
      <c r="H10216" s="12"/>
    </row>
    <row r="10217" spans="8:8">
      <c r="H10217" s="12"/>
    </row>
    <row r="10218" spans="8:8">
      <c r="H10218" s="12"/>
    </row>
    <row r="10219" spans="8:8">
      <c r="H10219" s="12"/>
    </row>
    <row r="10220" spans="8:8">
      <c r="H10220" s="12"/>
    </row>
    <row r="10221" spans="8:8">
      <c r="H10221" s="12"/>
    </row>
    <row r="10222" spans="8:8">
      <c r="H10222" s="12"/>
    </row>
    <row r="10223" spans="8:8">
      <c r="H10223" s="12"/>
    </row>
    <row r="10224" spans="8:8">
      <c r="H10224" s="12"/>
    </row>
    <row r="10225" spans="8:8">
      <c r="H10225" s="12"/>
    </row>
    <row r="10226" spans="8:8">
      <c r="H10226" s="12"/>
    </row>
    <row r="10227" spans="8:8">
      <c r="H10227" s="12"/>
    </row>
    <row r="10228" spans="8:8">
      <c r="H10228" s="12"/>
    </row>
    <row r="10229" spans="8:8">
      <c r="H10229" s="12"/>
    </row>
    <row r="10230" spans="8:8">
      <c r="H10230" s="12"/>
    </row>
    <row r="10231" spans="8:8">
      <c r="H10231" s="12"/>
    </row>
    <row r="10232" spans="8:8">
      <c r="H10232" s="12"/>
    </row>
    <row r="10233" spans="8:8">
      <c r="H10233" s="12"/>
    </row>
    <row r="10234" spans="8:8">
      <c r="H10234" s="12"/>
    </row>
    <row r="10235" spans="8:8">
      <c r="H10235" s="12"/>
    </row>
    <row r="10236" spans="8:8">
      <c r="H10236" s="12"/>
    </row>
    <row r="10237" spans="8:8">
      <c r="H10237" s="12"/>
    </row>
    <row r="10238" spans="8:8">
      <c r="H10238" s="12"/>
    </row>
    <row r="10239" spans="8:8">
      <c r="H10239" s="12"/>
    </row>
    <row r="10240" spans="8:8">
      <c r="H10240" s="12"/>
    </row>
    <row r="10241" spans="8:8">
      <c r="H10241" s="12"/>
    </row>
    <row r="10242" spans="8:8">
      <c r="H10242" s="12"/>
    </row>
    <row r="10243" spans="8:8">
      <c r="H10243" s="12"/>
    </row>
    <row r="10244" spans="8:8">
      <c r="H10244" s="12"/>
    </row>
    <row r="10245" spans="8:8">
      <c r="H10245" s="12"/>
    </row>
    <row r="10246" spans="8:8">
      <c r="H10246" s="12"/>
    </row>
    <row r="10247" spans="8:8">
      <c r="H10247" s="12"/>
    </row>
    <row r="10248" spans="8:8">
      <c r="H10248" s="12"/>
    </row>
    <row r="10249" spans="8:8">
      <c r="H10249" s="12"/>
    </row>
    <row r="10250" spans="8:8">
      <c r="H10250" s="12"/>
    </row>
    <row r="10251" spans="8:8">
      <c r="H10251" s="12"/>
    </row>
    <row r="10252" spans="8:8">
      <c r="H10252" s="12"/>
    </row>
    <row r="10253" spans="8:8">
      <c r="H10253" s="12"/>
    </row>
    <row r="10254" spans="8:8">
      <c r="H10254" s="12"/>
    </row>
    <row r="10255" spans="8:8">
      <c r="H10255" s="12"/>
    </row>
    <row r="10256" spans="8:8">
      <c r="H10256" s="12"/>
    </row>
    <row r="10257" spans="8:8">
      <c r="H10257" s="12"/>
    </row>
    <row r="10258" spans="8:8">
      <c r="H10258" s="12"/>
    </row>
    <row r="10259" spans="8:8">
      <c r="H10259" s="12"/>
    </row>
    <row r="10260" spans="8:8">
      <c r="H10260" s="12"/>
    </row>
    <row r="10261" spans="8:8">
      <c r="H10261" s="12"/>
    </row>
    <row r="10262" spans="8:8">
      <c r="H10262" s="12"/>
    </row>
    <row r="10263" spans="8:8">
      <c r="H10263" s="12"/>
    </row>
    <row r="10264" spans="8:8">
      <c r="H10264" s="12"/>
    </row>
    <row r="10265" spans="8:8">
      <c r="H10265" s="12"/>
    </row>
    <row r="10266" spans="8:8">
      <c r="H10266" s="12"/>
    </row>
    <row r="10267" spans="8:8">
      <c r="H10267" s="12"/>
    </row>
    <row r="10268" spans="8:8">
      <c r="H10268" s="12"/>
    </row>
    <row r="10269" spans="8:8">
      <c r="H10269" s="12"/>
    </row>
    <row r="10270" spans="8:8">
      <c r="H10270" s="12"/>
    </row>
    <row r="10271" spans="8:8">
      <c r="H10271" s="12"/>
    </row>
    <row r="10272" spans="8:8">
      <c r="H10272" s="12"/>
    </row>
    <row r="10273" spans="8:8">
      <c r="H10273" s="12"/>
    </row>
    <row r="10274" spans="8:8">
      <c r="H10274" s="12"/>
    </row>
    <row r="10275" spans="8:8">
      <c r="H10275" s="12"/>
    </row>
    <row r="10276" spans="8:8">
      <c r="H10276" s="12"/>
    </row>
    <row r="10277" spans="8:8">
      <c r="H10277" s="12"/>
    </row>
    <row r="10278" spans="8:8">
      <c r="H10278" s="12"/>
    </row>
    <row r="10279" spans="8:8">
      <c r="H10279" s="12"/>
    </row>
    <row r="10280" spans="8:8">
      <c r="H10280" s="12"/>
    </row>
    <row r="10281" spans="8:8">
      <c r="H10281" s="12"/>
    </row>
    <row r="10282" spans="8:8">
      <c r="H10282" s="12"/>
    </row>
    <row r="10283" spans="8:8">
      <c r="H10283" s="12"/>
    </row>
    <row r="10284" spans="8:8">
      <c r="H10284" s="12"/>
    </row>
    <row r="10285" spans="8:8">
      <c r="H10285" s="12"/>
    </row>
    <row r="10286" spans="8:8">
      <c r="H10286" s="12"/>
    </row>
    <row r="10287" spans="8:8">
      <c r="H10287" s="12"/>
    </row>
    <row r="10288" spans="8:8">
      <c r="H10288" s="12"/>
    </row>
    <row r="10289" spans="8:8">
      <c r="H10289" s="12"/>
    </row>
    <row r="10290" spans="8:8">
      <c r="H10290" s="12"/>
    </row>
    <row r="10291" spans="8:8">
      <c r="H10291" s="12"/>
    </row>
    <row r="10292" spans="8:8">
      <c r="H10292" s="12"/>
    </row>
    <row r="10293" spans="8:8">
      <c r="H10293" s="12"/>
    </row>
    <row r="10294" spans="8:8">
      <c r="H10294" s="12"/>
    </row>
    <row r="10295" spans="8:8">
      <c r="H10295" s="12"/>
    </row>
    <row r="10296" spans="8:8">
      <c r="H10296" s="12"/>
    </row>
    <row r="10297" spans="8:8">
      <c r="H10297" s="12"/>
    </row>
    <row r="10298" spans="8:8">
      <c r="H10298" s="12"/>
    </row>
    <row r="10299" spans="8:8">
      <c r="H10299" s="12"/>
    </row>
    <row r="10300" spans="8:8">
      <c r="H10300" s="12"/>
    </row>
    <row r="10301" spans="8:8">
      <c r="H10301" s="12"/>
    </row>
    <row r="10302" spans="8:8">
      <c r="H10302" s="12"/>
    </row>
    <row r="10303" spans="8:8">
      <c r="H10303" s="12"/>
    </row>
    <row r="10304" spans="8:8">
      <c r="H10304" s="12"/>
    </row>
    <row r="10305" spans="8:8">
      <c r="H10305" s="12"/>
    </row>
    <row r="10306" spans="8:8">
      <c r="H10306" s="12"/>
    </row>
    <row r="10307" spans="8:8">
      <c r="H10307" s="12"/>
    </row>
    <row r="10308" spans="8:8">
      <c r="H10308" s="12"/>
    </row>
    <row r="10309" spans="8:8">
      <c r="H10309" s="12"/>
    </row>
    <row r="10310" spans="8:8">
      <c r="H10310" s="12"/>
    </row>
    <row r="10311" spans="8:8">
      <c r="H10311" s="12"/>
    </row>
    <row r="10312" spans="8:8">
      <c r="H10312" s="12"/>
    </row>
    <row r="10313" spans="8:8">
      <c r="H10313" s="12"/>
    </row>
    <row r="10314" spans="8:8">
      <c r="H10314" s="12"/>
    </row>
    <row r="10315" spans="8:8">
      <c r="H10315" s="12"/>
    </row>
    <row r="10316" spans="8:8">
      <c r="H10316" s="12"/>
    </row>
    <row r="10317" spans="8:8">
      <c r="H10317" s="12"/>
    </row>
    <row r="10318" spans="8:8">
      <c r="H10318" s="12"/>
    </row>
    <row r="10319" spans="8:8">
      <c r="H10319" s="12"/>
    </row>
    <row r="10320" spans="8:8">
      <c r="H10320" s="12"/>
    </row>
    <row r="10321" spans="8:8">
      <c r="H10321" s="12"/>
    </row>
    <row r="10322" spans="8:8">
      <c r="H10322" s="12"/>
    </row>
    <row r="10323" spans="8:8">
      <c r="H10323" s="12"/>
    </row>
    <row r="10324" spans="8:8">
      <c r="H10324" s="12"/>
    </row>
    <row r="10325" spans="8:8">
      <c r="H10325" s="12"/>
    </row>
    <row r="10326" spans="8:8">
      <c r="H10326" s="12"/>
    </row>
    <row r="10327" spans="8:8">
      <c r="H10327" s="12"/>
    </row>
    <row r="10328" spans="8:8">
      <c r="H10328" s="12"/>
    </row>
    <row r="10329" spans="8:8">
      <c r="H10329" s="12"/>
    </row>
    <row r="10330" spans="8:8">
      <c r="H10330" s="12"/>
    </row>
    <row r="10331" spans="8:8">
      <c r="H10331" s="12"/>
    </row>
    <row r="10332" spans="8:8">
      <c r="H10332" s="12"/>
    </row>
    <row r="10333" spans="8:8">
      <c r="H10333" s="12"/>
    </row>
    <row r="10334" spans="8:8">
      <c r="H10334" s="12"/>
    </row>
    <row r="10335" spans="8:8">
      <c r="H10335" s="12"/>
    </row>
    <row r="10336" spans="8:8">
      <c r="H10336" s="12"/>
    </row>
    <row r="10337" spans="8:8">
      <c r="H10337" s="12"/>
    </row>
    <row r="10338" spans="8:8">
      <c r="H10338" s="12"/>
    </row>
    <row r="10339" spans="8:8">
      <c r="H10339" s="12"/>
    </row>
    <row r="10340" spans="8:8">
      <c r="H10340" s="12"/>
    </row>
    <row r="10341" spans="8:8">
      <c r="H10341" s="12"/>
    </row>
    <row r="10342" spans="8:8">
      <c r="H10342" s="12"/>
    </row>
    <row r="10343" spans="8:8">
      <c r="H10343" s="12"/>
    </row>
    <row r="10344" spans="8:8">
      <c r="H10344" s="12"/>
    </row>
    <row r="10345" spans="8:8">
      <c r="H10345" s="12"/>
    </row>
    <row r="10346" spans="8:8">
      <c r="H10346" s="12"/>
    </row>
    <row r="10347" spans="8:8">
      <c r="H10347" s="12"/>
    </row>
    <row r="10348" spans="8:8">
      <c r="H10348" s="12"/>
    </row>
    <row r="10349" spans="8:8">
      <c r="H10349" s="12"/>
    </row>
    <row r="10350" spans="8:8">
      <c r="H10350" s="12"/>
    </row>
    <row r="10351" spans="8:8">
      <c r="H10351" s="12"/>
    </row>
    <row r="10352" spans="8:8">
      <c r="H10352" s="12"/>
    </row>
    <row r="10353" spans="8:8">
      <c r="H10353" s="12"/>
    </row>
    <row r="10354" spans="8:8">
      <c r="H10354" s="12"/>
    </row>
    <row r="10355" spans="8:8">
      <c r="H10355" s="12"/>
    </row>
    <row r="10356" spans="8:8">
      <c r="H10356" s="12"/>
    </row>
    <row r="10357" spans="8:8">
      <c r="H10357" s="12"/>
    </row>
    <row r="10358" spans="8:8">
      <c r="H10358" s="12"/>
    </row>
    <row r="10359" spans="8:8">
      <c r="H10359" s="12"/>
    </row>
    <row r="10360" spans="8:8">
      <c r="H10360" s="12"/>
    </row>
    <row r="10361" spans="8:8">
      <c r="H10361" s="12"/>
    </row>
    <row r="10362" spans="8:8">
      <c r="H10362" s="12"/>
    </row>
    <row r="10363" spans="8:8">
      <c r="H10363" s="12"/>
    </row>
    <row r="10364" spans="8:8">
      <c r="H10364" s="12"/>
    </row>
    <row r="10365" spans="8:8">
      <c r="H10365" s="12"/>
    </row>
    <row r="10366" spans="8:8">
      <c r="H10366" s="12"/>
    </row>
    <row r="10367" spans="8:8">
      <c r="H10367" s="12"/>
    </row>
    <row r="10368" spans="8:8">
      <c r="H10368" s="12"/>
    </row>
    <row r="10369" spans="8:8">
      <c r="H10369" s="12"/>
    </row>
    <row r="10370" spans="8:8">
      <c r="H10370" s="12"/>
    </row>
    <row r="10371" spans="8:8">
      <c r="H10371" s="12"/>
    </row>
    <row r="10372" spans="8:8">
      <c r="H10372" s="12"/>
    </row>
    <row r="10373" spans="8:8">
      <c r="H10373" s="12"/>
    </row>
    <row r="10374" spans="8:8">
      <c r="H10374" s="12"/>
    </row>
    <row r="10375" spans="8:8">
      <c r="H10375" s="12"/>
    </row>
    <row r="10376" spans="8:8">
      <c r="H10376" s="12"/>
    </row>
    <row r="10377" spans="8:8">
      <c r="H10377" s="12"/>
    </row>
    <row r="10378" spans="8:8">
      <c r="H10378" s="12"/>
    </row>
    <row r="10379" spans="8:8">
      <c r="H10379" s="12"/>
    </row>
    <row r="10380" spans="8:8">
      <c r="H10380" s="12"/>
    </row>
    <row r="10381" spans="8:8">
      <c r="H10381" s="12"/>
    </row>
    <row r="10382" spans="8:8">
      <c r="H10382" s="12"/>
    </row>
    <row r="10383" spans="8:8">
      <c r="H10383" s="12"/>
    </row>
    <row r="10384" spans="8:8">
      <c r="H10384" s="12"/>
    </row>
    <row r="10385" spans="8:8">
      <c r="H10385" s="12"/>
    </row>
    <row r="10386" spans="8:8">
      <c r="H10386" s="12"/>
    </row>
    <row r="10387" spans="8:8">
      <c r="H10387" s="12"/>
    </row>
    <row r="10388" spans="8:8">
      <c r="H10388" s="12"/>
    </row>
    <row r="10389" spans="8:8">
      <c r="H10389" s="12"/>
    </row>
    <row r="10390" spans="8:8">
      <c r="H10390" s="12"/>
    </row>
    <row r="10391" spans="8:8">
      <c r="H10391" s="12"/>
    </row>
    <row r="10392" spans="8:8">
      <c r="H10392" s="12"/>
    </row>
    <row r="10393" spans="8:8">
      <c r="H10393" s="12"/>
    </row>
    <row r="10394" spans="8:8">
      <c r="H10394" s="12"/>
    </row>
    <row r="10395" spans="8:8">
      <c r="H10395" s="12"/>
    </row>
    <row r="10396" spans="8:8">
      <c r="H10396" s="12"/>
    </row>
    <row r="10397" spans="8:8">
      <c r="H10397" s="12"/>
    </row>
    <row r="10398" spans="8:8">
      <c r="H10398" s="12"/>
    </row>
    <row r="10399" spans="8:8">
      <c r="H10399" s="12"/>
    </row>
    <row r="10400" spans="8:8">
      <c r="H10400" s="12"/>
    </row>
    <row r="10401" spans="8:8">
      <c r="H10401" s="12"/>
    </row>
    <row r="10402" spans="8:8">
      <c r="H10402" s="12"/>
    </row>
    <row r="10403" spans="8:8">
      <c r="H10403" s="12"/>
    </row>
    <row r="10404" spans="8:8">
      <c r="H10404" s="12"/>
    </row>
    <row r="10405" spans="8:8">
      <c r="H10405" s="12"/>
    </row>
    <row r="10406" spans="8:8">
      <c r="H10406" s="12"/>
    </row>
    <row r="10407" spans="8:8">
      <c r="H10407" s="12"/>
    </row>
    <row r="10408" spans="8:8">
      <c r="H10408" s="12"/>
    </row>
    <row r="10409" spans="8:8">
      <c r="H10409" s="12"/>
    </row>
    <row r="10410" spans="8:8">
      <c r="H10410" s="12"/>
    </row>
    <row r="10411" spans="8:8">
      <c r="H10411" s="12"/>
    </row>
    <row r="10412" spans="8:8">
      <c r="H10412" s="12"/>
    </row>
    <row r="10413" spans="8:8">
      <c r="H10413" s="12"/>
    </row>
    <row r="10414" spans="8:8">
      <c r="H10414" s="12"/>
    </row>
    <row r="10415" spans="8:8">
      <c r="H10415" s="12"/>
    </row>
    <row r="10416" spans="8:8">
      <c r="H10416" s="12"/>
    </row>
    <row r="10417" spans="8:8">
      <c r="H10417" s="12"/>
    </row>
    <row r="10418" spans="8:8">
      <c r="H10418" s="12"/>
    </row>
    <row r="10419" spans="8:8">
      <c r="H10419" s="12"/>
    </row>
    <row r="10420" spans="8:8">
      <c r="H10420" s="12"/>
    </row>
    <row r="10421" spans="8:8">
      <c r="H10421" s="12"/>
    </row>
    <row r="10422" spans="8:8">
      <c r="H10422" s="12"/>
    </row>
    <row r="10423" spans="8:8">
      <c r="H10423" s="12"/>
    </row>
    <row r="10424" spans="8:8">
      <c r="H10424" s="12"/>
    </row>
    <row r="10425" spans="8:8">
      <c r="H10425" s="12"/>
    </row>
    <row r="10426" spans="8:8">
      <c r="H10426" s="12"/>
    </row>
    <row r="10427" spans="8:8">
      <c r="H10427" s="12"/>
    </row>
    <row r="10428" spans="8:8">
      <c r="H10428" s="12"/>
    </row>
    <row r="10429" spans="8:8">
      <c r="H10429" s="12"/>
    </row>
    <row r="10430" spans="8:8">
      <c r="H10430" s="12"/>
    </row>
    <row r="10431" spans="8:8">
      <c r="H10431" s="12"/>
    </row>
    <row r="10432" spans="8:8">
      <c r="H10432" s="12"/>
    </row>
    <row r="10433" spans="8:8">
      <c r="H10433" s="12"/>
    </row>
    <row r="10434" spans="8:8">
      <c r="H10434" s="12"/>
    </row>
    <row r="10435" spans="8:8">
      <c r="H10435" s="12"/>
    </row>
    <row r="10436" spans="8:8">
      <c r="H10436" s="12"/>
    </row>
    <row r="10437" spans="8:8">
      <c r="H10437" s="12"/>
    </row>
    <row r="10438" spans="8:8">
      <c r="H10438" s="12"/>
    </row>
    <row r="10439" spans="8:8">
      <c r="H10439" s="12"/>
    </row>
    <row r="10440" spans="8:8">
      <c r="H10440" s="12"/>
    </row>
    <row r="10441" spans="8:8">
      <c r="H10441" s="12"/>
    </row>
    <row r="10442" spans="8:8">
      <c r="H10442" s="12"/>
    </row>
    <row r="10443" spans="8:8">
      <c r="H10443" s="12"/>
    </row>
    <row r="10444" spans="8:8">
      <c r="H10444" s="12"/>
    </row>
    <row r="10445" spans="8:8">
      <c r="H10445" s="12"/>
    </row>
    <row r="10446" spans="8:8">
      <c r="H10446" s="12"/>
    </row>
    <row r="10447" spans="8:8">
      <c r="H10447" s="12"/>
    </row>
    <row r="10448" spans="8:8">
      <c r="H10448" s="12"/>
    </row>
    <row r="10449" spans="8:8">
      <c r="H10449" s="12"/>
    </row>
    <row r="10450" spans="8:8">
      <c r="H10450" s="12"/>
    </row>
    <row r="10451" spans="8:8">
      <c r="H10451" s="12"/>
    </row>
    <row r="10452" spans="8:8">
      <c r="H10452" s="12"/>
    </row>
    <row r="10453" spans="8:8">
      <c r="H10453" s="12"/>
    </row>
    <row r="10454" spans="8:8">
      <c r="H10454" s="12"/>
    </row>
    <row r="10455" spans="8:8">
      <c r="H10455" s="12"/>
    </row>
    <row r="10456" spans="8:8">
      <c r="H10456" s="12"/>
    </row>
    <row r="10457" spans="8:8">
      <c r="H10457" s="12"/>
    </row>
    <row r="10458" spans="8:8">
      <c r="H10458" s="12"/>
    </row>
    <row r="10459" spans="8:8">
      <c r="H10459" s="12"/>
    </row>
    <row r="10460" spans="8:8">
      <c r="H10460" s="12"/>
    </row>
    <row r="10461" spans="8:8">
      <c r="H10461" s="12"/>
    </row>
    <row r="10462" spans="8:8">
      <c r="H10462" s="12"/>
    </row>
    <row r="10463" spans="8:8">
      <c r="H10463" s="12"/>
    </row>
    <row r="10464" spans="8:8">
      <c r="H10464" s="12"/>
    </row>
    <row r="10465" spans="8:8">
      <c r="H10465" s="12"/>
    </row>
    <row r="10466" spans="8:8">
      <c r="H10466" s="12"/>
    </row>
    <row r="10467" spans="8:8">
      <c r="H10467" s="12"/>
    </row>
    <row r="10468" spans="8:8">
      <c r="H10468" s="12"/>
    </row>
    <row r="10469" spans="8:8">
      <c r="H10469" s="12"/>
    </row>
    <row r="10470" spans="8:8">
      <c r="H10470" s="12"/>
    </row>
    <row r="10471" spans="8:8">
      <c r="H10471" s="12"/>
    </row>
    <row r="10472" spans="8:8">
      <c r="H10472" s="12"/>
    </row>
    <row r="10473" spans="8:8">
      <c r="H10473" s="12"/>
    </row>
    <row r="10474" spans="8:8">
      <c r="H10474" s="12"/>
    </row>
    <row r="10475" spans="8:8">
      <c r="H10475" s="12"/>
    </row>
    <row r="10476" spans="8:8">
      <c r="H10476" s="12"/>
    </row>
    <row r="10477" spans="8:8">
      <c r="H10477" s="12"/>
    </row>
    <row r="10478" spans="8:8">
      <c r="H10478" s="12"/>
    </row>
    <row r="10479" spans="8:8">
      <c r="H10479" s="12"/>
    </row>
    <row r="10480" spans="8:8">
      <c r="H10480" s="12"/>
    </row>
    <row r="10481" spans="8:8">
      <c r="H10481" s="12"/>
    </row>
    <row r="10482" spans="8:8">
      <c r="H10482" s="12"/>
    </row>
    <row r="10483" spans="8:8">
      <c r="H10483" s="12"/>
    </row>
    <row r="10484" spans="8:8">
      <c r="H10484" s="12"/>
    </row>
    <row r="10485" spans="8:8">
      <c r="H10485" s="12"/>
    </row>
    <row r="10486" spans="8:8">
      <c r="H10486" s="12"/>
    </row>
    <row r="10487" spans="8:8">
      <c r="H10487" s="12"/>
    </row>
    <row r="10488" spans="8:8">
      <c r="H10488" s="12"/>
    </row>
    <row r="10489" spans="8:8">
      <c r="H10489" s="12"/>
    </row>
    <row r="10490" spans="8:8">
      <c r="H10490" s="12"/>
    </row>
    <row r="10491" spans="8:8">
      <c r="H10491" s="12"/>
    </row>
    <row r="10492" spans="8:8">
      <c r="H10492" s="12"/>
    </row>
    <row r="10493" spans="8:8">
      <c r="H10493" s="12"/>
    </row>
    <row r="10494" spans="8:8">
      <c r="H10494" s="12"/>
    </row>
    <row r="10495" spans="8:8">
      <c r="H10495" s="12"/>
    </row>
    <row r="10496" spans="8:8">
      <c r="H10496" s="12"/>
    </row>
    <row r="10497" spans="8:8">
      <c r="H10497" s="12"/>
    </row>
    <row r="10498" spans="8:8">
      <c r="H10498" s="12"/>
    </row>
    <row r="10499" spans="8:8">
      <c r="H10499" s="12"/>
    </row>
    <row r="10500" spans="8:8">
      <c r="H10500" s="12"/>
    </row>
    <row r="10501" spans="8:8">
      <c r="H10501" s="12"/>
    </row>
    <row r="10502" spans="8:8">
      <c r="H10502" s="12"/>
    </row>
    <row r="10503" spans="8:8">
      <c r="H10503" s="12"/>
    </row>
    <row r="10504" spans="8:8">
      <c r="H10504" s="12"/>
    </row>
    <row r="10505" spans="8:8">
      <c r="H10505" s="12"/>
    </row>
    <row r="10506" spans="8:8">
      <c r="H10506" s="12"/>
    </row>
    <row r="10507" spans="8:8">
      <c r="H10507" s="12"/>
    </row>
    <row r="10508" spans="8:8">
      <c r="H10508" s="12"/>
    </row>
    <row r="10509" spans="8:8">
      <c r="H10509" s="12"/>
    </row>
    <row r="10510" spans="8:8">
      <c r="H10510" s="12"/>
    </row>
    <row r="10511" spans="8:8">
      <c r="H10511" s="12"/>
    </row>
    <row r="10512" spans="8:8">
      <c r="H10512" s="12"/>
    </row>
    <row r="10513" spans="8:8">
      <c r="H10513" s="12"/>
    </row>
    <row r="10514" spans="8:8">
      <c r="H10514" s="12"/>
    </row>
    <row r="10515" spans="8:8">
      <c r="H10515" s="12"/>
    </row>
    <row r="10516" spans="8:8">
      <c r="H10516" s="12"/>
    </row>
    <row r="10517" spans="8:8">
      <c r="H10517" s="12"/>
    </row>
    <row r="10518" spans="8:8">
      <c r="H10518" s="12"/>
    </row>
    <row r="10519" spans="8:8">
      <c r="H10519" s="12"/>
    </row>
    <row r="10520" spans="8:8">
      <c r="H10520" s="12"/>
    </row>
    <row r="10521" spans="8:8">
      <c r="H10521" s="12"/>
    </row>
    <row r="10522" spans="8:8">
      <c r="H10522" s="12"/>
    </row>
    <row r="10523" spans="8:8">
      <c r="H10523" s="12"/>
    </row>
    <row r="10524" spans="8:8">
      <c r="H10524" s="12"/>
    </row>
    <row r="10525" spans="8:8">
      <c r="H10525" s="12"/>
    </row>
    <row r="10526" spans="8:8">
      <c r="H10526" s="12"/>
    </row>
    <row r="10527" spans="8:8">
      <c r="H10527" s="12"/>
    </row>
    <row r="10528" spans="8:8">
      <c r="H10528" s="12"/>
    </row>
    <row r="10529" spans="8:8">
      <c r="H10529" s="12"/>
    </row>
    <row r="10530" spans="8:8">
      <c r="H10530" s="12"/>
    </row>
    <row r="10531" spans="8:8">
      <c r="H10531" s="12"/>
    </row>
    <row r="10532" spans="8:8">
      <c r="H10532" s="12"/>
    </row>
    <row r="10533" spans="8:8">
      <c r="H10533" s="12"/>
    </row>
    <row r="10534" spans="8:8">
      <c r="H10534" s="12"/>
    </row>
    <row r="10535" spans="8:8">
      <c r="H10535" s="12"/>
    </row>
    <row r="10536" spans="8:8">
      <c r="H10536" s="12"/>
    </row>
    <row r="10537" spans="8:8">
      <c r="H10537" s="12"/>
    </row>
    <row r="10538" spans="8:8">
      <c r="H10538" s="12"/>
    </row>
    <row r="10539" spans="8:8">
      <c r="H10539" s="12"/>
    </row>
    <row r="10540" spans="8:8">
      <c r="H10540" s="12"/>
    </row>
    <row r="10541" spans="8:8">
      <c r="H10541" s="12"/>
    </row>
    <row r="10542" spans="8:8">
      <c r="H10542" s="12"/>
    </row>
    <row r="10543" spans="8:8">
      <c r="H10543" s="12"/>
    </row>
    <row r="10544" spans="8:8">
      <c r="H10544" s="12"/>
    </row>
    <row r="10545" spans="8:8">
      <c r="H10545" s="12"/>
    </row>
    <row r="10546" spans="8:8">
      <c r="H10546" s="12"/>
    </row>
    <row r="10547" spans="8:8">
      <c r="H10547" s="12"/>
    </row>
    <row r="10548" spans="8:8">
      <c r="H10548" s="12"/>
    </row>
    <row r="10549" spans="8:8">
      <c r="H10549" s="12"/>
    </row>
    <row r="10550" spans="8:8">
      <c r="H10550" s="12"/>
    </row>
    <row r="10551" spans="8:8">
      <c r="H10551" s="12"/>
    </row>
    <row r="10552" spans="8:8">
      <c r="H10552" s="12"/>
    </row>
    <row r="10553" spans="8:8">
      <c r="H10553" s="12"/>
    </row>
    <row r="10554" spans="8:8">
      <c r="H10554" s="12"/>
    </row>
    <row r="10555" spans="8:8">
      <c r="H10555" s="12"/>
    </row>
    <row r="10556" spans="8:8">
      <c r="H10556" s="12"/>
    </row>
    <row r="10557" spans="8:8">
      <c r="H10557" s="12"/>
    </row>
    <row r="10558" spans="8:8">
      <c r="H10558" s="12"/>
    </row>
    <row r="10559" spans="8:8">
      <c r="H10559" s="12"/>
    </row>
    <row r="10560" spans="8:8">
      <c r="H10560" s="12"/>
    </row>
    <row r="10561" spans="8:8">
      <c r="H10561" s="12"/>
    </row>
    <row r="10562" spans="8:8">
      <c r="H10562" s="12"/>
    </row>
    <row r="10563" spans="8:8">
      <c r="H10563" s="12"/>
    </row>
    <row r="10564" spans="8:8">
      <c r="H10564" s="12"/>
    </row>
    <row r="10565" spans="8:8">
      <c r="H10565" s="12"/>
    </row>
    <row r="10566" spans="8:8">
      <c r="H10566" s="12"/>
    </row>
    <row r="10567" spans="8:8">
      <c r="H10567" s="12"/>
    </row>
    <row r="10568" spans="8:8">
      <c r="H10568" s="12"/>
    </row>
    <row r="10569" spans="8:8">
      <c r="H10569" s="12"/>
    </row>
    <row r="10570" spans="8:8">
      <c r="H10570" s="12"/>
    </row>
    <row r="10571" spans="8:8">
      <c r="H10571" s="12"/>
    </row>
    <row r="10572" spans="8:8">
      <c r="H10572" s="12"/>
    </row>
    <row r="10573" spans="8:8">
      <c r="H10573" s="12"/>
    </row>
    <row r="10574" spans="8:8">
      <c r="H10574" s="12"/>
    </row>
    <row r="10575" spans="8:8">
      <c r="H10575" s="12"/>
    </row>
    <row r="10576" spans="8:8">
      <c r="H10576" s="12"/>
    </row>
    <row r="10577" spans="8:8">
      <c r="H10577" s="12"/>
    </row>
    <row r="10578" spans="8:8">
      <c r="H10578" s="12"/>
    </row>
    <row r="10579" spans="8:8">
      <c r="H10579" s="12"/>
    </row>
    <row r="10580" spans="8:8">
      <c r="H10580" s="12"/>
    </row>
    <row r="10581" spans="8:8">
      <c r="H10581" s="12"/>
    </row>
    <row r="10582" spans="8:8">
      <c r="H10582" s="12"/>
    </row>
    <row r="10583" spans="8:8">
      <c r="H10583" s="12"/>
    </row>
    <row r="10584" spans="8:8">
      <c r="H10584" s="12"/>
    </row>
    <row r="10585" spans="8:8">
      <c r="H10585" s="12"/>
    </row>
    <row r="10586" spans="8:8">
      <c r="H10586" s="12"/>
    </row>
    <row r="10587" spans="8:8">
      <c r="H10587" s="12"/>
    </row>
    <row r="10588" spans="8:8">
      <c r="H10588" s="12"/>
    </row>
    <row r="10589" spans="8:8">
      <c r="H10589" s="12"/>
    </row>
    <row r="10590" spans="8:8">
      <c r="H10590" s="12"/>
    </row>
    <row r="10591" spans="8:8">
      <c r="H10591" s="12"/>
    </row>
    <row r="10592" spans="8:8">
      <c r="H10592" s="12"/>
    </row>
    <row r="10593" spans="8:8">
      <c r="H10593" s="12"/>
    </row>
    <row r="10594" spans="8:8">
      <c r="H10594" s="12"/>
    </row>
    <row r="10595" spans="8:8">
      <c r="H10595" s="12"/>
    </row>
    <row r="10596" spans="8:8">
      <c r="H10596" s="12"/>
    </row>
    <row r="10597" spans="8:8">
      <c r="H10597" s="12"/>
    </row>
    <row r="10598" spans="8:8">
      <c r="H10598" s="12"/>
    </row>
    <row r="10599" spans="8:8">
      <c r="H10599" s="12"/>
    </row>
    <row r="10600" spans="8:8">
      <c r="H10600" s="12"/>
    </row>
    <row r="10601" spans="8:8">
      <c r="H10601" s="12"/>
    </row>
    <row r="10602" spans="8:8">
      <c r="H10602" s="12"/>
    </row>
    <row r="10603" spans="8:8">
      <c r="H10603" s="12"/>
    </row>
    <row r="10604" spans="8:8">
      <c r="H10604" s="12"/>
    </row>
    <row r="10605" spans="8:8">
      <c r="H10605" s="12"/>
    </row>
    <row r="10606" spans="8:8">
      <c r="H10606" s="12"/>
    </row>
    <row r="10607" spans="8:8">
      <c r="H10607" s="12"/>
    </row>
    <row r="10608" spans="8:8">
      <c r="H10608" s="12"/>
    </row>
    <row r="10609" spans="8:8">
      <c r="H10609" s="12"/>
    </row>
    <row r="10610" spans="8:8">
      <c r="H10610" s="12"/>
    </row>
    <row r="10611" spans="8:8">
      <c r="H10611" s="12"/>
    </row>
    <row r="10612" spans="8:8">
      <c r="H10612" s="12"/>
    </row>
    <row r="10613" spans="8:8">
      <c r="H10613" s="12"/>
    </row>
    <row r="10614" spans="8:8">
      <c r="H10614" s="12"/>
    </row>
    <row r="10615" spans="8:8">
      <c r="H10615" s="12"/>
    </row>
    <row r="10616" spans="8:8">
      <c r="H10616" s="12"/>
    </row>
    <row r="10617" spans="8:8">
      <c r="H10617" s="12"/>
    </row>
    <row r="10618" spans="8:8">
      <c r="H10618" s="12"/>
    </row>
    <row r="10619" spans="8:8">
      <c r="H10619" s="12"/>
    </row>
    <row r="10620" spans="8:8">
      <c r="H10620" s="12"/>
    </row>
    <row r="10621" spans="8:8">
      <c r="H10621" s="12"/>
    </row>
    <row r="10622" spans="8:8">
      <c r="H10622" s="12"/>
    </row>
    <row r="10623" spans="8:8">
      <c r="H10623" s="12"/>
    </row>
    <row r="10624" spans="8:8">
      <c r="H10624" s="12"/>
    </row>
    <row r="10625" spans="8:8">
      <c r="H10625" s="12"/>
    </row>
    <row r="10626" spans="8:8">
      <c r="H10626" s="12"/>
    </row>
    <row r="10627" spans="8:8">
      <c r="H10627" s="12"/>
    </row>
    <row r="10628" spans="8:8">
      <c r="H10628" s="12"/>
    </row>
    <row r="10629" spans="8:8">
      <c r="H10629" s="12"/>
    </row>
    <row r="10630" spans="8:8">
      <c r="H10630" s="12"/>
    </row>
    <row r="10631" spans="8:8">
      <c r="H10631" s="12"/>
    </row>
    <row r="10632" spans="8:8">
      <c r="H10632" s="12"/>
    </row>
    <row r="10633" spans="8:8">
      <c r="H10633" s="12"/>
    </row>
    <row r="10634" spans="8:8">
      <c r="H10634" s="12"/>
    </row>
    <row r="10635" spans="8:8">
      <c r="H10635" s="12"/>
    </row>
    <row r="10636" spans="8:8">
      <c r="H10636" s="12"/>
    </row>
    <row r="10637" spans="8:8">
      <c r="H10637" s="12"/>
    </row>
    <row r="10638" spans="8:8">
      <c r="H10638" s="12"/>
    </row>
    <row r="10639" spans="8:8">
      <c r="H10639" s="12"/>
    </row>
    <row r="10640" spans="8:8">
      <c r="H10640" s="12"/>
    </row>
    <row r="10641" spans="8:8">
      <c r="H10641" s="12"/>
    </row>
    <row r="10642" spans="8:8">
      <c r="H10642" s="12"/>
    </row>
    <row r="10643" spans="8:8">
      <c r="H10643" s="12"/>
    </row>
    <row r="10644" spans="8:8">
      <c r="H10644" s="12"/>
    </row>
    <row r="10645" spans="8:8">
      <c r="H10645" s="12"/>
    </row>
    <row r="10646" spans="8:8">
      <c r="H10646" s="12"/>
    </row>
    <row r="10647" spans="8:8">
      <c r="H10647" s="12"/>
    </row>
    <row r="10648" spans="8:8">
      <c r="H10648" s="12"/>
    </row>
    <row r="10649" spans="8:8">
      <c r="H10649" s="12"/>
    </row>
    <row r="10650" spans="8:8">
      <c r="H10650" s="12"/>
    </row>
    <row r="10651" spans="8:8">
      <c r="H10651" s="12"/>
    </row>
    <row r="10652" spans="8:8">
      <c r="H10652" s="12"/>
    </row>
    <row r="10653" spans="8:8">
      <c r="H10653" s="12"/>
    </row>
    <row r="10654" spans="8:8">
      <c r="H10654" s="12"/>
    </row>
    <row r="10655" spans="8:8">
      <c r="H10655" s="12"/>
    </row>
    <row r="10656" spans="8:8">
      <c r="H10656" s="12"/>
    </row>
    <row r="10657" spans="8:8">
      <c r="H10657" s="12"/>
    </row>
    <row r="10658" spans="8:8">
      <c r="H10658" s="12"/>
    </row>
    <row r="10659" spans="8:8">
      <c r="H10659" s="12"/>
    </row>
    <row r="10660" spans="8:8">
      <c r="H10660" s="12"/>
    </row>
    <row r="10661" spans="8:8">
      <c r="H10661" s="12"/>
    </row>
    <row r="10662" spans="8:8">
      <c r="H10662" s="12"/>
    </row>
    <row r="10663" spans="8:8">
      <c r="H10663" s="12"/>
    </row>
    <row r="10664" spans="8:8">
      <c r="H10664" s="12"/>
    </row>
    <row r="10665" spans="8:8">
      <c r="H10665" s="12"/>
    </row>
    <row r="10666" spans="8:8">
      <c r="H10666" s="12"/>
    </row>
    <row r="10667" spans="8:8">
      <c r="H10667" s="12"/>
    </row>
    <row r="10668" spans="8:8">
      <c r="H10668" s="12"/>
    </row>
    <row r="10669" spans="8:8">
      <c r="H10669" s="12"/>
    </row>
    <row r="10670" spans="8:8">
      <c r="H10670" s="12"/>
    </row>
    <row r="10671" spans="8:8">
      <c r="H10671" s="12"/>
    </row>
    <row r="10672" spans="8:8">
      <c r="H10672" s="12"/>
    </row>
    <row r="10673" spans="8:8">
      <c r="H10673" s="12"/>
    </row>
    <row r="10674" spans="8:8">
      <c r="H10674" s="12"/>
    </row>
    <row r="10675" spans="8:8">
      <c r="H10675" s="12"/>
    </row>
    <row r="10676" spans="8:8">
      <c r="H10676" s="12"/>
    </row>
    <row r="10677" spans="8:8">
      <c r="H10677" s="12"/>
    </row>
    <row r="10678" spans="8:8">
      <c r="H10678" s="12"/>
    </row>
    <row r="10679" spans="8:8">
      <c r="H10679" s="12"/>
    </row>
    <row r="10680" spans="8:8">
      <c r="H10680" s="12"/>
    </row>
    <row r="10681" spans="8:8">
      <c r="H10681" s="12"/>
    </row>
    <row r="10682" spans="8:8">
      <c r="H10682" s="12"/>
    </row>
    <row r="10683" spans="8:8">
      <c r="H10683" s="12"/>
    </row>
    <row r="10684" spans="8:8">
      <c r="H10684" s="12"/>
    </row>
    <row r="10685" spans="8:8">
      <c r="H10685" s="12"/>
    </row>
    <row r="10686" spans="8:8">
      <c r="H10686" s="12"/>
    </row>
    <row r="10687" spans="8:8">
      <c r="H10687" s="12"/>
    </row>
    <row r="10688" spans="8:8">
      <c r="H10688" s="12"/>
    </row>
    <row r="10689" spans="8:8">
      <c r="H10689" s="12"/>
    </row>
    <row r="10690" spans="8:8">
      <c r="H10690" s="12"/>
    </row>
    <row r="10691" spans="8:8">
      <c r="H10691" s="12"/>
    </row>
    <row r="10692" spans="8:8">
      <c r="H10692" s="12"/>
    </row>
    <row r="10693" spans="8:8">
      <c r="H10693" s="12"/>
    </row>
    <row r="10694" spans="8:8">
      <c r="H10694" s="12"/>
    </row>
    <row r="10695" spans="8:8">
      <c r="H10695" s="12"/>
    </row>
    <row r="10696" spans="8:8">
      <c r="H10696" s="12"/>
    </row>
    <row r="10697" spans="8:8">
      <c r="H10697" s="12"/>
    </row>
    <row r="10698" spans="8:8">
      <c r="H10698" s="12"/>
    </row>
    <row r="10699" spans="8:8">
      <c r="H10699" s="12"/>
    </row>
    <row r="10700" spans="8:8">
      <c r="H10700" s="12"/>
    </row>
    <row r="10701" spans="8:8">
      <c r="H10701" s="12"/>
    </row>
    <row r="10702" spans="8:8">
      <c r="H10702" s="12"/>
    </row>
    <row r="10703" spans="8:8">
      <c r="H10703" s="12"/>
    </row>
    <row r="10704" spans="8:8">
      <c r="H10704" s="12"/>
    </row>
    <row r="10705" spans="8:8">
      <c r="H10705" s="12"/>
    </row>
    <row r="10706" spans="8:8">
      <c r="H10706" s="12"/>
    </row>
    <row r="10707" spans="8:8">
      <c r="H10707" s="12"/>
    </row>
    <row r="10708" spans="8:8">
      <c r="H10708" s="12"/>
    </row>
    <row r="10709" spans="8:8">
      <c r="H10709" s="12"/>
    </row>
    <row r="10710" spans="8:8">
      <c r="H10710" s="12"/>
    </row>
    <row r="10711" spans="8:8">
      <c r="H10711" s="12"/>
    </row>
    <row r="10712" spans="8:8">
      <c r="H10712" s="12"/>
    </row>
    <row r="10713" spans="8:8">
      <c r="H10713" s="12"/>
    </row>
    <row r="10714" spans="8:8">
      <c r="H10714" s="12"/>
    </row>
    <row r="10715" spans="8:8">
      <c r="H10715" s="12"/>
    </row>
    <row r="10716" spans="8:8">
      <c r="H10716" s="12"/>
    </row>
    <row r="10717" spans="8:8">
      <c r="H10717" s="12"/>
    </row>
    <row r="10718" spans="8:8">
      <c r="H10718" s="12"/>
    </row>
    <row r="10719" spans="8:8">
      <c r="H10719" s="12"/>
    </row>
    <row r="10720" spans="8:8">
      <c r="H10720" s="12"/>
    </row>
    <row r="10721" spans="8:8">
      <c r="H10721" s="12"/>
    </row>
    <row r="10722" spans="8:8">
      <c r="H10722" s="12"/>
    </row>
    <row r="10723" spans="8:8">
      <c r="H10723" s="12"/>
    </row>
    <row r="10724" spans="8:8">
      <c r="H10724" s="12"/>
    </row>
    <row r="10725" spans="8:8">
      <c r="H10725" s="12"/>
    </row>
    <row r="10726" spans="8:8">
      <c r="H10726" s="12"/>
    </row>
    <row r="10727" spans="8:8">
      <c r="H10727" s="12"/>
    </row>
    <row r="10728" spans="8:8">
      <c r="H10728" s="12"/>
    </row>
    <row r="10729" spans="8:8">
      <c r="H10729" s="12"/>
    </row>
    <row r="10730" spans="8:8">
      <c r="H10730" s="12"/>
    </row>
    <row r="10731" spans="8:8">
      <c r="H10731" s="12"/>
    </row>
    <row r="10732" spans="8:8">
      <c r="H10732" s="12"/>
    </row>
    <row r="10733" spans="8:8">
      <c r="H10733" s="12"/>
    </row>
    <row r="10734" spans="8:8">
      <c r="H10734" s="12"/>
    </row>
    <row r="10735" spans="8:8">
      <c r="H10735" s="12"/>
    </row>
    <row r="10736" spans="8:8">
      <c r="H10736" s="12"/>
    </row>
    <row r="10737" spans="8:8">
      <c r="H10737" s="12"/>
    </row>
    <row r="10738" spans="8:8">
      <c r="H10738" s="12"/>
    </row>
    <row r="10739" spans="8:8">
      <c r="H10739" s="12"/>
    </row>
    <row r="10740" spans="8:8">
      <c r="H10740" s="12"/>
    </row>
    <row r="10741" spans="8:8">
      <c r="H10741" s="12"/>
    </row>
    <row r="10742" spans="8:8">
      <c r="H10742" s="12"/>
    </row>
    <row r="10743" spans="8:8">
      <c r="H10743" s="12"/>
    </row>
    <row r="10744" spans="8:8">
      <c r="H10744" s="12"/>
    </row>
    <row r="10745" spans="8:8">
      <c r="H10745" s="12"/>
    </row>
    <row r="10746" spans="8:8">
      <c r="H10746" s="12"/>
    </row>
    <row r="10747" spans="8:8">
      <c r="H10747" s="12"/>
    </row>
    <row r="10748" spans="8:8">
      <c r="H10748" s="12"/>
    </row>
    <row r="10749" spans="8:8">
      <c r="H10749" s="12"/>
    </row>
    <row r="10750" spans="8:8">
      <c r="H10750" s="12"/>
    </row>
    <row r="10751" spans="8:8">
      <c r="H10751" s="12"/>
    </row>
    <row r="10752" spans="8:8">
      <c r="H10752" s="12"/>
    </row>
    <row r="10753" spans="8:8">
      <c r="H10753" s="12"/>
    </row>
    <row r="10754" spans="8:8">
      <c r="H10754" s="12"/>
    </row>
    <row r="10755" spans="8:8">
      <c r="H10755" s="12"/>
    </row>
    <row r="10756" spans="8:8">
      <c r="H10756" s="12"/>
    </row>
    <row r="10757" spans="8:8">
      <c r="H10757" s="12"/>
    </row>
    <row r="10758" spans="8:8">
      <c r="H10758" s="12"/>
    </row>
    <row r="10759" spans="8:8">
      <c r="H10759" s="12"/>
    </row>
    <row r="10760" spans="8:8">
      <c r="H10760" s="12"/>
    </row>
    <row r="10761" spans="8:8">
      <c r="H10761" s="12"/>
    </row>
    <row r="10762" spans="8:8">
      <c r="H10762" s="12"/>
    </row>
    <row r="10763" spans="8:8">
      <c r="H10763" s="12"/>
    </row>
    <row r="10764" spans="8:8">
      <c r="H10764" s="12"/>
    </row>
    <row r="10765" spans="8:8">
      <c r="H10765" s="12"/>
    </row>
    <row r="10766" spans="8:8">
      <c r="H10766" s="12"/>
    </row>
    <row r="10767" spans="8:8">
      <c r="H10767" s="12"/>
    </row>
    <row r="10768" spans="8:8">
      <c r="H10768" s="12"/>
    </row>
    <row r="10769" spans="8:8">
      <c r="H10769" s="12"/>
    </row>
    <row r="10770" spans="8:8">
      <c r="H10770" s="12"/>
    </row>
    <row r="10771" spans="8:8">
      <c r="H10771" s="12"/>
    </row>
    <row r="10772" spans="8:8">
      <c r="H10772" s="12"/>
    </row>
    <row r="10773" spans="8:8">
      <c r="H10773" s="12"/>
    </row>
    <row r="10774" spans="8:8">
      <c r="H10774" s="12"/>
    </row>
    <row r="10775" spans="8:8">
      <c r="H10775" s="12"/>
    </row>
    <row r="10776" spans="8:8">
      <c r="H10776" s="12"/>
    </row>
    <row r="10777" spans="8:8">
      <c r="H10777" s="12"/>
    </row>
    <row r="10778" spans="8:8">
      <c r="H10778" s="12"/>
    </row>
    <row r="10779" spans="8:8">
      <c r="H10779" s="12"/>
    </row>
    <row r="10780" spans="8:8">
      <c r="H10780" s="12"/>
    </row>
    <row r="10781" spans="8:8">
      <c r="H10781" s="12"/>
    </row>
    <row r="10782" spans="8:8">
      <c r="H10782" s="12"/>
    </row>
    <row r="10783" spans="8:8">
      <c r="H10783" s="12"/>
    </row>
    <row r="10784" spans="8:8">
      <c r="H10784" s="12"/>
    </row>
    <row r="10785" spans="8:8">
      <c r="H10785" s="12"/>
    </row>
    <row r="10786" spans="8:8">
      <c r="H10786" s="12"/>
    </row>
    <row r="10787" spans="8:8">
      <c r="H10787" s="12"/>
    </row>
    <row r="10788" spans="8:8">
      <c r="H10788" s="12"/>
    </row>
    <row r="10789" spans="8:8">
      <c r="H10789" s="12"/>
    </row>
    <row r="10790" spans="8:8">
      <c r="H10790" s="12"/>
    </row>
    <row r="10791" spans="8:8">
      <c r="H10791" s="12"/>
    </row>
    <row r="10792" spans="8:8">
      <c r="H10792" s="12"/>
    </row>
    <row r="10793" spans="8:8">
      <c r="H10793" s="12"/>
    </row>
    <row r="10794" spans="8:8">
      <c r="H10794" s="12"/>
    </row>
    <row r="10795" spans="8:8">
      <c r="H10795" s="12"/>
    </row>
    <row r="10796" spans="8:8">
      <c r="H10796" s="12"/>
    </row>
    <row r="10797" spans="8:8">
      <c r="H10797" s="12"/>
    </row>
    <row r="10798" spans="8:8">
      <c r="H10798" s="12"/>
    </row>
    <row r="10799" spans="8:8">
      <c r="H10799" s="12"/>
    </row>
    <row r="10800" spans="8:8">
      <c r="H10800" s="12"/>
    </row>
    <row r="10801" spans="8:8">
      <c r="H10801" s="12"/>
    </row>
    <row r="10802" spans="8:8">
      <c r="H10802" s="12"/>
    </row>
    <row r="10803" spans="8:8">
      <c r="H10803" s="12"/>
    </row>
    <row r="10804" spans="8:8">
      <c r="H10804" s="12"/>
    </row>
    <row r="10805" spans="8:8">
      <c r="H10805" s="12"/>
    </row>
    <row r="10806" spans="8:8">
      <c r="H10806" s="12"/>
    </row>
    <row r="10807" spans="8:8">
      <c r="H10807" s="12"/>
    </row>
    <row r="10808" spans="8:8">
      <c r="H10808" s="12"/>
    </row>
    <row r="10809" spans="8:8">
      <c r="H10809" s="12"/>
    </row>
    <row r="10810" spans="8:8">
      <c r="H10810" s="12"/>
    </row>
    <row r="10811" spans="8:8">
      <c r="H10811" s="12"/>
    </row>
    <row r="10812" spans="8:8">
      <c r="H10812" s="12"/>
    </row>
    <row r="10813" spans="8:8">
      <c r="H10813" s="12"/>
    </row>
    <row r="10814" spans="8:8">
      <c r="H10814" s="12"/>
    </row>
    <row r="10815" spans="8:8">
      <c r="H10815" s="12"/>
    </row>
    <row r="10816" spans="8:8">
      <c r="H10816" s="12"/>
    </row>
    <row r="10817" spans="8:8">
      <c r="H10817" s="12"/>
    </row>
    <row r="10818" spans="8:8">
      <c r="H10818" s="12"/>
    </row>
    <row r="10819" spans="8:8">
      <c r="H10819" s="12"/>
    </row>
    <row r="10820" spans="8:8">
      <c r="H10820" s="12"/>
    </row>
    <row r="10821" spans="8:8">
      <c r="H10821" s="12"/>
    </row>
    <row r="10822" spans="8:8">
      <c r="H10822" s="12"/>
    </row>
    <row r="10823" spans="8:8">
      <c r="H10823" s="12"/>
    </row>
    <row r="10824" spans="8:8">
      <c r="H10824" s="12"/>
    </row>
    <row r="10825" spans="8:8">
      <c r="H10825" s="12"/>
    </row>
    <row r="10826" spans="8:8">
      <c r="H10826" s="12"/>
    </row>
    <row r="10827" spans="8:8">
      <c r="H10827" s="12"/>
    </row>
    <row r="10828" spans="8:8">
      <c r="H10828" s="12"/>
    </row>
    <row r="10829" spans="8:8">
      <c r="H10829" s="12"/>
    </row>
    <row r="10830" spans="8:8">
      <c r="H10830" s="12"/>
    </row>
    <row r="10831" spans="8:8">
      <c r="H10831" s="12"/>
    </row>
    <row r="10832" spans="8:8">
      <c r="H10832" s="12"/>
    </row>
    <row r="10833" spans="8:8">
      <c r="H10833" s="12"/>
    </row>
    <row r="10834" spans="8:8">
      <c r="H10834" s="12"/>
    </row>
    <row r="10835" spans="8:8">
      <c r="H10835" s="12"/>
    </row>
    <row r="10836" spans="8:8">
      <c r="H10836" s="12"/>
    </row>
    <row r="10837" spans="8:8">
      <c r="H10837" s="12"/>
    </row>
    <row r="10838" spans="8:8">
      <c r="H10838" s="12"/>
    </row>
    <row r="10839" spans="8:8">
      <c r="H10839" s="12"/>
    </row>
    <row r="10840" spans="8:8">
      <c r="H10840" s="12"/>
    </row>
    <row r="10841" spans="8:8">
      <c r="H10841" s="12"/>
    </row>
    <row r="10842" spans="8:8">
      <c r="H10842" s="12"/>
    </row>
    <row r="10843" spans="8:8">
      <c r="H10843" s="12"/>
    </row>
    <row r="10844" spans="8:8">
      <c r="H10844" s="12"/>
    </row>
    <row r="10845" spans="8:8">
      <c r="H10845" s="12"/>
    </row>
    <row r="10846" spans="8:8">
      <c r="H10846" s="12"/>
    </row>
    <row r="10847" spans="8:8">
      <c r="H10847" s="12"/>
    </row>
    <row r="10848" spans="8:8">
      <c r="H10848" s="12"/>
    </row>
    <row r="10849" spans="8:8">
      <c r="H10849" s="12"/>
    </row>
    <row r="10850" spans="8:8">
      <c r="H10850" s="12"/>
    </row>
    <row r="10851" spans="8:8">
      <c r="H10851" s="12"/>
    </row>
    <row r="10852" spans="8:8">
      <c r="H10852" s="12"/>
    </row>
    <row r="10853" spans="8:8">
      <c r="H10853" s="12"/>
    </row>
    <row r="10854" spans="8:8">
      <c r="H10854" s="12"/>
    </row>
    <row r="10855" spans="8:8">
      <c r="H10855" s="12"/>
    </row>
    <row r="10856" spans="8:8">
      <c r="H10856" s="12"/>
    </row>
    <row r="10857" spans="8:8">
      <c r="H10857" s="12"/>
    </row>
    <row r="10858" spans="8:8">
      <c r="H10858" s="12"/>
    </row>
    <row r="10859" spans="8:8">
      <c r="H10859" s="12"/>
    </row>
    <row r="10860" spans="8:8">
      <c r="H10860" s="12"/>
    </row>
    <row r="10861" spans="8:8">
      <c r="H10861" s="12"/>
    </row>
    <row r="10862" spans="8:8">
      <c r="H10862" s="12"/>
    </row>
    <row r="10863" spans="8:8">
      <c r="H10863" s="12"/>
    </row>
    <row r="10864" spans="8:8">
      <c r="H10864" s="12"/>
    </row>
    <row r="10865" spans="8:8">
      <c r="H10865" s="12"/>
    </row>
    <row r="10866" spans="8:8">
      <c r="H10866" s="12"/>
    </row>
    <row r="10867" spans="8:8">
      <c r="H10867" s="12"/>
    </row>
    <row r="10868" spans="8:8">
      <c r="H10868" s="12"/>
    </row>
    <row r="10869" spans="8:8">
      <c r="H10869" s="12"/>
    </row>
    <row r="10870" spans="8:8">
      <c r="H10870" s="12"/>
    </row>
    <row r="10871" spans="8:8">
      <c r="H10871" s="12"/>
    </row>
    <row r="10872" spans="8:8">
      <c r="H10872" s="12"/>
    </row>
    <row r="10873" spans="8:8">
      <c r="H10873" s="12"/>
    </row>
    <row r="10874" spans="8:8">
      <c r="H10874" s="12"/>
    </row>
    <row r="10875" spans="8:8">
      <c r="H10875" s="12"/>
    </row>
    <row r="10876" spans="8:8">
      <c r="H10876" s="12"/>
    </row>
    <row r="10877" spans="8:8">
      <c r="H10877" s="12"/>
    </row>
    <row r="10878" spans="8:8">
      <c r="H10878" s="12"/>
    </row>
    <row r="10879" spans="8:8">
      <c r="H10879" s="12"/>
    </row>
    <row r="10880" spans="8:8">
      <c r="H10880" s="12"/>
    </row>
    <row r="10881" spans="8:8">
      <c r="H10881" s="12"/>
    </row>
    <row r="10882" spans="8:8">
      <c r="H10882" s="12"/>
    </row>
    <row r="10883" spans="8:8">
      <c r="H10883" s="12"/>
    </row>
    <row r="10884" spans="8:8">
      <c r="H10884" s="12"/>
    </row>
    <row r="10885" spans="8:8">
      <c r="H10885" s="12"/>
    </row>
    <row r="10886" spans="8:8">
      <c r="H10886" s="12"/>
    </row>
    <row r="10887" spans="8:8">
      <c r="H10887" s="12"/>
    </row>
    <row r="10888" spans="8:8">
      <c r="H10888" s="12"/>
    </row>
    <row r="10889" spans="8:8">
      <c r="H10889" s="12"/>
    </row>
    <row r="10890" spans="8:8">
      <c r="H10890" s="12"/>
    </row>
    <row r="10891" spans="8:8">
      <c r="H10891" s="12"/>
    </row>
    <row r="10892" spans="8:8">
      <c r="H10892" s="12"/>
    </row>
    <row r="10893" spans="8:8">
      <c r="H10893" s="12"/>
    </row>
    <row r="10894" spans="8:8">
      <c r="H10894" s="12"/>
    </row>
    <row r="10895" spans="8:8">
      <c r="H10895" s="12"/>
    </row>
    <row r="10896" spans="8:8">
      <c r="H10896" s="12"/>
    </row>
    <row r="10897" spans="8:8">
      <c r="H10897" s="12"/>
    </row>
    <row r="10898" spans="8:8">
      <c r="H10898" s="12"/>
    </row>
    <row r="10899" spans="8:8">
      <c r="H10899" s="12"/>
    </row>
    <row r="10900" spans="8:8">
      <c r="H10900" s="12"/>
    </row>
    <row r="10901" spans="8:8">
      <c r="H10901" s="12"/>
    </row>
    <row r="10902" spans="8:8">
      <c r="H10902" s="12"/>
    </row>
    <row r="10903" spans="8:8">
      <c r="H10903" s="12"/>
    </row>
    <row r="10904" spans="8:8">
      <c r="H10904" s="12"/>
    </row>
    <row r="10905" spans="8:8">
      <c r="H10905" s="12"/>
    </row>
    <row r="10906" spans="8:8">
      <c r="H10906" s="12"/>
    </row>
    <row r="10907" spans="8:8">
      <c r="H10907" s="12"/>
    </row>
    <row r="10908" spans="8:8">
      <c r="H10908" s="12"/>
    </row>
    <row r="10909" spans="8:8">
      <c r="H10909" s="12"/>
    </row>
    <row r="10910" spans="8:8">
      <c r="H10910" s="12"/>
    </row>
    <row r="10911" spans="8:8">
      <c r="H10911" s="12"/>
    </row>
    <row r="10912" spans="8:8">
      <c r="H10912" s="12"/>
    </row>
    <row r="10913" spans="8:8">
      <c r="H10913" s="12"/>
    </row>
    <row r="10914" spans="8:8">
      <c r="H10914" s="12"/>
    </row>
    <row r="10915" spans="8:8">
      <c r="H10915" s="12"/>
    </row>
    <row r="10916" spans="8:8">
      <c r="H10916" s="12"/>
    </row>
    <row r="10917" spans="8:8">
      <c r="H10917" s="12"/>
    </row>
    <row r="10918" spans="8:8">
      <c r="H10918" s="12"/>
    </row>
    <row r="10919" spans="8:8">
      <c r="H10919" s="12"/>
    </row>
    <row r="10920" spans="8:8">
      <c r="H10920" s="12"/>
    </row>
    <row r="10921" spans="8:8">
      <c r="H10921" s="12"/>
    </row>
    <row r="10922" spans="8:8">
      <c r="H10922" s="12"/>
    </row>
    <row r="10923" spans="8:8">
      <c r="H10923" s="12"/>
    </row>
    <row r="10924" spans="8:8">
      <c r="H10924" s="12"/>
    </row>
    <row r="10925" spans="8:8">
      <c r="H10925" s="12"/>
    </row>
    <row r="10926" spans="8:8">
      <c r="H10926" s="12"/>
    </row>
    <row r="10927" spans="8:8">
      <c r="H10927" s="12"/>
    </row>
    <row r="10928" spans="8:8">
      <c r="H10928" s="12"/>
    </row>
    <row r="10929" spans="8:8">
      <c r="H10929" s="12"/>
    </row>
    <row r="10930" spans="8:8">
      <c r="H10930" s="12"/>
    </row>
    <row r="10931" spans="8:8">
      <c r="H10931" s="12"/>
    </row>
    <row r="10932" spans="8:8">
      <c r="H10932" s="12"/>
    </row>
    <row r="10933" spans="8:8">
      <c r="H10933" s="12"/>
    </row>
    <row r="10934" spans="8:8">
      <c r="H10934" s="12"/>
    </row>
    <row r="10935" spans="8:8">
      <c r="H10935" s="12"/>
    </row>
    <row r="10936" spans="8:8">
      <c r="H10936" s="12"/>
    </row>
    <row r="10937" spans="8:8">
      <c r="H10937" s="12"/>
    </row>
    <row r="10938" spans="8:8">
      <c r="H10938" s="12"/>
    </row>
    <row r="10939" spans="8:8">
      <c r="H10939" s="12"/>
    </row>
    <row r="10940" spans="8:8">
      <c r="H10940" s="12"/>
    </row>
    <row r="10941" spans="8:8">
      <c r="H10941" s="12"/>
    </row>
    <row r="10942" spans="8:8">
      <c r="H10942" s="12"/>
    </row>
    <row r="10943" spans="8:8">
      <c r="H10943" s="12"/>
    </row>
    <row r="10944" spans="8:8">
      <c r="H10944" s="12"/>
    </row>
    <row r="10945" spans="8:8">
      <c r="H10945" s="12"/>
    </row>
    <row r="10946" spans="8:8">
      <c r="H10946" s="12"/>
    </row>
    <row r="10947" spans="8:8">
      <c r="H10947" s="12"/>
    </row>
    <row r="10948" spans="8:8">
      <c r="H10948" s="12"/>
    </row>
    <row r="10949" spans="8:8">
      <c r="H10949" s="12"/>
    </row>
    <row r="10950" spans="8:8">
      <c r="H10950" s="12"/>
    </row>
    <row r="10951" spans="8:8">
      <c r="H10951" s="12"/>
    </row>
    <row r="10952" spans="8:8">
      <c r="H10952" s="12"/>
    </row>
    <row r="10953" spans="8:8">
      <c r="H10953" s="12"/>
    </row>
    <row r="10954" spans="8:8">
      <c r="H10954" s="12"/>
    </row>
    <row r="10955" spans="8:8">
      <c r="H10955" s="12"/>
    </row>
    <row r="10956" spans="8:8">
      <c r="H10956" s="12"/>
    </row>
    <row r="10957" spans="8:8">
      <c r="H10957" s="12"/>
    </row>
    <row r="10958" spans="8:8">
      <c r="H10958" s="12"/>
    </row>
    <row r="10959" spans="8:8">
      <c r="H10959" s="12"/>
    </row>
    <row r="10960" spans="8:8">
      <c r="H10960" s="12"/>
    </row>
    <row r="10961" spans="8:8">
      <c r="H10961" s="12"/>
    </row>
    <row r="10962" spans="8:8">
      <c r="H10962" s="12"/>
    </row>
    <row r="10963" spans="8:8">
      <c r="H10963" s="12"/>
    </row>
    <row r="10964" spans="8:8">
      <c r="H10964" s="12"/>
    </row>
    <row r="10965" spans="8:8">
      <c r="H10965" s="12"/>
    </row>
    <row r="10966" spans="8:8">
      <c r="H10966" s="12"/>
    </row>
    <row r="10967" spans="8:8">
      <c r="H10967" s="12"/>
    </row>
    <row r="10968" spans="8:8">
      <c r="H10968" s="12"/>
    </row>
    <row r="10969" spans="8:8">
      <c r="H10969" s="12"/>
    </row>
    <row r="10970" spans="8:8">
      <c r="H10970" s="12"/>
    </row>
    <row r="10971" spans="8:8">
      <c r="H10971" s="12"/>
    </row>
    <row r="10972" spans="8:8">
      <c r="H10972" s="12"/>
    </row>
    <row r="10973" spans="8:8">
      <c r="H10973" s="12"/>
    </row>
    <row r="10974" spans="8:8">
      <c r="H10974" s="12"/>
    </row>
    <row r="10975" spans="8:8">
      <c r="H10975" s="12"/>
    </row>
    <row r="10976" spans="8:8">
      <c r="H10976" s="12"/>
    </row>
    <row r="10977" spans="8:8">
      <c r="H10977" s="12"/>
    </row>
    <row r="10978" spans="8:8">
      <c r="H10978" s="12"/>
    </row>
    <row r="10979" spans="8:8">
      <c r="H10979" s="12"/>
    </row>
    <row r="10980" spans="8:8">
      <c r="H10980" s="12"/>
    </row>
    <row r="10981" spans="8:8">
      <c r="H10981" s="12"/>
    </row>
    <row r="10982" spans="8:8">
      <c r="H10982" s="12"/>
    </row>
    <row r="10983" spans="8:8">
      <c r="H10983" s="12"/>
    </row>
    <row r="10984" spans="8:8">
      <c r="H10984" s="12"/>
    </row>
    <row r="10985" spans="8:8">
      <c r="H10985" s="12"/>
    </row>
    <row r="10986" spans="8:8">
      <c r="H10986" s="12"/>
    </row>
    <row r="10987" spans="8:8">
      <c r="H10987" s="12"/>
    </row>
    <row r="10988" spans="8:8">
      <c r="H10988" s="12"/>
    </row>
    <row r="10989" spans="8:8">
      <c r="H10989" s="12"/>
    </row>
    <row r="10990" spans="8:8">
      <c r="H10990" s="12"/>
    </row>
    <row r="10991" spans="8:8">
      <c r="H10991" s="12"/>
    </row>
    <row r="10992" spans="8:8">
      <c r="H10992" s="12"/>
    </row>
    <row r="10993" spans="8:8">
      <c r="H10993" s="12"/>
    </row>
    <row r="10994" spans="8:8">
      <c r="H10994" s="12"/>
    </row>
    <row r="10995" spans="8:8">
      <c r="H10995" s="12"/>
    </row>
    <row r="10996" spans="8:8">
      <c r="H10996" s="12"/>
    </row>
    <row r="10997" spans="8:8">
      <c r="H10997" s="12"/>
    </row>
    <row r="10998" spans="8:8">
      <c r="H10998" s="12"/>
    </row>
    <row r="10999" spans="8:8">
      <c r="H10999" s="12"/>
    </row>
    <row r="11000" spans="8:8">
      <c r="H11000" s="12"/>
    </row>
    <row r="11001" spans="8:8">
      <c r="H11001" s="12"/>
    </row>
    <row r="11002" spans="8:8">
      <c r="H11002" s="12"/>
    </row>
    <row r="11003" spans="8:8">
      <c r="H11003" s="12"/>
    </row>
    <row r="11004" spans="8:8">
      <c r="H11004" s="12"/>
    </row>
    <row r="11005" spans="8:8">
      <c r="H11005" s="12"/>
    </row>
    <row r="11006" spans="8:8">
      <c r="H11006" s="12"/>
    </row>
    <row r="11007" spans="8:8">
      <c r="H11007" s="12"/>
    </row>
    <row r="11008" spans="8:8">
      <c r="H11008" s="12"/>
    </row>
    <row r="11009" spans="8:8">
      <c r="H11009" s="12"/>
    </row>
    <row r="11010" spans="8:8">
      <c r="H11010" s="12"/>
    </row>
    <row r="11011" spans="8:8">
      <c r="H11011" s="12"/>
    </row>
    <row r="11012" spans="8:8">
      <c r="H11012" s="12"/>
    </row>
    <row r="11013" spans="8:8">
      <c r="H11013" s="12"/>
    </row>
    <row r="11014" spans="8:8">
      <c r="H11014" s="12"/>
    </row>
    <row r="11015" spans="8:8">
      <c r="H11015" s="12"/>
    </row>
    <row r="11016" spans="8:8">
      <c r="H11016" s="12"/>
    </row>
    <row r="11017" spans="8:8">
      <c r="H11017" s="12"/>
    </row>
    <row r="11018" spans="8:8">
      <c r="H11018" s="12"/>
    </row>
    <row r="11019" spans="8:8">
      <c r="H11019" s="12"/>
    </row>
    <row r="11020" spans="8:8">
      <c r="H11020" s="12"/>
    </row>
    <row r="11021" spans="8:8">
      <c r="H11021" s="12"/>
    </row>
    <row r="11022" spans="8:8">
      <c r="H11022" s="12"/>
    </row>
    <row r="11023" spans="8:8">
      <c r="H11023" s="12"/>
    </row>
    <row r="11024" spans="8:8">
      <c r="H11024" s="12"/>
    </row>
    <row r="11025" spans="8:8">
      <c r="H11025" s="12"/>
    </row>
    <row r="11026" spans="8:8">
      <c r="H11026" s="12"/>
    </row>
    <row r="11027" spans="8:8">
      <c r="H11027" s="12"/>
    </row>
    <row r="11028" spans="8:8">
      <c r="H11028" s="12"/>
    </row>
    <row r="11029" spans="8:8">
      <c r="H11029" s="12"/>
    </row>
    <row r="11030" spans="8:8">
      <c r="H11030" s="12"/>
    </row>
    <row r="11031" spans="8:8">
      <c r="H11031" s="12"/>
    </row>
    <row r="11032" spans="8:8">
      <c r="H11032" s="12"/>
    </row>
    <row r="11033" spans="8:8">
      <c r="H11033" s="12"/>
    </row>
    <row r="11034" spans="8:8">
      <c r="H11034" s="12"/>
    </row>
    <row r="11035" spans="8:8">
      <c r="H11035" s="12"/>
    </row>
    <row r="11036" spans="8:8">
      <c r="H11036" s="12"/>
    </row>
    <row r="11037" spans="8:8">
      <c r="H11037" s="12"/>
    </row>
    <row r="11038" spans="8:8">
      <c r="H11038" s="12"/>
    </row>
    <row r="11039" spans="8:8">
      <c r="H11039" s="12"/>
    </row>
    <row r="11040" spans="8:8">
      <c r="H11040" s="12"/>
    </row>
    <row r="11041" spans="8:8">
      <c r="H11041" s="12"/>
    </row>
    <row r="11042" spans="8:8">
      <c r="H11042" s="12"/>
    </row>
    <row r="11043" spans="8:8">
      <c r="H11043" s="12"/>
    </row>
    <row r="11044" spans="8:8">
      <c r="H11044" s="12"/>
    </row>
    <row r="11045" spans="8:8">
      <c r="H11045" s="12"/>
    </row>
    <row r="11046" spans="8:8">
      <c r="H11046" s="12"/>
    </row>
    <row r="11047" spans="8:8">
      <c r="H11047" s="12"/>
    </row>
    <row r="11048" spans="8:8">
      <c r="H11048" s="12"/>
    </row>
    <row r="11049" spans="8:8">
      <c r="H11049" s="12"/>
    </row>
    <row r="11050" spans="8:8">
      <c r="H11050" s="12"/>
    </row>
    <row r="11051" spans="8:8">
      <c r="H11051" s="12"/>
    </row>
    <row r="11052" spans="8:8">
      <c r="H11052" s="12"/>
    </row>
    <row r="11053" spans="8:8">
      <c r="H11053" s="12"/>
    </row>
    <row r="11054" spans="8:8">
      <c r="H11054" s="12"/>
    </row>
    <row r="11055" spans="8:8">
      <c r="H11055" s="12"/>
    </row>
    <row r="11056" spans="8:8">
      <c r="H11056" s="12"/>
    </row>
    <row r="11057" spans="8:8">
      <c r="H11057" s="12"/>
    </row>
    <row r="11058" spans="8:8">
      <c r="H11058" s="12"/>
    </row>
    <row r="11059" spans="8:8">
      <c r="H11059" s="12"/>
    </row>
    <row r="11060" spans="8:8">
      <c r="H11060" s="12"/>
    </row>
    <row r="11061" spans="8:8">
      <c r="H11061" s="12"/>
    </row>
    <row r="11062" spans="8:8">
      <c r="H11062" s="12"/>
    </row>
    <row r="11063" spans="8:8">
      <c r="H11063" s="12"/>
    </row>
    <row r="11064" spans="8:8">
      <c r="H11064" s="12"/>
    </row>
    <row r="11065" spans="8:8">
      <c r="H11065" s="12"/>
    </row>
    <row r="11066" spans="8:8">
      <c r="H11066" s="12"/>
    </row>
    <row r="11067" spans="8:8">
      <c r="H11067" s="12"/>
    </row>
    <row r="11068" spans="8:8">
      <c r="H11068" s="12"/>
    </row>
    <row r="11069" spans="8:8">
      <c r="H11069" s="12"/>
    </row>
    <row r="11070" spans="8:8">
      <c r="H11070" s="12"/>
    </row>
    <row r="11071" spans="8:8">
      <c r="H11071" s="12"/>
    </row>
    <row r="11072" spans="8:8">
      <c r="H11072" s="12"/>
    </row>
    <row r="11073" spans="8:8">
      <c r="H11073" s="12"/>
    </row>
    <row r="11074" spans="8:8">
      <c r="H11074" s="12"/>
    </row>
    <row r="11075" spans="8:8">
      <c r="H11075" s="12"/>
    </row>
    <row r="11076" spans="8:8">
      <c r="H11076" s="12"/>
    </row>
    <row r="11077" spans="8:8">
      <c r="H11077" s="12"/>
    </row>
    <row r="11078" spans="8:8">
      <c r="H11078" s="12"/>
    </row>
    <row r="11079" spans="8:8">
      <c r="H11079" s="12"/>
    </row>
    <row r="11080" spans="8:8">
      <c r="H11080" s="12"/>
    </row>
    <row r="11081" spans="8:8">
      <c r="H11081" s="12"/>
    </row>
    <row r="11082" spans="8:8">
      <c r="H11082" s="12"/>
    </row>
    <row r="11083" spans="8:8">
      <c r="H11083" s="12"/>
    </row>
    <row r="11084" spans="8:8">
      <c r="H11084" s="12"/>
    </row>
    <row r="11085" spans="8:8">
      <c r="H11085" s="12"/>
    </row>
    <row r="11086" spans="8:8">
      <c r="H11086" s="12"/>
    </row>
    <row r="11087" spans="8:8">
      <c r="H11087" s="12"/>
    </row>
    <row r="11088" spans="8:8">
      <c r="H11088" s="12"/>
    </row>
    <row r="11089" spans="8:8">
      <c r="H11089" s="12"/>
    </row>
    <row r="11090" spans="8:8">
      <c r="H11090" s="12"/>
    </row>
    <row r="11091" spans="8:8">
      <c r="H11091" s="12"/>
    </row>
    <row r="11092" spans="8:8">
      <c r="H11092" s="12"/>
    </row>
    <row r="11093" spans="8:8">
      <c r="H11093" s="12"/>
    </row>
    <row r="11094" spans="8:8">
      <c r="H11094" s="12"/>
    </row>
    <row r="11095" spans="8:8">
      <c r="H11095" s="12"/>
    </row>
    <row r="11096" spans="8:8">
      <c r="H11096" s="12"/>
    </row>
    <row r="11097" spans="8:8">
      <c r="H11097" s="12"/>
    </row>
    <row r="11098" spans="8:8">
      <c r="H11098" s="12"/>
    </row>
    <row r="11099" spans="8:8">
      <c r="H11099" s="12"/>
    </row>
    <row r="11100" spans="8:8">
      <c r="H11100" s="12"/>
    </row>
    <row r="11101" spans="8:8">
      <c r="H11101" s="12"/>
    </row>
    <row r="11102" spans="8:8">
      <c r="H11102" s="12"/>
    </row>
    <row r="11103" spans="8:8">
      <c r="H11103" s="12"/>
    </row>
    <row r="11104" spans="8:8">
      <c r="H11104" s="12"/>
    </row>
    <row r="11105" spans="8:8">
      <c r="H11105" s="12"/>
    </row>
    <row r="11106" spans="8:8">
      <c r="H11106" s="12"/>
    </row>
    <row r="11107" spans="8:8">
      <c r="H11107" s="12"/>
    </row>
    <row r="11108" spans="8:8">
      <c r="H11108" s="12"/>
    </row>
    <row r="11109" spans="8:8">
      <c r="H11109" s="12"/>
    </row>
    <row r="11110" spans="8:8">
      <c r="H11110" s="12"/>
    </row>
    <row r="11111" spans="8:8">
      <c r="H11111" s="12"/>
    </row>
    <row r="11112" spans="8:8">
      <c r="H11112" s="12"/>
    </row>
    <row r="11113" spans="8:8">
      <c r="H11113" s="12"/>
    </row>
    <row r="11114" spans="8:8">
      <c r="H11114" s="12"/>
    </row>
    <row r="11115" spans="8:8">
      <c r="H11115" s="12"/>
    </row>
    <row r="11116" spans="8:8">
      <c r="H11116" s="12"/>
    </row>
    <row r="11117" spans="8:8">
      <c r="H11117" s="12"/>
    </row>
    <row r="11118" spans="8:8">
      <c r="H11118" s="12"/>
    </row>
    <row r="11119" spans="8:8">
      <c r="H11119" s="12"/>
    </row>
    <row r="11120" spans="8:8">
      <c r="H11120" s="12"/>
    </row>
    <row r="11121" spans="8:8">
      <c r="H11121" s="12"/>
    </row>
    <row r="11122" spans="8:8">
      <c r="H11122" s="12"/>
    </row>
    <row r="11123" spans="8:8">
      <c r="H11123" s="12"/>
    </row>
    <row r="11124" spans="8:8">
      <c r="H11124" s="12"/>
    </row>
    <row r="11125" spans="8:8">
      <c r="H11125" s="12"/>
    </row>
    <row r="11126" spans="8:8">
      <c r="H11126" s="12"/>
    </row>
    <row r="11127" spans="8:8">
      <c r="H11127" s="12"/>
    </row>
    <row r="11128" spans="8:8">
      <c r="H11128" s="12"/>
    </row>
    <row r="11129" spans="8:8">
      <c r="H11129" s="12"/>
    </row>
    <row r="11130" spans="8:8">
      <c r="H11130" s="12"/>
    </row>
    <row r="11131" spans="8:8">
      <c r="H11131" s="12"/>
    </row>
    <row r="11132" spans="8:8">
      <c r="H11132" s="12"/>
    </row>
    <row r="11133" spans="8:8">
      <c r="H11133" s="12"/>
    </row>
    <row r="11134" spans="8:8">
      <c r="H11134" s="12"/>
    </row>
    <row r="11135" spans="8:8">
      <c r="H11135" s="12"/>
    </row>
    <row r="11136" spans="8:8">
      <c r="H11136" s="12"/>
    </row>
    <row r="11137" spans="8:8">
      <c r="H11137" s="12"/>
    </row>
    <row r="11138" spans="8:8">
      <c r="H11138" s="12"/>
    </row>
    <row r="11139" spans="8:8">
      <c r="H11139" s="12"/>
    </row>
    <row r="11140" spans="8:8">
      <c r="H11140" s="12"/>
    </row>
    <row r="11141" spans="8:8">
      <c r="H11141" s="12"/>
    </row>
    <row r="11142" spans="8:8">
      <c r="H11142" s="12"/>
    </row>
    <row r="11143" spans="8:8">
      <c r="H11143" s="12"/>
    </row>
    <row r="11144" spans="8:8">
      <c r="H11144" s="12"/>
    </row>
    <row r="11145" spans="8:8">
      <c r="H11145" s="12"/>
    </row>
    <row r="11146" spans="8:8">
      <c r="H11146" s="12"/>
    </row>
    <row r="11147" spans="8:8">
      <c r="H11147" s="12"/>
    </row>
    <row r="11148" spans="8:8">
      <c r="H11148" s="12"/>
    </row>
    <row r="11149" spans="8:8">
      <c r="H11149" s="12"/>
    </row>
    <row r="11150" spans="8:8">
      <c r="H11150" s="12"/>
    </row>
    <row r="11151" spans="8:8">
      <c r="H11151" s="12"/>
    </row>
    <row r="11152" spans="8:8">
      <c r="H11152" s="12"/>
    </row>
    <row r="11153" spans="8:8">
      <c r="H11153" s="12"/>
    </row>
    <row r="11154" spans="8:8">
      <c r="H11154" s="12"/>
    </row>
    <row r="11155" spans="8:8">
      <c r="H11155" s="12"/>
    </row>
    <row r="11156" spans="8:8">
      <c r="H11156" s="12"/>
    </row>
    <row r="11157" spans="8:8">
      <c r="H11157" s="12"/>
    </row>
    <row r="11158" spans="8:8">
      <c r="H11158" s="12"/>
    </row>
    <row r="11159" spans="8:8">
      <c r="H11159" s="12"/>
    </row>
    <row r="11160" spans="8:8">
      <c r="H11160" s="12"/>
    </row>
    <row r="11161" spans="8:8">
      <c r="H11161" s="12"/>
    </row>
    <row r="11162" spans="8:8">
      <c r="H11162" s="12"/>
    </row>
    <row r="11163" spans="8:8">
      <c r="H11163" s="12"/>
    </row>
    <row r="11164" spans="8:8">
      <c r="H11164" s="12"/>
    </row>
    <row r="11165" spans="8:8">
      <c r="H11165" s="12"/>
    </row>
    <row r="11166" spans="8:8">
      <c r="H11166" s="12"/>
    </row>
    <row r="11167" spans="8:8">
      <c r="H11167" s="12"/>
    </row>
    <row r="11168" spans="8:8">
      <c r="H11168" s="12"/>
    </row>
    <row r="11169" spans="8:8">
      <c r="H11169" s="12"/>
    </row>
    <row r="11170" spans="8:8">
      <c r="H11170" s="12"/>
    </row>
    <row r="11171" spans="8:8">
      <c r="H11171" s="12"/>
    </row>
    <row r="11172" spans="8:8">
      <c r="H11172" s="12"/>
    </row>
    <row r="11173" spans="8:8">
      <c r="H11173" s="12"/>
    </row>
    <row r="11174" spans="8:8">
      <c r="H11174" s="12"/>
    </row>
    <row r="11175" spans="8:8">
      <c r="H11175" s="12"/>
    </row>
    <row r="11176" spans="8:8">
      <c r="H11176" s="12"/>
    </row>
    <row r="11177" spans="8:8">
      <c r="H11177" s="12"/>
    </row>
    <row r="11178" spans="8:8">
      <c r="H11178" s="12"/>
    </row>
    <row r="11179" spans="8:8">
      <c r="H11179" s="12"/>
    </row>
    <row r="11180" spans="8:8">
      <c r="H11180" s="12"/>
    </row>
    <row r="11181" spans="8:8">
      <c r="H11181" s="12"/>
    </row>
    <row r="11182" spans="8:8">
      <c r="H11182" s="12"/>
    </row>
    <row r="11183" spans="8:8">
      <c r="H11183" s="12"/>
    </row>
    <row r="11184" spans="8:8">
      <c r="H11184" s="12"/>
    </row>
    <row r="11185" spans="8:8">
      <c r="H11185" s="12"/>
    </row>
    <row r="11186" spans="8:8">
      <c r="H11186" s="12"/>
    </row>
    <row r="11187" spans="8:8">
      <c r="H11187" s="12"/>
    </row>
    <row r="11188" spans="8:8">
      <c r="H11188" s="12"/>
    </row>
    <row r="11189" spans="8:8">
      <c r="H11189" s="12"/>
    </row>
    <row r="11190" spans="8:8">
      <c r="H11190" s="12"/>
    </row>
    <row r="11191" spans="8:8">
      <c r="H11191" s="12"/>
    </row>
    <row r="11192" spans="8:8">
      <c r="H11192" s="12"/>
    </row>
    <row r="11193" spans="8:8">
      <c r="H11193" s="12"/>
    </row>
    <row r="11194" spans="8:8">
      <c r="H11194" s="12"/>
    </row>
    <row r="11195" spans="8:8">
      <c r="H11195" s="12"/>
    </row>
    <row r="11196" spans="8:8">
      <c r="H11196" s="12"/>
    </row>
    <row r="11197" spans="8:8">
      <c r="H11197" s="12"/>
    </row>
    <row r="11198" spans="8:8">
      <c r="H11198" s="12"/>
    </row>
    <row r="11199" spans="8:8">
      <c r="H11199" s="12"/>
    </row>
    <row r="11200" spans="8:8">
      <c r="H11200" s="12"/>
    </row>
    <row r="11201" spans="8:8">
      <c r="H11201" s="12"/>
    </row>
    <row r="11202" spans="8:8">
      <c r="H11202" s="12"/>
    </row>
    <row r="11203" spans="8:8">
      <c r="H11203" s="12"/>
    </row>
    <row r="11204" spans="8:8">
      <c r="H11204" s="12"/>
    </row>
    <row r="11205" spans="8:8">
      <c r="H11205" s="12"/>
    </row>
    <row r="11206" spans="8:8">
      <c r="H11206" s="12"/>
    </row>
    <row r="11207" spans="8:8">
      <c r="H11207" s="12"/>
    </row>
    <row r="11208" spans="8:8">
      <c r="H11208" s="12"/>
    </row>
    <row r="11209" spans="8:8">
      <c r="H11209" s="12"/>
    </row>
    <row r="11210" spans="8:8">
      <c r="H11210" s="12"/>
    </row>
    <row r="11211" spans="8:8">
      <c r="H11211" s="12"/>
    </row>
    <row r="11212" spans="8:8">
      <c r="H11212" s="12"/>
    </row>
    <row r="11213" spans="8:8">
      <c r="H11213" s="12"/>
    </row>
    <row r="11214" spans="8:8">
      <c r="H11214" s="12"/>
    </row>
    <row r="11215" spans="8:8">
      <c r="H11215" s="12"/>
    </row>
    <row r="11216" spans="8:8">
      <c r="H11216" s="12"/>
    </row>
    <row r="11217" spans="8:8">
      <c r="H11217" s="12"/>
    </row>
    <row r="11218" spans="8:8">
      <c r="H11218" s="12"/>
    </row>
    <row r="11219" spans="8:8">
      <c r="H11219" s="12"/>
    </row>
    <row r="11220" spans="8:8">
      <c r="H11220" s="12"/>
    </row>
    <row r="11221" spans="8:8">
      <c r="H11221" s="12"/>
    </row>
    <row r="11222" spans="8:8">
      <c r="H11222" s="12"/>
    </row>
    <row r="11223" spans="8:8">
      <c r="H11223" s="12"/>
    </row>
    <row r="11224" spans="8:8">
      <c r="H11224" s="12"/>
    </row>
    <row r="11225" spans="8:8">
      <c r="H11225" s="12"/>
    </row>
    <row r="11226" spans="8:8">
      <c r="H11226" s="12"/>
    </row>
    <row r="11227" spans="8:8">
      <c r="H11227" s="12"/>
    </row>
    <row r="11228" spans="8:8">
      <c r="H11228" s="12"/>
    </row>
    <row r="11229" spans="8:8">
      <c r="H11229" s="12"/>
    </row>
    <row r="11230" spans="8:8">
      <c r="H11230" s="12"/>
    </row>
    <row r="11231" spans="8:8">
      <c r="H11231" s="12"/>
    </row>
    <row r="11232" spans="8:8">
      <c r="H11232" s="12"/>
    </row>
    <row r="11233" spans="8:8">
      <c r="H11233" s="12"/>
    </row>
    <row r="11234" spans="8:8">
      <c r="H11234" s="12"/>
    </row>
    <row r="11235" spans="8:8">
      <c r="H11235" s="12"/>
    </row>
    <row r="11236" spans="8:8">
      <c r="H11236" s="12"/>
    </row>
    <row r="11237" spans="8:8">
      <c r="H11237" s="12"/>
    </row>
    <row r="11238" spans="8:8">
      <c r="H11238" s="12"/>
    </row>
    <row r="11239" spans="8:8">
      <c r="H11239" s="12"/>
    </row>
    <row r="11240" spans="8:8">
      <c r="H11240" s="12"/>
    </row>
    <row r="11241" spans="8:8">
      <c r="H11241" s="12"/>
    </row>
    <row r="11242" spans="8:8">
      <c r="H11242" s="12"/>
    </row>
    <row r="11243" spans="8:8">
      <c r="H11243" s="12"/>
    </row>
    <row r="11244" spans="8:8">
      <c r="H11244" s="12"/>
    </row>
    <row r="11245" spans="8:8">
      <c r="H11245" s="12"/>
    </row>
    <row r="11246" spans="8:8">
      <c r="H11246" s="12"/>
    </row>
    <row r="11247" spans="8:8">
      <c r="H11247" s="12"/>
    </row>
    <row r="11248" spans="8:8">
      <c r="H11248" s="12"/>
    </row>
    <row r="11249" spans="8:8">
      <c r="H11249" s="12"/>
    </row>
    <row r="11250" spans="8:8">
      <c r="H11250" s="12"/>
    </row>
    <row r="11251" spans="8:8">
      <c r="H11251" s="12"/>
    </row>
    <row r="11252" spans="8:8">
      <c r="H11252" s="12"/>
    </row>
    <row r="11253" spans="8:8">
      <c r="H11253" s="12"/>
    </row>
    <row r="11254" spans="8:8">
      <c r="H11254" s="12"/>
    </row>
    <row r="11255" spans="8:8">
      <c r="H11255" s="12"/>
    </row>
    <row r="11256" spans="8:8">
      <c r="H11256" s="12"/>
    </row>
    <row r="11257" spans="8:8">
      <c r="H11257" s="12"/>
    </row>
    <row r="11258" spans="8:8">
      <c r="H11258" s="12"/>
    </row>
    <row r="11259" spans="8:8">
      <c r="H11259" s="12"/>
    </row>
    <row r="11260" spans="8:8">
      <c r="H11260" s="12"/>
    </row>
    <row r="11261" spans="8:8">
      <c r="H11261" s="12"/>
    </row>
    <row r="11262" spans="8:8">
      <c r="H11262" s="12"/>
    </row>
    <row r="11263" spans="8:8">
      <c r="H11263" s="12"/>
    </row>
    <row r="11264" spans="8:8">
      <c r="H11264" s="12"/>
    </row>
    <row r="11265" spans="8:8">
      <c r="H11265" s="12"/>
    </row>
    <row r="11266" spans="8:8">
      <c r="H11266" s="12"/>
    </row>
    <row r="11267" spans="8:8">
      <c r="H11267" s="12"/>
    </row>
    <row r="11268" spans="8:8">
      <c r="H11268" s="12"/>
    </row>
    <row r="11269" spans="8:8">
      <c r="H11269" s="12"/>
    </row>
    <row r="11270" spans="8:8">
      <c r="H11270" s="12"/>
    </row>
    <row r="11271" spans="8:8">
      <c r="H11271" s="12"/>
    </row>
    <row r="11272" spans="8:8">
      <c r="H11272" s="12"/>
    </row>
    <row r="11273" spans="8:8">
      <c r="H11273" s="12"/>
    </row>
    <row r="11274" spans="8:8">
      <c r="H11274" s="12"/>
    </row>
    <row r="11275" spans="8:8">
      <c r="H11275" s="12"/>
    </row>
    <row r="11276" spans="8:8">
      <c r="H11276" s="12"/>
    </row>
    <row r="11277" spans="8:8">
      <c r="H11277" s="12"/>
    </row>
    <row r="11278" spans="8:8">
      <c r="H11278" s="12"/>
    </row>
    <row r="11279" spans="8:8">
      <c r="H11279" s="12"/>
    </row>
    <row r="11280" spans="8:8">
      <c r="H11280" s="12"/>
    </row>
    <row r="11281" spans="8:8">
      <c r="H11281" s="12"/>
    </row>
    <row r="11282" spans="8:8">
      <c r="H11282" s="12"/>
    </row>
    <row r="11283" spans="8:8">
      <c r="H11283" s="12"/>
    </row>
    <row r="11284" spans="8:8">
      <c r="H11284" s="12"/>
    </row>
    <row r="11285" spans="8:8">
      <c r="H11285" s="12"/>
    </row>
    <row r="11286" spans="8:8">
      <c r="H11286" s="12"/>
    </row>
    <row r="11287" spans="8:8">
      <c r="H11287" s="12"/>
    </row>
    <row r="11288" spans="8:8">
      <c r="H11288" s="12"/>
    </row>
    <row r="11289" spans="8:8">
      <c r="H11289" s="12"/>
    </row>
    <row r="11290" spans="8:8">
      <c r="H11290" s="12"/>
    </row>
    <row r="11291" spans="8:8">
      <c r="H11291" s="12"/>
    </row>
    <row r="11292" spans="8:8">
      <c r="H11292" s="12"/>
    </row>
    <row r="11293" spans="8:8">
      <c r="H11293" s="12"/>
    </row>
    <row r="11294" spans="8:8">
      <c r="H11294" s="12"/>
    </row>
    <row r="11295" spans="8:8">
      <c r="H11295" s="12"/>
    </row>
    <row r="11296" spans="8:8">
      <c r="H11296" s="12"/>
    </row>
    <row r="11297" spans="8:8">
      <c r="H11297" s="12"/>
    </row>
    <row r="11298" spans="8:8">
      <c r="H11298" s="12"/>
    </row>
    <row r="11299" spans="8:8">
      <c r="H11299" s="12"/>
    </row>
    <row r="11300" spans="8:8">
      <c r="H11300" s="12"/>
    </row>
    <row r="11301" spans="8:8">
      <c r="H11301" s="12"/>
    </row>
    <row r="11302" spans="8:8">
      <c r="H11302" s="12"/>
    </row>
    <row r="11303" spans="8:8">
      <c r="H11303" s="12"/>
    </row>
    <row r="11304" spans="8:8">
      <c r="H11304" s="12"/>
    </row>
    <row r="11305" spans="8:8">
      <c r="H11305" s="12"/>
    </row>
    <row r="11306" spans="8:8">
      <c r="H11306" s="12"/>
    </row>
    <row r="11307" spans="8:8">
      <c r="H11307" s="12"/>
    </row>
    <row r="11308" spans="8:8">
      <c r="H11308" s="12"/>
    </row>
    <row r="11309" spans="8:8">
      <c r="H11309" s="12"/>
    </row>
    <row r="11310" spans="8:8">
      <c r="H11310" s="12"/>
    </row>
    <row r="11311" spans="8:8">
      <c r="H11311" s="12"/>
    </row>
    <row r="11312" spans="8:8">
      <c r="H11312" s="12"/>
    </row>
    <row r="11313" spans="8:8">
      <c r="H11313" s="12"/>
    </row>
    <row r="11314" spans="8:8">
      <c r="H11314" s="12"/>
    </row>
    <row r="11315" spans="8:8">
      <c r="H11315" s="12"/>
    </row>
    <row r="11316" spans="8:8">
      <c r="H11316" s="12"/>
    </row>
    <row r="11317" spans="8:8">
      <c r="H11317" s="12"/>
    </row>
    <row r="11318" spans="8:8">
      <c r="H11318" s="12"/>
    </row>
    <row r="11319" spans="8:8">
      <c r="H11319" s="12"/>
    </row>
    <row r="11320" spans="8:8">
      <c r="H11320" s="12"/>
    </row>
    <row r="11321" spans="8:8">
      <c r="H11321" s="12"/>
    </row>
    <row r="11322" spans="8:8">
      <c r="H11322" s="12"/>
    </row>
    <row r="11323" spans="8:8">
      <c r="H11323" s="12"/>
    </row>
    <row r="11324" spans="8:8">
      <c r="H11324" s="12"/>
    </row>
    <row r="11325" spans="8:8">
      <c r="H11325" s="12"/>
    </row>
    <row r="11326" spans="8:8">
      <c r="H11326" s="12"/>
    </row>
    <row r="11327" spans="8:8">
      <c r="H11327" s="12"/>
    </row>
    <row r="11328" spans="8:8">
      <c r="H11328" s="12"/>
    </row>
    <row r="11329" spans="8:8">
      <c r="H11329" s="12"/>
    </row>
    <row r="11330" spans="8:8">
      <c r="H11330" s="12"/>
    </row>
    <row r="11331" spans="8:8">
      <c r="H11331" s="12"/>
    </row>
    <row r="11332" spans="8:8">
      <c r="H11332" s="12"/>
    </row>
    <row r="11333" spans="8:8">
      <c r="H11333" s="12"/>
    </row>
    <row r="11334" spans="8:8">
      <c r="H11334" s="12"/>
    </row>
    <row r="11335" spans="8:8">
      <c r="H11335" s="12"/>
    </row>
    <row r="11336" spans="8:8">
      <c r="H11336" s="12"/>
    </row>
    <row r="11337" spans="8:8">
      <c r="H11337" s="12"/>
    </row>
    <row r="11338" spans="8:8">
      <c r="H11338" s="12"/>
    </row>
    <row r="11339" spans="8:8">
      <c r="H11339" s="12"/>
    </row>
    <row r="11340" spans="8:8">
      <c r="H11340" s="12"/>
    </row>
    <row r="11341" spans="8:8">
      <c r="H11341" s="12"/>
    </row>
    <row r="11342" spans="8:8">
      <c r="H11342" s="12"/>
    </row>
    <row r="11343" spans="8:8">
      <c r="H11343" s="12"/>
    </row>
    <row r="11344" spans="8:8">
      <c r="H11344" s="12"/>
    </row>
    <row r="11345" spans="8:8">
      <c r="H11345" s="12"/>
    </row>
    <row r="11346" spans="8:8">
      <c r="H11346" s="12"/>
    </row>
    <row r="11347" spans="8:8">
      <c r="H11347" s="12"/>
    </row>
    <row r="11348" spans="8:8">
      <c r="H11348" s="12"/>
    </row>
    <row r="11349" spans="8:8">
      <c r="H11349" s="12"/>
    </row>
    <row r="11350" spans="8:8">
      <c r="H11350" s="12"/>
    </row>
    <row r="11351" spans="8:8">
      <c r="H11351" s="12"/>
    </row>
    <row r="11352" spans="8:8">
      <c r="H11352" s="12"/>
    </row>
    <row r="11353" spans="8:8">
      <c r="H11353" s="12"/>
    </row>
    <row r="11354" spans="8:8">
      <c r="H11354" s="12"/>
    </row>
    <row r="11355" spans="8:8">
      <c r="H11355" s="12"/>
    </row>
    <row r="11356" spans="8:8">
      <c r="H11356" s="12"/>
    </row>
    <row r="11357" spans="8:8">
      <c r="H11357" s="12"/>
    </row>
    <row r="11358" spans="8:8">
      <c r="H11358" s="12"/>
    </row>
    <row r="11359" spans="8:8">
      <c r="H11359" s="12"/>
    </row>
    <row r="11360" spans="8:8">
      <c r="H11360" s="12"/>
    </row>
    <row r="11361" spans="8:8">
      <c r="H11361" s="12"/>
    </row>
    <row r="11362" spans="8:8">
      <c r="H11362" s="12"/>
    </row>
    <row r="11363" spans="8:8">
      <c r="H11363" s="12"/>
    </row>
    <row r="11364" spans="8:8">
      <c r="H11364" s="12"/>
    </row>
    <row r="11365" spans="8:8">
      <c r="H11365" s="12"/>
    </row>
    <row r="11366" spans="8:8">
      <c r="H11366" s="12"/>
    </row>
    <row r="11367" spans="8:8">
      <c r="H11367" s="12"/>
    </row>
    <row r="11368" spans="8:8">
      <c r="H11368" s="12"/>
    </row>
    <row r="11369" spans="8:8">
      <c r="H11369" s="12"/>
    </row>
    <row r="11370" spans="8:8">
      <c r="H11370" s="12"/>
    </row>
    <row r="11371" spans="8:8">
      <c r="H11371" s="12"/>
    </row>
    <row r="11372" spans="8:8">
      <c r="H11372" s="12"/>
    </row>
    <row r="11373" spans="8:8">
      <c r="H11373" s="12"/>
    </row>
    <row r="11374" spans="8:8">
      <c r="H11374" s="12"/>
    </row>
    <row r="11375" spans="8:8">
      <c r="H11375" s="12"/>
    </row>
    <row r="11376" spans="8:8">
      <c r="H11376" s="12"/>
    </row>
    <row r="11377" spans="8:8">
      <c r="H11377" s="12"/>
    </row>
    <row r="11378" spans="8:8">
      <c r="H11378" s="12"/>
    </row>
    <row r="11379" spans="8:8">
      <c r="H11379" s="12"/>
    </row>
    <row r="11380" spans="8:8">
      <c r="H11380" s="12"/>
    </row>
    <row r="11381" spans="8:8">
      <c r="H11381" s="12"/>
    </row>
    <row r="11382" spans="8:8">
      <c r="H11382" s="12"/>
    </row>
    <row r="11383" spans="8:8">
      <c r="H11383" s="12"/>
    </row>
    <row r="11384" spans="8:8">
      <c r="H11384" s="12"/>
    </row>
    <row r="11385" spans="8:8">
      <c r="H11385" s="12"/>
    </row>
    <row r="11386" spans="8:8">
      <c r="H11386" s="12"/>
    </row>
    <row r="11387" spans="8:8">
      <c r="H11387" s="12"/>
    </row>
    <row r="11388" spans="8:8">
      <c r="H11388" s="12"/>
    </row>
    <row r="11389" spans="8:8">
      <c r="H11389" s="12"/>
    </row>
    <row r="11390" spans="8:8">
      <c r="H11390" s="12"/>
    </row>
    <row r="11391" spans="8:8">
      <c r="H11391" s="12"/>
    </row>
    <row r="11392" spans="8:8">
      <c r="H11392" s="12"/>
    </row>
    <row r="11393" spans="8:8">
      <c r="H11393" s="12"/>
    </row>
    <row r="11394" spans="8:8">
      <c r="H11394" s="12"/>
    </row>
    <row r="11395" spans="8:8">
      <c r="H11395" s="12"/>
    </row>
    <row r="11396" spans="8:8">
      <c r="H11396" s="12"/>
    </row>
    <row r="11397" spans="8:8">
      <c r="H11397" s="12"/>
    </row>
    <row r="11398" spans="8:8">
      <c r="H11398" s="12"/>
    </row>
    <row r="11399" spans="8:8">
      <c r="H11399" s="12"/>
    </row>
    <row r="11400" spans="8:8">
      <c r="H11400" s="12"/>
    </row>
    <row r="11401" spans="8:8">
      <c r="H11401" s="12"/>
    </row>
    <row r="11402" spans="8:8">
      <c r="H11402" s="12"/>
    </row>
    <row r="11403" spans="8:8">
      <c r="H11403" s="12"/>
    </row>
    <row r="11404" spans="8:8">
      <c r="H11404" s="12"/>
    </row>
    <row r="11405" spans="8:8">
      <c r="H11405" s="12"/>
    </row>
    <row r="11406" spans="8:8">
      <c r="H11406" s="12"/>
    </row>
    <row r="11407" spans="8:8">
      <c r="H11407" s="12"/>
    </row>
    <row r="11408" spans="8:8">
      <c r="H11408" s="12"/>
    </row>
    <row r="11409" spans="8:8">
      <c r="H11409" s="12"/>
    </row>
    <row r="11410" spans="8:8">
      <c r="H11410" s="12"/>
    </row>
    <row r="11411" spans="8:8">
      <c r="H11411" s="12"/>
    </row>
    <row r="11412" spans="8:8">
      <c r="H11412" s="12"/>
    </row>
    <row r="11413" spans="8:8">
      <c r="H11413" s="12"/>
    </row>
    <row r="11414" spans="8:8">
      <c r="H11414" s="12"/>
    </row>
    <row r="11415" spans="8:8">
      <c r="H11415" s="12"/>
    </row>
    <row r="11416" spans="8:8">
      <c r="H11416" s="12"/>
    </row>
    <row r="11417" spans="8:8">
      <c r="H11417" s="12"/>
    </row>
    <row r="11418" spans="8:8">
      <c r="H11418" s="12"/>
    </row>
    <row r="11419" spans="8:8">
      <c r="H11419" s="12"/>
    </row>
    <row r="11420" spans="8:8">
      <c r="H11420" s="12"/>
    </row>
    <row r="11421" spans="8:8">
      <c r="H11421" s="12"/>
    </row>
    <row r="11422" spans="8:8">
      <c r="H11422" s="12"/>
    </row>
    <row r="11423" spans="8:8">
      <c r="H11423" s="12"/>
    </row>
    <row r="11424" spans="8:8">
      <c r="H11424" s="12"/>
    </row>
    <row r="11425" spans="8:8">
      <c r="H11425" s="12"/>
    </row>
    <row r="11426" spans="8:8">
      <c r="H11426" s="12"/>
    </row>
    <row r="11427" spans="8:8">
      <c r="H11427" s="12"/>
    </row>
    <row r="11428" spans="8:8">
      <c r="H11428" s="12"/>
    </row>
    <row r="11429" spans="8:8">
      <c r="H11429" s="12"/>
    </row>
    <row r="11430" spans="8:8">
      <c r="H11430" s="12"/>
    </row>
    <row r="11431" spans="8:8">
      <c r="H11431" s="12"/>
    </row>
    <row r="11432" spans="8:8">
      <c r="H11432" s="12"/>
    </row>
    <row r="11433" spans="8:8">
      <c r="H11433" s="12"/>
    </row>
    <row r="11434" spans="8:8">
      <c r="H11434" s="12"/>
    </row>
    <row r="11435" spans="8:8">
      <c r="H11435" s="12"/>
    </row>
    <row r="11436" spans="8:8">
      <c r="H11436" s="12"/>
    </row>
    <row r="11437" spans="8:8">
      <c r="H11437" s="12"/>
    </row>
    <row r="11438" spans="8:8">
      <c r="H11438" s="12"/>
    </row>
    <row r="11439" spans="8:8">
      <c r="H11439" s="12"/>
    </row>
    <row r="11440" spans="8:8">
      <c r="H11440" s="12"/>
    </row>
    <row r="11441" spans="8:8">
      <c r="H11441" s="12"/>
    </row>
    <row r="11442" spans="8:8">
      <c r="H11442" s="12"/>
    </row>
    <row r="11443" spans="8:8">
      <c r="H11443" s="12"/>
    </row>
    <row r="11444" spans="8:8">
      <c r="H11444" s="12"/>
    </row>
    <row r="11445" spans="8:8">
      <c r="H11445" s="12"/>
    </row>
    <row r="11446" spans="8:8">
      <c r="H11446" s="12"/>
    </row>
    <row r="11447" spans="8:8">
      <c r="H11447" s="12"/>
    </row>
    <row r="11448" spans="8:8">
      <c r="H11448" s="12"/>
    </row>
    <row r="11449" spans="8:8">
      <c r="H11449" s="12"/>
    </row>
    <row r="11450" spans="8:8">
      <c r="H11450" s="12"/>
    </row>
    <row r="11451" spans="8:8">
      <c r="H11451" s="12"/>
    </row>
    <row r="11452" spans="8:8">
      <c r="H11452" s="12"/>
    </row>
    <row r="11453" spans="8:8">
      <c r="H11453" s="12"/>
    </row>
    <row r="11454" spans="8:8">
      <c r="H11454" s="12"/>
    </row>
    <row r="11455" spans="8:8">
      <c r="H11455" s="12"/>
    </row>
    <row r="11456" spans="8:8">
      <c r="H11456" s="12"/>
    </row>
    <row r="11457" spans="8:8">
      <c r="H11457" s="12"/>
    </row>
    <row r="11458" spans="8:8">
      <c r="H11458" s="12"/>
    </row>
    <row r="11459" spans="8:8">
      <c r="H11459" s="12"/>
    </row>
    <row r="11460" spans="8:8">
      <c r="H11460" s="12"/>
    </row>
    <row r="11461" spans="8:8">
      <c r="H11461" s="12"/>
    </row>
    <row r="11462" spans="8:8">
      <c r="H11462" s="12"/>
    </row>
    <row r="11463" spans="8:8">
      <c r="H11463" s="12"/>
    </row>
    <row r="11464" spans="8:8">
      <c r="H11464" s="12"/>
    </row>
    <row r="11465" spans="8:8">
      <c r="H11465" s="12"/>
    </row>
    <row r="11466" spans="8:8">
      <c r="H11466" s="12"/>
    </row>
    <row r="11467" spans="8:8">
      <c r="H11467" s="12"/>
    </row>
    <row r="11468" spans="8:8">
      <c r="H11468" s="12"/>
    </row>
    <row r="11469" spans="8:8">
      <c r="H11469" s="12"/>
    </row>
    <row r="11470" spans="8:8">
      <c r="H11470" s="12"/>
    </row>
    <row r="11471" spans="8:8">
      <c r="H11471" s="12"/>
    </row>
    <row r="11472" spans="8:8">
      <c r="H11472" s="12"/>
    </row>
    <row r="11473" spans="8:8">
      <c r="H11473" s="12"/>
    </row>
    <row r="11474" spans="8:8">
      <c r="H11474" s="12"/>
    </row>
    <row r="11475" spans="8:8">
      <c r="H11475" s="12"/>
    </row>
    <row r="11476" spans="8:8">
      <c r="H11476" s="12"/>
    </row>
    <row r="11477" spans="8:8">
      <c r="H11477" s="12"/>
    </row>
    <row r="11478" spans="8:8">
      <c r="H11478" s="12"/>
    </row>
    <row r="11479" spans="8:8">
      <c r="H11479" s="12"/>
    </row>
    <row r="11480" spans="8:8">
      <c r="H11480" s="12"/>
    </row>
    <row r="11481" spans="8:8">
      <c r="H11481" s="12"/>
    </row>
    <row r="11482" spans="8:8">
      <c r="H11482" s="12"/>
    </row>
    <row r="11483" spans="8:8">
      <c r="H11483" s="12"/>
    </row>
    <row r="11484" spans="8:8">
      <c r="H11484" s="12"/>
    </row>
    <row r="11485" spans="8:8">
      <c r="H11485" s="12"/>
    </row>
    <row r="11486" spans="8:8">
      <c r="H11486" s="12"/>
    </row>
    <row r="11487" spans="8:8">
      <c r="H11487" s="12"/>
    </row>
    <row r="11488" spans="8:8">
      <c r="H11488" s="12"/>
    </row>
    <row r="11489" spans="8:8">
      <c r="H11489" s="12"/>
    </row>
    <row r="11490" spans="8:8">
      <c r="H11490" s="12"/>
    </row>
    <row r="11491" spans="8:8">
      <c r="H11491" s="12"/>
    </row>
    <row r="11492" spans="8:8">
      <c r="H11492" s="12"/>
    </row>
    <row r="11493" spans="8:8">
      <c r="H11493" s="12"/>
    </row>
    <row r="11494" spans="8:8">
      <c r="H11494" s="12"/>
    </row>
    <row r="11495" spans="8:8">
      <c r="H11495" s="12"/>
    </row>
    <row r="11496" spans="8:8">
      <c r="H11496" s="12"/>
    </row>
    <row r="11497" spans="8:8">
      <c r="H11497" s="12"/>
    </row>
    <row r="11498" spans="8:8">
      <c r="H11498" s="12"/>
    </row>
    <row r="11499" spans="8:8">
      <c r="H11499" s="12"/>
    </row>
    <row r="11500" spans="8:8">
      <c r="H11500" s="12"/>
    </row>
    <row r="11501" spans="8:8">
      <c r="H11501" s="12"/>
    </row>
    <row r="11502" spans="8:8">
      <c r="H11502" s="12"/>
    </row>
    <row r="11503" spans="8:8">
      <c r="H11503" s="12"/>
    </row>
    <row r="11504" spans="8:8">
      <c r="H11504" s="12"/>
    </row>
    <row r="11505" spans="8:8">
      <c r="H11505" s="12"/>
    </row>
    <row r="11506" spans="8:8">
      <c r="H11506" s="12"/>
    </row>
    <row r="11507" spans="8:8">
      <c r="H11507" s="12"/>
    </row>
    <row r="11508" spans="8:8">
      <c r="H11508" s="12"/>
    </row>
    <row r="11509" spans="8:8">
      <c r="H11509" s="12"/>
    </row>
    <row r="11510" spans="8:8">
      <c r="H11510" s="12"/>
    </row>
    <row r="11511" spans="8:8">
      <c r="H11511" s="12"/>
    </row>
    <row r="11512" spans="8:8">
      <c r="H11512" s="12"/>
    </row>
    <row r="11513" spans="8:8">
      <c r="H11513" s="12"/>
    </row>
    <row r="11514" spans="8:8">
      <c r="H11514" s="12"/>
    </row>
    <row r="11515" spans="8:8">
      <c r="H11515" s="12"/>
    </row>
    <row r="11516" spans="8:8">
      <c r="H11516" s="12"/>
    </row>
    <row r="11517" spans="8:8">
      <c r="H11517" s="12"/>
    </row>
    <row r="11518" spans="8:8">
      <c r="H11518" s="12"/>
    </row>
    <row r="11519" spans="8:8">
      <c r="H11519" s="12"/>
    </row>
    <row r="11520" spans="8:8">
      <c r="H11520" s="12"/>
    </row>
    <row r="11521" spans="8:8">
      <c r="H11521" s="12"/>
    </row>
    <row r="11522" spans="8:8">
      <c r="H11522" s="12"/>
    </row>
    <row r="11523" spans="8:8">
      <c r="H11523" s="12"/>
    </row>
    <row r="11524" spans="8:8">
      <c r="H11524" s="12"/>
    </row>
    <row r="11525" spans="8:8">
      <c r="H11525" s="12"/>
    </row>
    <row r="11526" spans="8:8">
      <c r="H11526" s="12"/>
    </row>
    <row r="11527" spans="8:8">
      <c r="H11527" s="12"/>
    </row>
    <row r="11528" spans="8:8">
      <c r="H11528" s="12"/>
    </row>
    <row r="11529" spans="8:8">
      <c r="H11529" s="12"/>
    </row>
    <row r="11530" spans="8:8">
      <c r="H11530" s="12"/>
    </row>
    <row r="11531" spans="8:8">
      <c r="H11531" s="12"/>
    </row>
    <row r="11532" spans="8:8">
      <c r="H11532" s="12"/>
    </row>
    <row r="11533" spans="8:8">
      <c r="H11533" s="12"/>
    </row>
    <row r="11534" spans="8:8">
      <c r="H11534" s="12"/>
    </row>
    <row r="11535" spans="8:8">
      <c r="H11535" s="12"/>
    </row>
    <row r="11536" spans="8:8">
      <c r="H11536" s="12"/>
    </row>
    <row r="11537" spans="8:8">
      <c r="H11537" s="12"/>
    </row>
    <row r="11538" spans="8:8">
      <c r="H11538" s="12"/>
    </row>
    <row r="11539" spans="8:8">
      <c r="H11539" s="12"/>
    </row>
    <row r="11540" spans="8:8">
      <c r="H11540" s="12"/>
    </row>
    <row r="11541" spans="8:8">
      <c r="H11541" s="12"/>
    </row>
    <row r="11542" spans="8:8">
      <c r="H11542" s="12"/>
    </row>
    <row r="11543" spans="8:8">
      <c r="H11543" s="12"/>
    </row>
    <row r="11544" spans="8:8">
      <c r="H11544" s="12"/>
    </row>
    <row r="11545" spans="8:8">
      <c r="H11545" s="12"/>
    </row>
    <row r="11546" spans="8:8">
      <c r="H11546" s="12"/>
    </row>
    <row r="11547" spans="8:8">
      <c r="H11547" s="12"/>
    </row>
    <row r="11548" spans="8:8">
      <c r="H11548" s="12"/>
    </row>
    <row r="11549" spans="8:8">
      <c r="H11549" s="12"/>
    </row>
    <row r="11550" spans="8:8">
      <c r="H11550" s="12"/>
    </row>
    <row r="11551" spans="8:8">
      <c r="H11551" s="12"/>
    </row>
    <row r="11552" spans="8:8">
      <c r="H11552" s="12"/>
    </row>
    <row r="11553" spans="8:8">
      <c r="H11553" s="12"/>
    </row>
    <row r="11554" spans="8:8">
      <c r="H11554" s="12"/>
    </row>
    <row r="11555" spans="8:8">
      <c r="H11555" s="12"/>
    </row>
    <row r="11556" spans="8:8">
      <c r="H11556" s="12"/>
    </row>
    <row r="11557" spans="8:8">
      <c r="H11557" s="12"/>
    </row>
    <row r="11558" spans="8:8">
      <c r="H11558" s="12"/>
    </row>
    <row r="11559" spans="8:8">
      <c r="H11559" s="12"/>
    </row>
    <row r="11560" spans="8:8">
      <c r="H11560" s="12"/>
    </row>
    <row r="11561" spans="8:8">
      <c r="H11561" s="12"/>
    </row>
    <row r="11562" spans="8:8">
      <c r="H11562" s="12"/>
    </row>
    <row r="11563" spans="8:8">
      <c r="H11563" s="12"/>
    </row>
    <row r="11564" spans="8:8">
      <c r="H11564" s="12"/>
    </row>
    <row r="11565" spans="8:8">
      <c r="H11565" s="12"/>
    </row>
    <row r="11566" spans="8:8">
      <c r="H11566" s="12"/>
    </row>
    <row r="11567" spans="8:8">
      <c r="H11567" s="12"/>
    </row>
    <row r="11568" spans="8:8">
      <c r="H11568" s="12"/>
    </row>
    <row r="11569" spans="8:8">
      <c r="H11569" s="12"/>
    </row>
    <row r="11570" spans="8:8">
      <c r="H11570" s="12"/>
    </row>
    <row r="11571" spans="8:8">
      <c r="H11571" s="12"/>
    </row>
    <row r="11572" spans="8:8">
      <c r="H11572" s="12"/>
    </row>
    <row r="11573" spans="8:8">
      <c r="H11573" s="12"/>
    </row>
    <row r="11574" spans="8:8">
      <c r="H11574" s="12"/>
    </row>
    <row r="11575" spans="8:8">
      <c r="H11575" s="12"/>
    </row>
    <row r="11576" spans="8:8">
      <c r="H11576" s="12"/>
    </row>
    <row r="11577" spans="8:8">
      <c r="H11577" s="12"/>
    </row>
    <row r="11578" spans="8:8">
      <c r="H11578" s="12"/>
    </row>
    <row r="11579" spans="8:8">
      <c r="H11579" s="12"/>
    </row>
    <row r="11580" spans="8:8">
      <c r="H11580" s="12"/>
    </row>
    <row r="11581" spans="8:8">
      <c r="H11581" s="12"/>
    </row>
    <row r="11582" spans="8:8">
      <c r="H11582" s="12"/>
    </row>
    <row r="11583" spans="8:8">
      <c r="H11583" s="12"/>
    </row>
    <row r="11584" spans="8:8">
      <c r="H11584" s="12"/>
    </row>
    <row r="11585" spans="8:8">
      <c r="H11585" s="12"/>
    </row>
    <row r="11586" spans="8:8">
      <c r="H11586" s="12"/>
    </row>
    <row r="11587" spans="8:8">
      <c r="H11587" s="12"/>
    </row>
    <row r="11588" spans="8:8">
      <c r="H11588" s="12"/>
    </row>
    <row r="11589" spans="8:8">
      <c r="H11589" s="12"/>
    </row>
    <row r="11590" spans="8:8">
      <c r="H11590" s="12"/>
    </row>
    <row r="11591" spans="8:8">
      <c r="H11591" s="12"/>
    </row>
    <row r="11592" spans="8:8">
      <c r="H11592" s="12"/>
    </row>
    <row r="11593" spans="8:8">
      <c r="H11593" s="12"/>
    </row>
    <row r="11594" spans="8:8">
      <c r="H11594" s="12"/>
    </row>
    <row r="11595" spans="8:8">
      <c r="H11595" s="12"/>
    </row>
    <row r="11596" spans="8:8">
      <c r="H11596" s="12"/>
    </row>
    <row r="11597" spans="8:8">
      <c r="H11597" s="12"/>
    </row>
    <row r="11598" spans="8:8">
      <c r="H11598" s="12"/>
    </row>
    <row r="11599" spans="8:8">
      <c r="H11599" s="12"/>
    </row>
    <row r="11600" spans="8:8">
      <c r="H11600" s="12"/>
    </row>
    <row r="11601" spans="8:8">
      <c r="H11601" s="12"/>
    </row>
    <row r="11602" spans="8:8">
      <c r="H11602" s="12"/>
    </row>
    <row r="11603" spans="8:8">
      <c r="H11603" s="12"/>
    </row>
    <row r="11604" spans="8:8">
      <c r="H11604" s="12"/>
    </row>
    <row r="11605" spans="8:8">
      <c r="H11605" s="12"/>
    </row>
    <row r="11606" spans="8:8">
      <c r="H11606" s="12"/>
    </row>
    <row r="11607" spans="8:8">
      <c r="H11607" s="12"/>
    </row>
    <row r="11608" spans="8:8">
      <c r="H11608" s="12"/>
    </row>
    <row r="11609" spans="8:8">
      <c r="H11609" s="12"/>
    </row>
    <row r="11610" spans="8:8">
      <c r="H11610" s="12"/>
    </row>
    <row r="11611" spans="8:8">
      <c r="H11611" s="12"/>
    </row>
    <row r="11612" spans="8:8">
      <c r="H11612" s="12"/>
    </row>
    <row r="11613" spans="8:8">
      <c r="H11613" s="12"/>
    </row>
    <row r="11614" spans="8:8">
      <c r="H11614" s="12"/>
    </row>
    <row r="11615" spans="8:8">
      <c r="H11615" s="12"/>
    </row>
    <row r="11616" spans="8:8">
      <c r="H11616" s="12"/>
    </row>
    <row r="11617" spans="8:8">
      <c r="H11617" s="12"/>
    </row>
    <row r="11618" spans="8:8">
      <c r="H11618" s="12"/>
    </row>
    <row r="11619" spans="8:8">
      <c r="H11619" s="12"/>
    </row>
    <row r="11620" spans="8:8">
      <c r="H11620" s="12"/>
    </row>
    <row r="11621" spans="8:8">
      <c r="H11621" s="12"/>
    </row>
    <row r="11622" spans="8:8">
      <c r="H11622" s="12"/>
    </row>
    <row r="11623" spans="8:8">
      <c r="H11623" s="12"/>
    </row>
    <row r="11624" spans="8:8">
      <c r="H11624" s="12"/>
    </row>
    <row r="11625" spans="8:8">
      <c r="H11625" s="12"/>
    </row>
    <row r="11626" spans="8:8">
      <c r="H11626" s="12"/>
    </row>
    <row r="11627" spans="8:8">
      <c r="H11627" s="12"/>
    </row>
    <row r="11628" spans="8:8">
      <c r="H11628" s="12"/>
    </row>
    <row r="11629" spans="8:8">
      <c r="H11629" s="12"/>
    </row>
    <row r="11630" spans="8:8">
      <c r="H11630" s="12"/>
    </row>
    <row r="11631" spans="8:8">
      <c r="H11631" s="12"/>
    </row>
    <row r="11632" spans="8:8">
      <c r="H11632" s="12"/>
    </row>
    <row r="11633" spans="8:8">
      <c r="H11633" s="12"/>
    </row>
    <row r="11634" spans="8:8">
      <c r="H11634" s="12"/>
    </row>
    <row r="11635" spans="8:8">
      <c r="H11635" s="12"/>
    </row>
    <row r="11636" spans="8:8">
      <c r="H11636" s="12"/>
    </row>
    <row r="11637" spans="8:8">
      <c r="H11637" s="12"/>
    </row>
    <row r="11638" spans="8:8">
      <c r="H11638" s="12"/>
    </row>
    <row r="11639" spans="8:8">
      <c r="H11639" s="12"/>
    </row>
    <row r="11640" spans="8:8">
      <c r="H11640" s="12"/>
    </row>
    <row r="11641" spans="8:8">
      <c r="H11641" s="12"/>
    </row>
    <row r="11642" spans="8:8">
      <c r="H11642" s="12"/>
    </row>
    <row r="11643" spans="8:8">
      <c r="H11643" s="12"/>
    </row>
    <row r="11644" spans="8:8">
      <c r="H11644" s="12"/>
    </row>
    <row r="11645" spans="8:8">
      <c r="H11645" s="12"/>
    </row>
    <row r="11646" spans="8:8">
      <c r="H11646" s="12"/>
    </row>
    <row r="11647" spans="8:8">
      <c r="H11647" s="12"/>
    </row>
    <row r="11648" spans="8:8">
      <c r="H11648" s="12"/>
    </row>
    <row r="11649" spans="8:8">
      <c r="H11649" s="12"/>
    </row>
    <row r="11650" spans="8:8">
      <c r="H11650" s="12"/>
    </row>
    <row r="11651" spans="8:8">
      <c r="H11651" s="12"/>
    </row>
    <row r="11652" spans="8:8">
      <c r="H11652" s="12"/>
    </row>
    <row r="11653" spans="8:8">
      <c r="H11653" s="12"/>
    </row>
    <row r="11654" spans="8:8">
      <c r="H11654" s="12"/>
    </row>
    <row r="11655" spans="8:8">
      <c r="H11655" s="12"/>
    </row>
    <row r="11656" spans="8:8">
      <c r="H11656" s="12"/>
    </row>
    <row r="11657" spans="8:8">
      <c r="H11657" s="12"/>
    </row>
    <row r="11658" spans="8:8">
      <c r="H11658" s="12"/>
    </row>
    <row r="11659" spans="8:8">
      <c r="H11659" s="12"/>
    </row>
    <row r="11660" spans="8:8">
      <c r="H11660" s="12"/>
    </row>
    <row r="11661" spans="8:8">
      <c r="H11661" s="12"/>
    </row>
    <row r="11662" spans="8:8">
      <c r="H11662" s="12"/>
    </row>
    <row r="11663" spans="8:8">
      <c r="H11663" s="12"/>
    </row>
    <row r="11664" spans="8:8">
      <c r="H11664" s="12"/>
    </row>
    <row r="11665" spans="8:8">
      <c r="H11665" s="12"/>
    </row>
    <row r="11666" spans="8:8">
      <c r="H11666" s="12"/>
    </row>
    <row r="11667" spans="8:8">
      <c r="H11667" s="12"/>
    </row>
    <row r="11668" spans="8:8">
      <c r="H11668" s="12"/>
    </row>
    <row r="11669" spans="8:8">
      <c r="H11669" s="12"/>
    </row>
    <row r="11670" spans="8:8">
      <c r="H11670" s="12"/>
    </row>
    <row r="11671" spans="8:8">
      <c r="H11671" s="12"/>
    </row>
    <row r="11672" spans="8:8">
      <c r="H11672" s="12"/>
    </row>
    <row r="11673" spans="8:8">
      <c r="H11673" s="12"/>
    </row>
    <row r="11674" spans="8:8">
      <c r="H11674" s="12"/>
    </row>
    <row r="11675" spans="8:8">
      <c r="H11675" s="12"/>
    </row>
    <row r="11676" spans="8:8">
      <c r="H11676" s="12"/>
    </row>
    <row r="11677" spans="8:8">
      <c r="H11677" s="12"/>
    </row>
    <row r="11678" spans="8:8">
      <c r="H11678" s="12"/>
    </row>
    <row r="11679" spans="8:8">
      <c r="H11679" s="12"/>
    </row>
    <row r="11680" spans="8:8">
      <c r="H11680" s="12"/>
    </row>
    <row r="11681" spans="8:8">
      <c r="H11681" s="12"/>
    </row>
    <row r="11682" spans="8:8">
      <c r="H11682" s="12"/>
    </row>
    <row r="11683" spans="8:8">
      <c r="H11683" s="12"/>
    </row>
    <row r="11684" spans="8:8">
      <c r="H11684" s="12"/>
    </row>
    <row r="11685" spans="8:8">
      <c r="H11685" s="12"/>
    </row>
    <row r="11686" spans="8:8">
      <c r="H11686" s="12"/>
    </row>
    <row r="11687" spans="8:8">
      <c r="H11687" s="12"/>
    </row>
    <row r="11688" spans="8:8">
      <c r="H11688" s="12"/>
    </row>
    <row r="11689" spans="8:8">
      <c r="H11689" s="12"/>
    </row>
    <row r="11690" spans="8:8">
      <c r="H11690" s="12"/>
    </row>
    <row r="11691" spans="8:8">
      <c r="H11691" s="12"/>
    </row>
    <row r="11692" spans="8:8">
      <c r="H11692" s="12"/>
    </row>
    <row r="11693" spans="8:8">
      <c r="H11693" s="12"/>
    </row>
    <row r="11694" spans="8:8">
      <c r="H11694" s="12"/>
    </row>
    <row r="11695" spans="8:8">
      <c r="H11695" s="12"/>
    </row>
    <row r="11696" spans="8:8">
      <c r="H11696" s="12"/>
    </row>
    <row r="11697" spans="8:8">
      <c r="H11697" s="12"/>
    </row>
    <row r="11698" spans="8:8">
      <c r="H11698" s="12"/>
    </row>
    <row r="11699" spans="8:8">
      <c r="H11699" s="12"/>
    </row>
    <row r="11700" spans="8:8">
      <c r="H11700" s="12"/>
    </row>
    <row r="11701" spans="8:8">
      <c r="H11701" s="12"/>
    </row>
    <row r="11702" spans="8:8">
      <c r="H11702" s="12"/>
    </row>
    <row r="11703" spans="8:8">
      <c r="H11703" s="12"/>
    </row>
    <row r="11704" spans="8:8">
      <c r="H11704" s="12"/>
    </row>
    <row r="11705" spans="8:8">
      <c r="H11705" s="12"/>
    </row>
    <row r="11706" spans="8:8">
      <c r="H11706" s="12"/>
    </row>
    <row r="11707" spans="8:8">
      <c r="H11707" s="12"/>
    </row>
    <row r="11708" spans="8:8">
      <c r="H11708" s="12"/>
    </row>
    <row r="11709" spans="8:8">
      <c r="H11709" s="12"/>
    </row>
    <row r="11710" spans="8:8">
      <c r="H11710" s="12"/>
    </row>
    <row r="11711" spans="8:8">
      <c r="H11711" s="12"/>
    </row>
    <row r="11712" spans="8:8">
      <c r="H11712" s="12"/>
    </row>
    <row r="11713" spans="8:8">
      <c r="H11713" s="12"/>
    </row>
    <row r="11714" spans="8:8">
      <c r="H11714" s="12"/>
    </row>
    <row r="11715" spans="8:8">
      <c r="H11715" s="12"/>
    </row>
    <row r="11716" spans="8:8">
      <c r="H11716" s="12"/>
    </row>
    <row r="11717" spans="8:8">
      <c r="H11717" s="12"/>
    </row>
    <row r="11718" spans="8:8">
      <c r="H11718" s="12"/>
    </row>
    <row r="11719" spans="8:8">
      <c r="H11719" s="12"/>
    </row>
    <row r="11720" spans="8:8">
      <c r="H11720" s="12"/>
    </row>
    <row r="11721" spans="8:8">
      <c r="H11721" s="12"/>
    </row>
    <row r="11722" spans="8:8">
      <c r="H11722" s="12"/>
    </row>
    <row r="11723" spans="8:8">
      <c r="H11723" s="12"/>
    </row>
    <row r="11724" spans="8:8">
      <c r="H11724" s="12"/>
    </row>
    <row r="11725" spans="8:8">
      <c r="H11725" s="12"/>
    </row>
    <row r="11726" spans="8:8">
      <c r="H11726" s="12"/>
    </row>
    <row r="11727" spans="8:8">
      <c r="H11727" s="12"/>
    </row>
    <row r="11728" spans="8:8">
      <c r="H11728" s="12"/>
    </row>
    <row r="11729" spans="8:8">
      <c r="H11729" s="12"/>
    </row>
    <row r="11730" spans="8:8">
      <c r="H11730" s="12"/>
    </row>
    <row r="11731" spans="8:8">
      <c r="H11731" s="12"/>
    </row>
    <row r="11732" spans="8:8">
      <c r="H11732" s="12"/>
    </row>
    <row r="11733" spans="8:8">
      <c r="H11733" s="12"/>
    </row>
    <row r="11734" spans="8:8">
      <c r="H11734" s="12"/>
    </row>
    <row r="11735" spans="8:8">
      <c r="H11735" s="12"/>
    </row>
    <row r="11736" spans="8:8">
      <c r="H11736" s="12"/>
    </row>
    <row r="11737" spans="8:8">
      <c r="H11737" s="12"/>
    </row>
    <row r="11738" spans="8:8">
      <c r="H11738" s="12"/>
    </row>
    <row r="11739" spans="8:8">
      <c r="H11739" s="12"/>
    </row>
    <row r="11740" spans="8:8">
      <c r="H11740" s="12"/>
    </row>
    <row r="11741" spans="8:8">
      <c r="H11741" s="12"/>
    </row>
    <row r="11742" spans="8:8">
      <c r="H11742" s="12"/>
    </row>
    <row r="11743" spans="8:8">
      <c r="H11743" s="12"/>
    </row>
    <row r="11744" spans="8:8">
      <c r="H11744" s="12"/>
    </row>
    <row r="11745" spans="8:8">
      <c r="H11745" s="12"/>
    </row>
    <row r="11746" spans="8:8">
      <c r="H11746" s="12"/>
    </row>
    <row r="11747" spans="8:8">
      <c r="H11747" s="12"/>
    </row>
    <row r="11748" spans="8:8">
      <c r="H11748" s="12"/>
    </row>
    <row r="11749" spans="8:8">
      <c r="H11749" s="12"/>
    </row>
    <row r="11750" spans="8:8">
      <c r="H11750" s="12"/>
    </row>
    <row r="11751" spans="8:8">
      <c r="H11751" s="12"/>
    </row>
    <row r="11752" spans="8:8">
      <c r="H11752" s="12"/>
    </row>
    <row r="11753" spans="8:8">
      <c r="H11753" s="12"/>
    </row>
    <row r="11754" spans="8:8">
      <c r="H11754" s="12"/>
    </row>
    <row r="11755" spans="8:8">
      <c r="H11755" s="12"/>
    </row>
    <row r="11756" spans="8:8">
      <c r="H11756" s="12"/>
    </row>
    <row r="11757" spans="8:8">
      <c r="H11757" s="12"/>
    </row>
    <row r="11758" spans="8:8">
      <c r="H11758" s="12"/>
    </row>
    <row r="11759" spans="8:8">
      <c r="H11759" s="12"/>
    </row>
    <row r="11760" spans="8:8">
      <c r="H11760" s="12"/>
    </row>
    <row r="11761" spans="8:8">
      <c r="H11761" s="12"/>
    </row>
    <row r="11762" spans="8:8">
      <c r="H11762" s="12"/>
    </row>
    <row r="11763" spans="8:8">
      <c r="H11763" s="12"/>
    </row>
    <row r="11764" spans="8:8">
      <c r="H11764" s="12"/>
    </row>
    <row r="11765" spans="8:8">
      <c r="H11765" s="12"/>
    </row>
    <row r="11766" spans="8:8">
      <c r="H11766" s="12"/>
    </row>
    <row r="11767" spans="8:8">
      <c r="H11767" s="12"/>
    </row>
    <row r="11768" spans="8:8">
      <c r="H11768" s="12"/>
    </row>
    <row r="11769" spans="8:8">
      <c r="H11769" s="12"/>
    </row>
    <row r="11770" spans="8:8">
      <c r="H11770" s="12"/>
    </row>
    <row r="11771" spans="8:8">
      <c r="H11771" s="12"/>
    </row>
    <row r="11772" spans="8:8">
      <c r="H11772" s="12"/>
    </row>
    <row r="11773" spans="8:8">
      <c r="H11773" s="12"/>
    </row>
    <row r="11774" spans="8:8">
      <c r="H11774" s="12"/>
    </row>
    <row r="11775" spans="8:8">
      <c r="H11775" s="12"/>
    </row>
    <row r="11776" spans="8:8">
      <c r="H11776" s="12"/>
    </row>
    <row r="11777" spans="8:8">
      <c r="H11777" s="12"/>
    </row>
    <row r="11778" spans="8:8">
      <c r="H11778" s="12"/>
    </row>
    <row r="11779" spans="8:8">
      <c r="H11779" s="12"/>
    </row>
    <row r="11780" spans="8:8">
      <c r="H11780" s="12"/>
    </row>
    <row r="11781" spans="8:8">
      <c r="H11781" s="12"/>
    </row>
    <row r="11782" spans="8:8">
      <c r="H11782" s="12"/>
    </row>
    <row r="11783" spans="8:8">
      <c r="H11783" s="12"/>
    </row>
    <row r="11784" spans="8:8">
      <c r="H11784" s="12"/>
    </row>
    <row r="11785" spans="8:8">
      <c r="H11785" s="12"/>
    </row>
    <row r="11786" spans="8:8">
      <c r="H11786" s="12"/>
    </row>
    <row r="11787" spans="8:8">
      <c r="H11787" s="12"/>
    </row>
    <row r="11788" spans="8:8">
      <c r="H11788" s="12"/>
    </row>
    <row r="11789" spans="8:8">
      <c r="H11789" s="12"/>
    </row>
    <row r="11790" spans="8:8">
      <c r="H11790" s="12"/>
    </row>
    <row r="11791" spans="8:8">
      <c r="H11791" s="12"/>
    </row>
    <row r="11792" spans="8:8">
      <c r="H11792" s="12"/>
    </row>
    <row r="11793" spans="8:8">
      <c r="H11793" s="12"/>
    </row>
    <row r="11794" spans="8:8">
      <c r="H11794" s="12"/>
    </row>
    <row r="11795" spans="8:8">
      <c r="H11795" s="12"/>
    </row>
    <row r="11796" spans="8:8">
      <c r="H11796" s="12"/>
    </row>
    <row r="11797" spans="8:8">
      <c r="H11797" s="12"/>
    </row>
    <row r="11798" spans="8:8">
      <c r="H11798" s="12"/>
    </row>
    <row r="11799" spans="8:8">
      <c r="H11799" s="12"/>
    </row>
    <row r="11800" spans="8:8">
      <c r="H11800" s="12"/>
    </row>
    <row r="11801" spans="8:8">
      <c r="H11801" s="12"/>
    </row>
    <row r="11802" spans="8:8">
      <c r="H11802" s="12"/>
    </row>
    <row r="11803" spans="8:8">
      <c r="H11803" s="12"/>
    </row>
    <row r="11804" spans="8:8">
      <c r="H11804" s="12"/>
    </row>
    <row r="11805" spans="8:8">
      <c r="H11805" s="12"/>
    </row>
    <row r="11806" spans="8:8">
      <c r="H11806" s="12"/>
    </row>
    <row r="11807" spans="8:8">
      <c r="H11807" s="12"/>
    </row>
    <row r="11808" spans="8:8">
      <c r="H11808" s="12"/>
    </row>
    <row r="11809" spans="8:8">
      <c r="H11809" s="12"/>
    </row>
    <row r="11810" spans="8:8">
      <c r="H11810" s="12"/>
    </row>
    <row r="11811" spans="8:8">
      <c r="H11811" s="12"/>
    </row>
    <row r="11812" spans="8:8">
      <c r="H11812" s="12"/>
    </row>
    <row r="11813" spans="8:8">
      <c r="H11813" s="12"/>
    </row>
    <row r="11814" spans="8:8">
      <c r="H11814" s="12"/>
    </row>
    <row r="11815" spans="8:8">
      <c r="H11815" s="12"/>
    </row>
    <row r="11816" spans="8:8">
      <c r="H11816" s="12"/>
    </row>
    <row r="11817" spans="8:8">
      <c r="H11817" s="12"/>
    </row>
    <row r="11818" spans="8:8">
      <c r="H11818" s="12"/>
    </row>
    <row r="11819" spans="8:8">
      <c r="H11819" s="12"/>
    </row>
    <row r="11820" spans="8:8">
      <c r="H11820" s="12"/>
    </row>
    <row r="11821" spans="8:8">
      <c r="H11821" s="12"/>
    </row>
    <row r="11822" spans="8:8">
      <c r="H11822" s="12"/>
    </row>
    <row r="11823" spans="8:8">
      <c r="H11823" s="12"/>
    </row>
    <row r="11824" spans="8:8">
      <c r="H11824" s="12"/>
    </row>
    <row r="11825" spans="8:8">
      <c r="H11825" s="12"/>
    </row>
    <row r="11826" spans="8:8">
      <c r="H11826" s="12"/>
    </row>
    <row r="11827" spans="8:8">
      <c r="H11827" s="12"/>
    </row>
    <row r="11828" spans="8:8">
      <c r="H11828" s="12"/>
    </row>
    <row r="11829" spans="8:8">
      <c r="H11829" s="12"/>
    </row>
    <row r="11830" spans="8:8">
      <c r="H11830" s="12"/>
    </row>
    <row r="11831" spans="8:8">
      <c r="H11831" s="12"/>
    </row>
    <row r="11832" spans="8:8">
      <c r="H11832" s="12"/>
    </row>
    <row r="11833" spans="8:8">
      <c r="H11833" s="12"/>
    </row>
    <row r="11834" spans="8:8">
      <c r="H11834" s="12"/>
    </row>
    <row r="11835" spans="8:8">
      <c r="H11835" s="12"/>
    </row>
    <row r="11836" spans="8:8">
      <c r="H11836" s="12"/>
    </row>
    <row r="11837" spans="8:8">
      <c r="H11837" s="12"/>
    </row>
    <row r="11838" spans="8:8">
      <c r="H11838" s="12"/>
    </row>
    <row r="11839" spans="8:8">
      <c r="H11839" s="12"/>
    </row>
    <row r="11840" spans="8:8">
      <c r="H11840" s="12"/>
    </row>
    <row r="11841" spans="8:8">
      <c r="H11841" s="12"/>
    </row>
    <row r="11842" spans="8:8">
      <c r="H11842" s="12"/>
    </row>
    <row r="11843" spans="8:8">
      <c r="H11843" s="12"/>
    </row>
    <row r="11844" spans="8:8">
      <c r="H11844" s="12"/>
    </row>
    <row r="11845" spans="8:8">
      <c r="H11845" s="12"/>
    </row>
    <row r="11846" spans="8:8">
      <c r="H11846" s="12"/>
    </row>
    <row r="11847" spans="8:8">
      <c r="H11847" s="12"/>
    </row>
    <row r="11848" spans="8:8">
      <c r="H11848" s="12"/>
    </row>
    <row r="11849" spans="8:8">
      <c r="H11849" s="12"/>
    </row>
    <row r="11850" spans="8:8">
      <c r="H11850" s="12"/>
    </row>
    <row r="11851" spans="8:8">
      <c r="H11851" s="12"/>
    </row>
    <row r="11852" spans="8:8">
      <c r="H11852" s="12"/>
    </row>
    <row r="11853" spans="8:8">
      <c r="H11853" s="12"/>
    </row>
    <row r="11854" spans="8:8">
      <c r="H11854" s="12"/>
    </row>
    <row r="11855" spans="8:8">
      <c r="H11855" s="12"/>
    </row>
    <row r="11856" spans="8:8">
      <c r="H11856" s="12"/>
    </row>
    <row r="11857" spans="8:8">
      <c r="H11857" s="12"/>
    </row>
    <row r="11858" spans="8:8">
      <c r="H11858" s="12"/>
    </row>
    <row r="11859" spans="8:8">
      <c r="H11859" s="12"/>
    </row>
    <row r="11860" spans="8:8">
      <c r="H11860" s="12"/>
    </row>
    <row r="11861" spans="8:8">
      <c r="H11861" s="12"/>
    </row>
    <row r="11862" spans="8:8">
      <c r="H11862" s="12"/>
    </row>
    <row r="11863" spans="8:8">
      <c r="H11863" s="12"/>
    </row>
    <row r="11864" spans="8:8">
      <c r="H11864" s="12"/>
    </row>
    <row r="11865" spans="8:8">
      <c r="H11865" s="12"/>
    </row>
    <row r="11866" spans="8:8">
      <c r="H11866" s="12"/>
    </row>
    <row r="11867" spans="8:8">
      <c r="H11867" s="12"/>
    </row>
    <row r="11868" spans="8:8">
      <c r="H11868" s="12"/>
    </row>
    <row r="11869" spans="8:8">
      <c r="H11869" s="12"/>
    </row>
    <row r="11870" spans="8:8">
      <c r="H11870" s="12"/>
    </row>
    <row r="11871" spans="8:8">
      <c r="H11871" s="12"/>
    </row>
    <row r="11872" spans="8:8">
      <c r="H11872" s="12"/>
    </row>
    <row r="11873" spans="8:8">
      <c r="H11873" s="12"/>
    </row>
    <row r="11874" spans="8:8">
      <c r="H11874" s="12"/>
    </row>
    <row r="11875" spans="8:8">
      <c r="H11875" s="12"/>
    </row>
    <row r="11876" spans="8:8">
      <c r="H11876" s="12"/>
    </row>
    <row r="11877" spans="8:8">
      <c r="H11877" s="12"/>
    </row>
    <row r="11878" spans="8:8">
      <c r="H11878" s="12"/>
    </row>
    <row r="11879" spans="8:8">
      <c r="H11879" s="12"/>
    </row>
    <row r="11880" spans="8:8">
      <c r="H11880" s="12"/>
    </row>
    <row r="11881" spans="8:8">
      <c r="H11881" s="12"/>
    </row>
    <row r="11882" spans="8:8">
      <c r="H11882" s="12"/>
    </row>
    <row r="11883" spans="8:8">
      <c r="H11883" s="12"/>
    </row>
    <row r="11884" spans="8:8">
      <c r="H11884" s="12"/>
    </row>
    <row r="11885" spans="8:8">
      <c r="H11885" s="12"/>
    </row>
    <row r="11886" spans="8:8">
      <c r="H11886" s="12"/>
    </row>
    <row r="11887" spans="8:8">
      <c r="H11887" s="12"/>
    </row>
    <row r="11888" spans="8:8">
      <c r="H11888" s="12"/>
    </row>
    <row r="11889" spans="8:8">
      <c r="H11889" s="12"/>
    </row>
    <row r="11890" spans="8:8">
      <c r="H11890" s="12"/>
    </row>
    <row r="11891" spans="8:8">
      <c r="H11891" s="12"/>
    </row>
    <row r="11892" spans="8:8">
      <c r="H11892" s="12"/>
    </row>
    <row r="11893" spans="8:8">
      <c r="H11893" s="12"/>
    </row>
    <row r="11894" spans="8:8">
      <c r="H11894" s="12"/>
    </row>
    <row r="11895" spans="8:8">
      <c r="H11895" s="12"/>
    </row>
    <row r="11896" spans="8:8">
      <c r="H11896" s="12"/>
    </row>
    <row r="11897" spans="8:8">
      <c r="H11897" s="12"/>
    </row>
    <row r="11898" spans="8:8">
      <c r="H11898" s="12"/>
    </row>
    <row r="11899" spans="8:8">
      <c r="H11899" s="12"/>
    </row>
    <row r="11900" spans="8:8">
      <c r="H11900" s="12"/>
    </row>
    <row r="11901" spans="8:8">
      <c r="H11901" s="12"/>
    </row>
    <row r="11902" spans="8:8">
      <c r="H11902" s="12"/>
    </row>
    <row r="11903" spans="8:8">
      <c r="H11903" s="12"/>
    </row>
    <row r="11904" spans="8:8">
      <c r="H11904" s="12"/>
    </row>
    <row r="11905" spans="8:8">
      <c r="H11905" s="12"/>
    </row>
    <row r="11906" spans="8:8">
      <c r="H11906" s="12"/>
    </row>
    <row r="11907" spans="8:8">
      <c r="H11907" s="12"/>
    </row>
    <row r="11908" spans="8:8">
      <c r="H11908" s="12"/>
    </row>
    <row r="11909" spans="8:8">
      <c r="H11909" s="12"/>
    </row>
    <row r="11910" spans="8:8">
      <c r="H11910" s="12"/>
    </row>
    <row r="11911" spans="8:8">
      <c r="H11911" s="12"/>
    </row>
    <row r="11912" spans="8:8">
      <c r="H11912" s="12"/>
    </row>
    <row r="11913" spans="8:8">
      <c r="H11913" s="12"/>
    </row>
    <row r="11914" spans="8:8">
      <c r="H11914" s="12"/>
    </row>
    <row r="11915" spans="8:8">
      <c r="H11915" s="12"/>
    </row>
    <row r="11916" spans="8:8">
      <c r="H11916" s="12"/>
    </row>
    <row r="11917" spans="8:8">
      <c r="H11917" s="12"/>
    </row>
    <row r="11918" spans="8:8">
      <c r="H11918" s="12"/>
    </row>
    <row r="11919" spans="8:8">
      <c r="H11919" s="12"/>
    </row>
    <row r="11920" spans="8:8">
      <c r="H11920" s="12"/>
    </row>
    <row r="11921" spans="8:8">
      <c r="H11921" s="12"/>
    </row>
    <row r="11922" spans="8:8">
      <c r="H11922" s="12"/>
    </row>
    <row r="11923" spans="8:8">
      <c r="H11923" s="12"/>
    </row>
    <row r="11924" spans="8:8">
      <c r="H11924" s="12"/>
    </row>
    <row r="11925" spans="8:8">
      <c r="H11925" s="12"/>
    </row>
    <row r="11926" spans="8:8">
      <c r="H11926" s="12"/>
    </row>
    <row r="11927" spans="8:8">
      <c r="H11927" s="12"/>
    </row>
    <row r="11928" spans="8:8">
      <c r="H11928" s="12"/>
    </row>
    <row r="11929" spans="8:8">
      <c r="H11929" s="12"/>
    </row>
    <row r="11930" spans="8:8">
      <c r="H11930" s="12"/>
    </row>
    <row r="11931" spans="8:8">
      <c r="H11931" s="12"/>
    </row>
    <row r="11932" spans="8:8">
      <c r="H11932" s="12"/>
    </row>
    <row r="11933" spans="8:8">
      <c r="H11933" s="12"/>
    </row>
    <row r="11934" spans="8:8">
      <c r="H11934" s="12"/>
    </row>
    <row r="11935" spans="8:8">
      <c r="H11935" s="12"/>
    </row>
    <row r="11936" spans="8:8">
      <c r="H11936" s="12"/>
    </row>
    <row r="11937" spans="8:8">
      <c r="H11937" s="12"/>
    </row>
    <row r="11938" spans="8:8">
      <c r="H11938" s="12"/>
    </row>
    <row r="11939" spans="8:8">
      <c r="H11939" s="12"/>
    </row>
    <row r="11940" spans="8:8">
      <c r="H11940" s="12"/>
    </row>
    <row r="11941" spans="8:8">
      <c r="H11941" s="12"/>
    </row>
    <row r="11942" spans="8:8">
      <c r="H11942" s="12"/>
    </row>
    <row r="11943" spans="8:8">
      <c r="H11943" s="12"/>
    </row>
    <row r="11944" spans="8:8">
      <c r="H11944" s="12"/>
    </row>
    <row r="11945" spans="8:8">
      <c r="H11945" s="12"/>
    </row>
    <row r="11946" spans="8:8">
      <c r="H11946" s="12"/>
    </row>
    <row r="11947" spans="8:8">
      <c r="H11947" s="12"/>
    </row>
    <row r="11948" spans="8:8">
      <c r="H11948" s="12"/>
    </row>
    <row r="11949" spans="8:8">
      <c r="H11949" s="12"/>
    </row>
    <row r="11950" spans="8:8">
      <c r="H11950" s="12"/>
    </row>
    <row r="11951" spans="8:8">
      <c r="H11951" s="12"/>
    </row>
    <row r="11952" spans="8:8">
      <c r="H11952" s="12"/>
    </row>
    <row r="11953" spans="8:8">
      <c r="H11953" s="12"/>
    </row>
    <row r="11954" spans="8:8">
      <c r="H11954" s="12"/>
    </row>
    <row r="11955" spans="8:8">
      <c r="H11955" s="12"/>
    </row>
    <row r="11956" spans="8:8">
      <c r="H11956" s="12"/>
    </row>
    <row r="11957" spans="8:8">
      <c r="H11957" s="12"/>
    </row>
    <row r="11958" spans="8:8">
      <c r="H11958" s="12"/>
    </row>
    <row r="11959" spans="8:8">
      <c r="H11959" s="12"/>
    </row>
    <row r="11960" spans="8:8">
      <c r="H11960" s="12"/>
    </row>
    <row r="11961" spans="8:8">
      <c r="H11961" s="12"/>
    </row>
    <row r="11962" spans="8:8">
      <c r="H11962" s="12"/>
    </row>
    <row r="11963" spans="8:8">
      <c r="H11963" s="12"/>
    </row>
    <row r="11964" spans="8:8">
      <c r="H11964" s="12"/>
    </row>
    <row r="11965" spans="8:8">
      <c r="H11965" s="12"/>
    </row>
    <row r="11966" spans="8:8">
      <c r="H11966" s="12"/>
    </row>
    <row r="11967" spans="8:8">
      <c r="H11967" s="12"/>
    </row>
    <row r="11968" spans="8:8">
      <c r="H11968" s="12"/>
    </row>
    <row r="11969" spans="8:8">
      <c r="H11969" s="12"/>
    </row>
    <row r="11970" spans="8:8">
      <c r="H11970" s="12"/>
    </row>
    <row r="11971" spans="8:8">
      <c r="H11971" s="12"/>
    </row>
    <row r="11972" spans="8:8">
      <c r="H11972" s="12"/>
    </row>
    <row r="11973" spans="8:8">
      <c r="H11973" s="12"/>
    </row>
    <row r="11974" spans="8:8">
      <c r="H11974" s="12"/>
    </row>
    <row r="11975" spans="8:8">
      <c r="H11975" s="12"/>
    </row>
    <row r="11976" spans="8:8">
      <c r="H11976" s="12"/>
    </row>
    <row r="11977" spans="8:8">
      <c r="H11977" s="12"/>
    </row>
    <row r="11978" spans="8:8">
      <c r="H11978" s="12"/>
    </row>
    <row r="11979" spans="8:8">
      <c r="H11979" s="12"/>
    </row>
    <row r="11980" spans="8:8">
      <c r="H11980" s="12"/>
    </row>
    <row r="11981" spans="8:8">
      <c r="H11981" s="12"/>
    </row>
    <row r="11982" spans="8:8">
      <c r="H11982" s="12"/>
    </row>
    <row r="11983" spans="8:8">
      <c r="H11983" s="12"/>
    </row>
    <row r="11984" spans="8:8">
      <c r="H11984" s="12"/>
    </row>
    <row r="11985" spans="8:8">
      <c r="H11985" s="12"/>
    </row>
    <row r="11986" spans="8:8">
      <c r="H11986" s="12"/>
    </row>
    <row r="11987" spans="8:8">
      <c r="H11987" s="12"/>
    </row>
    <row r="11988" spans="8:8">
      <c r="H11988" s="12"/>
    </row>
    <row r="11989" spans="8:8">
      <c r="H11989" s="12"/>
    </row>
    <row r="11990" spans="8:8">
      <c r="H11990" s="12"/>
    </row>
    <row r="11991" spans="8:8">
      <c r="H11991" s="12"/>
    </row>
    <row r="11992" spans="8:8">
      <c r="H11992" s="12"/>
    </row>
    <row r="11993" spans="8:8">
      <c r="H11993" s="12"/>
    </row>
    <row r="11994" spans="8:8">
      <c r="H11994" s="12"/>
    </row>
    <row r="11995" spans="8:8">
      <c r="H11995" s="12"/>
    </row>
    <row r="11996" spans="8:8">
      <c r="H11996" s="12"/>
    </row>
    <row r="11997" spans="8:8">
      <c r="H11997" s="12"/>
    </row>
    <row r="11998" spans="8:8">
      <c r="H11998" s="12"/>
    </row>
    <row r="11999" spans="8:8">
      <c r="H11999" s="12"/>
    </row>
    <row r="12000" spans="8:8">
      <c r="H12000" s="12"/>
    </row>
    <row r="12001" spans="8:8">
      <c r="H12001" s="12"/>
    </row>
    <row r="12002" spans="8:8">
      <c r="H12002" s="12"/>
    </row>
    <row r="12003" spans="8:8">
      <c r="H12003" s="12"/>
    </row>
    <row r="12004" spans="8:8">
      <c r="H12004" s="12"/>
    </row>
    <row r="12005" spans="8:8">
      <c r="H12005" s="12"/>
    </row>
    <row r="12006" spans="8:8">
      <c r="H12006" s="12"/>
    </row>
    <row r="12007" spans="8:8">
      <c r="H12007" s="12"/>
    </row>
    <row r="12008" spans="8:8">
      <c r="H12008" s="12"/>
    </row>
    <row r="12009" spans="8:8">
      <c r="H12009" s="12"/>
    </row>
    <row r="12010" spans="8:8">
      <c r="H12010" s="12"/>
    </row>
    <row r="12011" spans="8:8">
      <c r="H12011" s="12"/>
    </row>
    <row r="12012" spans="8:8">
      <c r="H12012" s="12"/>
    </row>
    <row r="12013" spans="8:8">
      <c r="H12013" s="12"/>
    </row>
    <row r="12014" spans="8:8">
      <c r="H12014" s="12"/>
    </row>
    <row r="12015" spans="8:8">
      <c r="H12015" s="12"/>
    </row>
    <row r="12016" spans="8:8">
      <c r="H12016" s="12"/>
    </row>
    <row r="12017" spans="8:8">
      <c r="H12017" s="12"/>
    </row>
    <row r="12018" spans="8:8">
      <c r="H12018" s="12"/>
    </row>
    <row r="12019" spans="8:8">
      <c r="H12019" s="12"/>
    </row>
    <row r="12020" spans="8:8">
      <c r="H12020" s="12"/>
    </row>
    <row r="12021" spans="8:8">
      <c r="H12021" s="12"/>
    </row>
    <row r="12022" spans="8:8">
      <c r="H12022" s="12"/>
    </row>
    <row r="12023" spans="8:8">
      <c r="H12023" s="12"/>
    </row>
    <row r="12024" spans="8:8">
      <c r="H12024" s="12"/>
    </row>
    <row r="12025" spans="8:8">
      <c r="H12025" s="12"/>
    </row>
    <row r="12026" spans="8:8">
      <c r="H12026" s="12"/>
    </row>
    <row r="12027" spans="8:8">
      <c r="H12027" s="12"/>
    </row>
    <row r="12028" spans="8:8">
      <c r="H12028" s="12"/>
    </row>
    <row r="12029" spans="8:8">
      <c r="H12029" s="12"/>
    </row>
    <row r="12030" spans="8:8">
      <c r="H12030" s="12"/>
    </row>
    <row r="12031" spans="8:8">
      <c r="H12031" s="12"/>
    </row>
    <row r="12032" spans="8:8">
      <c r="H12032" s="12"/>
    </row>
    <row r="12033" spans="8:8">
      <c r="H12033" s="12"/>
    </row>
    <row r="12034" spans="8:8">
      <c r="H12034" s="12"/>
    </row>
    <row r="12035" spans="8:8">
      <c r="H12035" s="12"/>
    </row>
    <row r="12036" spans="8:8">
      <c r="H12036" s="12"/>
    </row>
    <row r="12037" spans="8:8">
      <c r="H12037" s="12"/>
    </row>
    <row r="12038" spans="8:8">
      <c r="H12038" s="12"/>
    </row>
    <row r="12039" spans="8:8">
      <c r="H12039" s="12"/>
    </row>
    <row r="12040" spans="8:8">
      <c r="H12040" s="12"/>
    </row>
    <row r="12041" spans="8:8">
      <c r="H12041" s="12"/>
    </row>
    <row r="12042" spans="8:8">
      <c r="H12042" s="12"/>
    </row>
    <row r="12043" spans="8:8">
      <c r="H12043" s="12"/>
    </row>
    <row r="12044" spans="8:8">
      <c r="H12044" s="12"/>
    </row>
    <row r="12045" spans="8:8">
      <c r="H12045" s="12"/>
    </row>
    <row r="12046" spans="8:8">
      <c r="H12046" s="12"/>
    </row>
    <row r="12047" spans="8:8">
      <c r="H12047" s="12"/>
    </row>
    <row r="12048" spans="8:8">
      <c r="H12048" s="12"/>
    </row>
    <row r="12049" spans="8:8">
      <c r="H12049" s="12"/>
    </row>
    <row r="12050" spans="8:8">
      <c r="H12050" s="12"/>
    </row>
    <row r="12051" spans="8:8">
      <c r="H12051" s="12"/>
    </row>
    <row r="12052" spans="8:8">
      <c r="H12052" s="12"/>
    </row>
    <row r="12053" spans="8:8">
      <c r="H12053" s="12"/>
    </row>
    <row r="12054" spans="8:8">
      <c r="H12054" s="12"/>
    </row>
    <row r="12055" spans="8:8">
      <c r="H12055" s="12"/>
    </row>
    <row r="12056" spans="8:8">
      <c r="H12056" s="12"/>
    </row>
    <row r="12057" spans="8:8">
      <c r="H12057" s="12"/>
    </row>
    <row r="12058" spans="8:8">
      <c r="H12058" s="12"/>
    </row>
    <row r="12059" spans="8:8">
      <c r="H12059" s="12"/>
    </row>
    <row r="12060" spans="8:8">
      <c r="H12060" s="12"/>
    </row>
    <row r="12061" spans="8:8">
      <c r="H12061" s="12"/>
    </row>
    <row r="12062" spans="8:8">
      <c r="H12062" s="12"/>
    </row>
    <row r="12063" spans="8:8">
      <c r="H12063" s="12"/>
    </row>
    <row r="12064" spans="8:8">
      <c r="H12064" s="12"/>
    </row>
    <row r="12065" spans="8:8">
      <c r="H12065" s="12"/>
    </row>
    <row r="12066" spans="8:8">
      <c r="H12066" s="12"/>
    </row>
    <row r="12067" spans="8:8">
      <c r="H12067" s="12"/>
    </row>
    <row r="12068" spans="8:8">
      <c r="H12068" s="12"/>
    </row>
    <row r="12069" spans="8:8">
      <c r="H12069" s="12"/>
    </row>
    <row r="12070" spans="8:8">
      <c r="H12070" s="12"/>
    </row>
    <row r="12071" spans="8:8">
      <c r="H12071" s="12"/>
    </row>
    <row r="12072" spans="8:8">
      <c r="H12072" s="12"/>
    </row>
    <row r="12073" spans="8:8">
      <c r="H12073" s="12"/>
    </row>
    <row r="12074" spans="8:8">
      <c r="H12074" s="12"/>
    </row>
    <row r="12075" spans="8:8">
      <c r="H12075" s="12"/>
    </row>
    <row r="12076" spans="8:8">
      <c r="H12076" s="12"/>
    </row>
    <row r="12077" spans="8:8">
      <c r="H12077" s="12"/>
    </row>
    <row r="12078" spans="8:8">
      <c r="H12078" s="12"/>
    </row>
    <row r="12079" spans="8:8">
      <c r="H12079" s="12"/>
    </row>
    <row r="12080" spans="8:8">
      <c r="H12080" s="12"/>
    </row>
    <row r="12081" spans="8:8">
      <c r="H12081" s="12"/>
    </row>
    <row r="12082" spans="8:8">
      <c r="H12082" s="12"/>
    </row>
    <row r="12083" spans="8:8">
      <c r="H12083" s="12"/>
    </row>
    <row r="12084" spans="8:8">
      <c r="H12084" s="12"/>
    </row>
    <row r="12085" spans="8:8">
      <c r="H12085" s="12"/>
    </row>
    <row r="12086" spans="8:8">
      <c r="H12086" s="12"/>
    </row>
    <row r="12087" spans="8:8">
      <c r="H12087" s="12"/>
    </row>
    <row r="12088" spans="8:8">
      <c r="H12088" s="12"/>
    </row>
    <row r="12089" spans="8:8">
      <c r="H12089" s="12"/>
    </row>
    <row r="12090" spans="8:8">
      <c r="H12090" s="12"/>
    </row>
    <row r="12091" spans="8:8">
      <c r="H12091" s="12"/>
    </row>
    <row r="12092" spans="8:8">
      <c r="H12092" s="12"/>
    </row>
    <row r="12093" spans="8:8">
      <c r="H12093" s="12"/>
    </row>
    <row r="12094" spans="8:8">
      <c r="H12094" s="12"/>
    </row>
    <row r="12095" spans="8:8">
      <c r="H12095" s="12"/>
    </row>
    <row r="12096" spans="8:8">
      <c r="H12096" s="12"/>
    </row>
    <row r="12097" spans="8:8">
      <c r="H12097" s="12"/>
    </row>
    <row r="12098" spans="8:8">
      <c r="H12098" s="12"/>
    </row>
    <row r="12099" spans="8:8">
      <c r="H12099" s="12"/>
    </row>
    <row r="12100" spans="8:8">
      <c r="H12100" s="12"/>
    </row>
    <row r="12101" spans="8:8">
      <c r="H12101" s="12"/>
    </row>
    <row r="12102" spans="8:8">
      <c r="H12102" s="12"/>
    </row>
    <row r="12103" spans="8:8">
      <c r="H12103" s="12"/>
    </row>
    <row r="12104" spans="8:8">
      <c r="H12104" s="12"/>
    </row>
    <row r="12105" spans="8:8">
      <c r="H12105" s="12"/>
    </row>
    <row r="12106" spans="8:8">
      <c r="H12106" s="12"/>
    </row>
    <row r="12107" spans="8:8">
      <c r="H12107" s="12"/>
    </row>
    <row r="12108" spans="8:8">
      <c r="H12108" s="12"/>
    </row>
    <row r="12109" spans="8:8">
      <c r="H12109" s="12"/>
    </row>
    <row r="12110" spans="8:8">
      <c r="H12110" s="12"/>
    </row>
    <row r="12111" spans="8:8">
      <c r="H12111" s="12"/>
    </row>
    <row r="12112" spans="8:8">
      <c r="H12112" s="12"/>
    </row>
    <row r="12113" spans="8:8">
      <c r="H12113" s="12"/>
    </row>
    <row r="12114" spans="8:8">
      <c r="H12114" s="12"/>
    </row>
    <row r="12115" spans="8:8">
      <c r="H12115" s="12"/>
    </row>
    <row r="12116" spans="8:8">
      <c r="H12116" s="12"/>
    </row>
    <row r="12117" spans="8:8">
      <c r="H12117" s="12"/>
    </row>
    <row r="12118" spans="8:8">
      <c r="H12118" s="12"/>
    </row>
    <row r="12119" spans="8:8">
      <c r="H12119" s="12"/>
    </row>
    <row r="12120" spans="8:8">
      <c r="H12120" s="12"/>
    </row>
    <row r="12121" spans="8:8">
      <c r="H12121" s="12"/>
    </row>
    <row r="12122" spans="8:8">
      <c r="H12122" s="12"/>
    </row>
    <row r="12123" spans="8:8">
      <c r="H12123" s="12"/>
    </row>
    <row r="12124" spans="8:8">
      <c r="H12124" s="12"/>
    </row>
    <row r="12125" spans="8:8">
      <c r="H12125" s="12"/>
    </row>
    <row r="12126" spans="8:8">
      <c r="H12126" s="12"/>
    </row>
    <row r="12127" spans="8:8">
      <c r="H12127" s="12"/>
    </row>
    <row r="12128" spans="8:8">
      <c r="H12128" s="12"/>
    </row>
    <row r="12129" spans="8:8">
      <c r="H12129" s="12"/>
    </row>
    <row r="12130" spans="8:8">
      <c r="H12130" s="12"/>
    </row>
    <row r="12131" spans="8:8">
      <c r="H12131" s="12"/>
    </row>
    <row r="12132" spans="8:8">
      <c r="H12132" s="12"/>
    </row>
    <row r="12133" spans="8:8">
      <c r="H12133" s="12"/>
    </row>
    <row r="12134" spans="8:8">
      <c r="H12134" s="12"/>
    </row>
    <row r="12135" spans="8:8">
      <c r="H12135" s="12"/>
    </row>
    <row r="12136" spans="8:8">
      <c r="H12136" s="12"/>
    </row>
    <row r="12137" spans="8:8">
      <c r="H12137" s="12"/>
    </row>
    <row r="12138" spans="8:8">
      <c r="H12138" s="12"/>
    </row>
    <row r="12139" spans="8:8">
      <c r="H12139" s="12"/>
    </row>
    <row r="12140" spans="8:8">
      <c r="H12140" s="12"/>
    </row>
    <row r="12141" spans="8:8">
      <c r="H12141" s="12"/>
    </row>
    <row r="12142" spans="8:8">
      <c r="H12142" s="12"/>
    </row>
    <row r="12143" spans="8:8">
      <c r="H12143" s="12"/>
    </row>
    <row r="12144" spans="8:8">
      <c r="H12144" s="12"/>
    </row>
    <row r="12145" spans="8:8">
      <c r="H12145" s="12"/>
    </row>
    <row r="12146" spans="8:8">
      <c r="H12146" s="12"/>
    </row>
    <row r="12147" spans="8:8">
      <c r="H12147" s="12"/>
    </row>
    <row r="12148" spans="8:8">
      <c r="H12148" s="12"/>
    </row>
    <row r="12149" spans="8:8">
      <c r="H12149" s="12"/>
    </row>
    <row r="12150" spans="8:8">
      <c r="H12150" s="12"/>
    </row>
    <row r="12151" spans="8:8">
      <c r="H12151" s="12"/>
    </row>
    <row r="12152" spans="8:8">
      <c r="H12152" s="12"/>
    </row>
    <row r="12153" spans="8:8">
      <c r="H12153" s="12"/>
    </row>
    <row r="12154" spans="8:8">
      <c r="H12154" s="12"/>
    </row>
    <row r="12155" spans="8:8">
      <c r="H12155" s="12"/>
    </row>
    <row r="12156" spans="8:8">
      <c r="H12156" s="12"/>
    </row>
    <row r="12157" spans="8:8">
      <c r="H12157" s="12"/>
    </row>
    <row r="12158" spans="8:8">
      <c r="H12158" s="12"/>
    </row>
    <row r="12159" spans="8:8">
      <c r="H12159" s="12"/>
    </row>
    <row r="12160" spans="8:8">
      <c r="H12160" s="12"/>
    </row>
    <row r="12161" spans="8:8">
      <c r="H12161" s="12"/>
    </row>
    <row r="12162" spans="8:8">
      <c r="H12162" s="12"/>
    </row>
    <row r="12163" spans="8:8">
      <c r="H12163" s="12"/>
    </row>
    <row r="12164" spans="8:8">
      <c r="H12164" s="12"/>
    </row>
    <row r="12165" spans="8:8">
      <c r="H12165" s="12"/>
    </row>
    <row r="12166" spans="8:8">
      <c r="H12166" s="12"/>
    </row>
    <row r="12167" spans="8:8">
      <c r="H12167" s="12"/>
    </row>
    <row r="12168" spans="8:8">
      <c r="H12168" s="12"/>
    </row>
    <row r="12169" spans="8:8">
      <c r="H12169" s="12"/>
    </row>
    <row r="12170" spans="8:8">
      <c r="H12170" s="12"/>
    </row>
    <row r="12171" spans="8:8">
      <c r="H12171" s="12"/>
    </row>
    <row r="12172" spans="8:8">
      <c r="H12172" s="12"/>
    </row>
    <row r="12173" spans="8:8">
      <c r="H12173" s="12"/>
    </row>
    <row r="12174" spans="8:8">
      <c r="H12174" s="12"/>
    </row>
    <row r="12175" spans="8:8">
      <c r="H12175" s="12"/>
    </row>
    <row r="12176" spans="8:8">
      <c r="H12176" s="12"/>
    </row>
    <row r="12177" spans="8:8">
      <c r="H12177" s="12"/>
    </row>
    <row r="12178" spans="8:8">
      <c r="H12178" s="12"/>
    </row>
    <row r="12179" spans="8:8">
      <c r="H12179" s="12"/>
    </row>
    <row r="12180" spans="8:8">
      <c r="H12180" s="12"/>
    </row>
    <row r="12181" spans="8:8">
      <c r="H12181" s="12"/>
    </row>
    <row r="12182" spans="8:8">
      <c r="H12182" s="12"/>
    </row>
    <row r="12183" spans="8:8">
      <c r="H12183" s="12"/>
    </row>
    <row r="12184" spans="8:8">
      <c r="H12184" s="12"/>
    </row>
    <row r="12185" spans="8:8">
      <c r="H12185" s="12"/>
    </row>
    <row r="12186" spans="8:8">
      <c r="H12186" s="12"/>
    </row>
    <row r="12187" spans="8:8">
      <c r="H12187" s="12"/>
    </row>
    <row r="12188" spans="8:8">
      <c r="H12188" s="12"/>
    </row>
    <row r="12189" spans="8:8">
      <c r="H12189" s="12"/>
    </row>
    <row r="12190" spans="8:8">
      <c r="H12190" s="12"/>
    </row>
    <row r="12191" spans="8:8">
      <c r="H12191" s="12"/>
    </row>
    <row r="12192" spans="8:8">
      <c r="H12192" s="12"/>
    </row>
    <row r="12193" spans="8:8">
      <c r="H12193" s="12"/>
    </row>
    <row r="12194" spans="8:8">
      <c r="H12194" s="12"/>
    </row>
    <row r="12195" spans="8:8">
      <c r="H12195" s="12"/>
    </row>
    <row r="12196" spans="8:8">
      <c r="H12196" s="12"/>
    </row>
    <row r="12197" spans="8:8">
      <c r="H12197" s="12"/>
    </row>
    <row r="12198" spans="8:8">
      <c r="H12198" s="12"/>
    </row>
    <row r="12199" spans="8:8">
      <c r="H12199" s="12"/>
    </row>
    <row r="12200" spans="8:8">
      <c r="H12200" s="12"/>
    </row>
    <row r="12201" spans="8:8">
      <c r="H12201" s="12"/>
    </row>
    <row r="12202" spans="8:8">
      <c r="H12202" s="12"/>
    </row>
    <row r="12203" spans="8:8">
      <c r="H12203" s="12"/>
    </row>
    <row r="12204" spans="8:8">
      <c r="H12204" s="12"/>
    </row>
    <row r="12205" spans="8:8">
      <c r="H12205" s="12"/>
    </row>
    <row r="12206" spans="8:8">
      <c r="H12206" s="12"/>
    </row>
    <row r="12207" spans="8:8">
      <c r="H12207" s="12"/>
    </row>
    <row r="12208" spans="8:8">
      <c r="H12208" s="12"/>
    </row>
    <row r="12209" spans="8:8">
      <c r="H12209" s="12"/>
    </row>
    <row r="12210" spans="8:8">
      <c r="H12210" s="12"/>
    </row>
    <row r="12211" spans="8:8">
      <c r="H12211" s="12"/>
    </row>
    <row r="12212" spans="8:8">
      <c r="H12212" s="12"/>
    </row>
    <row r="12213" spans="8:8">
      <c r="H12213" s="12"/>
    </row>
    <row r="12214" spans="8:8">
      <c r="H12214" s="12"/>
    </row>
    <row r="12215" spans="8:8">
      <c r="H12215" s="12"/>
    </row>
    <row r="12216" spans="8:8">
      <c r="H12216" s="12"/>
    </row>
    <row r="12217" spans="8:8">
      <c r="H12217" s="12"/>
    </row>
    <row r="12218" spans="8:8">
      <c r="H12218" s="12"/>
    </row>
    <row r="12219" spans="8:8">
      <c r="H12219" s="12"/>
    </row>
    <row r="12220" spans="8:8">
      <c r="H12220" s="12"/>
    </row>
    <row r="12221" spans="8:8">
      <c r="H12221" s="12"/>
    </row>
    <row r="12222" spans="8:8">
      <c r="H12222" s="12"/>
    </row>
    <row r="12223" spans="8:8">
      <c r="H12223" s="12"/>
    </row>
    <row r="12224" spans="8:8">
      <c r="H12224" s="12"/>
    </row>
    <row r="12225" spans="8:8">
      <c r="H12225" s="12"/>
    </row>
    <row r="12226" spans="8:8">
      <c r="H12226" s="12"/>
    </row>
    <row r="12227" spans="8:8">
      <c r="H12227" s="12"/>
    </row>
    <row r="12228" spans="8:8">
      <c r="H12228" s="12"/>
    </row>
    <row r="12229" spans="8:8">
      <c r="H12229" s="12"/>
    </row>
    <row r="12230" spans="8:8">
      <c r="H12230" s="12"/>
    </row>
    <row r="12231" spans="8:8">
      <c r="H12231" s="12"/>
    </row>
    <row r="12232" spans="8:8">
      <c r="H12232" s="12"/>
    </row>
    <row r="12233" spans="8:8">
      <c r="H12233" s="12"/>
    </row>
    <row r="12234" spans="8:8">
      <c r="H12234" s="12"/>
    </row>
    <row r="12235" spans="8:8">
      <c r="H12235" s="12"/>
    </row>
    <row r="12236" spans="8:8">
      <c r="H12236" s="12"/>
    </row>
    <row r="12237" spans="8:8">
      <c r="H12237" s="12"/>
    </row>
    <row r="12238" spans="8:8">
      <c r="H12238" s="12"/>
    </row>
    <row r="12239" spans="8:8">
      <c r="H12239" s="12"/>
    </row>
    <row r="12240" spans="8:8">
      <c r="H12240" s="12"/>
    </row>
    <row r="12241" spans="8:8">
      <c r="H12241" s="12"/>
    </row>
    <row r="12242" spans="8:8">
      <c r="H12242" s="12"/>
    </row>
    <row r="12243" spans="8:8">
      <c r="H12243" s="12"/>
    </row>
    <row r="12244" spans="8:8">
      <c r="H12244" s="12"/>
    </row>
    <row r="12245" spans="8:8">
      <c r="H12245" s="12"/>
    </row>
    <row r="12246" spans="8:8">
      <c r="H12246" s="12"/>
    </row>
    <row r="12247" spans="8:8">
      <c r="H12247" s="12"/>
    </row>
    <row r="12248" spans="8:8">
      <c r="H12248" s="12"/>
    </row>
    <row r="12249" spans="8:8">
      <c r="H12249" s="12"/>
    </row>
    <row r="12250" spans="8:8">
      <c r="H12250" s="12"/>
    </row>
    <row r="12251" spans="8:8">
      <c r="H12251" s="12"/>
    </row>
    <row r="12252" spans="8:8">
      <c r="H12252" s="12"/>
    </row>
    <row r="12253" spans="8:8">
      <c r="H12253" s="12"/>
    </row>
    <row r="12254" spans="8:8">
      <c r="H12254" s="12"/>
    </row>
    <row r="12255" spans="8:8">
      <c r="H12255" s="12"/>
    </row>
    <row r="12256" spans="8:8">
      <c r="H12256" s="12"/>
    </row>
    <row r="12257" spans="8:8">
      <c r="H12257" s="12"/>
    </row>
    <row r="12258" spans="8:8">
      <c r="H12258" s="12"/>
    </row>
    <row r="12259" spans="8:8">
      <c r="H12259" s="12"/>
    </row>
    <row r="12260" spans="8:8">
      <c r="H12260" s="12"/>
    </row>
    <row r="12261" spans="8:8">
      <c r="H12261" s="12"/>
    </row>
    <row r="12262" spans="8:8">
      <c r="H12262" s="12"/>
    </row>
    <row r="12263" spans="8:8">
      <c r="H12263" s="12"/>
    </row>
    <row r="12264" spans="8:8">
      <c r="H12264" s="12"/>
    </row>
    <row r="12265" spans="8:8">
      <c r="H12265" s="12"/>
    </row>
    <row r="12266" spans="8:8">
      <c r="H12266" s="12"/>
    </row>
    <row r="12267" spans="8:8">
      <c r="H12267" s="12"/>
    </row>
    <row r="12268" spans="8:8">
      <c r="H12268" s="12"/>
    </row>
    <row r="12269" spans="8:8">
      <c r="H12269" s="12"/>
    </row>
    <row r="12270" spans="8:8">
      <c r="H12270" s="12"/>
    </row>
    <row r="12271" spans="8:8">
      <c r="H12271" s="12"/>
    </row>
    <row r="12272" spans="8:8">
      <c r="H12272" s="12"/>
    </row>
    <row r="12273" spans="8:8">
      <c r="H12273" s="12"/>
    </row>
    <row r="12274" spans="8:8">
      <c r="H12274" s="12"/>
    </row>
    <row r="12275" spans="8:8">
      <c r="H12275" s="12"/>
    </row>
    <row r="12276" spans="8:8">
      <c r="H12276" s="12"/>
    </row>
    <row r="12277" spans="8:8">
      <c r="H12277" s="12"/>
    </row>
    <row r="12278" spans="8:8">
      <c r="H12278" s="12"/>
    </row>
    <row r="12279" spans="8:8">
      <c r="H12279" s="12"/>
    </row>
    <row r="12280" spans="8:8">
      <c r="H12280" s="12"/>
    </row>
    <row r="12281" spans="8:8">
      <c r="H12281" s="12"/>
    </row>
    <row r="12282" spans="8:8">
      <c r="H12282" s="12"/>
    </row>
    <row r="12283" spans="8:8">
      <c r="H12283" s="12"/>
    </row>
    <row r="12284" spans="8:8">
      <c r="H12284" s="12"/>
    </row>
    <row r="12285" spans="8:8">
      <c r="H12285" s="12"/>
    </row>
    <row r="12286" spans="8:8">
      <c r="H12286" s="12"/>
    </row>
    <row r="12287" spans="8:8">
      <c r="H12287" s="12"/>
    </row>
    <row r="12288" spans="8:8">
      <c r="H12288" s="12"/>
    </row>
    <row r="12289" spans="8:8">
      <c r="H12289" s="12"/>
    </row>
    <row r="12290" spans="8:8">
      <c r="H12290" s="12"/>
    </row>
    <row r="12291" spans="8:8">
      <c r="H12291" s="12"/>
    </row>
    <row r="12292" spans="8:8">
      <c r="H12292" s="12"/>
    </row>
    <row r="12293" spans="8:8">
      <c r="H12293" s="12"/>
    </row>
    <row r="12294" spans="8:8">
      <c r="H12294" s="12"/>
    </row>
    <row r="12295" spans="8:8">
      <c r="H12295" s="12"/>
    </row>
    <row r="12296" spans="8:8">
      <c r="H12296" s="12"/>
    </row>
    <row r="12297" spans="8:8">
      <c r="H12297" s="12"/>
    </row>
    <row r="12298" spans="8:8">
      <c r="H12298" s="12"/>
    </row>
    <row r="12299" spans="8:8">
      <c r="H12299" s="12"/>
    </row>
    <row r="12300" spans="8:8">
      <c r="H12300" s="12"/>
    </row>
    <row r="12301" spans="8:8">
      <c r="H12301" s="12"/>
    </row>
    <row r="12302" spans="8:8">
      <c r="H12302" s="12"/>
    </row>
    <row r="12303" spans="8:8">
      <c r="H12303" s="12"/>
    </row>
    <row r="12304" spans="8:8">
      <c r="H12304" s="12"/>
    </row>
    <row r="12305" spans="8:8">
      <c r="H12305" s="12"/>
    </row>
    <row r="12306" spans="8:8">
      <c r="H12306" s="12"/>
    </row>
    <row r="12307" spans="8:8">
      <c r="H12307" s="12"/>
    </row>
    <row r="12308" spans="8:8">
      <c r="H12308" s="12"/>
    </row>
    <row r="12309" spans="8:8">
      <c r="H12309" s="12"/>
    </row>
    <row r="12310" spans="8:8">
      <c r="H12310" s="12"/>
    </row>
    <row r="12311" spans="8:8">
      <c r="H12311" s="12"/>
    </row>
    <row r="12312" spans="8:8">
      <c r="H12312" s="12"/>
    </row>
    <row r="12313" spans="8:8">
      <c r="H12313" s="12"/>
    </row>
    <row r="12314" spans="8:8">
      <c r="H12314" s="12"/>
    </row>
    <row r="12315" spans="8:8">
      <c r="H12315" s="12"/>
    </row>
    <row r="12316" spans="8:8">
      <c r="H12316" s="12"/>
    </row>
    <row r="12317" spans="8:8">
      <c r="H12317" s="12"/>
    </row>
    <row r="12318" spans="8:8">
      <c r="H12318" s="12"/>
    </row>
    <row r="12319" spans="8:8">
      <c r="H12319" s="12"/>
    </row>
    <row r="12320" spans="8:8">
      <c r="H12320" s="12"/>
    </row>
    <row r="12321" spans="8:8">
      <c r="H12321" s="12"/>
    </row>
    <row r="12322" spans="8:8">
      <c r="H12322" s="12"/>
    </row>
    <row r="12323" spans="8:8">
      <c r="H12323" s="12"/>
    </row>
    <row r="12324" spans="8:8">
      <c r="H12324" s="12"/>
    </row>
    <row r="12325" spans="8:8">
      <c r="H12325" s="12"/>
    </row>
    <row r="12326" spans="8:8">
      <c r="H12326" s="12"/>
    </row>
    <row r="12327" spans="8:8">
      <c r="H12327" s="12"/>
    </row>
    <row r="12328" spans="8:8">
      <c r="H12328" s="12"/>
    </row>
    <row r="12329" spans="8:8">
      <c r="H12329" s="12"/>
    </row>
    <row r="12330" spans="8:8">
      <c r="H12330" s="12"/>
    </row>
    <row r="12331" spans="8:8">
      <c r="H12331" s="12"/>
    </row>
    <row r="12332" spans="8:8">
      <c r="H12332" s="12"/>
    </row>
    <row r="12333" spans="8:8">
      <c r="H12333" s="12"/>
    </row>
    <row r="12334" spans="8:8">
      <c r="H12334" s="12"/>
    </row>
    <row r="12335" spans="8:8">
      <c r="H12335" s="12"/>
    </row>
    <row r="12336" spans="8:8">
      <c r="H12336" s="12"/>
    </row>
    <row r="12337" spans="8:8">
      <c r="H12337" s="12"/>
    </row>
    <row r="12338" spans="8:8">
      <c r="H12338" s="12"/>
    </row>
    <row r="12339" spans="8:8">
      <c r="H12339" s="12"/>
    </row>
    <row r="12340" spans="8:8">
      <c r="H12340" s="12"/>
    </row>
    <row r="12341" spans="8:8">
      <c r="H12341" s="12"/>
    </row>
    <row r="12342" spans="8:8">
      <c r="H12342" s="12"/>
    </row>
    <row r="12343" spans="8:8">
      <c r="H12343" s="12"/>
    </row>
    <row r="12344" spans="8:8">
      <c r="H12344" s="12"/>
    </row>
    <row r="12345" spans="8:8">
      <c r="H12345" s="12"/>
    </row>
    <row r="12346" spans="8:8">
      <c r="H12346" s="12"/>
    </row>
    <row r="12347" spans="8:8">
      <c r="H12347" s="12"/>
    </row>
    <row r="12348" spans="8:8">
      <c r="H12348" s="12"/>
    </row>
    <row r="12349" spans="8:8">
      <c r="H12349" s="12"/>
    </row>
    <row r="12350" spans="8:8">
      <c r="H12350" s="12"/>
    </row>
    <row r="12351" spans="8:8">
      <c r="H12351" s="12"/>
    </row>
    <row r="12352" spans="8:8">
      <c r="H12352" s="12"/>
    </row>
    <row r="12353" spans="8:8">
      <c r="H12353" s="12"/>
    </row>
    <row r="12354" spans="8:8">
      <c r="H12354" s="12"/>
    </row>
    <row r="12355" spans="8:8">
      <c r="H12355" s="12"/>
    </row>
    <row r="12356" spans="8:8">
      <c r="H12356" s="12"/>
    </row>
    <row r="12357" spans="8:8">
      <c r="H12357" s="12"/>
    </row>
    <row r="12358" spans="8:8">
      <c r="H12358" s="12"/>
    </row>
    <row r="12359" spans="8:8">
      <c r="H12359" s="12"/>
    </row>
    <row r="12360" spans="8:8">
      <c r="H12360" s="12"/>
    </row>
    <row r="12361" spans="8:8">
      <c r="H12361" s="12"/>
    </row>
    <row r="12362" spans="8:8">
      <c r="H12362" s="12"/>
    </row>
    <row r="12363" spans="8:8">
      <c r="H12363" s="12"/>
    </row>
    <row r="12364" spans="8:8">
      <c r="H12364" s="12"/>
    </row>
    <row r="12365" spans="8:8">
      <c r="H12365" s="12"/>
    </row>
    <row r="12366" spans="8:8">
      <c r="H12366" s="12"/>
    </row>
    <row r="12367" spans="8:8">
      <c r="H12367" s="12"/>
    </row>
    <row r="12368" spans="8:8">
      <c r="H12368" s="12"/>
    </row>
    <row r="12369" spans="8:8">
      <c r="H12369" s="12"/>
    </row>
    <row r="12370" spans="8:8">
      <c r="H12370" s="12"/>
    </row>
    <row r="12371" spans="8:8">
      <c r="H12371" s="12"/>
    </row>
    <row r="12372" spans="8:8">
      <c r="H12372" s="12"/>
    </row>
    <row r="12373" spans="8:8">
      <c r="H12373" s="12"/>
    </row>
    <row r="12374" spans="8:8">
      <c r="H12374" s="12"/>
    </row>
    <row r="12375" spans="8:8">
      <c r="H12375" s="12"/>
    </row>
    <row r="12376" spans="8:8">
      <c r="H12376" s="12"/>
    </row>
    <row r="12377" spans="8:8">
      <c r="H12377" s="12"/>
    </row>
    <row r="12378" spans="8:8">
      <c r="H12378" s="12"/>
    </row>
    <row r="12379" spans="8:8">
      <c r="H12379" s="12"/>
    </row>
    <row r="12380" spans="8:8">
      <c r="H12380" s="12"/>
    </row>
    <row r="12381" spans="8:8">
      <c r="H12381" s="12"/>
    </row>
    <row r="12382" spans="8:8">
      <c r="H12382" s="12"/>
    </row>
    <row r="12383" spans="8:8">
      <c r="H12383" s="12"/>
    </row>
    <row r="12384" spans="8:8">
      <c r="H12384" s="12"/>
    </row>
    <row r="12385" spans="8:8">
      <c r="H12385" s="12"/>
    </row>
    <row r="12386" spans="8:8">
      <c r="H12386" s="12"/>
    </row>
    <row r="12387" spans="8:8">
      <c r="H12387" s="12"/>
    </row>
    <row r="12388" spans="8:8">
      <c r="H12388" s="12"/>
    </row>
    <row r="12389" spans="8:8">
      <c r="H12389" s="12"/>
    </row>
    <row r="12390" spans="8:8">
      <c r="H12390" s="12"/>
    </row>
    <row r="12391" spans="8:8">
      <c r="H12391" s="12"/>
    </row>
    <row r="12392" spans="8:8">
      <c r="H12392" s="12"/>
    </row>
    <row r="12393" spans="8:8">
      <c r="H12393" s="12"/>
    </row>
    <row r="12394" spans="8:8">
      <c r="H12394" s="12"/>
    </row>
    <row r="12395" spans="8:8">
      <c r="H12395" s="12"/>
    </row>
    <row r="12396" spans="8:8">
      <c r="H12396" s="12"/>
    </row>
    <row r="12397" spans="8:8">
      <c r="H12397" s="12"/>
    </row>
    <row r="12398" spans="8:8">
      <c r="H12398" s="12"/>
    </row>
    <row r="12399" spans="8:8">
      <c r="H12399" s="12"/>
    </row>
    <row r="12400" spans="8:8">
      <c r="H12400" s="12"/>
    </row>
    <row r="12401" spans="8:8">
      <c r="H12401" s="12"/>
    </row>
    <row r="12402" spans="8:8">
      <c r="H12402" s="12"/>
    </row>
    <row r="12403" spans="8:8">
      <c r="H12403" s="12"/>
    </row>
    <row r="12404" spans="8:8">
      <c r="H12404" s="12"/>
    </row>
    <row r="12405" spans="8:8">
      <c r="H12405" s="12"/>
    </row>
    <row r="12406" spans="8:8">
      <c r="H12406" s="12"/>
    </row>
    <row r="12407" spans="8:8">
      <c r="H12407" s="12"/>
    </row>
    <row r="12408" spans="8:8">
      <c r="H12408" s="12"/>
    </row>
    <row r="12409" spans="8:8">
      <c r="H12409" s="12"/>
    </row>
    <row r="12410" spans="8:8">
      <c r="H12410" s="12"/>
    </row>
    <row r="12411" spans="8:8">
      <c r="H12411" s="12"/>
    </row>
    <row r="12412" spans="8:8">
      <c r="H12412" s="12"/>
    </row>
    <row r="12413" spans="8:8">
      <c r="H12413" s="12"/>
    </row>
    <row r="12414" spans="8:8">
      <c r="H12414" s="12"/>
    </row>
    <row r="12415" spans="8:8">
      <c r="H12415" s="12"/>
    </row>
    <row r="12416" spans="8:8">
      <c r="H12416" s="12"/>
    </row>
    <row r="12417" spans="8:8">
      <c r="H12417" s="12"/>
    </row>
    <row r="12418" spans="8:8">
      <c r="H12418" s="12"/>
    </row>
    <row r="12419" spans="8:8">
      <c r="H12419" s="12"/>
    </row>
    <row r="12420" spans="8:8">
      <c r="H12420" s="12"/>
    </row>
    <row r="12421" spans="8:8">
      <c r="H12421" s="12"/>
    </row>
    <row r="12422" spans="8:8">
      <c r="H12422" s="12"/>
    </row>
    <row r="12423" spans="8:8">
      <c r="H12423" s="12"/>
    </row>
    <row r="12424" spans="8:8">
      <c r="H12424" s="12"/>
    </row>
    <row r="12425" spans="8:8">
      <c r="H12425" s="12"/>
    </row>
    <row r="12426" spans="8:8">
      <c r="H12426" s="12"/>
    </row>
    <row r="12427" spans="8:8">
      <c r="H12427" s="12"/>
    </row>
    <row r="12428" spans="8:8">
      <c r="H12428" s="12"/>
    </row>
    <row r="12429" spans="8:8">
      <c r="H12429" s="12"/>
    </row>
    <row r="12430" spans="8:8">
      <c r="H12430" s="12"/>
    </row>
    <row r="12431" spans="8:8">
      <c r="H12431" s="12"/>
    </row>
    <row r="12432" spans="8:8">
      <c r="H12432" s="12"/>
    </row>
    <row r="12433" spans="8:8">
      <c r="H12433" s="12"/>
    </row>
    <row r="12434" spans="8:8">
      <c r="H12434" s="12"/>
    </row>
    <row r="12435" spans="8:8">
      <c r="H12435" s="12"/>
    </row>
    <row r="12436" spans="8:8">
      <c r="H12436" s="12"/>
    </row>
    <row r="12437" spans="8:8">
      <c r="H12437" s="12"/>
    </row>
    <row r="12438" spans="8:8">
      <c r="H12438" s="12"/>
    </row>
    <row r="12439" spans="8:8">
      <c r="H12439" s="12"/>
    </row>
    <row r="12440" spans="8:8">
      <c r="H12440" s="12"/>
    </row>
    <row r="12441" spans="8:8">
      <c r="H12441" s="12"/>
    </row>
    <row r="12442" spans="8:8">
      <c r="H12442" s="12"/>
    </row>
    <row r="12443" spans="8:8">
      <c r="H12443" s="12"/>
    </row>
    <row r="12444" spans="8:8">
      <c r="H12444" s="12"/>
    </row>
    <row r="12445" spans="8:8">
      <c r="H12445" s="12"/>
    </row>
    <row r="12446" spans="8:8">
      <c r="H12446" s="12"/>
    </row>
    <row r="12447" spans="8:8">
      <c r="H12447" s="12"/>
    </row>
    <row r="12448" spans="8:8">
      <c r="H12448" s="12"/>
    </row>
    <row r="12449" spans="8:8">
      <c r="H12449" s="12"/>
    </row>
    <row r="12450" spans="8:8">
      <c r="H12450" s="12"/>
    </row>
    <row r="12451" spans="8:8">
      <c r="H12451" s="12"/>
    </row>
    <row r="12452" spans="8:8">
      <c r="H12452" s="12"/>
    </row>
    <row r="12453" spans="8:8">
      <c r="H12453" s="12"/>
    </row>
    <row r="12454" spans="8:8">
      <c r="H12454" s="12"/>
    </row>
    <row r="12455" spans="8:8">
      <c r="H12455" s="12"/>
    </row>
    <row r="12456" spans="8:8">
      <c r="H12456" s="12"/>
    </row>
    <row r="12457" spans="8:8">
      <c r="H12457" s="12"/>
    </row>
    <row r="12458" spans="8:8">
      <c r="H12458" s="12"/>
    </row>
    <row r="12459" spans="8:8">
      <c r="H12459" s="12"/>
    </row>
    <row r="12460" spans="8:8">
      <c r="H12460" s="12"/>
    </row>
    <row r="12461" spans="8:8">
      <c r="H12461" s="12"/>
    </row>
    <row r="12462" spans="8:8">
      <c r="H12462" s="12"/>
    </row>
    <row r="12463" spans="8:8">
      <c r="H12463" s="12"/>
    </row>
    <row r="12464" spans="8:8">
      <c r="H12464" s="12"/>
    </row>
    <row r="12465" spans="8:8">
      <c r="H12465" s="12"/>
    </row>
    <row r="12466" spans="8:8">
      <c r="H12466" s="12"/>
    </row>
    <row r="12467" spans="8:8">
      <c r="H12467" s="12"/>
    </row>
    <row r="12468" spans="8:8">
      <c r="H12468" s="12"/>
    </row>
    <row r="12469" spans="8:8">
      <c r="H12469" s="12"/>
    </row>
    <row r="12470" spans="8:8">
      <c r="H12470" s="12"/>
    </row>
    <row r="12471" spans="8:8">
      <c r="H12471" s="12"/>
    </row>
    <row r="12472" spans="8:8">
      <c r="H12472" s="12"/>
    </row>
    <row r="12473" spans="8:8">
      <c r="H12473" s="12"/>
    </row>
    <row r="12474" spans="8:8">
      <c r="H12474" s="12"/>
    </row>
    <row r="12475" spans="8:8">
      <c r="H12475" s="12"/>
    </row>
    <row r="12476" spans="8:8">
      <c r="H12476" s="12"/>
    </row>
    <row r="12477" spans="8:8">
      <c r="H12477" s="12"/>
    </row>
    <row r="12478" spans="8:8">
      <c r="H12478" s="12"/>
    </row>
    <row r="12479" spans="8:8">
      <c r="H12479" s="12"/>
    </row>
    <row r="12480" spans="8:8">
      <c r="H12480" s="12"/>
    </row>
    <row r="12481" spans="8:8">
      <c r="H12481" s="12"/>
    </row>
    <row r="12482" spans="8:8">
      <c r="H12482" s="12"/>
    </row>
    <row r="12483" spans="8:8">
      <c r="H12483" s="12"/>
    </row>
    <row r="12484" spans="8:8">
      <c r="H12484" s="12"/>
    </row>
    <row r="12485" spans="8:8">
      <c r="H12485" s="12"/>
    </row>
    <row r="12486" spans="8:8">
      <c r="H12486" s="12"/>
    </row>
    <row r="12487" spans="8:8">
      <c r="H12487" s="12"/>
    </row>
    <row r="12488" spans="8:8">
      <c r="H12488" s="12"/>
    </row>
    <row r="12489" spans="8:8">
      <c r="H12489" s="12"/>
    </row>
    <row r="12490" spans="8:8">
      <c r="H12490" s="12"/>
    </row>
    <row r="12491" spans="8:8">
      <c r="H12491" s="12"/>
    </row>
    <row r="12492" spans="8:8">
      <c r="H12492" s="12"/>
    </row>
    <row r="12493" spans="8:8">
      <c r="H12493" s="12"/>
    </row>
    <row r="12494" spans="8:8">
      <c r="H12494" s="12"/>
    </row>
    <row r="12495" spans="8:8">
      <c r="H12495" s="12"/>
    </row>
    <row r="12496" spans="8:8">
      <c r="H12496" s="12"/>
    </row>
    <row r="12497" spans="8:8">
      <c r="H12497" s="12"/>
    </row>
    <row r="12498" spans="8:8">
      <c r="H12498" s="12"/>
    </row>
    <row r="12499" spans="8:8">
      <c r="H12499" s="12"/>
    </row>
    <row r="12500" spans="8:8">
      <c r="H12500" s="12"/>
    </row>
    <row r="12501" spans="8:8">
      <c r="H12501" s="12"/>
    </row>
    <row r="12502" spans="8:8">
      <c r="H12502" s="12"/>
    </row>
    <row r="12503" spans="8:8">
      <c r="H12503" s="12"/>
    </row>
    <row r="12504" spans="8:8">
      <c r="H12504" s="12"/>
    </row>
    <row r="12505" spans="8:8">
      <c r="H12505" s="12"/>
    </row>
    <row r="12506" spans="8:8">
      <c r="H12506" s="12"/>
    </row>
    <row r="12507" spans="8:8">
      <c r="H12507" s="12"/>
    </row>
    <row r="12508" spans="8:8">
      <c r="H12508" s="12"/>
    </row>
    <row r="12509" spans="8:8">
      <c r="H12509" s="12"/>
    </row>
    <row r="12510" spans="8:8">
      <c r="H12510" s="12"/>
    </row>
    <row r="12511" spans="8:8">
      <c r="H12511" s="12"/>
    </row>
    <row r="12512" spans="8:8">
      <c r="H12512" s="12"/>
    </row>
    <row r="12513" spans="8:8">
      <c r="H12513" s="12"/>
    </row>
    <row r="12514" spans="8:8">
      <c r="H12514" s="12"/>
    </row>
    <row r="12515" spans="8:8">
      <c r="H12515" s="12"/>
    </row>
    <row r="12516" spans="8:8">
      <c r="H12516" s="12"/>
    </row>
    <row r="12517" spans="8:8">
      <c r="H12517" s="12"/>
    </row>
    <row r="12518" spans="8:8">
      <c r="H12518" s="12"/>
    </row>
    <row r="12519" spans="8:8">
      <c r="H12519" s="12"/>
    </row>
    <row r="12520" spans="8:8">
      <c r="H12520" s="12"/>
    </row>
    <row r="12521" spans="8:8">
      <c r="H12521" s="12"/>
    </row>
    <row r="12522" spans="8:8">
      <c r="H12522" s="12"/>
    </row>
    <row r="12523" spans="8:8">
      <c r="H12523" s="12"/>
    </row>
    <row r="12524" spans="8:8">
      <c r="H12524" s="12"/>
    </row>
    <row r="12525" spans="8:8">
      <c r="H12525" s="12"/>
    </row>
    <row r="12526" spans="8:8">
      <c r="H12526" s="12"/>
    </row>
    <row r="12527" spans="8:8">
      <c r="H12527" s="12"/>
    </row>
    <row r="12528" spans="8:8">
      <c r="H12528" s="12"/>
    </row>
    <row r="12529" spans="8:8">
      <c r="H12529" s="12"/>
    </row>
    <row r="12530" spans="8:8">
      <c r="H12530" s="12"/>
    </row>
    <row r="12531" spans="8:8">
      <c r="H12531" s="12"/>
    </row>
    <row r="12532" spans="8:8">
      <c r="H12532" s="12"/>
    </row>
    <row r="12533" spans="8:8">
      <c r="H12533" s="12"/>
    </row>
    <row r="12534" spans="8:8">
      <c r="H12534" s="12"/>
    </row>
    <row r="12535" spans="8:8">
      <c r="H12535" s="12"/>
    </row>
    <row r="12536" spans="8:8">
      <c r="H12536" s="12"/>
    </row>
    <row r="12537" spans="8:8">
      <c r="H12537" s="12"/>
    </row>
    <row r="12538" spans="8:8">
      <c r="H12538" s="12"/>
    </row>
    <row r="12539" spans="8:8">
      <c r="H12539" s="12"/>
    </row>
    <row r="12540" spans="8:8">
      <c r="H12540" s="12"/>
    </row>
    <row r="12541" spans="8:8">
      <c r="H12541" s="12"/>
    </row>
    <row r="12542" spans="8:8">
      <c r="H12542" s="12"/>
    </row>
    <row r="12543" spans="8:8">
      <c r="H12543" s="12"/>
    </row>
    <row r="12544" spans="8:8">
      <c r="H12544" s="12"/>
    </row>
    <row r="12545" spans="8:8">
      <c r="H12545" s="12"/>
    </row>
    <row r="12546" spans="8:8">
      <c r="H12546" s="12"/>
    </row>
    <row r="12547" spans="8:8">
      <c r="H12547" s="12"/>
    </row>
    <row r="12548" spans="8:8">
      <c r="H12548" s="12"/>
    </row>
    <row r="12549" spans="8:8">
      <c r="H12549" s="12"/>
    </row>
    <row r="12550" spans="8:8">
      <c r="H12550" s="12"/>
    </row>
    <row r="12551" spans="8:8">
      <c r="H12551" s="12"/>
    </row>
    <row r="12552" spans="8:8">
      <c r="H12552" s="12"/>
    </row>
    <row r="12553" spans="8:8">
      <c r="H12553" s="12"/>
    </row>
    <row r="12554" spans="8:8">
      <c r="H12554" s="12"/>
    </row>
    <row r="12555" spans="8:8">
      <c r="H12555" s="12"/>
    </row>
    <row r="12556" spans="8:8">
      <c r="H12556" s="12"/>
    </row>
    <row r="12557" spans="8:8">
      <c r="H12557" s="12"/>
    </row>
    <row r="12558" spans="8:8">
      <c r="H12558" s="12"/>
    </row>
    <row r="12559" spans="8:8">
      <c r="H12559" s="12"/>
    </row>
    <row r="12560" spans="8:8">
      <c r="H12560" s="12"/>
    </row>
    <row r="12561" spans="8:8">
      <c r="H12561" s="12"/>
    </row>
    <row r="12562" spans="8:8">
      <c r="H12562" s="12"/>
    </row>
    <row r="12563" spans="8:8">
      <c r="H12563" s="12"/>
    </row>
    <row r="12564" spans="8:8">
      <c r="H12564" s="12"/>
    </row>
    <row r="12565" spans="8:8">
      <c r="H12565" s="12"/>
    </row>
    <row r="12566" spans="8:8">
      <c r="H12566" s="12"/>
    </row>
    <row r="12567" spans="8:8">
      <c r="H12567" s="12"/>
    </row>
    <row r="12568" spans="8:8">
      <c r="H12568" s="12"/>
    </row>
    <row r="12569" spans="8:8">
      <c r="H12569" s="12"/>
    </row>
    <row r="12570" spans="8:8">
      <c r="H12570" s="12"/>
    </row>
    <row r="12571" spans="8:8">
      <c r="H12571" s="12"/>
    </row>
    <row r="12572" spans="8:8">
      <c r="H12572" s="12"/>
    </row>
    <row r="12573" spans="8:8">
      <c r="H12573" s="12"/>
    </row>
    <row r="12574" spans="8:8">
      <c r="H12574" s="12"/>
    </row>
    <row r="12575" spans="8:8">
      <c r="H12575" s="12"/>
    </row>
    <row r="12576" spans="8:8">
      <c r="H12576" s="12"/>
    </row>
    <row r="12577" spans="8:8">
      <c r="H12577" s="12"/>
    </row>
    <row r="12578" spans="8:8">
      <c r="H12578" s="12"/>
    </row>
    <row r="12579" spans="8:8">
      <c r="H12579" s="12"/>
    </row>
    <row r="12580" spans="8:8">
      <c r="H12580" s="12"/>
    </row>
    <row r="12581" spans="8:8">
      <c r="H12581" s="12"/>
    </row>
    <row r="12582" spans="8:8">
      <c r="H12582" s="12"/>
    </row>
    <row r="12583" spans="8:8">
      <c r="H12583" s="12"/>
    </row>
    <row r="12584" spans="8:8">
      <c r="H12584" s="12"/>
    </row>
    <row r="12585" spans="8:8">
      <c r="H12585" s="12"/>
    </row>
    <row r="12586" spans="8:8">
      <c r="H12586" s="12"/>
    </row>
    <row r="12587" spans="8:8">
      <c r="H12587" s="12"/>
    </row>
    <row r="12588" spans="8:8">
      <c r="H12588" s="12"/>
    </row>
    <row r="12589" spans="8:8">
      <c r="H12589" s="12"/>
    </row>
    <row r="12590" spans="8:8">
      <c r="H12590" s="12"/>
    </row>
    <row r="12591" spans="8:8">
      <c r="H12591" s="12"/>
    </row>
    <row r="12592" spans="8:8">
      <c r="H12592" s="12"/>
    </row>
    <row r="12593" spans="8:8">
      <c r="H12593" s="12"/>
    </row>
    <row r="12594" spans="8:8">
      <c r="H12594" s="12"/>
    </row>
    <row r="12595" spans="8:8">
      <c r="H12595" s="12"/>
    </row>
    <row r="12596" spans="8:8">
      <c r="H12596" s="12"/>
    </row>
    <row r="12597" spans="8:8">
      <c r="H12597" s="12"/>
    </row>
    <row r="12598" spans="8:8">
      <c r="H12598" s="12"/>
    </row>
    <row r="12599" spans="8:8">
      <c r="H12599" s="12"/>
    </row>
    <row r="12600" spans="8:8">
      <c r="H12600" s="12"/>
    </row>
    <row r="12601" spans="8:8">
      <c r="H12601" s="12"/>
    </row>
    <row r="12602" spans="8:8">
      <c r="H12602" s="12"/>
    </row>
    <row r="12603" spans="8:8">
      <c r="H12603" s="12"/>
    </row>
    <row r="12604" spans="8:8">
      <c r="H12604" s="12"/>
    </row>
    <row r="12605" spans="8:8">
      <c r="H12605" s="12"/>
    </row>
    <row r="12606" spans="8:8">
      <c r="H12606" s="12"/>
    </row>
    <row r="12607" spans="8:8">
      <c r="H12607" s="12"/>
    </row>
    <row r="12608" spans="8:8">
      <c r="H12608" s="12"/>
    </row>
    <row r="12609" spans="8:8">
      <c r="H12609" s="12"/>
    </row>
    <row r="12610" spans="8:8">
      <c r="H12610" s="12"/>
    </row>
    <row r="12611" spans="8:8">
      <c r="H12611" s="12"/>
    </row>
    <row r="12612" spans="8:8">
      <c r="H12612" s="12"/>
    </row>
    <row r="12613" spans="8:8">
      <c r="H12613" s="12"/>
    </row>
    <row r="12614" spans="8:8">
      <c r="H12614" s="12"/>
    </row>
    <row r="12615" spans="8:8">
      <c r="H12615" s="12"/>
    </row>
    <row r="12616" spans="8:8">
      <c r="H12616" s="12"/>
    </row>
    <row r="12617" spans="8:8">
      <c r="H12617" s="12"/>
    </row>
    <row r="12618" spans="8:8">
      <c r="H12618" s="12"/>
    </row>
    <row r="12619" spans="8:8">
      <c r="H12619" s="12"/>
    </row>
    <row r="12620" spans="8:8">
      <c r="H12620" s="12"/>
    </row>
    <row r="12621" spans="8:8">
      <c r="H12621" s="12"/>
    </row>
    <row r="12622" spans="8:8">
      <c r="H12622" s="12"/>
    </row>
    <row r="12623" spans="8:8">
      <c r="H12623" s="12"/>
    </row>
    <row r="12624" spans="8:8">
      <c r="H12624" s="12"/>
    </row>
    <row r="12625" spans="8:8">
      <c r="H12625" s="12"/>
    </row>
    <row r="12626" spans="8:8">
      <c r="H12626" s="12"/>
    </row>
    <row r="12627" spans="8:8">
      <c r="H12627" s="12"/>
    </row>
    <row r="12628" spans="8:8">
      <c r="H12628" s="12"/>
    </row>
    <row r="12629" spans="8:8">
      <c r="H12629" s="12"/>
    </row>
    <row r="12630" spans="8:8">
      <c r="H12630" s="12"/>
    </row>
    <row r="12631" spans="8:8">
      <c r="H12631" s="12"/>
    </row>
    <row r="12632" spans="8:8">
      <c r="H12632" s="12"/>
    </row>
    <row r="12633" spans="8:8">
      <c r="H12633" s="12"/>
    </row>
    <row r="12634" spans="8:8">
      <c r="H12634" s="12"/>
    </row>
    <row r="12635" spans="8:8">
      <c r="H12635" s="12"/>
    </row>
    <row r="12636" spans="8:8">
      <c r="H12636" s="12"/>
    </row>
    <row r="12637" spans="8:8">
      <c r="H12637" s="12"/>
    </row>
    <row r="12638" spans="8:8">
      <c r="H12638" s="12"/>
    </row>
    <row r="12639" spans="8:8">
      <c r="H12639" s="12"/>
    </row>
    <row r="12640" spans="8:8">
      <c r="H12640" s="12"/>
    </row>
    <row r="12641" spans="8:8">
      <c r="H12641" s="12"/>
    </row>
    <row r="12642" spans="8:8">
      <c r="H12642" s="12"/>
    </row>
    <row r="12643" spans="8:8">
      <c r="H12643" s="12"/>
    </row>
    <row r="12644" spans="8:8">
      <c r="H12644" s="12"/>
    </row>
    <row r="12645" spans="8:8">
      <c r="H12645" s="12"/>
    </row>
    <row r="12646" spans="8:8">
      <c r="H12646" s="12"/>
    </row>
    <row r="12647" spans="8:8">
      <c r="H12647" s="12"/>
    </row>
    <row r="12648" spans="8:8">
      <c r="H12648" s="12"/>
    </row>
    <row r="12649" spans="8:8">
      <c r="H12649" s="12"/>
    </row>
    <row r="12650" spans="8:8">
      <c r="H12650" s="12"/>
    </row>
    <row r="12651" spans="8:8">
      <c r="H12651" s="12"/>
    </row>
    <row r="12652" spans="8:8">
      <c r="H12652" s="12"/>
    </row>
    <row r="12653" spans="8:8">
      <c r="H12653" s="12"/>
    </row>
    <row r="12654" spans="8:8">
      <c r="H12654" s="12"/>
    </row>
    <row r="12655" spans="8:8">
      <c r="H12655" s="12"/>
    </row>
    <row r="12656" spans="8:8">
      <c r="H12656" s="12"/>
    </row>
    <row r="12657" spans="8:8">
      <c r="H12657" s="12"/>
    </row>
    <row r="12658" spans="8:8">
      <c r="H12658" s="12"/>
    </row>
    <row r="12659" spans="8:8">
      <c r="H12659" s="12"/>
    </row>
    <row r="12660" spans="8:8">
      <c r="H12660" s="12"/>
    </row>
    <row r="12661" spans="8:8">
      <c r="H12661" s="12"/>
    </row>
    <row r="12662" spans="8:8">
      <c r="H12662" s="12"/>
    </row>
    <row r="12663" spans="8:8">
      <c r="H12663" s="12"/>
    </row>
    <row r="12664" spans="8:8">
      <c r="H12664" s="12"/>
    </row>
    <row r="12665" spans="8:8">
      <c r="H12665" s="12"/>
    </row>
    <row r="12666" spans="8:8">
      <c r="H12666" s="12"/>
    </row>
    <row r="12667" spans="8:8">
      <c r="H12667" s="12"/>
    </row>
    <row r="12668" spans="8:8">
      <c r="H12668" s="12"/>
    </row>
    <row r="12669" spans="8:8">
      <c r="H12669" s="12"/>
    </row>
    <row r="12670" spans="8:8">
      <c r="H12670" s="12"/>
    </row>
    <row r="12671" spans="8:8">
      <c r="H12671" s="12"/>
    </row>
    <row r="12672" spans="8:8">
      <c r="H12672" s="12"/>
    </row>
    <row r="12673" spans="8:8">
      <c r="H12673" s="12"/>
    </row>
    <row r="12674" spans="8:8">
      <c r="H12674" s="12"/>
    </row>
    <row r="12675" spans="8:8">
      <c r="H12675" s="12"/>
    </row>
    <row r="12676" spans="8:8">
      <c r="H12676" s="12"/>
    </row>
    <row r="12677" spans="8:8">
      <c r="H12677" s="12"/>
    </row>
    <row r="12678" spans="8:8">
      <c r="H12678" s="12"/>
    </row>
    <row r="12679" spans="8:8">
      <c r="H12679" s="12"/>
    </row>
    <row r="12680" spans="8:8">
      <c r="H12680" s="12"/>
    </row>
    <row r="12681" spans="8:8">
      <c r="H12681" s="12"/>
    </row>
    <row r="12682" spans="8:8">
      <c r="H12682" s="12"/>
    </row>
    <row r="12683" spans="8:8">
      <c r="H12683" s="12"/>
    </row>
    <row r="12684" spans="8:8">
      <c r="H12684" s="12"/>
    </row>
    <row r="12685" spans="8:8">
      <c r="H12685" s="12"/>
    </row>
    <row r="12686" spans="8:8">
      <c r="H12686" s="12"/>
    </row>
    <row r="12687" spans="8:8">
      <c r="H12687" s="12"/>
    </row>
    <row r="12688" spans="8:8">
      <c r="H12688" s="12"/>
    </row>
    <row r="12689" spans="8:8">
      <c r="H12689" s="12"/>
    </row>
    <row r="12690" spans="8:8">
      <c r="H12690" s="12"/>
    </row>
    <row r="12691" spans="8:8">
      <c r="H12691" s="12"/>
    </row>
    <row r="12692" spans="8:8">
      <c r="H12692" s="12"/>
    </row>
    <row r="12693" spans="8:8">
      <c r="H12693" s="12"/>
    </row>
    <row r="12694" spans="8:8">
      <c r="H12694" s="12"/>
    </row>
    <row r="12695" spans="8:8">
      <c r="H12695" s="12"/>
    </row>
    <row r="12696" spans="8:8">
      <c r="H12696" s="12"/>
    </row>
    <row r="12697" spans="8:8">
      <c r="H12697" s="12"/>
    </row>
    <row r="12698" spans="8:8">
      <c r="H12698" s="12"/>
    </row>
    <row r="12699" spans="8:8">
      <c r="H12699" s="12"/>
    </row>
    <row r="12700" spans="8:8">
      <c r="H12700" s="12"/>
    </row>
    <row r="12701" spans="8:8">
      <c r="H12701" s="12"/>
    </row>
    <row r="12702" spans="8:8">
      <c r="H12702" s="12"/>
    </row>
    <row r="12703" spans="8:8">
      <c r="H12703" s="12"/>
    </row>
    <row r="12704" spans="8:8">
      <c r="H12704" s="12"/>
    </row>
    <row r="12705" spans="8:8">
      <c r="H12705" s="12"/>
    </row>
    <row r="12706" spans="8:8">
      <c r="H12706" s="12"/>
    </row>
    <row r="12707" spans="8:8">
      <c r="H12707" s="12"/>
    </row>
    <row r="12708" spans="8:8">
      <c r="H12708" s="12"/>
    </row>
    <row r="12709" spans="8:8">
      <c r="H12709" s="12"/>
    </row>
    <row r="12710" spans="8:8">
      <c r="H12710" s="12"/>
    </row>
    <row r="12711" spans="8:8">
      <c r="H12711" s="12"/>
    </row>
    <row r="12712" spans="8:8">
      <c r="H12712" s="12"/>
    </row>
    <row r="12713" spans="8:8">
      <c r="H12713" s="12"/>
    </row>
    <row r="12714" spans="8:8">
      <c r="H12714" s="12"/>
    </row>
    <row r="12715" spans="8:8">
      <c r="H12715" s="12"/>
    </row>
    <row r="12716" spans="8:8">
      <c r="H12716" s="12"/>
    </row>
    <row r="12717" spans="8:8">
      <c r="H12717" s="12"/>
    </row>
    <row r="12718" spans="8:8">
      <c r="H12718" s="12"/>
    </row>
    <row r="12719" spans="8:8">
      <c r="H12719" s="12"/>
    </row>
    <row r="12720" spans="8:8">
      <c r="H12720" s="12"/>
    </row>
    <row r="12721" spans="8:8">
      <c r="H12721" s="12"/>
    </row>
    <row r="12722" spans="8:8">
      <c r="H12722" s="12"/>
    </row>
    <row r="12723" spans="8:8">
      <c r="H12723" s="12"/>
    </row>
    <row r="12724" spans="8:8">
      <c r="H12724" s="12"/>
    </row>
    <row r="12725" spans="8:8">
      <c r="H12725" s="12"/>
    </row>
    <row r="12726" spans="8:8">
      <c r="H12726" s="12"/>
    </row>
    <row r="12727" spans="8:8">
      <c r="H12727" s="12"/>
    </row>
    <row r="12728" spans="8:8">
      <c r="H12728" s="12"/>
    </row>
    <row r="12729" spans="8:8">
      <c r="H12729" s="12"/>
    </row>
    <row r="12730" spans="8:8">
      <c r="H12730" s="12"/>
    </row>
    <row r="12731" spans="8:8">
      <c r="H12731" s="12"/>
    </row>
    <row r="12732" spans="8:8">
      <c r="H12732" s="12"/>
    </row>
    <row r="12733" spans="8:8">
      <c r="H12733" s="12"/>
    </row>
    <row r="12734" spans="8:8">
      <c r="H12734" s="12"/>
    </row>
    <row r="12735" spans="8:8">
      <c r="H12735" s="12"/>
    </row>
    <row r="12736" spans="8:8">
      <c r="H12736" s="12"/>
    </row>
    <row r="12737" spans="8:8">
      <c r="H12737" s="12"/>
    </row>
    <row r="12738" spans="8:8">
      <c r="H12738" s="12"/>
    </row>
    <row r="12739" spans="8:8">
      <c r="H12739" s="12"/>
    </row>
    <row r="12740" spans="8:8">
      <c r="H12740" s="12"/>
    </row>
    <row r="12741" spans="8:8">
      <c r="H12741" s="12"/>
    </row>
    <row r="12742" spans="8:8">
      <c r="H12742" s="12"/>
    </row>
    <row r="12743" spans="8:8">
      <c r="H12743" s="12"/>
    </row>
    <row r="12744" spans="8:8">
      <c r="H12744" s="12"/>
    </row>
    <row r="12745" spans="8:8">
      <c r="H12745" s="12"/>
    </row>
    <row r="12746" spans="8:8">
      <c r="H12746" s="12"/>
    </row>
    <row r="12747" spans="8:8">
      <c r="H12747" s="12"/>
    </row>
    <row r="12748" spans="8:8">
      <c r="H12748" s="12"/>
    </row>
    <row r="12749" spans="8:8">
      <c r="H12749" s="12"/>
    </row>
    <row r="12750" spans="8:8">
      <c r="H12750" s="12"/>
    </row>
    <row r="12751" spans="8:8">
      <c r="H12751" s="12"/>
    </row>
    <row r="12752" spans="8:8">
      <c r="H12752" s="12"/>
    </row>
    <row r="12753" spans="8:8">
      <c r="H12753" s="12"/>
    </row>
    <row r="12754" spans="8:8">
      <c r="H12754" s="12"/>
    </row>
    <row r="12755" spans="8:8">
      <c r="H12755" s="12"/>
    </row>
    <row r="12756" spans="8:8">
      <c r="H12756" s="12"/>
    </row>
    <row r="12757" spans="8:8">
      <c r="H12757" s="12"/>
    </row>
    <row r="12758" spans="8:8">
      <c r="H12758" s="12"/>
    </row>
    <row r="12759" spans="8:8">
      <c r="H12759" s="12"/>
    </row>
    <row r="12760" spans="8:8">
      <c r="H12760" s="12"/>
    </row>
    <row r="12761" spans="8:8">
      <c r="H12761" s="12"/>
    </row>
    <row r="12762" spans="8:8">
      <c r="H12762" s="12"/>
    </row>
    <row r="12763" spans="8:8">
      <c r="H12763" s="12"/>
    </row>
    <row r="12764" spans="8:8">
      <c r="H12764" s="12"/>
    </row>
    <row r="12765" spans="8:8">
      <c r="H12765" s="12"/>
    </row>
    <row r="12766" spans="8:8">
      <c r="H12766" s="12"/>
    </row>
    <row r="12767" spans="8:8">
      <c r="H12767" s="12"/>
    </row>
    <row r="12768" spans="8:8">
      <c r="H12768" s="12"/>
    </row>
    <row r="12769" spans="8:8">
      <c r="H12769" s="12"/>
    </row>
    <row r="12770" spans="8:8">
      <c r="H12770" s="12"/>
    </row>
    <row r="12771" spans="8:8">
      <c r="H12771" s="12"/>
    </row>
    <row r="12772" spans="8:8">
      <c r="H12772" s="12"/>
    </row>
    <row r="12773" spans="8:8">
      <c r="H12773" s="12"/>
    </row>
    <row r="12774" spans="8:8">
      <c r="H12774" s="12"/>
    </row>
    <row r="12775" spans="8:8">
      <c r="H12775" s="12"/>
    </row>
    <row r="12776" spans="8:8">
      <c r="H12776" s="12"/>
    </row>
    <row r="12777" spans="8:8">
      <c r="H12777" s="12"/>
    </row>
    <row r="12778" spans="8:8">
      <c r="H12778" s="12"/>
    </row>
    <row r="12779" spans="8:8">
      <c r="H12779" s="12"/>
    </row>
    <row r="12780" spans="8:8">
      <c r="H12780" s="12"/>
    </row>
    <row r="12781" spans="8:8">
      <c r="H12781" s="12"/>
    </row>
    <row r="12782" spans="8:8">
      <c r="H12782" s="12"/>
    </row>
    <row r="12783" spans="8:8">
      <c r="H12783" s="12"/>
    </row>
    <row r="12784" spans="8:8">
      <c r="H12784" s="12"/>
    </row>
    <row r="12785" spans="8:8">
      <c r="H12785" s="12"/>
    </row>
    <row r="12786" spans="8:8">
      <c r="H12786" s="12"/>
    </row>
    <row r="12787" spans="8:8">
      <c r="H12787" s="12"/>
    </row>
    <row r="12788" spans="8:8">
      <c r="H12788" s="12"/>
    </row>
    <row r="12789" spans="8:8">
      <c r="H12789" s="12"/>
    </row>
    <row r="12790" spans="8:8">
      <c r="H12790" s="12"/>
    </row>
    <row r="12791" spans="8:8">
      <c r="H12791" s="12"/>
    </row>
    <row r="12792" spans="8:8">
      <c r="H12792" s="12"/>
    </row>
    <row r="12793" spans="8:8">
      <c r="H12793" s="12"/>
    </row>
    <row r="12794" spans="8:8">
      <c r="H12794" s="12"/>
    </row>
    <row r="12795" spans="8:8">
      <c r="H12795" s="12"/>
    </row>
    <row r="12796" spans="8:8">
      <c r="H12796" s="12"/>
    </row>
    <row r="12797" spans="8:8">
      <c r="H12797" s="12"/>
    </row>
    <row r="12798" spans="8:8">
      <c r="H12798" s="12"/>
    </row>
    <row r="12799" spans="8:8">
      <c r="H12799" s="12"/>
    </row>
    <row r="12800" spans="8:8">
      <c r="H12800" s="12"/>
    </row>
    <row r="12801" spans="8:8">
      <c r="H12801" s="12"/>
    </row>
    <row r="12802" spans="8:8">
      <c r="H12802" s="12"/>
    </row>
    <row r="12803" spans="8:8">
      <c r="H12803" s="12"/>
    </row>
    <row r="12804" spans="8:8">
      <c r="H12804" s="12"/>
    </row>
    <row r="12805" spans="8:8">
      <c r="H12805" s="12"/>
    </row>
    <row r="12806" spans="8:8">
      <c r="H12806" s="12"/>
    </row>
    <row r="12807" spans="8:8">
      <c r="H12807" s="12"/>
    </row>
    <row r="12808" spans="8:8">
      <c r="H12808" s="12"/>
    </row>
    <row r="12809" spans="8:8">
      <c r="H12809" s="12"/>
    </row>
    <row r="12810" spans="8:8">
      <c r="H12810" s="12"/>
    </row>
    <row r="12811" spans="8:8">
      <c r="H12811" s="12"/>
    </row>
    <row r="12812" spans="8:8">
      <c r="H12812" s="12"/>
    </row>
    <row r="12813" spans="8:8">
      <c r="H12813" s="12"/>
    </row>
    <row r="12814" spans="8:8">
      <c r="H12814" s="12"/>
    </row>
    <row r="12815" spans="8:8">
      <c r="H12815" s="12"/>
    </row>
    <row r="12816" spans="8:8">
      <c r="H12816" s="12"/>
    </row>
    <row r="12817" spans="8:8">
      <c r="H12817" s="12"/>
    </row>
    <row r="12818" spans="8:8">
      <c r="H12818" s="12"/>
    </row>
    <row r="12819" spans="8:8">
      <c r="H12819" s="12"/>
    </row>
    <row r="12820" spans="8:8">
      <c r="H12820" s="12"/>
    </row>
    <row r="12821" spans="8:8">
      <c r="H12821" s="12"/>
    </row>
    <row r="12822" spans="8:8">
      <c r="H12822" s="12"/>
    </row>
    <row r="12823" spans="8:8">
      <c r="H12823" s="12"/>
    </row>
    <row r="12824" spans="8:8">
      <c r="H12824" s="12"/>
    </row>
    <row r="12825" spans="8:8">
      <c r="H12825" s="12"/>
    </row>
    <row r="12826" spans="8:8">
      <c r="H12826" s="12"/>
    </row>
    <row r="12827" spans="8:8">
      <c r="H12827" s="12"/>
    </row>
    <row r="12828" spans="8:8">
      <c r="H12828" s="12"/>
    </row>
    <row r="12829" spans="8:8">
      <c r="H12829" s="12"/>
    </row>
    <row r="12830" spans="8:8">
      <c r="H12830" s="12"/>
    </row>
    <row r="12831" spans="8:8">
      <c r="H12831" s="12"/>
    </row>
    <row r="12832" spans="8:8">
      <c r="H12832" s="12"/>
    </row>
    <row r="12833" spans="8:8">
      <c r="H12833" s="12"/>
    </row>
    <row r="12834" spans="8:8">
      <c r="H12834" s="12"/>
    </row>
    <row r="12835" spans="8:8">
      <c r="H12835" s="12"/>
    </row>
    <row r="12836" spans="8:8">
      <c r="H12836" s="12"/>
    </row>
    <row r="12837" spans="8:8">
      <c r="H12837" s="12"/>
    </row>
    <row r="12838" spans="8:8">
      <c r="H12838" s="12"/>
    </row>
    <row r="12839" spans="8:8">
      <c r="H12839" s="12"/>
    </row>
    <row r="12840" spans="8:8">
      <c r="H12840" s="12"/>
    </row>
    <row r="12841" spans="8:8">
      <c r="H12841" s="12"/>
    </row>
    <row r="12842" spans="8:8">
      <c r="H12842" s="12"/>
    </row>
    <row r="12843" spans="8:8">
      <c r="H12843" s="12"/>
    </row>
    <row r="12844" spans="8:8">
      <c r="H12844" s="12"/>
    </row>
    <row r="12845" spans="8:8">
      <c r="H12845" s="12"/>
    </row>
    <row r="12846" spans="8:8">
      <c r="H12846" s="12"/>
    </row>
    <row r="12847" spans="8:8">
      <c r="H12847" s="12"/>
    </row>
    <row r="12848" spans="8:8">
      <c r="H12848" s="12"/>
    </row>
    <row r="12849" spans="8:8">
      <c r="H12849" s="12"/>
    </row>
    <row r="12850" spans="8:8">
      <c r="H12850" s="12"/>
    </row>
    <row r="12851" spans="8:8">
      <c r="H12851" s="12"/>
    </row>
    <row r="12852" spans="8:8">
      <c r="H12852" s="12"/>
    </row>
    <row r="12853" spans="8:8">
      <c r="H12853" s="12"/>
    </row>
    <row r="12854" spans="8:8">
      <c r="H12854" s="12"/>
    </row>
    <row r="12855" spans="8:8">
      <c r="H12855" s="12"/>
    </row>
    <row r="12856" spans="8:8">
      <c r="H12856" s="12"/>
    </row>
    <row r="12857" spans="8:8">
      <c r="H12857" s="12"/>
    </row>
    <row r="12858" spans="8:8">
      <c r="H12858" s="12"/>
    </row>
    <row r="12859" spans="8:8">
      <c r="H12859" s="12"/>
    </row>
    <row r="12860" spans="8:8">
      <c r="H12860" s="12"/>
    </row>
    <row r="12861" spans="8:8">
      <c r="H12861" s="12"/>
    </row>
    <row r="12862" spans="8:8">
      <c r="H12862" s="12"/>
    </row>
    <row r="12863" spans="8:8">
      <c r="H12863" s="12"/>
    </row>
    <row r="12864" spans="8:8">
      <c r="H12864" s="12"/>
    </row>
    <row r="12865" spans="8:8">
      <c r="H12865" s="12"/>
    </row>
    <row r="12866" spans="8:8">
      <c r="H12866" s="12"/>
    </row>
    <row r="12867" spans="8:8">
      <c r="H12867" s="12"/>
    </row>
    <row r="12868" spans="8:8">
      <c r="H12868" s="12"/>
    </row>
    <row r="12869" spans="8:8">
      <c r="H12869" s="12"/>
    </row>
    <row r="12870" spans="8:8">
      <c r="H12870" s="12"/>
    </row>
    <row r="12871" spans="8:8">
      <c r="H12871" s="12"/>
    </row>
    <row r="12872" spans="8:8">
      <c r="H12872" s="12"/>
    </row>
    <row r="12873" spans="8:8">
      <c r="H12873" s="12"/>
    </row>
    <row r="12874" spans="8:8">
      <c r="H12874" s="12"/>
    </row>
    <row r="12875" spans="8:8">
      <c r="H12875" s="12"/>
    </row>
    <row r="12876" spans="8:8">
      <c r="H12876" s="12"/>
    </row>
    <row r="12877" spans="8:8">
      <c r="H12877" s="12"/>
    </row>
    <row r="12878" spans="8:8">
      <c r="H12878" s="12"/>
    </row>
    <row r="12879" spans="8:8">
      <c r="H12879" s="12"/>
    </row>
    <row r="12880" spans="8:8">
      <c r="H12880" s="12"/>
    </row>
    <row r="12881" spans="8:8">
      <c r="H12881" s="12"/>
    </row>
    <row r="12882" spans="8:8">
      <c r="H12882" s="12"/>
    </row>
    <row r="12883" spans="8:8">
      <c r="H12883" s="12"/>
    </row>
    <row r="12884" spans="8:8">
      <c r="H12884" s="12"/>
    </row>
    <row r="12885" spans="8:8">
      <c r="H12885" s="12"/>
    </row>
    <row r="12886" spans="8:8">
      <c r="H12886" s="12"/>
    </row>
    <row r="12887" spans="8:8">
      <c r="H12887" s="12"/>
    </row>
    <row r="12888" spans="8:8">
      <c r="H12888" s="12"/>
    </row>
    <row r="12889" spans="8:8">
      <c r="H12889" s="12"/>
    </row>
    <row r="12890" spans="8:8">
      <c r="H12890" s="12"/>
    </row>
    <row r="12891" spans="8:8">
      <c r="H12891" s="12"/>
    </row>
    <row r="12892" spans="8:8">
      <c r="H12892" s="12"/>
    </row>
    <row r="12893" spans="8:8">
      <c r="H12893" s="12"/>
    </row>
    <row r="12894" spans="8:8">
      <c r="H12894" s="12"/>
    </row>
    <row r="12895" spans="8:8">
      <c r="H12895" s="12"/>
    </row>
    <row r="12896" spans="8:8">
      <c r="H12896" s="12"/>
    </row>
    <row r="12897" spans="8:8">
      <c r="H12897" s="12"/>
    </row>
    <row r="12898" spans="8:8">
      <c r="H12898" s="12"/>
    </row>
    <row r="12899" spans="8:8">
      <c r="H12899" s="12"/>
    </row>
    <row r="12900" spans="8:8">
      <c r="H12900" s="12"/>
    </row>
    <row r="12901" spans="8:8">
      <c r="H12901" s="12"/>
    </row>
    <row r="12902" spans="8:8">
      <c r="H12902" s="12"/>
    </row>
    <row r="12903" spans="8:8">
      <c r="H12903" s="12"/>
    </row>
    <row r="12904" spans="8:8">
      <c r="H12904" s="12"/>
    </row>
    <row r="12905" spans="8:8">
      <c r="H12905" s="12"/>
    </row>
    <row r="12906" spans="8:8">
      <c r="H12906" s="12"/>
    </row>
    <row r="12907" spans="8:8">
      <c r="H12907" s="12"/>
    </row>
    <row r="12908" spans="8:8">
      <c r="H12908" s="12"/>
    </row>
    <row r="12909" spans="8:8">
      <c r="H12909" s="12"/>
    </row>
    <row r="12910" spans="8:8">
      <c r="H12910" s="12"/>
    </row>
    <row r="12911" spans="8:8">
      <c r="H12911" s="12"/>
    </row>
    <row r="12912" spans="8:8">
      <c r="H12912" s="12"/>
    </row>
    <row r="12913" spans="8:8">
      <c r="H12913" s="12"/>
    </row>
    <row r="12914" spans="8:8">
      <c r="H12914" s="12"/>
    </row>
    <row r="12915" spans="8:8">
      <c r="H12915" s="12"/>
    </row>
    <row r="12916" spans="8:8">
      <c r="H12916" s="12"/>
    </row>
    <row r="12917" spans="8:8">
      <c r="H12917" s="12"/>
    </row>
    <row r="12918" spans="8:8">
      <c r="H12918" s="12"/>
    </row>
    <row r="12919" spans="8:8">
      <c r="H12919" s="12"/>
    </row>
    <row r="12920" spans="8:8">
      <c r="H12920" s="12"/>
    </row>
    <row r="12921" spans="8:8">
      <c r="H12921" s="12"/>
    </row>
    <row r="12922" spans="8:8">
      <c r="H12922" s="12"/>
    </row>
    <row r="12923" spans="8:8">
      <c r="H12923" s="12"/>
    </row>
    <row r="12924" spans="8:8">
      <c r="H12924" s="12"/>
    </row>
    <row r="12925" spans="8:8">
      <c r="H12925" s="12"/>
    </row>
    <row r="12926" spans="8:8">
      <c r="H12926" s="12"/>
    </row>
    <row r="12927" spans="8:8">
      <c r="H12927" s="12"/>
    </row>
    <row r="12928" spans="8:8">
      <c r="H12928" s="12"/>
    </row>
    <row r="12929" spans="8:8">
      <c r="H12929" s="12"/>
    </row>
    <row r="12930" spans="8:8">
      <c r="H12930" s="12"/>
    </row>
    <row r="12931" spans="8:8">
      <c r="H12931" s="12"/>
    </row>
    <row r="12932" spans="8:8">
      <c r="H12932" s="12"/>
    </row>
    <row r="12933" spans="8:8">
      <c r="H12933" s="12"/>
    </row>
    <row r="12934" spans="8:8">
      <c r="H12934" s="12"/>
    </row>
    <row r="12935" spans="8:8">
      <c r="H12935" s="12"/>
    </row>
    <row r="12936" spans="8:8">
      <c r="H12936" s="12"/>
    </row>
    <row r="12937" spans="8:8">
      <c r="H12937" s="12"/>
    </row>
    <row r="12938" spans="8:8">
      <c r="H12938" s="12"/>
    </row>
    <row r="12939" spans="8:8">
      <c r="H12939" s="12"/>
    </row>
    <row r="12940" spans="8:8">
      <c r="H12940" s="12"/>
    </row>
    <row r="12941" spans="8:8">
      <c r="H12941" s="12"/>
    </row>
    <row r="12942" spans="8:8">
      <c r="H12942" s="12"/>
    </row>
    <row r="12943" spans="8:8">
      <c r="H12943" s="12"/>
    </row>
    <row r="12944" spans="8:8">
      <c r="H12944" s="12"/>
    </row>
    <row r="12945" spans="8:8">
      <c r="H12945" s="12"/>
    </row>
    <row r="12946" spans="8:8">
      <c r="H12946" s="12"/>
    </row>
    <row r="12947" spans="8:8">
      <c r="H12947" s="12"/>
    </row>
    <row r="12948" spans="8:8">
      <c r="H12948" s="12"/>
    </row>
    <row r="12949" spans="8:8">
      <c r="H12949" s="12"/>
    </row>
    <row r="12950" spans="8:8">
      <c r="H12950" s="12"/>
    </row>
    <row r="12951" spans="8:8">
      <c r="H12951" s="12"/>
    </row>
    <row r="12952" spans="8:8">
      <c r="H12952" s="12"/>
    </row>
    <row r="12953" spans="8:8">
      <c r="H12953" s="12"/>
    </row>
    <row r="12954" spans="8:8">
      <c r="H12954" s="12"/>
    </row>
    <row r="12955" spans="8:8">
      <c r="H12955" s="12"/>
    </row>
    <row r="12956" spans="8:8">
      <c r="H12956" s="12"/>
    </row>
    <row r="12957" spans="8:8">
      <c r="H12957" s="12"/>
    </row>
    <row r="12958" spans="8:8">
      <c r="H12958" s="12"/>
    </row>
    <row r="12959" spans="8:8">
      <c r="H12959" s="12"/>
    </row>
    <row r="12960" spans="8:8">
      <c r="H12960" s="12"/>
    </row>
    <row r="12961" spans="8:8">
      <c r="H12961" s="12"/>
    </row>
    <row r="12962" spans="8:8">
      <c r="H12962" s="12"/>
    </row>
    <row r="12963" spans="8:8">
      <c r="H12963" s="12"/>
    </row>
    <row r="12964" spans="8:8">
      <c r="H12964" s="12"/>
    </row>
    <row r="12965" spans="8:8">
      <c r="H12965" s="12"/>
    </row>
    <row r="12966" spans="8:8">
      <c r="H12966" s="12"/>
    </row>
    <row r="12967" spans="8:8">
      <c r="H12967" s="12"/>
    </row>
    <row r="12968" spans="8:8">
      <c r="H12968" s="12"/>
    </row>
    <row r="12969" spans="8:8">
      <c r="H12969" s="12"/>
    </row>
    <row r="12970" spans="8:8">
      <c r="H12970" s="12"/>
    </row>
    <row r="12971" spans="8:8">
      <c r="H12971" s="12"/>
    </row>
    <row r="12972" spans="8:8">
      <c r="H12972" s="12"/>
    </row>
    <row r="12973" spans="8:8">
      <c r="H12973" s="12"/>
    </row>
    <row r="12974" spans="8:8">
      <c r="H12974" s="12"/>
    </row>
    <row r="12975" spans="8:8">
      <c r="H12975" s="12"/>
    </row>
    <row r="12976" spans="8:8">
      <c r="H12976" s="12"/>
    </row>
    <row r="12977" spans="8:8">
      <c r="H12977" s="12"/>
    </row>
    <row r="12978" spans="8:8">
      <c r="H12978" s="12"/>
    </row>
    <row r="12979" spans="8:8">
      <c r="H12979" s="12"/>
    </row>
    <row r="12980" spans="8:8">
      <c r="H12980" s="12"/>
    </row>
    <row r="12981" spans="8:8">
      <c r="H12981" s="12"/>
    </row>
    <row r="12982" spans="8:8">
      <c r="H12982" s="12"/>
    </row>
    <row r="12983" spans="8:8">
      <c r="H12983" s="12"/>
    </row>
    <row r="12984" spans="8:8">
      <c r="H12984" s="12"/>
    </row>
    <row r="12985" spans="8:8">
      <c r="H12985" s="12"/>
    </row>
    <row r="12986" spans="8:8">
      <c r="H12986" s="12"/>
    </row>
    <row r="12987" spans="8:8">
      <c r="H12987" s="12"/>
    </row>
    <row r="12988" spans="8:8">
      <c r="H12988" s="12"/>
    </row>
    <row r="12989" spans="8:8">
      <c r="H12989" s="12"/>
    </row>
    <row r="12990" spans="8:8">
      <c r="H12990" s="12"/>
    </row>
    <row r="12991" spans="8:8">
      <c r="H12991" s="12"/>
    </row>
    <row r="12992" spans="8:8">
      <c r="H12992" s="12"/>
    </row>
    <row r="12993" spans="8:8">
      <c r="H12993" s="12"/>
    </row>
    <row r="12994" spans="8:8">
      <c r="H12994" s="12"/>
    </row>
    <row r="12995" spans="8:8">
      <c r="H12995" s="12"/>
    </row>
    <row r="12996" spans="8:8">
      <c r="H12996" s="12"/>
    </row>
    <row r="12997" spans="8:8">
      <c r="H12997" s="12"/>
    </row>
    <row r="12998" spans="8:8">
      <c r="H12998" s="12"/>
    </row>
    <row r="12999" spans="8:8">
      <c r="H12999" s="12"/>
    </row>
    <row r="13000" spans="8:8">
      <c r="H13000" s="12"/>
    </row>
    <row r="13001" spans="8:8">
      <c r="H13001" s="12"/>
    </row>
    <row r="13002" spans="8:8">
      <c r="H13002" s="12"/>
    </row>
    <row r="13003" spans="8:8">
      <c r="H13003" s="12"/>
    </row>
    <row r="13004" spans="8:8">
      <c r="H13004" s="12"/>
    </row>
    <row r="13005" spans="8:8">
      <c r="H13005" s="12"/>
    </row>
    <row r="13006" spans="8:8">
      <c r="H13006" s="12"/>
    </row>
    <row r="13007" spans="8:8">
      <c r="H13007" s="12"/>
    </row>
    <row r="13008" spans="8:8">
      <c r="H13008" s="12"/>
    </row>
    <row r="13009" spans="8:8">
      <c r="H13009" s="12"/>
    </row>
    <row r="13010" spans="8:8">
      <c r="H13010" s="12"/>
    </row>
    <row r="13011" spans="8:8">
      <c r="H13011" s="12"/>
    </row>
    <row r="13012" spans="8:8">
      <c r="H13012" s="12"/>
    </row>
    <row r="13013" spans="8:8">
      <c r="H13013" s="12"/>
    </row>
    <row r="13014" spans="8:8">
      <c r="H13014" s="12"/>
    </row>
    <row r="13015" spans="8:8">
      <c r="H13015" s="12"/>
    </row>
    <row r="13016" spans="8:8">
      <c r="H13016" s="12"/>
    </row>
    <row r="13017" spans="8:8">
      <c r="H13017" s="12"/>
    </row>
    <row r="13018" spans="8:8">
      <c r="H13018" s="12"/>
    </row>
    <row r="13019" spans="8:8">
      <c r="H13019" s="12"/>
    </row>
    <row r="13020" spans="8:8">
      <c r="H13020" s="12"/>
    </row>
    <row r="13021" spans="8:8">
      <c r="H13021" s="12"/>
    </row>
    <row r="13022" spans="8:8">
      <c r="H13022" s="12"/>
    </row>
    <row r="13023" spans="8:8">
      <c r="H13023" s="12"/>
    </row>
    <row r="13024" spans="8:8">
      <c r="H13024" s="12"/>
    </row>
    <row r="13025" spans="8:8">
      <c r="H13025" s="12"/>
    </row>
    <row r="13026" spans="8:8">
      <c r="H13026" s="12"/>
    </row>
    <row r="13027" spans="8:8">
      <c r="H13027" s="12"/>
    </row>
    <row r="13028" spans="8:8">
      <c r="H13028" s="12"/>
    </row>
    <row r="13029" spans="8:8">
      <c r="H13029" s="12"/>
    </row>
    <row r="13030" spans="8:8">
      <c r="H13030" s="12"/>
    </row>
    <row r="13031" spans="8:8">
      <c r="H13031" s="12"/>
    </row>
    <row r="13032" spans="8:8">
      <c r="H13032" s="12"/>
    </row>
    <row r="13033" spans="8:8">
      <c r="H13033" s="12"/>
    </row>
    <row r="13034" spans="8:8">
      <c r="H13034" s="12"/>
    </row>
    <row r="13035" spans="8:8">
      <c r="H13035" s="12"/>
    </row>
    <row r="13036" spans="8:8">
      <c r="H13036" s="12"/>
    </row>
    <row r="13037" spans="8:8">
      <c r="H13037" s="12"/>
    </row>
    <row r="13038" spans="8:8">
      <c r="H13038" s="12"/>
    </row>
    <row r="13039" spans="8:8">
      <c r="H13039" s="12"/>
    </row>
    <row r="13040" spans="8:8">
      <c r="H13040" s="12"/>
    </row>
    <row r="13041" spans="8:8">
      <c r="H13041" s="12"/>
    </row>
    <row r="13042" spans="8:8">
      <c r="H13042" s="12"/>
    </row>
    <row r="13043" spans="8:8">
      <c r="H13043" s="12"/>
    </row>
    <row r="13044" spans="8:8">
      <c r="H13044" s="12"/>
    </row>
    <row r="13045" spans="8:8">
      <c r="H13045" s="12"/>
    </row>
    <row r="13046" spans="8:8">
      <c r="H13046" s="12"/>
    </row>
    <row r="13047" spans="8:8">
      <c r="H13047" s="12"/>
    </row>
    <row r="13048" spans="8:8">
      <c r="H13048" s="12"/>
    </row>
    <row r="13049" spans="8:8">
      <c r="H13049" s="12"/>
    </row>
    <row r="13050" spans="8:8">
      <c r="H13050" s="12"/>
    </row>
    <row r="13051" spans="8:8">
      <c r="H13051" s="12"/>
    </row>
    <row r="13052" spans="8:8">
      <c r="H13052" s="12"/>
    </row>
    <row r="13053" spans="8:8">
      <c r="H13053" s="12"/>
    </row>
    <row r="13054" spans="8:8">
      <c r="H13054" s="12"/>
    </row>
    <row r="13055" spans="8:8">
      <c r="H13055" s="12"/>
    </row>
    <row r="13056" spans="8:8">
      <c r="H13056" s="12"/>
    </row>
    <row r="13057" spans="8:8">
      <c r="H13057" s="12"/>
    </row>
    <row r="13058" spans="8:8">
      <c r="H13058" s="12"/>
    </row>
    <row r="13059" spans="8:8">
      <c r="H13059" s="12"/>
    </row>
    <row r="13060" spans="8:8">
      <c r="H13060" s="12"/>
    </row>
    <row r="13061" spans="8:8">
      <c r="H13061" s="12"/>
    </row>
    <row r="13062" spans="8:8">
      <c r="H13062" s="12"/>
    </row>
    <row r="13063" spans="8:8">
      <c r="H13063" s="12"/>
    </row>
    <row r="13064" spans="8:8">
      <c r="H13064" s="12"/>
    </row>
    <row r="13065" spans="8:8">
      <c r="H13065" s="12"/>
    </row>
    <row r="13066" spans="8:8">
      <c r="H13066" s="12"/>
    </row>
    <row r="13067" spans="8:8">
      <c r="H13067" s="12"/>
    </row>
    <row r="13068" spans="8:8">
      <c r="H13068" s="12"/>
    </row>
    <row r="13069" spans="8:8">
      <c r="H13069" s="12"/>
    </row>
    <row r="13070" spans="8:8">
      <c r="H13070" s="12"/>
    </row>
    <row r="13071" spans="8:8">
      <c r="H13071" s="12"/>
    </row>
    <row r="13072" spans="8:8">
      <c r="H13072" s="12"/>
    </row>
    <row r="13073" spans="8:8">
      <c r="H13073" s="12"/>
    </row>
    <row r="13074" spans="8:8">
      <c r="H13074" s="12"/>
    </row>
    <row r="13075" spans="8:8">
      <c r="H13075" s="12"/>
    </row>
    <row r="13076" spans="8:8">
      <c r="H13076" s="12"/>
    </row>
    <row r="13077" spans="8:8">
      <c r="H13077" s="12"/>
    </row>
    <row r="13078" spans="8:8">
      <c r="H13078" s="12"/>
    </row>
    <row r="13079" spans="8:8">
      <c r="H13079" s="12"/>
    </row>
    <row r="13080" spans="8:8">
      <c r="H13080" s="12"/>
    </row>
    <row r="13081" spans="8:8">
      <c r="H13081" s="12"/>
    </row>
    <row r="13082" spans="8:8">
      <c r="H13082" s="12"/>
    </row>
    <row r="13083" spans="8:8">
      <c r="H13083" s="12"/>
    </row>
    <row r="13084" spans="8:8">
      <c r="H13084" s="12"/>
    </row>
    <row r="13085" spans="8:8">
      <c r="H13085" s="12"/>
    </row>
    <row r="13086" spans="8:8">
      <c r="H13086" s="12"/>
    </row>
    <row r="13087" spans="8:8">
      <c r="H13087" s="12"/>
    </row>
    <row r="13088" spans="8:8">
      <c r="H13088" s="12"/>
    </row>
    <row r="13089" spans="8:8">
      <c r="H13089" s="12"/>
    </row>
    <row r="13090" spans="8:8">
      <c r="H13090" s="12"/>
    </row>
    <row r="13091" spans="8:8">
      <c r="H13091" s="12"/>
    </row>
    <row r="13092" spans="8:8">
      <c r="H13092" s="12"/>
    </row>
    <row r="13093" spans="8:8">
      <c r="H13093" s="12"/>
    </row>
    <row r="13094" spans="8:8">
      <c r="H13094" s="12"/>
    </row>
    <row r="13095" spans="8:8">
      <c r="H13095" s="12"/>
    </row>
    <row r="13096" spans="8:8">
      <c r="H13096" s="12"/>
    </row>
    <row r="13097" spans="8:8">
      <c r="H13097" s="12"/>
    </row>
    <row r="13098" spans="8:8">
      <c r="H13098" s="12"/>
    </row>
    <row r="13099" spans="8:8">
      <c r="H13099" s="12"/>
    </row>
    <row r="13100" spans="8:8">
      <c r="H13100" s="12"/>
    </row>
    <row r="13101" spans="8:8">
      <c r="H13101" s="12"/>
    </row>
    <row r="13102" spans="8:8">
      <c r="H13102" s="12"/>
    </row>
    <row r="13103" spans="8:8">
      <c r="H13103" s="12"/>
    </row>
    <row r="13104" spans="8:8">
      <c r="H13104" s="12"/>
    </row>
    <row r="13105" spans="8:8">
      <c r="H13105" s="12"/>
    </row>
    <row r="13106" spans="8:8">
      <c r="H13106" s="12"/>
    </row>
    <row r="13107" spans="8:8">
      <c r="H13107" s="12"/>
    </row>
    <row r="13108" spans="8:8">
      <c r="H13108" s="12"/>
    </row>
    <row r="13109" spans="8:8">
      <c r="H13109" s="12"/>
    </row>
    <row r="13110" spans="8:8">
      <c r="H13110" s="12"/>
    </row>
    <row r="13111" spans="8:8">
      <c r="H13111" s="12"/>
    </row>
    <row r="13112" spans="8:8">
      <c r="H13112" s="12"/>
    </row>
    <row r="13113" spans="8:8">
      <c r="H13113" s="12"/>
    </row>
    <row r="13114" spans="8:8">
      <c r="H13114" s="12"/>
    </row>
    <row r="13115" spans="8:8">
      <c r="H13115" s="12"/>
    </row>
    <row r="13116" spans="8:8">
      <c r="H13116" s="12"/>
    </row>
    <row r="13117" spans="8:8">
      <c r="H13117" s="12"/>
    </row>
    <row r="13118" spans="8:8">
      <c r="H13118" s="12"/>
    </row>
    <row r="13119" spans="8:8">
      <c r="H13119" s="12"/>
    </row>
    <row r="13120" spans="8:8">
      <c r="H13120" s="12"/>
    </row>
    <row r="13121" spans="8:8">
      <c r="H13121" s="12"/>
    </row>
    <row r="13122" spans="8:8">
      <c r="H13122" s="12"/>
    </row>
    <row r="13123" spans="8:8">
      <c r="H13123" s="12"/>
    </row>
    <row r="13124" spans="8:8">
      <c r="H13124" s="12"/>
    </row>
    <row r="13125" spans="8:8">
      <c r="H13125" s="12"/>
    </row>
    <row r="13126" spans="8:8">
      <c r="H13126" s="12"/>
    </row>
    <row r="13127" spans="8:8">
      <c r="H13127" s="12"/>
    </row>
    <row r="13128" spans="8:8">
      <c r="H13128" s="12"/>
    </row>
    <row r="13129" spans="8:8">
      <c r="H13129" s="12"/>
    </row>
    <row r="13130" spans="8:8">
      <c r="H13130" s="12"/>
    </row>
    <row r="13131" spans="8:8">
      <c r="H13131" s="12"/>
    </row>
    <row r="13132" spans="8:8">
      <c r="H13132" s="12"/>
    </row>
    <row r="13133" spans="8:8">
      <c r="H13133" s="12"/>
    </row>
    <row r="13134" spans="8:8">
      <c r="H13134" s="12"/>
    </row>
    <row r="13135" spans="8:8">
      <c r="H13135" s="12"/>
    </row>
    <row r="13136" spans="8:8">
      <c r="H13136" s="12"/>
    </row>
    <row r="13137" spans="8:8">
      <c r="H13137" s="12"/>
    </row>
    <row r="13138" spans="8:8">
      <c r="H13138" s="12"/>
    </row>
    <row r="13139" spans="8:8">
      <c r="H13139" s="12"/>
    </row>
    <row r="13140" spans="8:8">
      <c r="H13140" s="12"/>
    </row>
    <row r="13141" spans="8:8">
      <c r="H13141" s="12"/>
    </row>
    <row r="13142" spans="8:8">
      <c r="H13142" s="12"/>
    </row>
    <row r="13143" spans="8:8">
      <c r="H13143" s="12"/>
    </row>
    <row r="13144" spans="8:8">
      <c r="H13144" s="12"/>
    </row>
    <row r="13145" spans="8:8">
      <c r="H13145" s="12"/>
    </row>
    <row r="13146" spans="8:8">
      <c r="H13146" s="12"/>
    </row>
    <row r="13147" spans="8:8">
      <c r="H13147" s="12"/>
    </row>
    <row r="13148" spans="8:8">
      <c r="H13148" s="12"/>
    </row>
    <row r="13149" spans="8:8">
      <c r="H13149" s="12"/>
    </row>
    <row r="13150" spans="8:8">
      <c r="H13150" s="12"/>
    </row>
    <row r="13151" spans="8:8">
      <c r="H13151" s="12"/>
    </row>
    <row r="13152" spans="8:8">
      <c r="H13152" s="12"/>
    </row>
    <row r="13153" spans="8:8">
      <c r="H13153" s="12"/>
    </row>
    <row r="13154" spans="8:8">
      <c r="H13154" s="12"/>
    </row>
    <row r="13155" spans="8:8">
      <c r="H13155" s="12"/>
    </row>
    <row r="13156" spans="8:8">
      <c r="H13156" s="12"/>
    </row>
    <row r="13157" spans="8:8">
      <c r="H13157" s="12"/>
    </row>
    <row r="13158" spans="8:8">
      <c r="H13158" s="12"/>
    </row>
    <row r="13159" spans="8:8">
      <c r="H13159" s="12"/>
    </row>
    <row r="13160" spans="8:8">
      <c r="H13160" s="12"/>
    </row>
    <row r="13161" spans="8:8">
      <c r="H13161" s="12"/>
    </row>
    <row r="13162" spans="8:8">
      <c r="H13162" s="12"/>
    </row>
    <row r="13163" spans="8:8">
      <c r="H13163" s="12"/>
    </row>
    <row r="13164" spans="8:8">
      <c r="H13164" s="12"/>
    </row>
    <row r="13165" spans="8:8">
      <c r="H13165" s="12"/>
    </row>
    <row r="13166" spans="8:8">
      <c r="H13166" s="12"/>
    </row>
    <row r="13167" spans="8:8">
      <c r="H13167" s="12"/>
    </row>
    <row r="13168" spans="8:8">
      <c r="H13168" s="12"/>
    </row>
    <row r="13169" spans="8:8">
      <c r="H13169" s="12"/>
    </row>
    <row r="13170" spans="8:8">
      <c r="H13170" s="12"/>
    </row>
    <row r="13171" spans="8:8">
      <c r="H13171" s="12"/>
    </row>
    <row r="13172" spans="8:8">
      <c r="H13172" s="12"/>
    </row>
    <row r="13173" spans="8:8">
      <c r="H13173" s="12"/>
    </row>
    <row r="13174" spans="8:8">
      <c r="H13174" s="12"/>
    </row>
    <row r="13175" spans="8:8">
      <c r="H13175" s="12"/>
    </row>
    <row r="13176" spans="8:8">
      <c r="H13176" s="12"/>
    </row>
    <row r="13177" spans="8:8">
      <c r="H13177" s="12"/>
    </row>
    <row r="13178" spans="8:8">
      <c r="H13178" s="12"/>
    </row>
    <row r="13179" spans="8:8">
      <c r="H13179" s="12"/>
    </row>
    <row r="13180" spans="8:8">
      <c r="H13180" s="12"/>
    </row>
    <row r="13181" spans="8:8">
      <c r="H13181" s="12"/>
    </row>
    <row r="13182" spans="8:8">
      <c r="H13182" s="12"/>
    </row>
    <row r="13183" spans="8:8">
      <c r="H13183" s="12"/>
    </row>
    <row r="13184" spans="8:8">
      <c r="H13184" s="12"/>
    </row>
    <row r="13185" spans="8:8">
      <c r="H13185" s="12"/>
    </row>
    <row r="13186" spans="8:8">
      <c r="H13186" s="12"/>
    </row>
    <row r="13187" spans="8:8">
      <c r="H13187" s="12"/>
    </row>
    <row r="13188" spans="8:8">
      <c r="H13188" s="12"/>
    </row>
    <row r="13189" spans="8:8">
      <c r="H13189" s="12"/>
    </row>
    <row r="13190" spans="8:8">
      <c r="H13190" s="12"/>
    </row>
    <row r="13191" spans="8:8">
      <c r="H13191" s="12"/>
    </row>
    <row r="13192" spans="8:8">
      <c r="H13192" s="12"/>
    </row>
    <row r="13193" spans="8:8">
      <c r="H13193" s="12"/>
    </row>
    <row r="13194" spans="8:8">
      <c r="H13194" s="12"/>
    </row>
    <row r="13195" spans="8:8">
      <c r="H13195" s="12"/>
    </row>
    <row r="13196" spans="8:8">
      <c r="H13196" s="12"/>
    </row>
    <row r="13197" spans="8:8">
      <c r="H13197" s="12"/>
    </row>
    <row r="13198" spans="8:8">
      <c r="H13198" s="12"/>
    </row>
    <row r="13199" spans="8:8">
      <c r="H13199" s="12"/>
    </row>
    <row r="13200" spans="8:8">
      <c r="H13200" s="12"/>
    </row>
    <row r="13201" spans="8:8">
      <c r="H13201" s="12"/>
    </row>
    <row r="13202" spans="8:8">
      <c r="H13202" s="12"/>
    </row>
    <row r="13203" spans="8:8">
      <c r="H13203" s="12"/>
    </row>
    <row r="13204" spans="8:8">
      <c r="H13204" s="12"/>
    </row>
    <row r="13205" spans="8:8">
      <c r="H13205" s="12"/>
    </row>
    <row r="13206" spans="8:8">
      <c r="H13206" s="12"/>
    </row>
    <row r="13207" spans="8:8">
      <c r="H13207" s="12"/>
    </row>
    <row r="13208" spans="8:8">
      <c r="H13208" s="12"/>
    </row>
    <row r="13209" spans="8:8">
      <c r="H13209" s="12"/>
    </row>
    <row r="13210" spans="8:8">
      <c r="H13210" s="12"/>
    </row>
    <row r="13211" spans="8:8">
      <c r="H13211" s="12"/>
    </row>
    <row r="13212" spans="8:8">
      <c r="H13212" s="12"/>
    </row>
    <row r="13213" spans="8:8">
      <c r="H13213" s="12"/>
    </row>
    <row r="13214" spans="8:8">
      <c r="H13214" s="12"/>
    </row>
    <row r="13215" spans="8:8">
      <c r="H13215" s="12"/>
    </row>
    <row r="13216" spans="8:8">
      <c r="H13216" s="12"/>
    </row>
    <row r="13217" spans="8:8">
      <c r="H13217" s="12"/>
    </row>
    <row r="13218" spans="8:8">
      <c r="H13218" s="12"/>
    </row>
    <row r="13219" spans="8:8">
      <c r="H13219" s="12"/>
    </row>
    <row r="13220" spans="8:8">
      <c r="H13220" s="12"/>
    </row>
    <row r="13221" spans="8:8">
      <c r="H13221" s="12"/>
    </row>
    <row r="13222" spans="8:8">
      <c r="H13222" s="12"/>
    </row>
    <row r="13223" spans="8:8">
      <c r="H13223" s="12"/>
    </row>
    <row r="13224" spans="8:8">
      <c r="H13224" s="12"/>
    </row>
    <row r="13225" spans="8:8">
      <c r="H13225" s="12"/>
    </row>
    <row r="13226" spans="8:8">
      <c r="H13226" s="12"/>
    </row>
    <row r="13227" spans="8:8">
      <c r="H13227" s="12"/>
    </row>
    <row r="13228" spans="8:8">
      <c r="H13228" s="12"/>
    </row>
    <row r="13229" spans="8:8">
      <c r="H13229" s="12"/>
    </row>
    <row r="13230" spans="8:8">
      <c r="H13230" s="12"/>
    </row>
    <row r="13231" spans="8:8">
      <c r="H13231" s="12"/>
    </row>
    <row r="13232" spans="8:8">
      <c r="H13232" s="12"/>
    </row>
    <row r="13233" spans="8:8">
      <c r="H13233" s="12"/>
    </row>
    <row r="13234" spans="8:8">
      <c r="H13234" s="12"/>
    </row>
    <row r="13235" spans="8:8">
      <c r="H13235" s="12"/>
    </row>
    <row r="13236" spans="8:8">
      <c r="H13236" s="12"/>
    </row>
    <row r="13237" spans="8:8">
      <c r="H13237" s="12"/>
    </row>
    <row r="13238" spans="8:8">
      <c r="H13238" s="12"/>
    </row>
    <row r="13239" spans="8:8">
      <c r="H13239" s="12"/>
    </row>
    <row r="13240" spans="8:8">
      <c r="H13240" s="12"/>
    </row>
    <row r="13241" spans="8:8">
      <c r="H13241" s="12"/>
    </row>
    <row r="13242" spans="8:8">
      <c r="H13242" s="12"/>
    </row>
    <row r="13243" spans="8:8">
      <c r="H13243" s="12"/>
    </row>
    <row r="13244" spans="8:8">
      <c r="H13244" s="12"/>
    </row>
    <row r="13245" spans="8:8">
      <c r="H13245" s="12"/>
    </row>
    <row r="13246" spans="8:8">
      <c r="H13246" s="12"/>
    </row>
    <row r="13247" spans="8:8">
      <c r="H13247" s="12"/>
    </row>
    <row r="13248" spans="8:8">
      <c r="H13248" s="12"/>
    </row>
    <row r="13249" spans="8:8">
      <c r="H13249" s="12"/>
    </row>
    <row r="13250" spans="8:8">
      <c r="H13250" s="12"/>
    </row>
    <row r="13251" spans="8:8">
      <c r="H13251" s="12"/>
    </row>
    <row r="13252" spans="8:8">
      <c r="H13252" s="12"/>
    </row>
    <row r="13253" spans="8:8">
      <c r="H13253" s="12"/>
    </row>
    <row r="13254" spans="8:8">
      <c r="H13254" s="12"/>
    </row>
    <row r="13255" spans="8:8">
      <c r="H13255" s="12"/>
    </row>
    <row r="13256" spans="8:8">
      <c r="H13256" s="12"/>
    </row>
    <row r="13257" spans="8:8">
      <c r="H13257" s="12"/>
    </row>
    <row r="13258" spans="8:8">
      <c r="H13258" s="12"/>
    </row>
    <row r="13259" spans="8:8">
      <c r="H13259" s="12"/>
    </row>
    <row r="13260" spans="8:8">
      <c r="H13260" s="12"/>
    </row>
    <row r="13261" spans="8:8">
      <c r="H13261" s="12"/>
    </row>
    <row r="13262" spans="8:8">
      <c r="H13262" s="12"/>
    </row>
    <row r="13263" spans="8:8">
      <c r="H13263" s="12"/>
    </row>
    <row r="13264" spans="8:8">
      <c r="H13264" s="12"/>
    </row>
    <row r="13265" spans="8:8">
      <c r="H13265" s="12"/>
    </row>
    <row r="13266" spans="8:8">
      <c r="H13266" s="12"/>
    </row>
    <row r="13267" spans="8:8">
      <c r="H13267" s="12"/>
    </row>
    <row r="13268" spans="8:8">
      <c r="H13268" s="12"/>
    </row>
    <row r="13269" spans="8:8">
      <c r="H13269" s="12"/>
    </row>
    <row r="13270" spans="8:8">
      <c r="H13270" s="12"/>
    </row>
    <row r="13271" spans="8:8">
      <c r="H13271" s="12"/>
    </row>
    <row r="13272" spans="8:8">
      <c r="H13272" s="12"/>
    </row>
    <row r="13273" spans="8:8">
      <c r="H13273" s="12"/>
    </row>
    <row r="13274" spans="8:8">
      <c r="H13274" s="12"/>
    </row>
    <row r="13275" spans="8:8">
      <c r="H13275" s="12"/>
    </row>
    <row r="13276" spans="8:8">
      <c r="H13276" s="12"/>
    </row>
    <row r="13277" spans="8:8">
      <c r="H13277" s="12"/>
    </row>
    <row r="13278" spans="8:8">
      <c r="H13278" s="12"/>
    </row>
    <row r="13279" spans="8:8">
      <c r="H13279" s="12"/>
    </row>
    <row r="13280" spans="8:8">
      <c r="H13280" s="12"/>
    </row>
    <row r="13281" spans="8:8">
      <c r="H13281" s="12"/>
    </row>
    <row r="13282" spans="8:8">
      <c r="H13282" s="12"/>
    </row>
    <row r="13283" spans="8:8">
      <c r="H13283" s="12"/>
    </row>
    <row r="13284" spans="8:8">
      <c r="H13284" s="12"/>
    </row>
    <row r="13285" spans="8:8">
      <c r="H13285" s="12"/>
    </row>
    <row r="13286" spans="8:8">
      <c r="H13286" s="12"/>
    </row>
    <row r="13287" spans="8:8">
      <c r="H13287" s="12"/>
    </row>
    <row r="13288" spans="8:8">
      <c r="H13288" s="12"/>
    </row>
    <row r="13289" spans="8:8">
      <c r="H13289" s="12"/>
    </row>
    <row r="13290" spans="8:8">
      <c r="H13290" s="12"/>
    </row>
    <row r="13291" spans="8:8">
      <c r="H13291" s="12"/>
    </row>
    <row r="13292" spans="8:8">
      <c r="H13292" s="12"/>
    </row>
    <row r="13293" spans="8:8">
      <c r="H13293" s="12"/>
    </row>
    <row r="13294" spans="8:8">
      <c r="H13294" s="12"/>
    </row>
    <row r="13295" spans="8:8">
      <c r="H13295" s="12"/>
    </row>
    <row r="13296" spans="8:8">
      <c r="H13296" s="12"/>
    </row>
    <row r="13297" spans="8:8">
      <c r="H13297" s="12"/>
    </row>
    <row r="13298" spans="8:8">
      <c r="H13298" s="12"/>
    </row>
    <row r="13299" spans="8:8">
      <c r="H13299" s="12"/>
    </row>
    <row r="13300" spans="8:8">
      <c r="H13300" s="12"/>
    </row>
    <row r="13301" spans="8:8">
      <c r="H13301" s="12"/>
    </row>
    <row r="13302" spans="8:8">
      <c r="H13302" s="12"/>
    </row>
    <row r="13303" spans="8:8">
      <c r="H13303" s="12"/>
    </row>
    <row r="13304" spans="8:8">
      <c r="H13304" s="12"/>
    </row>
    <row r="13305" spans="8:8">
      <c r="H13305" s="12"/>
    </row>
    <row r="13306" spans="8:8">
      <c r="H13306" s="12"/>
    </row>
    <row r="13307" spans="8:8">
      <c r="H13307" s="12"/>
    </row>
    <row r="13308" spans="8:8">
      <c r="H13308" s="12"/>
    </row>
    <row r="13309" spans="8:8">
      <c r="H13309" s="12"/>
    </row>
    <row r="13310" spans="8:8">
      <c r="H13310" s="12"/>
    </row>
    <row r="13311" spans="8:8">
      <c r="H13311" s="12"/>
    </row>
    <row r="13312" spans="8:8">
      <c r="H13312" s="12"/>
    </row>
    <row r="13313" spans="8:8">
      <c r="H13313" s="12"/>
    </row>
    <row r="13314" spans="8:8">
      <c r="H13314" s="12"/>
    </row>
    <row r="13315" spans="8:8">
      <c r="H13315" s="12"/>
    </row>
    <row r="13316" spans="8:8">
      <c r="H13316" s="12"/>
    </row>
    <row r="13317" spans="8:8">
      <c r="H13317" s="12"/>
    </row>
    <row r="13318" spans="8:8">
      <c r="H13318" s="12"/>
    </row>
    <row r="13319" spans="8:8">
      <c r="H13319" s="12"/>
    </row>
    <row r="13320" spans="8:8">
      <c r="H13320" s="12"/>
    </row>
    <row r="13321" spans="8:8">
      <c r="H13321" s="12"/>
    </row>
    <row r="13322" spans="8:8">
      <c r="H13322" s="12"/>
    </row>
    <row r="13323" spans="8:8">
      <c r="H13323" s="12"/>
    </row>
    <row r="13324" spans="8:8">
      <c r="H13324" s="12"/>
    </row>
    <row r="13325" spans="8:8">
      <c r="H13325" s="12"/>
    </row>
    <row r="13326" spans="8:8">
      <c r="H13326" s="12"/>
    </row>
    <row r="13327" spans="8:8">
      <c r="H13327" s="12"/>
    </row>
    <row r="13328" spans="8:8">
      <c r="H13328" s="12"/>
    </row>
    <row r="13329" spans="8:8">
      <c r="H13329" s="12"/>
    </row>
    <row r="13330" spans="8:8">
      <c r="H13330" s="12"/>
    </row>
    <row r="13331" spans="8:8">
      <c r="H13331" s="12"/>
    </row>
    <row r="13332" spans="8:8">
      <c r="H13332" s="12"/>
    </row>
    <row r="13333" spans="8:8">
      <c r="H13333" s="12"/>
    </row>
    <row r="13334" spans="8:8">
      <c r="H13334" s="12"/>
    </row>
    <row r="13335" spans="8:8">
      <c r="H13335" s="12"/>
    </row>
    <row r="13336" spans="8:8">
      <c r="H13336" s="12"/>
    </row>
    <row r="13337" spans="8:8">
      <c r="H13337" s="12"/>
    </row>
    <row r="13338" spans="8:8">
      <c r="H13338" s="12"/>
    </row>
    <row r="13339" spans="8:8">
      <c r="H13339" s="12"/>
    </row>
    <row r="13340" spans="8:8">
      <c r="H13340" s="12"/>
    </row>
    <row r="13341" spans="8:8">
      <c r="H13341" s="12"/>
    </row>
    <row r="13342" spans="8:8">
      <c r="H13342" s="12"/>
    </row>
    <row r="13343" spans="8:8">
      <c r="H13343" s="12"/>
    </row>
    <row r="13344" spans="8:8">
      <c r="H13344" s="12"/>
    </row>
    <row r="13345" spans="8:8">
      <c r="H13345" s="12"/>
    </row>
    <row r="13346" spans="8:8">
      <c r="H13346" s="12"/>
    </row>
    <row r="13347" spans="8:8">
      <c r="H13347" s="12"/>
    </row>
    <row r="13348" spans="8:8">
      <c r="H13348" s="12"/>
    </row>
    <row r="13349" spans="8:8">
      <c r="H13349" s="12"/>
    </row>
    <row r="13350" spans="8:8">
      <c r="H13350" s="12"/>
    </row>
    <row r="13351" spans="8:8">
      <c r="H13351" s="12"/>
    </row>
    <row r="13352" spans="8:8">
      <c r="H13352" s="12"/>
    </row>
    <row r="13353" spans="8:8">
      <c r="H13353" s="12"/>
    </row>
    <row r="13354" spans="8:8">
      <c r="H13354" s="12"/>
    </row>
    <row r="13355" spans="8:8">
      <c r="H13355" s="12"/>
    </row>
    <row r="13356" spans="8:8">
      <c r="H13356" s="12"/>
    </row>
    <row r="13357" spans="8:8">
      <c r="H13357" s="12"/>
    </row>
    <row r="13358" spans="8:8">
      <c r="H13358" s="12"/>
    </row>
    <row r="13359" spans="8:8">
      <c r="H13359" s="12"/>
    </row>
    <row r="13360" spans="8:8">
      <c r="H13360" s="12"/>
    </row>
    <row r="13361" spans="8:8">
      <c r="H13361" s="12"/>
    </row>
    <row r="13362" spans="8:8">
      <c r="H13362" s="12"/>
    </row>
    <row r="13363" spans="8:8">
      <c r="H13363" s="12"/>
    </row>
    <row r="13364" spans="8:8">
      <c r="H13364" s="12"/>
    </row>
    <row r="13365" spans="8:8">
      <c r="H13365" s="12"/>
    </row>
    <row r="13366" spans="8:8">
      <c r="H13366" s="12"/>
    </row>
    <row r="13367" spans="8:8">
      <c r="H13367" s="12"/>
    </row>
    <row r="13368" spans="8:8">
      <c r="H13368" s="12"/>
    </row>
    <row r="13369" spans="8:8">
      <c r="H13369" s="12"/>
    </row>
    <row r="13370" spans="8:8">
      <c r="H13370" s="12"/>
    </row>
    <row r="13371" spans="8:8">
      <c r="H13371" s="12"/>
    </row>
    <row r="13372" spans="8:8">
      <c r="H13372" s="12"/>
    </row>
    <row r="13373" spans="8:8">
      <c r="H13373" s="12"/>
    </row>
    <row r="13374" spans="8:8">
      <c r="H13374" s="12"/>
    </row>
    <row r="13375" spans="8:8">
      <c r="H13375" s="12"/>
    </row>
    <row r="13376" spans="8:8">
      <c r="H13376" s="12"/>
    </row>
    <row r="13377" spans="8:8">
      <c r="H13377" s="12"/>
    </row>
    <row r="13378" spans="8:8">
      <c r="H13378" s="12"/>
    </row>
    <row r="13379" spans="8:8">
      <c r="H13379" s="12"/>
    </row>
    <row r="13380" spans="8:8">
      <c r="H13380" s="12"/>
    </row>
    <row r="13381" spans="8:8">
      <c r="H13381" s="12"/>
    </row>
    <row r="13382" spans="8:8">
      <c r="H13382" s="12"/>
    </row>
    <row r="13383" spans="8:8">
      <c r="H13383" s="12"/>
    </row>
    <row r="13384" spans="8:8">
      <c r="H13384" s="12"/>
    </row>
    <row r="13385" spans="8:8">
      <c r="H13385" s="12"/>
    </row>
    <row r="13386" spans="8:8">
      <c r="H13386" s="12"/>
    </row>
    <row r="13387" spans="8:8">
      <c r="H13387" s="12"/>
    </row>
    <row r="13388" spans="8:8">
      <c r="H13388" s="12"/>
    </row>
    <row r="13389" spans="8:8">
      <c r="H13389" s="12"/>
    </row>
    <row r="13390" spans="8:8">
      <c r="H13390" s="12"/>
    </row>
    <row r="13391" spans="8:8">
      <c r="H13391" s="12"/>
    </row>
    <row r="13392" spans="8:8">
      <c r="H13392" s="12"/>
    </row>
    <row r="13393" spans="8:8">
      <c r="H13393" s="12"/>
    </row>
    <row r="13394" spans="8:8">
      <c r="H13394" s="12"/>
    </row>
    <row r="13395" spans="8:8">
      <c r="H13395" s="12"/>
    </row>
    <row r="13396" spans="8:8">
      <c r="H13396" s="12"/>
    </row>
    <row r="13397" spans="8:8">
      <c r="H13397" s="12"/>
    </row>
    <row r="13398" spans="8:8">
      <c r="H13398" s="12"/>
    </row>
    <row r="13399" spans="8:8">
      <c r="H13399" s="12"/>
    </row>
    <row r="13400" spans="8:8">
      <c r="H13400" s="12"/>
    </row>
    <row r="13401" spans="8:8">
      <c r="H13401" s="12"/>
    </row>
    <row r="13402" spans="8:8">
      <c r="H13402" s="12"/>
    </row>
    <row r="13403" spans="8:8">
      <c r="H13403" s="12"/>
    </row>
    <row r="13404" spans="8:8">
      <c r="H13404" s="12"/>
    </row>
    <row r="13405" spans="8:8">
      <c r="H13405" s="12"/>
    </row>
    <row r="13406" spans="8:8">
      <c r="H13406" s="12"/>
    </row>
    <row r="13407" spans="8:8">
      <c r="H13407" s="12"/>
    </row>
    <row r="13408" spans="8:8">
      <c r="H13408" s="12"/>
    </row>
    <row r="13409" spans="8:8">
      <c r="H13409" s="12"/>
    </row>
    <row r="13410" spans="8:8">
      <c r="H13410" s="12"/>
    </row>
    <row r="13411" spans="8:8">
      <c r="H13411" s="12"/>
    </row>
    <row r="13412" spans="8:8">
      <c r="H13412" s="12"/>
    </row>
    <row r="13413" spans="8:8">
      <c r="H13413" s="12"/>
    </row>
    <row r="13414" spans="8:8">
      <c r="H13414" s="12"/>
    </row>
    <row r="13415" spans="8:8">
      <c r="H13415" s="12"/>
    </row>
    <row r="13416" spans="8:8">
      <c r="H13416" s="12"/>
    </row>
    <row r="13417" spans="8:8">
      <c r="H13417" s="12"/>
    </row>
    <row r="13418" spans="8:8">
      <c r="H13418" s="12"/>
    </row>
    <row r="13419" spans="8:8">
      <c r="H13419" s="12"/>
    </row>
    <row r="13420" spans="8:8">
      <c r="H13420" s="12"/>
    </row>
    <row r="13421" spans="8:8">
      <c r="H13421" s="12"/>
    </row>
    <row r="13422" spans="8:8">
      <c r="H13422" s="12"/>
    </row>
    <row r="13423" spans="8:8">
      <c r="H13423" s="12"/>
    </row>
    <row r="13424" spans="8:8">
      <c r="H13424" s="12"/>
    </row>
    <row r="13425" spans="8:8">
      <c r="H13425" s="12"/>
    </row>
    <row r="13426" spans="8:8">
      <c r="H13426" s="12"/>
    </row>
    <row r="13427" spans="8:8">
      <c r="H13427" s="12"/>
    </row>
    <row r="13428" spans="8:8">
      <c r="H13428" s="12"/>
    </row>
    <row r="13429" spans="8:8">
      <c r="H13429" s="12"/>
    </row>
    <row r="13430" spans="8:8">
      <c r="H13430" s="12"/>
    </row>
    <row r="13431" spans="8:8">
      <c r="H13431" s="12"/>
    </row>
    <row r="13432" spans="8:8">
      <c r="H13432" s="12"/>
    </row>
    <row r="13433" spans="8:8">
      <c r="H13433" s="12"/>
    </row>
    <row r="13434" spans="8:8">
      <c r="H13434" s="12"/>
    </row>
    <row r="13435" spans="8:8">
      <c r="H13435" s="12"/>
    </row>
    <row r="13436" spans="8:8">
      <c r="H13436" s="12"/>
    </row>
    <row r="13437" spans="8:8">
      <c r="H13437" s="12"/>
    </row>
    <row r="13438" spans="8:8">
      <c r="H13438" s="12"/>
    </row>
    <row r="13439" spans="8:8">
      <c r="H13439" s="12"/>
    </row>
    <row r="13440" spans="8:8">
      <c r="H13440" s="12"/>
    </row>
    <row r="13441" spans="8:8">
      <c r="H13441" s="12"/>
    </row>
    <row r="13442" spans="8:8">
      <c r="H13442" s="12"/>
    </row>
    <row r="13443" spans="8:8">
      <c r="H13443" s="12"/>
    </row>
    <row r="13444" spans="8:8">
      <c r="H13444" s="12"/>
    </row>
    <row r="13445" spans="8:8">
      <c r="H13445" s="12"/>
    </row>
    <row r="13446" spans="8:8">
      <c r="H13446" s="12"/>
    </row>
    <row r="13447" spans="8:8">
      <c r="H13447" s="12"/>
    </row>
    <row r="13448" spans="8:8">
      <c r="H13448" s="12"/>
    </row>
    <row r="13449" spans="8:8">
      <c r="H13449" s="12"/>
    </row>
    <row r="13450" spans="8:8">
      <c r="H13450" s="12"/>
    </row>
    <row r="13451" spans="8:8">
      <c r="H13451" s="12"/>
    </row>
    <row r="13452" spans="8:8">
      <c r="H13452" s="12"/>
    </row>
    <row r="13453" spans="8:8">
      <c r="H13453" s="12"/>
    </row>
    <row r="13454" spans="8:8">
      <c r="H13454" s="12"/>
    </row>
    <row r="13455" spans="8:8">
      <c r="H13455" s="12"/>
    </row>
    <row r="13456" spans="8:8">
      <c r="H13456" s="12"/>
    </row>
    <row r="13457" spans="8:8">
      <c r="H13457" s="12"/>
    </row>
    <row r="13458" spans="8:8">
      <c r="H13458" s="12"/>
    </row>
    <row r="13459" spans="8:8">
      <c r="H13459" s="12"/>
    </row>
    <row r="13460" spans="8:8">
      <c r="H13460" s="12"/>
    </row>
    <row r="13461" spans="8:8">
      <c r="H13461" s="12"/>
    </row>
    <row r="13462" spans="8:8">
      <c r="H13462" s="12"/>
    </row>
    <row r="13463" spans="8:8">
      <c r="H13463" s="12"/>
    </row>
    <row r="13464" spans="8:8">
      <c r="H13464" s="12"/>
    </row>
    <row r="13465" spans="8:8">
      <c r="H13465" s="12"/>
    </row>
    <row r="13466" spans="8:8">
      <c r="H13466" s="12"/>
    </row>
    <row r="13467" spans="8:8">
      <c r="H13467" s="12"/>
    </row>
    <row r="13468" spans="8:8">
      <c r="H13468" s="12"/>
    </row>
    <row r="13469" spans="8:8">
      <c r="H13469" s="12"/>
    </row>
    <row r="13470" spans="8:8">
      <c r="H13470" s="12"/>
    </row>
    <row r="13471" spans="8:8">
      <c r="H13471" s="12"/>
    </row>
    <row r="13472" spans="8:8">
      <c r="H13472" s="12"/>
    </row>
    <row r="13473" spans="8:8">
      <c r="H13473" s="12"/>
    </row>
    <row r="13474" spans="8:8">
      <c r="H13474" s="12"/>
    </row>
    <row r="13475" spans="8:8">
      <c r="H13475" s="12"/>
    </row>
    <row r="13476" spans="8:8">
      <c r="H13476" s="12"/>
    </row>
    <row r="13477" spans="8:8">
      <c r="H13477" s="12"/>
    </row>
    <row r="13478" spans="8:8">
      <c r="H13478" s="12"/>
    </row>
    <row r="13479" spans="8:8">
      <c r="H13479" s="12"/>
    </row>
    <row r="13480" spans="8:8">
      <c r="H13480" s="12"/>
    </row>
    <row r="13481" spans="8:8">
      <c r="H13481" s="12"/>
    </row>
    <row r="13482" spans="8:8">
      <c r="H13482" s="12"/>
    </row>
    <row r="13483" spans="8:8">
      <c r="H13483" s="12"/>
    </row>
    <row r="13484" spans="8:8">
      <c r="H13484" s="12"/>
    </row>
    <row r="13485" spans="8:8">
      <c r="H13485" s="12"/>
    </row>
    <row r="13486" spans="8:8">
      <c r="H13486" s="12"/>
    </row>
    <row r="13487" spans="8:8">
      <c r="H13487" s="12"/>
    </row>
    <row r="13488" spans="8:8">
      <c r="H13488" s="12"/>
    </row>
    <row r="13489" spans="8:8">
      <c r="H13489" s="12"/>
    </row>
    <row r="13490" spans="8:8">
      <c r="H13490" s="12"/>
    </row>
    <row r="13491" spans="8:8">
      <c r="H13491" s="12"/>
    </row>
    <row r="13492" spans="8:8">
      <c r="H13492" s="12"/>
    </row>
    <row r="13493" spans="8:8">
      <c r="H13493" s="12"/>
    </row>
    <row r="13494" spans="8:8">
      <c r="H13494" s="12"/>
    </row>
    <row r="13495" spans="8:8">
      <c r="H13495" s="12"/>
    </row>
    <row r="13496" spans="8:8">
      <c r="H13496" s="12"/>
    </row>
    <row r="13497" spans="8:8">
      <c r="H13497" s="12"/>
    </row>
    <row r="13498" spans="8:8">
      <c r="H13498" s="12"/>
    </row>
    <row r="13499" spans="8:8">
      <c r="H13499" s="12"/>
    </row>
    <row r="13500" spans="8:8">
      <c r="H13500" s="12"/>
    </row>
    <row r="13501" spans="8:8">
      <c r="H13501" s="12"/>
    </row>
    <row r="13502" spans="8:8">
      <c r="H13502" s="12"/>
    </row>
    <row r="13503" spans="8:8">
      <c r="H13503" s="12"/>
    </row>
    <row r="13504" spans="8:8">
      <c r="H13504" s="12"/>
    </row>
    <row r="13505" spans="8:8">
      <c r="H13505" s="12"/>
    </row>
    <row r="13506" spans="8:8">
      <c r="H13506" s="12"/>
    </row>
    <row r="13507" spans="8:8">
      <c r="H13507" s="12"/>
    </row>
    <row r="13508" spans="8:8">
      <c r="H13508" s="12"/>
    </row>
    <row r="13509" spans="8:8">
      <c r="H13509" s="12"/>
    </row>
    <row r="13510" spans="8:8">
      <c r="H13510" s="12"/>
    </row>
    <row r="13511" spans="8:8">
      <c r="H13511" s="12"/>
    </row>
    <row r="13512" spans="8:8">
      <c r="H13512" s="12"/>
    </row>
    <row r="13513" spans="8:8">
      <c r="H13513" s="12"/>
    </row>
    <row r="13514" spans="8:8">
      <c r="H13514" s="12"/>
    </row>
    <row r="13515" spans="8:8">
      <c r="H13515" s="12"/>
    </row>
    <row r="13516" spans="8:8">
      <c r="H13516" s="12"/>
    </row>
    <row r="13517" spans="8:8">
      <c r="H13517" s="12"/>
    </row>
    <row r="13518" spans="8:8">
      <c r="H13518" s="12"/>
    </row>
    <row r="13519" spans="8:8">
      <c r="H13519" s="12"/>
    </row>
    <row r="13520" spans="8:8">
      <c r="H13520" s="12"/>
    </row>
    <row r="13521" spans="8:8">
      <c r="H13521" s="12"/>
    </row>
    <row r="13522" spans="8:8">
      <c r="H13522" s="12"/>
    </row>
    <row r="13523" spans="8:8">
      <c r="H13523" s="12"/>
    </row>
    <row r="13524" spans="8:8">
      <c r="H13524" s="12"/>
    </row>
    <row r="13525" spans="8:8">
      <c r="H13525" s="12"/>
    </row>
    <row r="13526" spans="8:8">
      <c r="H13526" s="12"/>
    </row>
    <row r="13527" spans="8:8">
      <c r="H13527" s="12"/>
    </row>
    <row r="13528" spans="8:8">
      <c r="H13528" s="12"/>
    </row>
    <row r="13529" spans="8:8">
      <c r="H13529" s="12"/>
    </row>
    <row r="13530" spans="8:8">
      <c r="H13530" s="12"/>
    </row>
    <row r="13531" spans="8:8">
      <c r="H13531" s="12"/>
    </row>
    <row r="13532" spans="8:8">
      <c r="H13532" s="12"/>
    </row>
    <row r="13533" spans="8:8">
      <c r="H13533" s="12"/>
    </row>
    <row r="13534" spans="8:8">
      <c r="H13534" s="12"/>
    </row>
    <row r="13535" spans="8:8">
      <c r="H13535" s="12"/>
    </row>
    <row r="13536" spans="8:8">
      <c r="H13536" s="12"/>
    </row>
    <row r="13537" spans="8:8">
      <c r="H13537" s="12"/>
    </row>
    <row r="13538" spans="8:8">
      <c r="H13538" s="12"/>
    </row>
    <row r="13539" spans="8:8">
      <c r="H13539" s="12"/>
    </row>
    <row r="13540" spans="8:8">
      <c r="H13540" s="12"/>
    </row>
    <row r="13541" spans="8:8">
      <c r="H13541" s="12"/>
    </row>
    <row r="13542" spans="8:8">
      <c r="H13542" s="12"/>
    </row>
    <row r="13543" spans="8:8">
      <c r="H13543" s="12"/>
    </row>
    <row r="13544" spans="8:8">
      <c r="H13544" s="12"/>
    </row>
    <row r="13545" spans="8:8">
      <c r="H13545" s="12"/>
    </row>
    <row r="13546" spans="8:8">
      <c r="H13546" s="12"/>
    </row>
    <row r="13547" spans="8:8">
      <c r="H13547" s="12"/>
    </row>
    <row r="13548" spans="8:8">
      <c r="H13548" s="12"/>
    </row>
    <row r="13549" spans="8:8">
      <c r="H13549" s="12"/>
    </row>
    <row r="13550" spans="8:8">
      <c r="H13550" s="12"/>
    </row>
    <row r="13551" spans="8:8">
      <c r="H13551" s="12"/>
    </row>
    <row r="13552" spans="8:8">
      <c r="H13552" s="12"/>
    </row>
    <row r="13553" spans="8:8">
      <c r="H13553" s="12"/>
    </row>
    <row r="13554" spans="8:8">
      <c r="H13554" s="12"/>
    </row>
    <row r="13555" spans="8:8">
      <c r="H13555" s="12"/>
    </row>
    <row r="13556" spans="8:8">
      <c r="H13556" s="12"/>
    </row>
    <row r="13557" spans="8:8">
      <c r="H13557" s="12"/>
    </row>
    <row r="13558" spans="8:8">
      <c r="H13558" s="12"/>
    </row>
    <row r="13559" spans="8:8">
      <c r="H13559" s="12"/>
    </row>
    <row r="13560" spans="8:8">
      <c r="H13560" s="12"/>
    </row>
    <row r="13561" spans="8:8">
      <c r="H13561" s="12"/>
    </row>
    <row r="13562" spans="8:8">
      <c r="H13562" s="12"/>
    </row>
    <row r="13563" spans="8:8">
      <c r="H13563" s="12"/>
    </row>
    <row r="13564" spans="8:8">
      <c r="H13564" s="12"/>
    </row>
    <row r="13565" spans="8:8">
      <c r="H13565" s="12"/>
    </row>
    <row r="13566" spans="8:8">
      <c r="H13566" s="12"/>
    </row>
    <row r="13567" spans="8:8">
      <c r="H13567" s="12"/>
    </row>
    <row r="13568" spans="8:8">
      <c r="H13568" s="12"/>
    </row>
    <row r="13569" spans="8:8">
      <c r="H13569" s="12"/>
    </row>
    <row r="13570" spans="8:8">
      <c r="H13570" s="12"/>
    </row>
    <row r="13571" spans="8:8">
      <c r="H13571" s="12"/>
    </row>
    <row r="13572" spans="8:8">
      <c r="H13572" s="12"/>
    </row>
    <row r="13573" spans="8:8">
      <c r="H13573" s="12"/>
    </row>
    <row r="13574" spans="8:8">
      <c r="H13574" s="12"/>
    </row>
    <row r="13575" spans="8:8">
      <c r="H13575" s="12"/>
    </row>
    <row r="13576" spans="8:8">
      <c r="H13576" s="12"/>
    </row>
    <row r="13577" spans="8:8">
      <c r="H13577" s="12"/>
    </row>
    <row r="13578" spans="8:8">
      <c r="H13578" s="12"/>
    </row>
    <row r="13579" spans="8:8">
      <c r="H13579" s="12"/>
    </row>
    <row r="13580" spans="8:8">
      <c r="H13580" s="12"/>
    </row>
    <row r="13581" spans="8:8">
      <c r="H13581" s="12"/>
    </row>
    <row r="13582" spans="8:8">
      <c r="H13582" s="12"/>
    </row>
    <row r="13583" spans="8:8">
      <c r="H13583" s="12"/>
    </row>
    <row r="13584" spans="8:8">
      <c r="H13584" s="12"/>
    </row>
    <row r="13585" spans="8:8">
      <c r="H13585" s="12"/>
    </row>
    <row r="13586" spans="8:8">
      <c r="H13586" s="12"/>
    </row>
    <row r="13587" spans="8:8">
      <c r="H13587" s="12"/>
    </row>
    <row r="13588" spans="8:8">
      <c r="H13588" s="12"/>
    </row>
    <row r="13589" spans="8:8">
      <c r="H13589" s="12"/>
    </row>
    <row r="13590" spans="8:8">
      <c r="H13590" s="12"/>
    </row>
    <row r="13591" spans="8:8">
      <c r="H13591" s="12"/>
    </row>
    <row r="13592" spans="8:8">
      <c r="H13592" s="12"/>
    </row>
    <row r="13593" spans="8:8">
      <c r="H13593" s="12"/>
    </row>
    <row r="13594" spans="8:8">
      <c r="H13594" s="12"/>
    </row>
    <row r="13595" spans="8:8">
      <c r="H13595" s="12"/>
    </row>
    <row r="13596" spans="8:8">
      <c r="H13596" s="12"/>
    </row>
    <row r="13597" spans="8:8">
      <c r="H13597" s="12"/>
    </row>
    <row r="13598" spans="8:8">
      <c r="H13598" s="12"/>
    </row>
    <row r="13599" spans="8:8">
      <c r="H13599" s="12"/>
    </row>
    <row r="13600" spans="8:8">
      <c r="H13600" s="12"/>
    </row>
    <row r="13601" spans="8:8">
      <c r="H13601" s="12"/>
    </row>
    <row r="13602" spans="8:8">
      <c r="H13602" s="12"/>
    </row>
    <row r="13603" spans="8:8">
      <c r="H13603" s="12"/>
    </row>
    <row r="13604" spans="8:8">
      <c r="H13604" s="12"/>
    </row>
    <row r="13605" spans="8:8">
      <c r="H13605" s="12"/>
    </row>
    <row r="13606" spans="8:8">
      <c r="H13606" s="12"/>
    </row>
    <row r="13607" spans="8:8">
      <c r="H13607" s="12"/>
    </row>
    <row r="13608" spans="8:8">
      <c r="H13608" s="12"/>
    </row>
    <row r="13609" spans="8:8">
      <c r="H13609" s="12"/>
    </row>
    <row r="13610" spans="8:8">
      <c r="H13610" s="12"/>
    </row>
    <row r="13611" spans="8:8">
      <c r="H13611" s="12"/>
    </row>
    <row r="13612" spans="8:8">
      <c r="H13612" s="12"/>
    </row>
    <row r="13613" spans="8:8">
      <c r="H13613" s="12"/>
    </row>
    <row r="13614" spans="8:8">
      <c r="H13614" s="12"/>
    </row>
    <row r="13615" spans="8:8">
      <c r="H13615" s="12"/>
    </row>
    <row r="13616" spans="8:8">
      <c r="H13616" s="12"/>
    </row>
    <row r="13617" spans="8:8">
      <c r="H13617" s="12"/>
    </row>
    <row r="13618" spans="8:8">
      <c r="H13618" s="12"/>
    </row>
    <row r="13619" spans="8:8">
      <c r="H13619" s="12"/>
    </row>
    <row r="13620" spans="8:8">
      <c r="H13620" s="12"/>
    </row>
    <row r="13621" spans="8:8">
      <c r="H13621" s="12"/>
    </row>
    <row r="13622" spans="8:8">
      <c r="H13622" s="12"/>
    </row>
    <row r="13623" spans="8:8">
      <c r="H13623" s="12"/>
    </row>
    <row r="13624" spans="8:8">
      <c r="H13624" s="12"/>
    </row>
    <row r="13625" spans="8:8">
      <c r="H13625" s="12"/>
    </row>
    <row r="13626" spans="8:8">
      <c r="H13626" s="12"/>
    </row>
    <row r="13627" spans="8:8">
      <c r="H13627" s="12"/>
    </row>
    <row r="13628" spans="8:8">
      <c r="H13628" s="12"/>
    </row>
    <row r="13629" spans="8:8">
      <c r="H13629" s="12"/>
    </row>
    <row r="13630" spans="8:8">
      <c r="H13630" s="12"/>
    </row>
    <row r="13631" spans="8:8">
      <c r="H13631" s="12"/>
    </row>
    <row r="13632" spans="8:8">
      <c r="H13632" s="12"/>
    </row>
    <row r="13633" spans="8:8">
      <c r="H13633" s="12"/>
    </row>
    <row r="13634" spans="8:8">
      <c r="H13634" s="12"/>
    </row>
    <row r="13635" spans="8:8">
      <c r="H13635" s="12"/>
    </row>
    <row r="13636" spans="8:8">
      <c r="H13636" s="12"/>
    </row>
    <row r="13637" spans="8:8">
      <c r="H13637" s="12"/>
    </row>
    <row r="13638" spans="8:8">
      <c r="H13638" s="12"/>
    </row>
    <row r="13639" spans="8:8">
      <c r="H13639" s="12"/>
    </row>
    <row r="13640" spans="8:8">
      <c r="H13640" s="12"/>
    </row>
    <row r="13641" spans="8:8">
      <c r="H13641" s="12"/>
    </row>
    <row r="13642" spans="8:8">
      <c r="H13642" s="12"/>
    </row>
    <row r="13643" spans="8:8">
      <c r="H13643" s="12"/>
    </row>
    <row r="13644" spans="8:8">
      <c r="H13644" s="12"/>
    </row>
    <row r="13645" spans="8:8">
      <c r="H13645" s="12"/>
    </row>
    <row r="13646" spans="8:8">
      <c r="H13646" s="12"/>
    </row>
    <row r="13647" spans="8:8">
      <c r="H13647" s="12"/>
    </row>
    <row r="13648" spans="8:8">
      <c r="H13648" s="12"/>
    </row>
    <row r="13649" spans="8:8">
      <c r="H13649" s="12"/>
    </row>
    <row r="13650" spans="8:8">
      <c r="H13650" s="12"/>
    </row>
    <row r="13651" spans="8:8">
      <c r="H13651" s="12"/>
    </row>
    <row r="13652" spans="8:8">
      <c r="H13652" s="12"/>
    </row>
    <row r="13653" spans="8:8">
      <c r="H13653" s="12"/>
    </row>
    <row r="13654" spans="8:8">
      <c r="H13654" s="12"/>
    </row>
    <row r="13655" spans="8:8">
      <c r="H13655" s="12"/>
    </row>
    <row r="13656" spans="8:8">
      <c r="H13656" s="12"/>
    </row>
    <row r="13657" spans="8:8">
      <c r="H13657" s="12"/>
    </row>
    <row r="13658" spans="8:8">
      <c r="H13658" s="12"/>
    </row>
    <row r="13659" spans="8:8">
      <c r="H13659" s="12"/>
    </row>
    <row r="13660" spans="8:8">
      <c r="H13660" s="12"/>
    </row>
    <row r="13661" spans="8:8">
      <c r="H13661" s="12"/>
    </row>
    <row r="13662" spans="8:8">
      <c r="H13662" s="12"/>
    </row>
    <row r="13663" spans="8:8">
      <c r="H13663" s="12"/>
    </row>
    <row r="13664" spans="8:8">
      <c r="H13664" s="12"/>
    </row>
    <row r="13665" spans="8:8">
      <c r="H13665" s="12"/>
    </row>
    <row r="13666" spans="8:8">
      <c r="H13666" s="12"/>
    </row>
    <row r="13667" spans="8:8">
      <c r="H13667" s="12"/>
    </row>
    <row r="13668" spans="8:8">
      <c r="H13668" s="12"/>
    </row>
    <row r="13669" spans="8:8">
      <c r="H13669" s="12"/>
    </row>
    <row r="13670" spans="8:8">
      <c r="H13670" s="12"/>
    </row>
    <row r="13671" spans="8:8">
      <c r="H13671" s="12"/>
    </row>
    <row r="13672" spans="8:8">
      <c r="H13672" s="12"/>
    </row>
    <row r="13673" spans="8:8">
      <c r="H13673" s="12"/>
    </row>
    <row r="13674" spans="8:8">
      <c r="H13674" s="12"/>
    </row>
    <row r="13675" spans="8:8">
      <c r="H13675" s="12"/>
    </row>
    <row r="13676" spans="8:8">
      <c r="H13676" s="12"/>
    </row>
    <row r="13677" spans="8:8">
      <c r="H13677" s="12"/>
    </row>
    <row r="13678" spans="8:8">
      <c r="H13678" s="12"/>
    </row>
    <row r="13679" spans="8:8">
      <c r="H13679" s="12"/>
    </row>
    <row r="13680" spans="8:8">
      <c r="H13680" s="12"/>
    </row>
    <row r="13681" spans="8:8">
      <c r="H13681" s="12"/>
    </row>
    <row r="13682" spans="8:8">
      <c r="H13682" s="12"/>
    </row>
    <row r="13683" spans="8:8">
      <c r="H13683" s="12"/>
    </row>
    <row r="13684" spans="8:8">
      <c r="H13684" s="12"/>
    </row>
    <row r="13685" spans="8:8">
      <c r="H13685" s="12"/>
    </row>
    <row r="13686" spans="8:8">
      <c r="H13686" s="12"/>
    </row>
    <row r="13687" spans="8:8">
      <c r="H13687" s="12"/>
    </row>
    <row r="13688" spans="8:8">
      <c r="H13688" s="12"/>
    </row>
    <row r="13689" spans="8:8">
      <c r="H13689" s="12"/>
    </row>
    <row r="13690" spans="8:8">
      <c r="H13690" s="12"/>
    </row>
    <row r="13691" spans="8:8">
      <c r="H13691" s="12"/>
    </row>
    <row r="13692" spans="8:8">
      <c r="H13692" s="12"/>
    </row>
    <row r="13693" spans="8:8">
      <c r="H13693" s="12"/>
    </row>
    <row r="13694" spans="8:8">
      <c r="H13694" s="12"/>
    </row>
    <row r="13695" spans="8:8">
      <c r="H13695" s="12"/>
    </row>
    <row r="13696" spans="8:8">
      <c r="H13696" s="12"/>
    </row>
    <row r="13697" spans="8:8">
      <c r="H13697" s="12"/>
    </row>
    <row r="13698" spans="8:8">
      <c r="H13698" s="12"/>
    </row>
    <row r="13699" spans="8:8">
      <c r="H13699" s="12"/>
    </row>
    <row r="13700" spans="8:8">
      <c r="H13700" s="12"/>
    </row>
    <row r="13701" spans="8:8">
      <c r="H13701" s="12"/>
    </row>
    <row r="13702" spans="8:8">
      <c r="H13702" s="12"/>
    </row>
    <row r="13703" spans="8:8">
      <c r="H13703" s="12"/>
    </row>
    <row r="13704" spans="8:8">
      <c r="H13704" s="12"/>
    </row>
    <row r="13705" spans="8:8">
      <c r="H13705" s="12"/>
    </row>
    <row r="13706" spans="8:8">
      <c r="H13706" s="12"/>
    </row>
    <row r="13707" spans="8:8">
      <c r="H13707" s="12"/>
    </row>
    <row r="13708" spans="8:8">
      <c r="H13708" s="12"/>
    </row>
    <row r="13709" spans="8:8">
      <c r="H13709" s="12"/>
    </row>
    <row r="13710" spans="8:8">
      <c r="H13710" s="12"/>
    </row>
    <row r="13711" spans="8:8">
      <c r="H13711" s="12"/>
    </row>
    <row r="13712" spans="8:8">
      <c r="H13712" s="12"/>
    </row>
    <row r="13713" spans="8:8">
      <c r="H13713" s="12"/>
    </row>
    <row r="13714" spans="8:8">
      <c r="H13714" s="12"/>
    </row>
    <row r="13715" spans="8:8">
      <c r="H13715" s="12"/>
    </row>
    <row r="13716" spans="8:8">
      <c r="H13716" s="12"/>
    </row>
    <row r="13717" spans="8:8">
      <c r="H13717" s="12"/>
    </row>
    <row r="13718" spans="8:8">
      <c r="H13718" s="12"/>
    </row>
    <row r="13719" spans="8:8">
      <c r="H13719" s="12"/>
    </row>
    <row r="13720" spans="8:8">
      <c r="H13720" s="12"/>
    </row>
    <row r="13721" spans="8:8">
      <c r="H13721" s="12"/>
    </row>
    <row r="13722" spans="8:8">
      <c r="H13722" s="12"/>
    </row>
    <row r="13723" spans="8:8">
      <c r="H13723" s="12"/>
    </row>
    <row r="13724" spans="8:8">
      <c r="H13724" s="12"/>
    </row>
    <row r="13725" spans="8:8">
      <c r="H13725" s="12"/>
    </row>
    <row r="13726" spans="8:8">
      <c r="H13726" s="12"/>
    </row>
    <row r="13727" spans="8:8">
      <c r="H13727" s="12"/>
    </row>
    <row r="13728" spans="8:8">
      <c r="H13728" s="12"/>
    </row>
    <row r="13729" spans="8:8">
      <c r="H13729" s="12"/>
    </row>
    <row r="13730" spans="8:8">
      <c r="H13730" s="12"/>
    </row>
    <row r="13731" spans="8:8">
      <c r="H13731" s="12"/>
    </row>
    <row r="13732" spans="8:8">
      <c r="H13732" s="12"/>
    </row>
    <row r="13733" spans="8:8">
      <c r="H13733" s="12"/>
    </row>
    <row r="13734" spans="8:8">
      <c r="H13734" s="12"/>
    </row>
    <row r="13735" spans="8:8">
      <c r="H13735" s="12"/>
    </row>
    <row r="13736" spans="8:8">
      <c r="H13736" s="12"/>
    </row>
    <row r="13737" spans="8:8">
      <c r="H13737" s="12"/>
    </row>
    <row r="13738" spans="8:8">
      <c r="H13738" s="12"/>
    </row>
    <row r="13739" spans="8:8">
      <c r="H13739" s="12"/>
    </row>
    <row r="13740" spans="8:8">
      <c r="H13740" s="12"/>
    </row>
    <row r="13741" spans="8:8">
      <c r="H13741" s="12"/>
    </row>
    <row r="13742" spans="8:8">
      <c r="H13742" s="12"/>
    </row>
    <row r="13743" spans="8:8">
      <c r="H13743" s="12"/>
    </row>
    <row r="13744" spans="8:8">
      <c r="H13744" s="12"/>
    </row>
    <row r="13745" spans="8:8">
      <c r="H13745" s="12"/>
    </row>
    <row r="13746" spans="8:8">
      <c r="H13746" s="12"/>
    </row>
    <row r="13747" spans="8:8">
      <c r="H13747" s="12"/>
    </row>
    <row r="13748" spans="8:8">
      <c r="H13748" s="12"/>
    </row>
    <row r="13749" spans="8:8">
      <c r="H13749" s="12"/>
    </row>
    <row r="13750" spans="8:8">
      <c r="H13750" s="12"/>
    </row>
    <row r="13751" spans="8:8">
      <c r="H13751" s="12"/>
    </row>
    <row r="13752" spans="8:8">
      <c r="H13752" s="12"/>
    </row>
    <row r="13753" spans="8:8">
      <c r="H13753" s="12"/>
    </row>
    <row r="13754" spans="8:8">
      <c r="H13754" s="12"/>
    </row>
    <row r="13755" spans="8:8">
      <c r="H13755" s="12"/>
    </row>
    <row r="13756" spans="8:8">
      <c r="H13756" s="12"/>
    </row>
    <row r="13757" spans="8:8">
      <c r="H13757" s="12"/>
    </row>
    <row r="13758" spans="8:8">
      <c r="H13758" s="12"/>
    </row>
    <row r="13759" spans="8:8">
      <c r="H13759" s="12"/>
    </row>
    <row r="13760" spans="8:8">
      <c r="H13760" s="12"/>
    </row>
    <row r="13761" spans="8:8">
      <c r="H13761" s="12"/>
    </row>
    <row r="13762" spans="8:8">
      <c r="H13762" s="12"/>
    </row>
    <row r="13763" spans="8:8">
      <c r="H13763" s="12"/>
    </row>
    <row r="13764" spans="8:8">
      <c r="H13764" s="12"/>
    </row>
    <row r="13765" spans="8:8">
      <c r="H13765" s="12"/>
    </row>
    <row r="13766" spans="8:8">
      <c r="H13766" s="12"/>
    </row>
    <row r="13767" spans="8:8">
      <c r="H13767" s="12"/>
    </row>
    <row r="13768" spans="8:8">
      <c r="H13768" s="12"/>
    </row>
    <row r="13769" spans="8:8">
      <c r="H13769" s="12"/>
    </row>
    <row r="13770" spans="8:8">
      <c r="H13770" s="12"/>
    </row>
    <row r="13771" spans="8:8">
      <c r="H13771" s="12"/>
    </row>
    <row r="13772" spans="8:8">
      <c r="H13772" s="12"/>
    </row>
    <row r="13773" spans="8:8">
      <c r="H13773" s="12"/>
    </row>
    <row r="13774" spans="8:8">
      <c r="H13774" s="12"/>
    </row>
    <row r="13775" spans="8:8">
      <c r="H13775" s="12"/>
    </row>
    <row r="13776" spans="8:8">
      <c r="H13776" s="12"/>
    </row>
    <row r="13777" spans="8:8">
      <c r="H13777" s="12"/>
    </row>
    <row r="13778" spans="8:8">
      <c r="H13778" s="12"/>
    </row>
    <row r="13779" spans="8:8">
      <c r="H13779" s="12"/>
    </row>
    <row r="13780" spans="8:8">
      <c r="H13780" s="12"/>
    </row>
    <row r="13781" spans="8:8">
      <c r="H13781" s="12"/>
    </row>
    <row r="13782" spans="8:8">
      <c r="H13782" s="12"/>
    </row>
    <row r="13783" spans="8:8">
      <c r="H13783" s="12"/>
    </row>
    <row r="13784" spans="8:8">
      <c r="H13784" s="12"/>
    </row>
    <row r="13785" spans="8:8">
      <c r="H13785" s="12"/>
    </row>
    <row r="13786" spans="8:8">
      <c r="H13786" s="12"/>
    </row>
    <row r="13787" spans="8:8">
      <c r="H13787" s="12"/>
    </row>
    <row r="13788" spans="8:8">
      <c r="H13788" s="12"/>
    </row>
    <row r="13789" spans="8:8">
      <c r="H13789" s="12"/>
    </row>
    <row r="13790" spans="8:8">
      <c r="H13790" s="12"/>
    </row>
    <row r="13791" spans="8:8">
      <c r="H13791" s="12"/>
    </row>
    <row r="13792" spans="8:8">
      <c r="H13792" s="12"/>
    </row>
    <row r="13793" spans="8:8">
      <c r="H13793" s="12"/>
    </row>
    <row r="13794" spans="8:8">
      <c r="H13794" s="12"/>
    </row>
    <row r="13795" spans="8:8">
      <c r="H13795" s="12"/>
    </row>
    <row r="13796" spans="8:8">
      <c r="H13796" s="12"/>
    </row>
    <row r="13797" spans="8:8">
      <c r="H13797" s="12"/>
    </row>
    <row r="13798" spans="8:8">
      <c r="H13798" s="12"/>
    </row>
    <row r="13799" spans="8:8">
      <c r="H13799" s="12"/>
    </row>
    <row r="13800" spans="8:8">
      <c r="H13800" s="12"/>
    </row>
    <row r="13801" spans="8:8">
      <c r="H13801" s="12"/>
    </row>
    <row r="13802" spans="8:8">
      <c r="H13802" s="12"/>
    </row>
    <row r="13803" spans="8:8">
      <c r="H13803" s="12"/>
    </row>
    <row r="13804" spans="8:8">
      <c r="H13804" s="12"/>
    </row>
    <row r="13805" spans="8:8">
      <c r="H13805" s="12"/>
    </row>
    <row r="13806" spans="8:8">
      <c r="H13806" s="12"/>
    </row>
    <row r="13807" spans="8:8">
      <c r="H13807" s="12"/>
    </row>
    <row r="13808" spans="8:8">
      <c r="H13808" s="12"/>
    </row>
    <row r="13809" spans="8:8">
      <c r="H13809" s="12"/>
    </row>
    <row r="13810" spans="8:8">
      <c r="H13810" s="12"/>
    </row>
    <row r="13811" spans="8:8">
      <c r="H13811" s="12"/>
    </row>
    <row r="13812" spans="8:8">
      <c r="H13812" s="12"/>
    </row>
    <row r="13813" spans="8:8">
      <c r="H13813" s="12"/>
    </row>
    <row r="13814" spans="8:8">
      <c r="H13814" s="12"/>
    </row>
    <row r="13815" spans="8:8">
      <c r="H13815" s="12"/>
    </row>
    <row r="13816" spans="8:8">
      <c r="H13816" s="12"/>
    </row>
    <row r="13817" spans="8:8">
      <c r="H13817" s="12"/>
    </row>
    <row r="13818" spans="8:8">
      <c r="H13818" s="12"/>
    </row>
    <row r="13819" spans="8:8">
      <c r="H13819" s="12"/>
    </row>
    <row r="13820" spans="8:8">
      <c r="H13820" s="12"/>
    </row>
    <row r="13821" spans="8:8">
      <c r="H13821" s="12"/>
    </row>
    <row r="13822" spans="8:8">
      <c r="H13822" s="12"/>
    </row>
    <row r="13823" spans="8:8">
      <c r="H13823" s="12"/>
    </row>
    <row r="13824" spans="8:8">
      <c r="H13824" s="12"/>
    </row>
    <row r="13825" spans="8:8">
      <c r="H13825" s="12"/>
    </row>
    <row r="13826" spans="8:8">
      <c r="H13826" s="12"/>
    </row>
    <row r="13827" spans="8:8">
      <c r="H13827" s="12"/>
    </row>
    <row r="13828" spans="8:8">
      <c r="H13828" s="12"/>
    </row>
    <row r="13829" spans="8:8">
      <c r="H13829" s="12"/>
    </row>
    <row r="13830" spans="8:8">
      <c r="H13830" s="12"/>
    </row>
    <row r="13831" spans="8:8">
      <c r="H13831" s="12"/>
    </row>
    <row r="13832" spans="8:8">
      <c r="H13832" s="12"/>
    </row>
    <row r="13833" spans="8:8">
      <c r="H13833" s="12"/>
    </row>
    <row r="13834" spans="8:8">
      <c r="H13834" s="12"/>
    </row>
    <row r="13835" spans="8:8">
      <c r="H13835" s="12"/>
    </row>
    <row r="13836" spans="8:8">
      <c r="H13836" s="12"/>
    </row>
    <row r="13837" spans="8:8">
      <c r="H13837" s="12"/>
    </row>
    <row r="13838" spans="8:8">
      <c r="H13838" s="12"/>
    </row>
    <row r="13839" spans="8:8">
      <c r="H13839" s="12"/>
    </row>
    <row r="13840" spans="8:8">
      <c r="H13840" s="12"/>
    </row>
    <row r="13841" spans="8:8">
      <c r="H13841" s="12"/>
    </row>
    <row r="13842" spans="8:8">
      <c r="H13842" s="12"/>
    </row>
    <row r="13843" spans="8:8">
      <c r="H13843" s="12"/>
    </row>
    <row r="13844" spans="8:8">
      <c r="H13844" s="12"/>
    </row>
    <row r="13845" spans="8:8">
      <c r="H13845" s="12"/>
    </row>
    <row r="13846" spans="8:8">
      <c r="H13846" s="12"/>
    </row>
    <row r="13847" spans="8:8">
      <c r="H13847" s="12"/>
    </row>
    <row r="13848" spans="8:8">
      <c r="H13848" s="12"/>
    </row>
    <row r="13849" spans="8:8">
      <c r="H13849" s="12"/>
    </row>
    <row r="13850" spans="8:8">
      <c r="H13850" s="12"/>
    </row>
    <row r="13851" spans="8:8">
      <c r="H13851" s="12"/>
    </row>
    <row r="13852" spans="8:8">
      <c r="H13852" s="12"/>
    </row>
    <row r="13853" spans="8:8">
      <c r="H13853" s="12"/>
    </row>
    <row r="13854" spans="8:8">
      <c r="H13854" s="12"/>
    </row>
    <row r="13855" spans="8:8">
      <c r="H13855" s="12"/>
    </row>
    <row r="13856" spans="8:8">
      <c r="H13856" s="12"/>
    </row>
    <row r="13857" spans="8:8">
      <c r="H13857" s="12"/>
    </row>
    <row r="13858" spans="8:8">
      <c r="H13858" s="12"/>
    </row>
    <row r="13859" spans="8:8">
      <c r="H13859" s="12"/>
    </row>
    <row r="13860" spans="8:8">
      <c r="H13860" s="12"/>
    </row>
    <row r="13861" spans="8:8">
      <c r="H13861" s="12"/>
    </row>
    <row r="13862" spans="8:8">
      <c r="H13862" s="12"/>
    </row>
    <row r="13863" spans="8:8">
      <c r="H13863" s="12"/>
    </row>
    <row r="13864" spans="8:8">
      <c r="H13864" s="12"/>
    </row>
    <row r="13865" spans="8:8">
      <c r="H13865" s="12"/>
    </row>
    <row r="13866" spans="8:8">
      <c r="H13866" s="12"/>
    </row>
    <row r="13867" spans="8:8">
      <c r="H13867" s="12"/>
    </row>
    <row r="13868" spans="8:8">
      <c r="H13868" s="12"/>
    </row>
    <row r="13869" spans="8:8">
      <c r="H13869" s="12"/>
    </row>
    <row r="13870" spans="8:8">
      <c r="H13870" s="12"/>
    </row>
    <row r="13871" spans="8:8">
      <c r="H13871" s="12"/>
    </row>
    <row r="13872" spans="8:8">
      <c r="H13872" s="12"/>
    </row>
    <row r="13873" spans="8:8">
      <c r="H13873" s="12"/>
    </row>
    <row r="13874" spans="8:8">
      <c r="H13874" s="12"/>
    </row>
    <row r="13875" spans="8:8">
      <c r="H13875" s="12"/>
    </row>
    <row r="13876" spans="8:8">
      <c r="H13876" s="12"/>
    </row>
    <row r="13877" spans="8:8">
      <c r="H13877" s="12"/>
    </row>
    <row r="13878" spans="8:8">
      <c r="H13878" s="12"/>
    </row>
    <row r="13879" spans="8:8">
      <c r="H13879" s="12"/>
    </row>
    <row r="13880" spans="8:8">
      <c r="H13880" s="12"/>
    </row>
    <row r="13881" spans="8:8">
      <c r="H13881" s="12"/>
    </row>
    <row r="13882" spans="8:8">
      <c r="H13882" s="12"/>
    </row>
    <row r="13883" spans="8:8">
      <c r="H13883" s="12"/>
    </row>
    <row r="13884" spans="8:8">
      <c r="H13884" s="12"/>
    </row>
    <row r="13885" spans="8:8">
      <c r="H13885" s="12"/>
    </row>
    <row r="13886" spans="8:8">
      <c r="H13886" s="12"/>
    </row>
    <row r="13887" spans="8:8">
      <c r="H13887" s="12"/>
    </row>
    <row r="13888" spans="8:8">
      <c r="H13888" s="12"/>
    </row>
    <row r="13889" spans="8:8">
      <c r="H13889" s="12"/>
    </row>
    <row r="13890" spans="8:8">
      <c r="H13890" s="12"/>
    </row>
    <row r="13891" spans="8:8">
      <c r="H13891" s="12"/>
    </row>
    <row r="13892" spans="8:8">
      <c r="H13892" s="12"/>
    </row>
    <row r="13893" spans="8:8">
      <c r="H13893" s="12"/>
    </row>
    <row r="13894" spans="8:8">
      <c r="H13894" s="12"/>
    </row>
    <row r="13895" spans="8:8">
      <c r="H13895" s="12"/>
    </row>
    <row r="13896" spans="8:8">
      <c r="H13896" s="12"/>
    </row>
    <row r="13897" spans="8:8">
      <c r="H13897" s="12"/>
    </row>
    <row r="13898" spans="8:8">
      <c r="H13898" s="12"/>
    </row>
    <row r="13899" spans="8:8">
      <c r="H13899" s="12"/>
    </row>
    <row r="13900" spans="8:8">
      <c r="H13900" s="12"/>
    </row>
    <row r="13901" spans="8:8">
      <c r="H13901" s="12"/>
    </row>
    <row r="13902" spans="8:8">
      <c r="H13902" s="12"/>
    </row>
    <row r="13903" spans="8:8">
      <c r="H13903" s="12"/>
    </row>
    <row r="13904" spans="8:8">
      <c r="H13904" s="12"/>
    </row>
    <row r="13905" spans="8:8">
      <c r="H13905" s="12"/>
    </row>
    <row r="13906" spans="8:8">
      <c r="H13906" s="12"/>
    </row>
    <row r="13907" spans="8:8">
      <c r="H13907" s="12"/>
    </row>
    <row r="13908" spans="8:8">
      <c r="H13908" s="12"/>
    </row>
    <row r="13909" spans="8:8">
      <c r="H13909" s="12"/>
    </row>
    <row r="13910" spans="8:8">
      <c r="H13910" s="12"/>
    </row>
    <row r="13911" spans="8:8">
      <c r="H13911" s="12"/>
    </row>
    <row r="13912" spans="8:8">
      <c r="H13912" s="12"/>
    </row>
    <row r="13913" spans="8:8">
      <c r="H13913" s="12"/>
    </row>
    <row r="13914" spans="8:8">
      <c r="H13914" s="12"/>
    </row>
    <row r="13915" spans="8:8">
      <c r="H13915" s="12"/>
    </row>
    <row r="13916" spans="8:8">
      <c r="H13916" s="12"/>
    </row>
    <row r="13917" spans="8:8">
      <c r="H13917" s="12"/>
    </row>
    <row r="13918" spans="8:8">
      <c r="H13918" s="12"/>
    </row>
    <row r="13919" spans="8:8">
      <c r="H13919" s="12"/>
    </row>
    <row r="13920" spans="8:8">
      <c r="H13920" s="12"/>
    </row>
    <row r="13921" spans="8:8">
      <c r="H13921" s="12"/>
    </row>
    <row r="13922" spans="8:8">
      <c r="H13922" s="12"/>
    </row>
    <row r="13923" spans="8:8">
      <c r="H13923" s="12"/>
    </row>
    <row r="13924" spans="8:8">
      <c r="H13924" s="12"/>
    </row>
    <row r="13925" spans="8:8">
      <c r="H13925" s="12"/>
    </row>
    <row r="13926" spans="8:8">
      <c r="H13926" s="12"/>
    </row>
    <row r="13927" spans="8:8">
      <c r="H13927" s="12"/>
    </row>
    <row r="13928" spans="8:8">
      <c r="H13928" s="12"/>
    </row>
    <row r="13929" spans="8:8">
      <c r="H13929" s="12"/>
    </row>
    <row r="13930" spans="8:8">
      <c r="H13930" s="12"/>
    </row>
    <row r="13931" spans="8:8">
      <c r="H13931" s="12"/>
    </row>
    <row r="13932" spans="8:8">
      <c r="H13932" s="12"/>
    </row>
    <row r="13933" spans="8:8">
      <c r="H13933" s="12"/>
    </row>
    <row r="13934" spans="8:8">
      <c r="H13934" s="12"/>
    </row>
    <row r="13935" spans="8:8">
      <c r="H13935" s="12"/>
    </row>
    <row r="13936" spans="8:8">
      <c r="H13936" s="12"/>
    </row>
    <row r="13937" spans="8:8">
      <c r="H13937" s="12"/>
    </row>
    <row r="13938" spans="8:8">
      <c r="H13938" s="12"/>
    </row>
    <row r="13939" spans="8:8">
      <c r="H13939" s="12"/>
    </row>
    <row r="13940" spans="8:8">
      <c r="H13940" s="12"/>
    </row>
    <row r="13941" spans="8:8">
      <c r="H13941" s="12"/>
    </row>
    <row r="13942" spans="8:8">
      <c r="H13942" s="12"/>
    </row>
    <row r="13943" spans="8:8">
      <c r="H13943" s="12"/>
    </row>
    <row r="13944" spans="8:8">
      <c r="H13944" s="12"/>
    </row>
    <row r="13945" spans="8:8">
      <c r="H13945" s="12"/>
    </row>
    <row r="13946" spans="8:8">
      <c r="H13946" s="12"/>
    </row>
    <row r="13947" spans="8:8">
      <c r="H13947" s="12"/>
    </row>
    <row r="13948" spans="8:8">
      <c r="H13948" s="12"/>
    </row>
    <row r="13949" spans="8:8">
      <c r="H13949" s="12"/>
    </row>
    <row r="13950" spans="8:8">
      <c r="H13950" s="12"/>
    </row>
    <row r="13951" spans="8:8">
      <c r="H13951" s="12"/>
    </row>
    <row r="13952" spans="8:8">
      <c r="H13952" s="12"/>
    </row>
    <row r="13953" spans="8:8">
      <c r="H13953" s="12"/>
    </row>
    <row r="13954" spans="8:8">
      <c r="H13954" s="12"/>
    </row>
    <row r="13955" spans="8:8">
      <c r="H13955" s="12"/>
    </row>
    <row r="13956" spans="8:8">
      <c r="H13956" s="12"/>
    </row>
    <row r="13957" spans="8:8">
      <c r="H13957" s="12"/>
    </row>
    <row r="13958" spans="8:8">
      <c r="H13958" s="12"/>
    </row>
    <row r="13959" spans="8:8">
      <c r="H13959" s="12"/>
    </row>
    <row r="13960" spans="8:8">
      <c r="H13960" s="12"/>
    </row>
    <row r="13961" spans="8:8">
      <c r="H13961" s="12"/>
    </row>
    <row r="13962" spans="8:8">
      <c r="H13962" s="12"/>
    </row>
    <row r="13963" spans="8:8">
      <c r="H13963" s="12"/>
    </row>
    <row r="13964" spans="8:8">
      <c r="H13964" s="12"/>
    </row>
    <row r="13965" spans="8:8">
      <c r="H13965" s="12"/>
    </row>
    <row r="13966" spans="8:8">
      <c r="H13966" s="12"/>
    </row>
    <row r="13967" spans="8:8">
      <c r="H13967" s="12"/>
    </row>
    <row r="13968" spans="8:8">
      <c r="H13968" s="12"/>
    </row>
    <row r="13969" spans="8:8">
      <c r="H13969" s="12"/>
    </row>
    <row r="13970" spans="8:8">
      <c r="H13970" s="12"/>
    </row>
    <row r="13971" spans="8:8">
      <c r="H13971" s="12"/>
    </row>
    <row r="13972" spans="8:8">
      <c r="H13972" s="12"/>
    </row>
    <row r="13973" spans="8:8">
      <c r="H13973" s="12"/>
    </row>
    <row r="13974" spans="8:8">
      <c r="H13974" s="12"/>
    </row>
    <row r="13975" spans="8:8">
      <c r="H13975" s="12"/>
    </row>
    <row r="13976" spans="8:8">
      <c r="H13976" s="12"/>
    </row>
    <row r="13977" spans="8:8">
      <c r="H13977" s="12"/>
    </row>
    <row r="13978" spans="8:8">
      <c r="H13978" s="12"/>
    </row>
    <row r="13979" spans="8:8">
      <c r="H13979" s="12"/>
    </row>
    <row r="13980" spans="8:8">
      <c r="H13980" s="12"/>
    </row>
    <row r="13981" spans="8:8">
      <c r="H13981" s="12"/>
    </row>
    <row r="13982" spans="8:8">
      <c r="H13982" s="12"/>
    </row>
    <row r="13983" spans="8:8">
      <c r="H13983" s="12"/>
    </row>
    <row r="13984" spans="8:8">
      <c r="H13984" s="12"/>
    </row>
    <row r="13985" spans="8:8">
      <c r="H13985" s="12"/>
    </row>
    <row r="13986" spans="8:8">
      <c r="H13986" s="12"/>
    </row>
    <row r="13987" spans="8:8">
      <c r="H13987" s="12"/>
    </row>
    <row r="13988" spans="8:8">
      <c r="H13988" s="12"/>
    </row>
    <row r="13989" spans="8:8">
      <c r="H13989" s="12"/>
    </row>
    <row r="13990" spans="8:8">
      <c r="H13990" s="12"/>
    </row>
    <row r="13991" spans="8:8">
      <c r="H13991" s="12"/>
    </row>
    <row r="13992" spans="8:8">
      <c r="H13992" s="12"/>
    </row>
    <row r="13993" spans="8:8">
      <c r="H13993" s="12"/>
    </row>
    <row r="13994" spans="8:8">
      <c r="H13994" s="12"/>
    </row>
    <row r="13995" spans="8:8">
      <c r="H13995" s="12"/>
    </row>
    <row r="13996" spans="8:8">
      <c r="H13996" s="12"/>
    </row>
    <row r="13997" spans="8:8">
      <c r="H13997" s="12"/>
    </row>
    <row r="13998" spans="8:8">
      <c r="H13998" s="12"/>
    </row>
    <row r="13999" spans="8:8">
      <c r="H13999" s="12"/>
    </row>
    <row r="14000" spans="8:8">
      <c r="H14000" s="12"/>
    </row>
    <row r="14001" spans="8:8">
      <c r="H14001" s="12"/>
    </row>
    <row r="14002" spans="8:8">
      <c r="H14002" s="12"/>
    </row>
    <row r="14003" spans="8:8">
      <c r="H14003" s="12"/>
    </row>
    <row r="14004" spans="8:8">
      <c r="H14004" s="12"/>
    </row>
    <row r="14005" spans="8:8">
      <c r="H14005" s="12"/>
    </row>
    <row r="14006" spans="8:8">
      <c r="H14006" s="12"/>
    </row>
    <row r="14007" spans="8:8">
      <c r="H14007" s="12"/>
    </row>
    <row r="14008" spans="8:8">
      <c r="H14008" s="12"/>
    </row>
    <row r="14009" spans="8:8">
      <c r="H14009" s="12"/>
    </row>
    <row r="14010" spans="8:8">
      <c r="H14010" s="12"/>
    </row>
    <row r="14011" spans="8:8">
      <c r="H14011" s="12"/>
    </row>
    <row r="14012" spans="8:8">
      <c r="H14012" s="12"/>
    </row>
    <row r="14013" spans="8:8">
      <c r="H14013" s="12"/>
    </row>
    <row r="14014" spans="8:8">
      <c r="H14014" s="12"/>
    </row>
    <row r="14015" spans="8:8">
      <c r="H14015" s="12"/>
    </row>
    <row r="14016" spans="8:8">
      <c r="H14016" s="12"/>
    </row>
    <row r="14017" spans="8:8">
      <c r="H14017" s="12"/>
    </row>
    <row r="14018" spans="8:8">
      <c r="H14018" s="12"/>
    </row>
    <row r="14019" spans="8:8">
      <c r="H14019" s="12"/>
    </row>
    <row r="14020" spans="8:8">
      <c r="H14020" s="12"/>
    </row>
    <row r="14021" spans="8:8">
      <c r="H14021" s="12"/>
    </row>
    <row r="14022" spans="8:8">
      <c r="H14022" s="12"/>
    </row>
    <row r="14023" spans="8:8">
      <c r="H14023" s="12"/>
    </row>
    <row r="14024" spans="8:8">
      <c r="H14024" s="12"/>
    </row>
    <row r="14025" spans="8:8">
      <c r="H14025" s="12"/>
    </row>
    <row r="14026" spans="8:8">
      <c r="H14026" s="12"/>
    </row>
    <row r="14027" spans="8:8">
      <c r="H14027" s="12"/>
    </row>
    <row r="14028" spans="8:8">
      <c r="H14028" s="12"/>
    </row>
    <row r="14029" spans="8:8">
      <c r="H14029" s="12"/>
    </row>
    <row r="14030" spans="8:8">
      <c r="H14030" s="12"/>
    </row>
    <row r="14031" spans="8:8">
      <c r="H14031" s="12"/>
    </row>
    <row r="14032" spans="8:8">
      <c r="H14032" s="12"/>
    </row>
    <row r="14033" spans="8:8">
      <c r="H14033" s="12"/>
    </row>
    <row r="14034" spans="8:8">
      <c r="H14034" s="12"/>
    </row>
    <row r="14035" spans="8:8">
      <c r="H14035" s="12"/>
    </row>
    <row r="14036" spans="8:8">
      <c r="H14036" s="12"/>
    </row>
    <row r="14037" spans="8:8">
      <c r="H14037" s="12"/>
    </row>
    <row r="14038" spans="8:8">
      <c r="H14038" s="12"/>
    </row>
    <row r="14039" spans="8:8">
      <c r="H14039" s="12"/>
    </row>
    <row r="14040" spans="8:8">
      <c r="H14040" s="12"/>
    </row>
    <row r="14041" spans="8:8">
      <c r="H14041" s="12"/>
    </row>
    <row r="14042" spans="8:8">
      <c r="H14042" s="12"/>
    </row>
    <row r="14043" spans="8:8">
      <c r="H14043" s="12"/>
    </row>
    <row r="14044" spans="8:8">
      <c r="H14044" s="12"/>
    </row>
    <row r="14045" spans="8:8">
      <c r="H14045" s="12"/>
    </row>
    <row r="14046" spans="8:8">
      <c r="H14046" s="12"/>
    </row>
    <row r="14047" spans="8:8">
      <c r="H14047" s="12"/>
    </row>
    <row r="14048" spans="8:8">
      <c r="H14048" s="12"/>
    </row>
    <row r="14049" spans="8:8">
      <c r="H14049" s="12"/>
    </row>
    <row r="14050" spans="8:8">
      <c r="H14050" s="12"/>
    </row>
    <row r="14051" spans="8:8">
      <c r="H14051" s="12"/>
    </row>
    <row r="14052" spans="8:8">
      <c r="H14052" s="12"/>
    </row>
    <row r="14053" spans="8:8">
      <c r="H14053" s="12"/>
    </row>
    <row r="14054" spans="8:8">
      <c r="H14054" s="12"/>
    </row>
    <row r="14055" spans="8:8">
      <c r="H14055" s="12"/>
    </row>
    <row r="14056" spans="8:8">
      <c r="H14056" s="12"/>
    </row>
    <row r="14057" spans="8:8">
      <c r="H14057" s="12"/>
    </row>
    <row r="14058" spans="8:8">
      <c r="H14058" s="12"/>
    </row>
    <row r="14059" spans="8:8">
      <c r="H14059" s="12"/>
    </row>
    <row r="14060" spans="8:8">
      <c r="H14060" s="12"/>
    </row>
    <row r="14061" spans="8:8">
      <c r="H14061" s="12"/>
    </row>
    <row r="14062" spans="8:8">
      <c r="H14062" s="12"/>
    </row>
    <row r="14063" spans="8:8">
      <c r="H14063" s="12"/>
    </row>
    <row r="14064" spans="8:8">
      <c r="H14064" s="12"/>
    </row>
    <row r="14065" spans="8:8">
      <c r="H14065" s="12"/>
    </row>
    <row r="14066" spans="8:8">
      <c r="H14066" s="12"/>
    </row>
    <row r="14067" spans="8:8">
      <c r="H14067" s="12"/>
    </row>
    <row r="14068" spans="8:8">
      <c r="H14068" s="12"/>
    </row>
    <row r="14069" spans="8:8">
      <c r="H14069" s="12"/>
    </row>
    <row r="14070" spans="8:8">
      <c r="H14070" s="12"/>
    </row>
    <row r="14071" spans="8:8">
      <c r="H14071" s="12"/>
    </row>
    <row r="14072" spans="8:8">
      <c r="H14072" s="12"/>
    </row>
    <row r="14073" spans="8:8">
      <c r="H14073" s="12"/>
    </row>
    <row r="14074" spans="8:8">
      <c r="H14074" s="12"/>
    </row>
    <row r="14075" spans="8:8">
      <c r="H14075" s="12"/>
    </row>
    <row r="14076" spans="8:8">
      <c r="H14076" s="12"/>
    </row>
    <row r="14077" spans="8:8">
      <c r="H14077" s="12"/>
    </row>
    <row r="14078" spans="8:8">
      <c r="H14078" s="12"/>
    </row>
    <row r="14079" spans="8:8">
      <c r="H14079" s="12"/>
    </row>
    <row r="14080" spans="8:8">
      <c r="H14080" s="12"/>
    </row>
    <row r="14081" spans="8:8">
      <c r="H14081" s="12"/>
    </row>
    <row r="14082" spans="8:8">
      <c r="H14082" s="12"/>
    </row>
    <row r="14083" spans="8:8">
      <c r="H14083" s="12"/>
    </row>
    <row r="14084" spans="8:8">
      <c r="H14084" s="12"/>
    </row>
    <row r="14085" spans="8:8">
      <c r="H14085" s="12"/>
    </row>
    <row r="14086" spans="8:8">
      <c r="H14086" s="12"/>
    </row>
    <row r="14087" spans="8:8">
      <c r="H14087" s="12"/>
    </row>
    <row r="14088" spans="8:8">
      <c r="H14088" s="12"/>
    </row>
    <row r="14089" spans="8:8">
      <c r="H14089" s="12"/>
    </row>
    <row r="14090" spans="8:8">
      <c r="H14090" s="12"/>
    </row>
    <row r="14091" spans="8:8">
      <c r="H14091" s="12"/>
    </row>
    <row r="14092" spans="8:8">
      <c r="H14092" s="12"/>
    </row>
    <row r="14093" spans="8:8">
      <c r="H14093" s="12"/>
    </row>
    <row r="14094" spans="8:8">
      <c r="H14094" s="12"/>
    </row>
    <row r="14095" spans="8:8">
      <c r="H14095" s="12"/>
    </row>
    <row r="14096" spans="8:8">
      <c r="H14096" s="12"/>
    </row>
    <row r="14097" spans="8:8">
      <c r="H14097" s="12"/>
    </row>
    <row r="14098" spans="8:8">
      <c r="H14098" s="12"/>
    </row>
    <row r="14099" spans="8:8">
      <c r="H14099" s="12"/>
    </row>
    <row r="14100" spans="8:8">
      <c r="H14100" s="12"/>
    </row>
    <row r="14101" spans="8:8">
      <c r="H14101" s="12"/>
    </row>
    <row r="14102" spans="8:8">
      <c r="H14102" s="12"/>
    </row>
    <row r="14103" spans="8:8">
      <c r="H14103" s="12"/>
    </row>
    <row r="14104" spans="8:8">
      <c r="H14104" s="12"/>
    </row>
    <row r="14105" spans="8:8">
      <c r="H14105" s="12"/>
    </row>
    <row r="14106" spans="8:8">
      <c r="H14106" s="12"/>
    </row>
    <row r="14107" spans="8:8">
      <c r="H14107" s="12"/>
    </row>
    <row r="14108" spans="8:8">
      <c r="H14108" s="12"/>
    </row>
    <row r="14109" spans="8:8">
      <c r="H14109" s="12"/>
    </row>
    <row r="14110" spans="8:8">
      <c r="H14110" s="12"/>
    </row>
    <row r="14111" spans="8:8">
      <c r="H14111" s="12"/>
    </row>
    <row r="14112" spans="8:8">
      <c r="H14112" s="12"/>
    </row>
    <row r="14113" spans="8:8">
      <c r="H14113" s="12"/>
    </row>
    <row r="14114" spans="8:8">
      <c r="H14114" s="12"/>
    </row>
    <row r="14115" spans="8:8">
      <c r="H14115" s="12"/>
    </row>
    <row r="14116" spans="8:8">
      <c r="H14116" s="12"/>
    </row>
    <row r="14117" spans="8:8">
      <c r="H14117" s="12"/>
    </row>
    <row r="14118" spans="8:8">
      <c r="H14118" s="12"/>
    </row>
    <row r="14119" spans="8:8">
      <c r="H14119" s="12"/>
    </row>
    <row r="14120" spans="8:8">
      <c r="H14120" s="12"/>
    </row>
    <row r="14121" spans="8:8">
      <c r="H14121" s="12"/>
    </row>
    <row r="14122" spans="8:8">
      <c r="H14122" s="12"/>
    </row>
    <row r="14123" spans="8:8">
      <c r="H14123" s="12"/>
    </row>
    <row r="14124" spans="8:8">
      <c r="H14124" s="12"/>
    </row>
    <row r="14125" spans="8:8">
      <c r="H14125" s="12"/>
    </row>
    <row r="14126" spans="8:8">
      <c r="H14126" s="12"/>
    </row>
    <row r="14127" spans="8:8">
      <c r="H14127" s="12"/>
    </row>
    <row r="14128" spans="8:8">
      <c r="H14128" s="12"/>
    </row>
    <row r="14129" spans="8:8">
      <c r="H14129" s="12"/>
    </row>
    <row r="14130" spans="8:8">
      <c r="H14130" s="12"/>
    </row>
    <row r="14131" spans="8:8">
      <c r="H14131" s="12"/>
    </row>
    <row r="14132" spans="8:8">
      <c r="H14132" s="12"/>
    </row>
    <row r="14133" spans="8:8">
      <c r="H14133" s="12"/>
    </row>
    <row r="14134" spans="8:8">
      <c r="H14134" s="12"/>
    </row>
    <row r="14135" spans="8:8">
      <c r="H14135" s="12"/>
    </row>
    <row r="14136" spans="8:8">
      <c r="H14136" s="12"/>
    </row>
    <row r="14137" spans="8:8">
      <c r="H14137" s="12"/>
    </row>
    <row r="14138" spans="8:8">
      <c r="H14138" s="12"/>
    </row>
    <row r="14139" spans="8:8">
      <c r="H14139" s="12"/>
    </row>
    <row r="14140" spans="8:8">
      <c r="H14140" s="12"/>
    </row>
    <row r="14141" spans="8:8">
      <c r="H14141" s="12"/>
    </row>
    <row r="14142" spans="8:8">
      <c r="H14142" s="12"/>
    </row>
    <row r="14143" spans="8:8">
      <c r="H14143" s="12"/>
    </row>
    <row r="14144" spans="8:8">
      <c r="H14144" s="12"/>
    </row>
    <row r="14145" spans="8:8">
      <c r="H14145" s="12"/>
    </row>
    <row r="14146" spans="8:8">
      <c r="H14146" s="12"/>
    </row>
    <row r="14147" spans="8:8">
      <c r="H14147" s="12"/>
    </row>
    <row r="14148" spans="8:8">
      <c r="H14148" s="12"/>
    </row>
    <row r="14149" spans="8:8">
      <c r="H14149" s="12"/>
    </row>
    <row r="14150" spans="8:8">
      <c r="H14150" s="12"/>
    </row>
    <row r="14151" spans="8:8">
      <c r="H14151" s="12"/>
    </row>
    <row r="14152" spans="8:8">
      <c r="H14152" s="12"/>
    </row>
    <row r="14153" spans="8:8">
      <c r="H14153" s="12"/>
    </row>
    <row r="14154" spans="8:8">
      <c r="H14154" s="12"/>
    </row>
    <row r="14155" spans="8:8">
      <c r="H14155" s="12"/>
    </row>
    <row r="14156" spans="8:8">
      <c r="H14156" s="12"/>
    </row>
    <row r="14157" spans="8:8">
      <c r="H14157" s="12"/>
    </row>
    <row r="14158" spans="8:8">
      <c r="H14158" s="12"/>
    </row>
    <row r="14159" spans="8:8">
      <c r="H14159" s="12"/>
    </row>
    <row r="14160" spans="8:8">
      <c r="H14160" s="12"/>
    </row>
    <row r="14161" spans="8:8">
      <c r="H14161" s="12"/>
    </row>
    <row r="14162" spans="8:8">
      <c r="H14162" s="12"/>
    </row>
    <row r="14163" spans="8:8">
      <c r="H14163" s="12"/>
    </row>
    <row r="14164" spans="8:8">
      <c r="H14164" s="12"/>
    </row>
    <row r="14165" spans="8:8">
      <c r="H14165" s="12"/>
    </row>
    <row r="14166" spans="8:8">
      <c r="H14166" s="12"/>
    </row>
    <row r="14167" spans="8:8">
      <c r="H14167" s="12"/>
    </row>
    <row r="14168" spans="8:8">
      <c r="H14168" s="12"/>
    </row>
    <row r="14169" spans="8:8">
      <c r="H14169" s="12"/>
    </row>
    <row r="14170" spans="8:8">
      <c r="H14170" s="12"/>
    </row>
    <row r="14171" spans="8:8">
      <c r="H14171" s="12"/>
    </row>
    <row r="14172" spans="8:8">
      <c r="H14172" s="12"/>
    </row>
    <row r="14173" spans="8:8">
      <c r="H14173" s="12"/>
    </row>
    <row r="14174" spans="8:8">
      <c r="H14174" s="12"/>
    </row>
    <row r="14175" spans="8:8">
      <c r="H14175" s="12"/>
    </row>
    <row r="14176" spans="8:8">
      <c r="H14176" s="12"/>
    </row>
    <row r="14177" spans="8:8">
      <c r="H14177" s="12"/>
    </row>
    <row r="14178" spans="8:8">
      <c r="H14178" s="12"/>
    </row>
    <row r="14179" spans="8:8">
      <c r="H14179" s="12"/>
    </row>
    <row r="14180" spans="8:8">
      <c r="H14180" s="12"/>
    </row>
    <row r="14181" spans="8:8">
      <c r="H14181" s="12"/>
    </row>
    <row r="14182" spans="8:8">
      <c r="H14182" s="12"/>
    </row>
    <row r="14183" spans="8:8">
      <c r="H14183" s="12"/>
    </row>
    <row r="14184" spans="8:8">
      <c r="H14184" s="12"/>
    </row>
    <row r="14185" spans="8:8">
      <c r="H14185" s="12"/>
    </row>
    <row r="14186" spans="8:8">
      <c r="H14186" s="12"/>
    </row>
    <row r="14187" spans="8:8">
      <c r="H14187" s="12"/>
    </row>
    <row r="14188" spans="8:8">
      <c r="H14188" s="12"/>
    </row>
    <row r="14189" spans="8:8">
      <c r="H14189" s="12"/>
    </row>
    <row r="14190" spans="8:8">
      <c r="H14190" s="12"/>
    </row>
    <row r="14191" spans="8:8">
      <c r="H14191" s="12"/>
    </row>
    <row r="14192" spans="8:8">
      <c r="H14192" s="12"/>
    </row>
    <row r="14193" spans="8:8">
      <c r="H14193" s="12"/>
    </row>
    <row r="14194" spans="8:8">
      <c r="H14194" s="12"/>
    </row>
    <row r="14195" spans="8:8">
      <c r="H14195" s="12"/>
    </row>
    <row r="14196" spans="8:8">
      <c r="H14196" s="12"/>
    </row>
    <row r="14197" spans="8:8">
      <c r="H14197" s="12"/>
    </row>
    <row r="14198" spans="8:8">
      <c r="H14198" s="12"/>
    </row>
    <row r="14199" spans="8:8">
      <c r="H14199" s="12"/>
    </row>
    <row r="14200" spans="8:8">
      <c r="H14200" s="12"/>
    </row>
    <row r="14201" spans="8:8">
      <c r="H14201" s="12"/>
    </row>
    <row r="14202" spans="8:8">
      <c r="H14202" s="12"/>
    </row>
    <row r="14203" spans="8:8">
      <c r="H14203" s="12"/>
    </row>
    <row r="14204" spans="8:8">
      <c r="H14204" s="12"/>
    </row>
    <row r="14205" spans="8:8">
      <c r="H14205" s="12"/>
    </row>
    <row r="14206" spans="8:8">
      <c r="H14206" s="12"/>
    </row>
    <row r="14207" spans="8:8">
      <c r="H14207" s="12"/>
    </row>
    <row r="14208" spans="8:8">
      <c r="H14208" s="12"/>
    </row>
    <row r="14209" spans="8:8">
      <c r="H14209" s="12"/>
    </row>
    <row r="14210" spans="8:8">
      <c r="H14210" s="12"/>
    </row>
    <row r="14211" spans="8:8">
      <c r="H14211" s="12"/>
    </row>
    <row r="14212" spans="8:8">
      <c r="H14212" s="12"/>
    </row>
    <row r="14213" spans="8:8">
      <c r="H14213" s="12"/>
    </row>
    <row r="14214" spans="8:8">
      <c r="H14214" s="12"/>
    </row>
    <row r="14215" spans="8:8">
      <c r="H14215" s="12"/>
    </row>
    <row r="14216" spans="8:8">
      <c r="H14216" s="12"/>
    </row>
    <row r="14217" spans="8:8">
      <c r="H14217" s="12"/>
    </row>
    <row r="14218" spans="8:8">
      <c r="H14218" s="12"/>
    </row>
    <row r="14219" spans="8:8">
      <c r="H14219" s="12"/>
    </row>
    <row r="14220" spans="8:8">
      <c r="H14220" s="12"/>
    </row>
    <row r="14221" spans="8:8">
      <c r="H14221" s="12"/>
    </row>
    <row r="14222" spans="8:8">
      <c r="H14222" s="12"/>
    </row>
    <row r="14223" spans="8:8">
      <c r="H14223" s="12"/>
    </row>
    <row r="14224" spans="8:8">
      <c r="H14224" s="12"/>
    </row>
    <row r="14225" spans="8:8">
      <c r="H14225" s="12"/>
    </row>
    <row r="14226" spans="8:8">
      <c r="H14226" s="12"/>
    </row>
    <row r="14227" spans="8:8">
      <c r="H14227" s="12"/>
    </row>
    <row r="14228" spans="8:8">
      <c r="H14228" s="12"/>
    </row>
    <row r="14229" spans="8:8">
      <c r="H14229" s="12"/>
    </row>
    <row r="14230" spans="8:8">
      <c r="H14230" s="12"/>
    </row>
    <row r="14231" spans="8:8">
      <c r="H14231" s="12"/>
    </row>
    <row r="14232" spans="8:8">
      <c r="H14232" s="12"/>
    </row>
    <row r="14233" spans="8:8">
      <c r="H14233" s="12"/>
    </row>
    <row r="14234" spans="8:8">
      <c r="H14234" s="12"/>
    </row>
    <row r="14235" spans="8:8">
      <c r="H14235" s="12"/>
    </row>
    <row r="14236" spans="8:8">
      <c r="H14236" s="12"/>
    </row>
    <row r="14237" spans="8:8">
      <c r="H14237" s="12"/>
    </row>
    <row r="14238" spans="8:8">
      <c r="H14238" s="12"/>
    </row>
    <row r="14239" spans="8:8">
      <c r="H14239" s="12"/>
    </row>
    <row r="14240" spans="8:8">
      <c r="H14240" s="12"/>
    </row>
    <row r="14241" spans="8:8">
      <c r="H14241" s="12"/>
    </row>
    <row r="14242" spans="8:8">
      <c r="H14242" s="12"/>
    </row>
    <row r="14243" spans="8:8">
      <c r="H14243" s="12"/>
    </row>
    <row r="14244" spans="8:8">
      <c r="H14244" s="12"/>
    </row>
    <row r="14245" spans="8:8">
      <c r="H14245" s="12"/>
    </row>
    <row r="14246" spans="8:8">
      <c r="H14246" s="12"/>
    </row>
    <row r="14247" spans="8:8">
      <c r="H14247" s="12"/>
    </row>
    <row r="14248" spans="8:8">
      <c r="H14248" s="12"/>
    </row>
    <row r="14249" spans="8:8">
      <c r="H14249" s="12"/>
    </row>
    <row r="14250" spans="8:8">
      <c r="H14250" s="12"/>
    </row>
    <row r="14251" spans="8:8">
      <c r="H14251" s="12"/>
    </row>
    <row r="14252" spans="8:8">
      <c r="H14252" s="12"/>
    </row>
    <row r="14253" spans="8:8">
      <c r="H14253" s="12"/>
    </row>
    <row r="14254" spans="8:8">
      <c r="H14254" s="12"/>
    </row>
    <row r="14255" spans="8:8">
      <c r="H14255" s="12"/>
    </row>
    <row r="14256" spans="8:8">
      <c r="H14256" s="12"/>
    </row>
    <row r="14257" spans="8:8">
      <c r="H14257" s="12"/>
    </row>
    <row r="14258" spans="8:8">
      <c r="H14258" s="12"/>
    </row>
    <row r="14259" spans="8:8">
      <c r="H14259" s="12"/>
    </row>
    <row r="14260" spans="8:8">
      <c r="H14260" s="12"/>
    </row>
    <row r="14261" spans="8:8">
      <c r="H14261" s="12"/>
    </row>
    <row r="14262" spans="8:8">
      <c r="H14262" s="12"/>
    </row>
    <row r="14263" spans="8:8">
      <c r="H14263" s="12"/>
    </row>
    <row r="14264" spans="8:8">
      <c r="H14264" s="12"/>
    </row>
    <row r="14265" spans="8:8">
      <c r="H14265" s="12"/>
    </row>
    <row r="14266" spans="8:8">
      <c r="H14266" s="12"/>
    </row>
    <row r="14267" spans="8:8">
      <c r="H14267" s="12"/>
    </row>
    <row r="14268" spans="8:8">
      <c r="H14268" s="12"/>
    </row>
    <row r="14269" spans="8:8">
      <c r="H14269" s="12"/>
    </row>
    <row r="14270" spans="8:8">
      <c r="H14270" s="12"/>
    </row>
    <row r="14271" spans="8:8">
      <c r="H14271" s="12"/>
    </row>
    <row r="14272" spans="8:8">
      <c r="H14272" s="12"/>
    </row>
    <row r="14273" spans="8:8">
      <c r="H14273" s="12"/>
    </row>
    <row r="14274" spans="8:8">
      <c r="H14274" s="12"/>
    </row>
    <row r="14275" spans="8:8">
      <c r="H14275" s="12"/>
    </row>
    <row r="14276" spans="8:8">
      <c r="H14276" s="12"/>
    </row>
    <row r="14277" spans="8:8">
      <c r="H14277" s="12"/>
    </row>
    <row r="14278" spans="8:8">
      <c r="H14278" s="12"/>
    </row>
    <row r="14279" spans="8:8">
      <c r="H14279" s="12"/>
    </row>
    <row r="14280" spans="8:8">
      <c r="H14280" s="12"/>
    </row>
    <row r="14281" spans="8:8">
      <c r="H14281" s="12"/>
    </row>
    <row r="14282" spans="8:8">
      <c r="H14282" s="12"/>
    </row>
    <row r="14283" spans="8:8">
      <c r="H14283" s="12"/>
    </row>
    <row r="14284" spans="8:8">
      <c r="H14284" s="12"/>
    </row>
    <row r="14285" spans="8:8">
      <c r="H14285" s="12"/>
    </row>
    <row r="14286" spans="8:8">
      <c r="H14286" s="12"/>
    </row>
    <row r="14287" spans="8:8">
      <c r="H14287" s="12"/>
    </row>
    <row r="14288" spans="8:8">
      <c r="H14288" s="12"/>
    </row>
    <row r="14289" spans="8:8">
      <c r="H14289" s="12"/>
    </row>
    <row r="14290" spans="8:8">
      <c r="H14290" s="12"/>
    </row>
    <row r="14291" spans="8:8">
      <c r="H14291" s="12"/>
    </row>
    <row r="14292" spans="8:8">
      <c r="H14292" s="12"/>
    </row>
    <row r="14293" spans="8:8">
      <c r="H14293" s="12"/>
    </row>
    <row r="14294" spans="8:8">
      <c r="H14294" s="12"/>
    </row>
    <row r="14295" spans="8:8">
      <c r="H14295" s="12"/>
    </row>
    <row r="14296" spans="8:8">
      <c r="H14296" s="12"/>
    </row>
    <row r="14297" spans="8:8">
      <c r="H14297" s="12"/>
    </row>
    <row r="14298" spans="8:8">
      <c r="H14298" s="12"/>
    </row>
    <row r="14299" spans="8:8">
      <c r="H14299" s="12"/>
    </row>
    <row r="14300" spans="8:8">
      <c r="H14300" s="12"/>
    </row>
    <row r="14301" spans="8:8">
      <c r="H14301" s="12"/>
    </row>
    <row r="14302" spans="8:8">
      <c r="H14302" s="12"/>
    </row>
    <row r="14303" spans="8:8">
      <c r="H14303" s="12"/>
    </row>
    <row r="14304" spans="8:8">
      <c r="H14304" s="12"/>
    </row>
    <row r="14305" spans="8:8">
      <c r="H14305" s="12"/>
    </row>
    <row r="14306" spans="8:8">
      <c r="H14306" s="12"/>
    </row>
    <row r="14307" spans="8:8">
      <c r="H14307" s="12"/>
    </row>
    <row r="14308" spans="8:8">
      <c r="H14308" s="12"/>
    </row>
    <row r="14309" spans="8:8">
      <c r="H14309" s="12"/>
    </row>
    <row r="14310" spans="8:8">
      <c r="H14310" s="12"/>
    </row>
    <row r="14311" spans="8:8">
      <c r="H14311" s="12"/>
    </row>
    <row r="14312" spans="8:8">
      <c r="H14312" s="12"/>
    </row>
    <row r="14313" spans="8:8">
      <c r="H14313" s="12"/>
    </row>
    <row r="14314" spans="8:8">
      <c r="H14314" s="12"/>
    </row>
    <row r="14315" spans="8:8">
      <c r="H14315" s="12"/>
    </row>
    <row r="14316" spans="8:8">
      <c r="H14316" s="12"/>
    </row>
    <row r="14317" spans="8:8">
      <c r="H14317" s="12"/>
    </row>
    <row r="14318" spans="8:8">
      <c r="H14318" s="12"/>
    </row>
    <row r="14319" spans="8:8">
      <c r="H14319" s="12"/>
    </row>
    <row r="14320" spans="8:8">
      <c r="H14320" s="12"/>
    </row>
    <row r="14321" spans="8:8">
      <c r="H14321" s="12"/>
    </row>
    <row r="14322" spans="8:8">
      <c r="H14322" s="12"/>
    </row>
    <row r="14323" spans="8:8">
      <c r="H14323" s="12"/>
    </row>
    <row r="14324" spans="8:8">
      <c r="H14324" s="12"/>
    </row>
    <row r="14325" spans="8:8">
      <c r="H14325" s="12"/>
    </row>
    <row r="14326" spans="8:8">
      <c r="H14326" s="12"/>
    </row>
    <row r="14327" spans="8:8">
      <c r="H14327" s="12"/>
    </row>
    <row r="14328" spans="8:8">
      <c r="H14328" s="12"/>
    </row>
    <row r="14329" spans="8:8">
      <c r="H14329" s="12"/>
    </row>
    <row r="14330" spans="8:8">
      <c r="H14330" s="12"/>
    </row>
    <row r="14331" spans="8:8">
      <c r="H14331" s="12"/>
    </row>
    <row r="14332" spans="8:8">
      <c r="H14332" s="12"/>
    </row>
    <row r="14333" spans="8:8">
      <c r="H14333" s="12"/>
    </row>
    <row r="14334" spans="8:8">
      <c r="H14334" s="12"/>
    </row>
    <row r="14335" spans="8:8">
      <c r="H14335" s="12"/>
    </row>
    <row r="14336" spans="8:8">
      <c r="H14336" s="12"/>
    </row>
    <row r="14337" spans="8:8">
      <c r="H14337" s="12"/>
    </row>
    <row r="14338" spans="8:8">
      <c r="H14338" s="12"/>
    </row>
    <row r="14339" spans="8:8">
      <c r="H14339" s="12"/>
    </row>
    <row r="14340" spans="8:8">
      <c r="H14340" s="12"/>
    </row>
    <row r="14341" spans="8:8">
      <c r="H14341" s="12"/>
    </row>
    <row r="14342" spans="8:8">
      <c r="H14342" s="12"/>
    </row>
    <row r="14343" spans="8:8">
      <c r="H14343" s="12"/>
    </row>
    <row r="14344" spans="8:8">
      <c r="H14344" s="12"/>
    </row>
    <row r="14345" spans="8:8">
      <c r="H14345" s="12"/>
    </row>
    <row r="14346" spans="8:8">
      <c r="H14346" s="12"/>
    </row>
    <row r="14347" spans="8:8">
      <c r="H14347" s="12"/>
    </row>
    <row r="14348" spans="8:8">
      <c r="H14348" s="12"/>
    </row>
    <row r="14349" spans="8:8">
      <c r="H14349" s="12"/>
    </row>
    <row r="14350" spans="8:8">
      <c r="H14350" s="12"/>
    </row>
    <row r="14351" spans="8:8">
      <c r="H14351" s="12"/>
    </row>
    <row r="14352" spans="8:8">
      <c r="H14352" s="12"/>
    </row>
    <row r="14353" spans="8:8">
      <c r="H14353" s="12"/>
    </row>
    <row r="14354" spans="8:8">
      <c r="H14354" s="12"/>
    </row>
    <row r="14355" spans="8:8">
      <c r="H14355" s="12"/>
    </row>
    <row r="14356" spans="8:8">
      <c r="H14356" s="12"/>
    </row>
    <row r="14357" spans="8:8">
      <c r="H14357" s="12"/>
    </row>
    <row r="14358" spans="8:8">
      <c r="H14358" s="12"/>
    </row>
    <row r="14359" spans="8:8">
      <c r="H14359" s="12"/>
    </row>
    <row r="14360" spans="8:8">
      <c r="H14360" s="12"/>
    </row>
    <row r="14361" spans="8:8">
      <c r="H14361" s="12"/>
    </row>
    <row r="14362" spans="8:8">
      <c r="H14362" s="12"/>
    </row>
    <row r="14363" spans="8:8">
      <c r="H14363" s="12"/>
    </row>
    <row r="14364" spans="8:8">
      <c r="H14364" s="12"/>
    </row>
    <row r="14365" spans="8:8">
      <c r="H14365" s="12"/>
    </row>
    <row r="14366" spans="8:8">
      <c r="H14366" s="12"/>
    </row>
    <row r="14367" spans="8:8">
      <c r="H14367" s="12"/>
    </row>
    <row r="14368" spans="8:8">
      <c r="H14368" s="12"/>
    </row>
    <row r="14369" spans="8:8">
      <c r="H14369" s="12"/>
    </row>
    <row r="14370" spans="8:8">
      <c r="H14370" s="12"/>
    </row>
    <row r="14371" spans="8:8">
      <c r="H14371" s="12"/>
    </row>
    <row r="14372" spans="8:8">
      <c r="H14372" s="12"/>
    </row>
    <row r="14373" spans="8:8">
      <c r="H14373" s="12"/>
    </row>
    <row r="14374" spans="8:8">
      <c r="H14374" s="12"/>
    </row>
    <row r="14375" spans="8:8">
      <c r="H14375" s="12"/>
    </row>
    <row r="14376" spans="8:8">
      <c r="H14376" s="12"/>
    </row>
    <row r="14377" spans="8:8">
      <c r="H14377" s="12"/>
    </row>
    <row r="14378" spans="8:8">
      <c r="H14378" s="12"/>
    </row>
    <row r="14379" spans="8:8">
      <c r="H14379" s="12"/>
    </row>
    <row r="14380" spans="8:8">
      <c r="H14380" s="12"/>
    </row>
    <row r="14381" spans="8:8">
      <c r="H14381" s="12"/>
    </row>
    <row r="14382" spans="8:8">
      <c r="H14382" s="12"/>
    </row>
    <row r="14383" spans="8:8">
      <c r="H14383" s="12"/>
    </row>
    <row r="14384" spans="8:8">
      <c r="H14384" s="12"/>
    </row>
    <row r="14385" spans="8:8">
      <c r="H14385" s="12"/>
    </row>
    <row r="14386" spans="8:8">
      <c r="H14386" s="12"/>
    </row>
    <row r="14387" spans="8:8">
      <c r="H14387" s="12"/>
    </row>
    <row r="14388" spans="8:8">
      <c r="H14388" s="12"/>
    </row>
    <row r="14389" spans="8:8">
      <c r="H14389" s="12"/>
    </row>
    <row r="14390" spans="8:8">
      <c r="H14390" s="12"/>
    </row>
    <row r="14391" spans="8:8">
      <c r="H14391" s="12"/>
    </row>
    <row r="14392" spans="8:8">
      <c r="H14392" s="12"/>
    </row>
    <row r="14393" spans="8:8">
      <c r="H14393" s="12"/>
    </row>
    <row r="14394" spans="8:8">
      <c r="H14394" s="12"/>
    </row>
    <row r="14395" spans="8:8">
      <c r="H14395" s="12"/>
    </row>
    <row r="14396" spans="8:8">
      <c r="H14396" s="12"/>
    </row>
    <row r="14397" spans="8:8">
      <c r="H14397" s="12"/>
    </row>
    <row r="14398" spans="8:8">
      <c r="H14398" s="12"/>
    </row>
    <row r="14399" spans="8:8">
      <c r="H14399" s="12"/>
    </row>
    <row r="14400" spans="8:8">
      <c r="H14400" s="12"/>
    </row>
    <row r="14401" spans="8:8">
      <c r="H14401" s="12"/>
    </row>
    <row r="14402" spans="8:8">
      <c r="H14402" s="12"/>
    </row>
    <row r="14403" spans="8:8">
      <c r="H14403" s="12"/>
    </row>
    <row r="14404" spans="8:8">
      <c r="H14404" s="12"/>
    </row>
    <row r="14405" spans="8:8">
      <c r="H14405" s="12"/>
    </row>
    <row r="14406" spans="8:8">
      <c r="H14406" s="12"/>
    </row>
    <row r="14407" spans="8:8">
      <c r="H14407" s="12"/>
    </row>
    <row r="14408" spans="8:8">
      <c r="H14408" s="12"/>
    </row>
    <row r="14409" spans="8:8">
      <c r="H14409" s="12"/>
    </row>
    <row r="14410" spans="8:8">
      <c r="H14410" s="12"/>
    </row>
    <row r="14411" spans="8:8">
      <c r="H14411" s="12"/>
    </row>
    <row r="14412" spans="8:8">
      <c r="H14412" s="12"/>
    </row>
    <row r="14413" spans="8:8">
      <c r="H14413" s="12"/>
    </row>
    <row r="14414" spans="8:8">
      <c r="H14414" s="12"/>
    </row>
    <row r="14415" spans="8:8">
      <c r="H14415" s="12"/>
    </row>
    <row r="14416" spans="8:8">
      <c r="H14416" s="12"/>
    </row>
    <row r="14417" spans="8:8">
      <c r="H14417" s="12"/>
    </row>
    <row r="14418" spans="8:8">
      <c r="H14418" s="12"/>
    </row>
    <row r="14419" spans="8:8">
      <c r="H14419" s="12"/>
    </row>
    <row r="14420" spans="8:8">
      <c r="H14420" s="12"/>
    </row>
    <row r="14421" spans="8:8">
      <c r="H14421" s="12"/>
    </row>
    <row r="14422" spans="8:8">
      <c r="H14422" s="12"/>
    </row>
    <row r="14423" spans="8:8">
      <c r="H14423" s="12"/>
    </row>
    <row r="14424" spans="8:8">
      <c r="H14424" s="12"/>
    </row>
    <row r="14425" spans="8:8">
      <c r="H14425" s="12"/>
    </row>
    <row r="14426" spans="8:8">
      <c r="H14426" s="12"/>
    </row>
    <row r="14427" spans="8:8">
      <c r="H14427" s="12"/>
    </row>
    <row r="14428" spans="8:8">
      <c r="H14428" s="12"/>
    </row>
    <row r="14429" spans="8:8">
      <c r="H14429" s="12"/>
    </row>
    <row r="14430" spans="8:8">
      <c r="H14430" s="12"/>
    </row>
    <row r="14431" spans="8:8">
      <c r="H14431" s="12"/>
    </row>
    <row r="14432" spans="8:8">
      <c r="H14432" s="12"/>
    </row>
    <row r="14433" spans="8:8">
      <c r="H14433" s="12"/>
    </row>
    <row r="14434" spans="8:8">
      <c r="H14434" s="12"/>
    </row>
    <row r="14435" spans="8:8">
      <c r="H14435" s="12"/>
    </row>
    <row r="14436" spans="8:8">
      <c r="H14436" s="12"/>
    </row>
    <row r="14437" spans="8:8">
      <c r="H14437" s="12"/>
    </row>
    <row r="14438" spans="8:8">
      <c r="H14438" s="12"/>
    </row>
    <row r="14439" spans="8:8">
      <c r="H14439" s="12"/>
    </row>
    <row r="14440" spans="8:8">
      <c r="H14440" s="12"/>
    </row>
    <row r="14441" spans="8:8">
      <c r="H14441" s="12"/>
    </row>
    <row r="14442" spans="8:8">
      <c r="H14442" s="12"/>
    </row>
    <row r="14443" spans="8:8">
      <c r="H14443" s="12"/>
    </row>
    <row r="14444" spans="8:8">
      <c r="H14444" s="12"/>
    </row>
    <row r="14445" spans="8:8">
      <c r="H14445" s="12"/>
    </row>
    <row r="14446" spans="8:8">
      <c r="H14446" s="12"/>
    </row>
    <row r="14447" spans="8:8">
      <c r="H14447" s="12"/>
    </row>
    <row r="14448" spans="8:8">
      <c r="H14448" s="12"/>
    </row>
    <row r="14449" spans="8:8">
      <c r="H14449" s="12"/>
    </row>
    <row r="14450" spans="8:8">
      <c r="H14450" s="12"/>
    </row>
    <row r="14451" spans="8:8">
      <c r="H14451" s="12"/>
    </row>
    <row r="14452" spans="8:8">
      <c r="H14452" s="12"/>
    </row>
    <row r="14453" spans="8:8">
      <c r="H14453" s="12"/>
    </row>
    <row r="14454" spans="8:8">
      <c r="H14454" s="12"/>
    </row>
    <row r="14455" spans="8:8">
      <c r="H14455" s="12"/>
    </row>
    <row r="14456" spans="8:8">
      <c r="H14456" s="12"/>
    </row>
    <row r="14457" spans="8:8">
      <c r="H14457" s="12"/>
    </row>
    <row r="14458" spans="8:8">
      <c r="H14458" s="12"/>
    </row>
    <row r="14459" spans="8:8">
      <c r="H14459" s="12"/>
    </row>
    <row r="14460" spans="8:8">
      <c r="H14460" s="12"/>
    </row>
    <row r="14461" spans="8:8">
      <c r="H14461" s="12"/>
    </row>
    <row r="14462" spans="8:8">
      <c r="H14462" s="12"/>
    </row>
    <row r="14463" spans="8:8">
      <c r="H14463" s="12"/>
    </row>
    <row r="14464" spans="8:8">
      <c r="H14464" s="12"/>
    </row>
    <row r="14465" spans="8:8">
      <c r="H14465" s="12"/>
    </row>
    <row r="14466" spans="8:8">
      <c r="H14466" s="12"/>
    </row>
    <row r="14467" spans="8:8">
      <c r="H14467" s="12"/>
    </row>
    <row r="14468" spans="8:8">
      <c r="H14468" s="12"/>
    </row>
    <row r="14469" spans="8:8">
      <c r="H14469" s="12"/>
    </row>
    <row r="14470" spans="8:8">
      <c r="H14470" s="12"/>
    </row>
    <row r="14471" spans="8:8">
      <c r="H14471" s="12"/>
    </row>
    <row r="14472" spans="8:8">
      <c r="H14472" s="12"/>
    </row>
    <row r="14473" spans="8:8">
      <c r="H14473" s="12"/>
    </row>
    <row r="14474" spans="8:8">
      <c r="H14474" s="12"/>
    </row>
    <row r="14475" spans="8:8">
      <c r="H14475" s="12"/>
    </row>
    <row r="14476" spans="8:8">
      <c r="H14476" s="12"/>
    </row>
    <row r="14477" spans="8:8">
      <c r="H14477" s="12"/>
    </row>
    <row r="14478" spans="8:8">
      <c r="H14478" s="12"/>
    </row>
    <row r="14479" spans="8:8">
      <c r="H14479" s="12"/>
    </row>
    <row r="14480" spans="8:8">
      <c r="H14480" s="12"/>
    </row>
    <row r="14481" spans="8:8">
      <c r="H14481" s="12"/>
    </row>
    <row r="14482" spans="8:8">
      <c r="H14482" s="12"/>
    </row>
    <row r="14483" spans="8:8">
      <c r="H14483" s="12"/>
    </row>
    <row r="14484" spans="8:8">
      <c r="H14484" s="12"/>
    </row>
    <row r="14485" spans="8:8">
      <c r="H14485" s="12"/>
    </row>
    <row r="14486" spans="8:8">
      <c r="H14486" s="12"/>
    </row>
    <row r="14487" spans="8:8">
      <c r="H14487" s="12"/>
    </row>
    <row r="14488" spans="8:8">
      <c r="H14488" s="12"/>
    </row>
    <row r="14489" spans="8:8">
      <c r="H14489" s="12"/>
    </row>
    <row r="14490" spans="8:8">
      <c r="H14490" s="12"/>
    </row>
    <row r="14491" spans="8:8">
      <c r="H14491" s="12"/>
    </row>
    <row r="14492" spans="8:8">
      <c r="H14492" s="12"/>
    </row>
    <row r="14493" spans="8:8">
      <c r="H14493" s="12"/>
    </row>
    <row r="14494" spans="8:8">
      <c r="H14494" s="12"/>
    </row>
    <row r="14495" spans="8:8">
      <c r="H14495" s="12"/>
    </row>
    <row r="14496" spans="8:8">
      <c r="H14496" s="12"/>
    </row>
    <row r="14497" spans="8:8">
      <c r="H14497" s="12"/>
    </row>
    <row r="14498" spans="8:8">
      <c r="H14498" s="12"/>
    </row>
    <row r="14499" spans="8:8">
      <c r="H14499" s="12"/>
    </row>
    <row r="14500" spans="8:8">
      <c r="H14500" s="12"/>
    </row>
    <row r="14501" spans="8:8">
      <c r="H14501" s="12"/>
    </row>
    <row r="14502" spans="8:8">
      <c r="H14502" s="12"/>
    </row>
    <row r="14503" spans="8:8">
      <c r="H14503" s="12"/>
    </row>
    <row r="14504" spans="8:8">
      <c r="H14504" s="12"/>
    </row>
    <row r="14505" spans="8:8">
      <c r="H14505" s="12"/>
    </row>
    <row r="14506" spans="8:8">
      <c r="H14506" s="12"/>
    </row>
    <row r="14507" spans="8:8">
      <c r="H14507" s="12"/>
    </row>
    <row r="14508" spans="8:8">
      <c r="H14508" s="12"/>
    </row>
    <row r="14509" spans="8:8">
      <c r="H14509" s="12"/>
    </row>
    <row r="14510" spans="8:8">
      <c r="H14510" s="12"/>
    </row>
    <row r="14511" spans="8:8">
      <c r="H14511" s="12"/>
    </row>
    <row r="14512" spans="8:8">
      <c r="H14512" s="12"/>
    </row>
    <row r="14513" spans="8:8">
      <c r="H14513" s="12"/>
    </row>
    <row r="14514" spans="8:8">
      <c r="H14514" s="12"/>
    </row>
    <row r="14515" spans="8:8">
      <c r="H14515" s="12"/>
    </row>
    <row r="14516" spans="8:8">
      <c r="H14516" s="12"/>
    </row>
    <row r="14517" spans="8:8">
      <c r="H14517" s="12"/>
    </row>
    <row r="14518" spans="8:8">
      <c r="H14518" s="12"/>
    </row>
    <row r="14519" spans="8:8">
      <c r="H14519" s="12"/>
    </row>
    <row r="14520" spans="8:8">
      <c r="H14520" s="12"/>
    </row>
    <row r="14521" spans="8:8">
      <c r="H14521" s="12"/>
    </row>
    <row r="14522" spans="8:8">
      <c r="H14522" s="12"/>
    </row>
    <row r="14523" spans="8:8">
      <c r="H14523" s="12"/>
    </row>
    <row r="14524" spans="8:8">
      <c r="H14524" s="12"/>
    </row>
    <row r="14525" spans="8:8">
      <c r="H14525" s="12"/>
    </row>
    <row r="14526" spans="8:8">
      <c r="H14526" s="12"/>
    </row>
    <row r="14527" spans="8:8">
      <c r="H14527" s="12"/>
    </row>
    <row r="14528" spans="8:8">
      <c r="H14528" s="12"/>
    </row>
    <row r="14529" spans="8:8">
      <c r="H14529" s="12"/>
    </row>
    <row r="14530" spans="8:8">
      <c r="H14530" s="12"/>
    </row>
    <row r="14531" spans="8:8">
      <c r="H14531" s="12"/>
    </row>
    <row r="14532" spans="8:8">
      <c r="H14532" s="12"/>
    </row>
    <row r="14533" spans="8:8">
      <c r="H14533" s="12"/>
    </row>
    <row r="14534" spans="8:8">
      <c r="H14534" s="12"/>
    </row>
    <row r="14535" spans="8:8">
      <c r="H14535" s="12"/>
    </row>
    <row r="14536" spans="8:8">
      <c r="H14536" s="12"/>
    </row>
    <row r="14537" spans="8:8">
      <c r="H14537" s="12"/>
    </row>
    <row r="14538" spans="8:8">
      <c r="H14538" s="12"/>
    </row>
    <row r="14539" spans="8:8">
      <c r="H14539" s="12"/>
    </row>
    <row r="14540" spans="8:8">
      <c r="H14540" s="12"/>
    </row>
    <row r="14541" spans="8:8">
      <c r="H14541" s="12"/>
    </row>
    <row r="14542" spans="8:8">
      <c r="H14542" s="12"/>
    </row>
    <row r="14543" spans="8:8">
      <c r="H14543" s="12"/>
    </row>
    <row r="14544" spans="8:8">
      <c r="H14544" s="12"/>
    </row>
    <row r="14545" spans="8:8">
      <c r="H14545" s="12"/>
    </row>
    <row r="14546" spans="8:8">
      <c r="H14546" s="12"/>
    </row>
    <row r="14547" spans="8:8">
      <c r="H14547" s="12"/>
    </row>
    <row r="14548" spans="8:8">
      <c r="H14548" s="12"/>
    </row>
    <row r="14549" spans="8:8">
      <c r="H14549" s="12"/>
    </row>
    <row r="14550" spans="8:8">
      <c r="H14550" s="12"/>
    </row>
    <row r="14551" spans="8:8">
      <c r="H14551" s="12"/>
    </row>
    <row r="14552" spans="8:8">
      <c r="H14552" s="12"/>
    </row>
    <row r="14553" spans="8:8">
      <c r="H14553" s="12"/>
    </row>
    <row r="14554" spans="8:8">
      <c r="H14554" s="12"/>
    </row>
    <row r="14555" spans="8:8">
      <c r="H14555" s="12"/>
    </row>
    <row r="14556" spans="8:8">
      <c r="H14556" s="12"/>
    </row>
    <row r="14557" spans="8:8">
      <c r="H14557" s="12"/>
    </row>
    <row r="14558" spans="8:8">
      <c r="H14558" s="12"/>
    </row>
    <row r="14559" spans="8:8">
      <c r="H14559" s="12"/>
    </row>
    <row r="14560" spans="8:8">
      <c r="H14560" s="12"/>
    </row>
    <row r="14561" spans="8:8">
      <c r="H14561" s="12"/>
    </row>
    <row r="14562" spans="8:8">
      <c r="H14562" s="12"/>
    </row>
    <row r="14563" spans="8:8">
      <c r="H14563" s="12"/>
    </row>
    <row r="14564" spans="8:8">
      <c r="H14564" s="12"/>
    </row>
    <row r="14565" spans="8:8">
      <c r="H14565" s="12"/>
    </row>
    <row r="14566" spans="8:8">
      <c r="H14566" s="12"/>
    </row>
    <row r="14567" spans="8:8">
      <c r="H14567" s="12"/>
    </row>
    <row r="14568" spans="8:8">
      <c r="H14568" s="12"/>
    </row>
    <row r="14569" spans="8:8">
      <c r="H14569" s="12"/>
    </row>
    <row r="14570" spans="8:8">
      <c r="H14570" s="12"/>
    </row>
    <row r="14571" spans="8:8">
      <c r="H14571" s="12"/>
    </row>
    <row r="14572" spans="8:8">
      <c r="H14572" s="12"/>
    </row>
    <row r="14573" spans="8:8">
      <c r="H14573" s="12"/>
    </row>
    <row r="14574" spans="8:8">
      <c r="H14574" s="12"/>
    </row>
    <row r="14575" spans="8:8">
      <c r="H14575" s="12"/>
    </row>
    <row r="14576" spans="8:8">
      <c r="H14576" s="12"/>
    </row>
    <row r="14577" spans="8:8">
      <c r="H14577" s="12"/>
    </row>
    <row r="14578" spans="8:8">
      <c r="H14578" s="12"/>
    </row>
    <row r="14579" spans="8:8">
      <c r="H14579" s="12"/>
    </row>
    <row r="14580" spans="8:8">
      <c r="H14580" s="12"/>
    </row>
    <row r="14581" spans="8:8">
      <c r="H14581" s="12"/>
    </row>
    <row r="14582" spans="8:8">
      <c r="H14582" s="12"/>
    </row>
    <row r="14583" spans="8:8">
      <c r="H14583" s="12"/>
    </row>
    <row r="14584" spans="8:8">
      <c r="H14584" s="12"/>
    </row>
    <row r="14585" spans="8:8">
      <c r="H14585" s="12"/>
    </row>
    <row r="14586" spans="8:8">
      <c r="H14586" s="12"/>
    </row>
    <row r="14587" spans="8:8">
      <c r="H14587" s="12"/>
    </row>
    <row r="14588" spans="8:8">
      <c r="H14588" s="12"/>
    </row>
    <row r="14589" spans="8:8">
      <c r="H14589" s="12"/>
    </row>
    <row r="14590" spans="8:8">
      <c r="H14590" s="12"/>
    </row>
    <row r="14591" spans="8:8">
      <c r="H14591" s="12"/>
    </row>
    <row r="14592" spans="8:8">
      <c r="H14592" s="12"/>
    </row>
    <row r="14593" spans="8:8">
      <c r="H14593" s="12"/>
    </row>
    <row r="14594" spans="8:8">
      <c r="H14594" s="12"/>
    </row>
    <row r="14595" spans="8:8">
      <c r="H14595" s="12"/>
    </row>
    <row r="14596" spans="8:8">
      <c r="H14596" s="12"/>
    </row>
    <row r="14597" spans="8:8">
      <c r="H14597" s="12"/>
    </row>
    <row r="14598" spans="8:8">
      <c r="H14598" s="12"/>
    </row>
    <row r="14599" spans="8:8">
      <c r="H14599" s="12"/>
    </row>
    <row r="14600" spans="8:8">
      <c r="H14600" s="12"/>
    </row>
    <row r="14601" spans="8:8">
      <c r="H14601" s="12"/>
    </row>
    <row r="14602" spans="8:8">
      <c r="H14602" s="12"/>
    </row>
    <row r="14603" spans="8:8">
      <c r="H14603" s="12"/>
    </row>
    <row r="14604" spans="8:8">
      <c r="H14604" s="12"/>
    </row>
    <row r="14605" spans="8:8">
      <c r="H14605" s="12"/>
    </row>
    <row r="14606" spans="8:8">
      <c r="H14606" s="12"/>
    </row>
    <row r="14607" spans="8:8">
      <c r="H14607" s="12"/>
    </row>
    <row r="14608" spans="8:8">
      <c r="H14608" s="12"/>
    </row>
    <row r="14609" spans="8:8">
      <c r="H14609" s="12"/>
    </row>
    <row r="14610" spans="8:8">
      <c r="H14610" s="12"/>
    </row>
    <row r="14611" spans="8:8">
      <c r="H14611" s="12"/>
    </row>
    <row r="14612" spans="8:8">
      <c r="H14612" s="12"/>
    </row>
    <row r="14613" spans="8:8">
      <c r="H14613" s="12"/>
    </row>
    <row r="14614" spans="8:8">
      <c r="H14614" s="12"/>
    </row>
    <row r="14615" spans="8:8">
      <c r="H14615" s="12"/>
    </row>
    <row r="14616" spans="8:8">
      <c r="H14616" s="12"/>
    </row>
    <row r="14617" spans="8:8">
      <c r="H14617" s="12"/>
    </row>
    <row r="14618" spans="8:8">
      <c r="H14618" s="12"/>
    </row>
    <row r="14619" spans="8:8">
      <c r="H14619" s="12"/>
    </row>
    <row r="14620" spans="8:8">
      <c r="H14620" s="12"/>
    </row>
    <row r="14621" spans="8:8">
      <c r="H14621" s="12"/>
    </row>
    <row r="14622" spans="8:8">
      <c r="H14622" s="12"/>
    </row>
    <row r="14623" spans="8:8">
      <c r="H14623" s="12"/>
    </row>
    <row r="14624" spans="8:8">
      <c r="H14624" s="12"/>
    </row>
    <row r="14625" spans="8:8">
      <c r="H14625" s="12"/>
    </row>
    <row r="14626" spans="8:8">
      <c r="H14626" s="12"/>
    </row>
    <row r="14627" spans="8:8">
      <c r="H14627" s="12"/>
    </row>
    <row r="14628" spans="8:8">
      <c r="H14628" s="12"/>
    </row>
    <row r="14629" spans="8:8">
      <c r="H14629" s="12"/>
    </row>
    <row r="14630" spans="8:8">
      <c r="H14630" s="12"/>
    </row>
    <row r="14631" spans="8:8">
      <c r="H14631" s="12"/>
    </row>
    <row r="14632" spans="8:8">
      <c r="H14632" s="12"/>
    </row>
    <row r="14633" spans="8:8">
      <c r="H14633" s="12"/>
    </row>
    <row r="14634" spans="8:8">
      <c r="H14634" s="12"/>
    </row>
    <row r="14635" spans="8:8">
      <c r="H14635" s="12"/>
    </row>
    <row r="14636" spans="8:8">
      <c r="H14636" s="12"/>
    </row>
    <row r="14637" spans="8:8">
      <c r="H14637" s="12"/>
    </row>
    <row r="14638" spans="8:8">
      <c r="H14638" s="12"/>
    </row>
    <row r="14639" spans="8:8">
      <c r="H14639" s="12"/>
    </row>
    <row r="14640" spans="8:8">
      <c r="H14640" s="12"/>
    </row>
    <row r="14641" spans="8:8">
      <c r="H14641" s="12"/>
    </row>
    <row r="14642" spans="8:8">
      <c r="H14642" s="12"/>
    </row>
    <row r="14643" spans="8:8">
      <c r="H14643" s="12"/>
    </row>
    <row r="14644" spans="8:8">
      <c r="H14644" s="12"/>
    </row>
    <row r="14645" spans="8:8">
      <c r="H14645" s="12"/>
    </row>
    <row r="14646" spans="8:8">
      <c r="H14646" s="12"/>
    </row>
    <row r="14647" spans="8:8">
      <c r="H14647" s="12"/>
    </row>
    <row r="14648" spans="8:8">
      <c r="H14648" s="12"/>
    </row>
    <row r="14649" spans="8:8">
      <c r="H14649" s="12"/>
    </row>
    <row r="14650" spans="8:8">
      <c r="H14650" s="12"/>
    </row>
    <row r="14651" spans="8:8">
      <c r="H14651" s="12"/>
    </row>
    <row r="14652" spans="8:8">
      <c r="H14652" s="12"/>
    </row>
    <row r="14653" spans="8:8">
      <c r="H14653" s="12"/>
    </row>
    <row r="14654" spans="8:8">
      <c r="H14654" s="12"/>
    </row>
    <row r="14655" spans="8:8">
      <c r="H14655" s="12"/>
    </row>
    <row r="14656" spans="8:8">
      <c r="H14656" s="12"/>
    </row>
    <row r="14657" spans="8:8">
      <c r="H14657" s="12"/>
    </row>
    <row r="14658" spans="8:8">
      <c r="H14658" s="12"/>
    </row>
    <row r="14659" spans="8:8">
      <c r="H14659" s="12"/>
    </row>
    <row r="14660" spans="8:8">
      <c r="H14660" s="12"/>
    </row>
    <row r="14661" spans="8:8">
      <c r="H14661" s="12"/>
    </row>
    <row r="14662" spans="8:8">
      <c r="H14662" s="12"/>
    </row>
    <row r="14663" spans="8:8">
      <c r="H14663" s="12"/>
    </row>
    <row r="14664" spans="8:8">
      <c r="H14664" s="12"/>
    </row>
    <row r="14665" spans="8:8">
      <c r="H14665" s="12"/>
    </row>
    <row r="14666" spans="8:8">
      <c r="H14666" s="12"/>
    </row>
    <row r="14667" spans="8:8">
      <c r="H14667" s="12"/>
    </row>
    <row r="14668" spans="8:8">
      <c r="H14668" s="12"/>
    </row>
    <row r="14669" spans="8:8">
      <c r="H14669" s="12"/>
    </row>
    <row r="14670" spans="8:8">
      <c r="H14670" s="12"/>
    </row>
    <row r="14671" spans="8:8">
      <c r="H14671" s="12"/>
    </row>
    <row r="14672" spans="8:8">
      <c r="H14672" s="12"/>
    </row>
    <row r="14673" spans="8:8">
      <c r="H14673" s="12"/>
    </row>
    <row r="14674" spans="8:8">
      <c r="H14674" s="12"/>
    </row>
    <row r="14675" spans="8:8">
      <c r="H14675" s="12"/>
    </row>
    <row r="14676" spans="8:8">
      <c r="H14676" s="12"/>
    </row>
    <row r="14677" spans="8:8">
      <c r="H14677" s="12"/>
    </row>
    <row r="14678" spans="8:8">
      <c r="H14678" s="12"/>
    </row>
    <row r="14679" spans="8:8">
      <c r="H14679" s="12"/>
    </row>
    <row r="14680" spans="8:8">
      <c r="H14680" s="12"/>
    </row>
    <row r="14681" spans="8:8">
      <c r="H14681" s="12"/>
    </row>
    <row r="14682" spans="8:8">
      <c r="H14682" s="12"/>
    </row>
    <row r="14683" spans="8:8">
      <c r="H14683" s="12"/>
    </row>
    <row r="14684" spans="8:8">
      <c r="H14684" s="12"/>
    </row>
    <row r="14685" spans="8:8">
      <c r="H14685" s="12"/>
    </row>
    <row r="14686" spans="8:8">
      <c r="H14686" s="12"/>
    </row>
    <row r="14687" spans="8:8">
      <c r="H14687" s="12"/>
    </row>
    <row r="14688" spans="8:8">
      <c r="H14688" s="12"/>
    </row>
    <row r="14689" spans="8:8">
      <c r="H14689" s="12"/>
    </row>
    <row r="14690" spans="8:8">
      <c r="H14690" s="12"/>
    </row>
    <row r="14691" spans="8:8">
      <c r="H14691" s="12"/>
    </row>
    <row r="14692" spans="8:8">
      <c r="H14692" s="12"/>
    </row>
    <row r="14693" spans="8:8">
      <c r="H14693" s="12"/>
    </row>
    <row r="14694" spans="8:8">
      <c r="H14694" s="12"/>
    </row>
    <row r="14695" spans="8:8">
      <c r="H14695" s="12"/>
    </row>
    <row r="14696" spans="8:8">
      <c r="H14696" s="12"/>
    </row>
    <row r="14697" spans="8:8">
      <c r="H14697" s="12"/>
    </row>
    <row r="14698" spans="8:8">
      <c r="H14698" s="12"/>
    </row>
    <row r="14699" spans="8:8">
      <c r="H14699" s="12"/>
    </row>
    <row r="14700" spans="8:8">
      <c r="H14700" s="12"/>
    </row>
    <row r="14701" spans="8:8">
      <c r="H14701" s="12"/>
    </row>
    <row r="14702" spans="8:8">
      <c r="H14702" s="12"/>
    </row>
    <row r="14703" spans="8:8">
      <c r="H14703" s="12"/>
    </row>
    <row r="14704" spans="8:8">
      <c r="H14704" s="12"/>
    </row>
    <row r="14705" spans="8:8">
      <c r="H14705" s="12"/>
    </row>
    <row r="14706" spans="8:8">
      <c r="H14706" s="12"/>
    </row>
    <row r="14707" spans="8:8">
      <c r="H14707" s="12"/>
    </row>
    <row r="14708" spans="8:8">
      <c r="H14708" s="12"/>
    </row>
    <row r="14709" spans="8:8">
      <c r="H14709" s="12"/>
    </row>
    <row r="14710" spans="8:8">
      <c r="H14710" s="12"/>
    </row>
    <row r="14711" spans="8:8">
      <c r="H14711" s="12"/>
    </row>
    <row r="14712" spans="8:8">
      <c r="H14712" s="12"/>
    </row>
    <row r="14713" spans="8:8">
      <c r="H14713" s="12"/>
    </row>
    <row r="14714" spans="8:8">
      <c r="H14714" s="12"/>
    </row>
    <row r="14715" spans="8:8">
      <c r="H14715" s="12"/>
    </row>
    <row r="14716" spans="8:8">
      <c r="H14716" s="12"/>
    </row>
    <row r="14717" spans="8:8">
      <c r="H14717" s="12"/>
    </row>
    <row r="14718" spans="8:8">
      <c r="H14718" s="12"/>
    </row>
    <row r="14719" spans="8:8">
      <c r="H14719" s="12"/>
    </row>
    <row r="14720" spans="8:8">
      <c r="H14720" s="12"/>
    </row>
    <row r="14721" spans="8:8">
      <c r="H14721" s="12"/>
    </row>
    <row r="14722" spans="8:8">
      <c r="H14722" s="12"/>
    </row>
    <row r="14723" spans="8:8">
      <c r="H14723" s="12"/>
    </row>
    <row r="14724" spans="8:8">
      <c r="H14724" s="12"/>
    </row>
    <row r="14725" spans="8:8">
      <c r="H14725" s="12"/>
    </row>
    <row r="14726" spans="8:8">
      <c r="H14726" s="12"/>
    </row>
    <row r="14727" spans="8:8">
      <c r="H14727" s="12"/>
    </row>
    <row r="14728" spans="8:8">
      <c r="H14728" s="12"/>
    </row>
    <row r="14729" spans="8:8">
      <c r="H14729" s="12"/>
    </row>
    <row r="14730" spans="8:8">
      <c r="H14730" s="12"/>
    </row>
    <row r="14731" spans="8:8">
      <c r="H14731" s="12"/>
    </row>
    <row r="14732" spans="8:8">
      <c r="H14732" s="12"/>
    </row>
    <row r="14733" spans="8:8">
      <c r="H14733" s="12"/>
    </row>
    <row r="14734" spans="8:8">
      <c r="H14734" s="12"/>
    </row>
    <row r="14735" spans="8:8">
      <c r="H14735" s="12"/>
    </row>
    <row r="14736" spans="8:8">
      <c r="H14736" s="12"/>
    </row>
    <row r="14737" spans="8:8">
      <c r="H14737" s="12"/>
    </row>
    <row r="14738" spans="8:8">
      <c r="H14738" s="12"/>
    </row>
    <row r="14739" spans="8:8">
      <c r="H14739" s="12"/>
    </row>
    <row r="14740" spans="8:8">
      <c r="H14740" s="12"/>
    </row>
    <row r="14741" spans="8:8">
      <c r="H14741" s="12"/>
    </row>
    <row r="14742" spans="8:8">
      <c r="H14742" s="12"/>
    </row>
    <row r="14743" spans="8:8">
      <c r="H14743" s="12"/>
    </row>
    <row r="14744" spans="8:8">
      <c r="H14744" s="12"/>
    </row>
    <row r="14745" spans="8:8">
      <c r="H14745" s="12"/>
    </row>
    <row r="14746" spans="8:8">
      <c r="H14746" s="12"/>
    </row>
    <row r="14747" spans="8:8">
      <c r="H14747" s="12"/>
    </row>
    <row r="14748" spans="8:8">
      <c r="H14748" s="12"/>
    </row>
    <row r="14749" spans="8:8">
      <c r="H14749" s="12"/>
    </row>
    <row r="14750" spans="8:8">
      <c r="H14750" s="12"/>
    </row>
    <row r="14751" spans="8:8">
      <c r="H14751" s="12"/>
    </row>
    <row r="14752" spans="8:8">
      <c r="H14752" s="12"/>
    </row>
    <row r="14753" spans="8:8">
      <c r="H14753" s="12"/>
    </row>
    <row r="14754" spans="8:8">
      <c r="H14754" s="12"/>
    </row>
    <row r="14755" spans="8:8">
      <c r="H14755" s="12"/>
    </row>
    <row r="14756" spans="8:8">
      <c r="H14756" s="12"/>
    </row>
    <row r="14757" spans="8:8">
      <c r="H14757" s="12"/>
    </row>
    <row r="14758" spans="8:8">
      <c r="H14758" s="12"/>
    </row>
    <row r="14759" spans="8:8">
      <c r="H14759" s="12"/>
    </row>
    <row r="14760" spans="8:8">
      <c r="H14760" s="12"/>
    </row>
    <row r="14761" spans="8:8">
      <c r="H14761" s="12"/>
    </row>
    <row r="14762" spans="8:8">
      <c r="H14762" s="12"/>
    </row>
    <row r="14763" spans="8:8">
      <c r="H14763" s="12"/>
    </row>
    <row r="14764" spans="8:8">
      <c r="H14764" s="12"/>
    </row>
    <row r="14765" spans="8:8">
      <c r="H14765" s="12"/>
    </row>
    <row r="14766" spans="8:8">
      <c r="H14766" s="12"/>
    </row>
    <row r="14767" spans="8:8">
      <c r="H14767" s="12"/>
    </row>
    <row r="14768" spans="8:8">
      <c r="H14768" s="12"/>
    </row>
    <row r="14769" spans="8:8">
      <c r="H14769" s="12"/>
    </row>
    <row r="14770" spans="8:8">
      <c r="H14770" s="12"/>
    </row>
    <row r="14771" spans="8:8">
      <c r="H14771" s="12"/>
    </row>
    <row r="14772" spans="8:8">
      <c r="H14772" s="12"/>
    </row>
    <row r="14773" spans="8:8">
      <c r="H14773" s="12"/>
    </row>
    <row r="14774" spans="8:8">
      <c r="H14774" s="12"/>
    </row>
    <row r="14775" spans="8:8">
      <c r="H14775" s="12"/>
    </row>
    <row r="14776" spans="8:8">
      <c r="H14776" s="12"/>
    </row>
    <row r="14777" spans="8:8">
      <c r="H14777" s="12"/>
    </row>
    <row r="14778" spans="8:8">
      <c r="H14778" s="12"/>
    </row>
    <row r="14779" spans="8:8">
      <c r="H14779" s="12"/>
    </row>
    <row r="14780" spans="8:8">
      <c r="H14780" s="12"/>
    </row>
    <row r="14781" spans="8:8">
      <c r="H14781" s="12"/>
    </row>
    <row r="14782" spans="8:8">
      <c r="H14782" s="12"/>
    </row>
    <row r="14783" spans="8:8">
      <c r="H14783" s="12"/>
    </row>
    <row r="14784" spans="8:8">
      <c r="H14784" s="12"/>
    </row>
    <row r="14785" spans="8:8">
      <c r="H14785" s="12"/>
    </row>
    <row r="14786" spans="8:8">
      <c r="H14786" s="12"/>
    </row>
    <row r="14787" spans="8:8">
      <c r="H14787" s="12"/>
    </row>
    <row r="14788" spans="8:8">
      <c r="H14788" s="12"/>
    </row>
    <row r="14789" spans="8:8">
      <c r="H14789" s="12"/>
    </row>
    <row r="14790" spans="8:8">
      <c r="H14790" s="12"/>
    </row>
    <row r="14791" spans="8:8">
      <c r="H14791" s="12"/>
    </row>
    <row r="14792" spans="8:8">
      <c r="H14792" s="12"/>
    </row>
    <row r="14793" spans="8:8">
      <c r="H14793" s="12"/>
    </row>
    <row r="14794" spans="8:8">
      <c r="H14794" s="12"/>
    </row>
    <row r="14795" spans="8:8">
      <c r="H14795" s="12"/>
    </row>
    <row r="14796" spans="8:8">
      <c r="H14796" s="12"/>
    </row>
    <row r="14797" spans="8:8">
      <c r="H14797" s="12"/>
    </row>
    <row r="14798" spans="8:8">
      <c r="H14798" s="12"/>
    </row>
    <row r="14799" spans="8:8">
      <c r="H14799" s="12"/>
    </row>
    <row r="14800" spans="8:8">
      <c r="H14800" s="12"/>
    </row>
    <row r="14801" spans="8:8">
      <c r="H14801" s="12"/>
    </row>
    <row r="14802" spans="8:8">
      <c r="H14802" s="12"/>
    </row>
    <row r="14803" spans="8:8">
      <c r="H14803" s="12"/>
    </row>
    <row r="14804" spans="8:8">
      <c r="H14804" s="12"/>
    </row>
    <row r="14805" spans="8:8">
      <c r="H14805" s="12"/>
    </row>
    <row r="14806" spans="8:8">
      <c r="H14806" s="12"/>
    </row>
    <row r="14807" spans="8:8">
      <c r="H14807" s="12"/>
    </row>
    <row r="14808" spans="8:8">
      <c r="H14808" s="12"/>
    </row>
    <row r="14809" spans="8:8">
      <c r="H14809" s="12"/>
    </row>
    <row r="14810" spans="8:8">
      <c r="H14810" s="12"/>
    </row>
    <row r="14811" spans="8:8">
      <c r="H14811" s="12"/>
    </row>
    <row r="14812" spans="8:8">
      <c r="H14812" s="12"/>
    </row>
    <row r="14813" spans="8:8">
      <c r="H14813" s="12"/>
    </row>
    <row r="14814" spans="8:8">
      <c r="H14814" s="12"/>
    </row>
    <row r="14815" spans="8:8">
      <c r="H14815" s="12"/>
    </row>
    <row r="14816" spans="8:8">
      <c r="H14816" s="12"/>
    </row>
    <row r="14817" spans="8:8">
      <c r="H14817" s="12"/>
    </row>
    <row r="14818" spans="8:8">
      <c r="H14818" s="12"/>
    </row>
    <row r="14819" spans="8:8">
      <c r="H14819" s="12"/>
    </row>
    <row r="14820" spans="8:8">
      <c r="H14820" s="12"/>
    </row>
    <row r="14821" spans="8:8">
      <c r="H14821" s="12"/>
    </row>
    <row r="14822" spans="8:8">
      <c r="H14822" s="12"/>
    </row>
    <row r="14823" spans="8:8">
      <c r="H14823" s="12"/>
    </row>
    <row r="14824" spans="8:8">
      <c r="H14824" s="12"/>
    </row>
    <row r="14825" spans="8:8">
      <c r="H14825" s="12"/>
    </row>
    <row r="14826" spans="8:8">
      <c r="H14826" s="12"/>
    </row>
    <row r="14827" spans="8:8">
      <c r="H14827" s="12"/>
    </row>
    <row r="14828" spans="8:8">
      <c r="H14828" s="12"/>
    </row>
    <row r="14829" spans="8:8">
      <c r="H14829" s="12"/>
    </row>
    <row r="14830" spans="8:8">
      <c r="H14830" s="12"/>
    </row>
    <row r="14831" spans="8:8">
      <c r="H14831" s="12"/>
    </row>
    <row r="14832" spans="8:8">
      <c r="H14832" s="12"/>
    </row>
    <row r="14833" spans="8:8">
      <c r="H14833" s="12"/>
    </row>
    <row r="14834" spans="8:8">
      <c r="H14834" s="12"/>
    </row>
    <row r="14835" spans="8:8">
      <c r="H14835" s="12"/>
    </row>
    <row r="14836" spans="8:8">
      <c r="H14836" s="12"/>
    </row>
    <row r="14837" spans="8:8">
      <c r="H14837" s="12"/>
    </row>
    <row r="14838" spans="8:8">
      <c r="H14838" s="12"/>
    </row>
    <row r="14839" spans="8:8">
      <c r="H14839" s="12"/>
    </row>
    <row r="14840" spans="8:8">
      <c r="H14840" s="12"/>
    </row>
    <row r="14841" spans="8:8">
      <c r="H14841" s="12"/>
    </row>
    <row r="14842" spans="8:8">
      <c r="H14842" s="12"/>
    </row>
    <row r="14843" spans="8:8">
      <c r="H14843" s="12"/>
    </row>
    <row r="14844" spans="8:8">
      <c r="H14844" s="12"/>
    </row>
    <row r="14845" spans="8:8">
      <c r="H14845" s="12"/>
    </row>
    <row r="14846" spans="8:8">
      <c r="H14846" s="12"/>
    </row>
    <row r="14847" spans="8:8">
      <c r="H14847" s="12"/>
    </row>
    <row r="14848" spans="8:8">
      <c r="H14848" s="12"/>
    </row>
    <row r="14849" spans="8:8">
      <c r="H14849" s="12"/>
    </row>
    <row r="14850" spans="8:8">
      <c r="H14850" s="12"/>
    </row>
    <row r="14851" spans="8:8">
      <c r="H14851" s="12"/>
    </row>
    <row r="14852" spans="8:8">
      <c r="H14852" s="12"/>
    </row>
    <row r="14853" spans="8:8">
      <c r="H14853" s="12"/>
    </row>
    <row r="14854" spans="8:8">
      <c r="H14854" s="12"/>
    </row>
    <row r="14855" spans="8:8">
      <c r="H14855" s="12"/>
    </row>
    <row r="14856" spans="8:8">
      <c r="H14856" s="12"/>
    </row>
    <row r="14857" spans="8:8">
      <c r="H14857" s="12"/>
    </row>
    <row r="14858" spans="8:8">
      <c r="H14858" s="12"/>
    </row>
    <row r="14859" spans="8:8">
      <c r="H14859" s="12"/>
    </row>
    <row r="14860" spans="8:8">
      <c r="H14860" s="12"/>
    </row>
    <row r="14861" spans="8:8">
      <c r="H14861" s="12"/>
    </row>
    <row r="14862" spans="8:8">
      <c r="H14862" s="12"/>
    </row>
    <row r="14863" spans="8:8">
      <c r="H14863" s="12"/>
    </row>
    <row r="14864" spans="8:8">
      <c r="H14864" s="12"/>
    </row>
    <row r="14865" spans="8:8">
      <c r="H14865" s="12"/>
    </row>
    <row r="14866" spans="8:8">
      <c r="H14866" s="12"/>
    </row>
    <row r="14867" spans="8:8">
      <c r="H14867" s="12"/>
    </row>
    <row r="14868" spans="8:8">
      <c r="H14868" s="12"/>
    </row>
    <row r="14869" spans="8:8">
      <c r="H14869" s="12"/>
    </row>
    <row r="14870" spans="8:8">
      <c r="H14870" s="12"/>
    </row>
    <row r="14871" spans="8:8">
      <c r="H14871" s="12"/>
    </row>
    <row r="14872" spans="8:8">
      <c r="H14872" s="12"/>
    </row>
    <row r="14873" spans="8:8">
      <c r="H14873" s="12"/>
    </row>
    <row r="14874" spans="8:8">
      <c r="H14874" s="12"/>
    </row>
    <row r="14875" spans="8:8">
      <c r="H14875" s="12"/>
    </row>
    <row r="14876" spans="8:8">
      <c r="H14876" s="12"/>
    </row>
    <row r="14877" spans="8:8">
      <c r="H14877" s="12"/>
    </row>
    <row r="14878" spans="8:8">
      <c r="H14878" s="12"/>
    </row>
    <row r="14879" spans="8:8">
      <c r="H14879" s="12"/>
    </row>
    <row r="14880" spans="8:8">
      <c r="H14880" s="12"/>
    </row>
    <row r="14881" spans="8:8">
      <c r="H14881" s="12"/>
    </row>
    <row r="14882" spans="8:8">
      <c r="H14882" s="12"/>
    </row>
    <row r="14883" spans="8:8">
      <c r="H14883" s="12"/>
    </row>
    <row r="14884" spans="8:8">
      <c r="H14884" s="12"/>
    </row>
    <row r="14885" spans="8:8">
      <c r="H14885" s="12"/>
    </row>
    <row r="14886" spans="8:8">
      <c r="H14886" s="12"/>
    </row>
    <row r="14887" spans="8:8">
      <c r="H14887" s="12"/>
    </row>
    <row r="14888" spans="8:8">
      <c r="H14888" s="12"/>
    </row>
    <row r="14889" spans="8:8">
      <c r="H14889" s="12"/>
    </row>
    <row r="14890" spans="8:8">
      <c r="H14890" s="12"/>
    </row>
    <row r="14891" spans="8:8">
      <c r="H14891" s="12"/>
    </row>
    <row r="14892" spans="8:8">
      <c r="H14892" s="12"/>
    </row>
    <row r="14893" spans="8:8">
      <c r="H14893" s="12"/>
    </row>
    <row r="14894" spans="8:8">
      <c r="H14894" s="12"/>
    </row>
    <row r="14895" spans="8:8">
      <c r="H14895" s="12"/>
    </row>
    <row r="14896" spans="8:8">
      <c r="H14896" s="12"/>
    </row>
    <row r="14897" spans="8:8">
      <c r="H14897" s="12"/>
    </row>
    <row r="14898" spans="8:8">
      <c r="H14898" s="12"/>
    </row>
    <row r="14899" spans="8:8">
      <c r="H14899" s="12"/>
    </row>
    <row r="14900" spans="8:8">
      <c r="H14900" s="12"/>
    </row>
    <row r="14901" spans="8:8">
      <c r="H14901" s="12"/>
    </row>
    <row r="14902" spans="8:8">
      <c r="H14902" s="12"/>
    </row>
    <row r="14903" spans="8:8">
      <c r="H14903" s="12"/>
    </row>
    <row r="14904" spans="8:8">
      <c r="H14904" s="12"/>
    </row>
    <row r="14905" spans="8:8">
      <c r="H14905" s="12"/>
    </row>
    <row r="14906" spans="8:8">
      <c r="H14906" s="12"/>
    </row>
    <row r="14907" spans="8:8">
      <c r="H14907" s="12"/>
    </row>
    <row r="14908" spans="8:8">
      <c r="H14908" s="12"/>
    </row>
    <row r="14909" spans="8:8">
      <c r="H14909" s="12"/>
    </row>
    <row r="14910" spans="8:8">
      <c r="H14910" s="12"/>
    </row>
    <row r="14911" spans="8:8">
      <c r="H14911" s="12"/>
    </row>
    <row r="14912" spans="8:8">
      <c r="H14912" s="12"/>
    </row>
    <row r="14913" spans="8:8">
      <c r="H14913" s="12"/>
    </row>
    <row r="14914" spans="8:8">
      <c r="H14914" s="12"/>
    </row>
    <row r="14915" spans="8:8">
      <c r="H14915" s="12"/>
    </row>
    <row r="14916" spans="8:8">
      <c r="H14916" s="12"/>
    </row>
    <row r="14917" spans="8:8">
      <c r="H14917" s="12"/>
    </row>
    <row r="14918" spans="8:8">
      <c r="H14918" s="12"/>
    </row>
    <row r="14919" spans="8:8">
      <c r="H14919" s="12"/>
    </row>
    <row r="14920" spans="8:8">
      <c r="H14920" s="12"/>
    </row>
    <row r="14921" spans="8:8">
      <c r="H14921" s="12"/>
    </row>
    <row r="14922" spans="8:8">
      <c r="H14922" s="12"/>
    </row>
    <row r="14923" spans="8:8">
      <c r="H14923" s="12"/>
    </row>
    <row r="14924" spans="8:8">
      <c r="H14924" s="12"/>
    </row>
    <row r="14925" spans="8:8">
      <c r="H14925" s="12"/>
    </row>
    <row r="14926" spans="8:8">
      <c r="H14926" s="12"/>
    </row>
    <row r="14927" spans="8:8">
      <c r="H14927" s="12"/>
    </row>
    <row r="14928" spans="8:8">
      <c r="H14928" s="12"/>
    </row>
    <row r="14929" spans="8:8">
      <c r="H14929" s="12"/>
    </row>
    <row r="14930" spans="8:8">
      <c r="H14930" s="12"/>
    </row>
    <row r="14931" spans="8:8">
      <c r="H14931" s="12"/>
    </row>
    <row r="14932" spans="8:8">
      <c r="H14932" s="12"/>
    </row>
    <row r="14933" spans="8:8">
      <c r="H14933" s="12"/>
    </row>
    <row r="14934" spans="8:8">
      <c r="H14934" s="12"/>
    </row>
    <row r="14935" spans="8:8">
      <c r="H14935" s="12"/>
    </row>
    <row r="14936" spans="8:8">
      <c r="H14936" s="12"/>
    </row>
    <row r="14937" spans="8:8">
      <c r="H14937" s="12"/>
    </row>
    <row r="14938" spans="8:8">
      <c r="H14938" s="12"/>
    </row>
    <row r="14939" spans="8:8">
      <c r="H14939" s="12"/>
    </row>
    <row r="14940" spans="8:8">
      <c r="H14940" s="12"/>
    </row>
    <row r="14941" spans="8:8">
      <c r="H14941" s="12"/>
    </row>
    <row r="14942" spans="8:8">
      <c r="H14942" s="12"/>
    </row>
    <row r="14943" spans="8:8">
      <c r="H14943" s="12"/>
    </row>
    <row r="14944" spans="8:8">
      <c r="H14944" s="12"/>
    </row>
    <row r="14945" spans="8:8">
      <c r="H14945" s="12"/>
    </row>
    <row r="14946" spans="8:8">
      <c r="H14946" s="12"/>
    </row>
    <row r="14947" spans="8:8">
      <c r="H14947" s="12"/>
    </row>
    <row r="14948" spans="8:8">
      <c r="H14948" s="12"/>
    </row>
    <row r="14949" spans="8:8">
      <c r="H14949" s="12"/>
    </row>
    <row r="14950" spans="8:8">
      <c r="H14950" s="12"/>
    </row>
    <row r="14951" spans="8:8">
      <c r="H14951" s="12"/>
    </row>
    <row r="14952" spans="8:8">
      <c r="H14952" s="12"/>
    </row>
    <row r="14953" spans="8:8">
      <c r="H14953" s="12"/>
    </row>
    <row r="14954" spans="8:8">
      <c r="H14954" s="12"/>
    </row>
    <row r="14955" spans="8:8">
      <c r="H14955" s="12"/>
    </row>
    <row r="14956" spans="8:8">
      <c r="H14956" s="12"/>
    </row>
    <row r="14957" spans="8:8">
      <c r="H14957" s="12"/>
    </row>
    <row r="14958" spans="8:8">
      <c r="H14958" s="12"/>
    </row>
    <row r="14959" spans="8:8">
      <c r="H14959" s="12"/>
    </row>
    <row r="14960" spans="8:8">
      <c r="H14960" s="12"/>
    </row>
    <row r="14961" spans="8:8">
      <c r="H14961" s="12"/>
    </row>
    <row r="14962" spans="8:8">
      <c r="H14962" s="12"/>
    </row>
    <row r="14963" spans="8:8">
      <c r="H14963" s="12"/>
    </row>
    <row r="14964" spans="8:8">
      <c r="H14964" s="12"/>
    </row>
    <row r="14965" spans="8:8">
      <c r="H14965" s="12"/>
    </row>
    <row r="14966" spans="8:8">
      <c r="H14966" s="12"/>
    </row>
    <row r="14967" spans="8:8">
      <c r="H14967" s="12"/>
    </row>
    <row r="14968" spans="8:8">
      <c r="H14968" s="12"/>
    </row>
    <row r="14969" spans="8:8">
      <c r="H14969" s="12"/>
    </row>
    <row r="14970" spans="8:8">
      <c r="H14970" s="12"/>
    </row>
    <row r="14971" spans="8:8">
      <c r="H14971" s="12"/>
    </row>
    <row r="14972" spans="8:8">
      <c r="H14972" s="12"/>
    </row>
    <row r="14973" spans="8:8">
      <c r="H14973" s="12"/>
    </row>
    <row r="14974" spans="8:8">
      <c r="H14974" s="12"/>
    </row>
    <row r="14975" spans="8:8">
      <c r="H14975" s="12"/>
    </row>
    <row r="14976" spans="8:8">
      <c r="H14976" s="12"/>
    </row>
    <row r="14977" spans="8:8">
      <c r="H14977" s="12"/>
    </row>
    <row r="14978" spans="8:8">
      <c r="H14978" s="12"/>
    </row>
    <row r="14979" spans="8:8">
      <c r="H14979" s="12"/>
    </row>
    <row r="14980" spans="8:8">
      <c r="H14980" s="12"/>
    </row>
    <row r="14981" spans="8:8">
      <c r="H14981" s="12"/>
    </row>
    <row r="14982" spans="8:8">
      <c r="H14982" s="12"/>
    </row>
    <row r="14983" spans="8:8">
      <c r="H14983" s="12"/>
    </row>
    <row r="14984" spans="8:8">
      <c r="H14984" s="12"/>
    </row>
    <row r="14985" spans="8:8">
      <c r="H14985" s="12"/>
    </row>
    <row r="14986" spans="8:8">
      <c r="H14986" s="12"/>
    </row>
    <row r="14987" spans="8:8">
      <c r="H14987" s="12"/>
    </row>
    <row r="14988" spans="8:8">
      <c r="H14988" s="12"/>
    </row>
    <row r="14989" spans="8:8">
      <c r="H14989" s="12"/>
    </row>
    <row r="14990" spans="8:8">
      <c r="H14990" s="12"/>
    </row>
    <row r="14991" spans="8:8">
      <c r="H14991" s="12"/>
    </row>
    <row r="14992" spans="8:8">
      <c r="H14992" s="12"/>
    </row>
    <row r="14993" spans="8:8">
      <c r="H14993" s="12"/>
    </row>
    <row r="14994" spans="8:8">
      <c r="H14994" s="12"/>
    </row>
    <row r="14995" spans="8:8">
      <c r="H14995" s="12"/>
    </row>
    <row r="14996" spans="8:8">
      <c r="H14996" s="12"/>
    </row>
    <row r="14997" spans="8:8">
      <c r="H14997" s="12"/>
    </row>
    <row r="14998" spans="8:8">
      <c r="H14998" s="12"/>
    </row>
    <row r="14999" spans="8:8">
      <c r="H14999" s="12"/>
    </row>
    <row r="15000" spans="8:8">
      <c r="H15000" s="12"/>
    </row>
    <row r="15001" spans="8:8">
      <c r="H15001" s="12"/>
    </row>
    <row r="15002" spans="8:8">
      <c r="H15002" s="12"/>
    </row>
    <row r="15003" spans="8:8">
      <c r="H15003" s="12"/>
    </row>
    <row r="15004" spans="8:8">
      <c r="H15004" s="12"/>
    </row>
    <row r="15005" spans="8:8">
      <c r="H15005" s="12"/>
    </row>
    <row r="15006" spans="8:8">
      <c r="H15006" s="12"/>
    </row>
    <row r="15007" spans="8:8">
      <c r="H15007" s="12"/>
    </row>
    <row r="15008" spans="8:8">
      <c r="H15008" s="12"/>
    </row>
    <row r="15009" spans="8:8">
      <c r="H15009" s="12"/>
    </row>
    <row r="15010" spans="8:8">
      <c r="H15010" s="12"/>
    </row>
    <row r="15011" spans="8:8">
      <c r="H15011" s="12"/>
    </row>
    <row r="15012" spans="8:8">
      <c r="H15012" s="12"/>
    </row>
    <row r="15013" spans="8:8">
      <c r="H15013" s="12"/>
    </row>
    <row r="15014" spans="8:8">
      <c r="H15014" s="12"/>
    </row>
    <row r="15015" spans="8:8">
      <c r="H15015" s="12"/>
    </row>
    <row r="15016" spans="8:8">
      <c r="H15016" s="12"/>
    </row>
    <row r="15017" spans="8:8">
      <c r="H15017" s="12"/>
    </row>
    <row r="15018" spans="8:8">
      <c r="H15018" s="12"/>
    </row>
    <row r="15019" spans="8:8">
      <c r="H15019" s="12"/>
    </row>
    <row r="15020" spans="8:8">
      <c r="H15020" s="12"/>
    </row>
    <row r="15021" spans="8:8">
      <c r="H15021" s="12"/>
    </row>
    <row r="15022" spans="8:8">
      <c r="H15022" s="12"/>
    </row>
    <row r="15023" spans="8:8">
      <c r="H15023" s="12"/>
    </row>
    <row r="15024" spans="8:8">
      <c r="H15024" s="12"/>
    </row>
    <row r="15025" spans="8:8">
      <c r="H15025" s="12"/>
    </row>
    <row r="15026" spans="8:8">
      <c r="H15026" s="12"/>
    </row>
    <row r="15027" spans="8:8">
      <c r="H15027" s="12"/>
    </row>
    <row r="15028" spans="8:8">
      <c r="H15028" s="12"/>
    </row>
    <row r="15029" spans="8:8">
      <c r="H15029" s="12"/>
    </row>
    <row r="15030" spans="8:8">
      <c r="H15030" s="12"/>
    </row>
    <row r="15031" spans="8:8">
      <c r="H15031" s="12"/>
    </row>
    <row r="15032" spans="8:8">
      <c r="H15032" s="12"/>
    </row>
    <row r="15033" spans="8:8">
      <c r="H15033" s="12"/>
    </row>
    <row r="15034" spans="8:8">
      <c r="H15034" s="12"/>
    </row>
    <row r="15035" spans="8:8">
      <c r="H15035" s="12"/>
    </row>
    <row r="15036" spans="8:8">
      <c r="H15036" s="12"/>
    </row>
    <row r="15037" spans="8:8">
      <c r="H15037" s="12"/>
    </row>
    <row r="15038" spans="8:8">
      <c r="H15038" s="12"/>
    </row>
    <row r="15039" spans="8:8">
      <c r="H15039" s="12"/>
    </row>
    <row r="15040" spans="8:8">
      <c r="H15040" s="12"/>
    </row>
    <row r="15041" spans="8:8">
      <c r="H15041" s="12"/>
    </row>
    <row r="15042" spans="8:8">
      <c r="H15042" s="12"/>
    </row>
    <row r="15043" spans="8:8">
      <c r="H15043" s="12"/>
    </row>
    <row r="15044" spans="8:8">
      <c r="H15044" s="12"/>
    </row>
    <row r="15045" spans="8:8">
      <c r="H15045" s="12"/>
    </row>
    <row r="15046" spans="8:8">
      <c r="H15046" s="12"/>
    </row>
    <row r="15047" spans="8:8">
      <c r="H15047" s="12"/>
    </row>
    <row r="15048" spans="8:8">
      <c r="H15048" s="12"/>
    </row>
    <row r="15049" spans="8:8">
      <c r="H15049" s="12"/>
    </row>
    <row r="15050" spans="8:8">
      <c r="H15050" s="12"/>
    </row>
    <row r="15051" spans="8:8">
      <c r="H15051" s="12"/>
    </row>
    <row r="15052" spans="8:8">
      <c r="H15052" s="12"/>
    </row>
    <row r="15053" spans="8:8">
      <c r="H15053" s="12"/>
    </row>
    <row r="15054" spans="8:8">
      <c r="H15054" s="12"/>
    </row>
    <row r="15055" spans="8:8">
      <c r="H15055" s="12"/>
    </row>
    <row r="15056" spans="8:8">
      <c r="H15056" s="12"/>
    </row>
    <row r="15057" spans="8:8">
      <c r="H15057" s="12"/>
    </row>
    <row r="15058" spans="8:8">
      <c r="H15058" s="12"/>
    </row>
    <row r="15059" spans="8:8">
      <c r="H15059" s="12"/>
    </row>
    <row r="15060" spans="8:8">
      <c r="H15060" s="12"/>
    </row>
    <row r="15061" spans="8:8">
      <c r="H15061" s="12"/>
    </row>
    <row r="15062" spans="8:8">
      <c r="H15062" s="12"/>
    </row>
    <row r="15063" spans="8:8">
      <c r="H15063" s="12"/>
    </row>
    <row r="15064" spans="8:8">
      <c r="H15064" s="12"/>
    </row>
    <row r="15065" spans="8:8">
      <c r="H15065" s="12"/>
    </row>
    <row r="15066" spans="8:8">
      <c r="H15066" s="12"/>
    </row>
    <row r="15067" spans="8:8">
      <c r="H15067" s="12"/>
    </row>
    <row r="15068" spans="8:8">
      <c r="H15068" s="12"/>
    </row>
    <row r="15069" spans="8:8">
      <c r="H15069" s="12"/>
    </row>
    <row r="15070" spans="8:8">
      <c r="H15070" s="12"/>
    </row>
    <row r="15071" spans="8:8">
      <c r="H15071" s="12"/>
    </row>
    <row r="15072" spans="8:8">
      <c r="H15072" s="12"/>
    </row>
    <row r="15073" spans="8:8">
      <c r="H15073" s="12"/>
    </row>
    <row r="15074" spans="8:8">
      <c r="H15074" s="12"/>
    </row>
    <row r="15075" spans="8:8">
      <c r="H15075" s="12"/>
    </row>
    <row r="15076" spans="8:8">
      <c r="H15076" s="12"/>
    </row>
    <row r="15077" spans="8:8">
      <c r="H15077" s="12"/>
    </row>
    <row r="15078" spans="8:8">
      <c r="H15078" s="12"/>
    </row>
    <row r="15079" spans="8:8">
      <c r="H15079" s="12"/>
    </row>
    <row r="15080" spans="8:8">
      <c r="H15080" s="12"/>
    </row>
    <row r="15081" spans="8:8">
      <c r="H15081" s="12"/>
    </row>
    <row r="15082" spans="8:8">
      <c r="H15082" s="12"/>
    </row>
    <row r="15083" spans="8:8">
      <c r="H15083" s="12"/>
    </row>
    <row r="15084" spans="8:8">
      <c r="H15084" s="12"/>
    </row>
    <row r="15085" spans="8:8">
      <c r="H15085" s="12"/>
    </row>
    <row r="15086" spans="8:8">
      <c r="H15086" s="12"/>
    </row>
    <row r="15087" spans="8:8">
      <c r="H15087" s="12"/>
    </row>
    <row r="15088" spans="8:8">
      <c r="H15088" s="12"/>
    </row>
    <row r="15089" spans="8:8">
      <c r="H15089" s="12"/>
    </row>
    <row r="15090" spans="8:8">
      <c r="H15090" s="12"/>
    </row>
    <row r="15091" spans="8:8">
      <c r="H15091" s="12"/>
    </row>
    <row r="15092" spans="8:8">
      <c r="H15092" s="12"/>
    </row>
    <row r="15093" spans="8:8">
      <c r="H15093" s="12"/>
    </row>
    <row r="15094" spans="8:8">
      <c r="H15094" s="12"/>
    </row>
    <row r="15095" spans="8:8">
      <c r="H15095" s="12"/>
    </row>
    <row r="15096" spans="8:8">
      <c r="H15096" s="12"/>
    </row>
    <row r="15097" spans="8:8">
      <c r="H15097" s="12"/>
    </row>
    <row r="15098" spans="8:8">
      <c r="H15098" s="12"/>
    </row>
    <row r="15099" spans="8:8">
      <c r="H15099" s="12"/>
    </row>
    <row r="15100" spans="8:8">
      <c r="H15100" s="12"/>
    </row>
    <row r="15101" spans="8:8">
      <c r="H15101" s="12"/>
    </row>
    <row r="15102" spans="8:8">
      <c r="H15102" s="12"/>
    </row>
    <row r="15103" spans="8:8">
      <c r="H15103" s="12"/>
    </row>
    <row r="15104" spans="8:8">
      <c r="H15104" s="12"/>
    </row>
    <row r="15105" spans="8:8">
      <c r="H15105" s="12"/>
    </row>
    <row r="15106" spans="8:8">
      <c r="H15106" s="12"/>
    </row>
    <row r="15107" spans="8:8">
      <c r="H15107" s="12"/>
    </row>
    <row r="15108" spans="8:8">
      <c r="H15108" s="12"/>
    </row>
    <row r="15109" spans="8:8">
      <c r="H15109" s="12"/>
    </row>
    <row r="15110" spans="8:8">
      <c r="H15110" s="12"/>
    </row>
    <row r="15111" spans="8:8">
      <c r="H15111" s="12"/>
    </row>
    <row r="15112" spans="8:8">
      <c r="H15112" s="12"/>
    </row>
    <row r="15113" spans="8:8">
      <c r="H15113" s="12"/>
    </row>
    <row r="15114" spans="8:8">
      <c r="H15114" s="12"/>
    </row>
    <row r="15115" spans="8:8">
      <c r="H15115" s="12"/>
    </row>
    <row r="15116" spans="8:8">
      <c r="H15116" s="12"/>
    </row>
    <row r="15117" spans="8:8">
      <c r="H15117" s="12"/>
    </row>
    <row r="15118" spans="8:8">
      <c r="H15118" s="12"/>
    </row>
    <row r="15119" spans="8:8">
      <c r="H15119" s="12"/>
    </row>
    <row r="15120" spans="8:8">
      <c r="H15120" s="12"/>
    </row>
    <row r="15121" spans="8:8">
      <c r="H15121" s="12"/>
    </row>
    <row r="15122" spans="8:8">
      <c r="H15122" s="12"/>
    </row>
    <row r="15123" spans="8:8">
      <c r="H15123" s="12"/>
    </row>
    <row r="15124" spans="8:8">
      <c r="H15124" s="12"/>
    </row>
    <row r="15125" spans="8:8">
      <c r="H15125" s="12"/>
    </row>
    <row r="15126" spans="8:8">
      <c r="H15126" s="12"/>
    </row>
    <row r="15127" spans="8:8">
      <c r="H15127" s="12"/>
    </row>
    <row r="15128" spans="8:8">
      <c r="H15128" s="12"/>
    </row>
    <row r="15129" spans="8:8">
      <c r="H15129" s="12"/>
    </row>
    <row r="15130" spans="8:8">
      <c r="H15130" s="12"/>
    </row>
    <row r="15131" spans="8:8">
      <c r="H15131" s="12"/>
    </row>
    <row r="15132" spans="8:8">
      <c r="H15132" s="12"/>
    </row>
    <row r="15133" spans="8:8">
      <c r="H15133" s="12"/>
    </row>
    <row r="15134" spans="8:8">
      <c r="H15134" s="12"/>
    </row>
    <row r="15135" spans="8:8">
      <c r="H15135" s="12"/>
    </row>
    <row r="15136" spans="8:8">
      <c r="H15136" s="12"/>
    </row>
    <row r="15137" spans="8:8">
      <c r="H15137" s="12"/>
    </row>
    <row r="15138" spans="8:8">
      <c r="H15138" s="12"/>
    </row>
    <row r="15139" spans="8:8">
      <c r="H15139" s="12"/>
    </row>
    <row r="15140" spans="8:8">
      <c r="H15140" s="12"/>
    </row>
    <row r="15141" spans="8:8">
      <c r="H15141" s="12"/>
    </row>
    <row r="15142" spans="8:8">
      <c r="H15142" s="12"/>
    </row>
    <row r="15143" spans="8:8">
      <c r="H15143" s="12"/>
    </row>
    <row r="15144" spans="8:8">
      <c r="H15144" s="12"/>
    </row>
    <row r="15145" spans="8:8">
      <c r="H15145" s="12"/>
    </row>
    <row r="15146" spans="8:8">
      <c r="H15146" s="12"/>
    </row>
    <row r="15147" spans="8:8">
      <c r="H15147" s="12"/>
    </row>
    <row r="15148" spans="8:8">
      <c r="H15148" s="12"/>
    </row>
    <row r="15149" spans="8:8">
      <c r="H15149" s="12"/>
    </row>
    <row r="15150" spans="8:8">
      <c r="H15150" s="12"/>
    </row>
    <row r="15151" spans="8:8">
      <c r="H15151" s="12"/>
    </row>
    <row r="15152" spans="8:8">
      <c r="H15152" s="12"/>
    </row>
    <row r="15153" spans="8:8">
      <c r="H15153" s="12"/>
    </row>
    <row r="15154" spans="8:8">
      <c r="H15154" s="12"/>
    </row>
    <row r="15155" spans="8:8">
      <c r="H15155" s="12"/>
    </row>
    <row r="15156" spans="8:8">
      <c r="H15156" s="12"/>
    </row>
    <row r="15157" spans="8:8">
      <c r="H15157" s="12"/>
    </row>
    <row r="15158" spans="8:8">
      <c r="H15158" s="12"/>
    </row>
    <row r="15159" spans="8:8">
      <c r="H15159" s="12"/>
    </row>
    <row r="15160" spans="8:8">
      <c r="H15160" s="12"/>
    </row>
    <row r="15161" spans="8:8">
      <c r="H15161" s="12"/>
    </row>
    <row r="15162" spans="8:8">
      <c r="H15162" s="12"/>
    </row>
    <row r="15163" spans="8:8">
      <c r="H15163" s="12"/>
    </row>
    <row r="15164" spans="8:8">
      <c r="H15164" s="12"/>
    </row>
    <row r="15165" spans="8:8">
      <c r="H15165" s="12"/>
    </row>
    <row r="15166" spans="8:8">
      <c r="H15166" s="12"/>
    </row>
    <row r="15167" spans="8:8">
      <c r="H15167" s="12"/>
    </row>
    <row r="15168" spans="8:8">
      <c r="H15168" s="12"/>
    </row>
    <row r="15169" spans="8:8">
      <c r="H15169" s="12"/>
    </row>
    <row r="15170" spans="8:8">
      <c r="H15170" s="12"/>
    </row>
    <row r="15171" spans="8:8">
      <c r="H15171" s="12"/>
    </row>
    <row r="15172" spans="8:8">
      <c r="H15172" s="12"/>
    </row>
    <row r="15173" spans="8:8">
      <c r="H15173" s="12"/>
    </row>
    <row r="15174" spans="8:8">
      <c r="H15174" s="12"/>
    </row>
    <row r="15175" spans="8:8">
      <c r="H15175" s="12"/>
    </row>
    <row r="15176" spans="8:8">
      <c r="H15176" s="12"/>
    </row>
    <row r="15177" spans="8:8">
      <c r="H15177" s="12"/>
    </row>
    <row r="15178" spans="8:8">
      <c r="H15178" s="12"/>
    </row>
    <row r="15179" spans="8:8">
      <c r="H15179" s="12"/>
    </row>
    <row r="15180" spans="8:8">
      <c r="H15180" s="12"/>
    </row>
    <row r="15181" spans="8:8">
      <c r="H15181" s="12"/>
    </row>
    <row r="15182" spans="8:8">
      <c r="H15182" s="12"/>
    </row>
    <row r="15183" spans="8:8">
      <c r="H15183" s="12"/>
    </row>
    <row r="15184" spans="8:8">
      <c r="H15184" s="12"/>
    </row>
    <row r="15185" spans="8:8">
      <c r="H15185" s="12"/>
    </row>
    <row r="15186" spans="8:8">
      <c r="H15186" s="12"/>
    </row>
    <row r="15187" spans="8:8">
      <c r="H15187" s="12"/>
    </row>
    <row r="15188" spans="8:8">
      <c r="H15188" s="12"/>
    </row>
    <row r="15189" spans="8:8">
      <c r="H15189" s="12"/>
    </row>
    <row r="15190" spans="8:8">
      <c r="H15190" s="12"/>
    </row>
    <row r="15191" spans="8:8">
      <c r="H15191" s="12"/>
    </row>
    <row r="15192" spans="8:8">
      <c r="H15192" s="12"/>
    </row>
    <row r="15193" spans="8:8">
      <c r="H15193" s="12"/>
    </row>
    <row r="15194" spans="8:8">
      <c r="H15194" s="12"/>
    </row>
    <row r="15195" spans="8:8">
      <c r="H15195" s="12"/>
    </row>
    <row r="15196" spans="8:8">
      <c r="H15196" s="12"/>
    </row>
    <row r="15197" spans="8:8">
      <c r="H15197" s="12"/>
    </row>
    <row r="15198" spans="8:8">
      <c r="H15198" s="12"/>
    </row>
    <row r="15199" spans="8:8">
      <c r="H15199" s="12"/>
    </row>
    <row r="15200" spans="8:8">
      <c r="H15200" s="12"/>
    </row>
    <row r="15201" spans="8:8">
      <c r="H15201" s="12"/>
    </row>
    <row r="15202" spans="8:8">
      <c r="H15202" s="12"/>
    </row>
    <row r="15203" spans="8:8">
      <c r="H15203" s="12"/>
    </row>
    <row r="15204" spans="8:8">
      <c r="H15204" s="12"/>
    </row>
    <row r="15205" spans="8:8">
      <c r="H15205" s="12"/>
    </row>
    <row r="15206" spans="8:8">
      <c r="H15206" s="12"/>
    </row>
    <row r="15207" spans="8:8">
      <c r="H15207" s="12"/>
    </row>
    <row r="15208" spans="8:8">
      <c r="H15208" s="12"/>
    </row>
    <row r="15209" spans="8:8">
      <c r="H15209" s="12"/>
    </row>
    <row r="15210" spans="8:8">
      <c r="H15210" s="12"/>
    </row>
    <row r="15211" spans="8:8">
      <c r="H15211" s="12"/>
    </row>
    <row r="15212" spans="8:8">
      <c r="H15212" s="12"/>
    </row>
    <row r="15213" spans="8:8">
      <c r="H15213" s="12"/>
    </row>
    <row r="15214" spans="8:8">
      <c r="H15214" s="12"/>
    </row>
    <row r="15215" spans="8:8">
      <c r="H15215" s="12"/>
    </row>
    <row r="15216" spans="8:8">
      <c r="H15216" s="12"/>
    </row>
    <row r="15217" spans="8:8">
      <c r="H15217" s="12"/>
    </row>
    <row r="15218" spans="8:8">
      <c r="H15218" s="12"/>
    </row>
    <row r="15219" spans="8:8">
      <c r="H15219" s="12"/>
    </row>
    <row r="15220" spans="8:8">
      <c r="H15220" s="12"/>
    </row>
    <row r="15221" spans="8:8">
      <c r="H15221" s="12"/>
    </row>
    <row r="15222" spans="8:8">
      <c r="H15222" s="12"/>
    </row>
    <row r="15223" spans="8:8">
      <c r="H15223" s="12"/>
    </row>
    <row r="15224" spans="8:8">
      <c r="H15224" s="12"/>
    </row>
    <row r="15225" spans="8:8">
      <c r="H15225" s="12"/>
    </row>
    <row r="15226" spans="8:8">
      <c r="H15226" s="12"/>
    </row>
    <row r="15227" spans="8:8">
      <c r="H15227" s="12"/>
    </row>
    <row r="15228" spans="8:8">
      <c r="H15228" s="12"/>
    </row>
    <row r="15229" spans="8:8">
      <c r="H15229" s="12"/>
    </row>
    <row r="15230" spans="8:8">
      <c r="H15230" s="12"/>
    </row>
    <row r="15231" spans="8:8">
      <c r="H15231" s="12"/>
    </row>
    <row r="15232" spans="8:8">
      <c r="H15232" s="12"/>
    </row>
    <row r="15233" spans="8:8">
      <c r="H15233" s="12"/>
    </row>
    <row r="15234" spans="8:8">
      <c r="H15234" s="12"/>
    </row>
    <row r="15235" spans="8:8">
      <c r="H15235" s="12"/>
    </row>
    <row r="15236" spans="8:8">
      <c r="H15236" s="12"/>
    </row>
    <row r="15237" spans="8:8">
      <c r="H15237" s="12"/>
    </row>
    <row r="15238" spans="8:8">
      <c r="H15238" s="12"/>
    </row>
    <row r="15239" spans="8:8">
      <c r="H15239" s="12"/>
    </row>
    <row r="15240" spans="8:8">
      <c r="H15240" s="12"/>
    </row>
    <row r="15241" spans="8:8">
      <c r="H15241" s="12"/>
    </row>
    <row r="15242" spans="8:8">
      <c r="H15242" s="12"/>
    </row>
    <row r="15243" spans="8:8">
      <c r="H15243" s="12"/>
    </row>
    <row r="15244" spans="8:8">
      <c r="H15244" s="12"/>
    </row>
    <row r="15245" spans="8:8">
      <c r="H15245" s="12"/>
    </row>
    <row r="15246" spans="8:8">
      <c r="H15246" s="12"/>
    </row>
    <row r="15247" spans="8:8">
      <c r="H15247" s="12"/>
    </row>
    <row r="15248" spans="8:8">
      <c r="H15248" s="12"/>
    </row>
    <row r="15249" spans="8:8">
      <c r="H15249" s="12"/>
    </row>
    <row r="15250" spans="8:8">
      <c r="H15250" s="12"/>
    </row>
    <row r="15251" spans="8:8">
      <c r="H15251" s="12"/>
    </row>
    <row r="15252" spans="8:8">
      <c r="H15252" s="12"/>
    </row>
    <row r="15253" spans="8:8">
      <c r="H15253" s="12"/>
    </row>
    <row r="15254" spans="8:8">
      <c r="H15254" s="12"/>
    </row>
    <row r="15255" spans="8:8">
      <c r="H15255" s="12"/>
    </row>
    <row r="15256" spans="8:8">
      <c r="H15256" s="12"/>
    </row>
    <row r="15257" spans="8:8">
      <c r="H15257" s="12"/>
    </row>
    <row r="15258" spans="8:8">
      <c r="H15258" s="12"/>
    </row>
    <row r="15259" spans="8:8">
      <c r="H15259" s="12"/>
    </row>
    <row r="15260" spans="8:8">
      <c r="H15260" s="12"/>
    </row>
    <row r="15261" spans="8:8">
      <c r="H15261" s="12"/>
    </row>
    <row r="15262" spans="8:8">
      <c r="H15262" s="12"/>
    </row>
    <row r="15263" spans="8:8">
      <c r="H15263" s="12"/>
    </row>
    <row r="15264" spans="8:8">
      <c r="H15264" s="12"/>
    </row>
    <row r="15265" spans="8:8">
      <c r="H15265" s="12"/>
    </row>
    <row r="15266" spans="8:8">
      <c r="H15266" s="12"/>
    </row>
    <row r="15267" spans="8:8">
      <c r="H15267" s="12"/>
    </row>
    <row r="15268" spans="8:8">
      <c r="H15268" s="12"/>
    </row>
    <row r="15269" spans="8:8">
      <c r="H15269" s="12"/>
    </row>
    <row r="15270" spans="8:8">
      <c r="H15270" s="12"/>
    </row>
    <row r="15271" spans="8:8">
      <c r="H15271" s="12"/>
    </row>
    <row r="15272" spans="8:8">
      <c r="H15272" s="12"/>
    </row>
    <row r="15273" spans="8:8">
      <c r="H15273" s="12"/>
    </row>
    <row r="15274" spans="8:8">
      <c r="H15274" s="12"/>
    </row>
    <row r="15275" spans="8:8">
      <c r="H15275" s="12"/>
    </row>
    <row r="15276" spans="8:8">
      <c r="H15276" s="12"/>
    </row>
    <row r="15277" spans="8:8">
      <c r="H15277" s="12"/>
    </row>
    <row r="15278" spans="8:8">
      <c r="H15278" s="12"/>
    </row>
    <row r="15279" spans="8:8">
      <c r="H15279" s="12"/>
    </row>
    <row r="15280" spans="8:8">
      <c r="H15280" s="12"/>
    </row>
    <row r="15281" spans="8:8">
      <c r="H15281" s="12"/>
    </row>
    <row r="15282" spans="8:8">
      <c r="H15282" s="12"/>
    </row>
    <row r="15283" spans="8:8">
      <c r="H15283" s="12"/>
    </row>
    <row r="15284" spans="8:8">
      <c r="H15284" s="12"/>
    </row>
    <row r="15285" spans="8:8">
      <c r="H15285" s="12"/>
    </row>
    <row r="15286" spans="8:8">
      <c r="H15286" s="12"/>
    </row>
    <row r="15287" spans="8:8">
      <c r="H15287" s="12"/>
    </row>
    <row r="15288" spans="8:8">
      <c r="H15288" s="12"/>
    </row>
    <row r="15289" spans="8:8">
      <c r="H15289" s="12"/>
    </row>
    <row r="15290" spans="8:8">
      <c r="H15290" s="12"/>
    </row>
    <row r="15291" spans="8:8">
      <c r="H15291" s="12"/>
    </row>
    <row r="15292" spans="8:8">
      <c r="H15292" s="12"/>
    </row>
    <row r="15293" spans="8:8">
      <c r="H15293" s="12"/>
    </row>
    <row r="15294" spans="8:8">
      <c r="H15294" s="12"/>
    </row>
    <row r="15295" spans="8:8">
      <c r="H15295" s="12"/>
    </row>
    <row r="15296" spans="8:8">
      <c r="H15296" s="12"/>
    </row>
    <row r="15297" spans="8:8">
      <c r="H15297" s="12"/>
    </row>
    <row r="15298" spans="8:8">
      <c r="H15298" s="12"/>
    </row>
    <row r="15299" spans="8:8">
      <c r="H15299" s="12"/>
    </row>
    <row r="15300" spans="8:8">
      <c r="H15300" s="12"/>
    </row>
    <row r="15301" spans="8:8">
      <c r="H15301" s="12"/>
    </row>
    <row r="15302" spans="8:8">
      <c r="H15302" s="12"/>
    </row>
    <row r="15303" spans="8:8">
      <c r="H15303" s="12"/>
    </row>
    <row r="15304" spans="8:8">
      <c r="H15304" s="12"/>
    </row>
    <row r="15305" spans="8:8">
      <c r="H15305" s="12"/>
    </row>
    <row r="15306" spans="8:8">
      <c r="H15306" s="12"/>
    </row>
    <row r="15307" spans="8:8">
      <c r="H15307" s="12"/>
    </row>
    <row r="15308" spans="8:8">
      <c r="H15308" s="12"/>
    </row>
    <row r="15309" spans="8:8">
      <c r="H15309" s="12"/>
    </row>
    <row r="15310" spans="8:8">
      <c r="H15310" s="12"/>
    </row>
    <row r="15311" spans="8:8">
      <c r="H15311" s="12"/>
    </row>
    <row r="15312" spans="8:8">
      <c r="H15312" s="12"/>
    </row>
    <row r="15313" spans="8:8">
      <c r="H15313" s="12"/>
    </row>
    <row r="15314" spans="8:8">
      <c r="H15314" s="12"/>
    </row>
    <row r="15315" spans="8:8">
      <c r="H15315" s="12"/>
    </row>
    <row r="15316" spans="8:8">
      <c r="H15316" s="12"/>
    </row>
    <row r="15317" spans="8:8">
      <c r="H15317" s="12"/>
    </row>
    <row r="15318" spans="8:8">
      <c r="H15318" s="12"/>
    </row>
    <row r="15319" spans="8:8">
      <c r="H15319" s="12"/>
    </row>
    <row r="15320" spans="8:8">
      <c r="H15320" s="12"/>
    </row>
    <row r="15321" spans="8:8">
      <c r="H15321" s="12"/>
    </row>
    <row r="15322" spans="8:8">
      <c r="H15322" s="12"/>
    </row>
    <row r="15323" spans="8:8">
      <c r="H15323" s="12"/>
    </row>
    <row r="15324" spans="8:8">
      <c r="H15324" s="12"/>
    </row>
    <row r="15325" spans="8:8">
      <c r="H15325" s="12"/>
    </row>
    <row r="15326" spans="8:8">
      <c r="H15326" s="12"/>
    </row>
    <row r="15327" spans="8:8">
      <c r="H15327" s="12"/>
    </row>
    <row r="15328" spans="8:8">
      <c r="H15328" s="12"/>
    </row>
    <row r="15329" spans="8:8">
      <c r="H15329" s="12"/>
    </row>
    <row r="15330" spans="8:8">
      <c r="H15330" s="12"/>
    </row>
    <row r="15331" spans="8:8">
      <c r="H15331" s="12"/>
    </row>
    <row r="15332" spans="8:8">
      <c r="H15332" s="12"/>
    </row>
    <row r="15333" spans="8:8">
      <c r="H15333" s="12"/>
    </row>
    <row r="15334" spans="8:8">
      <c r="H15334" s="12"/>
    </row>
    <row r="15335" spans="8:8">
      <c r="H15335" s="12"/>
    </row>
    <row r="15336" spans="8:8">
      <c r="H15336" s="12"/>
    </row>
    <row r="15337" spans="8:8">
      <c r="H15337" s="12"/>
    </row>
    <row r="15338" spans="8:8">
      <c r="H15338" s="12"/>
    </row>
    <row r="15339" spans="8:8">
      <c r="H15339" s="12"/>
    </row>
    <row r="15340" spans="8:8">
      <c r="H15340" s="12"/>
    </row>
    <row r="15341" spans="8:8">
      <c r="H15341" s="12"/>
    </row>
    <row r="15342" spans="8:8">
      <c r="H15342" s="12"/>
    </row>
    <row r="15343" spans="8:8">
      <c r="H15343" s="12"/>
    </row>
    <row r="15344" spans="8:8">
      <c r="H15344" s="12"/>
    </row>
    <row r="15345" spans="8:8">
      <c r="H15345" s="12"/>
    </row>
    <row r="15346" spans="8:8">
      <c r="H15346" s="12"/>
    </row>
    <row r="15347" spans="8:8">
      <c r="H15347" s="12"/>
    </row>
    <row r="15348" spans="8:8">
      <c r="H15348" s="12"/>
    </row>
    <row r="15349" spans="8:8">
      <c r="H15349" s="12"/>
    </row>
    <row r="15350" spans="8:8">
      <c r="H15350" s="12"/>
    </row>
    <row r="15351" spans="8:8">
      <c r="H15351" s="12"/>
    </row>
    <row r="15352" spans="8:8">
      <c r="H15352" s="12"/>
    </row>
    <row r="15353" spans="8:8">
      <c r="H15353" s="12"/>
    </row>
    <row r="15354" spans="8:8">
      <c r="H15354" s="12"/>
    </row>
    <row r="15355" spans="8:8">
      <c r="H15355" s="12"/>
    </row>
    <row r="15356" spans="8:8">
      <c r="H15356" s="12"/>
    </row>
    <row r="15357" spans="8:8">
      <c r="H15357" s="12"/>
    </row>
    <row r="15358" spans="8:8">
      <c r="H15358" s="12"/>
    </row>
    <row r="15359" spans="8:8">
      <c r="H15359" s="12"/>
    </row>
    <row r="15360" spans="8:8">
      <c r="H15360" s="12"/>
    </row>
    <row r="15361" spans="8:8">
      <c r="H15361" s="12"/>
    </row>
    <row r="15362" spans="8:8">
      <c r="H15362" s="12"/>
    </row>
    <row r="15363" spans="8:8">
      <c r="H15363" s="12"/>
    </row>
    <row r="15364" spans="8:8">
      <c r="H15364" s="12"/>
    </row>
    <row r="15365" spans="8:8">
      <c r="H15365" s="12"/>
    </row>
    <row r="15366" spans="8:8">
      <c r="H15366" s="12"/>
    </row>
    <row r="15367" spans="8:8">
      <c r="H15367" s="12"/>
    </row>
    <row r="15368" spans="8:8">
      <c r="H15368" s="12"/>
    </row>
    <row r="15369" spans="8:8">
      <c r="H15369" s="12"/>
    </row>
    <row r="15370" spans="8:8">
      <c r="H15370" s="12"/>
    </row>
    <row r="15371" spans="8:8">
      <c r="H15371" s="12"/>
    </row>
    <row r="15372" spans="8:8">
      <c r="H15372" s="12"/>
    </row>
    <row r="15373" spans="8:8">
      <c r="H15373" s="12"/>
    </row>
    <row r="15374" spans="8:8">
      <c r="H15374" s="12"/>
    </row>
    <row r="15375" spans="8:8">
      <c r="H15375" s="12"/>
    </row>
    <row r="15376" spans="8:8">
      <c r="H15376" s="12"/>
    </row>
    <row r="15377" spans="8:8">
      <c r="H15377" s="12"/>
    </row>
    <row r="15378" spans="8:8">
      <c r="H15378" s="12"/>
    </row>
    <row r="15379" spans="8:8">
      <c r="H15379" s="12"/>
    </row>
    <row r="15380" spans="8:8">
      <c r="H15380" s="12"/>
    </row>
    <row r="15381" spans="8:8">
      <c r="H15381" s="12"/>
    </row>
    <row r="15382" spans="8:8">
      <c r="H15382" s="12"/>
    </row>
    <row r="15383" spans="8:8">
      <c r="H15383" s="12"/>
    </row>
    <row r="15384" spans="8:8">
      <c r="H15384" s="12"/>
    </row>
    <row r="15385" spans="8:8">
      <c r="H15385" s="12"/>
    </row>
    <row r="15386" spans="8:8">
      <c r="H15386" s="12"/>
    </row>
    <row r="15387" spans="8:8">
      <c r="H15387" s="12"/>
    </row>
    <row r="15388" spans="8:8">
      <c r="H15388" s="12"/>
    </row>
    <row r="15389" spans="8:8">
      <c r="H15389" s="12"/>
    </row>
    <row r="15390" spans="8:8">
      <c r="H15390" s="12"/>
    </row>
    <row r="15391" spans="8:8">
      <c r="H15391" s="12"/>
    </row>
    <row r="15392" spans="8:8">
      <c r="H15392" s="12"/>
    </row>
    <row r="15393" spans="8:8">
      <c r="H15393" s="12"/>
    </row>
    <row r="15394" spans="8:8">
      <c r="H15394" s="12"/>
    </row>
    <row r="15395" spans="8:8">
      <c r="H15395" s="12"/>
    </row>
    <row r="15396" spans="8:8">
      <c r="H15396" s="12"/>
    </row>
    <row r="15397" spans="8:8">
      <c r="H15397" s="12"/>
    </row>
    <row r="15398" spans="8:8">
      <c r="H15398" s="12"/>
    </row>
    <row r="15399" spans="8:8">
      <c r="H15399" s="12"/>
    </row>
    <row r="15400" spans="8:8">
      <c r="H15400" s="12"/>
    </row>
    <row r="15401" spans="8:8">
      <c r="H15401" s="12"/>
    </row>
    <row r="15402" spans="8:8">
      <c r="H15402" s="12"/>
    </row>
    <row r="15403" spans="8:8">
      <c r="H15403" s="12"/>
    </row>
    <row r="15404" spans="8:8">
      <c r="H15404" s="12"/>
    </row>
    <row r="15405" spans="8:8">
      <c r="H15405" s="12"/>
    </row>
    <row r="15406" spans="8:8">
      <c r="H15406" s="12"/>
    </row>
    <row r="15407" spans="8:8">
      <c r="H15407" s="12"/>
    </row>
    <row r="15408" spans="8:8">
      <c r="H15408" s="12"/>
    </row>
    <row r="15409" spans="8:8">
      <c r="H15409" s="12"/>
    </row>
    <row r="15410" spans="8:8">
      <c r="H15410" s="12"/>
    </row>
    <row r="15411" spans="8:8">
      <c r="H15411" s="12"/>
    </row>
    <row r="15412" spans="8:8">
      <c r="H15412" s="12"/>
    </row>
    <row r="15413" spans="8:8">
      <c r="H15413" s="12"/>
    </row>
    <row r="15414" spans="8:8">
      <c r="H15414" s="12"/>
    </row>
    <row r="15415" spans="8:8">
      <c r="H15415" s="12"/>
    </row>
    <row r="15416" spans="8:8">
      <c r="H15416" s="12"/>
    </row>
    <row r="15417" spans="8:8">
      <c r="H15417" s="12"/>
    </row>
    <row r="15418" spans="8:8">
      <c r="H15418" s="12"/>
    </row>
    <row r="15419" spans="8:8">
      <c r="H15419" s="12"/>
    </row>
    <row r="15420" spans="8:8">
      <c r="H15420" s="12"/>
    </row>
    <row r="15421" spans="8:8">
      <c r="H15421" s="12"/>
    </row>
    <row r="15422" spans="8:8">
      <c r="H15422" s="12"/>
    </row>
    <row r="15423" spans="8:8">
      <c r="H15423" s="12"/>
    </row>
    <row r="15424" spans="8:8">
      <c r="H15424" s="12"/>
    </row>
    <row r="15425" spans="8:8">
      <c r="H15425" s="12"/>
    </row>
    <row r="15426" spans="8:8">
      <c r="H15426" s="12"/>
    </row>
    <row r="15427" spans="8:8">
      <c r="H15427" s="12"/>
    </row>
    <row r="15428" spans="8:8">
      <c r="H15428" s="12"/>
    </row>
    <row r="15429" spans="8:8">
      <c r="H15429" s="12"/>
    </row>
    <row r="15430" spans="8:8">
      <c r="H15430" s="12"/>
    </row>
    <row r="15431" spans="8:8">
      <c r="H15431" s="12"/>
    </row>
    <row r="15432" spans="8:8">
      <c r="H15432" s="12"/>
    </row>
    <row r="15433" spans="8:8">
      <c r="H15433" s="12"/>
    </row>
    <row r="15434" spans="8:8">
      <c r="H15434" s="12"/>
    </row>
    <row r="15435" spans="8:8">
      <c r="H15435" s="12"/>
    </row>
    <row r="15436" spans="8:8">
      <c r="H15436" s="12"/>
    </row>
    <row r="15437" spans="8:8">
      <c r="H15437" s="12"/>
    </row>
    <row r="15438" spans="8:8">
      <c r="H15438" s="12"/>
    </row>
    <row r="15439" spans="8:8">
      <c r="H15439" s="12"/>
    </row>
    <row r="15440" spans="8:8">
      <c r="H15440" s="12"/>
    </row>
    <row r="15441" spans="8:8">
      <c r="H15441" s="12"/>
    </row>
    <row r="15442" spans="8:8">
      <c r="H15442" s="12"/>
    </row>
    <row r="15443" spans="8:8">
      <c r="H15443" s="12"/>
    </row>
    <row r="15444" spans="8:8">
      <c r="H15444" s="12"/>
    </row>
    <row r="15445" spans="8:8">
      <c r="H15445" s="12"/>
    </row>
    <row r="15446" spans="8:8">
      <c r="H15446" s="12"/>
    </row>
    <row r="15447" spans="8:8">
      <c r="H15447" s="12"/>
    </row>
    <row r="15448" spans="8:8">
      <c r="H15448" s="12"/>
    </row>
    <row r="15449" spans="8:8">
      <c r="H15449" s="12"/>
    </row>
    <row r="15450" spans="8:8">
      <c r="H15450" s="12"/>
    </row>
    <row r="15451" spans="8:8">
      <c r="H15451" s="12"/>
    </row>
    <row r="15452" spans="8:8">
      <c r="H15452" s="12"/>
    </row>
    <row r="15453" spans="8:8">
      <c r="H15453" s="12"/>
    </row>
    <row r="15454" spans="8:8">
      <c r="H15454" s="12"/>
    </row>
    <row r="15455" spans="8:8">
      <c r="H15455" s="12"/>
    </row>
    <row r="15456" spans="8:8">
      <c r="H15456" s="12"/>
    </row>
    <row r="15457" spans="8:8">
      <c r="H15457" s="12"/>
    </row>
    <row r="15458" spans="8:8">
      <c r="H15458" s="12"/>
    </row>
    <row r="15459" spans="8:8">
      <c r="H15459" s="12"/>
    </row>
    <row r="15460" spans="8:8">
      <c r="H15460" s="12"/>
    </row>
    <row r="15461" spans="8:8">
      <c r="H15461" s="12"/>
    </row>
    <row r="15462" spans="8:8">
      <c r="H15462" s="12"/>
    </row>
    <row r="15463" spans="8:8">
      <c r="H15463" s="12"/>
    </row>
    <row r="15464" spans="8:8">
      <c r="H15464" s="12"/>
    </row>
    <row r="15465" spans="8:8">
      <c r="H15465" s="12"/>
    </row>
    <row r="15466" spans="8:8">
      <c r="H15466" s="12"/>
    </row>
    <row r="15467" spans="8:8">
      <c r="H15467" s="12"/>
    </row>
    <row r="15468" spans="8:8">
      <c r="H15468" s="12"/>
    </row>
    <row r="15469" spans="8:8">
      <c r="H15469" s="12"/>
    </row>
    <row r="15470" spans="8:8">
      <c r="H15470" s="12"/>
    </row>
    <row r="15471" spans="8:8">
      <c r="H15471" s="12"/>
    </row>
    <row r="15472" spans="8:8">
      <c r="H15472" s="12"/>
    </row>
    <row r="15473" spans="8:8">
      <c r="H15473" s="12"/>
    </row>
    <row r="15474" spans="8:8">
      <c r="H15474" s="12"/>
    </row>
    <row r="15475" spans="8:8">
      <c r="H15475" s="12"/>
    </row>
    <row r="15476" spans="8:8">
      <c r="H15476" s="12"/>
    </row>
    <row r="15477" spans="8:8">
      <c r="H15477" s="12"/>
    </row>
    <row r="15478" spans="8:8">
      <c r="H15478" s="12"/>
    </row>
    <row r="15479" spans="8:8">
      <c r="H15479" s="12"/>
    </row>
    <row r="15480" spans="8:8">
      <c r="H15480" s="12"/>
    </row>
    <row r="15481" spans="8:8">
      <c r="H15481" s="12"/>
    </row>
    <row r="15482" spans="8:8">
      <c r="H15482" s="12"/>
    </row>
    <row r="15483" spans="8:8">
      <c r="H15483" s="12"/>
    </row>
    <row r="15484" spans="8:8">
      <c r="H15484" s="12"/>
    </row>
    <row r="15485" spans="8:8">
      <c r="H15485" s="12"/>
    </row>
    <row r="15486" spans="8:8">
      <c r="H15486" s="12"/>
    </row>
    <row r="15487" spans="8:8">
      <c r="H15487" s="12"/>
    </row>
    <row r="15488" spans="8:8">
      <c r="H15488" s="12"/>
    </row>
    <row r="15489" spans="8:8">
      <c r="H15489" s="12"/>
    </row>
    <row r="15490" spans="8:8">
      <c r="H15490" s="12"/>
    </row>
    <row r="15491" spans="8:8">
      <c r="H15491" s="12"/>
    </row>
    <row r="15492" spans="8:8">
      <c r="H15492" s="12"/>
    </row>
    <row r="15493" spans="8:8">
      <c r="H15493" s="12"/>
    </row>
    <row r="15494" spans="8:8">
      <c r="H15494" s="12"/>
    </row>
    <row r="15495" spans="8:8">
      <c r="H15495" s="12"/>
    </row>
    <row r="15496" spans="8:8">
      <c r="H15496" s="12"/>
    </row>
    <row r="15497" spans="8:8">
      <c r="H15497" s="12"/>
    </row>
    <row r="15498" spans="8:8">
      <c r="H15498" s="12"/>
    </row>
    <row r="15499" spans="8:8">
      <c r="H15499" s="12"/>
    </row>
    <row r="15500" spans="8:8">
      <c r="H15500" s="12"/>
    </row>
    <row r="15501" spans="8:8">
      <c r="H15501" s="12"/>
    </row>
    <row r="15502" spans="8:8">
      <c r="H15502" s="12"/>
    </row>
    <row r="15503" spans="8:8">
      <c r="H15503" s="12"/>
    </row>
    <row r="15504" spans="8:8">
      <c r="H15504" s="12"/>
    </row>
    <row r="15505" spans="8:8">
      <c r="H15505" s="12"/>
    </row>
    <row r="15506" spans="8:8">
      <c r="H15506" s="12"/>
    </row>
    <row r="15507" spans="8:8">
      <c r="H15507" s="12"/>
    </row>
    <row r="15508" spans="8:8">
      <c r="H15508" s="12"/>
    </row>
    <row r="15509" spans="8:8">
      <c r="H15509" s="12"/>
    </row>
    <row r="15510" spans="8:8">
      <c r="H15510" s="12"/>
    </row>
    <row r="15511" spans="8:8">
      <c r="H15511" s="12"/>
    </row>
    <row r="15512" spans="8:8">
      <c r="H15512" s="12"/>
    </row>
    <row r="15513" spans="8:8">
      <c r="H15513" s="12"/>
    </row>
    <row r="15514" spans="8:8">
      <c r="H15514" s="12"/>
    </row>
    <row r="15515" spans="8:8">
      <c r="H15515" s="12"/>
    </row>
    <row r="15516" spans="8:8">
      <c r="H15516" s="12"/>
    </row>
    <row r="15517" spans="8:8">
      <c r="H15517" s="12"/>
    </row>
    <row r="15518" spans="8:8">
      <c r="H15518" s="12"/>
    </row>
    <row r="15519" spans="8:8">
      <c r="H15519" s="12"/>
    </row>
    <row r="15520" spans="8:8">
      <c r="H15520" s="12"/>
    </row>
    <row r="15521" spans="8:8">
      <c r="H15521" s="12"/>
    </row>
    <row r="15522" spans="8:8">
      <c r="H15522" s="12"/>
    </row>
    <row r="15523" spans="8:8">
      <c r="H15523" s="12"/>
    </row>
    <row r="15524" spans="8:8">
      <c r="H15524" s="12"/>
    </row>
    <row r="15525" spans="8:8">
      <c r="H15525" s="12"/>
    </row>
    <row r="15526" spans="8:8">
      <c r="H15526" s="12"/>
    </row>
    <row r="15527" spans="8:8">
      <c r="H15527" s="12"/>
    </row>
    <row r="15528" spans="8:8">
      <c r="H15528" s="12"/>
    </row>
    <row r="15529" spans="8:8">
      <c r="H15529" s="12"/>
    </row>
    <row r="15530" spans="8:8">
      <c r="H15530" s="12"/>
    </row>
    <row r="15531" spans="8:8">
      <c r="H15531" s="12"/>
    </row>
    <row r="15532" spans="8:8">
      <c r="H15532" s="12"/>
    </row>
    <row r="15533" spans="8:8">
      <c r="H15533" s="12"/>
    </row>
    <row r="15534" spans="8:8">
      <c r="H15534" s="12"/>
    </row>
    <row r="15535" spans="8:8">
      <c r="H15535" s="12"/>
    </row>
    <row r="15536" spans="8:8">
      <c r="H15536" s="12"/>
    </row>
    <row r="15537" spans="8:8">
      <c r="H15537" s="12"/>
    </row>
    <row r="15538" spans="8:8">
      <c r="H15538" s="12"/>
    </row>
    <row r="15539" spans="8:8">
      <c r="H15539" s="12"/>
    </row>
    <row r="15540" spans="8:8">
      <c r="H15540" s="12"/>
    </row>
    <row r="15541" spans="8:8">
      <c r="H15541" s="12"/>
    </row>
    <row r="15542" spans="8:8">
      <c r="H15542" s="12"/>
    </row>
    <row r="15543" spans="8:8">
      <c r="H15543" s="12"/>
    </row>
    <row r="15544" spans="8:8">
      <c r="H15544" s="12"/>
    </row>
    <row r="15545" spans="8:8">
      <c r="H15545" s="12"/>
    </row>
    <row r="15546" spans="8:8">
      <c r="H15546" s="12"/>
    </row>
    <row r="15547" spans="8:8">
      <c r="H15547" s="12"/>
    </row>
    <row r="15548" spans="8:8">
      <c r="H15548" s="12"/>
    </row>
    <row r="15549" spans="8:8">
      <c r="H15549" s="12"/>
    </row>
    <row r="15550" spans="8:8">
      <c r="H15550" s="12"/>
    </row>
    <row r="15551" spans="8:8">
      <c r="H15551" s="12"/>
    </row>
    <row r="15552" spans="8:8">
      <c r="H15552" s="12"/>
    </row>
    <row r="15553" spans="8:8">
      <c r="H15553" s="12"/>
    </row>
    <row r="15554" spans="8:8">
      <c r="H15554" s="12"/>
    </row>
    <row r="15555" spans="8:8">
      <c r="H15555" s="12"/>
    </row>
    <row r="15556" spans="8:8">
      <c r="H15556" s="12"/>
    </row>
    <row r="15557" spans="8:8">
      <c r="H15557" s="12"/>
    </row>
    <row r="15558" spans="8:8">
      <c r="H15558" s="12"/>
    </row>
    <row r="15559" spans="8:8">
      <c r="H15559" s="12"/>
    </row>
    <row r="15560" spans="8:8">
      <c r="H15560" s="12"/>
    </row>
    <row r="15561" spans="8:8">
      <c r="H15561" s="12"/>
    </row>
    <row r="15562" spans="8:8">
      <c r="H15562" s="12"/>
    </row>
    <row r="15563" spans="8:8">
      <c r="H15563" s="12"/>
    </row>
    <row r="15564" spans="8:8">
      <c r="H15564" s="12"/>
    </row>
    <row r="15565" spans="8:8">
      <c r="H15565" s="12"/>
    </row>
    <row r="15566" spans="8:8">
      <c r="H15566" s="12"/>
    </row>
    <row r="15567" spans="8:8">
      <c r="H15567" s="12"/>
    </row>
    <row r="15568" spans="8:8">
      <c r="H15568" s="12"/>
    </row>
    <row r="15569" spans="8:8">
      <c r="H15569" s="12"/>
    </row>
    <row r="15570" spans="8:8">
      <c r="H15570" s="12"/>
    </row>
    <row r="15571" spans="8:8">
      <c r="H15571" s="12"/>
    </row>
    <row r="15572" spans="8:8">
      <c r="H15572" s="12"/>
    </row>
    <row r="15573" spans="8:8">
      <c r="H15573" s="12"/>
    </row>
    <row r="15574" spans="8:8">
      <c r="H15574" s="12"/>
    </row>
    <row r="15575" spans="8:8">
      <c r="H15575" s="12"/>
    </row>
    <row r="15576" spans="8:8">
      <c r="H15576" s="12"/>
    </row>
    <row r="15577" spans="8:8">
      <c r="H15577" s="12"/>
    </row>
    <row r="15578" spans="8:8">
      <c r="H15578" s="12"/>
    </row>
    <row r="15579" spans="8:8">
      <c r="H15579" s="12"/>
    </row>
    <row r="15580" spans="8:8">
      <c r="H15580" s="12"/>
    </row>
    <row r="15581" spans="8:8">
      <c r="H15581" s="12"/>
    </row>
    <row r="15582" spans="8:8">
      <c r="H15582" s="12"/>
    </row>
    <row r="15583" spans="8:8">
      <c r="H15583" s="12"/>
    </row>
    <row r="15584" spans="8:8">
      <c r="H15584" s="12"/>
    </row>
    <row r="15585" spans="8:8">
      <c r="H15585" s="12"/>
    </row>
    <row r="15586" spans="8:8">
      <c r="H15586" s="12"/>
    </row>
    <row r="15587" spans="8:8">
      <c r="H15587" s="12"/>
    </row>
    <row r="15588" spans="8:8">
      <c r="H15588" s="12"/>
    </row>
    <row r="15589" spans="8:8">
      <c r="H15589" s="12"/>
    </row>
    <row r="15590" spans="8:8">
      <c r="H15590" s="12"/>
    </row>
    <row r="15591" spans="8:8">
      <c r="H15591" s="12"/>
    </row>
    <row r="15592" spans="8:8">
      <c r="H15592" s="12"/>
    </row>
    <row r="15593" spans="8:8">
      <c r="H15593" s="12"/>
    </row>
    <row r="15594" spans="8:8">
      <c r="H15594" s="12"/>
    </row>
    <row r="15595" spans="8:8">
      <c r="H15595" s="12"/>
    </row>
    <row r="15596" spans="8:8">
      <c r="H15596" s="12"/>
    </row>
    <row r="15597" spans="8:8">
      <c r="H15597" s="12"/>
    </row>
    <row r="15598" spans="8:8">
      <c r="H15598" s="12"/>
    </row>
    <row r="15599" spans="8:8">
      <c r="H15599" s="12"/>
    </row>
    <row r="15600" spans="8:8">
      <c r="H15600" s="12"/>
    </row>
    <row r="15601" spans="8:8">
      <c r="H15601" s="12"/>
    </row>
    <row r="15602" spans="8:8">
      <c r="H15602" s="12"/>
    </row>
    <row r="15603" spans="8:8">
      <c r="H15603" s="12"/>
    </row>
    <row r="15604" spans="8:8">
      <c r="H15604" s="12"/>
    </row>
    <row r="15605" spans="8:8">
      <c r="H15605" s="12"/>
    </row>
    <row r="15606" spans="8:8">
      <c r="H15606" s="12"/>
    </row>
    <row r="15607" spans="8:8">
      <c r="H15607" s="12"/>
    </row>
    <row r="15608" spans="8:8">
      <c r="H15608" s="12"/>
    </row>
    <row r="15609" spans="8:8">
      <c r="H15609" s="12"/>
    </row>
    <row r="15610" spans="8:8">
      <c r="H15610" s="12"/>
    </row>
    <row r="15611" spans="8:8">
      <c r="H15611" s="12"/>
    </row>
    <row r="15612" spans="8:8">
      <c r="H15612" s="12"/>
    </row>
    <row r="15613" spans="8:8">
      <c r="H15613" s="12"/>
    </row>
    <row r="15614" spans="8:8">
      <c r="H15614" s="12"/>
    </row>
    <row r="15615" spans="8:8">
      <c r="H15615" s="12"/>
    </row>
    <row r="15616" spans="8:8">
      <c r="H15616" s="12"/>
    </row>
    <row r="15617" spans="8:8">
      <c r="H15617" s="12"/>
    </row>
    <row r="15618" spans="8:8">
      <c r="H15618" s="12"/>
    </row>
    <row r="15619" spans="8:8">
      <c r="H15619" s="12"/>
    </row>
    <row r="15620" spans="8:8">
      <c r="H15620" s="12"/>
    </row>
    <row r="15621" spans="8:8">
      <c r="H15621" s="12"/>
    </row>
    <row r="15622" spans="8:8">
      <c r="H15622" s="12"/>
    </row>
    <row r="15623" spans="8:8">
      <c r="H15623" s="12"/>
    </row>
    <row r="15624" spans="8:8">
      <c r="H15624" s="12"/>
    </row>
    <row r="15625" spans="8:8">
      <c r="H15625" s="12"/>
    </row>
    <row r="15626" spans="8:8">
      <c r="H15626" s="12"/>
    </row>
    <row r="15627" spans="8:8">
      <c r="H15627" s="12"/>
    </row>
    <row r="15628" spans="8:8">
      <c r="H15628" s="12"/>
    </row>
    <row r="15629" spans="8:8">
      <c r="H15629" s="12"/>
    </row>
    <row r="15630" spans="8:8">
      <c r="H15630" s="12"/>
    </row>
    <row r="15631" spans="8:8">
      <c r="H15631" s="12"/>
    </row>
    <row r="15632" spans="8:8">
      <c r="H15632" s="12"/>
    </row>
    <row r="15633" spans="8:8">
      <c r="H15633" s="12"/>
    </row>
    <row r="15634" spans="8:8">
      <c r="H15634" s="12"/>
    </row>
    <row r="15635" spans="8:8">
      <c r="H15635" s="12"/>
    </row>
    <row r="15636" spans="8:8">
      <c r="H15636" s="12"/>
    </row>
    <row r="15637" spans="8:8">
      <c r="H15637" s="12"/>
    </row>
    <row r="15638" spans="8:8">
      <c r="H15638" s="12"/>
    </row>
    <row r="15639" spans="8:8">
      <c r="H15639" s="12"/>
    </row>
    <row r="15640" spans="8:8">
      <c r="H15640" s="12"/>
    </row>
    <row r="15641" spans="8:8">
      <c r="H15641" s="12"/>
    </row>
    <row r="15642" spans="8:8">
      <c r="H15642" s="12"/>
    </row>
    <row r="15643" spans="8:8">
      <c r="H15643" s="12"/>
    </row>
    <row r="15644" spans="8:8">
      <c r="H15644" s="12"/>
    </row>
    <row r="15645" spans="8:8">
      <c r="H15645" s="12"/>
    </row>
    <row r="15646" spans="8:8">
      <c r="H15646" s="12"/>
    </row>
    <row r="15647" spans="8:8">
      <c r="H15647" s="12"/>
    </row>
    <row r="15648" spans="8:8">
      <c r="H15648" s="12"/>
    </row>
    <row r="15649" spans="8:8">
      <c r="H15649" s="12"/>
    </row>
    <row r="15650" spans="8:8">
      <c r="H15650" s="12"/>
    </row>
    <row r="15651" spans="8:8">
      <c r="H15651" s="12"/>
    </row>
    <row r="15652" spans="8:8">
      <c r="H15652" s="12"/>
    </row>
    <row r="15653" spans="8:8">
      <c r="H15653" s="12"/>
    </row>
    <row r="15654" spans="8:8">
      <c r="H15654" s="12"/>
    </row>
    <row r="15655" spans="8:8">
      <c r="H15655" s="12"/>
    </row>
    <row r="15656" spans="8:8">
      <c r="H15656" s="12"/>
    </row>
    <row r="15657" spans="8:8">
      <c r="H15657" s="12"/>
    </row>
    <row r="15658" spans="8:8">
      <c r="H15658" s="12"/>
    </row>
    <row r="15659" spans="8:8">
      <c r="H15659" s="12"/>
    </row>
    <row r="15660" spans="8:8">
      <c r="H15660" s="12"/>
    </row>
    <row r="15661" spans="8:8">
      <c r="H15661" s="12"/>
    </row>
    <row r="15662" spans="8:8">
      <c r="H15662" s="12"/>
    </row>
    <row r="15663" spans="8:8">
      <c r="H15663" s="12"/>
    </row>
    <row r="15664" spans="8:8">
      <c r="H15664" s="12"/>
    </row>
    <row r="15665" spans="8:8">
      <c r="H15665" s="12"/>
    </row>
    <row r="15666" spans="8:8">
      <c r="H15666" s="12"/>
    </row>
    <row r="15667" spans="8:8">
      <c r="H15667" s="12"/>
    </row>
    <row r="15668" spans="8:8">
      <c r="H15668" s="12"/>
    </row>
    <row r="15669" spans="8:8">
      <c r="H15669" s="12"/>
    </row>
    <row r="15670" spans="8:8">
      <c r="H15670" s="12"/>
    </row>
    <row r="15671" spans="8:8">
      <c r="H15671" s="12"/>
    </row>
    <row r="15672" spans="8:8">
      <c r="H15672" s="12"/>
    </row>
    <row r="15673" spans="8:8">
      <c r="H15673" s="12"/>
    </row>
    <row r="15674" spans="8:8">
      <c r="H15674" s="12"/>
    </row>
    <row r="15675" spans="8:8">
      <c r="H15675" s="12"/>
    </row>
    <row r="15676" spans="8:8">
      <c r="H15676" s="12"/>
    </row>
    <row r="15677" spans="8:8">
      <c r="H15677" s="12"/>
    </row>
    <row r="15678" spans="8:8">
      <c r="H15678" s="12"/>
    </row>
    <row r="15679" spans="8:8">
      <c r="H15679" s="12"/>
    </row>
    <row r="15680" spans="8:8">
      <c r="H15680" s="12"/>
    </row>
    <row r="15681" spans="8:8">
      <c r="H15681" s="12"/>
    </row>
    <row r="15682" spans="8:8">
      <c r="H15682" s="12"/>
    </row>
    <row r="15683" spans="8:8">
      <c r="H15683" s="12"/>
    </row>
    <row r="15684" spans="8:8">
      <c r="H15684" s="12"/>
    </row>
    <row r="15685" spans="8:8">
      <c r="H15685" s="12"/>
    </row>
    <row r="15686" spans="8:8">
      <c r="H15686" s="12"/>
    </row>
    <row r="15687" spans="8:8">
      <c r="H15687" s="12"/>
    </row>
    <row r="15688" spans="8:8">
      <c r="H15688" s="12"/>
    </row>
    <row r="15689" spans="8:8">
      <c r="H15689" s="12"/>
    </row>
    <row r="15690" spans="8:8">
      <c r="H15690" s="12"/>
    </row>
    <row r="15691" spans="8:8">
      <c r="H15691" s="12"/>
    </row>
    <row r="15692" spans="8:8">
      <c r="H15692" s="12"/>
    </row>
    <row r="15693" spans="8:8">
      <c r="H15693" s="12"/>
    </row>
    <row r="15694" spans="8:8">
      <c r="H15694" s="12"/>
    </row>
    <row r="15695" spans="8:8">
      <c r="H15695" s="12"/>
    </row>
    <row r="15696" spans="8:8">
      <c r="H15696" s="12"/>
    </row>
    <row r="15697" spans="8:8">
      <c r="H15697" s="12"/>
    </row>
    <row r="15698" spans="8:8">
      <c r="H15698" s="12"/>
    </row>
    <row r="15699" spans="8:8">
      <c r="H15699" s="12"/>
    </row>
    <row r="15700" spans="8:8">
      <c r="H15700" s="12"/>
    </row>
    <row r="15701" spans="8:8">
      <c r="H15701" s="12"/>
    </row>
    <row r="15702" spans="8:8">
      <c r="H15702" s="12"/>
    </row>
    <row r="15703" spans="8:8">
      <c r="H15703" s="12"/>
    </row>
    <row r="15704" spans="8:8">
      <c r="H15704" s="12"/>
    </row>
    <row r="15705" spans="8:8">
      <c r="H15705" s="12"/>
    </row>
    <row r="15706" spans="8:8">
      <c r="H15706" s="12"/>
    </row>
    <row r="15707" spans="8:8">
      <c r="H15707" s="12"/>
    </row>
    <row r="15708" spans="8:8">
      <c r="H15708" s="12"/>
    </row>
    <row r="15709" spans="8:8">
      <c r="H15709" s="12"/>
    </row>
    <row r="15710" spans="8:8">
      <c r="H15710" s="12"/>
    </row>
    <row r="15711" spans="8:8">
      <c r="H15711" s="12"/>
    </row>
    <row r="15712" spans="8:8">
      <c r="H15712" s="12"/>
    </row>
    <row r="15713" spans="8:8">
      <c r="H15713" s="12"/>
    </row>
    <row r="15714" spans="8:8">
      <c r="H15714" s="12"/>
    </row>
    <row r="15715" spans="8:8">
      <c r="H15715" s="12"/>
    </row>
    <row r="15716" spans="8:8">
      <c r="H15716" s="12"/>
    </row>
    <row r="15717" spans="8:8">
      <c r="H15717" s="12"/>
    </row>
    <row r="15718" spans="8:8">
      <c r="H15718" s="12"/>
    </row>
    <row r="15719" spans="8:8">
      <c r="H15719" s="12"/>
    </row>
    <row r="15720" spans="8:8">
      <c r="H15720" s="12"/>
    </row>
    <row r="15721" spans="8:8">
      <c r="H15721" s="12"/>
    </row>
    <row r="15722" spans="8:8">
      <c r="H15722" s="12"/>
    </row>
    <row r="15723" spans="8:8">
      <c r="H15723" s="12"/>
    </row>
    <row r="15724" spans="8:8">
      <c r="H15724" s="12"/>
    </row>
    <row r="15725" spans="8:8">
      <c r="H15725" s="12"/>
    </row>
    <row r="15726" spans="8:8">
      <c r="H15726" s="12"/>
    </row>
    <row r="15727" spans="8:8">
      <c r="H15727" s="12"/>
    </row>
    <row r="15728" spans="8:8">
      <c r="H15728" s="12"/>
    </row>
    <row r="15729" spans="8:8">
      <c r="H15729" s="12"/>
    </row>
    <row r="15730" spans="8:8">
      <c r="H15730" s="12"/>
    </row>
    <row r="15731" spans="8:8">
      <c r="H15731" s="12"/>
    </row>
    <row r="15732" spans="8:8">
      <c r="H15732" s="12"/>
    </row>
    <row r="15733" spans="8:8">
      <c r="H15733" s="12"/>
    </row>
    <row r="15734" spans="8:8">
      <c r="H15734" s="12"/>
    </row>
    <row r="15735" spans="8:8">
      <c r="H15735" s="12"/>
    </row>
    <row r="15736" spans="8:8">
      <c r="H15736" s="12"/>
    </row>
    <row r="15737" spans="8:8">
      <c r="H15737" s="12"/>
    </row>
    <row r="15738" spans="8:8">
      <c r="H15738" s="12"/>
    </row>
    <row r="15739" spans="8:8">
      <c r="H15739" s="12"/>
    </row>
    <row r="15740" spans="8:8">
      <c r="H15740" s="12"/>
    </row>
    <row r="15741" spans="8:8">
      <c r="H15741" s="12"/>
    </row>
    <row r="15742" spans="8:8">
      <c r="H15742" s="12"/>
    </row>
    <row r="15743" spans="8:8">
      <c r="H15743" s="12"/>
    </row>
    <row r="15744" spans="8:8">
      <c r="H15744" s="12"/>
    </row>
    <row r="15745" spans="8:8">
      <c r="H15745" s="12"/>
    </row>
    <row r="15746" spans="8:8">
      <c r="H15746" s="12"/>
    </row>
    <row r="15747" spans="8:8">
      <c r="H15747" s="12"/>
    </row>
    <row r="15748" spans="8:8">
      <c r="H15748" s="12"/>
    </row>
    <row r="15749" spans="8:8">
      <c r="H15749" s="12"/>
    </row>
    <row r="15750" spans="8:8">
      <c r="H15750" s="12"/>
    </row>
    <row r="15751" spans="8:8">
      <c r="H15751" s="12"/>
    </row>
    <row r="15752" spans="8:8">
      <c r="H15752" s="12"/>
    </row>
    <row r="15753" spans="8:8">
      <c r="H15753" s="12"/>
    </row>
    <row r="15754" spans="8:8">
      <c r="H15754" s="12"/>
    </row>
    <row r="15755" spans="8:8">
      <c r="H15755" s="12"/>
    </row>
    <row r="15756" spans="8:8">
      <c r="H15756" s="12"/>
    </row>
    <row r="15757" spans="8:8">
      <c r="H15757" s="12"/>
    </row>
    <row r="15758" spans="8:8">
      <c r="H15758" s="12"/>
    </row>
    <row r="15759" spans="8:8">
      <c r="H15759" s="12"/>
    </row>
    <row r="15760" spans="8:8">
      <c r="H15760" s="12"/>
    </row>
    <row r="15761" spans="8:8">
      <c r="H15761" s="12"/>
    </row>
    <row r="15762" spans="8:8">
      <c r="H15762" s="12"/>
    </row>
    <row r="15763" spans="8:8">
      <c r="H15763" s="12"/>
    </row>
    <row r="15764" spans="8:8">
      <c r="H15764" s="12"/>
    </row>
    <row r="15765" spans="8:8">
      <c r="H15765" s="12"/>
    </row>
    <row r="15766" spans="8:8">
      <c r="H15766" s="12"/>
    </row>
    <row r="15767" spans="8:8">
      <c r="H15767" s="12"/>
    </row>
    <row r="15768" spans="8:8">
      <c r="H15768" s="12"/>
    </row>
    <row r="15769" spans="8:8">
      <c r="H15769" s="12"/>
    </row>
    <row r="15770" spans="8:8">
      <c r="H15770" s="12"/>
    </row>
    <row r="15771" spans="8:8">
      <c r="H15771" s="12"/>
    </row>
    <row r="15772" spans="8:8">
      <c r="H15772" s="12"/>
    </row>
    <row r="15773" spans="8:8">
      <c r="H15773" s="12"/>
    </row>
    <row r="15774" spans="8:8">
      <c r="H15774" s="12"/>
    </row>
    <row r="15775" spans="8:8">
      <c r="H15775" s="12"/>
    </row>
    <row r="15776" spans="8:8">
      <c r="H15776" s="12"/>
    </row>
    <row r="15777" spans="8:8">
      <c r="H15777" s="12"/>
    </row>
    <row r="15778" spans="8:8">
      <c r="H15778" s="12"/>
    </row>
    <row r="15779" spans="8:8">
      <c r="H15779" s="12"/>
    </row>
    <row r="15780" spans="8:8">
      <c r="H15780" s="12"/>
    </row>
    <row r="15781" spans="8:8">
      <c r="H15781" s="12"/>
    </row>
    <row r="15782" spans="8:8">
      <c r="H15782" s="12"/>
    </row>
    <row r="15783" spans="8:8">
      <c r="H15783" s="12"/>
    </row>
    <row r="15784" spans="8:8">
      <c r="H15784" s="12"/>
    </row>
    <row r="15785" spans="8:8">
      <c r="H15785" s="12"/>
    </row>
    <row r="15786" spans="8:8">
      <c r="H15786" s="12"/>
    </row>
    <row r="15787" spans="8:8">
      <c r="H15787" s="12"/>
    </row>
    <row r="15788" spans="8:8">
      <c r="H15788" s="12"/>
    </row>
    <row r="15789" spans="8:8">
      <c r="H15789" s="12"/>
    </row>
    <row r="15790" spans="8:8">
      <c r="H15790" s="12"/>
    </row>
    <row r="15791" spans="8:8">
      <c r="H15791" s="12"/>
    </row>
    <row r="15792" spans="8:8">
      <c r="H15792" s="12"/>
    </row>
    <row r="15793" spans="8:8">
      <c r="H15793" s="12"/>
    </row>
    <row r="15794" spans="8:8">
      <c r="H15794" s="12"/>
    </row>
    <row r="15795" spans="8:8">
      <c r="H15795" s="12"/>
    </row>
    <row r="15796" spans="8:8">
      <c r="H15796" s="12"/>
    </row>
    <row r="15797" spans="8:8">
      <c r="H15797" s="12"/>
    </row>
    <row r="15798" spans="8:8">
      <c r="H15798" s="12"/>
    </row>
    <row r="15799" spans="8:8">
      <c r="H15799" s="12"/>
    </row>
    <row r="15800" spans="8:8">
      <c r="H15800" s="12"/>
    </row>
    <row r="15801" spans="8:8">
      <c r="H15801" s="12"/>
    </row>
    <row r="15802" spans="8:8">
      <c r="H15802" s="12"/>
    </row>
    <row r="15803" spans="8:8">
      <c r="H15803" s="12"/>
    </row>
    <row r="15804" spans="8:8">
      <c r="H15804" s="12"/>
    </row>
    <row r="15805" spans="8:8">
      <c r="H15805" s="12"/>
    </row>
    <row r="15806" spans="8:8">
      <c r="H15806" s="12"/>
    </row>
    <row r="15807" spans="8:8">
      <c r="H15807" s="12"/>
    </row>
    <row r="15808" spans="8:8">
      <c r="H15808" s="12"/>
    </row>
    <row r="15809" spans="8:8">
      <c r="H15809" s="12"/>
    </row>
    <row r="15810" spans="8:8">
      <c r="H15810" s="12"/>
    </row>
    <row r="15811" spans="8:8">
      <c r="H15811" s="12"/>
    </row>
    <row r="15812" spans="8:8">
      <c r="H15812" s="12"/>
    </row>
    <row r="15813" spans="8:8">
      <c r="H15813" s="12"/>
    </row>
    <row r="15814" spans="8:8">
      <c r="H15814" s="12"/>
    </row>
    <row r="15815" spans="8:8">
      <c r="H15815" s="12"/>
    </row>
    <row r="15816" spans="8:8">
      <c r="H15816" s="12"/>
    </row>
    <row r="15817" spans="8:8">
      <c r="H15817" s="12"/>
    </row>
    <row r="15818" spans="8:8">
      <c r="H15818" s="12"/>
    </row>
    <row r="15819" spans="8:8">
      <c r="H15819" s="12"/>
    </row>
    <row r="15820" spans="8:8">
      <c r="H15820" s="12"/>
    </row>
    <row r="15821" spans="8:8">
      <c r="H15821" s="12"/>
    </row>
    <row r="15822" spans="8:8">
      <c r="H15822" s="12"/>
    </row>
    <row r="15823" spans="8:8">
      <c r="H15823" s="12"/>
    </row>
    <row r="15824" spans="8:8">
      <c r="H15824" s="12"/>
    </row>
    <row r="15825" spans="8:8">
      <c r="H15825" s="12"/>
    </row>
    <row r="15826" spans="8:8">
      <c r="H15826" s="12"/>
    </row>
    <row r="15827" spans="8:8">
      <c r="H15827" s="12"/>
    </row>
    <row r="15828" spans="8:8">
      <c r="H15828" s="12"/>
    </row>
    <row r="15829" spans="8:8">
      <c r="H15829" s="12"/>
    </row>
    <row r="15830" spans="8:8">
      <c r="H15830" s="12"/>
    </row>
    <row r="15831" spans="8:8">
      <c r="H15831" s="12"/>
    </row>
    <row r="15832" spans="8:8">
      <c r="H15832" s="12"/>
    </row>
    <row r="15833" spans="8:8">
      <c r="H15833" s="12"/>
    </row>
    <row r="15834" spans="8:8">
      <c r="H15834" s="12"/>
    </row>
    <row r="15835" spans="8:8">
      <c r="H15835" s="12"/>
    </row>
    <row r="15836" spans="8:8">
      <c r="H15836" s="12"/>
    </row>
    <row r="15837" spans="8:8">
      <c r="H15837" s="12"/>
    </row>
    <row r="15838" spans="8:8">
      <c r="H15838" s="12"/>
    </row>
    <row r="15839" spans="8:8">
      <c r="H15839" s="12"/>
    </row>
    <row r="15840" spans="8:8">
      <c r="H15840" s="12"/>
    </row>
    <row r="15841" spans="8:8">
      <c r="H15841" s="12"/>
    </row>
    <row r="15842" spans="8:8">
      <c r="H15842" s="12"/>
    </row>
    <row r="15843" spans="8:8">
      <c r="H15843" s="12"/>
    </row>
    <row r="15844" spans="8:8">
      <c r="H15844" s="12"/>
    </row>
    <row r="15845" spans="8:8">
      <c r="H15845" s="12"/>
    </row>
    <row r="15846" spans="8:8">
      <c r="H15846" s="12"/>
    </row>
    <row r="15847" spans="8:8">
      <c r="H15847" s="12"/>
    </row>
    <row r="15848" spans="8:8">
      <c r="H15848" s="12"/>
    </row>
    <row r="15849" spans="8:8">
      <c r="H15849" s="12"/>
    </row>
    <row r="15850" spans="8:8">
      <c r="H15850" s="12"/>
    </row>
    <row r="15851" spans="8:8">
      <c r="H15851" s="12"/>
    </row>
    <row r="15852" spans="8:8">
      <c r="H15852" s="12"/>
    </row>
    <row r="15853" spans="8:8">
      <c r="H15853" s="12"/>
    </row>
    <row r="15854" spans="8:8">
      <c r="H15854" s="12"/>
    </row>
    <row r="15855" spans="8:8">
      <c r="H15855" s="12"/>
    </row>
    <row r="15856" spans="8:8">
      <c r="H15856" s="12"/>
    </row>
    <row r="15857" spans="8:8">
      <c r="H15857" s="12"/>
    </row>
    <row r="15858" spans="8:8">
      <c r="H15858" s="12"/>
    </row>
    <row r="15859" spans="8:8">
      <c r="H15859" s="12"/>
    </row>
    <row r="15860" spans="8:8">
      <c r="H15860" s="12"/>
    </row>
    <row r="15861" spans="8:8">
      <c r="H15861" s="12"/>
    </row>
    <row r="15862" spans="8:8">
      <c r="H15862" s="12"/>
    </row>
    <row r="15863" spans="8:8">
      <c r="H15863" s="12"/>
    </row>
    <row r="15864" spans="8:8">
      <c r="H15864" s="12"/>
    </row>
    <row r="15865" spans="8:8">
      <c r="H15865" s="12"/>
    </row>
    <row r="15866" spans="8:8">
      <c r="H15866" s="12"/>
    </row>
    <row r="15867" spans="8:8">
      <c r="H15867" s="12"/>
    </row>
    <row r="15868" spans="8:8">
      <c r="H15868" s="12"/>
    </row>
    <row r="15869" spans="8:8">
      <c r="H15869" s="12"/>
    </row>
    <row r="15870" spans="8:8">
      <c r="H15870" s="12"/>
    </row>
    <row r="15871" spans="8:8">
      <c r="H15871" s="12"/>
    </row>
    <row r="15872" spans="8:8">
      <c r="H15872" s="12"/>
    </row>
    <row r="15873" spans="8:8">
      <c r="H15873" s="12"/>
    </row>
    <row r="15874" spans="8:8">
      <c r="H15874" s="12"/>
    </row>
    <row r="15875" spans="8:8">
      <c r="H15875" s="12"/>
    </row>
    <row r="15876" spans="8:8">
      <c r="H15876" s="12"/>
    </row>
    <row r="15877" spans="8:8">
      <c r="H15877" s="12"/>
    </row>
    <row r="15878" spans="8:8">
      <c r="H15878" s="12"/>
    </row>
    <row r="15879" spans="8:8">
      <c r="H15879" s="12"/>
    </row>
    <row r="15880" spans="8:8">
      <c r="H15880" s="12"/>
    </row>
    <row r="15881" spans="8:8">
      <c r="H15881" s="12"/>
    </row>
    <row r="15882" spans="8:8">
      <c r="H15882" s="12"/>
    </row>
    <row r="15883" spans="8:8">
      <c r="H15883" s="12"/>
    </row>
    <row r="15884" spans="8:8">
      <c r="H15884" s="12"/>
    </row>
    <row r="15885" spans="8:8">
      <c r="H15885" s="12"/>
    </row>
    <row r="15886" spans="8:8">
      <c r="H15886" s="12"/>
    </row>
    <row r="15887" spans="8:8">
      <c r="H15887" s="12"/>
    </row>
    <row r="15888" spans="8:8">
      <c r="H15888" s="12"/>
    </row>
    <row r="15889" spans="8:8">
      <c r="H15889" s="12"/>
    </row>
    <row r="15890" spans="8:8">
      <c r="H15890" s="12"/>
    </row>
    <row r="15891" spans="8:8">
      <c r="H15891" s="12"/>
    </row>
    <row r="15892" spans="8:8">
      <c r="H15892" s="12"/>
    </row>
    <row r="15893" spans="8:8">
      <c r="H15893" s="12"/>
    </row>
    <row r="15894" spans="8:8">
      <c r="H15894" s="12"/>
    </row>
    <row r="15895" spans="8:8">
      <c r="H15895" s="12"/>
    </row>
    <row r="15896" spans="8:8">
      <c r="H15896" s="12"/>
    </row>
    <row r="15897" spans="8:8">
      <c r="H15897" s="12"/>
    </row>
    <row r="15898" spans="8:8">
      <c r="H15898" s="12"/>
    </row>
    <row r="15899" spans="8:8">
      <c r="H15899" s="12"/>
    </row>
    <row r="15900" spans="8:8">
      <c r="H15900" s="12"/>
    </row>
    <row r="15901" spans="8:8">
      <c r="H15901" s="12"/>
    </row>
    <row r="15902" spans="8:8">
      <c r="H15902" s="12"/>
    </row>
    <row r="15903" spans="8:8">
      <c r="H15903" s="12"/>
    </row>
    <row r="15904" spans="8:8">
      <c r="H15904" s="12"/>
    </row>
    <row r="15905" spans="8:8">
      <c r="H15905" s="12"/>
    </row>
    <row r="15906" spans="8:8">
      <c r="H15906" s="12"/>
    </row>
    <row r="15907" spans="8:8">
      <c r="H15907" s="12"/>
    </row>
    <row r="15908" spans="8:8">
      <c r="H15908" s="12"/>
    </row>
    <row r="15909" spans="8:8">
      <c r="H15909" s="12"/>
    </row>
    <row r="15910" spans="8:8">
      <c r="H15910" s="12"/>
    </row>
    <row r="15911" spans="8:8">
      <c r="H15911" s="12"/>
    </row>
    <row r="15912" spans="8:8">
      <c r="H15912" s="12"/>
    </row>
    <row r="15913" spans="8:8">
      <c r="H15913" s="12"/>
    </row>
    <row r="15914" spans="8:8">
      <c r="H15914" s="12"/>
    </row>
    <row r="15915" spans="8:8">
      <c r="H15915" s="12"/>
    </row>
    <row r="15916" spans="8:8">
      <c r="H15916" s="12"/>
    </row>
    <row r="15917" spans="8:8">
      <c r="H15917" s="12"/>
    </row>
    <row r="15918" spans="8:8">
      <c r="H15918" s="12"/>
    </row>
    <row r="15919" spans="8:8">
      <c r="H15919" s="12"/>
    </row>
    <row r="15920" spans="8:8">
      <c r="H15920" s="12"/>
    </row>
    <row r="15921" spans="8:8">
      <c r="H15921" s="12"/>
    </row>
    <row r="15922" spans="8:8">
      <c r="H15922" s="12"/>
    </row>
    <row r="15923" spans="8:8">
      <c r="H15923" s="12"/>
    </row>
    <row r="15924" spans="8:8">
      <c r="H15924" s="12"/>
    </row>
    <row r="15925" spans="8:8">
      <c r="H15925" s="12"/>
    </row>
    <row r="15926" spans="8:8">
      <c r="H15926" s="12"/>
    </row>
    <row r="15927" spans="8:8">
      <c r="H15927" s="12"/>
    </row>
    <row r="15928" spans="8:8">
      <c r="H15928" s="12"/>
    </row>
    <row r="15929" spans="8:8">
      <c r="H15929" s="12"/>
    </row>
    <row r="15930" spans="8:8">
      <c r="H15930" s="12"/>
    </row>
    <row r="15931" spans="8:8">
      <c r="H15931" s="12"/>
    </row>
    <row r="15932" spans="8:8">
      <c r="H15932" s="12"/>
    </row>
    <row r="15933" spans="8:8">
      <c r="H15933" s="12"/>
    </row>
    <row r="15934" spans="8:8">
      <c r="H15934" s="12"/>
    </row>
    <row r="15935" spans="8:8">
      <c r="H15935" s="12"/>
    </row>
    <row r="15936" spans="8:8">
      <c r="H15936" s="12"/>
    </row>
    <row r="15937" spans="8:8">
      <c r="H15937" s="12"/>
    </row>
    <row r="15938" spans="8:8">
      <c r="H15938" s="12"/>
    </row>
    <row r="15939" spans="8:8">
      <c r="H15939" s="12"/>
    </row>
    <row r="15940" spans="8:8">
      <c r="H15940" s="12"/>
    </row>
    <row r="15941" spans="8:8">
      <c r="H15941" s="12"/>
    </row>
    <row r="15942" spans="8:8">
      <c r="H15942" s="12"/>
    </row>
    <row r="15943" spans="8:8">
      <c r="H15943" s="12"/>
    </row>
    <row r="15944" spans="8:8">
      <c r="H15944" s="12"/>
    </row>
    <row r="15945" spans="8:8">
      <c r="H15945" s="12"/>
    </row>
    <row r="15946" spans="8:8">
      <c r="H15946" s="12"/>
    </row>
    <row r="15947" spans="8:8">
      <c r="H15947" s="12"/>
    </row>
    <row r="15948" spans="8:8">
      <c r="H15948" s="12"/>
    </row>
    <row r="15949" spans="8:8">
      <c r="H15949" s="12"/>
    </row>
    <row r="15950" spans="8:8">
      <c r="H15950" s="12"/>
    </row>
    <row r="15951" spans="8:8">
      <c r="H15951" s="12"/>
    </row>
    <row r="15952" spans="8:8">
      <c r="H15952" s="12"/>
    </row>
    <row r="15953" spans="8:8">
      <c r="H15953" s="12"/>
    </row>
    <row r="15954" spans="8:8">
      <c r="H15954" s="12"/>
    </row>
    <row r="15955" spans="8:8">
      <c r="H15955" s="12"/>
    </row>
    <row r="15956" spans="8:8">
      <c r="H15956" s="12"/>
    </row>
    <row r="15957" spans="8:8">
      <c r="H15957" s="12"/>
    </row>
    <row r="15958" spans="8:8">
      <c r="H15958" s="12"/>
    </row>
    <row r="15959" spans="8:8">
      <c r="H15959" s="12"/>
    </row>
    <row r="15960" spans="8:8">
      <c r="H15960" s="12"/>
    </row>
    <row r="15961" spans="8:8">
      <c r="H15961" s="12"/>
    </row>
    <row r="15962" spans="8:8">
      <c r="H15962" s="12"/>
    </row>
    <row r="15963" spans="8:8">
      <c r="H15963" s="12"/>
    </row>
    <row r="15964" spans="8:8">
      <c r="H15964" s="12"/>
    </row>
    <row r="15965" spans="8:8">
      <c r="H15965" s="12"/>
    </row>
    <row r="15966" spans="8:8">
      <c r="H15966" s="12"/>
    </row>
    <row r="15967" spans="8:8">
      <c r="H15967" s="12"/>
    </row>
    <row r="15968" spans="8:8">
      <c r="H15968" s="12"/>
    </row>
    <row r="15969" spans="8:8">
      <c r="H15969" s="12"/>
    </row>
    <row r="15970" spans="8:8">
      <c r="H15970" s="12"/>
    </row>
    <row r="15971" spans="8:8">
      <c r="H15971" s="12"/>
    </row>
    <row r="15972" spans="8:8">
      <c r="H15972" s="12"/>
    </row>
    <row r="15973" spans="8:8">
      <c r="H15973" s="12"/>
    </row>
    <row r="15974" spans="8:8">
      <c r="H15974" s="12"/>
    </row>
    <row r="15975" spans="8:8">
      <c r="H15975" s="12"/>
    </row>
    <row r="15976" spans="8:8">
      <c r="H15976" s="12"/>
    </row>
    <row r="15977" spans="8:8">
      <c r="H15977" s="12"/>
    </row>
    <row r="15978" spans="8:8">
      <c r="H15978" s="12"/>
    </row>
    <row r="15979" spans="8:8">
      <c r="H15979" s="12"/>
    </row>
    <row r="15980" spans="8:8">
      <c r="H15980" s="12"/>
    </row>
    <row r="15981" spans="8:8">
      <c r="H15981" s="12"/>
    </row>
    <row r="15982" spans="8:8">
      <c r="H15982" s="12"/>
    </row>
    <row r="15983" spans="8:8">
      <c r="H15983" s="12"/>
    </row>
    <row r="15984" spans="8:8">
      <c r="H15984" s="12"/>
    </row>
    <row r="15985" spans="8:8">
      <c r="H15985" s="12"/>
    </row>
    <row r="15986" spans="8:8">
      <c r="H15986" s="12"/>
    </row>
    <row r="15987" spans="8:8">
      <c r="H15987" s="12"/>
    </row>
    <row r="15988" spans="8:8">
      <c r="H15988" s="12"/>
    </row>
    <row r="15989" spans="8:8">
      <c r="H15989" s="12"/>
    </row>
    <row r="15990" spans="8:8">
      <c r="H15990" s="12"/>
    </row>
    <row r="15991" spans="8:8">
      <c r="H15991" s="12"/>
    </row>
    <row r="15992" spans="8:8">
      <c r="H15992" s="12"/>
    </row>
    <row r="15993" spans="8:8">
      <c r="H15993" s="12"/>
    </row>
    <row r="15994" spans="8:8">
      <c r="H15994" s="12"/>
    </row>
    <row r="15995" spans="8:8">
      <c r="H15995" s="12"/>
    </row>
    <row r="15996" spans="8:8">
      <c r="H15996" s="12"/>
    </row>
    <row r="15997" spans="8:8">
      <c r="H15997" s="12"/>
    </row>
    <row r="15998" spans="8:8">
      <c r="H15998" s="12"/>
    </row>
    <row r="15999" spans="8:8">
      <c r="H15999" s="12"/>
    </row>
    <row r="16000" spans="8:8">
      <c r="H16000" s="12"/>
    </row>
    <row r="16001" spans="8:8">
      <c r="H16001" s="12"/>
    </row>
    <row r="16002" spans="8:8">
      <c r="H16002" s="12"/>
    </row>
    <row r="16003" spans="8:8">
      <c r="H16003" s="12"/>
    </row>
    <row r="16004" spans="8:8">
      <c r="H16004" s="12"/>
    </row>
    <row r="16005" spans="8:8">
      <c r="H16005" s="12"/>
    </row>
    <row r="16006" spans="8:8">
      <c r="H16006" s="12"/>
    </row>
    <row r="16007" spans="8:8">
      <c r="H16007" s="12"/>
    </row>
    <row r="16008" spans="8:8">
      <c r="H16008" s="12"/>
    </row>
    <row r="16009" spans="8:8">
      <c r="H16009" s="12"/>
    </row>
    <row r="16010" spans="8:8">
      <c r="H16010" s="12"/>
    </row>
    <row r="16011" spans="8:8">
      <c r="H16011" s="12"/>
    </row>
    <row r="16012" spans="8:8">
      <c r="H16012" s="12"/>
    </row>
    <row r="16013" spans="8:8">
      <c r="H16013" s="12"/>
    </row>
    <row r="16014" spans="8:8">
      <c r="H16014" s="12"/>
    </row>
    <row r="16015" spans="8:8">
      <c r="H16015" s="12"/>
    </row>
    <row r="16016" spans="8:8">
      <c r="H16016" s="12"/>
    </row>
    <row r="16017" spans="8:8">
      <c r="H16017" s="12"/>
    </row>
    <row r="16018" spans="8:8">
      <c r="H16018" s="12"/>
    </row>
    <row r="16019" spans="8:8">
      <c r="H16019" s="12"/>
    </row>
    <row r="16020" spans="8:8">
      <c r="H16020" s="12"/>
    </row>
    <row r="16021" spans="8:8">
      <c r="H16021" s="12"/>
    </row>
    <row r="16022" spans="8:8">
      <c r="H16022" s="12"/>
    </row>
    <row r="16023" spans="8:8">
      <c r="H16023" s="12"/>
    </row>
    <row r="16024" spans="8:8">
      <c r="H16024" s="12"/>
    </row>
    <row r="16025" spans="8:8">
      <c r="H16025" s="12"/>
    </row>
    <row r="16026" spans="8:8">
      <c r="H16026" s="12"/>
    </row>
    <row r="16027" spans="8:8">
      <c r="H16027" s="12"/>
    </row>
    <row r="16028" spans="8:8">
      <c r="H16028" s="12"/>
    </row>
    <row r="16029" spans="8:8">
      <c r="H16029" s="12"/>
    </row>
    <row r="16030" spans="8:8">
      <c r="H16030" s="12"/>
    </row>
    <row r="16031" spans="8:8">
      <c r="H16031" s="12"/>
    </row>
    <row r="16032" spans="8:8">
      <c r="H16032" s="12"/>
    </row>
    <row r="16033" spans="8:8">
      <c r="H16033" s="12"/>
    </row>
    <row r="16034" spans="8:8">
      <c r="H16034" s="12"/>
    </row>
    <row r="16035" spans="8:8">
      <c r="H16035" s="12"/>
    </row>
    <row r="16036" spans="8:8">
      <c r="H16036" s="12"/>
    </row>
    <row r="16037" spans="8:8">
      <c r="H16037" s="12"/>
    </row>
    <row r="16038" spans="8:8">
      <c r="H16038" s="12"/>
    </row>
    <row r="16039" spans="8:8">
      <c r="H16039" s="12"/>
    </row>
    <row r="16040" spans="8:8">
      <c r="H16040" s="12"/>
    </row>
    <row r="16041" spans="8:8">
      <c r="H16041" s="12"/>
    </row>
    <row r="16042" spans="8:8">
      <c r="H16042" s="12"/>
    </row>
    <row r="16043" spans="8:8">
      <c r="H16043" s="12"/>
    </row>
    <row r="16044" spans="8:8">
      <c r="H16044" s="12"/>
    </row>
    <row r="16045" spans="8:8">
      <c r="H16045" s="12"/>
    </row>
    <row r="16046" spans="8:8">
      <c r="H16046" s="12"/>
    </row>
    <row r="16047" spans="8:8">
      <c r="H16047" s="12"/>
    </row>
    <row r="16048" spans="8:8">
      <c r="H16048" s="12"/>
    </row>
    <row r="16049" spans="8:8">
      <c r="H16049" s="12"/>
    </row>
    <row r="16050" spans="8:8">
      <c r="H16050" s="12"/>
    </row>
    <row r="16051" spans="8:8">
      <c r="H16051" s="12"/>
    </row>
    <row r="16052" spans="8:8">
      <c r="H16052" s="12"/>
    </row>
    <row r="16053" spans="8:8">
      <c r="H16053" s="12"/>
    </row>
    <row r="16054" spans="8:8">
      <c r="H16054" s="12"/>
    </row>
    <row r="16055" spans="8:8">
      <c r="H16055" s="12"/>
    </row>
    <row r="16056" spans="8:8">
      <c r="H16056" s="12"/>
    </row>
    <row r="16057" spans="8:8">
      <c r="H16057" s="12"/>
    </row>
    <row r="16058" spans="8:8">
      <c r="H16058" s="12"/>
    </row>
    <row r="16059" spans="8:8">
      <c r="H16059" s="12"/>
    </row>
    <row r="16060" spans="8:8">
      <c r="H16060" s="12"/>
    </row>
    <row r="16061" spans="8:8">
      <c r="H16061" s="12"/>
    </row>
    <row r="16062" spans="8:8">
      <c r="H16062" s="12"/>
    </row>
    <row r="16063" spans="8:8">
      <c r="H16063" s="12"/>
    </row>
    <row r="16064" spans="8:8">
      <c r="H16064" s="12"/>
    </row>
    <row r="16065" spans="8:8">
      <c r="H16065" s="12"/>
    </row>
    <row r="16066" spans="8:8">
      <c r="H16066" s="12"/>
    </row>
    <row r="16067" spans="8:8">
      <c r="H16067" s="12"/>
    </row>
    <row r="16068" spans="8:8">
      <c r="H16068" s="12"/>
    </row>
    <row r="16069" spans="8:8">
      <c r="H16069" s="12"/>
    </row>
    <row r="16070" spans="8:8">
      <c r="H16070" s="12"/>
    </row>
    <row r="16071" spans="8:8">
      <c r="H16071" s="12"/>
    </row>
    <row r="16072" spans="8:8">
      <c r="H16072" s="12"/>
    </row>
    <row r="16073" spans="8:8">
      <c r="H16073" s="12"/>
    </row>
    <row r="16074" spans="8:8">
      <c r="H16074" s="12"/>
    </row>
    <row r="16075" spans="8:8">
      <c r="H16075" s="12"/>
    </row>
    <row r="16076" spans="8:8">
      <c r="H16076" s="12"/>
    </row>
    <row r="16077" spans="8:8">
      <c r="H16077" s="12"/>
    </row>
    <row r="16078" spans="8:8">
      <c r="H16078" s="12"/>
    </row>
    <row r="16079" spans="8:8">
      <c r="H16079" s="12"/>
    </row>
    <row r="16080" spans="8:8">
      <c r="H16080" s="12"/>
    </row>
    <row r="16081" spans="8:8">
      <c r="H16081" s="12"/>
    </row>
    <row r="16082" spans="8:8">
      <c r="H16082" s="12"/>
    </row>
    <row r="16083" spans="8:8">
      <c r="H16083" s="12"/>
    </row>
    <row r="16084" spans="8:8">
      <c r="H16084" s="12"/>
    </row>
    <row r="16085" spans="8:8">
      <c r="H16085" s="12"/>
    </row>
    <row r="16086" spans="8:8">
      <c r="H16086" s="12"/>
    </row>
    <row r="16087" spans="8:8">
      <c r="H16087" s="12"/>
    </row>
    <row r="16088" spans="8:8">
      <c r="H16088" s="12"/>
    </row>
    <row r="16089" spans="8:8">
      <c r="H16089" s="12"/>
    </row>
    <row r="16090" spans="8:8">
      <c r="H16090" s="12"/>
    </row>
    <row r="16091" spans="8:8">
      <c r="H16091" s="12"/>
    </row>
    <row r="16092" spans="8:8">
      <c r="H16092" s="12"/>
    </row>
    <row r="16093" spans="8:8">
      <c r="H16093" s="12"/>
    </row>
    <row r="16094" spans="8:8">
      <c r="H16094" s="12"/>
    </row>
    <row r="16095" spans="8:8">
      <c r="H16095" s="12"/>
    </row>
    <row r="16096" spans="8:8">
      <c r="H16096" s="12"/>
    </row>
    <row r="16097" spans="8:8">
      <c r="H16097" s="12"/>
    </row>
    <row r="16098" spans="8:8">
      <c r="H16098" s="12"/>
    </row>
    <row r="16099" spans="8:8">
      <c r="H16099" s="12"/>
    </row>
    <row r="16100" spans="8:8">
      <c r="H16100" s="12"/>
    </row>
    <row r="16101" spans="8:8">
      <c r="H16101" s="12"/>
    </row>
    <row r="16102" spans="8:8">
      <c r="H16102" s="12"/>
    </row>
    <row r="16103" spans="8:8">
      <c r="H16103" s="12"/>
    </row>
    <row r="16104" spans="8:8">
      <c r="H16104" s="12"/>
    </row>
    <row r="16105" spans="8:8">
      <c r="H16105" s="12"/>
    </row>
    <row r="16106" spans="8:8">
      <c r="H16106" s="12"/>
    </row>
    <row r="16107" spans="8:8">
      <c r="H16107" s="12"/>
    </row>
    <row r="16108" spans="8:8">
      <c r="H16108" s="12"/>
    </row>
    <row r="16109" spans="8:8">
      <c r="H16109" s="12"/>
    </row>
    <row r="16110" spans="8:8">
      <c r="H16110" s="12"/>
    </row>
    <row r="16111" spans="8:8">
      <c r="H16111" s="12"/>
    </row>
    <row r="16112" spans="8:8">
      <c r="H16112" s="12"/>
    </row>
    <row r="16113" spans="8:8">
      <c r="H16113" s="12"/>
    </row>
    <row r="16114" spans="8:8">
      <c r="H16114" s="12"/>
    </row>
    <row r="16115" spans="8:8">
      <c r="H16115" s="12"/>
    </row>
    <row r="16116" spans="8:8">
      <c r="H16116" s="12"/>
    </row>
    <row r="16117" spans="8:8">
      <c r="H16117" s="12"/>
    </row>
    <row r="16118" spans="8:8">
      <c r="H16118" s="12"/>
    </row>
    <row r="16119" spans="8:8">
      <c r="H16119" s="12"/>
    </row>
    <row r="16120" spans="8:8">
      <c r="H16120" s="12"/>
    </row>
    <row r="16121" spans="8:8">
      <c r="H16121" s="12"/>
    </row>
    <row r="16122" spans="8:8">
      <c r="H16122" s="12"/>
    </row>
    <row r="16123" spans="8:8">
      <c r="H16123" s="12"/>
    </row>
    <row r="16124" spans="8:8">
      <c r="H16124" s="12"/>
    </row>
    <row r="16125" spans="8:8">
      <c r="H16125" s="12"/>
    </row>
    <row r="16126" spans="8:8">
      <c r="H16126" s="12"/>
    </row>
    <row r="16127" spans="8:8">
      <c r="H16127" s="12"/>
    </row>
    <row r="16128" spans="8:8">
      <c r="H16128" s="12"/>
    </row>
    <row r="16129" spans="8:8">
      <c r="H16129" s="12"/>
    </row>
    <row r="16130" spans="8:8">
      <c r="H16130" s="12"/>
    </row>
    <row r="16131" spans="8:8">
      <c r="H16131" s="12"/>
    </row>
    <row r="16132" spans="8:8">
      <c r="H16132" s="12"/>
    </row>
    <row r="16133" spans="8:8">
      <c r="H16133" s="12"/>
    </row>
    <row r="16134" spans="8:8">
      <c r="H16134" s="12"/>
    </row>
    <row r="16135" spans="8:8">
      <c r="H16135" s="12"/>
    </row>
    <row r="16136" spans="8:8">
      <c r="H16136" s="12"/>
    </row>
    <row r="16137" spans="8:8">
      <c r="H16137" s="12"/>
    </row>
    <row r="16138" spans="8:8">
      <c r="H16138" s="12"/>
    </row>
    <row r="16139" spans="8:8">
      <c r="H16139" s="12"/>
    </row>
    <row r="16140" spans="8:8">
      <c r="H16140" s="12"/>
    </row>
    <row r="16141" spans="8:8">
      <c r="H16141" s="12"/>
    </row>
    <row r="16142" spans="8:8">
      <c r="H16142" s="12"/>
    </row>
    <row r="16143" spans="8:8">
      <c r="H16143" s="12"/>
    </row>
    <row r="16144" spans="8:8">
      <c r="H16144" s="12"/>
    </row>
    <row r="16145" spans="8:8">
      <c r="H16145" s="12"/>
    </row>
    <row r="16146" spans="8:8">
      <c r="H16146" s="12"/>
    </row>
    <row r="16147" spans="8:8">
      <c r="H16147" s="12"/>
    </row>
    <row r="16148" spans="8:8">
      <c r="H16148" s="12"/>
    </row>
    <row r="16149" spans="8:8">
      <c r="H16149" s="12"/>
    </row>
    <row r="16150" spans="8:8">
      <c r="H16150" s="12"/>
    </row>
    <row r="16151" spans="8:8">
      <c r="H16151" s="12"/>
    </row>
    <row r="16152" spans="8:8">
      <c r="H16152" s="12"/>
    </row>
    <row r="16153" spans="8:8">
      <c r="H16153" s="12"/>
    </row>
    <row r="16154" spans="8:8">
      <c r="H16154" s="12"/>
    </row>
    <row r="16155" spans="8:8">
      <c r="H16155" s="12"/>
    </row>
    <row r="16156" spans="8:8">
      <c r="H16156" s="12"/>
    </row>
    <row r="16157" spans="8:8">
      <c r="H16157" s="12"/>
    </row>
    <row r="16158" spans="8:8">
      <c r="H16158" s="12"/>
    </row>
    <row r="16159" spans="8:8">
      <c r="H16159" s="12"/>
    </row>
    <row r="16160" spans="8:8">
      <c r="H16160" s="12"/>
    </row>
    <row r="16161" spans="8:8">
      <c r="H16161" s="12"/>
    </row>
    <row r="16162" spans="8:8">
      <c r="H16162" s="12"/>
    </row>
    <row r="16163" spans="8:8">
      <c r="H16163" s="12"/>
    </row>
    <row r="16164" spans="8:8">
      <c r="H16164" s="12"/>
    </row>
    <row r="16165" spans="8:8">
      <c r="H16165" s="12"/>
    </row>
    <row r="16166" spans="8:8">
      <c r="H16166" s="12"/>
    </row>
    <row r="16167" spans="8:8">
      <c r="H16167" s="12"/>
    </row>
    <row r="16168" spans="8:8">
      <c r="H16168" s="12"/>
    </row>
    <row r="16169" spans="8:8">
      <c r="H16169" s="12"/>
    </row>
    <row r="16170" spans="8:8">
      <c r="H16170" s="12"/>
    </row>
    <row r="16171" spans="8:8">
      <c r="H16171" s="12"/>
    </row>
    <row r="16172" spans="8:8">
      <c r="H16172" s="12"/>
    </row>
    <row r="16173" spans="8:8">
      <c r="H16173" s="12"/>
    </row>
    <row r="16174" spans="8:8">
      <c r="H16174" s="12"/>
    </row>
    <row r="16175" spans="8:8">
      <c r="H16175" s="12"/>
    </row>
    <row r="16176" spans="8:8">
      <c r="H16176" s="12"/>
    </row>
    <row r="16177" spans="8:8">
      <c r="H16177" s="12"/>
    </row>
    <row r="16178" spans="8:8">
      <c r="H16178" s="12"/>
    </row>
    <row r="16179" spans="8:8">
      <c r="H16179" s="12"/>
    </row>
    <row r="16180" spans="8:8">
      <c r="H16180" s="12"/>
    </row>
    <row r="16181" spans="8:8">
      <c r="H16181" s="12"/>
    </row>
    <row r="16182" spans="8:8">
      <c r="H16182" s="12"/>
    </row>
    <row r="16183" spans="8:8">
      <c r="H16183" s="12"/>
    </row>
    <row r="16184" spans="8:8">
      <c r="H16184" s="12"/>
    </row>
    <row r="16185" spans="8:8">
      <c r="H16185" s="12"/>
    </row>
    <row r="16186" spans="8:8">
      <c r="H16186" s="12"/>
    </row>
    <row r="16187" spans="8:8">
      <c r="H16187" s="12"/>
    </row>
    <row r="16188" spans="8:8">
      <c r="H16188" s="12"/>
    </row>
    <row r="16189" spans="8:8">
      <c r="H16189" s="12"/>
    </row>
    <row r="16190" spans="8:8">
      <c r="H16190" s="12"/>
    </row>
    <row r="16191" spans="8:8">
      <c r="H16191" s="12"/>
    </row>
    <row r="16192" spans="8:8">
      <c r="H16192" s="12"/>
    </row>
    <row r="16193" spans="8:8">
      <c r="H16193" s="12"/>
    </row>
    <row r="16194" spans="8:8">
      <c r="H16194" s="12"/>
    </row>
    <row r="16195" spans="8:8">
      <c r="H16195" s="12"/>
    </row>
    <row r="16196" spans="8:8">
      <c r="H16196" s="12"/>
    </row>
    <row r="16197" spans="8:8">
      <c r="H16197" s="12"/>
    </row>
    <row r="16198" spans="8:8">
      <c r="H16198" s="12"/>
    </row>
    <row r="16199" spans="8:8">
      <c r="H16199" s="12"/>
    </row>
    <row r="16200" spans="8:8">
      <c r="H16200" s="12"/>
    </row>
    <row r="16201" spans="8:8">
      <c r="H16201" s="12"/>
    </row>
    <row r="16202" spans="8:8">
      <c r="H16202" s="12"/>
    </row>
    <row r="16203" spans="8:8">
      <c r="H16203" s="12"/>
    </row>
    <row r="16204" spans="8:8">
      <c r="H16204" s="12"/>
    </row>
    <row r="16205" spans="8:8">
      <c r="H16205" s="12"/>
    </row>
    <row r="16206" spans="8:8">
      <c r="H16206" s="12"/>
    </row>
    <row r="16207" spans="8:8">
      <c r="H16207" s="12"/>
    </row>
    <row r="16208" spans="8:8">
      <c r="H16208" s="12"/>
    </row>
    <row r="16209" spans="8:8">
      <c r="H16209" s="12"/>
    </row>
    <row r="16210" spans="8:8">
      <c r="H16210" s="12"/>
    </row>
    <row r="16211" spans="8:8">
      <c r="H16211" s="12"/>
    </row>
    <row r="16212" spans="8:8">
      <c r="H16212" s="12"/>
    </row>
    <row r="16213" spans="8:8">
      <c r="H16213" s="12"/>
    </row>
    <row r="16214" spans="8:8">
      <c r="H16214" s="12"/>
    </row>
    <row r="16215" spans="8:8">
      <c r="H16215" s="12"/>
    </row>
    <row r="16216" spans="8:8">
      <c r="H16216" s="12"/>
    </row>
    <row r="16217" spans="8:8">
      <c r="H16217" s="12"/>
    </row>
    <row r="16218" spans="8:8">
      <c r="H16218" s="12"/>
    </row>
    <row r="16219" spans="8:8">
      <c r="H16219" s="12"/>
    </row>
    <row r="16220" spans="8:8">
      <c r="H16220" s="12"/>
    </row>
    <row r="16221" spans="8:8">
      <c r="H16221" s="12"/>
    </row>
    <row r="16222" spans="8:8">
      <c r="H16222" s="12"/>
    </row>
    <row r="16223" spans="8:8">
      <c r="H16223" s="12"/>
    </row>
    <row r="16224" spans="8:8">
      <c r="H16224" s="12"/>
    </row>
    <row r="16225" spans="8:8">
      <c r="H16225" s="12"/>
    </row>
    <row r="16226" spans="8:8">
      <c r="H16226" s="12"/>
    </row>
    <row r="16227" spans="8:8">
      <c r="H16227" s="12"/>
    </row>
    <row r="16228" spans="8:8">
      <c r="H16228" s="12"/>
    </row>
    <row r="16229" spans="8:8">
      <c r="H16229" s="12"/>
    </row>
    <row r="16230" spans="8:8">
      <c r="H16230" s="12"/>
    </row>
    <row r="16231" spans="8:8">
      <c r="H16231" s="12"/>
    </row>
    <row r="16232" spans="8:8">
      <c r="H16232" s="12"/>
    </row>
    <row r="16233" spans="8:8">
      <c r="H16233" s="12"/>
    </row>
    <row r="16234" spans="8:8">
      <c r="H16234" s="12"/>
    </row>
    <row r="16235" spans="8:8">
      <c r="H16235" s="12"/>
    </row>
    <row r="16236" spans="8:8">
      <c r="H16236" s="12"/>
    </row>
    <row r="16237" spans="8:8">
      <c r="H16237" s="12"/>
    </row>
    <row r="16238" spans="8:8">
      <c r="H16238" s="12"/>
    </row>
    <row r="16239" spans="8:8">
      <c r="H16239" s="12"/>
    </row>
    <row r="16240" spans="8:8">
      <c r="H16240" s="12"/>
    </row>
    <row r="16241" spans="8:8">
      <c r="H16241" s="12"/>
    </row>
    <row r="16242" spans="8:8">
      <c r="H16242" s="12"/>
    </row>
    <row r="16243" spans="8:8">
      <c r="H16243" s="12"/>
    </row>
    <row r="16244" spans="8:8">
      <c r="H16244" s="12"/>
    </row>
    <row r="16245" spans="8:8">
      <c r="H16245" s="12"/>
    </row>
    <row r="16246" spans="8:8">
      <c r="H16246" s="12"/>
    </row>
    <row r="16247" spans="8:8">
      <c r="H16247" s="12"/>
    </row>
    <row r="16248" spans="8:8">
      <c r="H16248" s="12"/>
    </row>
    <row r="16249" spans="8:8">
      <c r="H16249" s="12"/>
    </row>
    <row r="16250" spans="8:8">
      <c r="H16250" s="12"/>
    </row>
    <row r="16251" spans="8:8">
      <c r="H16251" s="12"/>
    </row>
    <row r="16252" spans="8:8">
      <c r="H16252" s="12"/>
    </row>
    <row r="16253" spans="8:8">
      <c r="H16253" s="12"/>
    </row>
    <row r="16254" spans="8:8">
      <c r="H16254" s="12"/>
    </row>
    <row r="16255" spans="8:8">
      <c r="H16255" s="12"/>
    </row>
    <row r="16256" spans="8:8">
      <c r="H16256" s="12"/>
    </row>
    <row r="16257" spans="8:8">
      <c r="H16257" s="12"/>
    </row>
    <row r="16258" spans="8:8">
      <c r="H16258" s="12"/>
    </row>
    <row r="16259" spans="8:8">
      <c r="H16259" s="12"/>
    </row>
    <row r="16260" spans="8:8">
      <c r="H16260" s="12"/>
    </row>
    <row r="16261" spans="8:8">
      <c r="H16261" s="12"/>
    </row>
    <row r="16262" spans="8:8">
      <c r="H16262" s="12"/>
    </row>
    <row r="16263" spans="8:8">
      <c r="H16263" s="12"/>
    </row>
    <row r="16264" spans="8:8">
      <c r="H16264" s="12"/>
    </row>
    <row r="16265" spans="8:8">
      <c r="H16265" s="12"/>
    </row>
    <row r="16266" spans="8:8">
      <c r="H16266" s="12"/>
    </row>
    <row r="16267" spans="8:8">
      <c r="H16267" s="12"/>
    </row>
    <row r="16268" spans="8:8">
      <c r="H16268" s="12"/>
    </row>
    <row r="16269" spans="8:8">
      <c r="H16269" s="12"/>
    </row>
    <row r="16270" spans="8:8">
      <c r="H16270" s="12"/>
    </row>
    <row r="16271" spans="8:8">
      <c r="H16271" s="12"/>
    </row>
    <row r="16272" spans="8:8">
      <c r="H16272" s="12"/>
    </row>
    <row r="16273" spans="8:8">
      <c r="H16273" s="12"/>
    </row>
    <row r="16274" spans="8:8">
      <c r="H16274" s="12"/>
    </row>
    <row r="16275" spans="8:8">
      <c r="H16275" s="12"/>
    </row>
    <row r="16276" spans="8:8">
      <c r="H16276" s="12"/>
    </row>
    <row r="16277" spans="8:8">
      <c r="H16277" s="12"/>
    </row>
    <row r="16278" spans="8:8">
      <c r="H16278" s="12"/>
    </row>
    <row r="16279" spans="8:8">
      <c r="H16279" s="12"/>
    </row>
    <row r="16280" spans="8:8">
      <c r="H16280" s="12"/>
    </row>
    <row r="16281" spans="8:8">
      <c r="H16281" s="12"/>
    </row>
    <row r="16282" spans="8:8">
      <c r="H16282" s="12"/>
    </row>
    <row r="16283" spans="8:8">
      <c r="H16283" s="12"/>
    </row>
    <row r="16284" spans="8:8">
      <c r="H16284" s="12"/>
    </row>
    <row r="16285" spans="8:8">
      <c r="H16285" s="12"/>
    </row>
    <row r="16286" spans="8:8">
      <c r="H16286" s="12"/>
    </row>
    <row r="16287" spans="8:8">
      <c r="H16287" s="12"/>
    </row>
    <row r="16288" spans="8:8">
      <c r="H16288" s="12"/>
    </row>
    <row r="16289" spans="8:8">
      <c r="H16289" s="12"/>
    </row>
    <row r="16290" spans="8:8">
      <c r="H16290" s="12"/>
    </row>
    <row r="16291" spans="8:8">
      <c r="H16291" s="12"/>
    </row>
    <row r="16292" spans="8:8">
      <c r="H16292" s="12"/>
    </row>
    <row r="16293" spans="8:8">
      <c r="H16293" s="12"/>
    </row>
    <row r="16294" spans="8:8">
      <c r="H16294" s="12"/>
    </row>
    <row r="16295" spans="8:8">
      <c r="H16295" s="12"/>
    </row>
    <row r="16296" spans="8:8">
      <c r="H16296" s="12"/>
    </row>
    <row r="16297" spans="8:8">
      <c r="H16297" s="12"/>
    </row>
    <row r="16298" spans="8:8">
      <c r="H16298" s="12"/>
    </row>
    <row r="16299" spans="8:8">
      <c r="H16299" s="12"/>
    </row>
    <row r="16300" spans="8:8">
      <c r="H16300" s="12"/>
    </row>
    <row r="16301" spans="8:8">
      <c r="H16301" s="12"/>
    </row>
    <row r="16302" spans="8:8">
      <c r="H16302" s="12"/>
    </row>
    <row r="16303" spans="8:8">
      <c r="H16303" s="12"/>
    </row>
    <row r="16304" spans="8:8">
      <c r="H16304" s="12"/>
    </row>
    <row r="16305" spans="8:8">
      <c r="H16305" s="12"/>
    </row>
    <row r="16306" spans="8:8">
      <c r="H16306" s="12"/>
    </row>
    <row r="16307" spans="8:8">
      <c r="H16307" s="12"/>
    </row>
    <row r="16308" spans="8:8">
      <c r="H16308" s="12"/>
    </row>
    <row r="16309" spans="8:8">
      <c r="H16309" s="12"/>
    </row>
    <row r="16310" spans="8:8">
      <c r="H16310" s="12"/>
    </row>
    <row r="16311" spans="8:8">
      <c r="H16311" s="12"/>
    </row>
    <row r="16312" spans="8:8">
      <c r="H16312" s="12"/>
    </row>
    <row r="16313" spans="8:8">
      <c r="H16313" s="12"/>
    </row>
    <row r="16314" spans="8:8">
      <c r="H16314" s="12"/>
    </row>
    <row r="16315" spans="8:8">
      <c r="H16315" s="12"/>
    </row>
    <row r="16316" spans="8:8">
      <c r="H16316" s="12"/>
    </row>
    <row r="16317" spans="8:8">
      <c r="H16317" s="12"/>
    </row>
    <row r="16318" spans="8:8">
      <c r="H16318" s="12"/>
    </row>
    <row r="16319" spans="8:8">
      <c r="H16319" s="12"/>
    </row>
    <row r="16320" spans="8:8">
      <c r="H16320" s="12"/>
    </row>
    <row r="16321" spans="8:8">
      <c r="H16321" s="12"/>
    </row>
    <row r="16322" spans="8:8">
      <c r="H16322" s="12"/>
    </row>
    <row r="16323" spans="8:8">
      <c r="H16323" s="12"/>
    </row>
    <row r="16324" spans="8:8">
      <c r="H16324" s="12"/>
    </row>
    <row r="16325" spans="8:8">
      <c r="H16325" s="12"/>
    </row>
    <row r="16326" spans="8:8">
      <c r="H16326" s="12"/>
    </row>
    <row r="16327" spans="8:8">
      <c r="H16327" s="12"/>
    </row>
    <row r="16328" spans="8:8">
      <c r="H16328" s="12"/>
    </row>
    <row r="16329" spans="8:8">
      <c r="H16329" s="12"/>
    </row>
    <row r="16330" spans="8:8">
      <c r="H16330" s="12"/>
    </row>
    <row r="16331" spans="8:8">
      <c r="H16331" s="12"/>
    </row>
    <row r="16332" spans="8:8">
      <c r="H16332" s="12"/>
    </row>
    <row r="16333" spans="8:8">
      <c r="H16333" s="12"/>
    </row>
    <row r="16334" spans="8:8">
      <c r="H16334" s="12"/>
    </row>
    <row r="16335" spans="8:8">
      <c r="H16335" s="12"/>
    </row>
    <row r="16336" spans="8:8">
      <c r="H16336" s="12"/>
    </row>
    <row r="16337" spans="8:8">
      <c r="H16337" s="12"/>
    </row>
    <row r="16338" spans="8:8">
      <c r="H16338" s="12"/>
    </row>
    <row r="16339" spans="8:8">
      <c r="H16339" s="12"/>
    </row>
    <row r="16340" spans="8:8">
      <c r="H16340" s="12"/>
    </row>
    <row r="16341" spans="8:8">
      <c r="H16341" s="12"/>
    </row>
    <row r="16342" spans="8:8">
      <c r="H16342" s="12"/>
    </row>
    <row r="16343" spans="8:8">
      <c r="H16343" s="12"/>
    </row>
    <row r="16344" spans="8:8">
      <c r="H16344" s="12"/>
    </row>
    <row r="16345" spans="8:8">
      <c r="H16345" s="12"/>
    </row>
    <row r="16346" spans="8:8">
      <c r="H16346" s="12"/>
    </row>
    <row r="16347" spans="8:8">
      <c r="H16347" s="12"/>
    </row>
    <row r="16348" spans="8:8">
      <c r="H16348" s="12"/>
    </row>
    <row r="16349" spans="8:8">
      <c r="H16349" s="12"/>
    </row>
    <row r="16350" spans="8:8">
      <c r="H16350" s="12"/>
    </row>
    <row r="16351" spans="8:8">
      <c r="H16351" s="12"/>
    </row>
    <row r="16352" spans="8:8">
      <c r="H16352" s="12"/>
    </row>
    <row r="16353" spans="8:8">
      <c r="H16353" s="12"/>
    </row>
    <row r="16354" spans="8:8">
      <c r="H16354" s="12"/>
    </row>
    <row r="16355" spans="8:8">
      <c r="H16355" s="12"/>
    </row>
    <row r="16356" spans="8:8">
      <c r="H16356" s="12"/>
    </row>
    <row r="16357" spans="8:8">
      <c r="H16357" s="12"/>
    </row>
    <row r="16358" spans="8:8">
      <c r="H16358" s="12"/>
    </row>
    <row r="16359" spans="8:8">
      <c r="H16359" s="12"/>
    </row>
    <row r="16360" spans="8:8">
      <c r="H16360" s="12"/>
    </row>
    <row r="16361" spans="8:8">
      <c r="H16361" s="12"/>
    </row>
    <row r="16362" spans="8:8">
      <c r="H16362" s="12"/>
    </row>
    <row r="16363" spans="8:8">
      <c r="H16363" s="12"/>
    </row>
    <row r="16364" spans="8:8">
      <c r="H16364" s="12"/>
    </row>
    <row r="16365" spans="8:8">
      <c r="H16365" s="12"/>
    </row>
    <row r="16366" spans="8:8">
      <c r="H16366" s="12"/>
    </row>
    <row r="16367" spans="8:8">
      <c r="H16367" s="12"/>
    </row>
    <row r="16368" spans="8:8">
      <c r="H16368" s="12"/>
    </row>
    <row r="16369" spans="8:8">
      <c r="H16369" s="12"/>
    </row>
    <row r="16370" spans="8:8">
      <c r="H16370" s="12"/>
    </row>
    <row r="16371" spans="8:8">
      <c r="H16371" s="12"/>
    </row>
    <row r="16372" spans="8:8">
      <c r="H16372" s="12"/>
    </row>
    <row r="16373" spans="8:8">
      <c r="H16373" s="12"/>
    </row>
    <row r="16374" spans="8:8">
      <c r="H16374" s="12"/>
    </row>
    <row r="16375" spans="8:8">
      <c r="H16375" s="12"/>
    </row>
    <row r="16376" spans="8:8">
      <c r="H16376" s="12"/>
    </row>
    <row r="16377" spans="8:8">
      <c r="H16377" s="12"/>
    </row>
    <row r="16378" spans="8:8">
      <c r="H16378" s="12"/>
    </row>
    <row r="16379" spans="8:8">
      <c r="H16379" s="12"/>
    </row>
    <row r="16380" spans="8:8">
      <c r="H16380" s="12"/>
    </row>
    <row r="16381" spans="8:8">
      <c r="H16381" s="12"/>
    </row>
    <row r="16382" spans="8:8">
      <c r="H16382" s="12"/>
    </row>
    <row r="16383" spans="8:8">
      <c r="H16383" s="12"/>
    </row>
    <row r="16384" spans="8:8">
      <c r="H16384" s="12"/>
    </row>
    <row r="16385" spans="8:8">
      <c r="H16385" s="12"/>
    </row>
    <row r="16386" spans="8:8">
      <c r="H16386" s="12"/>
    </row>
    <row r="16387" spans="8:8">
      <c r="H16387" s="12"/>
    </row>
    <row r="16388" spans="8:8">
      <c r="H16388" s="12"/>
    </row>
    <row r="16389" spans="8:8">
      <c r="H16389" s="12"/>
    </row>
    <row r="16390" spans="8:8">
      <c r="H16390" s="12"/>
    </row>
    <row r="16391" spans="8:8">
      <c r="H16391" s="12"/>
    </row>
    <row r="16392" spans="8:8">
      <c r="H16392" s="12"/>
    </row>
    <row r="16393" spans="8:8">
      <c r="H16393" s="12"/>
    </row>
    <row r="16394" spans="8:8">
      <c r="H16394" s="12"/>
    </row>
    <row r="16395" spans="8:8">
      <c r="H16395" s="12"/>
    </row>
    <row r="16396" spans="8:8">
      <c r="H16396" s="12"/>
    </row>
    <row r="16397" spans="8:8">
      <c r="H16397" s="12"/>
    </row>
    <row r="16398" spans="8:8">
      <c r="H16398" s="12"/>
    </row>
    <row r="16399" spans="8:8">
      <c r="H16399" s="12"/>
    </row>
    <row r="16400" spans="8:8">
      <c r="H16400" s="12"/>
    </row>
    <row r="16401" spans="8:8">
      <c r="H16401" s="12"/>
    </row>
    <row r="16402" spans="8:8">
      <c r="H16402" s="12"/>
    </row>
    <row r="16403" spans="8:8">
      <c r="H16403" s="12"/>
    </row>
    <row r="16404" spans="8:8">
      <c r="H16404" s="12"/>
    </row>
    <row r="16405" spans="8:8">
      <c r="H16405" s="12"/>
    </row>
    <row r="16406" spans="8:8">
      <c r="H16406" s="12"/>
    </row>
    <row r="16407" spans="8:8">
      <c r="H16407" s="12"/>
    </row>
    <row r="16408" spans="8:8">
      <c r="H16408" s="12"/>
    </row>
    <row r="16409" spans="8:8">
      <c r="H16409" s="12"/>
    </row>
    <row r="16410" spans="8:8">
      <c r="H16410" s="12"/>
    </row>
    <row r="16411" spans="8:8">
      <c r="H16411" s="12"/>
    </row>
    <row r="16412" spans="8:8">
      <c r="H16412" s="12"/>
    </row>
    <row r="16413" spans="8:8">
      <c r="H16413" s="12"/>
    </row>
    <row r="16414" spans="8:8">
      <c r="H16414" s="12"/>
    </row>
    <row r="16415" spans="8:8">
      <c r="H16415" s="12"/>
    </row>
    <row r="16416" spans="8:8">
      <c r="H16416" s="12"/>
    </row>
    <row r="16417" spans="8:8">
      <c r="H16417" s="12"/>
    </row>
    <row r="16418" spans="8:8">
      <c r="H16418" s="12"/>
    </row>
    <row r="16419" spans="8:8">
      <c r="H16419" s="12"/>
    </row>
    <row r="16420" spans="8:8">
      <c r="H16420" s="12"/>
    </row>
    <row r="16421" spans="8:8">
      <c r="H16421" s="12"/>
    </row>
    <row r="16422" spans="8:8">
      <c r="H16422" s="12"/>
    </row>
    <row r="16423" spans="8:8">
      <c r="H16423" s="12"/>
    </row>
    <row r="16424" spans="8:8">
      <c r="H16424" s="12"/>
    </row>
    <row r="16425" spans="8:8">
      <c r="H16425" s="12"/>
    </row>
    <row r="16426" spans="8:8">
      <c r="H16426" s="12"/>
    </row>
    <row r="16427" spans="8:8">
      <c r="H16427" s="12"/>
    </row>
    <row r="16428" spans="8:8">
      <c r="H16428" s="12"/>
    </row>
    <row r="16429" spans="8:8">
      <c r="H16429" s="12"/>
    </row>
    <row r="16430" spans="8:8">
      <c r="H16430" s="12"/>
    </row>
    <row r="16431" spans="8:8">
      <c r="H16431" s="12"/>
    </row>
    <row r="16432" spans="8:8">
      <c r="H16432" s="12"/>
    </row>
    <row r="16433" spans="8:8">
      <c r="H16433" s="12"/>
    </row>
    <row r="16434" spans="8:8">
      <c r="H16434" s="12"/>
    </row>
    <row r="16435" spans="8:8">
      <c r="H16435" s="12"/>
    </row>
    <row r="16436" spans="8:8">
      <c r="H16436" s="12"/>
    </row>
    <row r="16437" spans="8:8">
      <c r="H16437" s="12"/>
    </row>
    <row r="16438" spans="8:8">
      <c r="H16438" s="12"/>
    </row>
    <row r="16439" spans="8:8">
      <c r="H16439" s="12"/>
    </row>
    <row r="16440" spans="8:8">
      <c r="H16440" s="12"/>
    </row>
    <row r="16441" spans="8:8">
      <c r="H16441" s="12"/>
    </row>
    <row r="16442" spans="8:8">
      <c r="H16442" s="12"/>
    </row>
    <row r="16443" spans="8:8">
      <c r="H16443" s="12"/>
    </row>
    <row r="16444" spans="8:8">
      <c r="H16444" s="12"/>
    </row>
    <row r="16445" spans="8:8">
      <c r="H16445" s="12"/>
    </row>
    <row r="16446" spans="8:8">
      <c r="H16446" s="12"/>
    </row>
    <row r="16447" spans="8:8">
      <c r="H16447" s="12"/>
    </row>
    <row r="16448" spans="8:8">
      <c r="H16448" s="12"/>
    </row>
    <row r="16449" spans="8:8">
      <c r="H16449" s="12"/>
    </row>
    <row r="16450" spans="8:8">
      <c r="H16450" s="12"/>
    </row>
    <row r="16451" spans="8:8">
      <c r="H16451" s="12"/>
    </row>
    <row r="16452" spans="8:8">
      <c r="H16452" s="12"/>
    </row>
    <row r="16453" spans="8:8">
      <c r="H16453" s="12"/>
    </row>
    <row r="16454" spans="8:8">
      <c r="H16454" s="12"/>
    </row>
    <row r="16455" spans="8:8">
      <c r="H16455" s="12"/>
    </row>
    <row r="16456" spans="8:8">
      <c r="H16456" s="12"/>
    </row>
    <row r="16457" spans="8:8">
      <c r="H16457" s="12"/>
    </row>
    <row r="16458" spans="8:8">
      <c r="H16458" s="12"/>
    </row>
    <row r="16459" spans="8:8">
      <c r="H16459" s="12"/>
    </row>
    <row r="16460" spans="8:8">
      <c r="H16460" s="12"/>
    </row>
    <row r="16461" spans="8:8">
      <c r="H16461" s="12"/>
    </row>
    <row r="16462" spans="8:8">
      <c r="H16462" s="12"/>
    </row>
    <row r="16463" spans="8:8">
      <c r="H16463" s="12"/>
    </row>
    <row r="16464" spans="8:8">
      <c r="H16464" s="12"/>
    </row>
    <row r="16465" spans="8:8">
      <c r="H16465" s="12"/>
    </row>
    <row r="16466" spans="8:8">
      <c r="H16466" s="12"/>
    </row>
    <row r="16467" spans="8:8">
      <c r="H16467" s="12"/>
    </row>
    <row r="16468" spans="8:8">
      <c r="H16468" s="12"/>
    </row>
    <row r="16469" spans="8:8">
      <c r="H16469" s="12"/>
    </row>
    <row r="16470" spans="8:8">
      <c r="H16470" s="12"/>
    </row>
    <row r="16471" spans="8:8">
      <c r="H16471" s="12"/>
    </row>
    <row r="16472" spans="8:8">
      <c r="H16472" s="12"/>
    </row>
    <row r="16473" spans="8:8">
      <c r="H16473" s="12"/>
    </row>
    <row r="16474" spans="8:8">
      <c r="H16474" s="12"/>
    </row>
    <row r="16475" spans="8:8">
      <c r="H16475" s="12"/>
    </row>
    <row r="16476" spans="8:8">
      <c r="H16476" s="12"/>
    </row>
    <row r="16477" spans="8:8">
      <c r="H16477" s="12"/>
    </row>
    <row r="16478" spans="8:8">
      <c r="H16478" s="12"/>
    </row>
    <row r="16479" spans="8:8">
      <c r="H16479" s="12"/>
    </row>
    <row r="16480" spans="8:8">
      <c r="H16480" s="12"/>
    </row>
    <row r="16481" spans="8:8">
      <c r="H16481" s="12"/>
    </row>
    <row r="16482" spans="8:8">
      <c r="H16482" s="12"/>
    </row>
    <row r="16483" spans="8:8">
      <c r="H16483" s="12"/>
    </row>
    <row r="16484" spans="8:8">
      <c r="H16484" s="12"/>
    </row>
    <row r="16485" spans="8:8">
      <c r="H16485" s="12"/>
    </row>
    <row r="16486" spans="8:8">
      <c r="H16486" s="12"/>
    </row>
    <row r="16487" spans="8:8">
      <c r="H16487" s="12"/>
    </row>
    <row r="16488" spans="8:8">
      <c r="H16488" s="12"/>
    </row>
    <row r="16489" spans="8:8">
      <c r="H16489" s="12"/>
    </row>
    <row r="16490" spans="8:8">
      <c r="H16490" s="12"/>
    </row>
    <row r="16491" spans="8:8">
      <c r="H16491" s="12"/>
    </row>
    <row r="16492" spans="8:8">
      <c r="H16492" s="12"/>
    </row>
    <row r="16493" spans="8:8">
      <c r="H16493" s="12"/>
    </row>
    <row r="16494" spans="8:8">
      <c r="H16494" s="12"/>
    </row>
    <row r="16495" spans="8:8">
      <c r="H16495" s="12"/>
    </row>
    <row r="16496" spans="8:8">
      <c r="H16496" s="12"/>
    </row>
    <row r="16497" spans="8:8">
      <c r="H16497" s="12"/>
    </row>
    <row r="16498" spans="8:8">
      <c r="H16498" s="12"/>
    </row>
    <row r="16499" spans="8:8">
      <c r="H16499" s="12"/>
    </row>
    <row r="16500" spans="8:8">
      <c r="H16500" s="12"/>
    </row>
    <row r="16501" spans="8:8">
      <c r="H16501" s="12"/>
    </row>
    <row r="16502" spans="8:8">
      <c r="H16502" s="12"/>
    </row>
    <row r="16503" spans="8:8">
      <c r="H16503" s="12"/>
    </row>
    <row r="16504" spans="8:8">
      <c r="H16504" s="12"/>
    </row>
    <row r="16505" spans="8:8">
      <c r="H16505" s="12"/>
    </row>
    <row r="16506" spans="8:8">
      <c r="H16506" s="12"/>
    </row>
    <row r="16507" spans="8:8">
      <c r="H16507" s="12"/>
    </row>
    <row r="16508" spans="8:8">
      <c r="H16508" s="12"/>
    </row>
    <row r="16509" spans="8:8">
      <c r="H16509" s="12"/>
    </row>
    <row r="16510" spans="8:8">
      <c r="H16510" s="12"/>
    </row>
    <row r="16511" spans="8:8">
      <c r="H16511" s="12"/>
    </row>
    <row r="16512" spans="8:8">
      <c r="H16512" s="12"/>
    </row>
    <row r="16513" spans="8:8">
      <c r="H16513" s="12"/>
    </row>
    <row r="16514" spans="8:8">
      <c r="H16514" s="12"/>
    </row>
    <row r="16515" spans="8:8">
      <c r="H16515" s="12"/>
    </row>
    <row r="16516" spans="8:8">
      <c r="H16516" s="12"/>
    </row>
    <row r="16517" spans="8:8">
      <c r="H16517" s="12"/>
    </row>
    <row r="16518" spans="8:8">
      <c r="H16518" s="12"/>
    </row>
    <row r="16519" spans="8:8">
      <c r="H16519" s="12"/>
    </row>
    <row r="16520" spans="8:8">
      <c r="H16520" s="12"/>
    </row>
    <row r="16521" spans="8:8">
      <c r="H16521" s="12"/>
    </row>
    <row r="16522" spans="8:8">
      <c r="H16522" s="12"/>
    </row>
    <row r="16523" spans="8:8">
      <c r="H16523" s="12"/>
    </row>
    <row r="16524" spans="8:8">
      <c r="H16524" s="12"/>
    </row>
    <row r="16525" spans="8:8">
      <c r="H16525" s="12"/>
    </row>
    <row r="16526" spans="8:8">
      <c r="H16526" s="12"/>
    </row>
    <row r="16527" spans="8:8">
      <c r="H16527" s="12"/>
    </row>
    <row r="16528" spans="8:8">
      <c r="H16528" s="12"/>
    </row>
    <row r="16529" spans="8:8">
      <c r="H16529" s="12"/>
    </row>
    <row r="16530" spans="8:8">
      <c r="H16530" s="12"/>
    </row>
    <row r="16531" spans="8:8">
      <c r="H16531" s="12"/>
    </row>
    <row r="16532" spans="8:8">
      <c r="H16532" s="12"/>
    </row>
    <row r="16533" spans="8:8">
      <c r="H16533" s="12"/>
    </row>
    <row r="16534" spans="8:8">
      <c r="H16534" s="12"/>
    </row>
    <row r="16535" spans="8:8">
      <c r="H16535" s="12"/>
    </row>
    <row r="16536" spans="8:8">
      <c r="H16536" s="12"/>
    </row>
    <row r="16537" spans="8:8">
      <c r="H16537" s="12"/>
    </row>
    <row r="16538" spans="8:8">
      <c r="H16538" s="12"/>
    </row>
    <row r="16539" spans="8:8">
      <c r="H16539" s="12"/>
    </row>
    <row r="16540" spans="8:8">
      <c r="H16540" s="12"/>
    </row>
    <row r="16541" spans="8:8">
      <c r="H16541" s="12"/>
    </row>
    <row r="16542" spans="8:8">
      <c r="H16542" s="12"/>
    </row>
    <row r="16543" spans="8:8">
      <c r="H16543" s="12"/>
    </row>
    <row r="16544" spans="8:8">
      <c r="H16544" s="12"/>
    </row>
    <row r="16545" spans="8:8">
      <c r="H16545" s="12"/>
    </row>
    <row r="16546" spans="8:8">
      <c r="H16546" s="12"/>
    </row>
    <row r="16547" spans="8:8">
      <c r="H16547" s="12"/>
    </row>
    <row r="16548" spans="8:8">
      <c r="H16548" s="12"/>
    </row>
    <row r="16549" spans="8:8">
      <c r="H16549" s="12"/>
    </row>
    <row r="16550" spans="8:8">
      <c r="H16550" s="12"/>
    </row>
    <row r="16551" spans="8:8">
      <c r="H16551" s="12"/>
    </row>
    <row r="16552" spans="8:8">
      <c r="H16552" s="12"/>
    </row>
    <row r="16553" spans="8:8">
      <c r="H16553" s="12"/>
    </row>
    <row r="16554" spans="8:8">
      <c r="H16554" s="12"/>
    </row>
    <row r="16555" spans="8:8">
      <c r="H16555" s="12"/>
    </row>
    <row r="16556" spans="8:8">
      <c r="H16556" s="12"/>
    </row>
    <row r="16557" spans="8:8">
      <c r="H16557" s="12"/>
    </row>
    <row r="16558" spans="8:8">
      <c r="H16558" s="12"/>
    </row>
    <row r="16559" spans="8:8">
      <c r="H16559" s="12"/>
    </row>
    <row r="16560" spans="8:8">
      <c r="H16560" s="12"/>
    </row>
    <row r="16561" spans="8:8">
      <c r="H16561" s="12"/>
    </row>
    <row r="16562" spans="8:8">
      <c r="H16562" s="12"/>
    </row>
    <row r="16563" spans="8:8">
      <c r="H16563" s="12"/>
    </row>
    <row r="16564" spans="8:8">
      <c r="H16564" s="12"/>
    </row>
    <row r="16565" spans="8:8">
      <c r="H16565" s="12"/>
    </row>
    <row r="16566" spans="8:8">
      <c r="H16566" s="12"/>
    </row>
    <row r="16567" spans="8:8">
      <c r="H16567" s="12"/>
    </row>
    <row r="16568" spans="8:8">
      <c r="H16568" s="12"/>
    </row>
    <row r="16569" spans="8:8">
      <c r="H16569" s="12"/>
    </row>
    <row r="16570" spans="8:8">
      <c r="H16570" s="12"/>
    </row>
    <row r="16571" spans="8:8">
      <c r="H16571" s="12"/>
    </row>
    <row r="16572" spans="8:8">
      <c r="H16572" s="12"/>
    </row>
    <row r="16573" spans="8:8">
      <c r="H16573" s="12"/>
    </row>
    <row r="16574" spans="8:8">
      <c r="H16574" s="12"/>
    </row>
    <row r="16575" spans="8:8">
      <c r="H16575" s="12"/>
    </row>
    <row r="16576" spans="8:8">
      <c r="H16576" s="12"/>
    </row>
    <row r="16577" spans="8:8">
      <c r="H16577" s="12"/>
    </row>
    <row r="16578" spans="8:8">
      <c r="H16578" s="12"/>
    </row>
    <row r="16579" spans="8:8">
      <c r="H16579" s="12"/>
    </row>
    <row r="16580" spans="8:8">
      <c r="H16580" s="12"/>
    </row>
    <row r="16581" spans="8:8">
      <c r="H16581" s="12"/>
    </row>
    <row r="16582" spans="8:8">
      <c r="H16582" s="12"/>
    </row>
    <row r="16583" spans="8:8">
      <c r="H16583" s="12"/>
    </row>
    <row r="16584" spans="8:8">
      <c r="H16584" s="12"/>
    </row>
    <row r="16585" spans="8:8">
      <c r="H16585" s="12"/>
    </row>
    <row r="16586" spans="8:8">
      <c r="H16586" s="12"/>
    </row>
    <row r="16587" spans="8:8">
      <c r="H16587" s="12"/>
    </row>
    <row r="16588" spans="8:8">
      <c r="H16588" s="12"/>
    </row>
    <row r="16589" spans="8:8">
      <c r="H16589" s="12"/>
    </row>
    <row r="16590" spans="8:8">
      <c r="H16590" s="12"/>
    </row>
    <row r="16591" spans="8:8">
      <c r="H16591" s="12"/>
    </row>
    <row r="16592" spans="8:8">
      <c r="H16592" s="12"/>
    </row>
    <row r="16593" spans="8:8">
      <c r="H16593" s="12"/>
    </row>
    <row r="16594" spans="8:8">
      <c r="H16594" s="12"/>
    </row>
    <row r="16595" spans="8:8">
      <c r="H16595" s="12"/>
    </row>
    <row r="16596" spans="8:8">
      <c r="H16596" s="12"/>
    </row>
    <row r="16597" spans="8:8">
      <c r="H16597" s="12"/>
    </row>
    <row r="16598" spans="8:8">
      <c r="H16598" s="12"/>
    </row>
    <row r="16599" spans="8:8">
      <c r="H16599" s="12"/>
    </row>
    <row r="16600" spans="8:8">
      <c r="H16600" s="12"/>
    </row>
    <row r="16601" spans="8:8">
      <c r="H16601" s="12"/>
    </row>
    <row r="16602" spans="8:8">
      <c r="H16602" s="12"/>
    </row>
    <row r="16603" spans="8:8">
      <c r="H16603" s="12"/>
    </row>
    <row r="16604" spans="8:8">
      <c r="H16604" s="12"/>
    </row>
    <row r="16605" spans="8:8">
      <c r="H16605" s="12"/>
    </row>
    <row r="16606" spans="8:8">
      <c r="H16606" s="12"/>
    </row>
    <row r="16607" spans="8:8">
      <c r="H16607" s="12"/>
    </row>
    <row r="16608" spans="8:8">
      <c r="H16608" s="12"/>
    </row>
    <row r="16609" spans="8:8">
      <c r="H16609" s="12"/>
    </row>
    <row r="16610" spans="8:8">
      <c r="H16610" s="12"/>
    </row>
    <row r="16611" spans="8:8">
      <c r="H16611" s="12"/>
    </row>
    <row r="16612" spans="8:8">
      <c r="H16612" s="12"/>
    </row>
    <row r="16613" spans="8:8">
      <c r="H16613" s="12"/>
    </row>
    <row r="16614" spans="8:8">
      <c r="H16614" s="12"/>
    </row>
    <row r="16615" spans="8:8">
      <c r="H16615" s="12"/>
    </row>
    <row r="16616" spans="8:8">
      <c r="H16616" s="12"/>
    </row>
    <row r="16617" spans="8:8">
      <c r="H16617" s="12"/>
    </row>
    <row r="16618" spans="8:8">
      <c r="H16618" s="12"/>
    </row>
    <row r="16619" spans="8:8">
      <c r="H16619" s="12"/>
    </row>
    <row r="16620" spans="8:8">
      <c r="H16620" s="12"/>
    </row>
    <row r="16621" spans="8:8">
      <c r="H16621" s="12"/>
    </row>
    <row r="16622" spans="8:8">
      <c r="H16622" s="12"/>
    </row>
    <row r="16623" spans="8:8">
      <c r="H16623" s="12"/>
    </row>
    <row r="16624" spans="8:8">
      <c r="H16624" s="12"/>
    </row>
    <row r="16625" spans="8:8">
      <c r="H16625" s="12"/>
    </row>
    <row r="16626" spans="8:8">
      <c r="H16626" s="12"/>
    </row>
    <row r="16627" spans="8:8">
      <c r="H16627" s="12"/>
    </row>
    <row r="16628" spans="8:8">
      <c r="H16628" s="12"/>
    </row>
    <row r="16629" spans="8:8">
      <c r="H16629" s="12"/>
    </row>
    <row r="16630" spans="8:8">
      <c r="H16630" s="12"/>
    </row>
    <row r="16631" spans="8:8">
      <c r="H16631" s="12"/>
    </row>
    <row r="16632" spans="8:8">
      <c r="H16632" s="12"/>
    </row>
    <row r="16633" spans="8:8">
      <c r="H16633" s="12"/>
    </row>
    <row r="16634" spans="8:8">
      <c r="H16634" s="12"/>
    </row>
    <row r="16635" spans="8:8">
      <c r="H16635" s="12"/>
    </row>
    <row r="16636" spans="8:8">
      <c r="H16636" s="12"/>
    </row>
    <row r="16637" spans="8:8">
      <c r="H16637" s="12"/>
    </row>
    <row r="16638" spans="8:8">
      <c r="H16638" s="12"/>
    </row>
    <row r="16639" spans="8:8">
      <c r="H16639" s="12"/>
    </row>
    <row r="16640" spans="8:8">
      <c r="H16640" s="12"/>
    </row>
    <row r="16641" spans="8:8">
      <c r="H16641" s="12"/>
    </row>
    <row r="16642" spans="8:8">
      <c r="H16642" s="12"/>
    </row>
    <row r="16643" spans="8:8">
      <c r="H16643" s="12"/>
    </row>
    <row r="16644" spans="8:8">
      <c r="H16644" s="12"/>
    </row>
    <row r="16645" spans="8:8">
      <c r="H16645" s="12"/>
    </row>
    <row r="16646" spans="8:8">
      <c r="H16646" s="12"/>
    </row>
    <row r="16647" spans="8:8">
      <c r="H16647" s="12"/>
    </row>
    <row r="16648" spans="8:8">
      <c r="H16648" s="12"/>
    </row>
    <row r="16649" spans="8:8">
      <c r="H16649" s="12"/>
    </row>
    <row r="16650" spans="8:8">
      <c r="H16650" s="12"/>
    </row>
    <row r="16651" spans="8:8">
      <c r="H16651" s="12"/>
    </row>
    <row r="16652" spans="8:8">
      <c r="H16652" s="12"/>
    </row>
    <row r="16653" spans="8:8">
      <c r="H16653" s="12"/>
    </row>
    <row r="16654" spans="8:8">
      <c r="H16654" s="12"/>
    </row>
    <row r="16655" spans="8:8">
      <c r="H16655" s="12"/>
    </row>
    <row r="16656" spans="8:8">
      <c r="H16656" s="12"/>
    </row>
    <row r="16657" spans="8:8">
      <c r="H16657" s="12"/>
    </row>
    <row r="16658" spans="8:8">
      <c r="H16658" s="12"/>
    </row>
    <row r="16659" spans="8:8">
      <c r="H16659" s="12"/>
    </row>
    <row r="16660" spans="8:8">
      <c r="H16660" s="12"/>
    </row>
    <row r="16661" spans="8:8">
      <c r="H16661" s="12"/>
    </row>
    <row r="16662" spans="8:8">
      <c r="H16662" s="12"/>
    </row>
    <row r="16663" spans="8:8">
      <c r="H16663" s="12"/>
    </row>
    <row r="16664" spans="8:8">
      <c r="H16664" s="12"/>
    </row>
    <row r="16665" spans="8:8">
      <c r="H16665" s="12"/>
    </row>
    <row r="16666" spans="8:8">
      <c r="H16666" s="12"/>
    </row>
    <row r="16667" spans="8:8">
      <c r="H16667" s="12"/>
    </row>
    <row r="16668" spans="8:8">
      <c r="H16668" s="12"/>
    </row>
    <row r="16669" spans="8:8">
      <c r="H16669" s="12"/>
    </row>
    <row r="16670" spans="8:8">
      <c r="H16670" s="12"/>
    </row>
    <row r="16671" spans="8:8">
      <c r="H16671" s="12"/>
    </row>
    <row r="16672" spans="8:8">
      <c r="H16672" s="12"/>
    </row>
    <row r="16673" spans="8:8">
      <c r="H16673" s="12"/>
    </row>
    <row r="16674" spans="8:8">
      <c r="H16674" s="12"/>
    </row>
    <row r="16675" spans="8:8">
      <c r="H16675" s="12"/>
    </row>
    <row r="16676" spans="8:8">
      <c r="H16676" s="12"/>
    </row>
    <row r="16677" spans="8:8">
      <c r="H16677" s="12"/>
    </row>
    <row r="16678" spans="8:8">
      <c r="H16678" s="12"/>
    </row>
    <row r="16679" spans="8:8">
      <c r="H16679" s="12"/>
    </row>
    <row r="16680" spans="8:8">
      <c r="H16680" s="12"/>
    </row>
    <row r="16681" spans="8:8">
      <c r="H16681" s="12"/>
    </row>
    <row r="16682" spans="8:8">
      <c r="H16682" s="12"/>
    </row>
    <row r="16683" spans="8:8">
      <c r="H16683" s="12"/>
    </row>
    <row r="16684" spans="8:8">
      <c r="H16684" s="12"/>
    </row>
    <row r="16685" spans="8:8">
      <c r="H16685" s="12"/>
    </row>
    <row r="16686" spans="8:8">
      <c r="H16686" s="12"/>
    </row>
    <row r="16687" spans="8:8">
      <c r="H16687" s="12"/>
    </row>
    <row r="16688" spans="8:8">
      <c r="H16688" s="12"/>
    </row>
    <row r="16689" spans="8:8">
      <c r="H16689" s="12"/>
    </row>
    <row r="16690" spans="8:8">
      <c r="H16690" s="12"/>
    </row>
    <row r="16691" spans="8:8">
      <c r="H16691" s="12"/>
    </row>
    <row r="16692" spans="8:8">
      <c r="H16692" s="12"/>
    </row>
    <row r="16693" spans="8:8">
      <c r="H16693" s="12"/>
    </row>
    <row r="16694" spans="8:8">
      <c r="H16694" s="12"/>
    </row>
    <row r="16695" spans="8:8">
      <c r="H16695" s="12"/>
    </row>
    <row r="16696" spans="8:8">
      <c r="H16696" s="12"/>
    </row>
    <row r="16697" spans="8:8">
      <c r="H16697" s="12"/>
    </row>
    <row r="16698" spans="8:8">
      <c r="H16698" s="12"/>
    </row>
    <row r="16699" spans="8:8">
      <c r="H16699" s="12"/>
    </row>
    <row r="16700" spans="8:8">
      <c r="H16700" s="12"/>
    </row>
    <row r="16701" spans="8:8">
      <c r="H16701" s="12"/>
    </row>
    <row r="16702" spans="8:8">
      <c r="H16702" s="12"/>
    </row>
    <row r="16703" spans="8:8">
      <c r="H16703" s="12"/>
    </row>
    <row r="16704" spans="8:8">
      <c r="H16704" s="12"/>
    </row>
    <row r="16705" spans="8:8">
      <c r="H16705" s="12"/>
    </row>
    <row r="16706" spans="8:8">
      <c r="H16706" s="12"/>
    </row>
    <row r="16707" spans="8:8">
      <c r="H16707" s="12"/>
    </row>
    <row r="16708" spans="8:8">
      <c r="H16708" s="12"/>
    </row>
    <row r="16709" spans="8:8">
      <c r="H16709" s="12"/>
    </row>
    <row r="16710" spans="8:8">
      <c r="H16710" s="12"/>
    </row>
    <row r="16711" spans="8:8">
      <c r="H16711" s="12"/>
    </row>
    <row r="16712" spans="8:8">
      <c r="H16712" s="12"/>
    </row>
    <row r="16713" spans="8:8">
      <c r="H16713" s="12"/>
    </row>
    <row r="16714" spans="8:8">
      <c r="H16714" s="12"/>
    </row>
    <row r="16715" spans="8:8">
      <c r="H16715" s="12"/>
    </row>
    <row r="16716" spans="8:8">
      <c r="H16716" s="12"/>
    </row>
    <row r="16717" spans="8:8">
      <c r="H16717" s="12"/>
    </row>
    <row r="16718" spans="8:8">
      <c r="H16718" s="12"/>
    </row>
    <row r="16719" spans="8:8">
      <c r="H16719" s="12"/>
    </row>
    <row r="16720" spans="8:8">
      <c r="H16720" s="12"/>
    </row>
    <row r="16721" spans="8:8">
      <c r="H16721" s="12"/>
    </row>
    <row r="16722" spans="8:8">
      <c r="H16722" s="12"/>
    </row>
    <row r="16723" spans="8:8">
      <c r="H16723" s="12"/>
    </row>
    <row r="16724" spans="8:8">
      <c r="H16724" s="12"/>
    </row>
    <row r="16725" spans="8:8">
      <c r="H16725" s="12"/>
    </row>
    <row r="16726" spans="8:8">
      <c r="H16726" s="12"/>
    </row>
    <row r="16727" spans="8:8">
      <c r="H16727" s="12"/>
    </row>
    <row r="16728" spans="8:8">
      <c r="H16728" s="12"/>
    </row>
    <row r="16729" spans="8:8">
      <c r="H16729" s="12"/>
    </row>
    <row r="16730" spans="8:8">
      <c r="H16730" s="12"/>
    </row>
    <row r="16731" spans="8:8">
      <c r="H16731" s="12"/>
    </row>
    <row r="16732" spans="8:8">
      <c r="H16732" s="12"/>
    </row>
    <row r="16733" spans="8:8">
      <c r="H16733" s="12"/>
    </row>
    <row r="16734" spans="8:8">
      <c r="H16734" s="12"/>
    </row>
    <row r="16735" spans="8:8">
      <c r="H16735" s="12"/>
    </row>
    <row r="16736" spans="8:8">
      <c r="H16736" s="12"/>
    </row>
    <row r="16737" spans="8:8">
      <c r="H16737" s="12"/>
    </row>
    <row r="16738" spans="8:8">
      <c r="H16738" s="12"/>
    </row>
    <row r="16739" spans="8:8">
      <c r="H16739" s="12"/>
    </row>
    <row r="16740" spans="8:8">
      <c r="H16740" s="12"/>
    </row>
    <row r="16741" spans="8:8">
      <c r="H16741" s="12"/>
    </row>
    <row r="16742" spans="8:8">
      <c r="H16742" s="12"/>
    </row>
    <row r="16743" spans="8:8">
      <c r="H16743" s="12"/>
    </row>
    <row r="16744" spans="8:8">
      <c r="H16744" s="12"/>
    </row>
    <row r="16745" spans="8:8">
      <c r="H16745" s="12"/>
    </row>
    <row r="16746" spans="8:8">
      <c r="H16746" s="12"/>
    </row>
    <row r="16747" spans="8:8">
      <c r="H16747" s="12"/>
    </row>
    <row r="16748" spans="8:8">
      <c r="H16748" s="12"/>
    </row>
    <row r="16749" spans="8:8">
      <c r="H16749" s="12"/>
    </row>
    <row r="16750" spans="8:8">
      <c r="H16750" s="12"/>
    </row>
    <row r="16751" spans="8:8">
      <c r="H16751" s="12"/>
    </row>
    <row r="16752" spans="8:8">
      <c r="H16752" s="12"/>
    </row>
    <row r="16753" spans="8:8">
      <c r="H16753" s="12"/>
    </row>
    <row r="16754" spans="8:8">
      <c r="H16754" s="12"/>
    </row>
    <row r="16755" spans="8:8">
      <c r="H16755" s="12"/>
    </row>
    <row r="16756" spans="8:8">
      <c r="H16756" s="12"/>
    </row>
    <row r="16757" spans="8:8">
      <c r="H16757" s="12"/>
    </row>
    <row r="16758" spans="8:8">
      <c r="H16758" s="12"/>
    </row>
    <row r="16759" spans="8:8">
      <c r="H16759" s="12"/>
    </row>
    <row r="16760" spans="8:8">
      <c r="H16760" s="12"/>
    </row>
    <row r="16761" spans="8:8">
      <c r="H16761" s="12"/>
    </row>
    <row r="16762" spans="8:8">
      <c r="H16762" s="12"/>
    </row>
    <row r="16763" spans="8:8">
      <c r="H16763" s="12"/>
    </row>
    <row r="16764" spans="8:8">
      <c r="H16764" s="12"/>
    </row>
    <row r="16765" spans="8:8">
      <c r="H16765" s="12"/>
    </row>
    <row r="16766" spans="8:8">
      <c r="H16766" s="12"/>
    </row>
    <row r="16767" spans="8:8">
      <c r="H16767" s="12"/>
    </row>
    <row r="16768" spans="8:8">
      <c r="H16768" s="12"/>
    </row>
    <row r="16769" spans="8:8">
      <c r="H16769" s="12"/>
    </row>
    <row r="16770" spans="8:8">
      <c r="H16770" s="12"/>
    </row>
    <row r="16771" spans="8:8">
      <c r="H16771" s="12"/>
    </row>
    <row r="16772" spans="8:8">
      <c r="H16772" s="12"/>
    </row>
    <row r="16773" spans="8:8">
      <c r="H16773" s="12"/>
    </row>
    <row r="16774" spans="8:8">
      <c r="H16774" s="12"/>
    </row>
    <row r="16775" spans="8:8">
      <c r="H16775" s="12"/>
    </row>
    <row r="16776" spans="8:8">
      <c r="H16776" s="12"/>
    </row>
    <row r="16777" spans="8:8">
      <c r="H16777" s="12"/>
    </row>
    <row r="16778" spans="8:8">
      <c r="H16778" s="12"/>
    </row>
    <row r="16779" spans="8:8">
      <c r="H16779" s="12"/>
    </row>
    <row r="16780" spans="8:8">
      <c r="H16780" s="12"/>
    </row>
    <row r="16781" spans="8:8">
      <c r="H16781" s="12"/>
    </row>
    <row r="16782" spans="8:8">
      <c r="H16782" s="12"/>
    </row>
    <row r="16783" spans="8:8">
      <c r="H16783" s="12"/>
    </row>
    <row r="16784" spans="8:8">
      <c r="H16784" s="12"/>
    </row>
    <row r="16785" spans="8:8">
      <c r="H16785" s="12"/>
    </row>
    <row r="16786" spans="8:8">
      <c r="H16786" s="12"/>
    </row>
    <row r="16787" spans="8:8">
      <c r="H16787" s="12"/>
    </row>
    <row r="16788" spans="8:8">
      <c r="H16788" s="12"/>
    </row>
    <row r="16789" spans="8:8">
      <c r="H16789" s="12"/>
    </row>
    <row r="16790" spans="8:8">
      <c r="H16790" s="12"/>
    </row>
    <row r="16791" spans="8:8">
      <c r="H16791" s="12"/>
    </row>
    <row r="16792" spans="8:8">
      <c r="H16792" s="12"/>
    </row>
    <row r="16793" spans="8:8">
      <c r="H16793" s="12"/>
    </row>
    <row r="16794" spans="8:8">
      <c r="H16794" s="12"/>
    </row>
    <row r="16795" spans="8:8">
      <c r="H16795" s="12"/>
    </row>
    <row r="16796" spans="8:8">
      <c r="H16796" s="12"/>
    </row>
    <row r="16797" spans="8:8">
      <c r="H16797" s="12"/>
    </row>
    <row r="16798" spans="8:8">
      <c r="H16798" s="12"/>
    </row>
    <row r="16799" spans="8:8">
      <c r="H16799" s="12"/>
    </row>
    <row r="16800" spans="8:8">
      <c r="H16800" s="12"/>
    </row>
    <row r="16801" spans="8:8">
      <c r="H16801" s="12"/>
    </row>
    <row r="16802" spans="8:8">
      <c r="H16802" s="12"/>
    </row>
    <row r="16803" spans="8:8">
      <c r="H16803" s="12"/>
    </row>
    <row r="16804" spans="8:8">
      <c r="H16804" s="12"/>
    </row>
    <row r="16805" spans="8:8">
      <c r="H16805" s="12"/>
    </row>
    <row r="16806" spans="8:8">
      <c r="H16806" s="12"/>
    </row>
    <row r="16807" spans="8:8">
      <c r="H16807" s="12"/>
    </row>
    <row r="16808" spans="8:8">
      <c r="H16808" s="12"/>
    </row>
    <row r="16809" spans="8:8">
      <c r="H16809" s="12"/>
    </row>
    <row r="16810" spans="8:8">
      <c r="H16810" s="12"/>
    </row>
    <row r="16811" spans="8:8">
      <c r="H16811" s="12"/>
    </row>
    <row r="16812" spans="8:8">
      <c r="H16812" s="12"/>
    </row>
    <row r="16813" spans="8:8">
      <c r="H16813" s="12"/>
    </row>
    <row r="16814" spans="8:8">
      <c r="H16814" s="12"/>
    </row>
    <row r="16815" spans="8:8">
      <c r="H16815" s="12"/>
    </row>
    <row r="16816" spans="8:8">
      <c r="H16816" s="12"/>
    </row>
    <row r="16817" spans="8:8">
      <c r="H16817" s="12"/>
    </row>
    <row r="16818" spans="8:8">
      <c r="H16818" s="12"/>
    </row>
    <row r="16819" spans="8:8">
      <c r="H16819" s="12"/>
    </row>
    <row r="16820" spans="8:8">
      <c r="H16820" s="12"/>
    </row>
    <row r="16821" spans="8:8">
      <c r="H16821" s="12"/>
    </row>
    <row r="16822" spans="8:8">
      <c r="H16822" s="12"/>
    </row>
    <row r="16823" spans="8:8">
      <c r="H16823" s="12"/>
    </row>
    <row r="16824" spans="8:8">
      <c r="H16824" s="12"/>
    </row>
    <row r="16825" spans="8:8">
      <c r="H16825" s="12"/>
    </row>
    <row r="16826" spans="8:8">
      <c r="H16826" s="12"/>
    </row>
    <row r="16827" spans="8:8">
      <c r="H16827" s="12"/>
    </row>
    <row r="16828" spans="8:8">
      <c r="H16828" s="12"/>
    </row>
    <row r="16829" spans="8:8">
      <c r="H16829" s="12"/>
    </row>
    <row r="16830" spans="8:8">
      <c r="H16830" s="12"/>
    </row>
    <row r="16831" spans="8:8">
      <c r="H16831" s="12"/>
    </row>
    <row r="16832" spans="8:8">
      <c r="H16832" s="12"/>
    </row>
    <row r="16833" spans="8:8">
      <c r="H16833" s="12"/>
    </row>
    <row r="16834" spans="8:8">
      <c r="H16834" s="12"/>
    </row>
    <row r="16835" spans="8:8">
      <c r="H16835" s="12"/>
    </row>
    <row r="16836" spans="8:8">
      <c r="H16836" s="12"/>
    </row>
    <row r="16837" spans="8:8">
      <c r="H16837" s="12"/>
    </row>
    <row r="16838" spans="8:8">
      <c r="H16838" s="12"/>
    </row>
    <row r="16839" spans="8:8">
      <c r="H16839" s="12"/>
    </row>
    <row r="16840" spans="8:8">
      <c r="H16840" s="12"/>
    </row>
    <row r="16841" spans="8:8">
      <c r="H16841" s="12"/>
    </row>
    <row r="16842" spans="8:8">
      <c r="H16842" s="12"/>
    </row>
    <row r="16843" spans="8:8">
      <c r="H16843" s="12"/>
    </row>
    <row r="16844" spans="8:8">
      <c r="H16844" s="12"/>
    </row>
    <row r="16845" spans="8:8">
      <c r="H16845" s="12"/>
    </row>
    <row r="16846" spans="8:8">
      <c r="H16846" s="12"/>
    </row>
    <row r="16847" spans="8:8">
      <c r="H16847" s="12"/>
    </row>
    <row r="16848" spans="8:8">
      <c r="H16848" s="12"/>
    </row>
    <row r="16849" spans="8:8">
      <c r="H16849" s="12"/>
    </row>
    <row r="16850" spans="8:8">
      <c r="H16850" s="12"/>
    </row>
    <row r="16851" spans="8:8">
      <c r="H16851" s="12"/>
    </row>
    <row r="16852" spans="8:8">
      <c r="H16852" s="12"/>
    </row>
    <row r="16853" spans="8:8">
      <c r="H16853" s="12"/>
    </row>
    <row r="16854" spans="8:8">
      <c r="H16854" s="12"/>
    </row>
    <row r="16855" spans="8:8">
      <c r="H16855" s="12"/>
    </row>
    <row r="16856" spans="8:8">
      <c r="H16856" s="12"/>
    </row>
    <row r="16857" spans="8:8">
      <c r="H16857" s="12"/>
    </row>
    <row r="16858" spans="8:8">
      <c r="H16858" s="12"/>
    </row>
    <row r="16859" spans="8:8">
      <c r="H16859" s="12"/>
    </row>
    <row r="16860" spans="8:8">
      <c r="H16860" s="12"/>
    </row>
    <row r="16861" spans="8:8">
      <c r="H16861" s="12"/>
    </row>
    <row r="16862" spans="8:8">
      <c r="H16862" s="12"/>
    </row>
    <row r="16863" spans="8:8">
      <c r="H16863" s="12"/>
    </row>
    <row r="16864" spans="8:8">
      <c r="H16864" s="12"/>
    </row>
    <row r="16865" spans="8:8">
      <c r="H16865" s="12"/>
    </row>
    <row r="16866" spans="8:8">
      <c r="H16866" s="12"/>
    </row>
    <row r="16867" spans="8:8">
      <c r="H16867" s="12"/>
    </row>
    <row r="16868" spans="8:8">
      <c r="H16868" s="12"/>
    </row>
    <row r="16869" spans="8:8">
      <c r="H16869" s="12"/>
    </row>
    <row r="16870" spans="8:8">
      <c r="H16870" s="12"/>
    </row>
    <row r="16871" spans="8:8">
      <c r="H16871" s="12"/>
    </row>
    <row r="16872" spans="8:8">
      <c r="H16872" s="12"/>
    </row>
    <row r="16873" spans="8:8">
      <c r="H16873" s="12"/>
    </row>
    <row r="16874" spans="8:8">
      <c r="H16874" s="12"/>
    </row>
    <row r="16875" spans="8:8">
      <c r="H16875" s="12"/>
    </row>
    <row r="16876" spans="8:8">
      <c r="H16876" s="12"/>
    </row>
    <row r="16877" spans="8:8">
      <c r="H16877" s="12"/>
    </row>
    <row r="16878" spans="8:8">
      <c r="H16878" s="12"/>
    </row>
    <row r="16879" spans="8:8">
      <c r="H16879" s="12"/>
    </row>
    <row r="16880" spans="8:8">
      <c r="H16880" s="12"/>
    </row>
    <row r="16881" spans="8:8">
      <c r="H16881" s="12"/>
    </row>
    <row r="16882" spans="8:8">
      <c r="H16882" s="12"/>
    </row>
    <row r="16883" spans="8:8">
      <c r="H16883" s="12"/>
    </row>
    <row r="16884" spans="8:8">
      <c r="H16884" s="12"/>
    </row>
    <row r="16885" spans="8:8">
      <c r="H16885" s="12"/>
    </row>
    <row r="16886" spans="8:8">
      <c r="H16886" s="12"/>
    </row>
    <row r="16887" spans="8:8">
      <c r="H16887" s="12"/>
    </row>
    <row r="16888" spans="8:8">
      <c r="H16888" s="12"/>
    </row>
    <row r="16889" spans="8:8">
      <c r="H16889" s="12"/>
    </row>
    <row r="16890" spans="8:8">
      <c r="H16890" s="12"/>
    </row>
    <row r="16891" spans="8:8">
      <c r="H16891" s="12"/>
    </row>
    <row r="16892" spans="8:8">
      <c r="H16892" s="12"/>
    </row>
    <row r="16893" spans="8:8">
      <c r="H16893" s="12"/>
    </row>
    <row r="16894" spans="8:8">
      <c r="H16894" s="12"/>
    </row>
    <row r="16895" spans="8:8">
      <c r="H16895" s="12"/>
    </row>
    <row r="16896" spans="8:8">
      <c r="H16896" s="12"/>
    </row>
    <row r="16897" spans="8:8">
      <c r="H16897" s="12"/>
    </row>
    <row r="16898" spans="8:8">
      <c r="H16898" s="12"/>
    </row>
    <row r="16899" spans="8:8">
      <c r="H16899" s="12"/>
    </row>
    <row r="16900" spans="8:8">
      <c r="H16900" s="12"/>
    </row>
    <row r="16901" spans="8:8">
      <c r="H16901" s="12"/>
    </row>
    <row r="16902" spans="8:8">
      <c r="H16902" s="12"/>
    </row>
    <row r="16903" spans="8:8">
      <c r="H16903" s="12"/>
    </row>
    <row r="16904" spans="8:8">
      <c r="H16904" s="12"/>
    </row>
    <row r="16905" spans="8:8">
      <c r="H16905" s="12"/>
    </row>
    <row r="16906" spans="8:8">
      <c r="H16906" s="12"/>
    </row>
    <row r="16907" spans="8:8">
      <c r="H16907" s="12"/>
    </row>
    <row r="16908" spans="8:8">
      <c r="H16908" s="12"/>
    </row>
    <row r="16909" spans="8:8">
      <c r="H16909" s="12"/>
    </row>
    <row r="16910" spans="8:8">
      <c r="H16910" s="12"/>
    </row>
    <row r="16911" spans="8:8">
      <c r="H16911" s="12"/>
    </row>
    <row r="16912" spans="8:8">
      <c r="H16912" s="12"/>
    </row>
    <row r="16913" spans="8:8">
      <c r="H16913" s="12"/>
    </row>
    <row r="16914" spans="8:8">
      <c r="H16914" s="12"/>
    </row>
    <row r="16915" spans="8:8">
      <c r="H16915" s="12"/>
    </row>
    <row r="16916" spans="8:8">
      <c r="H16916" s="12"/>
    </row>
    <row r="16917" spans="8:8">
      <c r="H16917" s="12"/>
    </row>
    <row r="16918" spans="8:8">
      <c r="H16918" s="12"/>
    </row>
    <row r="16919" spans="8:8">
      <c r="H16919" s="12"/>
    </row>
    <row r="16920" spans="8:8">
      <c r="H16920" s="12"/>
    </row>
    <row r="16921" spans="8:8">
      <c r="H16921" s="12"/>
    </row>
    <row r="16922" spans="8:8">
      <c r="H16922" s="12"/>
    </row>
    <row r="16923" spans="8:8">
      <c r="H16923" s="12"/>
    </row>
    <row r="16924" spans="8:8">
      <c r="H16924" s="12"/>
    </row>
    <row r="16925" spans="8:8">
      <c r="H16925" s="12"/>
    </row>
    <row r="16926" spans="8:8">
      <c r="H16926" s="12"/>
    </row>
    <row r="16927" spans="8:8">
      <c r="H16927" s="12"/>
    </row>
    <row r="16928" spans="8:8">
      <c r="H16928" s="12"/>
    </row>
    <row r="16929" spans="8:8">
      <c r="H16929" s="12"/>
    </row>
    <row r="16930" spans="8:8">
      <c r="H16930" s="12"/>
    </row>
    <row r="16931" spans="8:8">
      <c r="H16931" s="12"/>
    </row>
    <row r="16932" spans="8:8">
      <c r="H16932" s="12"/>
    </row>
    <row r="16933" spans="8:8">
      <c r="H16933" s="12"/>
    </row>
    <row r="16934" spans="8:8">
      <c r="H16934" s="12"/>
    </row>
    <row r="16935" spans="8:8">
      <c r="H16935" s="12"/>
    </row>
    <row r="16936" spans="8:8">
      <c r="H16936" s="12"/>
    </row>
    <row r="16937" spans="8:8">
      <c r="H16937" s="12"/>
    </row>
    <row r="16938" spans="8:8">
      <c r="H16938" s="12"/>
    </row>
    <row r="16939" spans="8:8">
      <c r="H16939" s="12"/>
    </row>
    <row r="16940" spans="8:8">
      <c r="H16940" s="12"/>
    </row>
    <row r="16941" spans="8:8">
      <c r="H16941" s="12"/>
    </row>
    <row r="16942" spans="8:8">
      <c r="H16942" s="12"/>
    </row>
    <row r="16943" spans="8:8">
      <c r="H16943" s="12"/>
    </row>
    <row r="16944" spans="8:8">
      <c r="H16944" s="12"/>
    </row>
    <row r="16945" spans="8:8">
      <c r="H16945" s="12"/>
    </row>
    <row r="16946" spans="8:8">
      <c r="H16946" s="12"/>
    </row>
    <row r="16947" spans="8:8">
      <c r="H16947" s="12"/>
    </row>
    <row r="16948" spans="8:8">
      <c r="H16948" s="12"/>
    </row>
    <row r="16949" spans="8:8">
      <c r="H16949" s="12"/>
    </row>
    <row r="16950" spans="8:8">
      <c r="H16950" s="12"/>
    </row>
    <row r="16951" spans="8:8">
      <c r="H16951" s="12"/>
    </row>
    <row r="16952" spans="8:8">
      <c r="H16952" s="12"/>
    </row>
    <row r="16953" spans="8:8">
      <c r="H16953" s="12"/>
    </row>
    <row r="16954" spans="8:8">
      <c r="H16954" s="12"/>
    </row>
    <row r="16955" spans="8:8">
      <c r="H16955" s="12"/>
    </row>
    <row r="16956" spans="8:8">
      <c r="H16956" s="12"/>
    </row>
    <row r="16957" spans="8:8">
      <c r="H16957" s="12"/>
    </row>
    <row r="16958" spans="8:8">
      <c r="H16958" s="12"/>
    </row>
    <row r="16959" spans="8:8">
      <c r="H16959" s="12"/>
    </row>
    <row r="16960" spans="8:8">
      <c r="H16960" s="12"/>
    </row>
    <row r="16961" spans="8:8">
      <c r="H16961" s="12"/>
    </row>
    <row r="16962" spans="8:8">
      <c r="H16962" s="12"/>
    </row>
    <row r="16963" spans="8:8">
      <c r="H16963" s="12"/>
    </row>
    <row r="16964" spans="8:8">
      <c r="H16964" s="12"/>
    </row>
    <row r="16965" spans="8:8">
      <c r="H16965" s="12"/>
    </row>
    <row r="16966" spans="8:8">
      <c r="H16966" s="12"/>
    </row>
    <row r="16967" spans="8:8">
      <c r="H16967" s="12"/>
    </row>
    <row r="16968" spans="8:8">
      <c r="H16968" s="12"/>
    </row>
    <row r="16969" spans="8:8">
      <c r="H16969" s="12"/>
    </row>
    <row r="16970" spans="8:8">
      <c r="H16970" s="12"/>
    </row>
    <row r="16971" spans="8:8">
      <c r="H16971" s="12"/>
    </row>
    <row r="16972" spans="8:8">
      <c r="H16972" s="12"/>
    </row>
    <row r="16973" spans="8:8">
      <c r="H16973" s="12"/>
    </row>
    <row r="16974" spans="8:8">
      <c r="H16974" s="12"/>
    </row>
    <row r="16975" spans="8:8">
      <c r="H16975" s="12"/>
    </row>
    <row r="16976" spans="8:8">
      <c r="H16976" s="12"/>
    </row>
    <row r="16977" spans="8:8">
      <c r="H16977" s="12"/>
    </row>
    <row r="16978" spans="8:8">
      <c r="H16978" s="12"/>
    </row>
    <row r="16979" spans="8:8">
      <c r="H16979" s="12"/>
    </row>
    <row r="16980" spans="8:8">
      <c r="H16980" s="12"/>
    </row>
    <row r="16981" spans="8:8">
      <c r="H16981" s="12"/>
    </row>
    <row r="16982" spans="8:8">
      <c r="H16982" s="12"/>
    </row>
    <row r="16983" spans="8:8">
      <c r="H16983" s="12"/>
    </row>
    <row r="16984" spans="8:8">
      <c r="H16984" s="12"/>
    </row>
    <row r="16985" spans="8:8">
      <c r="H16985" s="12"/>
    </row>
    <row r="16986" spans="8:8">
      <c r="H16986" s="12"/>
    </row>
    <row r="16987" spans="8:8">
      <c r="H16987" s="12"/>
    </row>
    <row r="16988" spans="8:8">
      <c r="H16988" s="12"/>
    </row>
    <row r="16989" spans="8:8">
      <c r="H16989" s="12"/>
    </row>
    <row r="16990" spans="8:8">
      <c r="H16990" s="12"/>
    </row>
    <row r="16991" spans="8:8">
      <c r="H16991" s="12"/>
    </row>
    <row r="16992" spans="8:8">
      <c r="H16992" s="12"/>
    </row>
    <row r="16993" spans="8:8">
      <c r="H16993" s="12"/>
    </row>
    <row r="16994" spans="8:8">
      <c r="H16994" s="12"/>
    </row>
    <row r="16995" spans="8:8">
      <c r="H16995" s="12"/>
    </row>
    <row r="16996" spans="8:8">
      <c r="H16996" s="12"/>
    </row>
    <row r="16997" spans="8:8">
      <c r="H16997" s="12"/>
    </row>
    <row r="16998" spans="8:8">
      <c r="H16998" s="12"/>
    </row>
    <row r="16999" spans="8:8">
      <c r="H16999" s="12"/>
    </row>
    <row r="17000" spans="8:8">
      <c r="H17000" s="12"/>
    </row>
    <row r="17001" spans="8:8">
      <c r="H17001" s="12"/>
    </row>
    <row r="17002" spans="8:8">
      <c r="H17002" s="12"/>
    </row>
    <row r="17003" spans="8:8">
      <c r="H17003" s="12"/>
    </row>
    <row r="17004" spans="8:8">
      <c r="H17004" s="12"/>
    </row>
    <row r="17005" spans="8:8">
      <c r="H17005" s="12"/>
    </row>
    <row r="17006" spans="8:8">
      <c r="H17006" s="12"/>
    </row>
    <row r="17007" spans="8:8">
      <c r="H17007" s="12"/>
    </row>
    <row r="17008" spans="8:8">
      <c r="H17008" s="12"/>
    </row>
    <row r="17009" spans="8:8">
      <c r="H17009" s="12"/>
    </row>
    <row r="17010" spans="8:8">
      <c r="H17010" s="12"/>
    </row>
    <row r="17011" spans="8:8">
      <c r="H17011" s="12"/>
    </row>
    <row r="17012" spans="8:8">
      <c r="H17012" s="12"/>
    </row>
    <row r="17013" spans="8:8">
      <c r="H17013" s="12"/>
    </row>
    <row r="17014" spans="8:8">
      <c r="H17014" s="12"/>
    </row>
    <row r="17015" spans="8:8">
      <c r="H17015" s="12"/>
    </row>
    <row r="17016" spans="8:8">
      <c r="H17016" s="12"/>
    </row>
    <row r="17017" spans="8:8">
      <c r="H17017" s="12"/>
    </row>
    <row r="17018" spans="8:8">
      <c r="H17018" s="12"/>
    </row>
    <row r="17019" spans="8:8">
      <c r="H17019" s="12"/>
    </row>
    <row r="17020" spans="8:8">
      <c r="H17020" s="12"/>
    </row>
    <row r="17021" spans="8:8">
      <c r="H17021" s="12"/>
    </row>
    <row r="17022" spans="8:8">
      <c r="H17022" s="12"/>
    </row>
    <row r="17023" spans="8:8">
      <c r="H17023" s="12"/>
    </row>
    <row r="17024" spans="8:8">
      <c r="H17024" s="12"/>
    </row>
    <row r="17025" spans="8:8">
      <c r="H17025" s="12"/>
    </row>
    <row r="17026" spans="8:8">
      <c r="H17026" s="12"/>
    </row>
    <row r="17027" spans="8:8">
      <c r="H17027" s="12"/>
    </row>
    <row r="17028" spans="8:8">
      <c r="H17028" s="12"/>
    </row>
    <row r="17029" spans="8:8">
      <c r="H17029" s="12"/>
    </row>
    <row r="17030" spans="8:8">
      <c r="H17030" s="12"/>
    </row>
    <row r="17031" spans="8:8">
      <c r="H17031" s="12"/>
    </row>
    <row r="17032" spans="8:8">
      <c r="H17032" s="12"/>
    </row>
    <row r="17033" spans="8:8">
      <c r="H17033" s="12"/>
    </row>
    <row r="17034" spans="8:8">
      <c r="H17034" s="12"/>
    </row>
    <row r="17035" spans="8:8">
      <c r="H17035" s="12"/>
    </row>
    <row r="17036" spans="8:8">
      <c r="H17036" s="12"/>
    </row>
    <row r="17037" spans="8:8">
      <c r="H17037" s="12"/>
    </row>
    <row r="17038" spans="8:8">
      <c r="H17038" s="12"/>
    </row>
    <row r="17039" spans="8:8">
      <c r="H17039" s="12"/>
    </row>
    <row r="17040" spans="8:8">
      <c r="H17040" s="12"/>
    </row>
    <row r="17041" spans="8:8">
      <c r="H17041" s="12"/>
    </row>
    <row r="17042" spans="8:8">
      <c r="H17042" s="12"/>
    </row>
    <row r="17043" spans="8:8">
      <c r="H17043" s="12"/>
    </row>
    <row r="17044" spans="8:8">
      <c r="H17044" s="12"/>
    </row>
    <row r="17045" spans="8:8">
      <c r="H17045" s="12"/>
    </row>
    <row r="17046" spans="8:8">
      <c r="H17046" s="12"/>
    </row>
    <row r="17047" spans="8:8">
      <c r="H17047" s="12"/>
    </row>
    <row r="17048" spans="8:8">
      <c r="H17048" s="12"/>
    </row>
    <row r="17049" spans="8:8">
      <c r="H17049" s="12"/>
    </row>
    <row r="17050" spans="8:8">
      <c r="H17050" s="12"/>
    </row>
    <row r="17051" spans="8:8">
      <c r="H17051" s="12"/>
    </row>
    <row r="17052" spans="8:8">
      <c r="H17052" s="12"/>
    </row>
    <row r="17053" spans="8:8">
      <c r="H17053" s="12"/>
    </row>
    <row r="17054" spans="8:8">
      <c r="H17054" s="12"/>
    </row>
    <row r="17055" spans="8:8">
      <c r="H17055" s="12"/>
    </row>
    <row r="17056" spans="8:8">
      <c r="H17056" s="12"/>
    </row>
    <row r="17057" spans="8:8">
      <c r="H17057" s="12"/>
    </row>
    <row r="17058" spans="8:8">
      <c r="H17058" s="12"/>
    </row>
    <row r="17059" spans="8:8">
      <c r="H17059" s="12"/>
    </row>
    <row r="17060" spans="8:8">
      <c r="H17060" s="12"/>
    </row>
    <row r="17061" spans="8:8">
      <c r="H17061" s="12"/>
    </row>
    <row r="17062" spans="8:8">
      <c r="H17062" s="12"/>
    </row>
    <row r="17063" spans="8:8">
      <c r="H17063" s="12"/>
    </row>
    <row r="17064" spans="8:8">
      <c r="H17064" s="12"/>
    </row>
    <row r="17065" spans="8:8">
      <c r="H17065" s="12"/>
    </row>
    <row r="17066" spans="8:8">
      <c r="H17066" s="12"/>
    </row>
    <row r="17067" spans="8:8">
      <c r="H17067" s="12"/>
    </row>
    <row r="17068" spans="8:8">
      <c r="H17068" s="12"/>
    </row>
    <row r="17069" spans="8:8">
      <c r="H17069" s="12"/>
    </row>
    <row r="17070" spans="8:8">
      <c r="H17070" s="12"/>
    </row>
    <row r="17071" spans="8:8">
      <c r="H17071" s="12"/>
    </row>
    <row r="17072" spans="8:8">
      <c r="H17072" s="12"/>
    </row>
    <row r="17073" spans="8:8">
      <c r="H17073" s="12"/>
    </row>
    <row r="17074" spans="8:8">
      <c r="H17074" s="12"/>
    </row>
    <row r="17075" spans="8:8">
      <c r="H17075" s="12"/>
    </row>
    <row r="17076" spans="8:8">
      <c r="H17076" s="12"/>
    </row>
    <row r="17077" spans="8:8">
      <c r="H17077" s="12"/>
    </row>
    <row r="17078" spans="8:8">
      <c r="H17078" s="12"/>
    </row>
    <row r="17079" spans="8:8">
      <c r="H17079" s="12"/>
    </row>
    <row r="17080" spans="8:8">
      <c r="H17080" s="12"/>
    </row>
    <row r="17081" spans="8:8">
      <c r="H17081" s="12"/>
    </row>
    <row r="17082" spans="8:8">
      <c r="H17082" s="12"/>
    </row>
    <row r="17083" spans="8:8">
      <c r="H17083" s="12"/>
    </row>
    <row r="17084" spans="8:8">
      <c r="H17084" s="12"/>
    </row>
    <row r="17085" spans="8:8">
      <c r="H17085" s="12"/>
    </row>
    <row r="17086" spans="8:8">
      <c r="H17086" s="12"/>
    </row>
    <row r="17087" spans="8:8">
      <c r="H17087" s="12"/>
    </row>
    <row r="17088" spans="8:8">
      <c r="H17088" s="12"/>
    </row>
    <row r="17089" spans="8:8">
      <c r="H17089" s="12"/>
    </row>
    <row r="17090" spans="8:8">
      <c r="H17090" s="12"/>
    </row>
    <row r="17091" spans="8:8">
      <c r="H17091" s="12"/>
    </row>
    <row r="17092" spans="8:8">
      <c r="H17092" s="12"/>
    </row>
    <row r="17093" spans="8:8">
      <c r="H17093" s="12"/>
    </row>
    <row r="17094" spans="8:8">
      <c r="H17094" s="12"/>
    </row>
    <row r="17095" spans="8:8">
      <c r="H17095" s="12"/>
    </row>
    <row r="17096" spans="8:8">
      <c r="H17096" s="12"/>
    </row>
    <row r="17097" spans="8:8">
      <c r="H17097" s="12"/>
    </row>
    <row r="17098" spans="8:8">
      <c r="H17098" s="12"/>
    </row>
    <row r="17099" spans="8:8">
      <c r="H17099" s="12"/>
    </row>
    <row r="17100" spans="8:8">
      <c r="H17100" s="12"/>
    </row>
    <row r="17101" spans="8:8">
      <c r="H17101" s="12"/>
    </row>
    <row r="17102" spans="8:8">
      <c r="H17102" s="12"/>
    </row>
    <row r="17103" spans="8:8">
      <c r="H17103" s="12"/>
    </row>
    <row r="17104" spans="8:8">
      <c r="H17104" s="12"/>
    </row>
    <row r="17105" spans="8:8">
      <c r="H17105" s="12"/>
    </row>
    <row r="17106" spans="8:8">
      <c r="H17106" s="12"/>
    </row>
    <row r="17107" spans="8:8">
      <c r="H17107" s="12"/>
    </row>
    <row r="17108" spans="8:8">
      <c r="H17108" s="12"/>
    </row>
    <row r="17109" spans="8:8">
      <c r="H17109" s="12"/>
    </row>
    <row r="17110" spans="8:8">
      <c r="H17110" s="12"/>
    </row>
    <row r="17111" spans="8:8">
      <c r="H17111" s="12"/>
    </row>
    <row r="17112" spans="8:8">
      <c r="H17112" s="12"/>
    </row>
    <row r="17113" spans="8:8">
      <c r="H17113" s="12"/>
    </row>
    <row r="17114" spans="8:8">
      <c r="H17114" s="12"/>
    </row>
    <row r="17115" spans="8:8">
      <c r="H17115" s="12"/>
    </row>
    <row r="17116" spans="8:8">
      <c r="H17116" s="12"/>
    </row>
    <row r="17117" spans="8:8">
      <c r="H17117" s="12"/>
    </row>
    <row r="17118" spans="8:8">
      <c r="H17118" s="12"/>
    </row>
    <row r="17119" spans="8:8">
      <c r="H17119" s="12"/>
    </row>
    <row r="17120" spans="8:8">
      <c r="H17120" s="12"/>
    </row>
    <row r="17121" spans="8:8">
      <c r="H17121" s="12"/>
    </row>
    <row r="17122" spans="8:8">
      <c r="H17122" s="12"/>
    </row>
    <row r="17123" spans="8:8">
      <c r="H17123" s="12"/>
    </row>
    <row r="17124" spans="8:8">
      <c r="H17124" s="12"/>
    </row>
    <row r="17125" spans="8:8">
      <c r="H17125" s="12"/>
    </row>
    <row r="17126" spans="8:8">
      <c r="H17126" s="12"/>
    </row>
    <row r="17127" spans="8:8">
      <c r="H17127" s="12"/>
    </row>
    <row r="17128" spans="8:8">
      <c r="H17128" s="12"/>
    </row>
    <row r="17129" spans="8:8">
      <c r="H17129" s="12"/>
    </row>
    <row r="17130" spans="8:8">
      <c r="H17130" s="12"/>
    </row>
    <row r="17131" spans="8:8">
      <c r="H17131" s="12"/>
    </row>
    <row r="17132" spans="8:8">
      <c r="H17132" s="12"/>
    </row>
    <row r="17133" spans="8:8">
      <c r="H17133" s="12"/>
    </row>
    <row r="17134" spans="8:8">
      <c r="H17134" s="12"/>
    </row>
    <row r="17135" spans="8:8">
      <c r="H17135" s="12"/>
    </row>
    <row r="17136" spans="8:8">
      <c r="H17136" s="12"/>
    </row>
    <row r="17137" spans="8:8">
      <c r="H17137" s="12"/>
    </row>
    <row r="17138" spans="8:8">
      <c r="H17138" s="12"/>
    </row>
    <row r="17139" spans="8:8">
      <c r="H17139" s="12"/>
    </row>
    <row r="17140" spans="8:8">
      <c r="H17140" s="12"/>
    </row>
    <row r="17141" spans="8:8">
      <c r="H17141" s="12"/>
    </row>
    <row r="17142" spans="8:8">
      <c r="H17142" s="12"/>
    </row>
    <row r="17143" spans="8:8">
      <c r="H17143" s="12"/>
    </row>
    <row r="17144" spans="8:8">
      <c r="H17144" s="12"/>
    </row>
    <row r="17145" spans="8:8">
      <c r="H17145" s="12"/>
    </row>
    <row r="17146" spans="8:8">
      <c r="H17146" s="12"/>
    </row>
    <row r="17147" spans="8:8">
      <c r="H17147" s="12"/>
    </row>
    <row r="17148" spans="8:8">
      <c r="H17148" s="12"/>
    </row>
    <row r="17149" spans="8:8">
      <c r="H17149" s="12"/>
    </row>
    <row r="17150" spans="8:8">
      <c r="H17150" s="12"/>
    </row>
    <row r="17151" spans="8:8">
      <c r="H17151" s="12"/>
    </row>
    <row r="17152" spans="8:8">
      <c r="H17152" s="12"/>
    </row>
    <row r="17153" spans="8:8">
      <c r="H17153" s="12"/>
    </row>
    <row r="17154" spans="8:8">
      <c r="H17154" s="12"/>
    </row>
    <row r="17155" spans="8:8">
      <c r="H17155" s="12"/>
    </row>
    <row r="17156" spans="8:8">
      <c r="H17156" s="12"/>
    </row>
    <row r="17157" spans="8:8">
      <c r="H17157" s="12"/>
    </row>
    <row r="17158" spans="8:8">
      <c r="H17158" s="12"/>
    </row>
    <row r="17159" spans="8:8">
      <c r="H17159" s="12"/>
    </row>
    <row r="17160" spans="8:8">
      <c r="H17160" s="12"/>
    </row>
    <row r="17161" spans="8:8">
      <c r="H17161" s="12"/>
    </row>
    <row r="17162" spans="8:8">
      <c r="H17162" s="12"/>
    </row>
    <row r="17163" spans="8:8">
      <c r="H17163" s="12"/>
    </row>
    <row r="17164" spans="8:8">
      <c r="H17164" s="12"/>
    </row>
    <row r="17165" spans="8:8">
      <c r="H17165" s="12"/>
    </row>
    <row r="17166" spans="8:8">
      <c r="H17166" s="12"/>
    </row>
    <row r="17167" spans="8:8">
      <c r="H17167" s="12"/>
    </row>
    <row r="17168" spans="8:8">
      <c r="H17168" s="12"/>
    </row>
    <row r="17169" spans="8:8">
      <c r="H17169" s="12"/>
    </row>
    <row r="17170" spans="8:8">
      <c r="H17170" s="12"/>
    </row>
    <row r="17171" spans="8:8">
      <c r="H17171" s="12"/>
    </row>
    <row r="17172" spans="8:8">
      <c r="H17172" s="12"/>
    </row>
    <row r="17173" spans="8:8">
      <c r="H17173" s="12"/>
    </row>
    <row r="17174" spans="8:8">
      <c r="H17174" s="12"/>
    </row>
    <row r="17175" spans="8:8">
      <c r="H17175" s="12"/>
    </row>
    <row r="17176" spans="8:8">
      <c r="H17176" s="12"/>
    </row>
    <row r="17177" spans="8:8">
      <c r="H17177" s="12"/>
    </row>
    <row r="17178" spans="8:8">
      <c r="H17178" s="12"/>
    </row>
    <row r="17179" spans="8:8">
      <c r="H17179" s="12"/>
    </row>
    <row r="17180" spans="8:8">
      <c r="H17180" s="12"/>
    </row>
    <row r="17181" spans="8:8">
      <c r="H17181" s="12"/>
    </row>
    <row r="17182" spans="8:8">
      <c r="H17182" s="12"/>
    </row>
    <row r="17183" spans="8:8">
      <c r="H17183" s="12"/>
    </row>
    <row r="17184" spans="8:8">
      <c r="H17184" s="12"/>
    </row>
    <row r="17185" spans="8:8">
      <c r="H17185" s="12"/>
    </row>
    <row r="17186" spans="8:8">
      <c r="H17186" s="12"/>
    </row>
    <row r="17187" spans="8:8">
      <c r="H17187" s="12"/>
    </row>
    <row r="17188" spans="8:8">
      <c r="H17188" s="12"/>
    </row>
    <row r="17189" spans="8:8">
      <c r="H17189" s="12"/>
    </row>
    <row r="17190" spans="8:8">
      <c r="H17190" s="12"/>
    </row>
    <row r="17191" spans="8:8">
      <c r="H17191" s="12"/>
    </row>
    <row r="17192" spans="8:8">
      <c r="H17192" s="12"/>
    </row>
    <row r="17193" spans="8:8">
      <c r="H17193" s="12"/>
    </row>
    <row r="17194" spans="8:8">
      <c r="H17194" s="12"/>
    </row>
    <row r="17195" spans="8:8">
      <c r="H17195" s="12"/>
    </row>
    <row r="17196" spans="8:8">
      <c r="H17196" s="12"/>
    </row>
    <row r="17197" spans="8:8">
      <c r="H17197" s="12"/>
    </row>
    <row r="17198" spans="8:8">
      <c r="H17198" s="12"/>
    </row>
    <row r="17199" spans="8:8">
      <c r="H17199" s="12"/>
    </row>
    <row r="17200" spans="8:8">
      <c r="H17200" s="12"/>
    </row>
    <row r="17201" spans="8:8">
      <c r="H17201" s="12"/>
    </row>
    <row r="17202" spans="8:8">
      <c r="H17202" s="12"/>
    </row>
    <row r="17203" spans="8:8">
      <c r="H17203" s="12"/>
    </row>
    <row r="17204" spans="8:8">
      <c r="H17204" s="12"/>
    </row>
    <row r="17205" spans="8:8">
      <c r="H17205" s="12"/>
    </row>
    <row r="17206" spans="8:8">
      <c r="H17206" s="12"/>
    </row>
    <row r="17207" spans="8:8">
      <c r="H17207" s="12"/>
    </row>
    <row r="17208" spans="8:8">
      <c r="H17208" s="12"/>
    </row>
    <row r="17209" spans="8:8">
      <c r="H17209" s="12"/>
    </row>
    <row r="17210" spans="8:8">
      <c r="H17210" s="12"/>
    </row>
    <row r="17211" spans="8:8">
      <c r="H17211" s="12"/>
    </row>
    <row r="17212" spans="8:8">
      <c r="H17212" s="12"/>
    </row>
    <row r="17213" spans="8:8">
      <c r="H17213" s="12"/>
    </row>
    <row r="17214" spans="8:8">
      <c r="H17214" s="12"/>
    </row>
    <row r="17215" spans="8:8">
      <c r="H17215" s="12"/>
    </row>
    <row r="17216" spans="8:8">
      <c r="H17216" s="12"/>
    </row>
    <row r="17217" spans="8:8">
      <c r="H17217" s="12"/>
    </row>
    <row r="17218" spans="8:8">
      <c r="H17218" s="12"/>
    </row>
    <row r="17219" spans="8:8">
      <c r="H17219" s="12"/>
    </row>
    <row r="17220" spans="8:8">
      <c r="H17220" s="12"/>
    </row>
    <row r="17221" spans="8:8">
      <c r="H17221" s="12"/>
    </row>
    <row r="17222" spans="8:8">
      <c r="H17222" s="12"/>
    </row>
    <row r="17223" spans="8:8">
      <c r="H17223" s="12"/>
    </row>
    <row r="17224" spans="8:8">
      <c r="H17224" s="12"/>
    </row>
    <row r="17225" spans="8:8">
      <c r="H17225" s="12"/>
    </row>
    <row r="17226" spans="8:8">
      <c r="H17226" s="12"/>
    </row>
    <row r="17227" spans="8:8">
      <c r="H17227" s="12"/>
    </row>
    <row r="17228" spans="8:8">
      <c r="H17228" s="12"/>
    </row>
    <row r="17229" spans="8:8">
      <c r="H17229" s="12"/>
    </row>
    <row r="17230" spans="8:8">
      <c r="H17230" s="12"/>
    </row>
    <row r="17231" spans="8:8">
      <c r="H17231" s="12"/>
    </row>
    <row r="17232" spans="8:8">
      <c r="H17232" s="12"/>
    </row>
    <row r="17233" spans="8:8">
      <c r="H17233" s="12"/>
    </row>
    <row r="17234" spans="8:8">
      <c r="H17234" s="12"/>
    </row>
    <row r="17235" spans="8:8">
      <c r="H17235" s="12"/>
    </row>
    <row r="17236" spans="8:8">
      <c r="H17236" s="12"/>
    </row>
    <row r="17237" spans="8:8">
      <c r="H17237" s="12"/>
    </row>
    <row r="17238" spans="8:8">
      <c r="H17238" s="12"/>
    </row>
    <row r="17239" spans="8:8">
      <c r="H17239" s="12"/>
    </row>
    <row r="17240" spans="8:8">
      <c r="H17240" s="12"/>
    </row>
    <row r="17241" spans="8:8">
      <c r="H17241" s="12"/>
    </row>
    <row r="17242" spans="8:8">
      <c r="H17242" s="12"/>
    </row>
    <row r="17243" spans="8:8">
      <c r="H17243" s="12"/>
    </row>
    <row r="17244" spans="8:8">
      <c r="H17244" s="12"/>
    </row>
    <row r="17245" spans="8:8">
      <c r="H17245" s="12"/>
    </row>
    <row r="17246" spans="8:8">
      <c r="H17246" s="12"/>
    </row>
    <row r="17247" spans="8:8">
      <c r="H17247" s="12"/>
    </row>
    <row r="17248" spans="8:8">
      <c r="H17248" s="12"/>
    </row>
    <row r="17249" spans="8:8">
      <c r="H17249" s="12"/>
    </row>
    <row r="17250" spans="8:8">
      <c r="H17250" s="12"/>
    </row>
    <row r="17251" spans="8:8">
      <c r="H17251" s="12"/>
    </row>
    <row r="17252" spans="8:8">
      <c r="H17252" s="12"/>
    </row>
    <row r="17253" spans="8:8">
      <c r="H17253" s="12"/>
    </row>
    <row r="17254" spans="8:8">
      <c r="H17254" s="12"/>
    </row>
    <row r="17255" spans="8:8">
      <c r="H17255" s="12"/>
    </row>
    <row r="17256" spans="8:8">
      <c r="H17256" s="12"/>
    </row>
    <row r="17257" spans="8:8">
      <c r="H17257" s="12"/>
    </row>
    <row r="17258" spans="8:8">
      <c r="H17258" s="12"/>
    </row>
    <row r="17259" spans="8:8">
      <c r="H17259" s="12"/>
    </row>
    <row r="17260" spans="8:8">
      <c r="H17260" s="12"/>
    </row>
    <row r="17261" spans="8:8">
      <c r="H17261" s="12"/>
    </row>
    <row r="17262" spans="8:8">
      <c r="H17262" s="12"/>
    </row>
    <row r="17263" spans="8:8">
      <c r="H17263" s="12"/>
    </row>
    <row r="17264" spans="8:8">
      <c r="H17264" s="12"/>
    </row>
    <row r="17265" spans="8:8">
      <c r="H17265" s="12"/>
    </row>
    <row r="17266" spans="8:8">
      <c r="H17266" s="12"/>
    </row>
    <row r="17267" spans="8:8">
      <c r="H17267" s="12"/>
    </row>
    <row r="17268" spans="8:8">
      <c r="H17268" s="12"/>
    </row>
    <row r="17269" spans="8:8">
      <c r="H17269" s="12"/>
    </row>
    <row r="17270" spans="8:8">
      <c r="H17270" s="12"/>
    </row>
    <row r="17271" spans="8:8">
      <c r="H17271" s="12"/>
    </row>
    <row r="17272" spans="8:8">
      <c r="H17272" s="12"/>
    </row>
    <row r="17273" spans="8:8">
      <c r="H17273" s="12"/>
    </row>
    <row r="17274" spans="8:8">
      <c r="H17274" s="12"/>
    </row>
    <row r="17275" spans="8:8">
      <c r="H17275" s="12"/>
    </row>
    <row r="17276" spans="8:8">
      <c r="H17276" s="12"/>
    </row>
    <row r="17277" spans="8:8">
      <c r="H17277" s="12"/>
    </row>
    <row r="17278" spans="8:8">
      <c r="H17278" s="12"/>
    </row>
    <row r="17279" spans="8:8">
      <c r="H17279" s="12"/>
    </row>
    <row r="17280" spans="8:8">
      <c r="H17280" s="12"/>
    </row>
    <row r="17281" spans="8:8">
      <c r="H17281" s="12"/>
    </row>
    <row r="17282" spans="8:8">
      <c r="H17282" s="12"/>
    </row>
    <row r="17283" spans="8:8">
      <c r="H17283" s="12"/>
    </row>
    <row r="17284" spans="8:8">
      <c r="H17284" s="12"/>
    </row>
    <row r="17285" spans="8:8">
      <c r="H17285" s="12"/>
    </row>
    <row r="17286" spans="8:8">
      <c r="H17286" s="12"/>
    </row>
    <row r="17287" spans="8:8">
      <c r="H17287" s="12"/>
    </row>
    <row r="17288" spans="8:8">
      <c r="H17288" s="12"/>
    </row>
    <row r="17289" spans="8:8">
      <c r="H17289" s="12"/>
    </row>
    <row r="17290" spans="8:8">
      <c r="H17290" s="12"/>
    </row>
    <row r="17291" spans="8:8">
      <c r="H17291" s="12"/>
    </row>
    <row r="17292" spans="8:8">
      <c r="H17292" s="12"/>
    </row>
    <row r="17293" spans="8:8">
      <c r="H17293" s="12"/>
    </row>
    <row r="17294" spans="8:8">
      <c r="H17294" s="12"/>
    </row>
    <row r="17295" spans="8:8">
      <c r="H17295" s="12"/>
    </row>
    <row r="17296" spans="8:8">
      <c r="H17296" s="12"/>
    </row>
    <row r="17297" spans="8:8">
      <c r="H17297" s="12"/>
    </row>
    <row r="17298" spans="8:8">
      <c r="H17298" s="12"/>
    </row>
    <row r="17299" spans="8:8">
      <c r="H17299" s="12"/>
    </row>
    <row r="17300" spans="8:8">
      <c r="H17300" s="12"/>
    </row>
    <row r="17301" spans="8:8">
      <c r="H17301" s="12"/>
    </row>
    <row r="17302" spans="8:8">
      <c r="H17302" s="12"/>
    </row>
    <row r="17303" spans="8:8">
      <c r="H17303" s="12"/>
    </row>
    <row r="17304" spans="8:8">
      <c r="H17304" s="12"/>
    </row>
    <row r="17305" spans="8:8">
      <c r="H17305" s="12"/>
    </row>
    <row r="17306" spans="8:8">
      <c r="H17306" s="12"/>
    </row>
    <row r="17307" spans="8:8">
      <c r="H17307" s="12"/>
    </row>
    <row r="17308" spans="8:8">
      <c r="H17308" s="12"/>
    </row>
    <row r="17309" spans="8:8">
      <c r="H17309" s="12"/>
    </row>
    <row r="17310" spans="8:8">
      <c r="H17310" s="12"/>
    </row>
    <row r="17311" spans="8:8">
      <c r="H17311" s="12"/>
    </row>
    <row r="17312" spans="8:8">
      <c r="H17312" s="12"/>
    </row>
    <row r="17313" spans="8:8">
      <c r="H17313" s="12"/>
    </row>
    <row r="17314" spans="8:8">
      <c r="H17314" s="12"/>
    </row>
    <row r="17315" spans="8:8">
      <c r="H17315" s="12"/>
    </row>
    <row r="17316" spans="8:8">
      <c r="H17316" s="12"/>
    </row>
    <row r="17317" spans="8:8">
      <c r="H17317" s="12"/>
    </row>
    <row r="17318" spans="8:8">
      <c r="H17318" s="12"/>
    </row>
    <row r="17319" spans="8:8">
      <c r="H17319" s="12"/>
    </row>
    <row r="17320" spans="8:8">
      <c r="H17320" s="12"/>
    </row>
    <row r="17321" spans="8:8">
      <c r="H17321" s="12"/>
    </row>
    <row r="17322" spans="8:8">
      <c r="H17322" s="12"/>
    </row>
    <row r="17323" spans="8:8">
      <c r="H17323" s="12"/>
    </row>
    <row r="17324" spans="8:8">
      <c r="H17324" s="12"/>
    </row>
    <row r="17325" spans="8:8">
      <c r="H17325" s="12"/>
    </row>
    <row r="17326" spans="8:8">
      <c r="H17326" s="12"/>
    </row>
    <row r="17327" spans="8:8">
      <c r="H17327" s="12"/>
    </row>
    <row r="17328" spans="8:8">
      <c r="H17328" s="12"/>
    </row>
    <row r="17329" spans="8:8">
      <c r="H17329" s="12"/>
    </row>
    <row r="17330" spans="8:8">
      <c r="H17330" s="12"/>
    </row>
    <row r="17331" spans="8:8">
      <c r="H17331" s="12"/>
    </row>
    <row r="17332" spans="8:8">
      <c r="H17332" s="12"/>
    </row>
    <row r="17333" spans="8:8">
      <c r="H17333" s="12"/>
    </row>
    <row r="17334" spans="8:8">
      <c r="H17334" s="12"/>
    </row>
    <row r="17335" spans="8:8">
      <c r="H17335" s="12"/>
    </row>
    <row r="17336" spans="8:8">
      <c r="H17336" s="12"/>
    </row>
    <row r="17337" spans="8:8">
      <c r="H17337" s="12"/>
    </row>
    <row r="17338" spans="8:8">
      <c r="H17338" s="12"/>
    </row>
    <row r="17339" spans="8:8">
      <c r="H17339" s="12"/>
    </row>
    <row r="17340" spans="8:8">
      <c r="H17340" s="12"/>
    </row>
    <row r="17341" spans="8:8">
      <c r="H17341" s="12"/>
    </row>
    <row r="17342" spans="8:8">
      <c r="H17342" s="12"/>
    </row>
    <row r="17343" spans="8:8">
      <c r="H17343" s="12"/>
    </row>
    <row r="17344" spans="8:8">
      <c r="H17344" s="12"/>
    </row>
    <row r="17345" spans="8:8">
      <c r="H17345" s="12"/>
    </row>
    <row r="17346" spans="8:8">
      <c r="H17346" s="12"/>
    </row>
    <row r="17347" spans="8:8">
      <c r="H17347" s="12"/>
    </row>
    <row r="17348" spans="8:8">
      <c r="H17348" s="12"/>
    </row>
    <row r="17349" spans="8:8">
      <c r="H17349" s="12"/>
    </row>
    <row r="17350" spans="8:8">
      <c r="H17350" s="12"/>
    </row>
    <row r="17351" spans="8:8">
      <c r="H17351" s="12"/>
    </row>
    <row r="17352" spans="8:8">
      <c r="H17352" s="12"/>
    </row>
    <row r="17353" spans="8:8">
      <c r="H17353" s="12"/>
    </row>
    <row r="17354" spans="8:8">
      <c r="H17354" s="12"/>
    </row>
    <row r="17355" spans="8:8">
      <c r="H17355" s="12"/>
    </row>
    <row r="17356" spans="8:8">
      <c r="H17356" s="12"/>
    </row>
    <row r="17357" spans="8:8">
      <c r="H17357" s="12"/>
    </row>
    <row r="17358" spans="8:8">
      <c r="H17358" s="12"/>
    </row>
    <row r="17359" spans="8:8">
      <c r="H17359" s="12"/>
    </row>
    <row r="17360" spans="8:8">
      <c r="H17360" s="12"/>
    </row>
    <row r="17361" spans="8:8">
      <c r="H17361" s="12"/>
    </row>
    <row r="17362" spans="8:8">
      <c r="H17362" s="12"/>
    </row>
    <row r="17363" spans="8:8">
      <c r="H17363" s="12"/>
    </row>
    <row r="17364" spans="8:8">
      <c r="H17364" s="12"/>
    </row>
    <row r="17365" spans="8:8">
      <c r="H17365" s="12"/>
    </row>
    <row r="17366" spans="8:8">
      <c r="H17366" s="12"/>
    </row>
    <row r="17367" spans="8:8">
      <c r="H17367" s="12"/>
    </row>
    <row r="17368" spans="8:8">
      <c r="H17368" s="12"/>
    </row>
    <row r="17369" spans="8:8">
      <c r="H17369" s="12"/>
    </row>
    <row r="17370" spans="8:8">
      <c r="H17370" s="12"/>
    </row>
    <row r="17371" spans="8:8">
      <c r="H17371" s="12"/>
    </row>
    <row r="17372" spans="8:8">
      <c r="H17372" s="12"/>
    </row>
    <row r="17373" spans="8:8">
      <c r="H17373" s="12"/>
    </row>
    <row r="17374" spans="8:8">
      <c r="H17374" s="12"/>
    </row>
    <row r="17375" spans="8:8">
      <c r="H17375" s="12"/>
    </row>
    <row r="17376" spans="8:8">
      <c r="H17376" s="12"/>
    </row>
    <row r="17377" spans="8:8">
      <c r="H17377" s="12"/>
    </row>
    <row r="17378" spans="8:8">
      <c r="H17378" s="12"/>
    </row>
    <row r="17379" spans="8:8">
      <c r="H17379" s="12"/>
    </row>
    <row r="17380" spans="8:8">
      <c r="H17380" s="12"/>
    </row>
    <row r="17381" spans="8:8">
      <c r="H17381" s="12"/>
    </row>
    <row r="17382" spans="8:8">
      <c r="H17382" s="12"/>
    </row>
    <row r="17383" spans="8:8">
      <c r="H17383" s="12"/>
    </row>
    <row r="17384" spans="8:8">
      <c r="H17384" s="12"/>
    </row>
    <row r="17385" spans="8:8">
      <c r="H17385" s="12"/>
    </row>
    <row r="17386" spans="8:8">
      <c r="H17386" s="12"/>
    </row>
    <row r="17387" spans="8:8">
      <c r="H17387" s="12"/>
    </row>
    <row r="17388" spans="8:8">
      <c r="H17388" s="12"/>
    </row>
    <row r="17389" spans="8:8">
      <c r="H17389" s="12"/>
    </row>
    <row r="17390" spans="8:8">
      <c r="H17390" s="12"/>
    </row>
    <row r="17391" spans="8:8">
      <c r="H17391" s="12"/>
    </row>
    <row r="17392" spans="8:8">
      <c r="H17392" s="12"/>
    </row>
    <row r="17393" spans="8:8">
      <c r="H17393" s="12"/>
    </row>
    <row r="17394" spans="8:8">
      <c r="H17394" s="12"/>
    </row>
    <row r="17395" spans="8:8">
      <c r="H17395" s="12"/>
    </row>
    <row r="17396" spans="8:8">
      <c r="H17396" s="12"/>
    </row>
    <row r="17397" spans="8:8">
      <c r="H17397" s="12"/>
    </row>
    <row r="17398" spans="8:8">
      <c r="H17398" s="12"/>
    </row>
    <row r="17399" spans="8:8">
      <c r="H17399" s="12"/>
    </row>
    <row r="17400" spans="8:8">
      <c r="H17400" s="12"/>
    </row>
    <row r="17401" spans="8:8">
      <c r="H17401" s="12"/>
    </row>
    <row r="17402" spans="8:8">
      <c r="H17402" s="12"/>
    </row>
    <row r="17403" spans="8:8">
      <c r="H17403" s="12"/>
    </row>
    <row r="17404" spans="8:8">
      <c r="H17404" s="12"/>
    </row>
    <row r="17405" spans="8:8">
      <c r="H17405" s="12"/>
    </row>
    <row r="17406" spans="8:8">
      <c r="H17406" s="12"/>
    </row>
    <row r="17407" spans="8:8">
      <c r="H17407" s="12"/>
    </row>
    <row r="17408" spans="8:8">
      <c r="H17408" s="12"/>
    </row>
    <row r="17409" spans="8:8">
      <c r="H17409" s="12"/>
    </row>
    <row r="17410" spans="8:8">
      <c r="H17410" s="12"/>
    </row>
    <row r="17411" spans="8:8">
      <c r="H17411" s="12"/>
    </row>
    <row r="17412" spans="8:8">
      <c r="H17412" s="12"/>
    </row>
    <row r="17413" spans="8:8">
      <c r="H17413" s="12"/>
    </row>
    <row r="17414" spans="8:8">
      <c r="H17414" s="12"/>
    </row>
    <row r="17415" spans="8:8">
      <c r="H17415" s="12"/>
    </row>
    <row r="17416" spans="8:8">
      <c r="H17416" s="12"/>
    </row>
    <row r="17417" spans="8:8">
      <c r="H17417" s="12"/>
    </row>
    <row r="17418" spans="8:8">
      <c r="H17418" s="12"/>
    </row>
    <row r="17419" spans="8:8">
      <c r="H17419" s="12"/>
    </row>
    <row r="17420" spans="8:8">
      <c r="H17420" s="12"/>
    </row>
    <row r="17421" spans="8:8">
      <c r="H17421" s="12"/>
    </row>
    <row r="17422" spans="8:8">
      <c r="H17422" s="12"/>
    </row>
    <row r="17423" spans="8:8">
      <c r="H17423" s="12"/>
    </row>
    <row r="17424" spans="8:8">
      <c r="H17424" s="12"/>
    </row>
    <row r="17425" spans="8:8">
      <c r="H17425" s="12"/>
    </row>
    <row r="17426" spans="8:8">
      <c r="H17426" s="12"/>
    </row>
    <row r="17427" spans="8:8">
      <c r="H17427" s="12"/>
    </row>
    <row r="17428" spans="8:8">
      <c r="H17428" s="12"/>
    </row>
    <row r="17429" spans="8:8">
      <c r="H17429" s="12"/>
    </row>
    <row r="17430" spans="8:8">
      <c r="H17430" s="12"/>
    </row>
    <row r="17431" spans="8:8">
      <c r="H17431" s="12"/>
    </row>
    <row r="17432" spans="8:8">
      <c r="H17432" s="12"/>
    </row>
    <row r="17433" spans="8:8">
      <c r="H17433" s="12"/>
    </row>
    <row r="17434" spans="8:8">
      <c r="H17434" s="12"/>
    </row>
    <row r="17435" spans="8:8">
      <c r="H17435" s="12"/>
    </row>
    <row r="17436" spans="8:8">
      <c r="H17436" s="12"/>
    </row>
    <row r="17437" spans="8:8">
      <c r="H17437" s="12"/>
    </row>
    <row r="17438" spans="8:8">
      <c r="H17438" s="12"/>
    </row>
    <row r="17439" spans="8:8">
      <c r="H17439" s="12"/>
    </row>
    <row r="17440" spans="8:8">
      <c r="H17440" s="12"/>
    </row>
    <row r="17441" spans="8:8">
      <c r="H17441" s="12"/>
    </row>
    <row r="17442" spans="8:8">
      <c r="H17442" s="12"/>
    </row>
    <row r="17443" spans="8:8">
      <c r="H17443" s="12"/>
    </row>
    <row r="17444" spans="8:8">
      <c r="H17444" s="12"/>
    </row>
    <row r="17445" spans="8:8">
      <c r="H17445" s="12"/>
    </row>
    <row r="17446" spans="8:8">
      <c r="H17446" s="12"/>
    </row>
    <row r="17447" spans="8:8">
      <c r="H17447" s="12"/>
    </row>
    <row r="17448" spans="8:8">
      <c r="H17448" s="12"/>
    </row>
    <row r="17449" spans="8:8">
      <c r="H17449" s="12"/>
    </row>
    <row r="17450" spans="8:8">
      <c r="H17450" s="12"/>
    </row>
    <row r="17451" spans="8:8">
      <c r="H17451" s="12"/>
    </row>
    <row r="17452" spans="8:8">
      <c r="H17452" s="12"/>
    </row>
    <row r="17453" spans="8:8">
      <c r="H17453" s="12"/>
    </row>
    <row r="17454" spans="8:8">
      <c r="H17454" s="12"/>
    </row>
    <row r="17455" spans="8:8">
      <c r="H17455" s="12"/>
    </row>
    <row r="17456" spans="8:8">
      <c r="H17456" s="12"/>
    </row>
    <row r="17457" spans="8:8">
      <c r="H17457" s="12"/>
    </row>
    <row r="17458" spans="8:8">
      <c r="H17458" s="12"/>
    </row>
    <row r="17459" spans="8:8">
      <c r="H17459" s="12"/>
    </row>
    <row r="17460" spans="8:8">
      <c r="H17460" s="12"/>
    </row>
    <row r="17461" spans="8:8">
      <c r="H17461" s="12"/>
    </row>
    <row r="17462" spans="8:8">
      <c r="H17462" s="12"/>
    </row>
    <row r="17463" spans="8:8">
      <c r="H17463" s="12"/>
    </row>
    <row r="17464" spans="8:8">
      <c r="H17464" s="12"/>
    </row>
    <row r="17465" spans="8:8">
      <c r="H17465" s="12"/>
    </row>
    <row r="17466" spans="8:8">
      <c r="H17466" s="12"/>
    </row>
    <row r="17467" spans="8:8">
      <c r="H17467" s="12"/>
    </row>
    <row r="17468" spans="8:8">
      <c r="H17468" s="12"/>
    </row>
    <row r="17469" spans="8:8">
      <c r="H17469" s="12"/>
    </row>
    <row r="17470" spans="8:8">
      <c r="H17470" s="12"/>
    </row>
    <row r="17471" spans="8:8">
      <c r="H17471" s="12"/>
    </row>
    <row r="17472" spans="8:8">
      <c r="H17472" s="12"/>
    </row>
    <row r="17473" spans="8:8">
      <c r="H17473" s="12"/>
    </row>
    <row r="17474" spans="8:8">
      <c r="H17474" s="12"/>
    </row>
    <row r="17475" spans="8:8">
      <c r="H17475" s="12"/>
    </row>
    <row r="17476" spans="8:8">
      <c r="H17476" s="12"/>
    </row>
    <row r="17477" spans="8:8">
      <c r="H17477" s="12"/>
    </row>
    <row r="17478" spans="8:8">
      <c r="H17478" s="12"/>
    </row>
    <row r="17479" spans="8:8">
      <c r="H17479" s="12"/>
    </row>
    <row r="17480" spans="8:8">
      <c r="H17480" s="12"/>
    </row>
    <row r="17481" spans="8:8">
      <c r="H17481" s="12"/>
    </row>
    <row r="17482" spans="8:8">
      <c r="H17482" s="12"/>
    </row>
    <row r="17483" spans="8:8">
      <c r="H17483" s="12"/>
    </row>
    <row r="17484" spans="8:8">
      <c r="H17484" s="12"/>
    </row>
    <row r="17485" spans="8:8">
      <c r="H17485" s="12"/>
    </row>
    <row r="17486" spans="8:8">
      <c r="H17486" s="12"/>
    </row>
    <row r="17487" spans="8:8">
      <c r="H17487" s="12"/>
    </row>
    <row r="17488" spans="8:8">
      <c r="H17488" s="12"/>
    </row>
    <row r="17489" spans="8:8">
      <c r="H17489" s="12"/>
    </row>
    <row r="17490" spans="8:8">
      <c r="H17490" s="12"/>
    </row>
    <row r="17491" spans="8:8">
      <c r="H17491" s="12"/>
    </row>
    <row r="17492" spans="8:8">
      <c r="H17492" s="12"/>
    </row>
    <row r="17493" spans="8:8">
      <c r="H17493" s="12"/>
    </row>
    <row r="17494" spans="8:8">
      <c r="H17494" s="12"/>
    </row>
    <row r="17495" spans="8:8">
      <c r="H17495" s="12"/>
    </row>
    <row r="17496" spans="8:8">
      <c r="H17496" s="12"/>
    </row>
    <row r="17497" spans="8:8">
      <c r="H17497" s="12"/>
    </row>
    <row r="17498" spans="8:8">
      <c r="H17498" s="12"/>
    </row>
    <row r="17499" spans="8:8">
      <c r="H17499" s="12"/>
    </row>
    <row r="17500" spans="8:8">
      <c r="H17500" s="12"/>
    </row>
    <row r="17501" spans="8:8">
      <c r="H17501" s="12"/>
    </row>
    <row r="17502" spans="8:8">
      <c r="H17502" s="12"/>
    </row>
    <row r="17503" spans="8:8">
      <c r="H17503" s="12"/>
    </row>
    <row r="17504" spans="8:8">
      <c r="H17504" s="12"/>
    </row>
    <row r="17505" spans="8:8">
      <c r="H17505" s="12"/>
    </row>
    <row r="17506" spans="8:8">
      <c r="H17506" s="12"/>
    </row>
    <row r="17507" spans="8:8">
      <c r="H17507" s="12"/>
    </row>
    <row r="17508" spans="8:8">
      <c r="H17508" s="12"/>
    </row>
    <row r="17509" spans="8:8">
      <c r="H17509" s="12"/>
    </row>
    <row r="17510" spans="8:8">
      <c r="H17510" s="12"/>
    </row>
    <row r="17511" spans="8:8">
      <c r="H17511" s="12"/>
    </row>
    <row r="17512" spans="8:8">
      <c r="H17512" s="12"/>
    </row>
    <row r="17513" spans="8:8">
      <c r="H17513" s="12"/>
    </row>
    <row r="17514" spans="8:8">
      <c r="H17514" s="12"/>
    </row>
    <row r="17515" spans="8:8">
      <c r="H17515" s="12"/>
    </row>
    <row r="17516" spans="8:8">
      <c r="H17516" s="12"/>
    </row>
    <row r="17517" spans="8:8">
      <c r="H17517" s="12"/>
    </row>
    <row r="17518" spans="8:8">
      <c r="H17518" s="12"/>
    </row>
    <row r="17519" spans="8:8">
      <c r="H17519" s="12"/>
    </row>
    <row r="17520" spans="8:8">
      <c r="H17520" s="12"/>
    </row>
    <row r="17521" spans="8:8">
      <c r="H17521" s="12"/>
    </row>
    <row r="17522" spans="8:8">
      <c r="H17522" s="12"/>
    </row>
    <row r="17523" spans="8:8">
      <c r="H17523" s="12"/>
    </row>
    <row r="17524" spans="8:8">
      <c r="H17524" s="12"/>
    </row>
    <row r="17525" spans="8:8">
      <c r="H17525" s="12"/>
    </row>
    <row r="17526" spans="8:8">
      <c r="H17526" s="12"/>
    </row>
    <row r="17527" spans="8:8">
      <c r="H17527" s="12"/>
    </row>
    <row r="17528" spans="8:8">
      <c r="H17528" s="12"/>
    </row>
    <row r="17529" spans="8:8">
      <c r="H17529" s="12"/>
    </row>
    <row r="17530" spans="8:8">
      <c r="H17530" s="12"/>
    </row>
    <row r="17531" spans="8:8">
      <c r="H17531" s="12"/>
    </row>
    <row r="17532" spans="8:8">
      <c r="H17532" s="12"/>
    </row>
    <row r="17533" spans="8:8">
      <c r="H17533" s="12"/>
    </row>
    <row r="17534" spans="8:8">
      <c r="H17534" s="12"/>
    </row>
    <row r="17535" spans="8:8">
      <c r="H17535" s="12"/>
    </row>
    <row r="17536" spans="8:8">
      <c r="H17536" s="12"/>
    </row>
    <row r="17537" spans="8:8">
      <c r="H17537" s="12"/>
    </row>
    <row r="17538" spans="8:8">
      <c r="H17538" s="12"/>
    </row>
    <row r="17539" spans="8:8">
      <c r="H17539" s="12"/>
    </row>
    <row r="17540" spans="8:8">
      <c r="H17540" s="12"/>
    </row>
    <row r="17541" spans="8:8">
      <c r="H17541" s="12"/>
    </row>
    <row r="17542" spans="8:8">
      <c r="H17542" s="12"/>
    </row>
    <row r="17543" spans="8:8">
      <c r="H17543" s="12"/>
    </row>
    <row r="17544" spans="8:8">
      <c r="H17544" s="12"/>
    </row>
    <row r="17545" spans="8:8">
      <c r="H17545" s="12"/>
    </row>
    <row r="17546" spans="8:8">
      <c r="H17546" s="12"/>
    </row>
    <row r="17547" spans="8:8">
      <c r="H17547" s="12"/>
    </row>
    <row r="17548" spans="8:8">
      <c r="H17548" s="12"/>
    </row>
    <row r="17549" spans="8:8">
      <c r="H17549" s="12"/>
    </row>
    <row r="17550" spans="8:8">
      <c r="H17550" s="12"/>
    </row>
    <row r="17551" spans="8:8">
      <c r="H17551" s="12"/>
    </row>
    <row r="17552" spans="8:8">
      <c r="H17552" s="12"/>
    </row>
    <row r="17553" spans="8:8">
      <c r="H17553" s="12"/>
    </row>
    <row r="17554" spans="8:8">
      <c r="H17554" s="12"/>
    </row>
    <row r="17555" spans="8:8">
      <c r="H17555" s="12"/>
    </row>
    <row r="17556" spans="8:8">
      <c r="H17556" s="12"/>
    </row>
    <row r="17557" spans="8:8">
      <c r="H17557" s="12"/>
    </row>
    <row r="17558" spans="8:8">
      <c r="H17558" s="12"/>
    </row>
    <row r="17559" spans="8:8">
      <c r="H17559" s="12"/>
    </row>
    <row r="17560" spans="8:8">
      <c r="H17560" s="12"/>
    </row>
    <row r="17561" spans="8:8">
      <c r="H17561" s="12"/>
    </row>
    <row r="17562" spans="8:8">
      <c r="H17562" s="12"/>
    </row>
    <row r="17563" spans="8:8">
      <c r="H17563" s="12"/>
    </row>
    <row r="17564" spans="8:8">
      <c r="H17564" s="12"/>
    </row>
    <row r="17565" spans="8:8">
      <c r="H17565" s="12"/>
    </row>
    <row r="17566" spans="8:8">
      <c r="H17566" s="12"/>
    </row>
    <row r="17567" spans="8:8">
      <c r="H17567" s="12"/>
    </row>
    <row r="17568" spans="8:8">
      <c r="H17568" s="12"/>
    </row>
    <row r="17569" spans="8:8">
      <c r="H17569" s="12"/>
    </row>
    <row r="17570" spans="8:8">
      <c r="H17570" s="12"/>
    </row>
    <row r="17571" spans="8:8">
      <c r="H17571" s="12"/>
    </row>
    <row r="17572" spans="8:8">
      <c r="H17572" s="12"/>
    </row>
    <row r="17573" spans="8:8">
      <c r="H17573" s="12"/>
    </row>
    <row r="17574" spans="8:8">
      <c r="H17574" s="12"/>
    </row>
    <row r="17575" spans="8:8">
      <c r="H17575" s="12"/>
    </row>
    <row r="17576" spans="8:8">
      <c r="H17576" s="12"/>
    </row>
    <row r="17577" spans="8:8">
      <c r="H17577" s="12"/>
    </row>
    <row r="17578" spans="8:8">
      <c r="H17578" s="12"/>
    </row>
    <row r="17579" spans="8:8">
      <c r="H17579" s="12"/>
    </row>
    <row r="17580" spans="8:8">
      <c r="H17580" s="12"/>
    </row>
    <row r="17581" spans="8:8">
      <c r="H17581" s="12"/>
    </row>
    <row r="17582" spans="8:8">
      <c r="H17582" s="12"/>
    </row>
    <row r="17583" spans="8:8">
      <c r="H17583" s="12"/>
    </row>
    <row r="17584" spans="8:8">
      <c r="H17584" s="12"/>
    </row>
    <row r="17585" spans="8:8">
      <c r="H17585" s="12"/>
    </row>
    <row r="17586" spans="8:8">
      <c r="H17586" s="12"/>
    </row>
    <row r="17587" spans="8:8">
      <c r="H17587" s="12"/>
    </row>
    <row r="17588" spans="8:8">
      <c r="H17588" s="12"/>
    </row>
    <row r="17589" spans="8:8">
      <c r="H17589" s="12"/>
    </row>
    <row r="17590" spans="8:8">
      <c r="H17590" s="12"/>
    </row>
    <row r="17591" spans="8:8">
      <c r="H17591" s="12"/>
    </row>
    <row r="17592" spans="8:8">
      <c r="H17592" s="12"/>
    </row>
    <row r="17593" spans="8:8">
      <c r="H17593" s="12"/>
    </row>
    <row r="17594" spans="8:8">
      <c r="H17594" s="12"/>
    </row>
    <row r="17595" spans="8:8">
      <c r="H17595" s="12"/>
    </row>
    <row r="17596" spans="8:8">
      <c r="H17596" s="12"/>
    </row>
    <row r="17597" spans="8:8">
      <c r="H17597" s="12"/>
    </row>
    <row r="17598" spans="8:8">
      <c r="H17598" s="12"/>
    </row>
    <row r="17599" spans="8:8">
      <c r="H17599" s="12"/>
    </row>
    <row r="17600" spans="8:8">
      <c r="H17600" s="12"/>
    </row>
    <row r="17601" spans="8:8">
      <c r="H17601" s="12"/>
    </row>
    <row r="17602" spans="8:8">
      <c r="H17602" s="12"/>
    </row>
    <row r="17603" spans="8:8">
      <c r="H17603" s="12"/>
    </row>
    <row r="17604" spans="8:8">
      <c r="H17604" s="12"/>
    </row>
    <row r="17605" spans="8:8">
      <c r="H17605" s="12"/>
    </row>
    <row r="17606" spans="8:8">
      <c r="H17606" s="12"/>
    </row>
    <row r="17607" spans="8:8">
      <c r="H17607" s="12"/>
    </row>
    <row r="17608" spans="8:8">
      <c r="H17608" s="12"/>
    </row>
    <row r="17609" spans="8:8">
      <c r="H17609" s="12"/>
    </row>
    <row r="17610" spans="8:8">
      <c r="H17610" s="12"/>
    </row>
    <row r="17611" spans="8:8">
      <c r="H17611" s="12"/>
    </row>
    <row r="17612" spans="8:8">
      <c r="H17612" s="12"/>
    </row>
    <row r="17613" spans="8:8">
      <c r="H17613" s="12"/>
    </row>
    <row r="17614" spans="8:8">
      <c r="H17614" s="12"/>
    </row>
    <row r="17615" spans="8:8">
      <c r="H17615" s="12"/>
    </row>
    <row r="17616" spans="8:8">
      <c r="H17616" s="12"/>
    </row>
    <row r="17617" spans="8:8">
      <c r="H17617" s="12"/>
    </row>
    <row r="17618" spans="8:8">
      <c r="H17618" s="12"/>
    </row>
    <row r="17619" spans="8:8">
      <c r="H17619" s="12"/>
    </row>
    <row r="17620" spans="8:8">
      <c r="H17620" s="12"/>
    </row>
    <row r="17621" spans="8:8">
      <c r="H17621" s="12"/>
    </row>
    <row r="17622" spans="8:8">
      <c r="H17622" s="12"/>
    </row>
    <row r="17623" spans="8:8">
      <c r="H17623" s="12"/>
    </row>
    <row r="17624" spans="8:8">
      <c r="H17624" s="12"/>
    </row>
    <row r="17625" spans="8:8">
      <c r="H17625" s="12"/>
    </row>
    <row r="17626" spans="8:8">
      <c r="H17626" s="12"/>
    </row>
    <row r="17627" spans="8:8">
      <c r="H17627" s="12"/>
    </row>
    <row r="17628" spans="8:8">
      <c r="H17628" s="12"/>
    </row>
    <row r="17629" spans="8:8">
      <c r="H17629" s="12"/>
    </row>
    <row r="17630" spans="8:8">
      <c r="H17630" s="12"/>
    </row>
    <row r="17631" spans="8:8">
      <c r="H17631" s="12"/>
    </row>
    <row r="17632" spans="8:8">
      <c r="H17632" s="12"/>
    </row>
    <row r="17633" spans="8:8">
      <c r="H17633" s="12"/>
    </row>
    <row r="17634" spans="8:8">
      <c r="H17634" s="12"/>
    </row>
    <row r="17635" spans="8:8">
      <c r="H17635" s="12"/>
    </row>
    <row r="17636" spans="8:8">
      <c r="H17636" s="12"/>
    </row>
    <row r="17637" spans="8:8">
      <c r="H17637" s="12"/>
    </row>
    <row r="17638" spans="8:8">
      <c r="H17638" s="12"/>
    </row>
    <row r="17639" spans="8:8">
      <c r="H17639" s="12"/>
    </row>
    <row r="17640" spans="8:8">
      <c r="H17640" s="12"/>
    </row>
    <row r="17641" spans="8:8">
      <c r="H17641" s="12"/>
    </row>
    <row r="17642" spans="8:8">
      <c r="H17642" s="12"/>
    </row>
    <row r="17643" spans="8:8">
      <c r="H17643" s="12"/>
    </row>
    <row r="17644" spans="8:8">
      <c r="H17644" s="12"/>
    </row>
    <row r="17645" spans="8:8">
      <c r="H17645" s="12"/>
    </row>
    <row r="17646" spans="8:8">
      <c r="H17646" s="12"/>
    </row>
    <row r="17647" spans="8:8">
      <c r="H17647" s="12"/>
    </row>
    <row r="17648" spans="8:8">
      <c r="H17648" s="12"/>
    </row>
    <row r="17649" spans="8:8">
      <c r="H17649" s="12"/>
    </row>
    <row r="17650" spans="8:8">
      <c r="H17650" s="12"/>
    </row>
    <row r="17651" spans="8:8">
      <c r="H17651" s="12"/>
    </row>
    <row r="17652" spans="8:8">
      <c r="H17652" s="12"/>
    </row>
    <row r="17653" spans="8:8">
      <c r="H17653" s="12"/>
    </row>
    <row r="17654" spans="8:8">
      <c r="H17654" s="12"/>
    </row>
    <row r="17655" spans="8:8">
      <c r="H17655" s="12"/>
    </row>
    <row r="17656" spans="8:8">
      <c r="H17656" s="12"/>
    </row>
    <row r="17657" spans="8:8">
      <c r="H17657" s="12"/>
    </row>
    <row r="17658" spans="8:8">
      <c r="H17658" s="12"/>
    </row>
    <row r="17659" spans="8:8">
      <c r="H17659" s="12"/>
    </row>
    <row r="17660" spans="8:8">
      <c r="H17660" s="12"/>
    </row>
    <row r="17661" spans="8:8">
      <c r="H17661" s="12"/>
    </row>
    <row r="17662" spans="8:8">
      <c r="H17662" s="12"/>
    </row>
    <row r="17663" spans="8:8">
      <c r="H17663" s="12"/>
    </row>
    <row r="17664" spans="8:8">
      <c r="H17664" s="12"/>
    </row>
    <row r="17665" spans="8:8">
      <c r="H17665" s="12"/>
    </row>
    <row r="17666" spans="8:8">
      <c r="H17666" s="12"/>
    </row>
    <row r="17667" spans="8:8">
      <c r="H17667" s="12"/>
    </row>
    <row r="17668" spans="8:8">
      <c r="H17668" s="12"/>
    </row>
    <row r="17669" spans="8:8">
      <c r="H17669" s="12"/>
    </row>
    <row r="17670" spans="8:8">
      <c r="H17670" s="12"/>
    </row>
    <row r="17671" spans="8:8">
      <c r="H17671" s="12"/>
    </row>
    <row r="17672" spans="8:8">
      <c r="H17672" s="12"/>
    </row>
    <row r="17673" spans="8:8">
      <c r="H17673" s="12"/>
    </row>
    <row r="17674" spans="8:8">
      <c r="H17674" s="12"/>
    </row>
    <row r="17675" spans="8:8">
      <c r="H17675" s="12"/>
    </row>
    <row r="17676" spans="8:8">
      <c r="H17676" s="12"/>
    </row>
    <row r="17677" spans="8:8">
      <c r="H17677" s="12"/>
    </row>
    <row r="17678" spans="8:8">
      <c r="H17678" s="12"/>
    </row>
    <row r="17679" spans="8:8">
      <c r="H17679" s="12"/>
    </row>
    <row r="17680" spans="8:8">
      <c r="H17680" s="12"/>
    </row>
    <row r="17681" spans="8:8">
      <c r="H17681" s="12"/>
    </row>
    <row r="17682" spans="8:8">
      <c r="H17682" s="12"/>
    </row>
    <row r="17683" spans="8:8">
      <c r="H17683" s="12"/>
    </row>
    <row r="17684" spans="8:8">
      <c r="H17684" s="12"/>
    </row>
    <row r="17685" spans="8:8">
      <c r="H17685" s="12"/>
    </row>
    <row r="17686" spans="8:8">
      <c r="H17686" s="12"/>
    </row>
    <row r="17687" spans="8:8">
      <c r="H17687" s="12"/>
    </row>
    <row r="17688" spans="8:8">
      <c r="H17688" s="12"/>
    </row>
    <row r="17689" spans="8:8">
      <c r="H17689" s="12"/>
    </row>
    <row r="17690" spans="8:8">
      <c r="H17690" s="12"/>
    </row>
    <row r="17691" spans="8:8">
      <c r="H17691" s="12"/>
    </row>
    <row r="17692" spans="8:8">
      <c r="H17692" s="12"/>
    </row>
    <row r="17693" spans="8:8">
      <c r="H17693" s="12"/>
    </row>
    <row r="17694" spans="8:8">
      <c r="H17694" s="12"/>
    </row>
    <row r="17695" spans="8:8">
      <c r="H17695" s="12"/>
    </row>
    <row r="17696" spans="8:8">
      <c r="H17696" s="12"/>
    </row>
    <row r="17697" spans="8:8">
      <c r="H17697" s="12"/>
    </row>
    <row r="17698" spans="8:8">
      <c r="H17698" s="12"/>
    </row>
    <row r="17699" spans="8:8">
      <c r="H17699" s="12"/>
    </row>
    <row r="17700" spans="8:8">
      <c r="H17700" s="12"/>
    </row>
    <row r="17701" spans="8:8">
      <c r="H17701" s="12"/>
    </row>
    <row r="17702" spans="8:8">
      <c r="H17702" s="12"/>
    </row>
    <row r="17703" spans="8:8">
      <c r="H17703" s="12"/>
    </row>
    <row r="17704" spans="8:8">
      <c r="H17704" s="12"/>
    </row>
    <row r="17705" spans="8:8">
      <c r="H17705" s="12"/>
    </row>
    <row r="17706" spans="8:8">
      <c r="H17706" s="12"/>
    </row>
    <row r="17707" spans="8:8">
      <c r="H17707" s="12"/>
    </row>
    <row r="17708" spans="8:8">
      <c r="H17708" s="12"/>
    </row>
    <row r="17709" spans="8:8">
      <c r="H17709" s="12"/>
    </row>
    <row r="17710" spans="8:8">
      <c r="H17710" s="12"/>
    </row>
    <row r="17711" spans="8:8">
      <c r="H17711" s="12"/>
    </row>
    <row r="17712" spans="8:8">
      <c r="H17712" s="12"/>
    </row>
    <row r="17713" spans="8:8">
      <c r="H17713" s="12"/>
    </row>
    <row r="17714" spans="8:8">
      <c r="H17714" s="12"/>
    </row>
    <row r="17715" spans="8:8">
      <c r="H17715" s="12"/>
    </row>
    <row r="17716" spans="8:8">
      <c r="H17716" s="12"/>
    </row>
    <row r="17717" spans="8:8">
      <c r="H17717" s="12"/>
    </row>
    <row r="17718" spans="8:8">
      <c r="H17718" s="12"/>
    </row>
    <row r="17719" spans="8:8">
      <c r="H17719" s="12"/>
    </row>
    <row r="17720" spans="8:8">
      <c r="H17720" s="12"/>
    </row>
    <row r="17721" spans="8:8">
      <c r="H17721" s="12"/>
    </row>
    <row r="17722" spans="8:8">
      <c r="H17722" s="12"/>
    </row>
    <row r="17723" spans="8:8">
      <c r="H17723" s="12"/>
    </row>
    <row r="17724" spans="8:8">
      <c r="H17724" s="12"/>
    </row>
    <row r="17725" spans="8:8">
      <c r="H17725" s="12"/>
    </row>
    <row r="17726" spans="8:8">
      <c r="H17726" s="12"/>
    </row>
    <row r="17727" spans="8:8">
      <c r="H17727" s="12"/>
    </row>
    <row r="17728" spans="8:8">
      <c r="H17728" s="12"/>
    </row>
    <row r="17729" spans="8:8">
      <c r="H17729" s="12"/>
    </row>
    <row r="17730" spans="8:8">
      <c r="H17730" s="12"/>
    </row>
    <row r="17731" spans="8:8">
      <c r="H17731" s="12"/>
    </row>
    <row r="17732" spans="8:8">
      <c r="H17732" s="12"/>
    </row>
    <row r="17733" spans="8:8">
      <c r="H17733" s="12"/>
    </row>
    <row r="17734" spans="8:8">
      <c r="H17734" s="12"/>
    </row>
    <row r="17735" spans="8:8">
      <c r="H17735" s="12"/>
    </row>
    <row r="17736" spans="8:8">
      <c r="H17736" s="12"/>
    </row>
    <row r="17737" spans="8:8">
      <c r="H17737" s="12"/>
    </row>
    <row r="17738" spans="8:8">
      <c r="H17738" s="12"/>
    </row>
    <row r="17739" spans="8:8">
      <c r="H17739" s="12"/>
    </row>
    <row r="17740" spans="8:8">
      <c r="H17740" s="12"/>
    </row>
    <row r="17741" spans="8:8">
      <c r="H17741" s="12"/>
    </row>
    <row r="17742" spans="8:8">
      <c r="H17742" s="12"/>
    </row>
    <row r="17743" spans="8:8">
      <c r="H17743" s="12"/>
    </row>
    <row r="17744" spans="8:8">
      <c r="H17744" s="12"/>
    </row>
    <row r="17745" spans="8:8">
      <c r="H17745" s="12"/>
    </row>
    <row r="17746" spans="8:8">
      <c r="H17746" s="12"/>
    </row>
    <row r="17747" spans="8:8">
      <c r="H17747" s="12"/>
    </row>
    <row r="17748" spans="8:8">
      <c r="H17748" s="12"/>
    </row>
    <row r="17749" spans="8:8">
      <c r="H17749" s="12"/>
    </row>
    <row r="17750" spans="8:8">
      <c r="H17750" s="12"/>
    </row>
    <row r="17751" spans="8:8">
      <c r="H17751" s="12"/>
    </row>
    <row r="17752" spans="8:8">
      <c r="H17752" s="12"/>
    </row>
    <row r="17753" spans="8:8">
      <c r="H17753" s="12"/>
    </row>
    <row r="17754" spans="8:8">
      <c r="H17754" s="12"/>
    </row>
    <row r="17755" spans="8:8">
      <c r="H17755" s="12"/>
    </row>
    <row r="17756" spans="8:8">
      <c r="H17756" s="12"/>
    </row>
    <row r="17757" spans="8:8">
      <c r="H17757" s="12"/>
    </row>
    <row r="17758" spans="8:8">
      <c r="H17758" s="12"/>
    </row>
    <row r="17759" spans="8:8">
      <c r="H17759" s="12"/>
    </row>
    <row r="17760" spans="8:8">
      <c r="H17760" s="12"/>
    </row>
    <row r="17761" spans="8:8">
      <c r="H17761" s="12"/>
    </row>
    <row r="17762" spans="8:8">
      <c r="H17762" s="12"/>
    </row>
    <row r="17763" spans="8:8">
      <c r="H17763" s="12"/>
    </row>
    <row r="17764" spans="8:8">
      <c r="H17764" s="12"/>
    </row>
    <row r="17765" spans="8:8">
      <c r="H17765" s="12"/>
    </row>
    <row r="17766" spans="8:8">
      <c r="H17766" s="12"/>
    </row>
    <row r="17767" spans="8:8">
      <c r="H17767" s="12"/>
    </row>
    <row r="17768" spans="8:8">
      <c r="H17768" s="12"/>
    </row>
    <row r="17769" spans="8:8">
      <c r="H17769" s="12"/>
    </row>
    <row r="17770" spans="8:8">
      <c r="H17770" s="12"/>
    </row>
    <row r="17771" spans="8:8">
      <c r="H17771" s="12"/>
    </row>
    <row r="17772" spans="8:8">
      <c r="H17772" s="12"/>
    </row>
    <row r="17773" spans="8:8">
      <c r="H17773" s="12"/>
    </row>
    <row r="17774" spans="8:8">
      <c r="H17774" s="12"/>
    </row>
    <row r="17775" spans="8:8">
      <c r="H17775" s="12"/>
    </row>
    <row r="17776" spans="8:8">
      <c r="H17776" s="12"/>
    </row>
    <row r="17777" spans="8:8">
      <c r="H17777" s="12"/>
    </row>
    <row r="17778" spans="8:8">
      <c r="H17778" s="12"/>
    </row>
    <row r="17779" spans="8:8">
      <c r="H17779" s="12"/>
    </row>
    <row r="17780" spans="8:8">
      <c r="H17780" s="12"/>
    </row>
    <row r="17781" spans="8:8">
      <c r="H17781" s="12"/>
    </row>
    <row r="17782" spans="8:8">
      <c r="H17782" s="12"/>
    </row>
    <row r="17783" spans="8:8">
      <c r="H17783" s="12"/>
    </row>
    <row r="17784" spans="8:8">
      <c r="H17784" s="12"/>
    </row>
    <row r="17785" spans="8:8">
      <c r="H17785" s="12"/>
    </row>
    <row r="17786" spans="8:8">
      <c r="H17786" s="12"/>
    </row>
    <row r="17787" spans="8:8">
      <c r="H17787" s="12"/>
    </row>
    <row r="17788" spans="8:8">
      <c r="H17788" s="12"/>
    </row>
    <row r="17789" spans="8:8">
      <c r="H17789" s="12"/>
    </row>
    <row r="17790" spans="8:8">
      <c r="H17790" s="12"/>
    </row>
    <row r="17791" spans="8:8">
      <c r="H17791" s="12"/>
    </row>
    <row r="17792" spans="8:8">
      <c r="H17792" s="12"/>
    </row>
    <row r="17793" spans="8:8">
      <c r="H17793" s="12"/>
    </row>
    <row r="17794" spans="8:8">
      <c r="H17794" s="12"/>
    </row>
    <row r="17795" spans="8:8">
      <c r="H17795" s="12"/>
    </row>
    <row r="17796" spans="8:8">
      <c r="H17796" s="12"/>
    </row>
    <row r="17797" spans="8:8">
      <c r="H17797" s="12"/>
    </row>
    <row r="17798" spans="8:8">
      <c r="H17798" s="12"/>
    </row>
    <row r="17799" spans="8:8">
      <c r="H17799" s="12"/>
    </row>
    <row r="17800" spans="8:8">
      <c r="H17800" s="12"/>
    </row>
    <row r="17801" spans="8:8">
      <c r="H17801" s="12"/>
    </row>
    <row r="17802" spans="8:8">
      <c r="H17802" s="12"/>
    </row>
    <row r="17803" spans="8:8">
      <c r="H17803" s="12"/>
    </row>
    <row r="17804" spans="8:8">
      <c r="H17804" s="12"/>
    </row>
    <row r="17805" spans="8:8">
      <c r="H17805" s="12"/>
    </row>
    <row r="17806" spans="8:8">
      <c r="H17806" s="12"/>
    </row>
    <row r="17807" spans="8:8">
      <c r="H17807" s="12"/>
    </row>
    <row r="17808" spans="8:8">
      <c r="H17808" s="12"/>
    </row>
    <row r="17809" spans="8:8">
      <c r="H17809" s="12"/>
    </row>
    <row r="17810" spans="8:8">
      <c r="H17810" s="12"/>
    </row>
    <row r="17811" spans="8:8">
      <c r="H17811" s="12"/>
    </row>
    <row r="17812" spans="8:8">
      <c r="H17812" s="12"/>
    </row>
    <row r="17813" spans="8:8">
      <c r="H17813" s="12"/>
    </row>
    <row r="17814" spans="8:8">
      <c r="H17814" s="12"/>
    </row>
    <row r="17815" spans="8:8">
      <c r="H17815" s="12"/>
    </row>
    <row r="17816" spans="8:8">
      <c r="H17816" s="12"/>
    </row>
    <row r="17817" spans="8:8">
      <c r="H17817" s="12"/>
    </row>
    <row r="17818" spans="8:8">
      <c r="H17818" s="12"/>
    </row>
    <row r="17819" spans="8:8">
      <c r="H17819" s="12"/>
    </row>
    <row r="17820" spans="8:8">
      <c r="H17820" s="12"/>
    </row>
    <row r="17821" spans="8:8">
      <c r="H17821" s="12"/>
    </row>
    <row r="17822" spans="8:8">
      <c r="H17822" s="12"/>
    </row>
    <row r="17823" spans="8:8">
      <c r="H17823" s="12"/>
    </row>
    <row r="17824" spans="8:8">
      <c r="H17824" s="12"/>
    </row>
    <row r="17825" spans="8:8">
      <c r="H17825" s="12"/>
    </row>
    <row r="17826" spans="8:8">
      <c r="H17826" s="12"/>
    </row>
    <row r="17827" spans="8:8">
      <c r="H17827" s="12"/>
    </row>
    <row r="17828" spans="8:8">
      <c r="H17828" s="12"/>
    </row>
    <row r="17829" spans="8:8">
      <c r="H17829" s="12"/>
    </row>
    <row r="17830" spans="8:8">
      <c r="H17830" s="12"/>
    </row>
    <row r="17831" spans="8:8">
      <c r="H17831" s="12"/>
    </row>
    <row r="17832" spans="8:8">
      <c r="H17832" s="12"/>
    </row>
    <row r="17833" spans="8:8">
      <c r="H17833" s="12"/>
    </row>
    <row r="17834" spans="8:8">
      <c r="H17834" s="12"/>
    </row>
    <row r="17835" spans="8:8">
      <c r="H17835" s="12"/>
    </row>
    <row r="17836" spans="8:8">
      <c r="H17836" s="12"/>
    </row>
    <row r="17837" spans="8:8">
      <c r="H17837" s="12"/>
    </row>
    <row r="17838" spans="8:8">
      <c r="H17838" s="12"/>
    </row>
    <row r="17839" spans="8:8">
      <c r="H17839" s="12"/>
    </row>
    <row r="17840" spans="8:8">
      <c r="H17840" s="12"/>
    </row>
    <row r="17841" spans="8:8">
      <c r="H17841" s="12"/>
    </row>
    <row r="17842" spans="8:8">
      <c r="H17842" s="12"/>
    </row>
    <row r="17843" spans="8:8">
      <c r="H17843" s="12"/>
    </row>
    <row r="17844" spans="8:8">
      <c r="H17844" s="12"/>
    </row>
    <row r="17845" spans="8:8">
      <c r="H17845" s="12"/>
    </row>
    <row r="17846" spans="8:8">
      <c r="H17846" s="12"/>
    </row>
    <row r="17847" spans="8:8">
      <c r="H17847" s="12"/>
    </row>
    <row r="17848" spans="8:8">
      <c r="H17848" s="12"/>
    </row>
    <row r="17849" spans="8:8">
      <c r="H17849" s="12"/>
    </row>
    <row r="17850" spans="8:8">
      <c r="H17850" s="12"/>
    </row>
    <row r="17851" spans="8:8">
      <c r="H17851" s="12"/>
    </row>
    <row r="17852" spans="8:8">
      <c r="H17852" s="12"/>
    </row>
    <row r="17853" spans="8:8">
      <c r="H17853" s="12"/>
    </row>
    <row r="17854" spans="8:8">
      <c r="H17854" s="12"/>
    </row>
    <row r="17855" spans="8:8">
      <c r="H17855" s="12"/>
    </row>
    <row r="17856" spans="8:8">
      <c r="H17856" s="12"/>
    </row>
    <row r="17857" spans="8:8">
      <c r="H17857" s="12"/>
    </row>
    <row r="17858" spans="8:8">
      <c r="H17858" s="12"/>
    </row>
    <row r="17859" spans="8:8">
      <c r="H17859" s="12"/>
    </row>
    <row r="17860" spans="8:8">
      <c r="H17860" s="12"/>
    </row>
    <row r="17861" spans="8:8">
      <c r="H17861" s="12"/>
    </row>
    <row r="17862" spans="8:8">
      <c r="H17862" s="12"/>
    </row>
    <row r="17863" spans="8:8">
      <c r="H17863" s="12"/>
    </row>
    <row r="17864" spans="8:8">
      <c r="H17864" s="12"/>
    </row>
    <row r="17865" spans="8:8">
      <c r="H17865" s="12"/>
    </row>
    <row r="17866" spans="8:8">
      <c r="H17866" s="12"/>
    </row>
    <row r="17867" spans="8:8">
      <c r="H17867" s="12"/>
    </row>
    <row r="17868" spans="8:8">
      <c r="H17868" s="12"/>
    </row>
    <row r="17869" spans="8:8">
      <c r="H17869" s="12"/>
    </row>
    <row r="17870" spans="8:8">
      <c r="H17870" s="12"/>
    </row>
    <row r="17871" spans="8:8">
      <c r="H17871" s="12"/>
    </row>
    <row r="17872" spans="8:8">
      <c r="H17872" s="12"/>
    </row>
    <row r="17873" spans="8:8">
      <c r="H17873" s="12"/>
    </row>
    <row r="17874" spans="8:8">
      <c r="H17874" s="12"/>
    </row>
    <row r="17875" spans="8:8">
      <c r="H17875" s="12"/>
    </row>
    <row r="17876" spans="8:8">
      <c r="H17876" s="12"/>
    </row>
    <row r="17877" spans="8:8">
      <c r="H17877" s="12"/>
    </row>
    <row r="17878" spans="8:8">
      <c r="H17878" s="12"/>
    </row>
    <row r="17879" spans="8:8">
      <c r="H17879" s="12"/>
    </row>
    <row r="17880" spans="8:8">
      <c r="H17880" s="12"/>
    </row>
    <row r="17881" spans="8:8">
      <c r="H17881" s="12"/>
    </row>
    <row r="17882" spans="8:8">
      <c r="H17882" s="12"/>
    </row>
    <row r="17883" spans="8:8">
      <c r="H17883" s="12"/>
    </row>
    <row r="17884" spans="8:8">
      <c r="H17884" s="12"/>
    </row>
    <row r="17885" spans="8:8">
      <c r="H17885" s="12"/>
    </row>
    <row r="17886" spans="8:8">
      <c r="H17886" s="12"/>
    </row>
    <row r="17887" spans="8:8">
      <c r="H17887" s="12"/>
    </row>
    <row r="17888" spans="8:8">
      <c r="H17888" s="12"/>
    </row>
    <row r="17889" spans="8:8">
      <c r="H17889" s="12"/>
    </row>
    <row r="17890" spans="8:8">
      <c r="H17890" s="12"/>
    </row>
    <row r="17891" spans="8:8">
      <c r="H17891" s="12"/>
    </row>
    <row r="17892" spans="8:8">
      <c r="H17892" s="12"/>
    </row>
    <row r="17893" spans="8:8">
      <c r="H17893" s="12"/>
    </row>
    <row r="17894" spans="8:8">
      <c r="H17894" s="12"/>
    </row>
    <row r="17895" spans="8:8">
      <c r="H17895" s="12"/>
    </row>
    <row r="17896" spans="8:8">
      <c r="H17896" s="12"/>
    </row>
    <row r="17897" spans="8:8">
      <c r="H17897" s="12"/>
    </row>
    <row r="17898" spans="8:8">
      <c r="H17898" s="12"/>
    </row>
    <row r="17899" spans="8:8">
      <c r="H17899" s="12"/>
    </row>
    <row r="17900" spans="8:8">
      <c r="H17900" s="12"/>
    </row>
    <row r="17901" spans="8:8">
      <c r="H17901" s="12"/>
    </row>
    <row r="17902" spans="8:8">
      <c r="H17902" s="12"/>
    </row>
    <row r="17903" spans="8:8">
      <c r="H17903" s="12"/>
    </row>
    <row r="17904" spans="8:8">
      <c r="H17904" s="12"/>
    </row>
    <row r="17905" spans="8:8">
      <c r="H17905" s="12"/>
    </row>
    <row r="17906" spans="8:8">
      <c r="H17906" s="12"/>
    </row>
    <row r="17907" spans="8:8">
      <c r="H17907" s="12"/>
    </row>
    <row r="17908" spans="8:8">
      <c r="H17908" s="12"/>
    </row>
    <row r="17909" spans="8:8">
      <c r="H17909" s="12"/>
    </row>
    <row r="17910" spans="8:8">
      <c r="H17910" s="12"/>
    </row>
    <row r="17911" spans="8:8">
      <c r="H17911" s="12"/>
    </row>
    <row r="17912" spans="8:8">
      <c r="H17912" s="12"/>
    </row>
    <row r="17913" spans="8:8">
      <c r="H17913" s="12"/>
    </row>
    <row r="17914" spans="8:8">
      <c r="H17914" s="12"/>
    </row>
    <row r="17915" spans="8:8">
      <c r="H17915" s="12"/>
    </row>
    <row r="17916" spans="8:8">
      <c r="H17916" s="12"/>
    </row>
    <row r="17917" spans="8:8">
      <c r="H17917" s="12"/>
    </row>
    <row r="17918" spans="8:8">
      <c r="H17918" s="12"/>
    </row>
    <row r="17919" spans="8:8">
      <c r="H17919" s="12"/>
    </row>
    <row r="17920" spans="8:8">
      <c r="H17920" s="12"/>
    </row>
    <row r="17921" spans="8:8">
      <c r="H17921" s="12"/>
    </row>
    <row r="17922" spans="8:8">
      <c r="H17922" s="12"/>
    </row>
    <row r="17923" spans="8:8">
      <c r="H17923" s="12"/>
    </row>
    <row r="17924" spans="8:8">
      <c r="H17924" s="12"/>
    </row>
    <row r="17925" spans="8:8">
      <c r="H17925" s="12"/>
    </row>
    <row r="17926" spans="8:8">
      <c r="H17926" s="12"/>
    </row>
    <row r="17927" spans="8:8">
      <c r="H17927" s="12"/>
    </row>
    <row r="17928" spans="8:8">
      <c r="H17928" s="12"/>
    </row>
    <row r="17929" spans="8:8">
      <c r="H17929" s="12"/>
    </row>
    <row r="17930" spans="8:8">
      <c r="H17930" s="12"/>
    </row>
    <row r="17931" spans="8:8">
      <c r="H17931" s="12"/>
    </row>
    <row r="17932" spans="8:8">
      <c r="H17932" s="12"/>
    </row>
    <row r="17933" spans="8:8">
      <c r="H17933" s="12"/>
    </row>
    <row r="17934" spans="8:8">
      <c r="H17934" s="12"/>
    </row>
    <row r="17935" spans="8:8">
      <c r="H17935" s="12"/>
    </row>
    <row r="17936" spans="8:8">
      <c r="H17936" s="12"/>
    </row>
    <row r="17937" spans="8:8">
      <c r="H17937" s="12"/>
    </row>
    <row r="17938" spans="8:8">
      <c r="H17938" s="12"/>
    </row>
    <row r="17939" spans="8:8">
      <c r="H17939" s="12"/>
    </row>
    <row r="17940" spans="8:8">
      <c r="H17940" s="12"/>
    </row>
    <row r="17941" spans="8:8">
      <c r="H17941" s="12"/>
    </row>
    <row r="17942" spans="8:8">
      <c r="H17942" s="12"/>
    </row>
    <row r="17943" spans="8:8">
      <c r="H17943" s="12"/>
    </row>
    <row r="17944" spans="8:8">
      <c r="H17944" s="12"/>
    </row>
    <row r="17945" spans="8:8">
      <c r="H17945" s="12"/>
    </row>
    <row r="17946" spans="8:8">
      <c r="H17946" s="12"/>
    </row>
    <row r="17947" spans="8:8">
      <c r="H17947" s="12"/>
    </row>
    <row r="17948" spans="8:8">
      <c r="H17948" s="12"/>
    </row>
    <row r="17949" spans="8:8">
      <c r="H17949" s="12"/>
    </row>
    <row r="17950" spans="8:8">
      <c r="H17950" s="12"/>
    </row>
    <row r="17951" spans="8:8">
      <c r="H17951" s="12"/>
    </row>
    <row r="17952" spans="8:8">
      <c r="H17952" s="12"/>
    </row>
    <row r="17953" spans="8:8">
      <c r="H17953" s="12"/>
    </row>
    <row r="17954" spans="8:8">
      <c r="H17954" s="12"/>
    </row>
    <row r="17955" spans="8:8">
      <c r="H17955" s="12"/>
    </row>
    <row r="17956" spans="8:8">
      <c r="H17956" s="12"/>
    </row>
    <row r="17957" spans="8:8">
      <c r="H17957" s="12"/>
    </row>
    <row r="17958" spans="8:8">
      <c r="H17958" s="12"/>
    </row>
    <row r="17959" spans="8:8">
      <c r="H17959" s="12"/>
    </row>
    <row r="17960" spans="8:8">
      <c r="H17960" s="12"/>
    </row>
    <row r="17961" spans="8:8">
      <c r="H17961" s="12"/>
    </row>
    <row r="17962" spans="8:8">
      <c r="H17962" s="12"/>
    </row>
    <row r="17963" spans="8:8">
      <c r="H17963" s="12"/>
    </row>
    <row r="17964" spans="8:8">
      <c r="H17964" s="12"/>
    </row>
    <row r="17965" spans="8:8">
      <c r="H17965" s="12"/>
    </row>
    <row r="17966" spans="8:8">
      <c r="H17966" s="12"/>
    </row>
    <row r="17967" spans="8:8">
      <c r="H17967" s="12"/>
    </row>
    <row r="17968" spans="8:8">
      <c r="H17968" s="12"/>
    </row>
    <row r="17969" spans="8:8">
      <c r="H17969" s="12"/>
    </row>
    <row r="17970" spans="8:8">
      <c r="H17970" s="12"/>
    </row>
    <row r="17971" spans="8:8">
      <c r="H17971" s="12"/>
    </row>
    <row r="17972" spans="8:8">
      <c r="H17972" s="12"/>
    </row>
    <row r="17973" spans="8:8">
      <c r="H17973" s="12"/>
    </row>
    <row r="17974" spans="8:8">
      <c r="H17974" s="12"/>
    </row>
    <row r="17975" spans="8:8">
      <c r="H17975" s="12"/>
    </row>
    <row r="17976" spans="8:8">
      <c r="H17976" s="12"/>
    </row>
    <row r="17977" spans="8:8">
      <c r="H17977" s="12"/>
    </row>
    <row r="17978" spans="8:8">
      <c r="H17978" s="12"/>
    </row>
    <row r="17979" spans="8:8">
      <c r="H17979" s="12"/>
    </row>
    <row r="17980" spans="8:8">
      <c r="H17980" s="12"/>
    </row>
    <row r="17981" spans="8:8">
      <c r="H17981" s="12"/>
    </row>
    <row r="17982" spans="8:8">
      <c r="H17982" s="12"/>
    </row>
    <row r="17983" spans="8:8">
      <c r="H17983" s="12"/>
    </row>
    <row r="17984" spans="8:8">
      <c r="H17984" s="12"/>
    </row>
    <row r="17985" spans="8:8">
      <c r="H17985" s="12"/>
    </row>
    <row r="17986" spans="8:8">
      <c r="H17986" s="12"/>
    </row>
    <row r="17987" spans="8:8">
      <c r="H17987" s="12"/>
    </row>
    <row r="17988" spans="8:8">
      <c r="H17988" s="12"/>
    </row>
    <row r="17989" spans="8:8">
      <c r="H17989" s="12"/>
    </row>
    <row r="17990" spans="8:8">
      <c r="H17990" s="12"/>
    </row>
    <row r="17991" spans="8:8">
      <c r="H17991" s="12"/>
    </row>
    <row r="17992" spans="8:8">
      <c r="H17992" s="12"/>
    </row>
    <row r="17993" spans="8:8">
      <c r="H17993" s="12"/>
    </row>
    <row r="17994" spans="8:8">
      <c r="H17994" s="12"/>
    </row>
    <row r="17995" spans="8:8">
      <c r="H17995" s="12"/>
    </row>
    <row r="17996" spans="8:8">
      <c r="H17996" s="12"/>
    </row>
    <row r="17997" spans="8:8">
      <c r="H17997" s="12"/>
    </row>
    <row r="17998" spans="8:8">
      <c r="H17998" s="12"/>
    </row>
    <row r="17999" spans="8:8">
      <c r="H17999" s="12"/>
    </row>
    <row r="18000" spans="8:8">
      <c r="H18000" s="12"/>
    </row>
    <row r="18001" spans="8:8">
      <c r="H18001" s="12"/>
    </row>
    <row r="18002" spans="8:8">
      <c r="H18002" s="12"/>
    </row>
    <row r="18003" spans="8:8">
      <c r="H18003" s="12"/>
    </row>
    <row r="18004" spans="8:8">
      <c r="H18004" s="12"/>
    </row>
    <row r="18005" spans="8:8">
      <c r="H18005" s="12"/>
    </row>
    <row r="18006" spans="8:8">
      <c r="H18006" s="12"/>
    </row>
    <row r="18007" spans="8:8">
      <c r="H18007" s="12"/>
    </row>
    <row r="18008" spans="8:8">
      <c r="H18008" s="12"/>
    </row>
    <row r="18009" spans="8:8">
      <c r="H18009" s="12"/>
    </row>
    <row r="18010" spans="8:8">
      <c r="H18010" s="12"/>
    </row>
    <row r="18011" spans="8:8">
      <c r="H18011" s="12"/>
    </row>
    <row r="18012" spans="8:8">
      <c r="H18012" s="12"/>
    </row>
    <row r="18013" spans="8:8">
      <c r="H18013" s="12"/>
    </row>
    <row r="18014" spans="8:8">
      <c r="H18014" s="12"/>
    </row>
    <row r="18015" spans="8:8">
      <c r="H18015" s="12"/>
    </row>
    <row r="18016" spans="8:8">
      <c r="H18016" s="12"/>
    </row>
    <row r="18017" spans="8:8">
      <c r="H18017" s="12"/>
    </row>
    <row r="18018" spans="8:8">
      <c r="H18018" s="12"/>
    </row>
    <row r="18019" spans="8:8">
      <c r="H18019" s="12"/>
    </row>
    <row r="18020" spans="8:8">
      <c r="H18020" s="12"/>
    </row>
    <row r="18021" spans="8:8">
      <c r="H18021" s="12"/>
    </row>
    <row r="18022" spans="8:8">
      <c r="H18022" s="12"/>
    </row>
    <row r="18023" spans="8:8">
      <c r="H18023" s="12"/>
    </row>
    <row r="18024" spans="8:8">
      <c r="H18024" s="12"/>
    </row>
    <row r="18025" spans="8:8">
      <c r="H18025" s="12"/>
    </row>
    <row r="18026" spans="8:8">
      <c r="H18026" s="12"/>
    </row>
    <row r="18027" spans="8:8">
      <c r="H18027" s="12"/>
    </row>
    <row r="18028" spans="8:8">
      <c r="H18028" s="12"/>
    </row>
    <row r="18029" spans="8:8">
      <c r="H18029" s="12"/>
    </row>
    <row r="18030" spans="8:8">
      <c r="H18030" s="12"/>
    </row>
    <row r="18031" spans="8:8">
      <c r="H18031" s="12"/>
    </row>
    <row r="18032" spans="8:8">
      <c r="H18032" s="12"/>
    </row>
    <row r="18033" spans="8:8">
      <c r="H18033" s="12"/>
    </row>
    <row r="18034" spans="8:8">
      <c r="H18034" s="12"/>
    </row>
    <row r="18035" spans="8:8">
      <c r="H18035" s="12"/>
    </row>
    <row r="18036" spans="8:8">
      <c r="H18036" s="12"/>
    </row>
    <row r="18037" spans="8:8">
      <c r="H18037" s="12"/>
    </row>
    <row r="18038" spans="8:8">
      <c r="H18038" s="12"/>
    </row>
    <row r="18039" spans="8:8">
      <c r="H18039" s="12"/>
    </row>
    <row r="18040" spans="8:8">
      <c r="H18040" s="12"/>
    </row>
    <row r="18041" spans="8:8">
      <c r="H18041" s="12"/>
    </row>
    <row r="18042" spans="8:8">
      <c r="H18042" s="12"/>
    </row>
    <row r="18043" spans="8:8">
      <c r="H18043" s="12"/>
    </row>
    <row r="18044" spans="8:8">
      <c r="H18044" s="12"/>
    </row>
    <row r="18045" spans="8:8">
      <c r="H18045" s="12"/>
    </row>
    <row r="18046" spans="8:8">
      <c r="H18046" s="12"/>
    </row>
    <row r="18047" spans="8:8">
      <c r="H18047" s="12"/>
    </row>
    <row r="18048" spans="8:8">
      <c r="H18048" s="12"/>
    </row>
    <row r="18049" spans="8:8">
      <c r="H18049" s="12"/>
    </row>
    <row r="18050" spans="8:8">
      <c r="H18050" s="12"/>
    </row>
    <row r="18051" spans="8:8">
      <c r="H18051" s="12"/>
    </row>
    <row r="18052" spans="8:8">
      <c r="H18052" s="12"/>
    </row>
    <row r="18053" spans="8:8">
      <c r="H18053" s="12"/>
    </row>
    <row r="18054" spans="8:8">
      <c r="H18054" s="12"/>
    </row>
    <row r="18055" spans="8:8">
      <c r="H18055" s="12"/>
    </row>
    <row r="18056" spans="8:8">
      <c r="H18056" s="12"/>
    </row>
    <row r="18057" spans="8:8">
      <c r="H18057" s="12"/>
    </row>
    <row r="18058" spans="8:8">
      <c r="H18058" s="12"/>
    </row>
    <row r="18059" spans="8:8">
      <c r="H18059" s="12"/>
    </row>
    <row r="18060" spans="8:8">
      <c r="H18060" s="12"/>
    </row>
    <row r="18061" spans="8:8">
      <c r="H18061" s="12"/>
    </row>
    <row r="18062" spans="8:8">
      <c r="H18062" s="12"/>
    </row>
    <row r="18063" spans="8:8">
      <c r="H18063" s="12"/>
    </row>
    <row r="18064" spans="8:8">
      <c r="H18064" s="12"/>
    </row>
    <row r="18065" spans="8:8">
      <c r="H18065" s="12"/>
    </row>
    <row r="18066" spans="8:8">
      <c r="H18066" s="12"/>
    </row>
    <row r="18067" spans="8:8">
      <c r="H18067" s="12"/>
    </row>
    <row r="18068" spans="8:8">
      <c r="H18068" s="12"/>
    </row>
    <row r="18069" spans="8:8">
      <c r="H18069" s="12"/>
    </row>
    <row r="18070" spans="8:8">
      <c r="H18070" s="12"/>
    </row>
    <row r="18071" spans="8:8">
      <c r="H18071" s="12"/>
    </row>
    <row r="18072" spans="8:8">
      <c r="H18072" s="12"/>
    </row>
    <row r="18073" spans="8:8">
      <c r="H18073" s="12"/>
    </row>
    <row r="18074" spans="8:8">
      <c r="H18074" s="12"/>
    </row>
    <row r="18075" spans="8:8">
      <c r="H18075" s="12"/>
    </row>
    <row r="18076" spans="8:8">
      <c r="H18076" s="12"/>
    </row>
    <row r="18077" spans="8:8">
      <c r="H18077" s="12"/>
    </row>
    <row r="18078" spans="8:8">
      <c r="H18078" s="12"/>
    </row>
    <row r="18079" spans="8:8">
      <c r="H18079" s="12"/>
    </row>
    <row r="18080" spans="8:8">
      <c r="H18080" s="12"/>
    </row>
    <row r="18081" spans="8:8">
      <c r="H18081" s="12"/>
    </row>
    <row r="18082" spans="8:8">
      <c r="H18082" s="12"/>
    </row>
    <row r="18083" spans="8:8">
      <c r="H18083" s="12"/>
    </row>
    <row r="18084" spans="8:8">
      <c r="H18084" s="12"/>
    </row>
    <row r="18085" spans="8:8">
      <c r="H18085" s="12"/>
    </row>
    <row r="18086" spans="8:8">
      <c r="H18086" s="12"/>
    </row>
    <row r="18087" spans="8:8">
      <c r="H18087" s="12"/>
    </row>
    <row r="18088" spans="8:8">
      <c r="H18088" s="12"/>
    </row>
    <row r="18089" spans="8:8">
      <c r="H18089" s="12"/>
    </row>
    <row r="18090" spans="8:8">
      <c r="H18090" s="12"/>
    </row>
    <row r="18091" spans="8:8">
      <c r="H18091" s="12"/>
    </row>
    <row r="18092" spans="8:8">
      <c r="H18092" s="12"/>
    </row>
    <row r="18093" spans="8:8">
      <c r="H18093" s="12"/>
    </row>
    <row r="18094" spans="8:8">
      <c r="H18094" s="12"/>
    </row>
    <row r="18095" spans="8:8">
      <c r="H18095" s="12"/>
    </row>
    <row r="18096" spans="8:8">
      <c r="H18096" s="12"/>
    </row>
    <row r="18097" spans="8:8">
      <c r="H18097" s="12"/>
    </row>
    <row r="18098" spans="8:8">
      <c r="H18098" s="12"/>
    </row>
    <row r="18099" spans="8:8">
      <c r="H18099" s="12"/>
    </row>
    <row r="18100" spans="8:8">
      <c r="H18100" s="12"/>
    </row>
    <row r="18101" spans="8:8">
      <c r="H18101" s="12"/>
    </row>
    <row r="18102" spans="8:8">
      <c r="H18102" s="12"/>
    </row>
    <row r="18103" spans="8:8">
      <c r="H18103" s="12"/>
    </row>
    <row r="18104" spans="8:8">
      <c r="H18104" s="12"/>
    </row>
    <row r="18105" spans="8:8">
      <c r="H18105" s="12"/>
    </row>
    <row r="18106" spans="8:8">
      <c r="H18106" s="12"/>
    </row>
    <row r="18107" spans="8:8">
      <c r="H18107" s="12"/>
    </row>
    <row r="18108" spans="8:8">
      <c r="H18108" s="12"/>
    </row>
    <row r="18109" spans="8:8">
      <c r="H18109" s="12"/>
    </row>
    <row r="18110" spans="8:8">
      <c r="H18110" s="12"/>
    </row>
    <row r="18111" spans="8:8">
      <c r="H18111" s="12"/>
    </row>
    <row r="18112" spans="8:8">
      <c r="H18112" s="12"/>
    </row>
    <row r="18113" spans="8:8">
      <c r="H18113" s="12"/>
    </row>
    <row r="18114" spans="8:8">
      <c r="H18114" s="12"/>
    </row>
    <row r="18115" spans="8:8">
      <c r="H18115" s="12"/>
    </row>
    <row r="18116" spans="8:8">
      <c r="H18116" s="12"/>
    </row>
    <row r="18117" spans="8:8">
      <c r="H18117" s="12"/>
    </row>
    <row r="18118" spans="8:8">
      <c r="H18118" s="12"/>
    </row>
    <row r="18119" spans="8:8">
      <c r="H18119" s="12"/>
    </row>
    <row r="18120" spans="8:8">
      <c r="H18120" s="12"/>
    </row>
    <row r="18121" spans="8:8">
      <c r="H18121" s="12"/>
    </row>
    <row r="18122" spans="8:8">
      <c r="H18122" s="12"/>
    </row>
    <row r="18123" spans="8:8">
      <c r="H18123" s="12"/>
    </row>
    <row r="18124" spans="8:8">
      <c r="H18124" s="12"/>
    </row>
    <row r="18125" spans="8:8">
      <c r="H18125" s="12"/>
    </row>
    <row r="18126" spans="8:8">
      <c r="H18126" s="12"/>
    </row>
    <row r="18127" spans="8:8">
      <c r="H18127" s="12"/>
    </row>
    <row r="18128" spans="8:8">
      <c r="H18128" s="12"/>
    </row>
    <row r="18129" spans="8:8">
      <c r="H18129" s="12"/>
    </row>
    <row r="18130" spans="8:8">
      <c r="H18130" s="12"/>
    </row>
    <row r="18131" spans="8:8">
      <c r="H18131" s="12"/>
    </row>
    <row r="18132" spans="8:8">
      <c r="H18132" s="12"/>
    </row>
    <row r="18133" spans="8:8">
      <c r="H18133" s="12"/>
    </row>
    <row r="18134" spans="8:8">
      <c r="H18134" s="12"/>
    </row>
    <row r="18135" spans="8:8">
      <c r="H18135" s="12"/>
    </row>
    <row r="18136" spans="8:8">
      <c r="H18136" s="12"/>
    </row>
    <row r="18137" spans="8:8">
      <c r="H18137" s="12"/>
    </row>
    <row r="18138" spans="8:8">
      <c r="H18138" s="12"/>
    </row>
    <row r="18139" spans="8:8">
      <c r="H18139" s="12"/>
    </row>
    <row r="18140" spans="8:8">
      <c r="H18140" s="12"/>
    </row>
    <row r="18141" spans="8:8">
      <c r="H18141" s="12"/>
    </row>
    <row r="18142" spans="8:8">
      <c r="H18142" s="12"/>
    </row>
    <row r="18143" spans="8:8">
      <c r="H18143" s="12"/>
    </row>
    <row r="18144" spans="8:8">
      <c r="H18144" s="12"/>
    </row>
    <row r="18145" spans="8:8">
      <c r="H18145" s="12"/>
    </row>
    <row r="18146" spans="8:8">
      <c r="H18146" s="12"/>
    </row>
    <row r="18147" spans="8:8">
      <c r="H18147" s="12"/>
    </row>
    <row r="18148" spans="8:8">
      <c r="H18148" s="12"/>
    </row>
    <row r="18149" spans="8:8">
      <c r="H18149" s="12"/>
    </row>
    <row r="18150" spans="8:8">
      <c r="H18150" s="12"/>
    </row>
    <row r="18151" spans="8:8">
      <c r="H18151" s="12"/>
    </row>
    <row r="18152" spans="8:8">
      <c r="H18152" s="12"/>
    </row>
    <row r="18153" spans="8:8">
      <c r="H18153" s="12"/>
    </row>
    <row r="18154" spans="8:8">
      <c r="H18154" s="12"/>
    </row>
    <row r="18155" spans="8:8">
      <c r="H18155" s="12"/>
    </row>
    <row r="18156" spans="8:8">
      <c r="H18156" s="12"/>
    </row>
    <row r="18157" spans="8:8">
      <c r="H18157" s="12"/>
    </row>
    <row r="18158" spans="8:8">
      <c r="H18158" s="12"/>
    </row>
    <row r="18159" spans="8:8">
      <c r="H18159" s="12"/>
    </row>
    <row r="18160" spans="8:8">
      <c r="H18160" s="12"/>
    </row>
    <row r="18161" spans="8:8">
      <c r="H18161" s="12"/>
    </row>
    <row r="18162" spans="8:8">
      <c r="H18162" s="12"/>
    </row>
    <row r="18163" spans="8:8">
      <c r="H18163" s="12"/>
    </row>
    <row r="18164" spans="8:8">
      <c r="H18164" s="12"/>
    </row>
    <row r="18165" spans="8:8">
      <c r="H18165" s="12"/>
    </row>
    <row r="18166" spans="8:8">
      <c r="H18166" s="12"/>
    </row>
    <row r="18167" spans="8:8">
      <c r="H18167" s="12"/>
    </row>
    <row r="18168" spans="8:8">
      <c r="H18168" s="12"/>
    </row>
    <row r="18169" spans="8:8">
      <c r="H18169" s="12"/>
    </row>
    <row r="18170" spans="8:8">
      <c r="H18170" s="12"/>
    </row>
    <row r="18171" spans="8:8">
      <c r="H18171" s="12"/>
    </row>
    <row r="18172" spans="8:8">
      <c r="H18172" s="12"/>
    </row>
    <row r="18173" spans="8:8">
      <c r="H18173" s="12"/>
    </row>
    <row r="18174" spans="8:8">
      <c r="H18174" s="12"/>
    </row>
    <row r="18175" spans="8:8">
      <c r="H18175" s="12"/>
    </row>
    <row r="18176" spans="8:8">
      <c r="H18176" s="12"/>
    </row>
    <row r="18177" spans="8:8">
      <c r="H18177" s="12"/>
    </row>
    <row r="18178" spans="8:8">
      <c r="H18178" s="12"/>
    </row>
    <row r="18179" spans="8:8">
      <c r="H18179" s="12"/>
    </row>
    <row r="18180" spans="8:8">
      <c r="H18180" s="12"/>
    </row>
    <row r="18181" spans="8:8">
      <c r="H18181" s="12"/>
    </row>
    <row r="18182" spans="8:8">
      <c r="H18182" s="12"/>
    </row>
    <row r="18183" spans="8:8">
      <c r="H18183" s="12"/>
    </row>
    <row r="18184" spans="8:8">
      <c r="H18184" s="12"/>
    </row>
    <row r="18185" spans="8:8">
      <c r="H18185" s="12"/>
    </row>
    <row r="18186" spans="8:8">
      <c r="H18186" s="12"/>
    </row>
    <row r="18187" spans="8:8">
      <c r="H18187" s="12"/>
    </row>
    <row r="18188" spans="8:8">
      <c r="H18188" s="12"/>
    </row>
    <row r="18189" spans="8:8">
      <c r="H18189" s="12"/>
    </row>
    <row r="18190" spans="8:8">
      <c r="H18190" s="12"/>
    </row>
    <row r="18191" spans="8:8">
      <c r="H18191" s="12"/>
    </row>
    <row r="18192" spans="8:8">
      <c r="H18192" s="12"/>
    </row>
    <row r="18193" spans="8:8">
      <c r="H18193" s="12"/>
    </row>
    <row r="18194" spans="8:8">
      <c r="H18194" s="12"/>
    </row>
    <row r="18195" spans="8:8">
      <c r="H18195" s="12"/>
    </row>
    <row r="18196" spans="8:8">
      <c r="H18196" s="12"/>
    </row>
    <row r="18197" spans="8:8">
      <c r="H18197" s="12"/>
    </row>
    <row r="18198" spans="8:8">
      <c r="H18198" s="12"/>
    </row>
    <row r="18199" spans="8:8">
      <c r="H18199" s="12"/>
    </row>
    <row r="18200" spans="8:8">
      <c r="H18200" s="12"/>
    </row>
    <row r="18201" spans="8:8">
      <c r="H18201" s="12"/>
    </row>
    <row r="18202" spans="8:8">
      <c r="H18202" s="12"/>
    </row>
    <row r="18203" spans="8:8">
      <c r="H18203" s="12"/>
    </row>
    <row r="18204" spans="8:8">
      <c r="H18204" s="12"/>
    </row>
    <row r="18205" spans="8:8">
      <c r="H18205" s="12"/>
    </row>
    <row r="18206" spans="8:8">
      <c r="H18206" s="12"/>
    </row>
    <row r="18207" spans="8:8">
      <c r="H18207" s="12"/>
    </row>
    <row r="18208" spans="8:8">
      <c r="H18208" s="12"/>
    </row>
    <row r="18209" spans="8:8">
      <c r="H18209" s="12"/>
    </row>
    <row r="18210" spans="8:8">
      <c r="H18210" s="12"/>
    </row>
    <row r="18211" spans="8:8">
      <c r="H18211" s="12"/>
    </row>
    <row r="18212" spans="8:8">
      <c r="H18212" s="12"/>
    </row>
    <row r="18213" spans="8:8">
      <c r="H18213" s="12"/>
    </row>
    <row r="18214" spans="8:8">
      <c r="H18214" s="12"/>
    </row>
    <row r="18215" spans="8:8">
      <c r="H18215" s="12"/>
    </row>
    <row r="18216" spans="8:8">
      <c r="H18216" s="12"/>
    </row>
    <row r="18217" spans="8:8">
      <c r="H18217" s="12"/>
    </row>
    <row r="18218" spans="8:8">
      <c r="H18218" s="12"/>
    </row>
    <row r="18219" spans="8:8">
      <c r="H18219" s="12"/>
    </row>
    <row r="18220" spans="8:8">
      <c r="H18220" s="12"/>
    </row>
    <row r="18221" spans="8:8">
      <c r="H18221" s="12"/>
    </row>
    <row r="18222" spans="8:8">
      <c r="H18222" s="12"/>
    </row>
    <row r="18223" spans="8:8">
      <c r="H18223" s="12"/>
    </row>
    <row r="18224" spans="8:8">
      <c r="H18224" s="12"/>
    </row>
    <row r="18225" spans="8:8">
      <c r="H18225" s="12"/>
    </row>
    <row r="18226" spans="8:8">
      <c r="H18226" s="12"/>
    </row>
    <row r="18227" spans="8:8">
      <c r="H18227" s="12"/>
    </row>
    <row r="18228" spans="8:8">
      <c r="H18228" s="12"/>
    </row>
    <row r="18229" spans="8:8">
      <c r="H18229" s="12"/>
    </row>
    <row r="18230" spans="8:8">
      <c r="H18230" s="12"/>
    </row>
    <row r="18231" spans="8:8">
      <c r="H18231" s="12"/>
    </row>
    <row r="18232" spans="8:8">
      <c r="H18232" s="12"/>
    </row>
    <row r="18233" spans="8:8">
      <c r="H18233" s="12"/>
    </row>
    <row r="18234" spans="8:8">
      <c r="H18234" s="12"/>
    </row>
    <row r="18235" spans="8:8">
      <c r="H18235" s="12"/>
    </row>
    <row r="18236" spans="8:8">
      <c r="H18236" s="12"/>
    </row>
    <row r="18237" spans="8:8">
      <c r="H18237" s="12"/>
    </row>
    <row r="18238" spans="8:8">
      <c r="H18238" s="12"/>
    </row>
    <row r="18239" spans="8:8">
      <c r="H18239" s="12"/>
    </row>
    <row r="18240" spans="8:8">
      <c r="H18240" s="12"/>
    </row>
    <row r="18241" spans="8:8">
      <c r="H18241" s="12"/>
    </row>
    <row r="18242" spans="8:8">
      <c r="H18242" s="12"/>
    </row>
    <row r="18243" spans="8:8">
      <c r="H18243" s="12"/>
    </row>
    <row r="18244" spans="8:8">
      <c r="H18244" s="12"/>
    </row>
    <row r="18245" spans="8:8">
      <c r="H18245" s="12"/>
    </row>
    <row r="18246" spans="8:8">
      <c r="H18246" s="12"/>
    </row>
    <row r="18247" spans="8:8">
      <c r="H18247" s="12"/>
    </row>
    <row r="18248" spans="8:8">
      <c r="H18248" s="12"/>
    </row>
    <row r="18249" spans="8:8">
      <c r="H18249" s="12"/>
    </row>
    <row r="18250" spans="8:8">
      <c r="H18250" s="12"/>
    </row>
    <row r="18251" spans="8:8">
      <c r="H18251" s="12"/>
    </row>
    <row r="18252" spans="8:8">
      <c r="H18252" s="12"/>
    </row>
    <row r="18253" spans="8:8">
      <c r="H18253" s="12"/>
    </row>
    <row r="18254" spans="8:8">
      <c r="H18254" s="12"/>
    </row>
    <row r="18255" spans="8:8">
      <c r="H18255" s="12"/>
    </row>
    <row r="18256" spans="8:8">
      <c r="H18256" s="12"/>
    </row>
    <row r="18257" spans="8:8">
      <c r="H18257" s="12"/>
    </row>
    <row r="18258" spans="8:8">
      <c r="H18258" s="12"/>
    </row>
    <row r="18259" spans="8:8">
      <c r="H18259" s="12"/>
    </row>
    <row r="18260" spans="8:8">
      <c r="H18260" s="12"/>
    </row>
    <row r="18261" spans="8:8">
      <c r="H18261" s="12"/>
    </row>
    <row r="18262" spans="8:8">
      <c r="H18262" s="12"/>
    </row>
    <row r="18263" spans="8:8">
      <c r="H18263" s="12"/>
    </row>
    <row r="18264" spans="8:8">
      <c r="H18264" s="12"/>
    </row>
    <row r="18265" spans="8:8">
      <c r="H18265" s="12"/>
    </row>
    <row r="18266" spans="8:8">
      <c r="H18266" s="12"/>
    </row>
    <row r="18267" spans="8:8">
      <c r="H18267" s="12"/>
    </row>
    <row r="18268" spans="8:8">
      <c r="H18268" s="12"/>
    </row>
    <row r="18269" spans="8:8">
      <c r="H18269" s="12"/>
    </row>
    <row r="18270" spans="8:8">
      <c r="H18270" s="12"/>
    </row>
    <row r="18271" spans="8:8">
      <c r="H18271" s="12"/>
    </row>
    <row r="18272" spans="8:8">
      <c r="H18272" s="12"/>
    </row>
    <row r="18273" spans="8:8">
      <c r="H18273" s="12"/>
    </row>
    <row r="18274" spans="8:8">
      <c r="H18274" s="12"/>
    </row>
    <row r="18275" spans="8:8">
      <c r="H18275" s="12"/>
    </row>
    <row r="18276" spans="8:8">
      <c r="H18276" s="12"/>
    </row>
    <row r="18277" spans="8:8">
      <c r="H18277" s="12"/>
    </row>
    <row r="18278" spans="8:8">
      <c r="H18278" s="12"/>
    </row>
    <row r="18279" spans="8:8">
      <c r="H18279" s="12"/>
    </row>
    <row r="18280" spans="8:8">
      <c r="H18280" s="12"/>
    </row>
    <row r="18281" spans="8:8">
      <c r="H18281" s="12"/>
    </row>
    <row r="18282" spans="8:8">
      <c r="H18282" s="12"/>
    </row>
    <row r="18283" spans="8:8">
      <c r="H18283" s="12"/>
    </row>
    <row r="18284" spans="8:8">
      <c r="H18284" s="12"/>
    </row>
    <row r="18285" spans="8:8">
      <c r="H18285" s="12"/>
    </row>
    <row r="18286" spans="8:8">
      <c r="H18286" s="12"/>
    </row>
    <row r="18287" spans="8:8">
      <c r="H18287" s="12"/>
    </row>
    <row r="18288" spans="8:8">
      <c r="H18288" s="12"/>
    </row>
    <row r="18289" spans="8:8">
      <c r="H18289" s="12"/>
    </row>
    <row r="18290" spans="8:8">
      <c r="H18290" s="12"/>
    </row>
    <row r="18291" spans="8:8">
      <c r="H18291" s="12"/>
    </row>
    <row r="18292" spans="8:8">
      <c r="H18292" s="12"/>
    </row>
    <row r="18293" spans="8:8">
      <c r="H18293" s="12"/>
    </row>
    <row r="18294" spans="8:8">
      <c r="H18294" s="12"/>
    </row>
    <row r="18295" spans="8:8">
      <c r="H18295" s="12"/>
    </row>
    <row r="18296" spans="8:8">
      <c r="H18296" s="12"/>
    </row>
    <row r="18297" spans="8:8">
      <c r="H18297" s="12"/>
    </row>
    <row r="18298" spans="8:8">
      <c r="H18298" s="12"/>
    </row>
    <row r="18299" spans="8:8">
      <c r="H18299" s="12"/>
    </row>
    <row r="18300" spans="8:8">
      <c r="H18300" s="12"/>
    </row>
    <row r="18301" spans="8:8">
      <c r="H18301" s="12"/>
    </row>
    <row r="18302" spans="8:8">
      <c r="H18302" s="12"/>
    </row>
    <row r="18303" spans="8:8">
      <c r="H18303" s="12"/>
    </row>
    <row r="18304" spans="8:8">
      <c r="H18304" s="12"/>
    </row>
    <row r="18305" spans="8:8">
      <c r="H18305" s="12"/>
    </row>
    <row r="18306" spans="8:8">
      <c r="H18306" s="12"/>
    </row>
    <row r="18307" spans="8:8">
      <c r="H18307" s="12"/>
    </row>
    <row r="18308" spans="8:8">
      <c r="H18308" s="12"/>
    </row>
    <row r="18309" spans="8:8">
      <c r="H18309" s="12"/>
    </row>
    <row r="18310" spans="8:8">
      <c r="H18310" s="12"/>
    </row>
    <row r="18311" spans="8:8">
      <c r="H18311" s="12"/>
    </row>
    <row r="18312" spans="8:8">
      <c r="H18312" s="12"/>
    </row>
    <row r="18313" spans="8:8">
      <c r="H18313" s="12"/>
    </row>
    <row r="18314" spans="8:8">
      <c r="H18314" s="12"/>
    </row>
    <row r="18315" spans="8:8">
      <c r="H18315" s="12"/>
    </row>
    <row r="18316" spans="8:8">
      <c r="H18316" s="12"/>
    </row>
    <row r="18317" spans="8:8">
      <c r="H18317" s="12"/>
    </row>
    <row r="18318" spans="8:8">
      <c r="H18318" s="12"/>
    </row>
    <row r="18319" spans="8:8">
      <c r="H18319" s="12"/>
    </row>
    <row r="18320" spans="8:8">
      <c r="H18320" s="12"/>
    </row>
    <row r="18321" spans="8:8">
      <c r="H18321" s="12"/>
    </row>
    <row r="18322" spans="8:8">
      <c r="H18322" s="12"/>
    </row>
    <row r="18323" spans="8:8">
      <c r="H18323" s="12"/>
    </row>
    <row r="18324" spans="8:8">
      <c r="H18324" s="12"/>
    </row>
    <row r="18325" spans="8:8">
      <c r="H18325" s="12"/>
    </row>
    <row r="18326" spans="8:8">
      <c r="H18326" s="12"/>
    </row>
    <row r="18327" spans="8:8">
      <c r="H18327" s="12"/>
    </row>
    <row r="18328" spans="8:8">
      <c r="H18328" s="12"/>
    </row>
    <row r="18329" spans="8:8">
      <c r="H18329" s="12"/>
    </row>
    <row r="18330" spans="8:8">
      <c r="H18330" s="12"/>
    </row>
    <row r="18331" spans="8:8">
      <c r="H18331" s="12"/>
    </row>
    <row r="18332" spans="8:8">
      <c r="H18332" s="12"/>
    </row>
    <row r="18333" spans="8:8">
      <c r="H18333" s="12"/>
    </row>
    <row r="18334" spans="8:8">
      <c r="H18334" s="12"/>
    </row>
    <row r="18335" spans="8:8">
      <c r="H18335" s="12"/>
    </row>
    <row r="18336" spans="8:8">
      <c r="H18336" s="12"/>
    </row>
    <row r="18337" spans="8:8">
      <c r="H18337" s="12"/>
    </row>
    <row r="18338" spans="8:8">
      <c r="H18338" s="12"/>
    </row>
    <row r="18339" spans="8:8">
      <c r="H18339" s="12"/>
    </row>
    <row r="18340" spans="8:8">
      <c r="H18340" s="12"/>
    </row>
    <row r="18341" spans="8:8">
      <c r="H18341" s="12"/>
    </row>
    <row r="18342" spans="8:8">
      <c r="H18342" s="12"/>
    </row>
    <row r="18343" spans="8:8">
      <c r="H18343" s="12"/>
    </row>
    <row r="18344" spans="8:8">
      <c r="H18344" s="12"/>
    </row>
    <row r="18345" spans="8:8">
      <c r="H18345" s="12"/>
    </row>
    <row r="18346" spans="8:8">
      <c r="H18346" s="12"/>
    </row>
    <row r="18347" spans="8:8">
      <c r="H18347" s="12"/>
    </row>
    <row r="18348" spans="8:8">
      <c r="H18348" s="12"/>
    </row>
    <row r="18349" spans="8:8">
      <c r="H18349" s="12"/>
    </row>
    <row r="18350" spans="8:8">
      <c r="H18350" s="12"/>
    </row>
    <row r="18351" spans="8:8">
      <c r="H18351" s="12"/>
    </row>
    <row r="18352" spans="8:8">
      <c r="H18352" s="12"/>
    </row>
    <row r="18353" spans="8:8">
      <c r="H18353" s="12"/>
    </row>
    <row r="18354" spans="8:8">
      <c r="H18354" s="12"/>
    </row>
    <row r="18355" spans="8:8">
      <c r="H18355" s="12"/>
    </row>
    <row r="18356" spans="8:8">
      <c r="H18356" s="12"/>
    </row>
    <row r="18357" spans="8:8">
      <c r="H18357" s="12"/>
    </row>
    <row r="18358" spans="8:8">
      <c r="H18358" s="12"/>
    </row>
    <row r="18359" spans="8:8">
      <c r="H18359" s="12"/>
    </row>
    <row r="18360" spans="8:8">
      <c r="H18360" s="12"/>
    </row>
    <row r="18361" spans="8:8">
      <c r="H18361" s="12"/>
    </row>
    <row r="18362" spans="8:8">
      <c r="H18362" s="12"/>
    </row>
    <row r="18363" spans="8:8">
      <c r="H18363" s="12"/>
    </row>
    <row r="18364" spans="8:8">
      <c r="H18364" s="12"/>
    </row>
    <row r="18365" spans="8:8">
      <c r="H18365" s="12"/>
    </row>
    <row r="18366" spans="8:8">
      <c r="H18366" s="12"/>
    </row>
    <row r="18367" spans="8:8">
      <c r="H18367" s="12"/>
    </row>
    <row r="18368" spans="8:8">
      <c r="H18368" s="12"/>
    </row>
    <row r="18369" spans="8:8">
      <c r="H18369" s="12"/>
    </row>
    <row r="18370" spans="8:8">
      <c r="H18370" s="12"/>
    </row>
    <row r="18371" spans="8:8">
      <c r="H18371" s="12"/>
    </row>
    <row r="18372" spans="8:8">
      <c r="H18372" s="12"/>
    </row>
    <row r="18373" spans="8:8">
      <c r="H18373" s="12"/>
    </row>
    <row r="18374" spans="8:8">
      <c r="H18374" s="12"/>
    </row>
    <row r="18375" spans="8:8">
      <c r="H18375" s="12"/>
    </row>
    <row r="18376" spans="8:8">
      <c r="H18376" s="12"/>
    </row>
    <row r="18377" spans="8:8">
      <c r="H18377" s="12"/>
    </row>
    <row r="18378" spans="8:8">
      <c r="H18378" s="12"/>
    </row>
    <row r="18379" spans="8:8">
      <c r="H18379" s="12"/>
    </row>
    <row r="18380" spans="8:8">
      <c r="H18380" s="12"/>
    </row>
    <row r="18381" spans="8:8">
      <c r="H18381" s="12"/>
    </row>
    <row r="18382" spans="8:8">
      <c r="H18382" s="12"/>
    </row>
    <row r="18383" spans="8:8">
      <c r="H18383" s="12"/>
    </row>
    <row r="18384" spans="8:8">
      <c r="H18384" s="12"/>
    </row>
    <row r="18385" spans="8:8">
      <c r="H18385" s="12"/>
    </row>
    <row r="18386" spans="8:8">
      <c r="H18386" s="12"/>
    </row>
    <row r="18387" spans="8:8">
      <c r="H18387" s="12"/>
    </row>
    <row r="18388" spans="8:8">
      <c r="H18388" s="12"/>
    </row>
    <row r="18389" spans="8:8">
      <c r="H18389" s="12"/>
    </row>
    <row r="18390" spans="8:8">
      <c r="H18390" s="12"/>
    </row>
    <row r="18391" spans="8:8">
      <c r="H18391" s="12"/>
    </row>
    <row r="18392" spans="8:8">
      <c r="H18392" s="12"/>
    </row>
    <row r="18393" spans="8:8">
      <c r="H18393" s="12"/>
    </row>
    <row r="18394" spans="8:8">
      <c r="H18394" s="12"/>
    </row>
    <row r="18395" spans="8:8">
      <c r="H18395" s="12"/>
    </row>
    <row r="18396" spans="8:8">
      <c r="H18396" s="12"/>
    </row>
    <row r="18397" spans="8:8">
      <c r="H18397" s="12"/>
    </row>
    <row r="18398" spans="8:8">
      <c r="H18398" s="12"/>
    </row>
    <row r="18399" spans="8:8">
      <c r="H18399" s="12"/>
    </row>
    <row r="18400" spans="8:8">
      <c r="H18400" s="12"/>
    </row>
    <row r="18401" spans="8:8">
      <c r="H18401" s="12"/>
    </row>
    <row r="18402" spans="8:8">
      <c r="H18402" s="12"/>
    </row>
    <row r="18403" spans="8:8">
      <c r="H18403" s="12"/>
    </row>
    <row r="18404" spans="8:8">
      <c r="H18404" s="12"/>
    </row>
    <row r="18405" spans="8:8">
      <c r="H18405" s="12"/>
    </row>
    <row r="18406" spans="8:8">
      <c r="H18406" s="12"/>
    </row>
    <row r="18407" spans="8:8">
      <c r="H18407" s="12"/>
    </row>
    <row r="18408" spans="8:8">
      <c r="H18408" s="12"/>
    </row>
    <row r="18409" spans="8:8">
      <c r="H18409" s="12"/>
    </row>
    <row r="18410" spans="8:8">
      <c r="H18410" s="12"/>
    </row>
    <row r="18411" spans="8:8">
      <c r="H18411" s="12"/>
    </row>
    <row r="18412" spans="8:8">
      <c r="H18412" s="12"/>
    </row>
    <row r="18413" spans="8:8">
      <c r="H18413" s="12"/>
    </row>
    <row r="18414" spans="8:8">
      <c r="H18414" s="12"/>
    </row>
    <row r="18415" spans="8:8">
      <c r="H18415" s="12"/>
    </row>
    <row r="18416" spans="8:8">
      <c r="H18416" s="12"/>
    </row>
    <row r="18417" spans="8:8">
      <c r="H18417" s="12"/>
    </row>
    <row r="18418" spans="8:8">
      <c r="H18418" s="12"/>
    </row>
    <row r="18419" spans="8:8">
      <c r="H18419" s="12"/>
    </row>
    <row r="18420" spans="8:8">
      <c r="H18420" s="12"/>
    </row>
    <row r="18421" spans="8:8">
      <c r="H18421" s="12"/>
    </row>
    <row r="18422" spans="8:8">
      <c r="H18422" s="12"/>
    </row>
    <row r="18423" spans="8:8">
      <c r="H18423" s="12"/>
    </row>
    <row r="18424" spans="8:8">
      <c r="H18424" s="12"/>
    </row>
    <row r="18425" spans="8:8">
      <c r="H18425" s="12"/>
    </row>
    <row r="18426" spans="8:8">
      <c r="H18426" s="12"/>
    </row>
    <row r="18427" spans="8:8">
      <c r="H18427" s="12"/>
    </row>
    <row r="18428" spans="8:8">
      <c r="H18428" s="12"/>
    </row>
    <row r="18429" spans="8:8">
      <c r="H18429" s="12"/>
    </row>
    <row r="18430" spans="8:8">
      <c r="H18430" s="12"/>
    </row>
    <row r="18431" spans="8:8">
      <c r="H18431" s="12"/>
    </row>
    <row r="18432" spans="8:8">
      <c r="H18432" s="12"/>
    </row>
    <row r="18433" spans="8:8">
      <c r="H18433" s="12"/>
    </row>
    <row r="18434" spans="8:8">
      <c r="H18434" s="12"/>
    </row>
    <row r="18435" spans="8:8">
      <c r="H18435" s="12"/>
    </row>
    <row r="18436" spans="8:8">
      <c r="H18436" s="12"/>
    </row>
    <row r="18437" spans="8:8">
      <c r="H18437" s="12"/>
    </row>
    <row r="18438" spans="8:8">
      <c r="H18438" s="12"/>
    </row>
    <row r="18439" spans="8:8">
      <c r="H18439" s="12"/>
    </row>
    <row r="18440" spans="8:8">
      <c r="H18440" s="12"/>
    </row>
    <row r="18441" spans="8:8">
      <c r="H18441" s="12"/>
    </row>
    <row r="18442" spans="8:8">
      <c r="H18442" s="12"/>
    </row>
    <row r="18443" spans="8:8">
      <c r="H18443" s="12"/>
    </row>
    <row r="18444" spans="8:8">
      <c r="H18444" s="12"/>
    </row>
    <row r="18445" spans="8:8">
      <c r="H18445" s="12"/>
    </row>
    <row r="18446" spans="8:8">
      <c r="H18446" s="12"/>
    </row>
    <row r="18447" spans="8:8">
      <c r="H18447" s="12"/>
    </row>
    <row r="18448" spans="8:8">
      <c r="H18448" s="12"/>
    </row>
    <row r="18449" spans="8:8">
      <c r="H18449" s="12"/>
    </row>
    <row r="18450" spans="8:8">
      <c r="H18450" s="12"/>
    </row>
    <row r="18451" spans="8:8">
      <c r="H18451" s="12"/>
    </row>
    <row r="18452" spans="8:8">
      <c r="H18452" s="12"/>
    </row>
    <row r="18453" spans="8:8">
      <c r="H18453" s="12"/>
    </row>
    <row r="18454" spans="8:8">
      <c r="H18454" s="12"/>
    </row>
    <row r="18455" spans="8:8">
      <c r="H18455" s="12"/>
    </row>
    <row r="18456" spans="8:8">
      <c r="H18456" s="12"/>
    </row>
    <row r="18457" spans="8:8">
      <c r="H18457" s="12"/>
    </row>
    <row r="18458" spans="8:8">
      <c r="H18458" s="12"/>
    </row>
    <row r="18459" spans="8:8">
      <c r="H18459" s="12"/>
    </row>
    <row r="18460" spans="8:8">
      <c r="H18460" s="12"/>
    </row>
    <row r="18461" spans="8:8">
      <c r="H18461" s="12"/>
    </row>
    <row r="18462" spans="8:8">
      <c r="H18462" s="12"/>
    </row>
    <row r="18463" spans="8:8">
      <c r="H18463" s="12"/>
    </row>
    <row r="18464" spans="8:8">
      <c r="H18464" s="12"/>
    </row>
    <row r="18465" spans="8:8">
      <c r="H18465" s="12"/>
    </row>
    <row r="18466" spans="8:8">
      <c r="H18466" s="12"/>
    </row>
    <row r="18467" spans="8:8">
      <c r="H18467" s="12"/>
    </row>
    <row r="18468" spans="8:8">
      <c r="H18468" s="12"/>
    </row>
    <row r="18469" spans="8:8">
      <c r="H18469" s="12"/>
    </row>
    <row r="18470" spans="8:8">
      <c r="H18470" s="12"/>
    </row>
    <row r="18471" spans="8:8">
      <c r="H18471" s="12"/>
    </row>
    <row r="18472" spans="8:8">
      <c r="H18472" s="12"/>
    </row>
    <row r="18473" spans="8:8">
      <c r="H18473" s="12"/>
    </row>
    <row r="18474" spans="8:8">
      <c r="H18474" s="12"/>
    </row>
    <row r="18475" spans="8:8">
      <c r="H18475" s="12"/>
    </row>
    <row r="18476" spans="8:8">
      <c r="H18476" s="12"/>
    </row>
    <row r="18477" spans="8:8">
      <c r="H18477" s="12"/>
    </row>
    <row r="18478" spans="8:8">
      <c r="H18478" s="12"/>
    </row>
    <row r="18479" spans="8:8">
      <c r="H18479" s="12"/>
    </row>
    <row r="18480" spans="8:8">
      <c r="H18480" s="12"/>
    </row>
    <row r="18481" spans="8:8">
      <c r="H18481" s="12"/>
    </row>
    <row r="18482" spans="8:8">
      <c r="H18482" s="12"/>
    </row>
    <row r="18483" spans="8:8">
      <c r="H18483" s="12"/>
    </row>
    <row r="18484" spans="8:8">
      <c r="H18484" s="12"/>
    </row>
    <row r="18485" spans="8:8">
      <c r="H18485" s="12"/>
    </row>
    <row r="18486" spans="8:8">
      <c r="H18486" s="12"/>
    </row>
    <row r="18487" spans="8:8">
      <c r="H18487" s="12"/>
    </row>
    <row r="18488" spans="8:8">
      <c r="H18488" s="12"/>
    </row>
    <row r="18489" spans="8:8">
      <c r="H18489" s="12"/>
    </row>
    <row r="18490" spans="8:8">
      <c r="H18490" s="12"/>
    </row>
    <row r="18491" spans="8:8">
      <c r="H18491" s="12"/>
    </row>
    <row r="18492" spans="8:8">
      <c r="H18492" s="12"/>
    </row>
    <row r="18493" spans="8:8">
      <c r="H18493" s="12"/>
    </row>
    <row r="18494" spans="8:8">
      <c r="H18494" s="12"/>
    </row>
    <row r="18495" spans="8:8">
      <c r="H18495" s="12"/>
    </row>
    <row r="18496" spans="8:8">
      <c r="H18496" s="12"/>
    </row>
    <row r="18497" spans="8:8">
      <c r="H18497" s="12"/>
    </row>
    <row r="18498" spans="8:8">
      <c r="H18498" s="12"/>
    </row>
    <row r="18499" spans="8:8">
      <c r="H18499" s="12"/>
    </row>
    <row r="18500" spans="8:8">
      <c r="H18500" s="12"/>
    </row>
    <row r="18501" spans="8:8">
      <c r="H18501" s="12"/>
    </row>
    <row r="18502" spans="8:8">
      <c r="H18502" s="12"/>
    </row>
    <row r="18503" spans="8:8">
      <c r="H18503" s="12"/>
    </row>
    <row r="18504" spans="8:8">
      <c r="H18504" s="12"/>
    </row>
    <row r="18505" spans="8:8">
      <c r="H18505" s="12"/>
    </row>
    <row r="18506" spans="8:8">
      <c r="H18506" s="12"/>
    </row>
    <row r="18507" spans="8:8">
      <c r="H18507" s="12"/>
    </row>
    <row r="18508" spans="8:8">
      <c r="H18508" s="12"/>
    </row>
    <row r="18509" spans="8:8">
      <c r="H18509" s="12"/>
    </row>
    <row r="18510" spans="8:8">
      <c r="H18510" s="12"/>
    </row>
    <row r="18511" spans="8:8">
      <c r="H18511" s="12"/>
    </row>
    <row r="18512" spans="8:8">
      <c r="H18512" s="12"/>
    </row>
    <row r="18513" spans="8:8">
      <c r="H18513" s="12"/>
    </row>
    <row r="18514" spans="8:8">
      <c r="H18514" s="12"/>
    </row>
    <row r="18515" spans="8:8">
      <c r="H18515" s="12"/>
    </row>
    <row r="18516" spans="8:8">
      <c r="H18516" s="12"/>
    </row>
    <row r="18517" spans="8:8">
      <c r="H18517" s="12"/>
    </row>
    <row r="18518" spans="8:8">
      <c r="H18518" s="12"/>
    </row>
    <row r="18519" spans="8:8">
      <c r="H18519" s="12"/>
    </row>
    <row r="18520" spans="8:8">
      <c r="H18520" s="12"/>
    </row>
    <row r="18521" spans="8:8">
      <c r="H18521" s="12"/>
    </row>
    <row r="18522" spans="8:8">
      <c r="H18522" s="12"/>
    </row>
    <row r="18523" spans="8:8">
      <c r="H18523" s="12"/>
    </row>
    <row r="18524" spans="8:8">
      <c r="H18524" s="12"/>
    </row>
    <row r="18525" spans="8:8">
      <c r="H18525" s="12"/>
    </row>
    <row r="18526" spans="8:8">
      <c r="H18526" s="12"/>
    </row>
    <row r="18527" spans="8:8">
      <c r="H18527" s="12"/>
    </row>
    <row r="18528" spans="8:8">
      <c r="H18528" s="12"/>
    </row>
    <row r="18529" spans="8:8">
      <c r="H18529" s="12"/>
    </row>
    <row r="18530" spans="8:8">
      <c r="H18530" s="12"/>
    </row>
    <row r="18531" spans="8:8">
      <c r="H18531" s="12"/>
    </row>
    <row r="18532" spans="8:8">
      <c r="H18532" s="12"/>
    </row>
    <row r="18533" spans="8:8">
      <c r="H18533" s="12"/>
    </row>
    <row r="18534" spans="8:8">
      <c r="H18534" s="12"/>
    </row>
    <row r="18535" spans="8:8">
      <c r="H18535" s="12"/>
    </row>
    <row r="18536" spans="8:8">
      <c r="H18536" s="12"/>
    </row>
    <row r="18537" spans="8:8">
      <c r="H18537" s="12"/>
    </row>
    <row r="18538" spans="8:8">
      <c r="H18538" s="12"/>
    </row>
    <row r="18539" spans="8:8">
      <c r="H18539" s="12"/>
    </row>
    <row r="18540" spans="8:8">
      <c r="H18540" s="12"/>
    </row>
    <row r="18541" spans="8:8">
      <c r="H18541" s="12"/>
    </row>
    <row r="18542" spans="8:8">
      <c r="H18542" s="12"/>
    </row>
    <row r="18543" spans="8:8">
      <c r="H18543" s="12"/>
    </row>
    <row r="18544" spans="8:8">
      <c r="H18544" s="12"/>
    </row>
    <row r="18545" spans="8:8">
      <c r="H18545" s="12"/>
    </row>
    <row r="18546" spans="8:8">
      <c r="H18546" s="12"/>
    </row>
    <row r="18547" spans="8:8">
      <c r="H18547" s="12"/>
    </row>
    <row r="18548" spans="8:8">
      <c r="H18548" s="12"/>
    </row>
    <row r="18549" spans="8:8">
      <c r="H18549" s="12"/>
    </row>
    <row r="18550" spans="8:8">
      <c r="H18550" s="12"/>
    </row>
    <row r="18551" spans="8:8">
      <c r="H18551" s="12"/>
    </row>
    <row r="18552" spans="8:8">
      <c r="H18552" s="12"/>
    </row>
    <row r="18553" spans="8:8">
      <c r="H18553" s="12"/>
    </row>
    <row r="18554" spans="8:8">
      <c r="H18554" s="12"/>
    </row>
    <row r="18555" spans="8:8">
      <c r="H18555" s="12"/>
    </row>
    <row r="18556" spans="8:8">
      <c r="H18556" s="12"/>
    </row>
    <row r="18557" spans="8:8">
      <c r="H18557" s="12"/>
    </row>
    <row r="18558" spans="8:8">
      <c r="H18558" s="12"/>
    </row>
    <row r="18559" spans="8:8">
      <c r="H18559" s="12"/>
    </row>
    <row r="18560" spans="8:8">
      <c r="H18560" s="12"/>
    </row>
    <row r="18561" spans="8:8">
      <c r="H18561" s="12"/>
    </row>
    <row r="18562" spans="8:8">
      <c r="H18562" s="12"/>
    </row>
    <row r="18563" spans="8:8">
      <c r="H18563" s="12"/>
    </row>
    <row r="18564" spans="8:8">
      <c r="H18564" s="12"/>
    </row>
    <row r="18565" spans="8:8">
      <c r="H18565" s="12"/>
    </row>
    <row r="18566" spans="8:8">
      <c r="H18566" s="12"/>
    </row>
    <row r="18567" spans="8:8">
      <c r="H18567" s="12"/>
    </row>
    <row r="18568" spans="8:8">
      <c r="H18568" s="12"/>
    </row>
    <row r="18569" spans="8:8">
      <c r="H18569" s="12"/>
    </row>
    <row r="18570" spans="8:8">
      <c r="H18570" s="12"/>
    </row>
    <row r="18571" spans="8:8">
      <c r="H18571" s="12"/>
    </row>
    <row r="18572" spans="8:8">
      <c r="H18572" s="12"/>
    </row>
    <row r="18573" spans="8:8">
      <c r="H18573" s="12"/>
    </row>
    <row r="18574" spans="8:8">
      <c r="H18574" s="12"/>
    </row>
    <row r="18575" spans="8:8">
      <c r="H18575" s="12"/>
    </row>
    <row r="18576" spans="8:8">
      <c r="H18576" s="12"/>
    </row>
    <row r="18577" spans="8:8">
      <c r="H18577" s="12"/>
    </row>
    <row r="18578" spans="8:8">
      <c r="H18578" s="12"/>
    </row>
    <row r="18579" spans="8:8">
      <c r="H18579" s="12"/>
    </row>
    <row r="18580" spans="8:8">
      <c r="H18580" s="12"/>
    </row>
    <row r="18581" spans="8:8">
      <c r="H18581" s="12"/>
    </row>
    <row r="18582" spans="8:8">
      <c r="H18582" s="12"/>
    </row>
    <row r="18583" spans="8:8">
      <c r="H18583" s="12"/>
    </row>
    <row r="18584" spans="8:8">
      <c r="H18584" s="12"/>
    </row>
    <row r="18585" spans="8:8">
      <c r="H18585" s="12"/>
    </row>
    <row r="18586" spans="8:8">
      <c r="H18586" s="12"/>
    </row>
    <row r="18587" spans="8:8">
      <c r="H18587" s="12"/>
    </row>
    <row r="18588" spans="8:8">
      <c r="H18588" s="12"/>
    </row>
    <row r="18589" spans="8:8">
      <c r="H18589" s="12"/>
    </row>
    <row r="18590" spans="8:8">
      <c r="H18590" s="12"/>
    </row>
    <row r="18591" spans="8:8">
      <c r="H18591" s="12"/>
    </row>
    <row r="18592" spans="8:8">
      <c r="H18592" s="12"/>
    </row>
    <row r="18593" spans="8:8">
      <c r="H18593" s="12"/>
    </row>
    <row r="18594" spans="8:8">
      <c r="H18594" s="12"/>
    </row>
    <row r="18595" spans="8:8">
      <c r="H18595" s="12"/>
    </row>
    <row r="18596" spans="8:8">
      <c r="H18596" s="12"/>
    </row>
    <row r="18597" spans="8:8">
      <c r="H18597" s="12"/>
    </row>
    <row r="18598" spans="8:8">
      <c r="H18598" s="12"/>
    </row>
    <row r="18599" spans="8:8">
      <c r="H18599" s="12"/>
    </row>
    <row r="18600" spans="8:8">
      <c r="H18600" s="12"/>
    </row>
    <row r="18601" spans="8:8">
      <c r="H18601" s="12"/>
    </row>
    <row r="18602" spans="8:8">
      <c r="H18602" s="12"/>
    </row>
    <row r="18603" spans="8:8">
      <c r="H18603" s="12"/>
    </row>
    <row r="18604" spans="8:8">
      <c r="H18604" s="12"/>
    </row>
    <row r="18605" spans="8:8">
      <c r="H18605" s="12"/>
    </row>
    <row r="18606" spans="8:8">
      <c r="H18606" s="12"/>
    </row>
    <row r="18607" spans="8:8">
      <c r="H18607" s="12"/>
    </row>
    <row r="18608" spans="8:8">
      <c r="H18608" s="12"/>
    </row>
    <row r="18609" spans="8:8">
      <c r="H18609" s="12"/>
    </row>
    <row r="18610" spans="8:8">
      <c r="H18610" s="12"/>
    </row>
    <row r="18611" spans="8:8">
      <c r="H18611" s="12"/>
    </row>
    <row r="18612" spans="8:8">
      <c r="H18612" s="12"/>
    </row>
    <row r="18613" spans="8:8">
      <c r="H18613" s="12"/>
    </row>
    <row r="18614" spans="8:8">
      <c r="H18614" s="12"/>
    </row>
    <row r="18615" spans="8:8">
      <c r="H18615" s="12"/>
    </row>
    <row r="18616" spans="8:8">
      <c r="H18616" s="12"/>
    </row>
    <row r="18617" spans="8:8">
      <c r="H18617" s="12"/>
    </row>
    <row r="18618" spans="8:8">
      <c r="H18618" s="12"/>
    </row>
    <row r="18619" spans="8:8">
      <c r="H18619" s="12"/>
    </row>
    <row r="18620" spans="8:8">
      <c r="H18620" s="12"/>
    </row>
    <row r="18621" spans="8:8">
      <c r="H18621" s="12"/>
    </row>
    <row r="18622" spans="8:8">
      <c r="H18622" s="12"/>
    </row>
    <row r="18623" spans="8:8">
      <c r="H18623" s="12"/>
    </row>
    <row r="18624" spans="8:8">
      <c r="H18624" s="12"/>
    </row>
    <row r="18625" spans="8:8">
      <c r="H18625" s="12"/>
    </row>
    <row r="18626" spans="8:8">
      <c r="H18626" s="12"/>
    </row>
    <row r="18627" spans="8:8">
      <c r="H18627" s="12"/>
    </row>
    <row r="18628" spans="8:8">
      <c r="H18628" s="12"/>
    </row>
    <row r="18629" spans="8:8">
      <c r="H18629" s="12"/>
    </row>
    <row r="18630" spans="8:8">
      <c r="H18630" s="12"/>
    </row>
    <row r="18631" spans="8:8">
      <c r="H18631" s="12"/>
    </row>
    <row r="18632" spans="8:8">
      <c r="H18632" s="12"/>
    </row>
    <row r="18633" spans="8:8">
      <c r="H18633" s="12"/>
    </row>
    <row r="18634" spans="8:8">
      <c r="H18634" s="12"/>
    </row>
    <row r="18635" spans="8:8">
      <c r="H18635" s="12"/>
    </row>
    <row r="18636" spans="8:8">
      <c r="H18636" s="12"/>
    </row>
    <row r="18637" spans="8:8">
      <c r="H18637" s="12"/>
    </row>
    <row r="18638" spans="8:8">
      <c r="H18638" s="12"/>
    </row>
    <row r="18639" spans="8:8">
      <c r="H18639" s="12"/>
    </row>
    <row r="18640" spans="8:8">
      <c r="H18640" s="12"/>
    </row>
    <row r="18641" spans="8:8">
      <c r="H18641" s="12"/>
    </row>
    <row r="18642" spans="8:8">
      <c r="H18642" s="12"/>
    </row>
    <row r="18643" spans="8:8">
      <c r="H18643" s="12"/>
    </row>
    <row r="18644" spans="8:8">
      <c r="H18644" s="12"/>
    </row>
    <row r="18645" spans="8:8">
      <c r="H18645" s="12"/>
    </row>
    <row r="18646" spans="8:8">
      <c r="H18646" s="12"/>
    </row>
    <row r="18647" spans="8:8">
      <c r="H18647" s="12"/>
    </row>
    <row r="18648" spans="8:8">
      <c r="H18648" s="12"/>
    </row>
    <row r="18649" spans="8:8">
      <c r="H18649" s="12"/>
    </row>
    <row r="18650" spans="8:8">
      <c r="H18650" s="12"/>
    </row>
    <row r="18651" spans="8:8">
      <c r="H18651" s="12"/>
    </row>
    <row r="18652" spans="8:8">
      <c r="H18652" s="12"/>
    </row>
    <row r="18653" spans="8:8">
      <c r="H18653" s="12"/>
    </row>
    <row r="18654" spans="8:8">
      <c r="H18654" s="12"/>
    </row>
    <row r="18655" spans="8:8">
      <c r="H18655" s="12"/>
    </row>
    <row r="18656" spans="8:8">
      <c r="H18656" s="12"/>
    </row>
    <row r="18657" spans="8:8">
      <c r="H18657" s="12"/>
    </row>
    <row r="18658" spans="8:8">
      <c r="H18658" s="12"/>
    </row>
    <row r="18659" spans="8:8">
      <c r="H18659" s="12"/>
    </row>
    <row r="18660" spans="8:8">
      <c r="H18660" s="12"/>
    </row>
    <row r="18661" spans="8:8">
      <c r="H18661" s="12"/>
    </row>
    <row r="18662" spans="8:8">
      <c r="H18662" s="12"/>
    </row>
    <row r="18663" spans="8:8">
      <c r="H18663" s="12"/>
    </row>
    <row r="18664" spans="8:8">
      <c r="H18664" s="12"/>
    </row>
    <row r="18665" spans="8:8">
      <c r="H18665" s="12"/>
    </row>
    <row r="18666" spans="8:8">
      <c r="H18666" s="12"/>
    </row>
    <row r="18667" spans="8:8">
      <c r="H18667" s="12"/>
    </row>
    <row r="18668" spans="8:8">
      <c r="H18668" s="12"/>
    </row>
    <row r="18669" spans="8:8">
      <c r="H18669" s="12"/>
    </row>
    <row r="18670" spans="8:8">
      <c r="H18670" s="12"/>
    </row>
    <row r="18671" spans="8:8">
      <c r="H18671" s="12"/>
    </row>
    <row r="18672" spans="8:8">
      <c r="H18672" s="12"/>
    </row>
    <row r="18673" spans="8:8">
      <c r="H18673" s="12"/>
    </row>
    <row r="18674" spans="8:8">
      <c r="H18674" s="12"/>
    </row>
    <row r="18675" spans="8:8">
      <c r="H18675" s="12"/>
    </row>
    <row r="18676" spans="8:8">
      <c r="H18676" s="12"/>
    </row>
    <row r="18677" spans="8:8">
      <c r="H18677" s="12"/>
    </row>
    <row r="18678" spans="8:8">
      <c r="H18678" s="12"/>
    </row>
    <row r="18679" spans="8:8">
      <c r="H18679" s="12"/>
    </row>
    <row r="18680" spans="8:8">
      <c r="H18680" s="12"/>
    </row>
    <row r="18681" spans="8:8">
      <c r="H18681" s="12"/>
    </row>
    <row r="18682" spans="8:8">
      <c r="H18682" s="12"/>
    </row>
    <row r="18683" spans="8:8">
      <c r="H18683" s="12"/>
    </row>
    <row r="18684" spans="8:8">
      <c r="H18684" s="12"/>
    </row>
    <row r="18685" spans="8:8">
      <c r="H18685" s="12"/>
    </row>
    <row r="18686" spans="8:8">
      <c r="H18686" s="12"/>
    </row>
    <row r="18687" spans="8:8">
      <c r="H18687" s="12"/>
    </row>
    <row r="18688" spans="8:8">
      <c r="H18688" s="12"/>
    </row>
    <row r="18689" spans="8:8">
      <c r="H18689" s="12"/>
    </row>
    <row r="18690" spans="8:8">
      <c r="H18690" s="12"/>
    </row>
    <row r="18691" spans="8:8">
      <c r="H18691" s="12"/>
    </row>
    <row r="18692" spans="8:8">
      <c r="H18692" s="12"/>
    </row>
    <row r="18693" spans="8:8">
      <c r="H18693" s="12"/>
    </row>
    <row r="18694" spans="8:8">
      <c r="H18694" s="12"/>
    </row>
    <row r="18695" spans="8:8">
      <c r="H18695" s="12"/>
    </row>
    <row r="18696" spans="8:8">
      <c r="H18696" s="12"/>
    </row>
    <row r="18697" spans="8:8">
      <c r="H18697" s="12"/>
    </row>
    <row r="18698" spans="8:8">
      <c r="H18698" s="12"/>
    </row>
    <row r="18699" spans="8:8">
      <c r="H18699" s="12"/>
    </row>
    <row r="18700" spans="8:8">
      <c r="H18700" s="12"/>
    </row>
    <row r="18701" spans="8:8">
      <c r="H18701" s="12"/>
    </row>
    <row r="18702" spans="8:8">
      <c r="H18702" s="12"/>
    </row>
    <row r="18703" spans="8:8">
      <c r="H18703" s="12"/>
    </row>
    <row r="18704" spans="8:8">
      <c r="H18704" s="12"/>
    </row>
    <row r="18705" spans="8:8">
      <c r="H18705" s="12"/>
    </row>
    <row r="18706" spans="8:8">
      <c r="H18706" s="12"/>
    </row>
    <row r="18707" spans="8:8">
      <c r="H18707" s="12"/>
    </row>
    <row r="18708" spans="8:8">
      <c r="H18708" s="12"/>
    </row>
    <row r="18709" spans="8:8">
      <c r="H18709" s="12"/>
    </row>
    <row r="18710" spans="8:8">
      <c r="H18710" s="12"/>
    </row>
    <row r="18711" spans="8:8">
      <c r="H18711" s="12"/>
    </row>
    <row r="18712" spans="8:8">
      <c r="H18712" s="12"/>
    </row>
    <row r="18713" spans="8:8">
      <c r="H18713" s="12"/>
    </row>
    <row r="18714" spans="8:8">
      <c r="H18714" s="12"/>
    </row>
    <row r="18715" spans="8:8">
      <c r="H18715" s="12"/>
    </row>
    <row r="18716" spans="8:8">
      <c r="H18716" s="12"/>
    </row>
    <row r="18717" spans="8:8">
      <c r="H18717" s="12"/>
    </row>
    <row r="18718" spans="8:8">
      <c r="H18718" s="12"/>
    </row>
    <row r="18719" spans="8:8">
      <c r="H18719" s="12"/>
    </row>
    <row r="18720" spans="8:8">
      <c r="H18720" s="12"/>
    </row>
    <row r="18721" spans="8:8">
      <c r="H18721" s="12"/>
    </row>
    <row r="18722" spans="8:8">
      <c r="H18722" s="12"/>
    </row>
    <row r="18723" spans="8:8">
      <c r="H18723" s="12"/>
    </row>
    <row r="18724" spans="8:8">
      <c r="H18724" s="12"/>
    </row>
    <row r="18725" spans="8:8">
      <c r="H18725" s="12"/>
    </row>
    <row r="18726" spans="8:8">
      <c r="H18726" s="12"/>
    </row>
    <row r="18727" spans="8:8">
      <c r="H18727" s="12"/>
    </row>
    <row r="18728" spans="8:8">
      <c r="H18728" s="12"/>
    </row>
    <row r="18729" spans="8:8">
      <c r="H18729" s="12"/>
    </row>
    <row r="18730" spans="8:8">
      <c r="H18730" s="12"/>
    </row>
    <row r="18731" spans="8:8">
      <c r="H18731" s="12"/>
    </row>
    <row r="18732" spans="8:8">
      <c r="H18732" s="12"/>
    </row>
    <row r="18733" spans="8:8">
      <c r="H18733" s="12"/>
    </row>
    <row r="18734" spans="8:8">
      <c r="H18734" s="12"/>
    </row>
    <row r="18735" spans="8:8">
      <c r="H18735" s="12"/>
    </row>
    <row r="18736" spans="8:8">
      <c r="H18736" s="12"/>
    </row>
    <row r="18737" spans="8:8">
      <c r="H18737" s="12"/>
    </row>
    <row r="18738" spans="8:8">
      <c r="H18738" s="12"/>
    </row>
    <row r="18739" spans="8:8">
      <c r="H18739" s="12"/>
    </row>
    <row r="18740" spans="8:8">
      <c r="H18740" s="12"/>
    </row>
    <row r="18741" spans="8:8">
      <c r="H18741" s="12"/>
    </row>
    <row r="18742" spans="8:8">
      <c r="H18742" s="12"/>
    </row>
    <row r="18743" spans="8:8">
      <c r="H18743" s="12"/>
    </row>
    <row r="18744" spans="8:8">
      <c r="H18744" s="12"/>
    </row>
    <row r="18745" spans="8:8">
      <c r="H18745" s="12"/>
    </row>
    <row r="18746" spans="8:8">
      <c r="H18746" s="12"/>
    </row>
    <row r="18747" spans="8:8">
      <c r="H18747" s="12"/>
    </row>
    <row r="18748" spans="8:8">
      <c r="H18748" s="12"/>
    </row>
    <row r="18749" spans="8:8">
      <c r="H18749" s="12"/>
    </row>
    <row r="18750" spans="8:8">
      <c r="H18750" s="12"/>
    </row>
    <row r="18751" spans="8:8">
      <c r="H18751" s="12"/>
    </row>
    <row r="18752" spans="8:8">
      <c r="H18752" s="12"/>
    </row>
    <row r="18753" spans="8:8">
      <c r="H18753" s="12"/>
    </row>
    <row r="18754" spans="8:8">
      <c r="H18754" s="12"/>
    </row>
    <row r="18755" spans="8:8">
      <c r="H18755" s="12"/>
    </row>
    <row r="18756" spans="8:8">
      <c r="H18756" s="12"/>
    </row>
    <row r="18757" spans="8:8">
      <c r="H18757" s="12"/>
    </row>
    <row r="18758" spans="8:8">
      <c r="H18758" s="12"/>
    </row>
    <row r="18759" spans="8:8">
      <c r="H18759" s="12"/>
    </row>
    <row r="18760" spans="8:8">
      <c r="H18760" s="12"/>
    </row>
    <row r="18761" spans="8:8">
      <c r="H18761" s="12"/>
    </row>
    <row r="18762" spans="8:8">
      <c r="H18762" s="12"/>
    </row>
    <row r="18763" spans="8:8">
      <c r="H18763" s="12"/>
    </row>
    <row r="18764" spans="8:8">
      <c r="H18764" s="12"/>
    </row>
    <row r="18765" spans="8:8">
      <c r="H18765" s="12"/>
    </row>
    <row r="18766" spans="8:8">
      <c r="H18766" s="12"/>
    </row>
    <row r="18767" spans="8:8">
      <c r="H18767" s="12"/>
    </row>
    <row r="18768" spans="8:8">
      <c r="H18768" s="12"/>
    </row>
    <row r="18769" spans="8:8">
      <c r="H18769" s="12"/>
    </row>
    <row r="18770" spans="8:8">
      <c r="H18770" s="12"/>
    </row>
    <row r="18771" spans="8:8">
      <c r="H18771" s="12"/>
    </row>
    <row r="18772" spans="8:8">
      <c r="H18772" s="12"/>
    </row>
    <row r="18773" spans="8:8">
      <c r="H18773" s="12"/>
    </row>
    <row r="18774" spans="8:8">
      <c r="H18774" s="12"/>
    </row>
    <row r="18775" spans="8:8">
      <c r="H18775" s="12"/>
    </row>
    <row r="18776" spans="8:8">
      <c r="H18776" s="12"/>
    </row>
    <row r="18777" spans="8:8">
      <c r="H18777" s="12"/>
    </row>
    <row r="18778" spans="8:8">
      <c r="H18778" s="12"/>
    </row>
    <row r="18779" spans="8:8">
      <c r="H18779" s="12"/>
    </row>
    <row r="18780" spans="8:8">
      <c r="H18780" s="12"/>
    </row>
    <row r="18781" spans="8:8">
      <c r="H18781" s="12"/>
    </row>
    <row r="18782" spans="8:8">
      <c r="H18782" s="12"/>
    </row>
    <row r="18783" spans="8:8">
      <c r="H18783" s="12"/>
    </row>
    <row r="18784" spans="8:8">
      <c r="H18784" s="12"/>
    </row>
    <row r="18785" spans="8:8">
      <c r="H18785" s="12"/>
    </row>
    <row r="18786" spans="8:8">
      <c r="H18786" s="12"/>
    </row>
    <row r="18787" spans="8:8">
      <c r="H18787" s="12"/>
    </row>
    <row r="18788" spans="8:8">
      <c r="H18788" s="12"/>
    </row>
    <row r="18789" spans="8:8">
      <c r="H18789" s="12"/>
    </row>
    <row r="18790" spans="8:8">
      <c r="H18790" s="12"/>
    </row>
    <row r="18791" spans="8:8">
      <c r="H18791" s="12"/>
    </row>
    <row r="18792" spans="8:8">
      <c r="H18792" s="12"/>
    </row>
    <row r="18793" spans="8:8">
      <c r="H18793" s="12"/>
    </row>
    <row r="18794" spans="8:8">
      <c r="H18794" s="12"/>
    </row>
    <row r="18795" spans="8:8">
      <c r="H18795" s="12"/>
    </row>
    <row r="18796" spans="8:8">
      <c r="H18796" s="12"/>
    </row>
    <row r="18797" spans="8:8">
      <c r="H18797" s="12"/>
    </row>
    <row r="18798" spans="8:8">
      <c r="H18798" s="12"/>
    </row>
    <row r="18799" spans="8:8">
      <c r="H18799" s="12"/>
    </row>
    <row r="18800" spans="8:8">
      <c r="H18800" s="12"/>
    </row>
    <row r="18801" spans="8:8">
      <c r="H18801" s="12"/>
    </row>
    <row r="18802" spans="8:8">
      <c r="H18802" s="12"/>
    </row>
    <row r="18803" spans="8:8">
      <c r="H18803" s="12"/>
    </row>
    <row r="18804" spans="8:8">
      <c r="H18804" s="12"/>
    </row>
    <row r="18805" spans="8:8">
      <c r="H18805" s="12"/>
    </row>
    <row r="18806" spans="8:8">
      <c r="H18806" s="12"/>
    </row>
    <row r="18807" spans="8:8">
      <c r="H18807" s="12"/>
    </row>
    <row r="18808" spans="8:8">
      <c r="H18808" s="12"/>
    </row>
    <row r="18809" spans="8:8">
      <c r="H18809" s="12"/>
    </row>
    <row r="18810" spans="8:8">
      <c r="H18810" s="12"/>
    </row>
    <row r="18811" spans="8:8">
      <c r="H18811" s="12"/>
    </row>
    <row r="18812" spans="8:8">
      <c r="H18812" s="12"/>
    </row>
    <row r="18813" spans="8:8">
      <c r="H18813" s="12"/>
    </row>
    <row r="18814" spans="8:8">
      <c r="H18814" s="12"/>
    </row>
    <row r="18815" spans="8:8">
      <c r="H18815" s="12"/>
    </row>
    <row r="18816" spans="8:8">
      <c r="H18816" s="12"/>
    </row>
    <row r="18817" spans="8:8">
      <c r="H18817" s="12"/>
    </row>
    <row r="18818" spans="8:8">
      <c r="H18818" s="12"/>
    </row>
    <row r="18819" spans="8:8">
      <c r="H18819" s="12"/>
    </row>
    <row r="18820" spans="8:8">
      <c r="H18820" s="12"/>
    </row>
    <row r="18821" spans="8:8">
      <c r="H18821" s="12"/>
    </row>
    <row r="18822" spans="8:8">
      <c r="H18822" s="12"/>
    </row>
    <row r="18823" spans="8:8">
      <c r="H18823" s="12"/>
    </row>
    <row r="18824" spans="8:8">
      <c r="H18824" s="12"/>
    </row>
    <row r="18825" spans="8:8">
      <c r="H18825" s="12"/>
    </row>
    <row r="18826" spans="8:8">
      <c r="H18826" s="12"/>
    </row>
    <row r="18827" spans="8:8">
      <c r="H18827" s="12"/>
    </row>
    <row r="18828" spans="8:8">
      <c r="H18828" s="12"/>
    </row>
    <row r="18829" spans="8:8">
      <c r="H18829" s="12"/>
    </row>
    <row r="18830" spans="8:8">
      <c r="H18830" s="12"/>
    </row>
    <row r="18831" spans="8:8">
      <c r="H18831" s="12"/>
    </row>
    <row r="18832" spans="8:8">
      <c r="H18832" s="12"/>
    </row>
    <row r="18833" spans="8:8">
      <c r="H18833" s="12"/>
    </row>
    <row r="18834" spans="8:8">
      <c r="H18834" s="12"/>
    </row>
    <row r="18835" spans="8:8">
      <c r="H18835" s="12"/>
    </row>
    <row r="18836" spans="8:8">
      <c r="H18836" s="12"/>
    </row>
    <row r="18837" spans="8:8">
      <c r="H18837" s="12"/>
    </row>
    <row r="18838" spans="8:8">
      <c r="H18838" s="12"/>
    </row>
    <row r="18839" spans="8:8">
      <c r="H18839" s="12"/>
    </row>
    <row r="18840" spans="8:8">
      <c r="H18840" s="12"/>
    </row>
    <row r="18841" spans="8:8">
      <c r="H18841" s="12"/>
    </row>
    <row r="18842" spans="8:8">
      <c r="H18842" s="12"/>
    </row>
    <row r="18843" spans="8:8">
      <c r="H18843" s="12"/>
    </row>
    <row r="18844" spans="8:8">
      <c r="H18844" s="12"/>
    </row>
    <row r="18845" spans="8:8">
      <c r="H18845" s="12"/>
    </row>
    <row r="18846" spans="8:8">
      <c r="H18846" s="12"/>
    </row>
    <row r="18847" spans="8:8">
      <c r="H18847" s="12"/>
    </row>
    <row r="18848" spans="8:8">
      <c r="H18848" s="12"/>
    </row>
    <row r="18849" spans="8:8">
      <c r="H18849" s="12"/>
    </row>
    <row r="18850" spans="8:8">
      <c r="H18850" s="12"/>
    </row>
    <row r="18851" spans="8:8">
      <c r="H18851" s="12"/>
    </row>
    <row r="18852" spans="8:8">
      <c r="H18852" s="12"/>
    </row>
    <row r="18853" spans="8:8">
      <c r="H18853" s="12"/>
    </row>
    <row r="18854" spans="8:8">
      <c r="H18854" s="12"/>
    </row>
    <row r="18855" spans="8:8">
      <c r="H18855" s="12"/>
    </row>
    <row r="18856" spans="8:8">
      <c r="H18856" s="12"/>
    </row>
    <row r="18857" spans="8:8">
      <c r="H18857" s="12"/>
    </row>
    <row r="18858" spans="8:8">
      <c r="H18858" s="12"/>
    </row>
    <row r="18859" spans="8:8">
      <c r="H18859" s="12"/>
    </row>
    <row r="18860" spans="8:8">
      <c r="H18860" s="12"/>
    </row>
    <row r="18861" spans="8:8">
      <c r="H18861" s="12"/>
    </row>
    <row r="18862" spans="8:8">
      <c r="H18862" s="12"/>
    </row>
    <row r="18863" spans="8:8">
      <c r="H18863" s="12"/>
    </row>
    <row r="18864" spans="8:8">
      <c r="H18864" s="12"/>
    </row>
    <row r="18865" spans="8:8">
      <c r="H18865" s="12"/>
    </row>
    <row r="18866" spans="8:8">
      <c r="H18866" s="12"/>
    </row>
    <row r="18867" spans="8:8">
      <c r="H18867" s="12"/>
    </row>
    <row r="18868" spans="8:8">
      <c r="H18868" s="12"/>
    </row>
    <row r="18869" spans="8:8">
      <c r="H18869" s="12"/>
    </row>
    <row r="18870" spans="8:8">
      <c r="H18870" s="12"/>
    </row>
    <row r="18871" spans="8:8">
      <c r="H18871" s="12"/>
    </row>
    <row r="18872" spans="8:8">
      <c r="H18872" s="12"/>
    </row>
    <row r="18873" spans="8:8">
      <c r="H18873" s="12"/>
    </row>
    <row r="18874" spans="8:8">
      <c r="H18874" s="12"/>
    </row>
    <row r="18875" spans="8:8">
      <c r="H18875" s="12"/>
    </row>
    <row r="18876" spans="8:8">
      <c r="H18876" s="12"/>
    </row>
    <row r="18877" spans="8:8">
      <c r="H18877" s="12"/>
    </row>
    <row r="18878" spans="8:8">
      <c r="H18878" s="12"/>
    </row>
    <row r="18879" spans="8:8">
      <c r="H18879" s="12"/>
    </row>
    <row r="18880" spans="8:8">
      <c r="H18880" s="12"/>
    </row>
    <row r="18881" spans="8:8">
      <c r="H18881" s="12"/>
    </row>
    <row r="18882" spans="8:8">
      <c r="H18882" s="12"/>
    </row>
    <row r="18883" spans="8:8">
      <c r="H18883" s="12"/>
    </row>
    <row r="18884" spans="8:8">
      <c r="H18884" s="12"/>
    </row>
    <row r="18885" spans="8:8">
      <c r="H18885" s="12"/>
    </row>
    <row r="18886" spans="8:8">
      <c r="H18886" s="12"/>
    </row>
    <row r="18887" spans="8:8">
      <c r="H18887" s="12"/>
    </row>
    <row r="18888" spans="8:8">
      <c r="H18888" s="12"/>
    </row>
    <row r="18889" spans="8:8">
      <c r="H18889" s="12"/>
    </row>
    <row r="18890" spans="8:8">
      <c r="H18890" s="12"/>
    </row>
    <row r="18891" spans="8:8">
      <c r="H18891" s="12"/>
    </row>
    <row r="18892" spans="8:8">
      <c r="H18892" s="12"/>
    </row>
    <row r="18893" spans="8:8">
      <c r="H18893" s="12"/>
    </row>
    <row r="18894" spans="8:8">
      <c r="H18894" s="12"/>
    </row>
    <row r="18895" spans="8:8">
      <c r="H18895" s="12"/>
    </row>
    <row r="18896" spans="8:8">
      <c r="H18896" s="12"/>
    </row>
    <row r="18897" spans="8:8">
      <c r="H18897" s="12"/>
    </row>
    <row r="18898" spans="8:8">
      <c r="H18898" s="12"/>
    </row>
    <row r="18899" spans="8:8">
      <c r="H18899" s="12"/>
    </row>
    <row r="18900" spans="8:8">
      <c r="H18900" s="12"/>
    </row>
    <row r="18901" spans="8:8">
      <c r="H18901" s="12"/>
    </row>
    <row r="18902" spans="8:8">
      <c r="H18902" s="12"/>
    </row>
    <row r="18903" spans="8:8">
      <c r="H18903" s="12"/>
    </row>
    <row r="18904" spans="8:8">
      <c r="H18904" s="12"/>
    </row>
    <row r="18905" spans="8:8">
      <c r="H18905" s="12"/>
    </row>
    <row r="18906" spans="8:8">
      <c r="H18906" s="12"/>
    </row>
    <row r="18907" spans="8:8">
      <c r="H18907" s="12"/>
    </row>
    <row r="18908" spans="8:8">
      <c r="H18908" s="12"/>
    </row>
    <row r="18909" spans="8:8">
      <c r="H18909" s="12"/>
    </row>
    <row r="18910" spans="8:8">
      <c r="H18910" s="12"/>
    </row>
    <row r="18911" spans="8:8">
      <c r="H18911" s="12"/>
    </row>
    <row r="18912" spans="8:8">
      <c r="H18912" s="12"/>
    </row>
    <row r="18913" spans="8:8">
      <c r="H18913" s="12"/>
    </row>
    <row r="18914" spans="8:8">
      <c r="H18914" s="12"/>
    </row>
    <row r="18915" spans="8:8">
      <c r="H18915" s="12"/>
    </row>
    <row r="18916" spans="8:8">
      <c r="H18916" s="12"/>
    </row>
    <row r="18917" spans="8:8">
      <c r="H18917" s="12"/>
    </row>
    <row r="18918" spans="8:8">
      <c r="H18918" s="12"/>
    </row>
    <row r="18919" spans="8:8">
      <c r="H18919" s="12"/>
    </row>
    <row r="18920" spans="8:8">
      <c r="H18920" s="12"/>
    </row>
    <row r="18921" spans="8:8">
      <c r="H18921" s="12"/>
    </row>
    <row r="18922" spans="8:8">
      <c r="H18922" s="12"/>
    </row>
    <row r="18923" spans="8:8">
      <c r="H18923" s="12"/>
    </row>
    <row r="18924" spans="8:8">
      <c r="H18924" s="12"/>
    </row>
    <row r="18925" spans="8:8">
      <c r="H18925" s="12"/>
    </row>
    <row r="18926" spans="8:8">
      <c r="H18926" s="12"/>
    </row>
    <row r="18927" spans="8:8">
      <c r="H18927" s="12"/>
    </row>
    <row r="18928" spans="8:8">
      <c r="H18928" s="12"/>
    </row>
    <row r="18929" spans="8:8">
      <c r="H18929" s="12"/>
    </row>
    <row r="18930" spans="8:8">
      <c r="H18930" s="12"/>
    </row>
    <row r="18931" spans="8:8">
      <c r="H18931" s="12"/>
    </row>
    <row r="18932" spans="8:8">
      <c r="H18932" s="12"/>
    </row>
    <row r="18933" spans="8:8">
      <c r="H18933" s="12"/>
    </row>
    <row r="18934" spans="8:8">
      <c r="H18934" s="12"/>
    </row>
    <row r="18935" spans="8:8">
      <c r="H18935" s="12"/>
    </row>
    <row r="18936" spans="8:8">
      <c r="H18936" s="12"/>
    </row>
    <row r="18937" spans="8:8">
      <c r="H18937" s="12"/>
    </row>
    <row r="18938" spans="8:8">
      <c r="H18938" s="12"/>
    </row>
    <row r="18939" spans="8:8">
      <c r="H18939" s="12"/>
    </row>
    <row r="18940" spans="8:8">
      <c r="H18940" s="12"/>
    </row>
    <row r="18941" spans="8:8">
      <c r="H18941" s="12"/>
    </row>
    <row r="18942" spans="8:8">
      <c r="H18942" s="12"/>
    </row>
    <row r="18943" spans="8:8">
      <c r="H18943" s="12"/>
    </row>
    <row r="18944" spans="8:8">
      <c r="H18944" s="12"/>
    </row>
    <row r="18945" spans="8:8">
      <c r="H18945" s="12"/>
    </row>
    <row r="18946" spans="8:8">
      <c r="H18946" s="12"/>
    </row>
    <row r="18947" spans="8:8">
      <c r="H18947" s="12"/>
    </row>
    <row r="18948" spans="8:8">
      <c r="H18948" s="12"/>
    </row>
    <row r="18949" spans="8:8">
      <c r="H18949" s="12"/>
    </row>
    <row r="18950" spans="8:8">
      <c r="H18950" s="12"/>
    </row>
    <row r="18951" spans="8:8">
      <c r="H18951" s="12"/>
    </row>
    <row r="18952" spans="8:8">
      <c r="H18952" s="12"/>
    </row>
    <row r="18953" spans="8:8">
      <c r="H18953" s="12"/>
    </row>
    <row r="18954" spans="8:8">
      <c r="H18954" s="12"/>
    </row>
    <row r="18955" spans="8:8">
      <c r="H18955" s="12"/>
    </row>
    <row r="18956" spans="8:8">
      <c r="H18956" s="12"/>
    </row>
    <row r="18957" spans="8:8">
      <c r="H18957" s="12"/>
    </row>
    <row r="18958" spans="8:8">
      <c r="H18958" s="12"/>
    </row>
    <row r="18959" spans="8:8">
      <c r="H18959" s="12"/>
    </row>
    <row r="18960" spans="8:8">
      <c r="H18960" s="12"/>
    </row>
    <row r="18961" spans="8:8">
      <c r="H18961" s="12"/>
    </row>
    <row r="18962" spans="8:8">
      <c r="H18962" s="12"/>
    </row>
    <row r="18963" spans="8:8">
      <c r="H18963" s="12"/>
    </row>
    <row r="18964" spans="8:8">
      <c r="H18964" s="12"/>
    </row>
    <row r="18965" spans="8:8">
      <c r="H18965" s="12"/>
    </row>
    <row r="18966" spans="8:8">
      <c r="H18966" s="12"/>
    </row>
    <row r="18967" spans="8:8">
      <c r="H18967" s="12"/>
    </row>
    <row r="18968" spans="8:8">
      <c r="H18968" s="12"/>
    </row>
    <row r="18969" spans="8:8">
      <c r="H18969" s="12"/>
    </row>
    <row r="18970" spans="8:8">
      <c r="H18970" s="12"/>
    </row>
    <row r="18971" spans="8:8">
      <c r="H18971" s="12"/>
    </row>
    <row r="18972" spans="8:8">
      <c r="H18972" s="12"/>
    </row>
    <row r="18973" spans="8:8">
      <c r="H18973" s="12"/>
    </row>
    <row r="18974" spans="8:8">
      <c r="H18974" s="12"/>
    </row>
    <row r="18975" spans="8:8">
      <c r="H18975" s="12"/>
    </row>
    <row r="18976" spans="8:8">
      <c r="H18976" s="12"/>
    </row>
    <row r="18977" spans="8:8">
      <c r="H18977" s="12"/>
    </row>
    <row r="18978" spans="8:8">
      <c r="H18978" s="12"/>
    </row>
    <row r="18979" spans="8:8">
      <c r="H18979" s="12"/>
    </row>
    <row r="18980" spans="8:8">
      <c r="H18980" s="12"/>
    </row>
    <row r="18981" spans="8:8">
      <c r="H18981" s="12"/>
    </row>
    <row r="18982" spans="8:8">
      <c r="H18982" s="12"/>
    </row>
    <row r="18983" spans="8:8">
      <c r="H18983" s="12"/>
    </row>
    <row r="18984" spans="8:8">
      <c r="H18984" s="12"/>
    </row>
    <row r="18985" spans="8:8">
      <c r="H18985" s="12"/>
    </row>
    <row r="18986" spans="8:8">
      <c r="H18986" s="12"/>
    </row>
    <row r="18987" spans="8:8">
      <c r="H18987" s="12"/>
    </row>
    <row r="18988" spans="8:8">
      <c r="H18988" s="12"/>
    </row>
    <row r="18989" spans="8:8">
      <c r="H18989" s="12"/>
    </row>
    <row r="18990" spans="8:8">
      <c r="H18990" s="12"/>
    </row>
    <row r="18991" spans="8:8">
      <c r="H18991" s="12"/>
    </row>
    <row r="18992" spans="8:8">
      <c r="H18992" s="12"/>
    </row>
    <row r="18993" spans="8:8">
      <c r="H18993" s="12"/>
    </row>
    <row r="18994" spans="8:8">
      <c r="H18994" s="12"/>
    </row>
    <row r="18995" spans="8:8">
      <c r="H18995" s="12"/>
    </row>
    <row r="18996" spans="8:8">
      <c r="H18996" s="12"/>
    </row>
    <row r="18997" spans="8:8">
      <c r="H18997" s="12"/>
    </row>
    <row r="18998" spans="8:8">
      <c r="H18998" s="12"/>
    </row>
    <row r="18999" spans="8:8">
      <c r="H18999" s="12"/>
    </row>
    <row r="19000" spans="8:8">
      <c r="H19000" s="12"/>
    </row>
    <row r="19001" spans="8:8">
      <c r="H19001" s="12"/>
    </row>
    <row r="19002" spans="8:8">
      <c r="H19002" s="12"/>
    </row>
    <row r="19003" spans="8:8">
      <c r="H19003" s="12"/>
    </row>
    <row r="19004" spans="8:8">
      <c r="H19004" s="12"/>
    </row>
    <row r="19005" spans="8:8">
      <c r="H19005" s="12"/>
    </row>
    <row r="19006" spans="8:8">
      <c r="H19006" s="12"/>
    </row>
    <row r="19007" spans="8:8">
      <c r="H19007" s="12"/>
    </row>
    <row r="19008" spans="8:8">
      <c r="H19008" s="12"/>
    </row>
    <row r="19009" spans="8:8">
      <c r="H19009" s="12"/>
    </row>
    <row r="19010" spans="8:8">
      <c r="H19010" s="12"/>
    </row>
    <row r="19011" spans="8:8">
      <c r="H19011" s="12"/>
    </row>
    <row r="19012" spans="8:8">
      <c r="H19012" s="12"/>
    </row>
    <row r="19013" spans="8:8">
      <c r="H19013" s="12"/>
    </row>
    <row r="19014" spans="8:8">
      <c r="H19014" s="12"/>
    </row>
    <row r="19015" spans="8:8">
      <c r="H19015" s="12"/>
    </row>
    <row r="19016" spans="8:8">
      <c r="H19016" s="12"/>
    </row>
    <row r="19017" spans="8:8">
      <c r="H19017" s="12"/>
    </row>
    <row r="19018" spans="8:8">
      <c r="H19018" s="12"/>
    </row>
    <row r="19019" spans="8:8">
      <c r="H19019" s="12"/>
    </row>
    <row r="19020" spans="8:8">
      <c r="H19020" s="12"/>
    </row>
    <row r="19021" spans="8:8">
      <c r="H19021" s="12"/>
    </row>
    <row r="19022" spans="8:8">
      <c r="H19022" s="12"/>
    </row>
    <row r="19023" spans="8:8">
      <c r="H19023" s="12"/>
    </row>
    <row r="19024" spans="8:8">
      <c r="H19024" s="12"/>
    </row>
    <row r="19025" spans="8:8">
      <c r="H19025" s="12"/>
    </row>
    <row r="19026" spans="8:8">
      <c r="H19026" s="12"/>
    </row>
    <row r="19027" spans="8:8">
      <c r="H19027" s="12"/>
    </row>
    <row r="19028" spans="8:8">
      <c r="H19028" s="12"/>
    </row>
    <row r="19029" spans="8:8">
      <c r="H19029" s="12"/>
    </row>
    <row r="19030" spans="8:8">
      <c r="H19030" s="12"/>
    </row>
    <row r="19031" spans="8:8">
      <c r="H19031" s="12"/>
    </row>
    <row r="19032" spans="8:8">
      <c r="H19032" s="12"/>
    </row>
    <row r="19033" spans="8:8">
      <c r="H19033" s="12"/>
    </row>
    <row r="19034" spans="8:8">
      <c r="H19034" s="12"/>
    </row>
    <row r="19035" spans="8:8">
      <c r="H19035" s="12"/>
    </row>
    <row r="19036" spans="8:8">
      <c r="H19036" s="12"/>
    </row>
    <row r="19037" spans="8:8">
      <c r="H19037" s="12"/>
    </row>
    <row r="19038" spans="8:8">
      <c r="H19038" s="12"/>
    </row>
    <row r="19039" spans="8:8">
      <c r="H19039" s="12"/>
    </row>
    <row r="19040" spans="8:8">
      <c r="H19040" s="12"/>
    </row>
    <row r="19041" spans="8:8">
      <c r="H19041" s="12"/>
    </row>
    <row r="19042" spans="8:8">
      <c r="H19042" s="12"/>
    </row>
    <row r="19043" spans="8:8">
      <c r="H19043" s="12"/>
    </row>
    <row r="19044" spans="8:8">
      <c r="H19044" s="12"/>
    </row>
    <row r="19045" spans="8:8">
      <c r="H19045" s="12"/>
    </row>
    <row r="19046" spans="8:8">
      <c r="H19046" s="12"/>
    </row>
    <row r="19047" spans="8:8">
      <c r="H19047" s="12"/>
    </row>
    <row r="19048" spans="8:8">
      <c r="H19048" s="12"/>
    </row>
    <row r="19049" spans="8:8">
      <c r="H19049" s="12"/>
    </row>
    <row r="19050" spans="8:8">
      <c r="H19050" s="12"/>
    </row>
    <row r="19051" spans="8:8">
      <c r="H19051" s="12"/>
    </row>
    <row r="19052" spans="8:8">
      <c r="H19052" s="12"/>
    </row>
    <row r="19053" spans="8:8">
      <c r="H19053" s="12"/>
    </row>
    <row r="19054" spans="8:8">
      <c r="H19054" s="12"/>
    </row>
    <row r="19055" spans="8:8">
      <c r="H19055" s="12"/>
    </row>
    <row r="19056" spans="8:8">
      <c r="H19056" s="12"/>
    </row>
    <row r="19057" spans="8:8">
      <c r="H19057" s="12"/>
    </row>
    <row r="19058" spans="8:8">
      <c r="H19058" s="12"/>
    </row>
    <row r="19059" spans="8:8">
      <c r="H19059" s="12"/>
    </row>
    <row r="19060" spans="8:8">
      <c r="H19060" s="12"/>
    </row>
    <row r="19061" spans="8:8">
      <c r="H19061" s="12"/>
    </row>
    <row r="19062" spans="8:8">
      <c r="H19062" s="12"/>
    </row>
    <row r="19063" spans="8:8">
      <c r="H19063" s="12"/>
    </row>
    <row r="19064" spans="8:8">
      <c r="H19064" s="12"/>
    </row>
    <row r="19065" spans="8:8">
      <c r="H19065" s="12"/>
    </row>
    <row r="19066" spans="8:8">
      <c r="H19066" s="12"/>
    </row>
    <row r="19067" spans="8:8">
      <c r="H19067" s="12"/>
    </row>
    <row r="19068" spans="8:8">
      <c r="H19068" s="12"/>
    </row>
    <row r="19069" spans="8:8">
      <c r="H19069" s="12"/>
    </row>
    <row r="19070" spans="8:8">
      <c r="H19070" s="12"/>
    </row>
    <row r="19071" spans="8:8">
      <c r="H19071" s="12"/>
    </row>
    <row r="19072" spans="8:8">
      <c r="H19072" s="12"/>
    </row>
    <row r="19073" spans="8:8">
      <c r="H19073" s="12"/>
    </row>
    <row r="19074" spans="8:8">
      <c r="H19074" s="12"/>
    </row>
    <row r="19075" spans="8:8">
      <c r="H19075" s="12"/>
    </row>
    <row r="19076" spans="8:8">
      <c r="H19076" s="12"/>
    </row>
    <row r="19077" spans="8:8">
      <c r="H19077" s="12"/>
    </row>
    <row r="19078" spans="8:8">
      <c r="H19078" s="12"/>
    </row>
    <row r="19079" spans="8:8">
      <c r="H19079" s="12"/>
    </row>
    <row r="19080" spans="8:8">
      <c r="H19080" s="12"/>
    </row>
    <row r="19081" spans="8:8">
      <c r="H19081" s="12"/>
    </row>
    <row r="19082" spans="8:8">
      <c r="H19082" s="12"/>
    </row>
    <row r="19083" spans="8:8">
      <c r="H19083" s="12"/>
    </row>
    <row r="19084" spans="8:8">
      <c r="H19084" s="12"/>
    </row>
    <row r="19085" spans="8:8">
      <c r="H19085" s="12"/>
    </row>
    <row r="19086" spans="8:8">
      <c r="H19086" s="12"/>
    </row>
    <row r="19087" spans="8:8">
      <c r="H19087" s="12"/>
    </row>
    <row r="19088" spans="8:8">
      <c r="H19088" s="12"/>
    </row>
    <row r="19089" spans="8:8">
      <c r="H19089" s="12"/>
    </row>
    <row r="19090" spans="8:8">
      <c r="H19090" s="12"/>
    </row>
    <row r="19091" spans="8:8">
      <c r="H19091" s="12"/>
    </row>
    <row r="19092" spans="8:8">
      <c r="H19092" s="12"/>
    </row>
    <row r="19093" spans="8:8">
      <c r="H19093" s="12"/>
    </row>
    <row r="19094" spans="8:8">
      <c r="H19094" s="12"/>
    </row>
    <row r="19095" spans="8:8">
      <c r="H19095" s="12"/>
    </row>
    <row r="19096" spans="8:8">
      <c r="H19096" s="12"/>
    </row>
    <row r="19097" spans="8:8">
      <c r="H19097" s="12"/>
    </row>
    <row r="19098" spans="8:8">
      <c r="H19098" s="12"/>
    </row>
    <row r="19099" spans="8:8">
      <c r="H19099" s="12"/>
    </row>
    <row r="19100" spans="8:8">
      <c r="H19100" s="12"/>
    </row>
    <row r="19101" spans="8:8">
      <c r="H19101" s="12"/>
    </row>
    <row r="19102" spans="8:8">
      <c r="H19102" s="12"/>
    </row>
    <row r="19103" spans="8:8">
      <c r="H19103" s="12"/>
    </row>
    <row r="19104" spans="8:8">
      <c r="H19104" s="12"/>
    </row>
    <row r="19105" spans="8:8">
      <c r="H19105" s="12"/>
    </row>
    <row r="19106" spans="8:8">
      <c r="H19106" s="12"/>
    </row>
    <row r="19107" spans="8:8">
      <c r="H19107" s="12"/>
    </row>
    <row r="19108" spans="8:8">
      <c r="H19108" s="12"/>
    </row>
    <row r="19109" spans="8:8">
      <c r="H19109" s="12"/>
    </row>
    <row r="19110" spans="8:8">
      <c r="H19110" s="12"/>
    </row>
    <row r="19111" spans="8:8">
      <c r="H19111" s="12"/>
    </row>
    <row r="19112" spans="8:8">
      <c r="H19112" s="12"/>
    </row>
    <row r="19113" spans="8:8">
      <c r="H19113" s="12"/>
    </row>
    <row r="19114" spans="8:8">
      <c r="H19114" s="12"/>
    </row>
    <row r="19115" spans="8:8">
      <c r="H19115" s="12"/>
    </row>
    <row r="19116" spans="8:8">
      <c r="H19116" s="12"/>
    </row>
    <row r="19117" spans="8:8">
      <c r="H19117" s="12"/>
    </row>
    <row r="19118" spans="8:8">
      <c r="H19118" s="12"/>
    </row>
    <row r="19119" spans="8:8">
      <c r="H19119" s="12"/>
    </row>
    <row r="19120" spans="8:8">
      <c r="H19120" s="12"/>
    </row>
    <row r="19121" spans="8:8">
      <c r="H19121" s="12"/>
    </row>
    <row r="19122" spans="8:8">
      <c r="H19122" s="12"/>
    </row>
    <row r="19123" spans="8:8">
      <c r="H19123" s="12"/>
    </row>
    <row r="19124" spans="8:8">
      <c r="H19124" s="12"/>
    </row>
    <row r="19125" spans="8:8">
      <c r="H19125" s="12"/>
    </row>
    <row r="19126" spans="8:8">
      <c r="H19126" s="12"/>
    </row>
    <row r="19127" spans="8:8">
      <c r="H19127" s="12"/>
    </row>
    <row r="19128" spans="8:8">
      <c r="H19128" s="12"/>
    </row>
    <row r="19129" spans="8:8">
      <c r="H19129" s="12"/>
    </row>
    <row r="19130" spans="8:8">
      <c r="H19130" s="12"/>
    </row>
    <row r="19131" spans="8:8">
      <c r="H19131" s="12"/>
    </row>
    <row r="19132" spans="8:8">
      <c r="H19132" s="12"/>
    </row>
    <row r="19133" spans="8:8">
      <c r="H19133" s="12"/>
    </row>
    <row r="19134" spans="8:8">
      <c r="H19134" s="12"/>
    </row>
    <row r="19135" spans="8:8">
      <c r="H19135" s="12"/>
    </row>
    <row r="19136" spans="8:8">
      <c r="H19136" s="12"/>
    </row>
    <row r="19137" spans="8:8">
      <c r="H19137" s="12"/>
    </row>
    <row r="19138" spans="8:8">
      <c r="H19138" s="12"/>
    </row>
    <row r="19139" spans="8:8">
      <c r="H19139" s="12"/>
    </row>
    <row r="19140" spans="8:8">
      <c r="H19140" s="12"/>
    </row>
    <row r="19141" spans="8:8">
      <c r="H19141" s="12"/>
    </row>
    <row r="19142" spans="8:8">
      <c r="H19142" s="12"/>
    </row>
    <row r="19143" spans="8:8">
      <c r="H19143" s="12"/>
    </row>
    <row r="19144" spans="8:8">
      <c r="H19144" s="12"/>
    </row>
    <row r="19145" spans="8:8">
      <c r="H19145" s="12"/>
    </row>
    <row r="19146" spans="8:8">
      <c r="H19146" s="12"/>
    </row>
    <row r="19147" spans="8:8">
      <c r="H19147" s="12"/>
    </row>
    <row r="19148" spans="8:8">
      <c r="H19148" s="12"/>
    </row>
    <row r="19149" spans="8:8">
      <c r="H19149" s="12"/>
    </row>
    <row r="19150" spans="8:8">
      <c r="H19150" s="12"/>
    </row>
    <row r="19151" spans="8:8">
      <c r="H19151" s="12"/>
    </row>
    <row r="19152" spans="8:8">
      <c r="H19152" s="12"/>
    </row>
    <row r="19153" spans="8:8">
      <c r="H19153" s="12"/>
    </row>
    <row r="19154" spans="8:8">
      <c r="H19154" s="12"/>
    </row>
    <row r="19155" spans="8:8">
      <c r="H19155" s="12"/>
    </row>
    <row r="19156" spans="8:8">
      <c r="H19156" s="12"/>
    </row>
    <row r="19157" spans="8:8">
      <c r="H19157" s="12"/>
    </row>
    <row r="19158" spans="8:8">
      <c r="H19158" s="12"/>
    </row>
    <row r="19159" spans="8:8">
      <c r="H19159" s="12"/>
    </row>
    <row r="19160" spans="8:8">
      <c r="H19160" s="12"/>
    </row>
    <row r="19161" spans="8:8">
      <c r="H19161" s="12"/>
    </row>
    <row r="19162" spans="8:8">
      <c r="H19162" s="12"/>
    </row>
    <row r="19163" spans="8:8">
      <c r="H19163" s="12"/>
    </row>
    <row r="19164" spans="8:8">
      <c r="H19164" s="12"/>
    </row>
    <row r="19165" spans="8:8">
      <c r="H19165" s="12"/>
    </row>
    <row r="19166" spans="8:8">
      <c r="H19166" s="12"/>
    </row>
    <row r="19167" spans="8:8">
      <c r="H19167" s="12"/>
    </row>
    <row r="19168" spans="8:8">
      <c r="H19168" s="12"/>
    </row>
    <row r="19169" spans="8:8">
      <c r="H19169" s="12"/>
    </row>
    <row r="19170" spans="8:8">
      <c r="H19170" s="12"/>
    </row>
    <row r="19171" spans="8:8">
      <c r="H19171" s="12"/>
    </row>
    <row r="19172" spans="8:8">
      <c r="H19172" s="12"/>
    </row>
    <row r="19173" spans="8:8">
      <c r="H19173" s="12"/>
    </row>
    <row r="19174" spans="8:8">
      <c r="H19174" s="12"/>
    </row>
    <row r="19175" spans="8:8">
      <c r="H19175" s="12"/>
    </row>
    <row r="19176" spans="8:8">
      <c r="H19176" s="12"/>
    </row>
    <row r="19177" spans="8:8">
      <c r="H19177" s="12"/>
    </row>
    <row r="19178" spans="8:8">
      <c r="H19178" s="12"/>
    </row>
    <row r="19179" spans="8:8">
      <c r="H19179" s="12"/>
    </row>
    <row r="19180" spans="8:8">
      <c r="H19180" s="12"/>
    </row>
    <row r="19181" spans="8:8">
      <c r="H19181" s="12"/>
    </row>
    <row r="19182" spans="8:8">
      <c r="H19182" s="12"/>
    </row>
    <row r="19183" spans="8:8">
      <c r="H19183" s="12"/>
    </row>
    <row r="19184" spans="8:8">
      <c r="H19184" s="12"/>
    </row>
    <row r="19185" spans="8:8">
      <c r="H19185" s="12"/>
    </row>
    <row r="19186" spans="8:8">
      <c r="H19186" s="12"/>
    </row>
    <row r="19187" spans="8:8">
      <c r="H19187" s="12"/>
    </row>
    <row r="19188" spans="8:8">
      <c r="H19188" s="12"/>
    </row>
    <row r="19189" spans="8:8">
      <c r="H19189" s="12"/>
    </row>
    <row r="19190" spans="8:8">
      <c r="H19190" s="12"/>
    </row>
    <row r="19191" spans="8:8">
      <c r="H19191" s="12"/>
    </row>
    <row r="19192" spans="8:8">
      <c r="H19192" s="12"/>
    </row>
    <row r="19193" spans="8:8">
      <c r="H19193" s="12"/>
    </row>
    <row r="19194" spans="8:8">
      <c r="H19194" s="12"/>
    </row>
    <row r="19195" spans="8:8">
      <c r="H19195" s="12"/>
    </row>
    <row r="19196" spans="8:8">
      <c r="H19196" s="12"/>
    </row>
    <row r="19197" spans="8:8">
      <c r="H19197" s="12"/>
    </row>
    <row r="19198" spans="8:8">
      <c r="H19198" s="12"/>
    </row>
    <row r="19199" spans="8:8">
      <c r="H19199" s="12"/>
    </row>
    <row r="19200" spans="8:8">
      <c r="H19200" s="12"/>
    </row>
    <row r="19201" spans="8:8">
      <c r="H19201" s="12"/>
    </row>
    <row r="19202" spans="8:8">
      <c r="H19202" s="12"/>
    </row>
    <row r="19203" spans="8:8">
      <c r="H19203" s="12"/>
    </row>
    <row r="19204" spans="8:8">
      <c r="H19204" s="12"/>
    </row>
    <row r="19205" spans="8:8">
      <c r="H19205" s="12"/>
    </row>
    <row r="19206" spans="8:8">
      <c r="H19206" s="12"/>
    </row>
    <row r="19207" spans="8:8">
      <c r="H19207" s="12"/>
    </row>
    <row r="19208" spans="8:8">
      <c r="H19208" s="12"/>
    </row>
    <row r="19209" spans="8:8">
      <c r="H19209" s="12"/>
    </row>
    <row r="19210" spans="8:8">
      <c r="H19210" s="12"/>
    </row>
    <row r="19211" spans="8:8">
      <c r="H19211" s="12"/>
    </row>
    <row r="19212" spans="8:8">
      <c r="H19212" s="12"/>
    </row>
    <row r="19213" spans="8:8">
      <c r="H19213" s="12"/>
    </row>
    <row r="19214" spans="8:8">
      <c r="H19214" s="12"/>
    </row>
    <row r="19215" spans="8:8">
      <c r="H19215" s="12"/>
    </row>
    <row r="19216" spans="8:8">
      <c r="H19216" s="12"/>
    </row>
    <row r="19217" spans="8:8">
      <c r="H19217" s="12"/>
    </row>
    <row r="19218" spans="8:8">
      <c r="H19218" s="12"/>
    </row>
    <row r="19219" spans="8:8">
      <c r="H19219" s="12"/>
    </row>
    <row r="19220" spans="8:8">
      <c r="H19220" s="12"/>
    </row>
    <row r="19221" spans="8:8">
      <c r="H19221" s="12"/>
    </row>
    <row r="19222" spans="8:8">
      <c r="H19222" s="12"/>
    </row>
    <row r="19223" spans="8:8">
      <c r="H19223" s="12"/>
    </row>
    <row r="19224" spans="8:8">
      <c r="H19224" s="12"/>
    </row>
    <row r="19225" spans="8:8">
      <c r="H19225" s="12"/>
    </row>
    <row r="19226" spans="8:8">
      <c r="H19226" s="12"/>
    </row>
    <row r="19227" spans="8:8">
      <c r="H19227" s="12"/>
    </row>
    <row r="19228" spans="8:8">
      <c r="H19228" s="12"/>
    </row>
    <row r="19229" spans="8:8">
      <c r="H19229" s="12"/>
    </row>
    <row r="19230" spans="8:8">
      <c r="H19230" s="12"/>
    </row>
    <row r="19231" spans="8:8">
      <c r="H19231" s="12"/>
    </row>
    <row r="19232" spans="8:8">
      <c r="H19232" s="12"/>
    </row>
    <row r="19233" spans="8:8">
      <c r="H19233" s="12"/>
    </row>
    <row r="19234" spans="8:8">
      <c r="H19234" s="12"/>
    </row>
    <row r="19235" spans="8:8">
      <c r="H19235" s="12"/>
    </row>
    <row r="19236" spans="8:8">
      <c r="H19236" s="12"/>
    </row>
    <row r="19237" spans="8:8">
      <c r="H19237" s="12"/>
    </row>
    <row r="19238" spans="8:8">
      <c r="H19238" s="12"/>
    </row>
    <row r="19239" spans="8:8">
      <c r="H19239" s="12"/>
    </row>
    <row r="19240" spans="8:8">
      <c r="H19240" s="12"/>
    </row>
    <row r="19241" spans="8:8">
      <c r="H19241" s="12"/>
    </row>
    <row r="19242" spans="8:8">
      <c r="H19242" s="12"/>
    </row>
    <row r="19243" spans="8:8">
      <c r="H19243" s="12"/>
    </row>
    <row r="19244" spans="8:8">
      <c r="H19244" s="12"/>
    </row>
    <row r="19245" spans="8:8">
      <c r="H19245" s="12"/>
    </row>
    <row r="19246" spans="8:8">
      <c r="H19246" s="12"/>
    </row>
    <row r="19247" spans="8:8">
      <c r="H19247" s="12"/>
    </row>
    <row r="19248" spans="8:8">
      <c r="H19248" s="12"/>
    </row>
    <row r="19249" spans="8:8">
      <c r="H19249" s="12"/>
    </row>
    <row r="19250" spans="8:8">
      <c r="H19250" s="12"/>
    </row>
    <row r="19251" spans="8:8">
      <c r="H19251" s="12"/>
    </row>
    <row r="19252" spans="8:8">
      <c r="H19252" s="12"/>
    </row>
    <row r="19253" spans="8:8">
      <c r="H19253" s="12"/>
    </row>
    <row r="19254" spans="8:8">
      <c r="H19254" s="12"/>
    </row>
    <row r="19255" spans="8:8">
      <c r="H19255" s="12"/>
    </row>
    <row r="19256" spans="8:8">
      <c r="H19256" s="12"/>
    </row>
    <row r="19257" spans="8:8">
      <c r="H19257" s="12"/>
    </row>
    <row r="19258" spans="8:8">
      <c r="H19258" s="12"/>
    </row>
    <row r="19259" spans="8:8">
      <c r="H19259" s="12"/>
    </row>
    <row r="19260" spans="8:8">
      <c r="H19260" s="12"/>
    </row>
    <row r="19261" spans="8:8">
      <c r="H19261" s="12"/>
    </row>
    <row r="19262" spans="8:8">
      <c r="H19262" s="12"/>
    </row>
    <row r="19263" spans="8:8">
      <c r="H19263" s="12"/>
    </row>
    <row r="19264" spans="8:8">
      <c r="H19264" s="12"/>
    </row>
    <row r="19265" spans="8:8">
      <c r="H19265" s="12"/>
    </row>
    <row r="19266" spans="8:8">
      <c r="H19266" s="12"/>
    </row>
    <row r="19267" spans="8:8">
      <c r="H19267" s="12"/>
    </row>
    <row r="19268" spans="8:8">
      <c r="H19268" s="12"/>
    </row>
    <row r="19269" spans="8:8">
      <c r="H19269" s="12"/>
    </row>
    <row r="19270" spans="8:8">
      <c r="H19270" s="12"/>
    </row>
    <row r="19271" spans="8:8">
      <c r="H19271" s="12"/>
    </row>
    <row r="19272" spans="8:8">
      <c r="H19272" s="12"/>
    </row>
    <row r="19273" spans="8:8">
      <c r="H19273" s="12"/>
    </row>
    <row r="19274" spans="8:8">
      <c r="H19274" s="12"/>
    </row>
    <row r="19275" spans="8:8">
      <c r="H19275" s="12"/>
    </row>
    <row r="19276" spans="8:8">
      <c r="H19276" s="12"/>
    </row>
    <row r="19277" spans="8:8">
      <c r="H19277" s="12"/>
    </row>
    <row r="19278" spans="8:8">
      <c r="H19278" s="12"/>
    </row>
    <row r="19279" spans="8:8">
      <c r="H19279" s="12"/>
    </row>
    <row r="19280" spans="8:8">
      <c r="H19280" s="12"/>
    </row>
    <row r="19281" spans="8:8">
      <c r="H19281" s="12"/>
    </row>
    <row r="19282" spans="8:8">
      <c r="H19282" s="12"/>
    </row>
    <row r="19283" spans="8:8">
      <c r="H19283" s="12"/>
    </row>
    <row r="19284" spans="8:8">
      <c r="H19284" s="12"/>
    </row>
    <row r="19285" spans="8:8">
      <c r="H19285" s="12"/>
    </row>
    <row r="19286" spans="8:8">
      <c r="H19286" s="12"/>
    </row>
    <row r="19287" spans="8:8">
      <c r="H19287" s="12"/>
    </row>
    <row r="19288" spans="8:8">
      <c r="H19288" s="12"/>
    </row>
    <row r="19289" spans="8:8">
      <c r="H19289" s="12"/>
    </row>
    <row r="19290" spans="8:8">
      <c r="H19290" s="12"/>
    </row>
    <row r="19291" spans="8:8">
      <c r="H19291" s="12"/>
    </row>
    <row r="19292" spans="8:8">
      <c r="H19292" s="12"/>
    </row>
    <row r="19293" spans="8:8">
      <c r="H19293" s="12"/>
    </row>
    <row r="19294" spans="8:8">
      <c r="H19294" s="12"/>
    </row>
    <row r="19295" spans="8:8">
      <c r="H19295" s="12"/>
    </row>
    <row r="19296" spans="8:8">
      <c r="H19296" s="12"/>
    </row>
    <row r="19297" spans="8:8">
      <c r="H19297" s="12"/>
    </row>
    <row r="19298" spans="8:8">
      <c r="H19298" s="12"/>
    </row>
    <row r="19299" spans="8:8">
      <c r="H19299" s="12"/>
    </row>
    <row r="19300" spans="8:8">
      <c r="H19300" s="12"/>
    </row>
    <row r="19301" spans="8:8">
      <c r="H19301" s="12"/>
    </row>
    <row r="19302" spans="8:8">
      <c r="H19302" s="12"/>
    </row>
    <row r="19303" spans="8:8">
      <c r="H19303" s="12"/>
    </row>
    <row r="19304" spans="8:8">
      <c r="H19304" s="12"/>
    </row>
    <row r="19305" spans="8:8">
      <c r="H19305" s="12"/>
    </row>
    <row r="19306" spans="8:8">
      <c r="H19306" s="12"/>
    </row>
    <row r="19307" spans="8:8">
      <c r="H19307" s="12"/>
    </row>
    <row r="19308" spans="8:8">
      <c r="H19308" s="12"/>
    </row>
    <row r="19309" spans="8:8">
      <c r="H19309" s="12"/>
    </row>
    <row r="19310" spans="8:8">
      <c r="H19310" s="12"/>
    </row>
    <row r="19311" spans="8:8">
      <c r="H19311" s="12"/>
    </row>
    <row r="19312" spans="8:8">
      <c r="H19312" s="12"/>
    </row>
    <row r="19313" spans="8:8">
      <c r="H19313" s="12"/>
    </row>
    <row r="19314" spans="8:8">
      <c r="H19314" s="12"/>
    </row>
    <row r="19315" spans="8:8">
      <c r="H19315" s="12"/>
    </row>
    <row r="19316" spans="8:8">
      <c r="H19316" s="12"/>
    </row>
    <row r="19317" spans="8:8">
      <c r="H19317" s="12"/>
    </row>
    <row r="19318" spans="8:8">
      <c r="H19318" s="12"/>
    </row>
    <row r="19319" spans="8:8">
      <c r="H19319" s="12"/>
    </row>
    <row r="19320" spans="8:8">
      <c r="H19320" s="12"/>
    </row>
    <row r="19321" spans="8:8">
      <c r="H19321" s="12"/>
    </row>
    <row r="19322" spans="8:8">
      <c r="H19322" s="12"/>
    </row>
    <row r="19323" spans="8:8">
      <c r="H19323" s="12"/>
    </row>
    <row r="19324" spans="8:8">
      <c r="H19324" s="12"/>
    </row>
    <row r="19325" spans="8:8">
      <c r="H19325" s="12"/>
    </row>
    <row r="19326" spans="8:8">
      <c r="H19326" s="12"/>
    </row>
    <row r="19327" spans="8:8">
      <c r="H19327" s="12"/>
    </row>
    <row r="19328" spans="8:8">
      <c r="H19328" s="12"/>
    </row>
    <row r="19329" spans="8:8">
      <c r="H19329" s="12"/>
    </row>
    <row r="19330" spans="8:8">
      <c r="H19330" s="12"/>
    </row>
    <row r="19331" spans="8:8">
      <c r="H19331" s="12"/>
    </row>
    <row r="19332" spans="8:8">
      <c r="H19332" s="12"/>
    </row>
    <row r="19333" spans="8:8">
      <c r="H19333" s="12"/>
    </row>
    <row r="19334" spans="8:8">
      <c r="H19334" s="12"/>
    </row>
    <row r="19335" spans="8:8">
      <c r="H19335" s="12"/>
    </row>
    <row r="19336" spans="8:8">
      <c r="H19336" s="12"/>
    </row>
    <row r="19337" spans="8:8">
      <c r="H19337" s="12"/>
    </row>
    <row r="19338" spans="8:8">
      <c r="H19338" s="12"/>
    </row>
    <row r="19339" spans="8:8">
      <c r="H19339" s="12"/>
    </row>
    <row r="19340" spans="8:8">
      <c r="H19340" s="12"/>
    </row>
    <row r="19341" spans="8:8">
      <c r="H19341" s="12"/>
    </row>
    <row r="19342" spans="8:8">
      <c r="H19342" s="12"/>
    </row>
    <row r="19343" spans="8:8">
      <c r="H19343" s="12"/>
    </row>
    <row r="19344" spans="8:8">
      <c r="H19344" s="12"/>
    </row>
    <row r="19345" spans="8:8">
      <c r="H19345" s="12"/>
    </row>
    <row r="19346" spans="8:8">
      <c r="H19346" s="12"/>
    </row>
    <row r="19347" spans="8:8">
      <c r="H19347" s="12"/>
    </row>
    <row r="19348" spans="8:8">
      <c r="H19348" s="12"/>
    </row>
    <row r="19349" spans="8:8">
      <c r="H19349" s="12"/>
    </row>
    <row r="19350" spans="8:8">
      <c r="H19350" s="12"/>
    </row>
    <row r="19351" spans="8:8">
      <c r="H19351" s="12"/>
    </row>
    <row r="19352" spans="8:8">
      <c r="H19352" s="12"/>
    </row>
    <row r="19353" spans="8:8">
      <c r="H19353" s="12"/>
    </row>
    <row r="19354" spans="8:8">
      <c r="H19354" s="12"/>
    </row>
    <row r="19355" spans="8:8">
      <c r="H19355" s="12"/>
    </row>
    <row r="19356" spans="8:8">
      <c r="H19356" s="12"/>
    </row>
    <row r="19357" spans="8:8">
      <c r="H19357" s="12"/>
    </row>
    <row r="19358" spans="8:8">
      <c r="H19358" s="12"/>
    </row>
    <row r="19359" spans="8:8">
      <c r="H19359" s="12"/>
    </row>
    <row r="19360" spans="8:8">
      <c r="H19360" s="12"/>
    </row>
    <row r="19361" spans="8:8">
      <c r="H19361" s="12"/>
    </row>
    <row r="19362" spans="8:8">
      <c r="H19362" s="12"/>
    </row>
    <row r="19363" spans="8:8">
      <c r="H19363" s="12"/>
    </row>
    <row r="19364" spans="8:8">
      <c r="H19364" s="12"/>
    </row>
    <row r="19365" spans="8:8">
      <c r="H19365" s="12"/>
    </row>
    <row r="19366" spans="8:8">
      <c r="H19366" s="12"/>
    </row>
    <row r="19367" spans="8:8">
      <c r="H19367" s="12"/>
    </row>
    <row r="19368" spans="8:8">
      <c r="H19368" s="12"/>
    </row>
    <row r="19369" spans="8:8">
      <c r="H19369" s="12"/>
    </row>
    <row r="19370" spans="8:8">
      <c r="H19370" s="12"/>
    </row>
    <row r="19371" spans="8:8">
      <c r="H19371" s="12"/>
    </row>
    <row r="19372" spans="8:8">
      <c r="H19372" s="12"/>
    </row>
    <row r="19373" spans="8:8">
      <c r="H19373" s="12"/>
    </row>
    <row r="19374" spans="8:8">
      <c r="H19374" s="12"/>
    </row>
    <row r="19375" spans="8:8">
      <c r="H19375" s="12"/>
    </row>
    <row r="19376" spans="8:8">
      <c r="H19376" s="12"/>
    </row>
    <row r="19377" spans="8:8">
      <c r="H19377" s="12"/>
    </row>
    <row r="19378" spans="8:8">
      <c r="H19378" s="12"/>
    </row>
    <row r="19379" spans="8:8">
      <c r="H19379" s="12"/>
    </row>
    <row r="19380" spans="8:8">
      <c r="H19380" s="12"/>
    </row>
    <row r="19381" spans="8:8">
      <c r="H19381" s="12"/>
    </row>
    <row r="19382" spans="8:8">
      <c r="H19382" s="12"/>
    </row>
    <row r="19383" spans="8:8">
      <c r="H19383" s="12"/>
    </row>
    <row r="19384" spans="8:8">
      <c r="H19384" s="12"/>
    </row>
    <row r="19385" spans="8:8">
      <c r="H19385" s="12"/>
    </row>
    <row r="19386" spans="8:8">
      <c r="H19386" s="12"/>
    </row>
    <row r="19387" spans="8:8">
      <c r="H19387" s="12"/>
    </row>
    <row r="19388" spans="8:8">
      <c r="H19388" s="12"/>
    </row>
    <row r="19389" spans="8:8">
      <c r="H19389" s="12"/>
    </row>
    <row r="19390" spans="8:8">
      <c r="H19390" s="12"/>
    </row>
    <row r="19391" spans="8:8">
      <c r="H19391" s="12"/>
    </row>
    <row r="19392" spans="8:8">
      <c r="H19392" s="12"/>
    </row>
    <row r="19393" spans="8:8">
      <c r="H19393" s="12"/>
    </row>
    <row r="19394" spans="8:8">
      <c r="H19394" s="12"/>
    </row>
    <row r="19395" spans="8:8">
      <c r="H19395" s="12"/>
    </row>
    <row r="19396" spans="8:8">
      <c r="H19396" s="12"/>
    </row>
    <row r="19397" spans="8:8">
      <c r="H19397" s="12"/>
    </row>
    <row r="19398" spans="8:8">
      <c r="H19398" s="12"/>
    </row>
    <row r="19399" spans="8:8">
      <c r="H19399" s="12"/>
    </row>
    <row r="19400" spans="8:8">
      <c r="H19400" s="12"/>
    </row>
    <row r="19401" spans="8:8">
      <c r="H19401" s="12"/>
    </row>
    <row r="19402" spans="8:8">
      <c r="H19402" s="12"/>
    </row>
    <row r="19403" spans="8:8">
      <c r="H19403" s="12"/>
    </row>
    <row r="19404" spans="8:8">
      <c r="H19404" s="12"/>
    </row>
    <row r="19405" spans="8:8">
      <c r="H19405" s="12"/>
    </row>
    <row r="19406" spans="8:8">
      <c r="H19406" s="12"/>
    </row>
    <row r="19407" spans="8:8">
      <c r="H19407" s="12"/>
    </row>
    <row r="19408" spans="8:8">
      <c r="H19408" s="12"/>
    </row>
    <row r="19409" spans="8:8">
      <c r="H19409" s="12"/>
    </row>
    <row r="19410" spans="8:8">
      <c r="H19410" s="12"/>
    </row>
    <row r="19411" spans="8:8">
      <c r="H19411" s="12"/>
    </row>
    <row r="19412" spans="8:8">
      <c r="H19412" s="12"/>
    </row>
    <row r="19413" spans="8:8">
      <c r="H19413" s="12"/>
    </row>
    <row r="19414" spans="8:8">
      <c r="H19414" s="12"/>
    </row>
    <row r="19415" spans="8:8">
      <c r="H19415" s="12"/>
    </row>
    <row r="19416" spans="8:8">
      <c r="H19416" s="12"/>
    </row>
    <row r="19417" spans="8:8">
      <c r="H19417" s="12"/>
    </row>
    <row r="19418" spans="8:8">
      <c r="H19418" s="12"/>
    </row>
    <row r="19419" spans="8:8">
      <c r="H19419" s="12"/>
    </row>
    <row r="19420" spans="8:8">
      <c r="H19420" s="12"/>
    </row>
    <row r="19421" spans="8:8">
      <c r="H19421" s="12"/>
    </row>
    <row r="19422" spans="8:8">
      <c r="H19422" s="12"/>
    </row>
    <row r="19423" spans="8:8">
      <c r="H19423" s="12"/>
    </row>
    <row r="19424" spans="8:8">
      <c r="H19424" s="12"/>
    </row>
    <row r="19425" spans="8:8">
      <c r="H19425" s="12"/>
    </row>
    <row r="19426" spans="8:8">
      <c r="H19426" s="12"/>
    </row>
    <row r="19427" spans="8:8">
      <c r="H19427" s="12"/>
    </row>
    <row r="19428" spans="8:8">
      <c r="H19428" s="12"/>
    </row>
    <row r="19429" spans="8:8">
      <c r="H19429" s="12"/>
    </row>
    <row r="19430" spans="8:8">
      <c r="H19430" s="12"/>
    </row>
    <row r="19431" spans="8:8">
      <c r="H19431" s="12"/>
    </row>
    <row r="19432" spans="8:8">
      <c r="H19432" s="12"/>
    </row>
    <row r="19433" spans="8:8">
      <c r="H19433" s="12"/>
    </row>
    <row r="19434" spans="8:8">
      <c r="H19434" s="12"/>
    </row>
    <row r="19435" spans="8:8">
      <c r="H19435" s="12"/>
    </row>
    <row r="19436" spans="8:8">
      <c r="H19436" s="12"/>
    </row>
    <row r="19437" spans="8:8">
      <c r="H19437" s="12"/>
    </row>
    <row r="19438" spans="8:8">
      <c r="H19438" s="12"/>
    </row>
    <row r="19439" spans="8:8">
      <c r="H19439" s="12"/>
    </row>
    <row r="19440" spans="8:8">
      <c r="H19440" s="12"/>
    </row>
    <row r="19441" spans="8:8">
      <c r="H19441" s="12"/>
    </row>
    <row r="19442" spans="8:8">
      <c r="H19442" s="12"/>
    </row>
    <row r="19443" spans="8:8">
      <c r="H19443" s="12"/>
    </row>
    <row r="19444" spans="8:8">
      <c r="H19444" s="12"/>
    </row>
    <row r="19445" spans="8:8">
      <c r="H19445" s="12"/>
    </row>
    <row r="19446" spans="8:8">
      <c r="H19446" s="12"/>
    </row>
    <row r="19447" spans="8:8">
      <c r="H19447" s="12"/>
    </row>
    <row r="19448" spans="8:8">
      <c r="H19448" s="12"/>
    </row>
    <row r="19449" spans="8:8">
      <c r="H19449" s="12"/>
    </row>
    <row r="19450" spans="8:8">
      <c r="H19450" s="12"/>
    </row>
    <row r="19451" spans="8:8">
      <c r="H19451" s="12"/>
    </row>
    <row r="19452" spans="8:8">
      <c r="H19452" s="12"/>
    </row>
    <row r="19453" spans="8:8">
      <c r="H19453" s="12"/>
    </row>
    <row r="19454" spans="8:8">
      <c r="H19454" s="12"/>
    </row>
    <row r="19455" spans="8:8">
      <c r="H19455" s="12"/>
    </row>
    <row r="19456" spans="8:8">
      <c r="H19456" s="12"/>
    </row>
    <row r="19457" spans="8:8">
      <c r="H19457" s="12"/>
    </row>
    <row r="19458" spans="8:8">
      <c r="H19458" s="12"/>
    </row>
    <row r="19459" spans="8:8">
      <c r="H19459" s="12"/>
    </row>
    <row r="19460" spans="8:8">
      <c r="H19460" s="12"/>
    </row>
    <row r="19461" spans="8:8">
      <c r="H19461" s="12"/>
    </row>
    <row r="19462" spans="8:8">
      <c r="H19462" s="12"/>
    </row>
    <row r="19463" spans="8:8">
      <c r="H19463" s="12"/>
    </row>
    <row r="19464" spans="8:8">
      <c r="H19464" s="12"/>
    </row>
    <row r="19465" spans="8:8">
      <c r="H19465" s="12"/>
    </row>
    <row r="19466" spans="8:8">
      <c r="H19466" s="12"/>
    </row>
    <row r="19467" spans="8:8">
      <c r="H19467" s="12"/>
    </row>
    <row r="19468" spans="8:8">
      <c r="H19468" s="12"/>
    </row>
    <row r="19469" spans="8:8">
      <c r="H19469" s="12"/>
    </row>
    <row r="19470" spans="8:8">
      <c r="H19470" s="12"/>
    </row>
    <row r="19471" spans="8:8">
      <c r="H19471" s="12"/>
    </row>
    <row r="19472" spans="8:8">
      <c r="H19472" s="12"/>
    </row>
    <row r="19473" spans="8:8">
      <c r="H19473" s="12"/>
    </row>
    <row r="19474" spans="8:8">
      <c r="H19474" s="12"/>
    </row>
    <row r="19475" spans="8:8">
      <c r="H19475" s="12"/>
    </row>
    <row r="19476" spans="8:8">
      <c r="H19476" s="12"/>
    </row>
    <row r="19477" spans="8:8">
      <c r="H19477" s="12"/>
    </row>
    <row r="19478" spans="8:8">
      <c r="H19478" s="12"/>
    </row>
    <row r="19479" spans="8:8">
      <c r="H19479" s="12"/>
    </row>
    <row r="19480" spans="8:8">
      <c r="H19480" s="12"/>
    </row>
    <row r="19481" spans="8:8">
      <c r="H19481" s="12"/>
    </row>
    <row r="19482" spans="8:8">
      <c r="H19482" s="12"/>
    </row>
    <row r="19483" spans="8:8">
      <c r="H19483" s="12"/>
    </row>
    <row r="19484" spans="8:8">
      <c r="H19484" s="12"/>
    </row>
    <row r="19485" spans="8:8">
      <c r="H19485" s="12"/>
    </row>
    <row r="19486" spans="8:8">
      <c r="H19486" s="12"/>
    </row>
    <row r="19487" spans="8:8">
      <c r="H19487" s="12"/>
    </row>
    <row r="19488" spans="8:8">
      <c r="H19488" s="12"/>
    </row>
    <row r="19489" spans="8:8">
      <c r="H19489" s="12"/>
    </row>
    <row r="19490" spans="8:8">
      <c r="H19490" s="12"/>
    </row>
    <row r="19491" spans="8:8">
      <c r="H19491" s="12"/>
    </row>
    <row r="19492" spans="8:8">
      <c r="H19492" s="12"/>
    </row>
    <row r="19493" spans="8:8">
      <c r="H19493" s="12"/>
    </row>
    <row r="19494" spans="8:8">
      <c r="H19494" s="12"/>
    </row>
    <row r="19495" spans="8:8">
      <c r="H19495" s="12"/>
    </row>
    <row r="19496" spans="8:8">
      <c r="H19496" s="12"/>
    </row>
    <row r="19497" spans="8:8">
      <c r="H19497" s="12"/>
    </row>
    <row r="19498" spans="8:8">
      <c r="H19498" s="12"/>
    </row>
    <row r="19499" spans="8:8">
      <c r="H19499" s="12"/>
    </row>
    <row r="19500" spans="8:8">
      <c r="H19500" s="12"/>
    </row>
    <row r="19501" spans="8:8">
      <c r="H19501" s="12"/>
    </row>
    <row r="19502" spans="8:8">
      <c r="H19502" s="12"/>
    </row>
    <row r="19503" spans="8:8">
      <c r="H19503" s="12"/>
    </row>
    <row r="19504" spans="8:8">
      <c r="H19504" s="12"/>
    </row>
    <row r="19505" spans="8:8">
      <c r="H19505" s="12"/>
    </row>
    <row r="19506" spans="8:8">
      <c r="H19506" s="12"/>
    </row>
    <row r="19507" spans="8:8">
      <c r="H19507" s="12"/>
    </row>
    <row r="19508" spans="8:8">
      <c r="H19508" s="12"/>
    </row>
    <row r="19509" spans="8:8">
      <c r="H19509" s="12"/>
    </row>
    <row r="19510" spans="8:8">
      <c r="H19510" s="12"/>
    </row>
    <row r="19511" spans="8:8">
      <c r="H19511" s="12"/>
    </row>
    <row r="19512" spans="8:8">
      <c r="H19512" s="12"/>
    </row>
    <row r="19513" spans="8:8">
      <c r="H19513" s="12"/>
    </row>
    <row r="19514" spans="8:8">
      <c r="H19514" s="12"/>
    </row>
    <row r="19515" spans="8:8">
      <c r="H19515" s="12"/>
    </row>
    <row r="19516" spans="8:8">
      <c r="H19516" s="12"/>
    </row>
    <row r="19517" spans="8:8">
      <c r="H19517" s="12"/>
    </row>
    <row r="19518" spans="8:8">
      <c r="H19518" s="12"/>
    </row>
    <row r="19519" spans="8:8">
      <c r="H19519" s="12"/>
    </row>
    <row r="19520" spans="8:8">
      <c r="H19520" s="12"/>
    </row>
    <row r="19521" spans="8:8">
      <c r="H19521" s="12"/>
    </row>
    <row r="19522" spans="8:8">
      <c r="H19522" s="12"/>
    </row>
    <row r="19523" spans="8:8">
      <c r="H19523" s="12"/>
    </row>
    <row r="19524" spans="8:8">
      <c r="H19524" s="12"/>
    </row>
    <row r="19525" spans="8:8">
      <c r="H19525" s="12"/>
    </row>
    <row r="19526" spans="8:8">
      <c r="H19526" s="12"/>
    </row>
    <row r="19527" spans="8:8">
      <c r="H19527" s="12"/>
    </row>
    <row r="19528" spans="8:8">
      <c r="H19528" s="12"/>
    </row>
    <row r="19529" spans="8:8">
      <c r="H19529" s="12"/>
    </row>
    <row r="19530" spans="8:8">
      <c r="H19530" s="12"/>
    </row>
    <row r="19531" spans="8:8">
      <c r="H19531" s="12"/>
    </row>
    <row r="19532" spans="8:8">
      <c r="H19532" s="12"/>
    </row>
    <row r="19533" spans="8:8">
      <c r="H19533" s="12"/>
    </row>
    <row r="19534" spans="8:8">
      <c r="H19534" s="12"/>
    </row>
    <row r="19535" spans="8:8">
      <c r="H19535" s="12"/>
    </row>
    <row r="19536" spans="8:8">
      <c r="H19536" s="12"/>
    </row>
    <row r="19537" spans="8:8">
      <c r="H19537" s="12"/>
    </row>
    <row r="19538" spans="8:8">
      <c r="H19538" s="12"/>
    </row>
    <row r="19539" spans="8:8">
      <c r="H19539" s="12"/>
    </row>
    <row r="19540" spans="8:8">
      <c r="H19540" s="12"/>
    </row>
    <row r="19541" spans="8:8">
      <c r="H19541" s="12"/>
    </row>
    <row r="19542" spans="8:8">
      <c r="H19542" s="12"/>
    </row>
    <row r="19543" spans="8:8">
      <c r="H19543" s="12"/>
    </row>
    <row r="19544" spans="8:8">
      <c r="H19544" s="12"/>
    </row>
    <row r="19545" spans="8:8">
      <c r="H19545" s="12"/>
    </row>
    <row r="19546" spans="8:8">
      <c r="H19546" s="12"/>
    </row>
    <row r="19547" spans="8:8">
      <c r="H19547" s="12"/>
    </row>
    <row r="19548" spans="8:8">
      <c r="H19548" s="12"/>
    </row>
    <row r="19549" spans="8:8">
      <c r="H19549" s="12"/>
    </row>
    <row r="19550" spans="8:8">
      <c r="H19550" s="12"/>
    </row>
    <row r="19551" spans="8:8">
      <c r="H19551" s="12"/>
    </row>
    <row r="19552" spans="8:8">
      <c r="H19552" s="12"/>
    </row>
    <row r="19553" spans="8:8">
      <c r="H19553" s="12"/>
    </row>
    <row r="19554" spans="8:8">
      <c r="H19554" s="12"/>
    </row>
    <row r="19555" spans="8:8">
      <c r="H19555" s="12"/>
    </row>
    <row r="19556" spans="8:8">
      <c r="H19556" s="12"/>
    </row>
    <row r="19557" spans="8:8">
      <c r="H19557" s="12"/>
    </row>
    <row r="19558" spans="8:8">
      <c r="H19558" s="12"/>
    </row>
    <row r="19559" spans="8:8">
      <c r="H19559" s="12"/>
    </row>
    <row r="19560" spans="8:8">
      <c r="H19560" s="12"/>
    </row>
    <row r="19561" spans="8:8">
      <c r="H19561" s="12"/>
    </row>
    <row r="19562" spans="8:8">
      <c r="H19562" s="12"/>
    </row>
    <row r="19563" spans="8:8">
      <c r="H19563" s="12"/>
    </row>
    <row r="19564" spans="8:8">
      <c r="H19564" s="12"/>
    </row>
    <row r="19565" spans="8:8">
      <c r="H19565" s="12"/>
    </row>
    <row r="19566" spans="8:8">
      <c r="H19566" s="12"/>
    </row>
    <row r="19567" spans="8:8">
      <c r="H19567" s="12"/>
    </row>
    <row r="19568" spans="8:8">
      <c r="H19568" s="12"/>
    </row>
    <row r="19569" spans="8:8">
      <c r="H19569" s="12"/>
    </row>
    <row r="19570" spans="8:8">
      <c r="H19570" s="12"/>
    </row>
    <row r="19571" spans="8:8">
      <c r="H19571" s="12"/>
    </row>
    <row r="19572" spans="8:8">
      <c r="H19572" s="12"/>
    </row>
    <row r="19573" spans="8:8">
      <c r="H19573" s="12"/>
    </row>
    <row r="19574" spans="8:8">
      <c r="H19574" s="12"/>
    </row>
    <row r="19575" spans="8:8">
      <c r="H19575" s="12"/>
    </row>
    <row r="19576" spans="8:8">
      <c r="H19576" s="12"/>
    </row>
    <row r="19577" spans="8:8">
      <c r="H19577" s="12"/>
    </row>
    <row r="19578" spans="8:8">
      <c r="H19578" s="12"/>
    </row>
    <row r="19579" spans="8:8">
      <c r="H19579" s="12"/>
    </row>
    <row r="19580" spans="8:8">
      <c r="H19580" s="12"/>
    </row>
    <row r="19581" spans="8:8">
      <c r="H19581" s="12"/>
    </row>
    <row r="19582" spans="8:8">
      <c r="H19582" s="12"/>
    </row>
    <row r="19583" spans="8:8">
      <c r="H19583" s="12"/>
    </row>
    <row r="19584" spans="8:8">
      <c r="H19584" s="12"/>
    </row>
    <row r="19585" spans="8:8">
      <c r="H19585" s="12"/>
    </row>
    <row r="19586" spans="8:8">
      <c r="H19586" s="12"/>
    </row>
    <row r="19587" spans="8:8">
      <c r="H19587" s="12"/>
    </row>
    <row r="19588" spans="8:8">
      <c r="H19588" s="12"/>
    </row>
    <row r="19589" spans="8:8">
      <c r="H19589" s="12"/>
    </row>
    <row r="19590" spans="8:8">
      <c r="H19590" s="12"/>
    </row>
    <row r="19591" spans="8:8">
      <c r="H19591" s="12"/>
    </row>
    <row r="19592" spans="8:8">
      <c r="H19592" s="12"/>
    </row>
    <row r="19593" spans="8:8">
      <c r="H19593" s="12"/>
    </row>
    <row r="19594" spans="8:8">
      <c r="H19594" s="12"/>
    </row>
    <row r="19595" spans="8:8">
      <c r="H19595" s="12"/>
    </row>
    <row r="19596" spans="8:8">
      <c r="H19596" s="12"/>
    </row>
    <row r="19597" spans="8:8">
      <c r="H19597" s="12"/>
    </row>
    <row r="19598" spans="8:8">
      <c r="H19598" s="12"/>
    </row>
    <row r="19599" spans="8:8">
      <c r="H19599" s="12"/>
    </row>
    <row r="19600" spans="8:8">
      <c r="H19600" s="12"/>
    </row>
    <row r="19601" spans="8:8">
      <c r="H19601" s="12"/>
    </row>
    <row r="19602" spans="8:8">
      <c r="H19602" s="12"/>
    </row>
    <row r="19603" spans="8:8">
      <c r="H19603" s="12"/>
    </row>
    <row r="19604" spans="8:8">
      <c r="H19604" s="12"/>
    </row>
    <row r="19605" spans="8:8">
      <c r="H19605" s="12"/>
    </row>
    <row r="19606" spans="8:8">
      <c r="H19606" s="12"/>
    </row>
    <row r="19607" spans="8:8">
      <c r="H19607" s="12"/>
    </row>
    <row r="19608" spans="8:8">
      <c r="H19608" s="12"/>
    </row>
    <row r="19609" spans="8:8">
      <c r="H19609" s="12"/>
    </row>
    <row r="19610" spans="8:8">
      <c r="H19610" s="12"/>
    </row>
    <row r="19611" spans="8:8">
      <c r="H19611" s="12"/>
    </row>
    <row r="19612" spans="8:8">
      <c r="H19612" s="12"/>
    </row>
    <row r="19613" spans="8:8">
      <c r="H19613" s="12"/>
    </row>
    <row r="19614" spans="8:8">
      <c r="H19614" s="12"/>
    </row>
    <row r="19615" spans="8:8">
      <c r="H19615" s="12"/>
    </row>
    <row r="19616" spans="8:8">
      <c r="H19616" s="12"/>
    </row>
    <row r="19617" spans="8:8">
      <c r="H19617" s="12"/>
    </row>
    <row r="19618" spans="8:8">
      <c r="H19618" s="12"/>
    </row>
    <row r="19619" spans="8:8">
      <c r="H19619" s="12"/>
    </row>
    <row r="19620" spans="8:8">
      <c r="H19620" s="12"/>
    </row>
    <row r="19621" spans="8:8">
      <c r="H19621" s="12"/>
    </row>
    <row r="19622" spans="8:8">
      <c r="H19622" s="12"/>
    </row>
    <row r="19623" spans="8:8">
      <c r="H19623" s="12"/>
    </row>
    <row r="19624" spans="8:8">
      <c r="H19624" s="12"/>
    </row>
    <row r="19625" spans="8:8">
      <c r="H19625" s="12"/>
    </row>
    <row r="19626" spans="8:8">
      <c r="H19626" s="12"/>
    </row>
    <row r="19627" spans="8:8">
      <c r="H19627" s="12"/>
    </row>
    <row r="19628" spans="8:8">
      <c r="H19628" s="12"/>
    </row>
    <row r="19629" spans="8:8">
      <c r="H19629" s="12"/>
    </row>
    <row r="19630" spans="8:8">
      <c r="H19630" s="12"/>
    </row>
    <row r="19631" spans="8:8">
      <c r="H19631" s="12"/>
    </row>
    <row r="19632" spans="8:8">
      <c r="H19632" s="12"/>
    </row>
    <row r="19633" spans="8:8">
      <c r="H19633" s="12"/>
    </row>
    <row r="19634" spans="8:8">
      <c r="H19634" s="12"/>
    </row>
    <row r="19635" spans="8:8">
      <c r="H19635" s="12"/>
    </row>
    <row r="19636" spans="8:8">
      <c r="H19636" s="12"/>
    </row>
    <row r="19637" spans="8:8">
      <c r="H19637" s="12"/>
    </row>
    <row r="19638" spans="8:8">
      <c r="H19638" s="12"/>
    </row>
    <row r="19639" spans="8:8">
      <c r="H19639" s="12"/>
    </row>
    <row r="19640" spans="8:8">
      <c r="H19640" s="12"/>
    </row>
    <row r="19641" spans="8:8">
      <c r="H19641" s="12"/>
    </row>
    <row r="19642" spans="8:8">
      <c r="H19642" s="12"/>
    </row>
    <row r="19643" spans="8:8">
      <c r="H19643" s="12"/>
    </row>
    <row r="19644" spans="8:8">
      <c r="H19644" s="12"/>
    </row>
    <row r="19645" spans="8:8">
      <c r="H19645" s="12"/>
    </row>
    <row r="19646" spans="8:8">
      <c r="H19646" s="12"/>
    </row>
    <row r="19647" spans="8:8">
      <c r="H19647" s="12"/>
    </row>
    <row r="19648" spans="8:8">
      <c r="H19648" s="12"/>
    </row>
    <row r="19649" spans="8:8">
      <c r="H19649" s="12"/>
    </row>
    <row r="19650" spans="8:8">
      <c r="H19650" s="12"/>
    </row>
    <row r="19651" spans="8:8">
      <c r="H19651" s="12"/>
    </row>
    <row r="19652" spans="8:8">
      <c r="H19652" s="12"/>
    </row>
    <row r="19653" spans="8:8">
      <c r="H19653" s="12"/>
    </row>
    <row r="19654" spans="8:8">
      <c r="H19654" s="12"/>
    </row>
    <row r="19655" spans="8:8">
      <c r="H19655" s="12"/>
    </row>
    <row r="19656" spans="8:8">
      <c r="H19656" s="12"/>
    </row>
    <row r="19657" spans="8:8">
      <c r="H19657" s="12"/>
    </row>
    <row r="19658" spans="8:8">
      <c r="H19658" s="12"/>
    </row>
    <row r="19659" spans="8:8">
      <c r="H19659" s="12"/>
    </row>
    <row r="19660" spans="8:8">
      <c r="H19660" s="12"/>
    </row>
    <row r="19661" spans="8:8">
      <c r="H19661" s="12"/>
    </row>
    <row r="19662" spans="8:8">
      <c r="H19662" s="12"/>
    </row>
    <row r="19663" spans="8:8">
      <c r="H19663" s="12"/>
    </row>
    <row r="19664" spans="8:8">
      <c r="H19664" s="12"/>
    </row>
    <row r="19665" spans="8:8">
      <c r="H19665" s="12"/>
    </row>
    <row r="19666" spans="8:8">
      <c r="H19666" s="12"/>
    </row>
    <row r="19667" spans="8:8">
      <c r="H19667" s="12"/>
    </row>
    <row r="19668" spans="8:8">
      <c r="H19668" s="12"/>
    </row>
    <row r="19669" spans="8:8">
      <c r="H19669" s="12"/>
    </row>
    <row r="19670" spans="8:8">
      <c r="H19670" s="12"/>
    </row>
    <row r="19671" spans="8:8">
      <c r="H19671" s="12"/>
    </row>
    <row r="19672" spans="8:8">
      <c r="H19672" s="12"/>
    </row>
    <row r="19673" spans="8:8">
      <c r="H19673" s="12"/>
    </row>
    <row r="19674" spans="8:8">
      <c r="H19674" s="12"/>
    </row>
    <row r="19675" spans="8:8">
      <c r="H19675" s="12"/>
    </row>
    <row r="19676" spans="8:8">
      <c r="H19676" s="12"/>
    </row>
    <row r="19677" spans="8:8">
      <c r="H19677" s="12"/>
    </row>
    <row r="19678" spans="8:8">
      <c r="H19678" s="12"/>
    </row>
    <row r="19679" spans="8:8">
      <c r="H19679" s="12"/>
    </row>
    <row r="19680" spans="8:8">
      <c r="H19680" s="12"/>
    </row>
    <row r="19681" spans="8:8">
      <c r="H19681" s="12"/>
    </row>
    <row r="19682" spans="8:8">
      <c r="H19682" s="12"/>
    </row>
    <row r="19683" spans="8:8">
      <c r="H19683" s="12"/>
    </row>
    <row r="19684" spans="8:8">
      <c r="H19684" s="12"/>
    </row>
    <row r="19685" spans="8:8">
      <c r="H19685" s="12"/>
    </row>
    <row r="19686" spans="8:8">
      <c r="H19686" s="12"/>
    </row>
    <row r="19687" spans="8:8">
      <c r="H19687" s="12"/>
    </row>
    <row r="19688" spans="8:8">
      <c r="H19688" s="12"/>
    </row>
    <row r="19689" spans="8:8">
      <c r="H19689" s="12"/>
    </row>
    <row r="19690" spans="8:8">
      <c r="H19690" s="12"/>
    </row>
    <row r="19691" spans="8:8">
      <c r="H19691" s="12"/>
    </row>
    <row r="19692" spans="8:8">
      <c r="H19692" s="12"/>
    </row>
    <row r="19693" spans="8:8">
      <c r="H19693" s="12"/>
    </row>
    <row r="19694" spans="8:8">
      <c r="H19694" s="12"/>
    </row>
    <row r="19695" spans="8:8">
      <c r="H19695" s="12"/>
    </row>
    <row r="19696" spans="8:8">
      <c r="H19696" s="12"/>
    </row>
    <row r="19697" spans="8:8">
      <c r="H19697" s="12"/>
    </row>
    <row r="19698" spans="8:8">
      <c r="H19698" s="12"/>
    </row>
    <row r="19699" spans="8:8">
      <c r="H19699" s="12"/>
    </row>
    <row r="19700" spans="8:8">
      <c r="H19700" s="12"/>
    </row>
    <row r="19701" spans="8:8">
      <c r="H19701" s="12"/>
    </row>
    <row r="19702" spans="8:8">
      <c r="H19702" s="12"/>
    </row>
    <row r="19703" spans="8:8">
      <c r="H19703" s="12"/>
    </row>
    <row r="19704" spans="8:8">
      <c r="H19704" s="12"/>
    </row>
    <row r="19705" spans="8:8">
      <c r="H19705" s="12"/>
    </row>
    <row r="19706" spans="8:8">
      <c r="H19706" s="12"/>
    </row>
    <row r="19707" spans="8:8">
      <c r="H19707" s="12"/>
    </row>
    <row r="19708" spans="8:8">
      <c r="H19708" s="12"/>
    </row>
    <row r="19709" spans="8:8">
      <c r="H19709" s="12"/>
    </row>
    <row r="19710" spans="8:8">
      <c r="H19710" s="12"/>
    </row>
    <row r="19711" spans="8:8">
      <c r="H19711" s="12"/>
    </row>
    <row r="19712" spans="8:8">
      <c r="H19712" s="12"/>
    </row>
    <row r="19713" spans="8:8">
      <c r="H19713" s="12"/>
    </row>
    <row r="19714" spans="8:8">
      <c r="H19714" s="12"/>
    </row>
    <row r="19715" spans="8:8">
      <c r="H19715" s="12"/>
    </row>
    <row r="19716" spans="8:8">
      <c r="H19716" s="12"/>
    </row>
    <row r="19717" spans="8:8">
      <c r="H19717" s="12"/>
    </row>
    <row r="19718" spans="8:8">
      <c r="H19718" s="12"/>
    </row>
    <row r="19719" spans="8:8">
      <c r="H19719" s="12"/>
    </row>
    <row r="19720" spans="8:8">
      <c r="H19720" s="12"/>
    </row>
    <row r="19721" spans="8:8">
      <c r="H19721" s="12"/>
    </row>
    <row r="19722" spans="8:8">
      <c r="H19722" s="12"/>
    </row>
    <row r="19723" spans="8:8">
      <c r="H19723" s="12"/>
    </row>
    <row r="19724" spans="8:8">
      <c r="H19724" s="12"/>
    </row>
    <row r="19725" spans="8:8">
      <c r="H19725" s="12"/>
    </row>
    <row r="19726" spans="8:8">
      <c r="H19726" s="12"/>
    </row>
    <row r="19727" spans="8:8">
      <c r="H19727" s="12"/>
    </row>
    <row r="19728" spans="8:8">
      <c r="H19728" s="12"/>
    </row>
    <row r="19729" spans="8:8">
      <c r="H19729" s="12"/>
    </row>
    <row r="19730" spans="8:8">
      <c r="H19730" s="12"/>
    </row>
    <row r="19731" spans="8:8">
      <c r="H19731" s="12"/>
    </row>
    <row r="19732" spans="8:8">
      <c r="H19732" s="12"/>
    </row>
    <row r="19733" spans="8:8">
      <c r="H19733" s="12"/>
    </row>
    <row r="19734" spans="8:8">
      <c r="H19734" s="12"/>
    </row>
    <row r="19735" spans="8:8">
      <c r="H19735" s="12"/>
    </row>
    <row r="19736" spans="8:8">
      <c r="H19736" s="12"/>
    </row>
    <row r="19737" spans="8:8">
      <c r="H19737" s="12"/>
    </row>
    <row r="19738" spans="8:8">
      <c r="H19738" s="12"/>
    </row>
    <row r="19739" spans="8:8">
      <c r="H19739" s="12"/>
    </row>
    <row r="19740" spans="8:8">
      <c r="H19740" s="12"/>
    </row>
    <row r="19741" spans="8:8">
      <c r="H19741" s="12"/>
    </row>
    <row r="19742" spans="8:8">
      <c r="H19742" s="12"/>
    </row>
    <row r="19743" spans="8:8">
      <c r="H19743" s="12"/>
    </row>
    <row r="19744" spans="8:8">
      <c r="H19744" s="12"/>
    </row>
    <row r="19745" spans="8:8">
      <c r="H19745" s="12"/>
    </row>
    <row r="19746" spans="8:8">
      <c r="H19746" s="12"/>
    </row>
    <row r="19747" spans="8:8">
      <c r="H19747" s="12"/>
    </row>
    <row r="19748" spans="8:8">
      <c r="H19748" s="12"/>
    </row>
    <row r="19749" spans="8:8">
      <c r="H19749" s="12"/>
    </row>
    <row r="19750" spans="8:8">
      <c r="H19750" s="12"/>
    </row>
    <row r="19751" spans="8:8">
      <c r="H19751" s="12"/>
    </row>
    <row r="19752" spans="8:8">
      <c r="H19752" s="12"/>
    </row>
    <row r="19753" spans="8:8">
      <c r="H19753" s="12"/>
    </row>
    <row r="19754" spans="8:8">
      <c r="H19754" s="12"/>
    </row>
    <row r="19755" spans="8:8">
      <c r="H19755" s="12"/>
    </row>
    <row r="19756" spans="8:8">
      <c r="H19756" s="12"/>
    </row>
    <row r="19757" spans="8:8">
      <c r="H19757" s="12"/>
    </row>
    <row r="19758" spans="8:8">
      <c r="H19758" s="12"/>
    </row>
    <row r="19759" spans="8:8">
      <c r="H19759" s="12"/>
    </row>
    <row r="19760" spans="8:8">
      <c r="H19760" s="12"/>
    </row>
    <row r="19761" spans="8:8">
      <c r="H19761" s="12"/>
    </row>
    <row r="19762" spans="8:8">
      <c r="H19762" s="12"/>
    </row>
    <row r="19763" spans="8:8">
      <c r="H19763" s="12"/>
    </row>
    <row r="19764" spans="8:8">
      <c r="H19764" s="12"/>
    </row>
    <row r="19765" spans="8:8">
      <c r="H19765" s="12"/>
    </row>
    <row r="19766" spans="8:8">
      <c r="H19766" s="12"/>
    </row>
    <row r="19767" spans="8:8">
      <c r="H19767" s="12"/>
    </row>
    <row r="19768" spans="8:8">
      <c r="H19768" s="12"/>
    </row>
    <row r="19769" spans="8:8">
      <c r="H19769" s="12"/>
    </row>
    <row r="19770" spans="8:8">
      <c r="H19770" s="12"/>
    </row>
    <row r="19771" spans="8:8">
      <c r="H19771" s="12"/>
    </row>
    <row r="19772" spans="8:8">
      <c r="H19772" s="12"/>
    </row>
    <row r="19773" spans="8:8">
      <c r="H19773" s="12"/>
    </row>
    <row r="19774" spans="8:8">
      <c r="H19774" s="12"/>
    </row>
    <row r="19775" spans="8:8">
      <c r="H19775" s="12"/>
    </row>
    <row r="19776" spans="8:8">
      <c r="H19776" s="12"/>
    </row>
    <row r="19777" spans="8:8">
      <c r="H19777" s="12"/>
    </row>
    <row r="19778" spans="8:8">
      <c r="H19778" s="12"/>
    </row>
    <row r="19779" spans="8:8">
      <c r="H19779" s="12"/>
    </row>
    <row r="19780" spans="8:8">
      <c r="H19780" s="12"/>
    </row>
    <row r="19781" spans="8:8">
      <c r="H19781" s="12"/>
    </row>
    <row r="19782" spans="8:8">
      <c r="H19782" s="12"/>
    </row>
    <row r="19783" spans="8:8">
      <c r="H19783" s="12"/>
    </row>
    <row r="19784" spans="8:8">
      <c r="H19784" s="12"/>
    </row>
    <row r="19785" spans="8:8">
      <c r="H19785" s="12"/>
    </row>
    <row r="19786" spans="8:8">
      <c r="H19786" s="12"/>
    </row>
    <row r="19787" spans="8:8">
      <c r="H19787" s="12"/>
    </row>
    <row r="19788" spans="8:8">
      <c r="H19788" s="12"/>
    </row>
    <row r="19789" spans="8:8">
      <c r="H19789" s="12"/>
    </row>
    <row r="19790" spans="8:8">
      <c r="H19790" s="12"/>
    </row>
    <row r="19791" spans="8:8">
      <c r="H19791" s="12"/>
    </row>
    <row r="19792" spans="8:8">
      <c r="H19792" s="12"/>
    </row>
    <row r="19793" spans="8:8">
      <c r="H19793" s="12"/>
    </row>
    <row r="19794" spans="8:8">
      <c r="H19794" s="12"/>
    </row>
    <row r="19795" spans="8:8">
      <c r="H19795" s="12"/>
    </row>
    <row r="19796" spans="8:8">
      <c r="H19796" s="12"/>
    </row>
    <row r="19797" spans="8:8">
      <c r="H19797" s="12"/>
    </row>
    <row r="19798" spans="8:8">
      <c r="H19798" s="12"/>
    </row>
    <row r="19799" spans="8:8">
      <c r="H19799" s="12"/>
    </row>
    <row r="19800" spans="8:8">
      <c r="H19800" s="12"/>
    </row>
    <row r="19801" spans="8:8">
      <c r="H19801" s="12"/>
    </row>
    <row r="19802" spans="8:8">
      <c r="H19802" s="12"/>
    </row>
    <row r="19803" spans="8:8">
      <c r="H19803" s="12"/>
    </row>
    <row r="19804" spans="8:8">
      <c r="H19804" s="12"/>
    </row>
    <row r="19805" spans="8:8">
      <c r="H19805" s="12"/>
    </row>
    <row r="19806" spans="8:8">
      <c r="H19806" s="12"/>
    </row>
    <row r="19807" spans="8:8">
      <c r="H19807" s="12"/>
    </row>
    <row r="19808" spans="8:8">
      <c r="H19808" s="12"/>
    </row>
    <row r="19809" spans="8:8">
      <c r="H19809" s="12"/>
    </row>
    <row r="19810" spans="8:8">
      <c r="H19810" s="12"/>
    </row>
    <row r="19811" spans="8:8">
      <c r="H19811" s="12"/>
    </row>
    <row r="19812" spans="8:8">
      <c r="H19812" s="12"/>
    </row>
    <row r="19813" spans="8:8">
      <c r="H19813" s="12"/>
    </row>
    <row r="19814" spans="8:8">
      <c r="H19814" s="12"/>
    </row>
    <row r="19815" spans="8:8">
      <c r="H19815" s="12"/>
    </row>
    <row r="19816" spans="8:8">
      <c r="H19816" s="12"/>
    </row>
    <row r="19817" spans="8:8">
      <c r="H19817" s="12"/>
    </row>
    <row r="19818" spans="8:8">
      <c r="H19818" s="12"/>
    </row>
    <row r="19819" spans="8:8">
      <c r="H19819" s="12"/>
    </row>
    <row r="19820" spans="8:8">
      <c r="H19820" s="12"/>
    </row>
    <row r="19821" spans="8:8">
      <c r="H19821" s="12"/>
    </row>
    <row r="19822" spans="8:8">
      <c r="H19822" s="12"/>
    </row>
    <row r="19823" spans="8:8">
      <c r="H19823" s="12"/>
    </row>
    <row r="19824" spans="8:8">
      <c r="H19824" s="12"/>
    </row>
    <row r="19825" spans="8:8">
      <c r="H19825" s="12"/>
    </row>
    <row r="19826" spans="8:8">
      <c r="H19826" s="12"/>
    </row>
    <row r="19827" spans="8:8">
      <c r="H19827" s="12"/>
    </row>
    <row r="19828" spans="8:8">
      <c r="H19828" s="12"/>
    </row>
    <row r="19829" spans="8:8">
      <c r="H19829" s="12"/>
    </row>
    <row r="19830" spans="8:8">
      <c r="H19830" s="12"/>
    </row>
    <row r="19831" spans="8:8">
      <c r="H19831" s="12"/>
    </row>
    <row r="19832" spans="8:8">
      <c r="H19832" s="12"/>
    </row>
    <row r="19833" spans="8:8">
      <c r="H19833" s="12"/>
    </row>
    <row r="19834" spans="8:8">
      <c r="H19834" s="12"/>
    </row>
    <row r="19835" spans="8:8">
      <c r="H19835" s="12"/>
    </row>
    <row r="19836" spans="8:8">
      <c r="H19836" s="12"/>
    </row>
    <row r="19837" spans="8:8">
      <c r="H19837" s="12"/>
    </row>
    <row r="19838" spans="8:8">
      <c r="H19838" s="12"/>
    </row>
    <row r="19839" spans="8:8">
      <c r="H19839" s="12"/>
    </row>
    <row r="19840" spans="8:8">
      <c r="H19840" s="12"/>
    </row>
    <row r="19841" spans="8:8">
      <c r="H19841" s="12"/>
    </row>
    <row r="19842" spans="8:8">
      <c r="H19842" s="12"/>
    </row>
    <row r="19843" spans="8:8">
      <c r="H19843" s="12"/>
    </row>
    <row r="19844" spans="8:8">
      <c r="H19844" s="12"/>
    </row>
    <row r="19845" spans="8:8">
      <c r="H19845" s="12"/>
    </row>
    <row r="19846" spans="8:8">
      <c r="H19846" s="12"/>
    </row>
    <row r="19847" spans="8:8">
      <c r="H19847" s="12"/>
    </row>
    <row r="19848" spans="8:8">
      <c r="H19848" s="12"/>
    </row>
    <row r="19849" spans="8:8">
      <c r="H19849" s="12"/>
    </row>
    <row r="19850" spans="8:8">
      <c r="H19850" s="12"/>
    </row>
    <row r="19851" spans="8:8">
      <c r="H19851" s="12"/>
    </row>
    <row r="19852" spans="8:8">
      <c r="H19852" s="12"/>
    </row>
    <row r="19853" spans="8:8">
      <c r="H19853" s="12"/>
    </row>
    <row r="19854" spans="8:8">
      <c r="H19854" s="12"/>
    </row>
    <row r="19855" spans="8:8">
      <c r="H19855" s="12"/>
    </row>
    <row r="19856" spans="8:8">
      <c r="H19856" s="12"/>
    </row>
    <row r="19857" spans="8:8">
      <c r="H19857" s="12"/>
    </row>
    <row r="19858" spans="8:8">
      <c r="H19858" s="12"/>
    </row>
    <row r="19859" spans="8:8">
      <c r="H19859" s="12"/>
    </row>
    <row r="19860" spans="8:8">
      <c r="H19860" s="12"/>
    </row>
    <row r="19861" spans="8:8">
      <c r="H19861" s="12"/>
    </row>
    <row r="19862" spans="8:8">
      <c r="H19862" s="12"/>
    </row>
    <row r="19863" spans="8:8">
      <c r="H19863" s="12"/>
    </row>
    <row r="19864" spans="8:8">
      <c r="H19864" s="12"/>
    </row>
    <row r="19865" spans="8:8">
      <c r="H19865" s="12"/>
    </row>
    <row r="19866" spans="8:8">
      <c r="H19866" s="12"/>
    </row>
    <row r="19867" spans="8:8">
      <c r="H19867" s="12"/>
    </row>
    <row r="19868" spans="8:8">
      <c r="H19868" s="12"/>
    </row>
    <row r="19869" spans="8:8">
      <c r="H19869" s="12"/>
    </row>
    <row r="19870" spans="8:8">
      <c r="H19870" s="12"/>
    </row>
    <row r="19871" spans="8:8">
      <c r="H19871" s="12"/>
    </row>
    <row r="19872" spans="8:8">
      <c r="H19872" s="12"/>
    </row>
    <row r="19873" spans="8:8">
      <c r="H19873" s="12"/>
    </row>
    <row r="19874" spans="8:8">
      <c r="H19874" s="12"/>
    </row>
    <row r="19875" spans="8:8">
      <c r="H19875" s="12"/>
    </row>
    <row r="19876" spans="8:8">
      <c r="H19876" s="12"/>
    </row>
    <row r="19877" spans="8:8">
      <c r="H19877" s="12"/>
    </row>
    <row r="19878" spans="8:8">
      <c r="H19878" s="12"/>
    </row>
    <row r="19879" spans="8:8">
      <c r="H19879" s="12"/>
    </row>
    <row r="19880" spans="8:8">
      <c r="H19880" s="12"/>
    </row>
    <row r="19881" spans="8:8">
      <c r="H19881" s="12"/>
    </row>
    <row r="19882" spans="8:8">
      <c r="H19882" s="12"/>
    </row>
    <row r="19883" spans="8:8">
      <c r="H19883" s="12"/>
    </row>
    <row r="19884" spans="8:8">
      <c r="H19884" s="12"/>
    </row>
    <row r="19885" spans="8:8">
      <c r="H19885" s="12"/>
    </row>
    <row r="19886" spans="8:8">
      <c r="H19886" s="12"/>
    </row>
    <row r="19887" spans="8:8">
      <c r="H19887" s="12"/>
    </row>
    <row r="19888" spans="8:8">
      <c r="H19888" s="12"/>
    </row>
    <row r="19889" spans="8:8">
      <c r="H19889" s="12"/>
    </row>
    <row r="19890" spans="8:8">
      <c r="H19890" s="12"/>
    </row>
    <row r="19891" spans="8:8">
      <c r="H19891" s="12"/>
    </row>
    <row r="19892" spans="8:8">
      <c r="H19892" s="12"/>
    </row>
    <row r="19893" spans="8:8">
      <c r="H19893" s="12"/>
    </row>
    <row r="19894" spans="8:8">
      <c r="H19894" s="12"/>
    </row>
    <row r="19895" spans="8:8">
      <c r="H19895" s="12"/>
    </row>
    <row r="19896" spans="8:8">
      <c r="H19896" s="12"/>
    </row>
    <row r="19897" spans="8:8">
      <c r="H19897" s="12"/>
    </row>
    <row r="19898" spans="8:8">
      <c r="H19898" s="12"/>
    </row>
    <row r="19899" spans="8:8">
      <c r="H19899" s="12"/>
    </row>
    <row r="19900" spans="8:8">
      <c r="H19900" s="12"/>
    </row>
    <row r="19901" spans="8:8">
      <c r="H19901" s="12"/>
    </row>
    <row r="19902" spans="8:8">
      <c r="H19902" s="12"/>
    </row>
    <row r="19903" spans="8:8">
      <c r="H19903" s="12"/>
    </row>
    <row r="19904" spans="8:8">
      <c r="H19904" s="12"/>
    </row>
    <row r="19905" spans="8:8">
      <c r="H19905" s="12"/>
    </row>
    <row r="19906" spans="8:8">
      <c r="H19906" s="12"/>
    </row>
    <row r="19907" spans="8:8">
      <c r="H19907" s="12"/>
    </row>
    <row r="19908" spans="8:8">
      <c r="H19908" s="12"/>
    </row>
    <row r="19909" spans="8:8">
      <c r="H19909" s="12"/>
    </row>
    <row r="19910" spans="8:8">
      <c r="H19910" s="12"/>
    </row>
    <row r="19911" spans="8:8">
      <c r="H19911" s="12"/>
    </row>
    <row r="19912" spans="8:8">
      <c r="H19912" s="12"/>
    </row>
    <row r="19913" spans="8:8">
      <c r="H19913" s="12"/>
    </row>
    <row r="19914" spans="8:8">
      <c r="H19914" s="12"/>
    </row>
    <row r="19915" spans="8:8">
      <c r="H19915" s="12"/>
    </row>
    <row r="19916" spans="8:8">
      <c r="H19916" s="12"/>
    </row>
    <row r="19917" spans="8:8">
      <c r="H19917" s="12"/>
    </row>
    <row r="19918" spans="8:8">
      <c r="H19918" s="12"/>
    </row>
    <row r="19919" spans="8:8">
      <c r="H19919" s="12"/>
    </row>
    <row r="19920" spans="8:8">
      <c r="H19920" s="12"/>
    </row>
    <row r="19921" spans="8:8">
      <c r="H19921" s="12"/>
    </row>
    <row r="19922" spans="8:8">
      <c r="H19922" s="12"/>
    </row>
    <row r="19923" spans="8:8">
      <c r="H19923" s="12"/>
    </row>
    <row r="19924" spans="8:8">
      <c r="H19924" s="12"/>
    </row>
    <row r="19925" spans="8:8">
      <c r="H19925" s="12"/>
    </row>
    <row r="19926" spans="8:8">
      <c r="H19926" s="12"/>
    </row>
    <row r="19927" spans="8:8">
      <c r="H19927" s="12"/>
    </row>
    <row r="19928" spans="8:8">
      <c r="H19928" s="12"/>
    </row>
    <row r="19929" spans="8:8">
      <c r="H19929" s="12"/>
    </row>
    <row r="19930" spans="8:8">
      <c r="H19930" s="12"/>
    </row>
    <row r="19931" spans="8:8">
      <c r="H19931" s="12"/>
    </row>
    <row r="19932" spans="8:8">
      <c r="H19932" s="12"/>
    </row>
    <row r="19933" spans="8:8">
      <c r="H19933" s="12"/>
    </row>
    <row r="19934" spans="8:8">
      <c r="H19934" s="12"/>
    </row>
    <row r="19935" spans="8:8">
      <c r="H19935" s="12"/>
    </row>
    <row r="19936" spans="8:8">
      <c r="H19936" s="12"/>
    </row>
    <row r="19937" spans="8:8">
      <c r="H19937" s="12"/>
    </row>
    <row r="19938" spans="8:8">
      <c r="H19938" s="12"/>
    </row>
    <row r="19939" spans="8:8">
      <c r="H19939" s="12"/>
    </row>
    <row r="19940" spans="8:8">
      <c r="H19940" s="12"/>
    </row>
    <row r="19941" spans="8:8">
      <c r="H19941" s="12"/>
    </row>
    <row r="19942" spans="8:8">
      <c r="H19942" s="12"/>
    </row>
    <row r="19943" spans="8:8">
      <c r="H19943" s="12"/>
    </row>
    <row r="19944" spans="8:8">
      <c r="H19944" s="12"/>
    </row>
    <row r="19945" spans="8:8">
      <c r="H19945" s="12"/>
    </row>
    <row r="19946" spans="8:8">
      <c r="H19946" s="12"/>
    </row>
    <row r="19947" spans="8:8">
      <c r="H19947" s="12"/>
    </row>
    <row r="19948" spans="8:8">
      <c r="H19948" s="12"/>
    </row>
    <row r="19949" spans="8:8">
      <c r="H19949" s="12"/>
    </row>
    <row r="19950" spans="8:8">
      <c r="H19950" s="12"/>
    </row>
    <row r="19951" spans="8:8">
      <c r="H19951" s="12"/>
    </row>
    <row r="19952" spans="8:8">
      <c r="H19952" s="12"/>
    </row>
    <row r="19953" spans="8:8">
      <c r="H19953" s="12"/>
    </row>
    <row r="19954" spans="8:8">
      <c r="H19954" s="12"/>
    </row>
    <row r="19955" spans="8:8">
      <c r="H19955" s="12"/>
    </row>
    <row r="19956" spans="8:8">
      <c r="H19956" s="12"/>
    </row>
    <row r="19957" spans="8:8">
      <c r="H19957" s="12"/>
    </row>
    <row r="19958" spans="8:8">
      <c r="H19958" s="12"/>
    </row>
    <row r="19959" spans="8:8">
      <c r="H19959" s="12"/>
    </row>
    <row r="19960" spans="8:8">
      <c r="H19960" s="12"/>
    </row>
    <row r="19961" spans="8:8">
      <c r="H19961" s="12"/>
    </row>
    <row r="19962" spans="8:8">
      <c r="H19962" s="12"/>
    </row>
    <row r="19963" spans="8:8">
      <c r="H19963" s="12"/>
    </row>
    <row r="19964" spans="8:8">
      <c r="H19964" s="12"/>
    </row>
    <row r="19965" spans="8:8">
      <c r="H19965" s="12"/>
    </row>
    <row r="19966" spans="8:8">
      <c r="H19966" s="12"/>
    </row>
    <row r="19967" spans="8:8">
      <c r="H19967" s="12"/>
    </row>
    <row r="19968" spans="8:8">
      <c r="H19968" s="12"/>
    </row>
    <row r="19969" spans="8:8">
      <c r="H19969" s="12"/>
    </row>
    <row r="19970" spans="8:8">
      <c r="H19970" s="12"/>
    </row>
    <row r="19971" spans="8:8">
      <c r="H19971" s="12"/>
    </row>
    <row r="19972" spans="8:8">
      <c r="H19972" s="12"/>
    </row>
    <row r="19973" spans="8:8">
      <c r="H19973" s="12"/>
    </row>
    <row r="19974" spans="8:8">
      <c r="H19974" s="12"/>
    </row>
    <row r="19975" spans="8:8">
      <c r="H19975" s="12"/>
    </row>
    <row r="19976" spans="8:8">
      <c r="H19976" s="12"/>
    </row>
    <row r="19977" spans="8:8">
      <c r="H19977" s="12"/>
    </row>
    <row r="19978" spans="8:8">
      <c r="H19978" s="12"/>
    </row>
    <row r="19979" spans="8:8">
      <c r="H19979" s="12"/>
    </row>
    <row r="19980" spans="8:8">
      <c r="H19980" s="12"/>
    </row>
    <row r="19981" spans="8:8">
      <c r="H19981" s="12"/>
    </row>
    <row r="19982" spans="8:8">
      <c r="H19982" s="12"/>
    </row>
    <row r="19983" spans="8:8">
      <c r="H19983" s="12"/>
    </row>
    <row r="19984" spans="8:8">
      <c r="H19984" s="12"/>
    </row>
    <row r="19985" spans="8:8">
      <c r="H19985" s="12"/>
    </row>
    <row r="19986" spans="8:8">
      <c r="H19986" s="12"/>
    </row>
    <row r="19987" spans="8:8">
      <c r="H19987" s="12"/>
    </row>
    <row r="19988" spans="8:8">
      <c r="H19988" s="12"/>
    </row>
    <row r="19989" spans="8:8">
      <c r="H19989" s="12"/>
    </row>
    <row r="19990" spans="8:8">
      <c r="H19990" s="12"/>
    </row>
    <row r="19991" spans="8:8">
      <c r="H19991" s="12"/>
    </row>
    <row r="19992" spans="8:8">
      <c r="H19992" s="12"/>
    </row>
    <row r="19993" spans="8:8">
      <c r="H19993" s="12"/>
    </row>
    <row r="19994" spans="8:8">
      <c r="H19994" s="12"/>
    </row>
    <row r="19995" spans="8:8">
      <c r="H19995" s="12"/>
    </row>
    <row r="19996" spans="8:8">
      <c r="H19996" s="12"/>
    </row>
    <row r="19997" spans="8:8">
      <c r="H19997" s="12"/>
    </row>
    <row r="19998" spans="8:8">
      <c r="H19998" s="12"/>
    </row>
    <row r="19999" spans="8:8">
      <c r="H19999" s="12"/>
    </row>
    <row r="20000" spans="8:8">
      <c r="H20000" s="12"/>
    </row>
    <row r="20001" spans="8:8">
      <c r="H20001" s="12"/>
    </row>
    <row r="20002" spans="8:8">
      <c r="H20002" s="12"/>
    </row>
    <row r="20003" spans="8:8">
      <c r="H20003" s="12"/>
    </row>
    <row r="20004" spans="8:8">
      <c r="H20004" s="12"/>
    </row>
    <row r="20005" spans="8:8">
      <c r="H20005" s="12"/>
    </row>
    <row r="20006" spans="8:8">
      <c r="H20006" s="12"/>
    </row>
    <row r="20007" spans="8:8">
      <c r="H20007" s="12"/>
    </row>
    <row r="20008" spans="8:8">
      <c r="H20008" s="12"/>
    </row>
    <row r="20009" spans="8:8">
      <c r="H20009" s="12"/>
    </row>
    <row r="20010" spans="8:8">
      <c r="H20010" s="12"/>
    </row>
    <row r="20011" spans="8:8">
      <c r="H20011" s="12"/>
    </row>
    <row r="20012" spans="8:8">
      <c r="H20012" s="12"/>
    </row>
    <row r="20013" spans="8:8">
      <c r="H20013" s="12"/>
    </row>
    <row r="20014" spans="8:8">
      <c r="H20014" s="12"/>
    </row>
    <row r="20015" spans="8:8">
      <c r="H20015" s="12"/>
    </row>
    <row r="20016" spans="8:8">
      <c r="H20016" s="12"/>
    </row>
    <row r="20017" spans="8:8">
      <c r="H20017" s="12"/>
    </row>
    <row r="20018" spans="8:8">
      <c r="H20018" s="12"/>
    </row>
    <row r="20019" spans="8:8">
      <c r="H20019" s="12"/>
    </row>
    <row r="20020" spans="8:8">
      <c r="H20020" s="12"/>
    </row>
    <row r="20021" spans="8:8">
      <c r="H20021" s="12"/>
    </row>
    <row r="20022" spans="8:8">
      <c r="H20022" s="12"/>
    </row>
    <row r="20023" spans="8:8">
      <c r="H20023" s="12"/>
    </row>
    <row r="20024" spans="8:8">
      <c r="H20024" s="12"/>
    </row>
    <row r="20025" spans="8:8">
      <c r="H20025" s="12"/>
    </row>
    <row r="20026" spans="8:8">
      <c r="H20026" s="12"/>
    </row>
    <row r="20027" spans="8:8">
      <c r="H20027" s="12"/>
    </row>
    <row r="20028" spans="8:8">
      <c r="H20028" s="12"/>
    </row>
    <row r="20029" spans="8:8">
      <c r="H20029" s="12"/>
    </row>
    <row r="20030" spans="8:8">
      <c r="H20030" s="12"/>
    </row>
    <row r="20031" spans="8:8">
      <c r="H20031" s="12"/>
    </row>
    <row r="20032" spans="8:8">
      <c r="H20032" s="12"/>
    </row>
    <row r="20033" spans="8:8">
      <c r="H20033" s="12"/>
    </row>
    <row r="20034" spans="8:8">
      <c r="H20034" s="12"/>
    </row>
    <row r="20035" spans="8:8">
      <c r="H20035" s="12"/>
    </row>
    <row r="20036" spans="8:8">
      <c r="H20036" s="12"/>
    </row>
    <row r="20037" spans="8:8">
      <c r="H20037" s="12"/>
    </row>
    <row r="20038" spans="8:8">
      <c r="H20038" s="12"/>
    </row>
    <row r="20039" spans="8:8">
      <c r="H20039" s="12"/>
    </row>
    <row r="20040" spans="8:8">
      <c r="H20040" s="12"/>
    </row>
    <row r="20041" spans="8:8">
      <c r="H20041" s="12"/>
    </row>
    <row r="20042" spans="8:8">
      <c r="H20042" s="12"/>
    </row>
    <row r="20043" spans="8:8">
      <c r="H20043" s="12"/>
    </row>
    <row r="20044" spans="8:8">
      <c r="H20044" s="12"/>
    </row>
    <row r="20045" spans="8:8">
      <c r="H20045" s="12"/>
    </row>
    <row r="20046" spans="8:8">
      <c r="H20046" s="12"/>
    </row>
    <row r="20047" spans="8:8">
      <c r="H20047" s="12"/>
    </row>
    <row r="20048" spans="8:8">
      <c r="H20048" s="12"/>
    </row>
    <row r="20049" spans="8:8">
      <c r="H20049" s="12"/>
    </row>
    <row r="20050" spans="8:8">
      <c r="H20050" s="12"/>
    </row>
    <row r="20051" spans="8:8">
      <c r="H20051" s="12"/>
    </row>
    <row r="20052" spans="8:8">
      <c r="H20052" s="12"/>
    </row>
    <row r="20053" spans="8:8">
      <c r="H20053" s="12"/>
    </row>
    <row r="20054" spans="8:8">
      <c r="H20054" s="12"/>
    </row>
    <row r="20055" spans="8:8">
      <c r="H20055" s="12"/>
    </row>
    <row r="20056" spans="8:8">
      <c r="H20056" s="12"/>
    </row>
    <row r="20057" spans="8:8">
      <c r="H20057" s="12"/>
    </row>
    <row r="20058" spans="8:8">
      <c r="H20058" s="12"/>
    </row>
    <row r="20059" spans="8:8">
      <c r="H20059" s="12"/>
    </row>
    <row r="20060" spans="8:8">
      <c r="H20060" s="12"/>
    </row>
    <row r="20061" spans="8:8">
      <c r="H20061" s="12"/>
    </row>
    <row r="20062" spans="8:8">
      <c r="H20062" s="12"/>
    </row>
    <row r="20063" spans="8:8">
      <c r="H20063" s="12"/>
    </row>
    <row r="20064" spans="8:8">
      <c r="H20064" s="12"/>
    </row>
    <row r="20065" spans="8:8">
      <c r="H20065" s="12"/>
    </row>
    <row r="20066" spans="8:8">
      <c r="H20066" s="12"/>
    </row>
    <row r="20067" spans="8:8">
      <c r="H20067" s="12"/>
    </row>
    <row r="20068" spans="8:8">
      <c r="H20068" s="12"/>
    </row>
    <row r="20069" spans="8:8">
      <c r="H20069" s="12"/>
    </row>
    <row r="20070" spans="8:8">
      <c r="H20070" s="12"/>
    </row>
    <row r="20071" spans="8:8">
      <c r="H20071" s="12"/>
    </row>
    <row r="20072" spans="8:8">
      <c r="H20072" s="12"/>
    </row>
    <row r="20073" spans="8:8">
      <c r="H20073" s="12"/>
    </row>
    <row r="20074" spans="8:8">
      <c r="H20074" s="12"/>
    </row>
    <row r="20075" spans="8:8">
      <c r="H20075" s="12"/>
    </row>
    <row r="20076" spans="8:8">
      <c r="H20076" s="12"/>
    </row>
    <row r="20077" spans="8:8">
      <c r="H20077" s="12"/>
    </row>
    <row r="20078" spans="8:8">
      <c r="H20078" s="12"/>
    </row>
    <row r="20079" spans="8:8">
      <c r="H20079" s="12"/>
    </row>
    <row r="20080" spans="8:8">
      <c r="H20080" s="12"/>
    </row>
    <row r="20081" spans="8:8">
      <c r="H20081" s="12"/>
    </row>
    <row r="20082" spans="8:8">
      <c r="H20082" s="12"/>
    </row>
    <row r="20083" spans="8:8">
      <c r="H20083" s="12"/>
    </row>
    <row r="20084" spans="8:8">
      <c r="H20084" s="12"/>
    </row>
    <row r="20085" spans="8:8">
      <c r="H20085" s="12"/>
    </row>
    <row r="20086" spans="8:8">
      <c r="H20086" s="12"/>
    </row>
    <row r="20087" spans="8:8">
      <c r="H20087" s="12"/>
    </row>
    <row r="20088" spans="8:8">
      <c r="H20088" s="12"/>
    </row>
    <row r="20089" spans="8:8">
      <c r="H20089" s="12"/>
    </row>
    <row r="20090" spans="8:8">
      <c r="H20090" s="12"/>
    </row>
    <row r="20091" spans="8:8">
      <c r="H20091" s="12"/>
    </row>
    <row r="20092" spans="8:8">
      <c r="H20092" s="12"/>
    </row>
    <row r="20093" spans="8:8">
      <c r="H20093" s="12"/>
    </row>
    <row r="20094" spans="8:8">
      <c r="H20094" s="12"/>
    </row>
    <row r="20095" spans="8:8">
      <c r="H20095" s="12"/>
    </row>
    <row r="20096" spans="8:8">
      <c r="H20096" s="12"/>
    </row>
    <row r="20097" spans="8:8">
      <c r="H20097" s="12"/>
    </row>
    <row r="20098" spans="8:8">
      <c r="H20098" s="12"/>
    </row>
    <row r="20099" spans="8:8">
      <c r="H20099" s="12"/>
    </row>
    <row r="20100" spans="8:8">
      <c r="H20100" s="12"/>
    </row>
    <row r="20101" spans="8:8">
      <c r="H20101" s="12"/>
    </row>
    <row r="20102" spans="8:8">
      <c r="H20102" s="12"/>
    </row>
    <row r="20103" spans="8:8">
      <c r="H20103" s="12"/>
    </row>
    <row r="20104" spans="8:8">
      <c r="H20104" s="12"/>
    </row>
    <row r="20105" spans="8:8">
      <c r="H20105" s="12"/>
    </row>
    <row r="20106" spans="8:8">
      <c r="H20106" s="12"/>
    </row>
    <row r="20107" spans="8:8">
      <c r="H20107" s="12"/>
    </row>
    <row r="20108" spans="8:8">
      <c r="H20108" s="12"/>
    </row>
    <row r="20109" spans="8:8">
      <c r="H20109" s="12"/>
    </row>
    <row r="20110" spans="8:8">
      <c r="H20110" s="12"/>
    </row>
    <row r="20111" spans="8:8">
      <c r="H20111" s="12"/>
    </row>
    <row r="20112" spans="8:8">
      <c r="H20112" s="12"/>
    </row>
    <row r="20113" spans="8:8">
      <c r="H20113" s="12"/>
    </row>
    <row r="20114" spans="8:8">
      <c r="H20114" s="12"/>
    </row>
    <row r="20115" spans="8:8">
      <c r="H20115" s="12"/>
    </row>
    <row r="20116" spans="8:8">
      <c r="H20116" s="12"/>
    </row>
    <row r="20117" spans="8:8">
      <c r="H20117" s="12"/>
    </row>
    <row r="20118" spans="8:8">
      <c r="H20118" s="12"/>
    </row>
    <row r="20119" spans="8:8">
      <c r="H20119" s="12"/>
    </row>
    <row r="20120" spans="8:8">
      <c r="H20120" s="12"/>
    </row>
    <row r="20121" spans="8:8">
      <c r="H20121" s="12"/>
    </row>
    <row r="20122" spans="8:8">
      <c r="H20122" s="12"/>
    </row>
    <row r="20123" spans="8:8">
      <c r="H20123" s="12"/>
    </row>
    <row r="20124" spans="8:8">
      <c r="H20124" s="12"/>
    </row>
    <row r="20125" spans="8:8">
      <c r="H20125" s="12"/>
    </row>
    <row r="20126" spans="8:8">
      <c r="H20126" s="12"/>
    </row>
    <row r="20127" spans="8:8">
      <c r="H20127" s="12"/>
    </row>
    <row r="20128" spans="8:8">
      <c r="H20128" s="12"/>
    </row>
    <row r="20129" spans="8:8">
      <c r="H20129" s="12"/>
    </row>
    <row r="20130" spans="8:8">
      <c r="H20130" s="12"/>
    </row>
    <row r="20131" spans="8:8">
      <c r="H20131" s="12"/>
    </row>
    <row r="20132" spans="8:8">
      <c r="H20132" s="12"/>
    </row>
    <row r="20133" spans="8:8">
      <c r="H20133" s="12"/>
    </row>
    <row r="20134" spans="8:8">
      <c r="H20134" s="12"/>
    </row>
    <row r="20135" spans="8:8">
      <c r="H20135" s="12"/>
    </row>
    <row r="20136" spans="8:8">
      <c r="H20136" s="12"/>
    </row>
    <row r="20137" spans="8:8">
      <c r="H20137" s="12"/>
    </row>
    <row r="20138" spans="8:8">
      <c r="H20138" s="12"/>
    </row>
    <row r="20139" spans="8:8">
      <c r="H20139" s="12"/>
    </row>
    <row r="20140" spans="8:8">
      <c r="H20140" s="12"/>
    </row>
    <row r="20141" spans="8:8">
      <c r="H20141" s="12"/>
    </row>
    <row r="20142" spans="8:8">
      <c r="H20142" s="12"/>
    </row>
    <row r="20143" spans="8:8">
      <c r="H20143" s="12"/>
    </row>
    <row r="20144" spans="8:8">
      <c r="H20144" s="12"/>
    </row>
    <row r="20145" spans="8:8">
      <c r="H20145" s="12"/>
    </row>
    <row r="20146" spans="8:8">
      <c r="H20146" s="12"/>
    </row>
    <row r="20147" spans="8:8">
      <c r="H20147" s="12"/>
    </row>
    <row r="20148" spans="8:8">
      <c r="H20148" s="12"/>
    </row>
    <row r="20149" spans="8:8">
      <c r="H20149" s="12"/>
    </row>
    <row r="20150" spans="8:8">
      <c r="H20150" s="12"/>
    </row>
    <row r="20151" spans="8:8">
      <c r="H20151" s="12"/>
    </row>
    <row r="20152" spans="8:8">
      <c r="H20152" s="12"/>
    </row>
    <row r="20153" spans="8:8">
      <c r="H20153" s="12"/>
    </row>
    <row r="20154" spans="8:8">
      <c r="H20154" s="12"/>
    </row>
    <row r="20155" spans="8:8">
      <c r="H20155" s="12"/>
    </row>
    <row r="20156" spans="8:8">
      <c r="H20156" s="12"/>
    </row>
    <row r="20157" spans="8:8">
      <c r="H20157" s="12"/>
    </row>
    <row r="20158" spans="8:8">
      <c r="H20158" s="12"/>
    </row>
    <row r="20159" spans="8:8">
      <c r="H20159" s="12"/>
    </row>
    <row r="20160" spans="8:8">
      <c r="H20160" s="12"/>
    </row>
    <row r="20161" spans="8:8">
      <c r="H20161" s="12"/>
    </row>
    <row r="20162" spans="8:8">
      <c r="H20162" s="12"/>
    </row>
    <row r="20163" spans="8:8">
      <c r="H20163" s="12"/>
    </row>
    <row r="20164" spans="8:8">
      <c r="H20164" s="12"/>
    </row>
    <row r="20165" spans="8:8">
      <c r="H20165" s="12"/>
    </row>
    <row r="20166" spans="8:8">
      <c r="H20166" s="12"/>
    </row>
    <row r="20167" spans="8:8">
      <c r="H20167" s="12"/>
    </row>
    <row r="20168" spans="8:8">
      <c r="H20168" s="12"/>
    </row>
    <row r="20169" spans="8:8">
      <c r="H20169" s="12"/>
    </row>
    <row r="20170" spans="8:8">
      <c r="H20170" s="12"/>
    </row>
    <row r="20171" spans="8:8">
      <c r="H20171" s="12"/>
    </row>
    <row r="20172" spans="8:8">
      <c r="H20172" s="12"/>
    </row>
    <row r="20173" spans="8:8">
      <c r="H20173" s="12"/>
    </row>
    <row r="20174" spans="8:8">
      <c r="H20174" s="12"/>
    </row>
    <row r="20175" spans="8:8">
      <c r="H20175" s="12"/>
    </row>
    <row r="20176" spans="8:8">
      <c r="H20176" s="12"/>
    </row>
    <row r="20177" spans="8:8">
      <c r="H20177" s="12"/>
    </row>
    <row r="20178" spans="8:8">
      <c r="H20178" s="12"/>
    </row>
    <row r="20179" spans="8:8">
      <c r="H20179" s="12"/>
    </row>
    <row r="20180" spans="8:8">
      <c r="H20180" s="12"/>
    </row>
    <row r="20181" spans="8:8">
      <c r="H20181" s="12"/>
    </row>
    <row r="20182" spans="8:8">
      <c r="H20182" s="12"/>
    </row>
    <row r="20183" spans="8:8">
      <c r="H20183" s="12"/>
    </row>
    <row r="20184" spans="8:8">
      <c r="H20184" s="12"/>
    </row>
    <row r="20185" spans="8:8">
      <c r="H20185" s="12"/>
    </row>
    <row r="20186" spans="8:8">
      <c r="H20186" s="12"/>
    </row>
    <row r="20187" spans="8:8">
      <c r="H20187" s="12"/>
    </row>
    <row r="20188" spans="8:8">
      <c r="H20188" s="12"/>
    </row>
    <row r="20189" spans="8:8">
      <c r="H20189" s="12"/>
    </row>
    <row r="20190" spans="8:8">
      <c r="H20190" s="12"/>
    </row>
    <row r="20191" spans="8:8">
      <c r="H20191" s="12"/>
    </row>
    <row r="20192" spans="8:8">
      <c r="H20192" s="12"/>
    </row>
    <row r="20193" spans="8:8">
      <c r="H20193" s="12"/>
    </row>
    <row r="20194" spans="8:8">
      <c r="H20194" s="12"/>
    </row>
    <row r="20195" spans="8:8">
      <c r="H20195" s="12"/>
    </row>
    <row r="20196" spans="8:8">
      <c r="H20196" s="12"/>
    </row>
    <row r="20197" spans="8:8">
      <c r="H20197" s="12"/>
    </row>
    <row r="20198" spans="8:8">
      <c r="H20198" s="12"/>
    </row>
    <row r="20199" spans="8:8">
      <c r="H20199" s="12"/>
    </row>
    <row r="20200" spans="8:8">
      <c r="H20200" s="12"/>
    </row>
    <row r="20201" spans="8:8">
      <c r="H20201" s="12"/>
    </row>
    <row r="20202" spans="8:8">
      <c r="H20202" s="12"/>
    </row>
    <row r="20203" spans="8:8">
      <c r="H20203" s="12"/>
    </row>
    <row r="20204" spans="8:8">
      <c r="H20204" s="12"/>
    </row>
    <row r="20205" spans="8:8">
      <c r="H20205" s="12"/>
    </row>
    <row r="20206" spans="8:8">
      <c r="H20206" s="12"/>
    </row>
    <row r="20207" spans="8:8">
      <c r="H20207" s="12"/>
    </row>
    <row r="20208" spans="8:8">
      <c r="H20208" s="12"/>
    </row>
    <row r="20209" spans="8:8">
      <c r="H20209" s="12"/>
    </row>
    <row r="20210" spans="8:8">
      <c r="H20210" s="12"/>
    </row>
    <row r="20211" spans="8:8">
      <c r="H20211" s="12"/>
    </row>
    <row r="20212" spans="8:8">
      <c r="H20212" s="12"/>
    </row>
    <row r="20213" spans="8:8">
      <c r="H20213" s="12"/>
    </row>
    <row r="20214" spans="8:8">
      <c r="H20214" s="12"/>
    </row>
    <row r="20215" spans="8:8">
      <c r="H20215" s="12"/>
    </row>
    <row r="20216" spans="8:8">
      <c r="H20216" s="12"/>
    </row>
    <row r="20217" spans="8:8">
      <c r="H20217" s="12"/>
    </row>
    <row r="20218" spans="8:8">
      <c r="H20218" s="12"/>
    </row>
    <row r="20219" spans="8:8">
      <c r="H20219" s="12"/>
    </row>
    <row r="20220" spans="8:8">
      <c r="H20220" s="12"/>
    </row>
    <row r="20221" spans="8:8">
      <c r="H20221" s="12"/>
    </row>
    <row r="20222" spans="8:8">
      <c r="H20222" s="12"/>
    </row>
    <row r="20223" spans="8:8">
      <c r="H20223" s="12"/>
    </row>
    <row r="20224" spans="8:8">
      <c r="H20224" s="12"/>
    </row>
    <row r="20225" spans="8:8">
      <c r="H20225" s="12"/>
    </row>
    <row r="20226" spans="8:8">
      <c r="H20226" s="12"/>
    </row>
    <row r="20227" spans="8:8">
      <c r="H20227" s="12"/>
    </row>
    <row r="20228" spans="8:8">
      <c r="H20228" s="12"/>
    </row>
    <row r="20229" spans="8:8">
      <c r="H20229" s="12"/>
    </row>
    <row r="20230" spans="8:8">
      <c r="H20230" s="12"/>
    </row>
    <row r="20231" spans="8:8">
      <c r="H20231" s="12"/>
    </row>
    <row r="20232" spans="8:8">
      <c r="H20232" s="12"/>
    </row>
    <row r="20233" spans="8:8">
      <c r="H20233" s="12"/>
    </row>
    <row r="20234" spans="8:8">
      <c r="H20234" s="12"/>
    </row>
    <row r="20235" spans="8:8">
      <c r="H20235" s="12"/>
    </row>
    <row r="20236" spans="8:8">
      <c r="H20236" s="12"/>
    </row>
    <row r="20237" spans="8:8">
      <c r="H20237" s="12"/>
    </row>
    <row r="20238" spans="8:8">
      <c r="H20238" s="12"/>
    </row>
    <row r="20239" spans="8:8">
      <c r="H20239" s="12"/>
    </row>
    <row r="20240" spans="8:8">
      <c r="H20240" s="12"/>
    </row>
    <row r="20241" spans="8:8">
      <c r="H20241" s="12"/>
    </row>
    <row r="20242" spans="8:8">
      <c r="H20242" s="12"/>
    </row>
    <row r="20243" spans="8:8">
      <c r="H20243" s="12"/>
    </row>
    <row r="20244" spans="8:8">
      <c r="H20244" s="12"/>
    </row>
    <row r="20245" spans="8:8">
      <c r="H20245" s="12"/>
    </row>
    <row r="20246" spans="8:8">
      <c r="H20246" s="12"/>
    </row>
    <row r="20247" spans="8:8">
      <c r="H20247" s="12"/>
    </row>
    <row r="20248" spans="8:8">
      <c r="H20248" s="12"/>
    </row>
    <row r="20249" spans="8:8">
      <c r="H20249" s="12"/>
    </row>
    <row r="20250" spans="8:8">
      <c r="H20250" s="12"/>
    </row>
    <row r="20251" spans="8:8">
      <c r="H20251" s="12"/>
    </row>
    <row r="20252" spans="8:8">
      <c r="H20252" s="12"/>
    </row>
    <row r="20253" spans="8:8">
      <c r="H20253" s="12"/>
    </row>
    <row r="20254" spans="8:8">
      <c r="H20254" s="12"/>
    </row>
    <row r="20255" spans="8:8">
      <c r="H20255" s="12"/>
    </row>
    <row r="20256" spans="8:8">
      <c r="H20256" s="12"/>
    </row>
    <row r="20257" spans="8:8">
      <c r="H20257" s="12"/>
    </row>
    <row r="20258" spans="8:8">
      <c r="H20258" s="12"/>
    </row>
    <row r="20259" spans="8:8">
      <c r="H20259" s="12"/>
    </row>
    <row r="20260" spans="8:8">
      <c r="H20260" s="12"/>
    </row>
    <row r="20261" spans="8:8">
      <c r="H20261" s="12"/>
    </row>
    <row r="20262" spans="8:8">
      <c r="H20262" s="12"/>
    </row>
    <row r="20263" spans="8:8">
      <c r="H20263" s="12"/>
    </row>
    <row r="20264" spans="8:8">
      <c r="H20264" s="12"/>
    </row>
    <row r="20265" spans="8:8">
      <c r="H20265" s="12"/>
    </row>
    <row r="20266" spans="8:8">
      <c r="H20266" s="12"/>
    </row>
    <row r="20267" spans="8:8">
      <c r="H20267" s="12"/>
    </row>
    <row r="20268" spans="8:8">
      <c r="H20268" s="12"/>
    </row>
    <row r="20269" spans="8:8">
      <c r="H20269" s="12"/>
    </row>
    <row r="20270" spans="8:8">
      <c r="H20270" s="12"/>
    </row>
    <row r="20271" spans="8:8">
      <c r="H20271" s="12"/>
    </row>
    <row r="20272" spans="8:8">
      <c r="H20272" s="12"/>
    </row>
    <row r="20273" spans="8:8">
      <c r="H20273" s="12"/>
    </row>
    <row r="20274" spans="8:8">
      <c r="H20274" s="12"/>
    </row>
    <row r="20275" spans="8:8">
      <c r="H20275" s="12"/>
    </row>
    <row r="20276" spans="8:8">
      <c r="H20276" s="12"/>
    </row>
    <row r="20277" spans="8:8">
      <c r="H20277" s="12"/>
    </row>
    <row r="20278" spans="8:8">
      <c r="H20278" s="12"/>
    </row>
    <row r="20279" spans="8:8">
      <c r="H20279" s="12"/>
    </row>
    <row r="20280" spans="8:8">
      <c r="H20280" s="12"/>
    </row>
    <row r="20281" spans="8:8">
      <c r="H20281" s="12"/>
    </row>
    <row r="20282" spans="8:8">
      <c r="H20282" s="12"/>
    </row>
    <row r="20283" spans="8:8">
      <c r="H20283" s="12"/>
    </row>
    <row r="20284" spans="8:8">
      <c r="H20284" s="12"/>
    </row>
    <row r="20285" spans="8:8">
      <c r="H20285" s="12"/>
    </row>
    <row r="20286" spans="8:8">
      <c r="H20286" s="12"/>
    </row>
    <row r="20287" spans="8:8">
      <c r="H20287" s="12"/>
    </row>
    <row r="20288" spans="8:8">
      <c r="H20288" s="12"/>
    </row>
    <row r="20289" spans="8:8">
      <c r="H20289" s="12"/>
    </row>
    <row r="20290" spans="8:8">
      <c r="H20290" s="12"/>
    </row>
    <row r="20291" spans="8:8">
      <c r="H20291" s="12"/>
    </row>
    <row r="20292" spans="8:8">
      <c r="H20292" s="12"/>
    </row>
    <row r="20293" spans="8:8">
      <c r="H20293" s="12"/>
    </row>
    <row r="20294" spans="8:8">
      <c r="H20294" s="12"/>
    </row>
    <row r="20295" spans="8:8">
      <c r="H20295" s="12"/>
    </row>
    <row r="20296" spans="8:8">
      <c r="H20296" s="12"/>
    </row>
    <row r="20297" spans="8:8">
      <c r="H20297" s="12"/>
    </row>
    <row r="20298" spans="8:8">
      <c r="H20298" s="12"/>
    </row>
    <row r="20299" spans="8:8">
      <c r="H20299" s="12"/>
    </row>
    <row r="20300" spans="8:8">
      <c r="H20300" s="12"/>
    </row>
    <row r="20301" spans="8:8">
      <c r="H20301" s="12"/>
    </row>
    <row r="20302" spans="8:8">
      <c r="H20302" s="12"/>
    </row>
    <row r="20303" spans="8:8">
      <c r="H20303" s="12"/>
    </row>
    <row r="20304" spans="8:8">
      <c r="H20304" s="12"/>
    </row>
    <row r="20305" spans="8:8">
      <c r="H20305" s="12"/>
    </row>
    <row r="20306" spans="8:8">
      <c r="H20306" s="12"/>
    </row>
    <row r="20307" spans="8:8">
      <c r="H20307" s="12"/>
    </row>
    <row r="20308" spans="8:8">
      <c r="H20308" s="12"/>
    </row>
    <row r="20309" spans="8:8">
      <c r="H20309" s="12"/>
    </row>
    <row r="20310" spans="8:8">
      <c r="H20310" s="12"/>
    </row>
    <row r="20311" spans="8:8">
      <c r="H20311" s="12"/>
    </row>
    <row r="20312" spans="8:8">
      <c r="H20312" s="12"/>
    </row>
    <row r="20313" spans="8:8">
      <c r="H20313" s="12"/>
    </row>
    <row r="20314" spans="8:8">
      <c r="H20314" s="12"/>
    </row>
    <row r="20315" spans="8:8">
      <c r="H20315" s="12"/>
    </row>
    <row r="20316" spans="8:8">
      <c r="H20316" s="12"/>
    </row>
    <row r="20317" spans="8:8">
      <c r="H20317" s="12"/>
    </row>
    <row r="20318" spans="8:8">
      <c r="H20318" s="12"/>
    </row>
    <row r="20319" spans="8:8">
      <c r="H20319" s="12"/>
    </row>
    <row r="20320" spans="8:8">
      <c r="H20320" s="12"/>
    </row>
    <row r="20321" spans="8:8">
      <c r="H20321" s="12"/>
    </row>
    <row r="20322" spans="8:8">
      <c r="H20322" s="12"/>
    </row>
    <row r="20323" spans="8:8">
      <c r="H20323" s="12"/>
    </row>
    <row r="20324" spans="8:8">
      <c r="H20324" s="12"/>
    </row>
    <row r="20325" spans="8:8">
      <c r="H20325" s="12"/>
    </row>
    <row r="20326" spans="8:8">
      <c r="H20326" s="12"/>
    </row>
    <row r="20327" spans="8:8">
      <c r="H20327" s="12"/>
    </row>
    <row r="20328" spans="8:8">
      <c r="H20328" s="12"/>
    </row>
    <row r="20329" spans="8:8">
      <c r="H20329" s="12"/>
    </row>
    <row r="20330" spans="8:8">
      <c r="H20330" s="12"/>
    </row>
    <row r="20331" spans="8:8">
      <c r="H20331" s="12"/>
    </row>
    <row r="20332" spans="8:8">
      <c r="H20332" s="12"/>
    </row>
    <row r="20333" spans="8:8">
      <c r="H20333" s="12"/>
    </row>
    <row r="20334" spans="8:8">
      <c r="H20334" s="12"/>
    </row>
    <row r="20335" spans="8:8">
      <c r="H20335" s="12"/>
    </row>
    <row r="20336" spans="8:8">
      <c r="H20336" s="12"/>
    </row>
    <row r="20337" spans="8:8">
      <c r="H20337" s="12"/>
    </row>
    <row r="20338" spans="8:8">
      <c r="H20338" s="12"/>
    </row>
    <row r="20339" spans="8:8">
      <c r="H20339" s="12"/>
    </row>
    <row r="20340" spans="8:8">
      <c r="H20340" s="12"/>
    </row>
    <row r="20341" spans="8:8">
      <c r="H20341" s="12"/>
    </row>
    <row r="20342" spans="8:8">
      <c r="H20342" s="12"/>
    </row>
    <row r="20343" spans="8:8">
      <c r="H20343" s="12"/>
    </row>
    <row r="20344" spans="8:8">
      <c r="H20344" s="12"/>
    </row>
    <row r="20345" spans="8:8">
      <c r="H20345" s="12"/>
    </row>
    <row r="20346" spans="8:8">
      <c r="H20346" s="12"/>
    </row>
    <row r="20347" spans="8:8">
      <c r="H20347" s="12"/>
    </row>
    <row r="20348" spans="8:8">
      <c r="H20348" s="12"/>
    </row>
    <row r="20349" spans="8:8">
      <c r="H20349" s="12"/>
    </row>
    <row r="20350" spans="8:8">
      <c r="H20350" s="12"/>
    </row>
    <row r="20351" spans="8:8">
      <c r="H20351" s="12"/>
    </row>
    <row r="20352" spans="8:8">
      <c r="H20352" s="12"/>
    </row>
    <row r="20353" spans="8:8">
      <c r="H20353" s="12"/>
    </row>
    <row r="20354" spans="8:8">
      <c r="H20354" s="12"/>
    </row>
    <row r="20355" spans="8:8">
      <c r="H20355" s="12"/>
    </row>
    <row r="20356" spans="8:8">
      <c r="H20356" s="12"/>
    </row>
    <row r="20357" spans="8:8">
      <c r="H20357" s="12"/>
    </row>
    <row r="20358" spans="8:8">
      <c r="H20358" s="12"/>
    </row>
    <row r="20359" spans="8:8">
      <c r="H20359" s="12"/>
    </row>
    <row r="20360" spans="8:8">
      <c r="H20360" s="12"/>
    </row>
    <row r="20361" spans="8:8">
      <c r="H20361" s="12"/>
    </row>
    <row r="20362" spans="8:8">
      <c r="H20362" s="12"/>
    </row>
    <row r="20363" spans="8:8">
      <c r="H20363" s="12"/>
    </row>
    <row r="20364" spans="8:8">
      <c r="H20364" s="12"/>
    </row>
    <row r="20365" spans="8:8">
      <c r="H20365" s="12"/>
    </row>
    <row r="20366" spans="8:8">
      <c r="H20366" s="12"/>
    </row>
    <row r="20367" spans="8:8">
      <c r="H20367" s="12"/>
    </row>
    <row r="20368" spans="8:8">
      <c r="H20368" s="12"/>
    </row>
    <row r="20369" spans="8:8">
      <c r="H20369" s="12"/>
    </row>
    <row r="20370" spans="8:8">
      <c r="H20370" s="12"/>
    </row>
    <row r="20371" spans="8:8">
      <c r="H20371" s="12"/>
    </row>
    <row r="20372" spans="8:8">
      <c r="H20372" s="12"/>
    </row>
    <row r="20373" spans="8:8">
      <c r="H20373" s="12"/>
    </row>
    <row r="20374" spans="8:8">
      <c r="H20374" s="12"/>
    </row>
    <row r="20375" spans="8:8">
      <c r="H20375" s="12"/>
    </row>
    <row r="20376" spans="8:8">
      <c r="H20376" s="12"/>
    </row>
    <row r="20377" spans="8:8">
      <c r="H20377" s="12"/>
    </row>
    <row r="20378" spans="8:8">
      <c r="H20378" s="12"/>
    </row>
    <row r="20379" spans="8:8">
      <c r="H20379" s="12"/>
    </row>
    <row r="20380" spans="8:8">
      <c r="H20380" s="12"/>
    </row>
    <row r="20381" spans="8:8">
      <c r="H20381" s="12"/>
    </row>
    <row r="20382" spans="8:8">
      <c r="H20382" s="12"/>
    </row>
    <row r="20383" spans="8:8">
      <c r="H20383" s="12"/>
    </row>
    <row r="20384" spans="8:8">
      <c r="H20384" s="12"/>
    </row>
    <row r="20385" spans="8:8">
      <c r="H20385" s="12"/>
    </row>
    <row r="20386" spans="8:8">
      <c r="H20386" s="12"/>
    </row>
    <row r="20387" spans="8:8">
      <c r="H20387" s="12"/>
    </row>
    <row r="20388" spans="8:8">
      <c r="H20388" s="12"/>
    </row>
    <row r="20389" spans="8:8">
      <c r="H20389" s="12"/>
    </row>
    <row r="20390" spans="8:8">
      <c r="H20390" s="12"/>
    </row>
    <row r="20391" spans="8:8">
      <c r="H20391" s="12"/>
    </row>
    <row r="20392" spans="8:8">
      <c r="H20392" s="12"/>
    </row>
    <row r="20393" spans="8:8">
      <c r="H20393" s="12"/>
    </row>
    <row r="20394" spans="8:8">
      <c r="H20394" s="12"/>
    </row>
    <row r="20395" spans="8:8">
      <c r="H20395" s="12"/>
    </row>
    <row r="20396" spans="8:8">
      <c r="H20396" s="12"/>
    </row>
    <row r="20397" spans="8:8">
      <c r="H20397" s="12"/>
    </row>
    <row r="20398" spans="8:8">
      <c r="H20398" s="12"/>
    </row>
    <row r="20399" spans="8:8">
      <c r="H20399" s="12"/>
    </row>
    <row r="20400" spans="8:8">
      <c r="H20400" s="12"/>
    </row>
    <row r="20401" spans="8:8">
      <c r="H20401" s="12"/>
    </row>
    <row r="20402" spans="8:8">
      <c r="H20402" s="12"/>
    </row>
    <row r="20403" spans="8:8">
      <c r="H20403" s="12"/>
    </row>
    <row r="20404" spans="8:8">
      <c r="H20404" s="12"/>
    </row>
    <row r="20405" spans="8:8">
      <c r="H20405" s="12"/>
    </row>
    <row r="20406" spans="8:8">
      <c r="H20406" s="12"/>
    </row>
    <row r="20407" spans="8:8">
      <c r="H20407" s="12"/>
    </row>
    <row r="20408" spans="8:8">
      <c r="H20408" s="12"/>
    </row>
    <row r="20409" spans="8:8">
      <c r="H20409" s="12"/>
    </row>
    <row r="20410" spans="8:8">
      <c r="H20410" s="12"/>
    </row>
    <row r="20411" spans="8:8">
      <c r="H20411" s="12"/>
    </row>
    <row r="20412" spans="8:8">
      <c r="H20412" s="12"/>
    </row>
    <row r="20413" spans="8:8">
      <c r="H20413" s="12"/>
    </row>
    <row r="20414" spans="8:8">
      <c r="H20414" s="12"/>
    </row>
    <row r="20415" spans="8:8">
      <c r="H20415" s="12"/>
    </row>
    <row r="20416" spans="8:8">
      <c r="H20416" s="12"/>
    </row>
    <row r="20417" spans="8:8">
      <c r="H20417" s="12"/>
    </row>
    <row r="20418" spans="8:8">
      <c r="H20418" s="12"/>
    </row>
    <row r="20419" spans="8:8">
      <c r="H20419" s="12"/>
    </row>
    <row r="20420" spans="8:8">
      <c r="H20420" s="12"/>
    </row>
    <row r="20421" spans="8:8">
      <c r="H20421" s="12"/>
    </row>
    <row r="20422" spans="8:8">
      <c r="H20422" s="12"/>
    </row>
    <row r="20423" spans="8:8">
      <c r="H20423" s="12"/>
    </row>
    <row r="20424" spans="8:8">
      <c r="H20424" s="12"/>
    </row>
    <row r="20425" spans="8:8">
      <c r="H20425" s="12"/>
    </row>
    <row r="20426" spans="8:8">
      <c r="H20426" s="12"/>
    </row>
    <row r="20427" spans="8:8">
      <c r="H20427" s="12"/>
    </row>
    <row r="20428" spans="8:8">
      <c r="H20428" s="12"/>
    </row>
    <row r="20429" spans="8:8">
      <c r="H20429" s="12"/>
    </row>
    <row r="20430" spans="8:8">
      <c r="H20430" s="12"/>
    </row>
    <row r="20431" spans="8:8">
      <c r="H20431" s="12"/>
    </row>
    <row r="20432" spans="8:8">
      <c r="H20432" s="12"/>
    </row>
    <row r="20433" spans="8:8">
      <c r="H20433" s="12"/>
    </row>
    <row r="20434" spans="8:8">
      <c r="H20434" s="12"/>
    </row>
    <row r="20435" spans="8:8">
      <c r="H20435" s="12"/>
    </row>
    <row r="20436" spans="8:8">
      <c r="H20436" s="12"/>
    </row>
    <row r="20437" spans="8:8">
      <c r="H20437" s="12"/>
    </row>
    <row r="20438" spans="8:8">
      <c r="H20438" s="12"/>
    </row>
    <row r="20439" spans="8:8">
      <c r="H20439" s="12"/>
    </row>
    <row r="20440" spans="8:8">
      <c r="H20440" s="12"/>
    </row>
    <row r="20441" spans="8:8">
      <c r="H20441" s="12"/>
    </row>
    <row r="20442" spans="8:8">
      <c r="H20442" s="12"/>
    </row>
    <row r="20443" spans="8:8">
      <c r="H20443" s="12"/>
    </row>
    <row r="20444" spans="8:8">
      <c r="H20444" s="12"/>
    </row>
    <row r="20445" spans="8:8">
      <c r="H20445" s="12"/>
    </row>
    <row r="20446" spans="8:8">
      <c r="H20446" s="12"/>
    </row>
    <row r="20447" spans="8:8">
      <c r="H20447" s="12"/>
    </row>
    <row r="20448" spans="8:8">
      <c r="H20448" s="12"/>
    </row>
    <row r="20449" spans="8:8">
      <c r="H20449" s="12"/>
    </row>
    <row r="20450" spans="8:8">
      <c r="H20450" s="12"/>
    </row>
    <row r="20451" spans="8:8">
      <c r="H20451" s="12"/>
    </row>
    <row r="20452" spans="8:8">
      <c r="H20452" s="12"/>
    </row>
    <row r="20453" spans="8:8">
      <c r="H20453" s="12"/>
    </row>
    <row r="20454" spans="8:8">
      <c r="H20454" s="12"/>
    </row>
    <row r="20455" spans="8:8">
      <c r="H20455" s="12"/>
    </row>
    <row r="20456" spans="8:8">
      <c r="H20456" s="12"/>
    </row>
    <row r="20457" spans="8:8">
      <c r="H20457" s="12"/>
    </row>
    <row r="20458" spans="8:8">
      <c r="H20458" s="12"/>
    </row>
    <row r="20459" spans="8:8">
      <c r="H20459" s="12"/>
    </row>
    <row r="20460" spans="8:8">
      <c r="H20460" s="12"/>
    </row>
    <row r="20461" spans="8:8">
      <c r="H20461" s="12"/>
    </row>
    <row r="20462" spans="8:8">
      <c r="H20462" s="12"/>
    </row>
    <row r="20463" spans="8:8">
      <c r="H20463" s="12"/>
    </row>
    <row r="20464" spans="8:8">
      <c r="H20464" s="12"/>
    </row>
    <row r="20465" spans="8:8">
      <c r="H20465" s="12"/>
    </row>
    <row r="20466" spans="8:8">
      <c r="H20466" s="12"/>
    </row>
    <row r="20467" spans="8:8">
      <c r="H20467" s="12"/>
    </row>
    <row r="20468" spans="8:8">
      <c r="H20468" s="12"/>
    </row>
    <row r="20469" spans="8:8">
      <c r="H20469" s="12"/>
    </row>
    <row r="20470" spans="8:8">
      <c r="H20470" s="12"/>
    </row>
    <row r="20471" spans="8:8">
      <c r="H20471" s="12"/>
    </row>
    <row r="20472" spans="8:8">
      <c r="H20472" s="12"/>
    </row>
    <row r="20473" spans="8:8">
      <c r="H20473" s="12"/>
    </row>
    <row r="20474" spans="8:8">
      <c r="H20474" s="12"/>
    </row>
    <row r="20475" spans="8:8">
      <c r="H20475" s="12"/>
    </row>
    <row r="20476" spans="8:8">
      <c r="H20476" s="12"/>
    </row>
    <row r="20477" spans="8:8">
      <c r="H20477" s="12"/>
    </row>
    <row r="20478" spans="8:8">
      <c r="H20478" s="12"/>
    </row>
    <row r="20479" spans="8:8">
      <c r="H20479" s="12"/>
    </row>
    <row r="20480" spans="8:8">
      <c r="H20480" s="12"/>
    </row>
    <row r="20481" spans="8:8">
      <c r="H20481" s="12"/>
    </row>
    <row r="20482" spans="8:8">
      <c r="H20482" s="12"/>
    </row>
    <row r="20483" spans="8:8">
      <c r="H20483" s="12"/>
    </row>
    <row r="20484" spans="8:8">
      <c r="H20484" s="12"/>
    </row>
    <row r="20485" spans="8:8">
      <c r="H20485" s="12"/>
    </row>
    <row r="20486" spans="8:8">
      <c r="H20486" s="12"/>
    </row>
    <row r="20487" spans="8:8">
      <c r="H20487" s="12"/>
    </row>
    <row r="20488" spans="8:8">
      <c r="H20488" s="12"/>
    </row>
    <row r="20489" spans="8:8">
      <c r="H20489" s="12"/>
    </row>
    <row r="20490" spans="8:8">
      <c r="H20490" s="12"/>
    </row>
    <row r="20491" spans="8:8">
      <c r="H20491" s="12"/>
    </row>
    <row r="20492" spans="8:8">
      <c r="H20492" s="12"/>
    </row>
    <row r="20493" spans="8:8">
      <c r="H20493" s="12"/>
    </row>
    <row r="20494" spans="8:8">
      <c r="H20494" s="12"/>
    </row>
    <row r="20495" spans="8:8">
      <c r="H20495" s="12"/>
    </row>
    <row r="20496" spans="8:8">
      <c r="H20496" s="12"/>
    </row>
    <row r="20497" spans="8:8">
      <c r="H20497" s="12"/>
    </row>
    <row r="20498" spans="8:8">
      <c r="H20498" s="12"/>
    </row>
    <row r="20499" spans="8:8">
      <c r="H20499" s="12"/>
    </row>
    <row r="20500" spans="8:8">
      <c r="H20500" s="12"/>
    </row>
    <row r="20501" spans="8:8">
      <c r="H20501" s="12"/>
    </row>
    <row r="20502" spans="8:8">
      <c r="H20502" s="12"/>
    </row>
    <row r="20503" spans="8:8">
      <c r="H20503" s="12"/>
    </row>
    <row r="20504" spans="8:8">
      <c r="H20504" s="12"/>
    </row>
    <row r="20505" spans="8:8">
      <c r="H20505" s="12"/>
    </row>
    <row r="20506" spans="8:8">
      <c r="H20506" s="12"/>
    </row>
    <row r="20507" spans="8:8">
      <c r="H20507" s="12"/>
    </row>
    <row r="20508" spans="8:8">
      <c r="H20508" s="12"/>
    </row>
    <row r="20509" spans="8:8">
      <c r="H20509" s="12"/>
    </row>
    <row r="20510" spans="8:8">
      <c r="H20510" s="12"/>
    </row>
    <row r="20511" spans="8:8">
      <c r="H20511" s="12"/>
    </row>
    <row r="20512" spans="8:8">
      <c r="H20512" s="12"/>
    </row>
    <row r="20513" spans="8:8">
      <c r="H20513" s="12"/>
    </row>
    <row r="20514" spans="8:8">
      <c r="H20514" s="12"/>
    </row>
    <row r="20515" spans="8:8">
      <c r="H20515" s="12"/>
    </row>
    <row r="20516" spans="8:8">
      <c r="H20516" s="12"/>
    </row>
    <row r="20517" spans="8:8">
      <c r="H20517" s="12"/>
    </row>
    <row r="20518" spans="8:8">
      <c r="H20518" s="12"/>
    </row>
    <row r="20519" spans="8:8">
      <c r="H20519" s="12"/>
    </row>
    <row r="20520" spans="8:8">
      <c r="H20520" s="12"/>
    </row>
    <row r="20521" spans="8:8">
      <c r="H20521" s="12"/>
    </row>
    <row r="20522" spans="8:8">
      <c r="H20522" s="12"/>
    </row>
    <row r="20523" spans="8:8">
      <c r="H20523" s="12"/>
    </row>
    <row r="20524" spans="8:8">
      <c r="H20524" s="12"/>
    </row>
    <row r="20525" spans="8:8">
      <c r="H20525" s="12"/>
    </row>
    <row r="20526" spans="8:8">
      <c r="H20526" s="12"/>
    </row>
    <row r="20527" spans="8:8">
      <c r="H20527" s="12"/>
    </row>
    <row r="20528" spans="8:8">
      <c r="H20528" s="12"/>
    </row>
    <row r="20529" spans="8:8">
      <c r="H20529" s="12"/>
    </row>
    <row r="20530" spans="8:8">
      <c r="H20530" s="12"/>
    </row>
    <row r="20531" spans="8:8">
      <c r="H20531" s="12"/>
    </row>
    <row r="20532" spans="8:8">
      <c r="H20532" s="12"/>
    </row>
    <row r="20533" spans="8:8">
      <c r="H20533" s="12"/>
    </row>
    <row r="20534" spans="8:8">
      <c r="H20534" s="12"/>
    </row>
    <row r="20535" spans="8:8">
      <c r="H20535" s="12"/>
    </row>
    <row r="20536" spans="8:8">
      <c r="H20536" s="12"/>
    </row>
    <row r="20537" spans="8:8">
      <c r="H20537" s="12"/>
    </row>
    <row r="20538" spans="8:8">
      <c r="H20538" s="12"/>
    </row>
    <row r="20539" spans="8:8">
      <c r="H20539" s="12"/>
    </row>
    <row r="20540" spans="8:8">
      <c r="H20540" s="12"/>
    </row>
    <row r="20541" spans="8:8">
      <c r="H20541" s="12"/>
    </row>
    <row r="20542" spans="8:8">
      <c r="H20542" s="12"/>
    </row>
    <row r="20543" spans="8:8">
      <c r="H20543" s="12"/>
    </row>
    <row r="20544" spans="8:8">
      <c r="H20544" s="12"/>
    </row>
    <row r="20545" spans="8:8">
      <c r="H20545" s="12"/>
    </row>
    <row r="20546" spans="8:8">
      <c r="H20546" s="12"/>
    </row>
    <row r="20547" spans="8:8">
      <c r="H20547" s="12"/>
    </row>
    <row r="20548" spans="8:8">
      <c r="H20548" s="12"/>
    </row>
    <row r="20549" spans="8:8">
      <c r="H20549" s="12"/>
    </row>
    <row r="20550" spans="8:8">
      <c r="H20550" s="12"/>
    </row>
    <row r="20551" spans="8:8">
      <c r="H20551" s="12"/>
    </row>
    <row r="20552" spans="8:8">
      <c r="H20552" s="12"/>
    </row>
    <row r="20553" spans="8:8">
      <c r="H20553" s="12"/>
    </row>
    <row r="20554" spans="8:8">
      <c r="H20554" s="12"/>
    </row>
    <row r="20555" spans="8:8">
      <c r="H20555" s="12"/>
    </row>
    <row r="20556" spans="8:8">
      <c r="H20556" s="12"/>
    </row>
    <row r="20557" spans="8:8">
      <c r="H20557" s="12"/>
    </row>
    <row r="20558" spans="8:8">
      <c r="H20558" s="12"/>
    </row>
    <row r="20559" spans="8:8">
      <c r="H20559" s="12"/>
    </row>
    <row r="20560" spans="8:8">
      <c r="H20560" s="12"/>
    </row>
    <row r="20561" spans="8:8">
      <c r="H20561" s="12"/>
    </row>
    <row r="20562" spans="8:8">
      <c r="H20562" s="12"/>
    </row>
    <row r="20563" spans="8:8">
      <c r="H20563" s="12"/>
    </row>
    <row r="20564" spans="8:8">
      <c r="H20564" s="12"/>
    </row>
    <row r="20565" spans="8:8">
      <c r="H20565" s="12"/>
    </row>
    <row r="20566" spans="8:8">
      <c r="H20566" s="12"/>
    </row>
    <row r="20567" spans="8:8">
      <c r="H20567" s="12"/>
    </row>
    <row r="20568" spans="8:8">
      <c r="H20568" s="12"/>
    </row>
    <row r="20569" spans="8:8">
      <c r="H20569" s="12"/>
    </row>
    <row r="20570" spans="8:8">
      <c r="H20570" s="12"/>
    </row>
    <row r="20571" spans="8:8">
      <c r="H20571" s="12"/>
    </row>
    <row r="20572" spans="8:8">
      <c r="H20572" s="12"/>
    </row>
    <row r="20573" spans="8:8">
      <c r="H20573" s="12"/>
    </row>
    <row r="20574" spans="8:8">
      <c r="H20574" s="12"/>
    </row>
    <row r="20575" spans="8:8">
      <c r="H20575" s="12"/>
    </row>
    <row r="20576" spans="8:8">
      <c r="H20576" s="12"/>
    </row>
    <row r="20577" spans="8:8">
      <c r="H20577" s="12"/>
    </row>
    <row r="20578" spans="8:8">
      <c r="H20578" s="12"/>
    </row>
    <row r="20579" spans="8:8">
      <c r="H20579" s="12"/>
    </row>
    <row r="20580" spans="8:8">
      <c r="H20580" s="12"/>
    </row>
    <row r="20581" spans="8:8">
      <c r="H20581" s="12"/>
    </row>
    <row r="20582" spans="8:8">
      <c r="H20582" s="12"/>
    </row>
    <row r="20583" spans="8:8">
      <c r="H20583" s="12"/>
    </row>
    <row r="20584" spans="8:8">
      <c r="H20584" s="12"/>
    </row>
    <row r="20585" spans="8:8">
      <c r="H20585" s="12"/>
    </row>
    <row r="20586" spans="8:8">
      <c r="H20586" s="12"/>
    </row>
    <row r="20587" spans="8:8">
      <c r="H20587" s="12"/>
    </row>
    <row r="20588" spans="8:8">
      <c r="H20588" s="12"/>
    </row>
    <row r="20589" spans="8:8">
      <c r="H20589" s="12"/>
    </row>
    <row r="20590" spans="8:8">
      <c r="H20590" s="12"/>
    </row>
    <row r="20591" spans="8:8">
      <c r="H20591" s="12"/>
    </row>
    <row r="20592" spans="8:8">
      <c r="H20592" s="12"/>
    </row>
    <row r="20593" spans="8:8">
      <c r="H20593" s="12"/>
    </row>
    <row r="20594" spans="8:8">
      <c r="H20594" s="12"/>
    </row>
    <row r="20595" spans="8:8">
      <c r="H20595" s="12"/>
    </row>
    <row r="20596" spans="8:8">
      <c r="H20596" s="12"/>
    </row>
    <row r="20597" spans="8:8">
      <c r="H20597" s="12"/>
    </row>
    <row r="20598" spans="8:8">
      <c r="H20598" s="12"/>
    </row>
    <row r="20599" spans="8:8">
      <c r="H20599" s="12"/>
    </row>
    <row r="20600" spans="8:8">
      <c r="H20600" s="12"/>
    </row>
    <row r="20601" spans="8:8">
      <c r="H20601" s="12"/>
    </row>
    <row r="20602" spans="8:8">
      <c r="H20602" s="12"/>
    </row>
    <row r="20603" spans="8:8">
      <c r="H20603" s="12"/>
    </row>
    <row r="20604" spans="8:8">
      <c r="H20604" s="12"/>
    </row>
    <row r="20605" spans="8:8">
      <c r="H20605" s="12"/>
    </row>
    <row r="20606" spans="8:8">
      <c r="H20606" s="12"/>
    </row>
    <row r="20607" spans="8:8">
      <c r="H20607" s="12"/>
    </row>
    <row r="20608" spans="8:8">
      <c r="H20608" s="12"/>
    </row>
    <row r="20609" spans="8:8">
      <c r="H20609" s="12"/>
    </row>
    <row r="20610" spans="8:8">
      <c r="H20610" s="12"/>
    </row>
    <row r="20611" spans="8:8">
      <c r="H20611" s="12"/>
    </row>
    <row r="20612" spans="8:8">
      <c r="H20612" s="12"/>
    </row>
    <row r="20613" spans="8:8">
      <c r="H20613" s="12"/>
    </row>
    <row r="20614" spans="8:8">
      <c r="H20614" s="12"/>
    </row>
    <row r="20615" spans="8:8">
      <c r="H20615" s="12"/>
    </row>
    <row r="20616" spans="8:8">
      <c r="H20616" s="12"/>
    </row>
    <row r="20617" spans="8:8">
      <c r="H20617" s="12"/>
    </row>
    <row r="20618" spans="8:8">
      <c r="H20618" s="12"/>
    </row>
    <row r="20619" spans="8:8">
      <c r="H20619" s="12"/>
    </row>
    <row r="20620" spans="8:8">
      <c r="H20620" s="12"/>
    </row>
    <row r="20621" spans="8:8">
      <c r="H20621" s="12"/>
    </row>
    <row r="20622" spans="8:8">
      <c r="H20622" s="12"/>
    </row>
    <row r="20623" spans="8:8">
      <c r="H20623" s="12"/>
    </row>
    <row r="20624" spans="8:8">
      <c r="H20624" s="12"/>
    </row>
    <row r="20625" spans="8:8">
      <c r="H20625" s="12"/>
    </row>
    <row r="20626" spans="8:8">
      <c r="H20626" s="12"/>
    </row>
    <row r="20627" spans="8:8">
      <c r="H20627" s="12"/>
    </row>
    <row r="20628" spans="8:8">
      <c r="H20628" s="12"/>
    </row>
    <row r="20629" spans="8:8">
      <c r="H20629" s="12"/>
    </row>
    <row r="20630" spans="8:8">
      <c r="H20630" s="12"/>
    </row>
    <row r="20631" spans="8:8">
      <c r="H20631" s="12"/>
    </row>
    <row r="20632" spans="8:8">
      <c r="H20632" s="12"/>
    </row>
    <row r="20633" spans="8:8">
      <c r="H20633" s="12"/>
    </row>
    <row r="20634" spans="8:8">
      <c r="H20634" s="12"/>
    </row>
    <row r="20635" spans="8:8">
      <c r="H20635" s="12"/>
    </row>
    <row r="20636" spans="8:8">
      <c r="H20636" s="12"/>
    </row>
    <row r="20637" spans="8:8">
      <c r="H20637" s="12"/>
    </row>
    <row r="20638" spans="8:8">
      <c r="H20638" s="12"/>
    </row>
    <row r="20639" spans="8:8">
      <c r="H20639" s="12"/>
    </row>
    <row r="20640" spans="8:8">
      <c r="H20640" s="12"/>
    </row>
    <row r="20641" spans="8:8">
      <c r="H20641" s="12"/>
    </row>
    <row r="20642" spans="8:8">
      <c r="H20642" s="12"/>
    </row>
    <row r="20643" spans="8:8">
      <c r="H20643" s="12"/>
    </row>
    <row r="20644" spans="8:8">
      <c r="H20644" s="12"/>
    </row>
    <row r="20645" spans="8:8">
      <c r="H20645" s="12"/>
    </row>
    <row r="20646" spans="8:8">
      <c r="H20646" s="12"/>
    </row>
    <row r="20647" spans="8:8">
      <c r="H20647" s="12"/>
    </row>
    <row r="20648" spans="8:8">
      <c r="H20648" s="12"/>
    </row>
    <row r="20649" spans="8:8">
      <c r="H20649" s="12"/>
    </row>
    <row r="20650" spans="8:8">
      <c r="H20650" s="12"/>
    </row>
    <row r="20651" spans="8:8">
      <c r="H20651" s="12"/>
    </row>
    <row r="20652" spans="8:8">
      <c r="H20652" s="12"/>
    </row>
    <row r="20653" spans="8:8">
      <c r="H20653" s="12"/>
    </row>
    <row r="20654" spans="8:8">
      <c r="H20654" s="12"/>
    </row>
    <row r="20655" spans="8:8">
      <c r="H20655" s="12"/>
    </row>
    <row r="20656" spans="8:8">
      <c r="H20656" s="12"/>
    </row>
    <row r="20657" spans="8:8">
      <c r="H20657" s="12"/>
    </row>
    <row r="20658" spans="8:8">
      <c r="H20658" s="12"/>
    </row>
    <row r="20659" spans="8:8">
      <c r="H20659" s="12"/>
    </row>
    <row r="20660" spans="8:8">
      <c r="H20660" s="12"/>
    </row>
    <row r="20661" spans="8:8">
      <c r="H20661" s="12"/>
    </row>
    <row r="20662" spans="8:8">
      <c r="H20662" s="12"/>
    </row>
    <row r="20663" spans="8:8">
      <c r="H20663" s="12"/>
    </row>
    <row r="20664" spans="8:8">
      <c r="H20664" s="12"/>
    </row>
    <row r="20665" spans="8:8">
      <c r="H20665" s="12"/>
    </row>
    <row r="20666" spans="8:8">
      <c r="H20666" s="12"/>
    </row>
    <row r="20667" spans="8:8">
      <c r="H20667" s="12"/>
    </row>
    <row r="20668" spans="8:8">
      <c r="H20668" s="12"/>
    </row>
    <row r="20669" spans="8:8">
      <c r="H20669" s="12"/>
    </row>
    <row r="20670" spans="8:8">
      <c r="H20670" s="12"/>
    </row>
    <row r="20671" spans="8:8">
      <c r="H20671" s="12"/>
    </row>
    <row r="20672" spans="8:8">
      <c r="H20672" s="12"/>
    </row>
    <row r="20673" spans="8:8">
      <c r="H20673" s="12"/>
    </row>
    <row r="20674" spans="8:8">
      <c r="H20674" s="12"/>
    </row>
    <row r="20675" spans="8:8">
      <c r="H20675" s="12"/>
    </row>
    <row r="20676" spans="8:8">
      <c r="H20676" s="12"/>
    </row>
    <row r="20677" spans="8:8">
      <c r="H20677" s="12"/>
    </row>
    <row r="20678" spans="8:8">
      <c r="H20678" s="12"/>
    </row>
    <row r="20679" spans="8:8">
      <c r="H20679" s="12"/>
    </row>
    <row r="20680" spans="8:8">
      <c r="H20680" s="12"/>
    </row>
    <row r="20681" spans="8:8">
      <c r="H20681" s="12"/>
    </row>
    <row r="20682" spans="8:8">
      <c r="H20682" s="12"/>
    </row>
    <row r="20683" spans="8:8">
      <c r="H20683" s="12"/>
    </row>
    <row r="20684" spans="8:8">
      <c r="H20684" s="12"/>
    </row>
    <row r="20685" spans="8:8">
      <c r="H20685" s="12"/>
    </row>
    <row r="20686" spans="8:8">
      <c r="H20686" s="12"/>
    </row>
    <row r="20687" spans="8:8">
      <c r="H20687" s="12"/>
    </row>
    <row r="20688" spans="8:8">
      <c r="H20688" s="12"/>
    </row>
    <row r="20689" spans="8:8">
      <c r="H20689" s="12"/>
    </row>
    <row r="20690" spans="8:8">
      <c r="H20690" s="12"/>
    </row>
    <row r="20691" spans="8:8">
      <c r="H20691" s="12"/>
    </row>
    <row r="20692" spans="8:8">
      <c r="H20692" s="12"/>
    </row>
    <row r="20693" spans="8:8">
      <c r="H20693" s="12"/>
    </row>
    <row r="20694" spans="8:8">
      <c r="H20694" s="12"/>
    </row>
    <row r="20695" spans="8:8">
      <c r="H20695" s="12"/>
    </row>
    <row r="20696" spans="8:8">
      <c r="H20696" s="12"/>
    </row>
    <row r="20697" spans="8:8">
      <c r="H20697" s="12"/>
    </row>
    <row r="20698" spans="8:8">
      <c r="H20698" s="12"/>
    </row>
    <row r="20699" spans="8:8">
      <c r="H20699" s="12"/>
    </row>
    <row r="20700" spans="8:8">
      <c r="H20700" s="12"/>
    </row>
    <row r="20701" spans="8:8">
      <c r="H20701" s="12"/>
    </row>
    <row r="20702" spans="8:8">
      <c r="H20702" s="12"/>
    </row>
    <row r="20703" spans="8:8">
      <c r="H20703" s="12"/>
    </row>
    <row r="20704" spans="8:8">
      <c r="H20704" s="12"/>
    </row>
    <row r="20705" spans="8:8">
      <c r="H20705" s="12"/>
    </row>
    <row r="20706" spans="8:8">
      <c r="H20706" s="12"/>
    </row>
    <row r="20707" spans="8:8">
      <c r="H20707" s="12"/>
    </row>
    <row r="20708" spans="8:8">
      <c r="H20708" s="12"/>
    </row>
    <row r="20709" spans="8:8">
      <c r="H20709" s="12"/>
    </row>
    <row r="20710" spans="8:8">
      <c r="H20710" s="12"/>
    </row>
    <row r="20711" spans="8:8">
      <c r="H20711" s="12"/>
    </row>
    <row r="20712" spans="8:8">
      <c r="H20712" s="12"/>
    </row>
    <row r="20713" spans="8:8">
      <c r="H20713" s="12"/>
    </row>
    <row r="20714" spans="8:8">
      <c r="H20714" s="12"/>
    </row>
    <row r="20715" spans="8:8">
      <c r="H20715" s="12"/>
    </row>
    <row r="20716" spans="8:8">
      <c r="H20716" s="12"/>
    </row>
    <row r="20717" spans="8:8">
      <c r="H20717" s="12"/>
    </row>
    <row r="20718" spans="8:8">
      <c r="H20718" s="12"/>
    </row>
    <row r="20719" spans="8:8">
      <c r="H20719" s="12"/>
    </row>
    <row r="20720" spans="8:8">
      <c r="H20720" s="12"/>
    </row>
    <row r="20721" spans="8:8">
      <c r="H20721" s="12"/>
    </row>
    <row r="20722" spans="8:8">
      <c r="H20722" s="12"/>
    </row>
    <row r="20723" spans="8:8">
      <c r="H20723" s="12"/>
    </row>
    <row r="20724" spans="8:8">
      <c r="H20724" s="12"/>
    </row>
    <row r="20725" spans="8:8">
      <c r="H20725" s="12"/>
    </row>
    <row r="20726" spans="8:8">
      <c r="H20726" s="12"/>
    </row>
    <row r="20727" spans="8:8">
      <c r="H20727" s="12"/>
    </row>
    <row r="20728" spans="8:8">
      <c r="H20728" s="12"/>
    </row>
    <row r="20729" spans="8:8">
      <c r="H20729" s="12"/>
    </row>
    <row r="20730" spans="8:8">
      <c r="H20730" s="12"/>
    </row>
    <row r="20731" spans="8:8">
      <c r="H20731" s="12"/>
    </row>
    <row r="20732" spans="8:8">
      <c r="H20732" s="12"/>
    </row>
    <row r="20733" spans="8:8">
      <c r="H20733" s="12"/>
    </row>
    <row r="20734" spans="8:8">
      <c r="H20734" s="12"/>
    </row>
    <row r="20735" spans="8:8">
      <c r="H20735" s="12"/>
    </row>
    <row r="20736" spans="8:8">
      <c r="H20736" s="12"/>
    </row>
    <row r="20737" spans="8:8">
      <c r="H20737" s="12"/>
    </row>
    <row r="20738" spans="8:8">
      <c r="H20738" s="12"/>
    </row>
    <row r="20739" spans="8:8">
      <c r="H20739" s="12"/>
    </row>
    <row r="20740" spans="8:8">
      <c r="H20740" s="12"/>
    </row>
    <row r="20741" spans="8:8">
      <c r="H20741" s="12"/>
    </row>
    <row r="20742" spans="8:8">
      <c r="H20742" s="12"/>
    </row>
    <row r="20743" spans="8:8">
      <c r="H20743" s="12"/>
    </row>
    <row r="20744" spans="8:8">
      <c r="H20744" s="12"/>
    </row>
    <row r="20745" spans="8:8">
      <c r="H20745" s="12"/>
    </row>
    <row r="20746" spans="8:8">
      <c r="H20746" s="12"/>
    </row>
    <row r="20747" spans="8:8">
      <c r="H20747" s="12"/>
    </row>
    <row r="20748" spans="8:8">
      <c r="H20748" s="12"/>
    </row>
    <row r="20749" spans="8:8">
      <c r="H20749" s="12"/>
    </row>
    <row r="20750" spans="8:8">
      <c r="H20750" s="12"/>
    </row>
    <row r="20751" spans="8:8">
      <c r="H20751" s="12"/>
    </row>
    <row r="20752" spans="8:8">
      <c r="H20752" s="12"/>
    </row>
    <row r="20753" spans="8:8">
      <c r="H20753" s="12"/>
    </row>
    <row r="20754" spans="8:8">
      <c r="H20754" s="12"/>
    </row>
    <row r="20755" spans="8:8">
      <c r="H20755" s="12"/>
    </row>
    <row r="20756" spans="8:8">
      <c r="H20756" s="12"/>
    </row>
    <row r="20757" spans="8:8">
      <c r="H20757" s="12"/>
    </row>
    <row r="20758" spans="8:8">
      <c r="H20758" s="12"/>
    </row>
    <row r="20759" spans="8:8">
      <c r="H20759" s="12"/>
    </row>
    <row r="20760" spans="8:8">
      <c r="H20760" s="12"/>
    </row>
    <row r="20761" spans="8:8">
      <c r="H20761" s="12"/>
    </row>
    <row r="20762" spans="8:8">
      <c r="H20762" s="12"/>
    </row>
    <row r="20763" spans="8:8">
      <c r="H20763" s="12"/>
    </row>
    <row r="20764" spans="8:8">
      <c r="H20764" s="12"/>
    </row>
    <row r="20765" spans="8:8">
      <c r="H20765" s="12"/>
    </row>
    <row r="20766" spans="8:8">
      <c r="H20766" s="12"/>
    </row>
    <row r="20767" spans="8:8">
      <c r="H20767" s="12"/>
    </row>
    <row r="20768" spans="8:8">
      <c r="H20768" s="12"/>
    </row>
    <row r="20769" spans="8:8">
      <c r="H20769" s="12"/>
    </row>
    <row r="20770" spans="8:8">
      <c r="H20770" s="12"/>
    </row>
    <row r="20771" spans="8:8">
      <c r="H20771" s="12"/>
    </row>
    <row r="20772" spans="8:8">
      <c r="H20772" s="12"/>
    </row>
    <row r="20773" spans="8:8">
      <c r="H20773" s="12"/>
    </row>
    <row r="20774" spans="8:8">
      <c r="H20774" s="12"/>
    </row>
    <row r="20775" spans="8:8">
      <c r="H20775" s="12"/>
    </row>
    <row r="20776" spans="8:8">
      <c r="H20776" s="12"/>
    </row>
    <row r="20777" spans="8:8">
      <c r="H20777" s="12"/>
    </row>
    <row r="20778" spans="8:8">
      <c r="H20778" s="12"/>
    </row>
    <row r="20779" spans="8:8">
      <c r="H20779" s="12"/>
    </row>
    <row r="20780" spans="8:8">
      <c r="H20780" s="12"/>
    </row>
    <row r="20781" spans="8:8">
      <c r="H20781" s="12"/>
    </row>
    <row r="20782" spans="8:8">
      <c r="H20782" s="12"/>
    </row>
    <row r="20783" spans="8:8">
      <c r="H20783" s="12"/>
    </row>
    <row r="20784" spans="8:8">
      <c r="H20784" s="12"/>
    </row>
    <row r="20785" spans="8:8">
      <c r="H20785" s="12"/>
    </row>
    <row r="20786" spans="8:8">
      <c r="H20786" s="12"/>
    </row>
    <row r="20787" spans="8:8">
      <c r="H20787" s="12"/>
    </row>
    <row r="20788" spans="8:8">
      <c r="H20788" s="12"/>
    </row>
    <row r="20789" spans="8:8">
      <c r="H20789" s="12"/>
    </row>
    <row r="20790" spans="8:8">
      <c r="H20790" s="12"/>
    </row>
    <row r="20791" spans="8:8">
      <c r="H20791" s="12"/>
    </row>
    <row r="20792" spans="8:8">
      <c r="H20792" s="12"/>
    </row>
    <row r="20793" spans="8:8">
      <c r="H20793" s="12"/>
    </row>
    <row r="20794" spans="8:8">
      <c r="H20794" s="12"/>
    </row>
    <row r="20795" spans="8:8">
      <c r="H20795" s="12"/>
    </row>
    <row r="20796" spans="8:8">
      <c r="H20796" s="12"/>
    </row>
    <row r="20797" spans="8:8">
      <c r="H20797" s="12"/>
    </row>
    <row r="20798" spans="8:8">
      <c r="H20798" s="12"/>
    </row>
    <row r="20799" spans="8:8">
      <c r="H20799" s="12"/>
    </row>
    <row r="20800" spans="8:8">
      <c r="H20800" s="12"/>
    </row>
    <row r="20801" spans="8:8">
      <c r="H20801" s="12"/>
    </row>
    <row r="20802" spans="8:8">
      <c r="H20802" s="12"/>
    </row>
    <row r="20803" spans="8:8">
      <c r="H20803" s="12"/>
    </row>
    <row r="20804" spans="8:8">
      <c r="H20804" s="12"/>
    </row>
    <row r="20805" spans="8:8">
      <c r="H20805" s="12"/>
    </row>
    <row r="20806" spans="8:8">
      <c r="H20806" s="12"/>
    </row>
    <row r="20807" spans="8:8">
      <c r="H20807" s="12"/>
    </row>
    <row r="20808" spans="8:8">
      <c r="H20808" s="12"/>
    </row>
    <row r="20809" spans="8:8">
      <c r="H20809" s="12"/>
    </row>
    <row r="20810" spans="8:8">
      <c r="H20810" s="12"/>
    </row>
    <row r="20811" spans="8:8">
      <c r="H20811" s="12"/>
    </row>
    <row r="20812" spans="8:8">
      <c r="H20812" s="12"/>
    </row>
    <row r="20813" spans="8:8">
      <c r="H20813" s="12"/>
    </row>
    <row r="20814" spans="8:8">
      <c r="H20814" s="12"/>
    </row>
    <row r="20815" spans="8:8">
      <c r="H20815" s="12"/>
    </row>
    <row r="20816" spans="8:8">
      <c r="H20816" s="12"/>
    </row>
    <row r="20817" spans="8:8">
      <c r="H20817" s="12"/>
    </row>
    <row r="20818" spans="8:8">
      <c r="H20818" s="12"/>
    </row>
    <row r="20819" spans="8:8">
      <c r="H20819" s="12"/>
    </row>
    <row r="20820" spans="8:8">
      <c r="H20820" s="12"/>
    </row>
    <row r="20821" spans="8:8">
      <c r="H20821" s="12"/>
    </row>
    <row r="20822" spans="8:8">
      <c r="H20822" s="12"/>
    </row>
    <row r="20823" spans="8:8">
      <c r="H20823" s="12"/>
    </row>
    <row r="20824" spans="8:8">
      <c r="H20824" s="12"/>
    </row>
    <row r="20825" spans="8:8">
      <c r="H20825" s="12"/>
    </row>
    <row r="20826" spans="8:8">
      <c r="H20826" s="12"/>
    </row>
    <row r="20827" spans="8:8">
      <c r="H20827" s="12"/>
    </row>
    <row r="20828" spans="8:8">
      <c r="H20828" s="12"/>
    </row>
    <row r="20829" spans="8:8">
      <c r="H20829" s="12"/>
    </row>
    <row r="20830" spans="8:8">
      <c r="H20830" s="12"/>
    </row>
    <row r="20831" spans="8:8">
      <c r="H20831" s="12"/>
    </row>
    <row r="20832" spans="8:8">
      <c r="H20832" s="12"/>
    </row>
    <row r="20833" spans="8:8">
      <c r="H20833" s="12"/>
    </row>
    <row r="20834" spans="8:8">
      <c r="H20834" s="12"/>
    </row>
    <row r="20835" spans="8:8">
      <c r="H20835" s="12"/>
    </row>
    <row r="20836" spans="8:8">
      <c r="H20836" s="12"/>
    </row>
    <row r="20837" spans="8:8">
      <c r="H20837" s="12"/>
    </row>
    <row r="20838" spans="8:8">
      <c r="H20838" s="12"/>
    </row>
    <row r="20839" spans="8:8">
      <c r="H20839" s="12"/>
    </row>
    <row r="20840" spans="8:8">
      <c r="H20840" s="12"/>
    </row>
    <row r="20841" spans="8:8">
      <c r="H20841" s="12"/>
    </row>
    <row r="20842" spans="8:8">
      <c r="H20842" s="12"/>
    </row>
    <row r="20843" spans="8:8">
      <c r="H20843" s="12"/>
    </row>
    <row r="20844" spans="8:8">
      <c r="H20844" s="12"/>
    </row>
    <row r="20845" spans="8:8">
      <c r="H20845" s="12"/>
    </row>
    <row r="20846" spans="8:8">
      <c r="H20846" s="12"/>
    </row>
    <row r="20847" spans="8:8">
      <c r="H20847" s="12"/>
    </row>
    <row r="20848" spans="8:8">
      <c r="H20848" s="12"/>
    </row>
    <row r="20849" spans="8:8">
      <c r="H20849" s="12"/>
    </row>
    <row r="20850" spans="8:8">
      <c r="H20850" s="12"/>
    </row>
    <row r="20851" spans="8:8">
      <c r="H20851" s="12"/>
    </row>
    <row r="20852" spans="8:8">
      <c r="H20852" s="12"/>
    </row>
    <row r="20853" spans="8:8">
      <c r="H20853" s="12"/>
    </row>
    <row r="20854" spans="8:8">
      <c r="H20854" s="12"/>
    </row>
    <row r="20855" spans="8:8">
      <c r="H20855" s="12"/>
    </row>
    <row r="20856" spans="8:8">
      <c r="H20856" s="12"/>
    </row>
    <row r="20857" spans="8:8">
      <c r="H20857" s="12"/>
    </row>
    <row r="20858" spans="8:8">
      <c r="H20858" s="12"/>
    </row>
    <row r="20859" spans="8:8">
      <c r="H20859" s="12"/>
    </row>
    <row r="20860" spans="8:8">
      <c r="H20860" s="12"/>
    </row>
    <row r="20861" spans="8:8">
      <c r="H20861" s="12"/>
    </row>
    <row r="20862" spans="8:8">
      <c r="H20862" s="12"/>
    </row>
    <row r="20863" spans="8:8">
      <c r="H20863" s="12"/>
    </row>
    <row r="20864" spans="8:8">
      <c r="H20864" s="12"/>
    </row>
    <row r="20865" spans="8:8">
      <c r="H20865" s="12"/>
    </row>
    <row r="20866" spans="8:8">
      <c r="H20866" s="12"/>
    </row>
    <row r="20867" spans="8:8">
      <c r="H20867" s="12"/>
    </row>
    <row r="20868" spans="8:8">
      <c r="H20868" s="12"/>
    </row>
    <row r="20869" spans="8:8">
      <c r="H20869" s="12"/>
    </row>
    <row r="20870" spans="8:8">
      <c r="H20870" s="12"/>
    </row>
    <row r="20871" spans="8:8">
      <c r="H20871" s="12"/>
    </row>
    <row r="20872" spans="8:8">
      <c r="H20872" s="12"/>
    </row>
    <row r="20873" spans="8:8">
      <c r="H20873" s="12"/>
    </row>
    <row r="20874" spans="8:8">
      <c r="H20874" s="12"/>
    </row>
    <row r="20875" spans="8:8">
      <c r="H20875" s="12"/>
    </row>
    <row r="20876" spans="8:8">
      <c r="H20876" s="12"/>
    </row>
    <row r="20877" spans="8:8">
      <c r="H20877" s="12"/>
    </row>
    <row r="20878" spans="8:8">
      <c r="H20878" s="12"/>
    </row>
    <row r="20879" spans="8:8">
      <c r="H20879" s="12"/>
    </row>
    <row r="20880" spans="8:8">
      <c r="H20880" s="12"/>
    </row>
    <row r="20881" spans="8:8">
      <c r="H20881" s="12"/>
    </row>
    <row r="20882" spans="8:8">
      <c r="H20882" s="12"/>
    </row>
    <row r="20883" spans="8:8">
      <c r="H20883" s="12"/>
    </row>
    <row r="20884" spans="8:8">
      <c r="H20884" s="12"/>
    </row>
    <row r="20885" spans="8:8">
      <c r="H20885" s="12"/>
    </row>
    <row r="20886" spans="8:8">
      <c r="H20886" s="12"/>
    </row>
    <row r="20887" spans="8:8">
      <c r="H20887" s="12"/>
    </row>
    <row r="20888" spans="8:8">
      <c r="H20888" s="12"/>
    </row>
    <row r="20889" spans="8:8">
      <c r="H20889" s="12"/>
    </row>
    <row r="20890" spans="8:8">
      <c r="H20890" s="12"/>
    </row>
    <row r="20891" spans="8:8">
      <c r="H20891" s="12"/>
    </row>
    <row r="20892" spans="8:8">
      <c r="H20892" s="12"/>
    </row>
    <row r="20893" spans="8:8">
      <c r="H20893" s="12"/>
    </row>
    <row r="20894" spans="8:8">
      <c r="H20894" s="12"/>
    </row>
    <row r="20895" spans="8:8">
      <c r="H20895" s="12"/>
    </row>
    <row r="20896" spans="8:8">
      <c r="H20896" s="12"/>
    </row>
    <row r="20897" spans="8:8">
      <c r="H20897" s="12"/>
    </row>
    <row r="20898" spans="8:8">
      <c r="H20898" s="12"/>
    </row>
    <row r="20899" spans="8:8">
      <c r="H20899" s="12"/>
    </row>
    <row r="20900" spans="8:8">
      <c r="H20900" s="12"/>
    </row>
    <row r="20901" spans="8:8">
      <c r="H20901" s="12"/>
    </row>
    <row r="20902" spans="8:8">
      <c r="H20902" s="12"/>
    </row>
    <row r="20903" spans="8:8">
      <c r="H20903" s="12"/>
    </row>
    <row r="20904" spans="8:8">
      <c r="H20904" s="12"/>
    </row>
    <row r="20905" spans="8:8">
      <c r="H20905" s="12"/>
    </row>
    <row r="20906" spans="8:8">
      <c r="H20906" s="12"/>
    </row>
    <row r="20907" spans="8:8">
      <c r="H20907" s="12"/>
    </row>
    <row r="20908" spans="8:8">
      <c r="H20908" s="12"/>
    </row>
    <row r="20909" spans="8:8">
      <c r="H20909" s="12"/>
    </row>
    <row r="20910" spans="8:8">
      <c r="H20910" s="12"/>
    </row>
    <row r="20911" spans="8:8">
      <c r="H20911" s="12"/>
    </row>
    <row r="20912" spans="8:8">
      <c r="H20912" s="12"/>
    </row>
    <row r="20913" spans="8:8">
      <c r="H20913" s="12"/>
    </row>
    <row r="20914" spans="8:8">
      <c r="H20914" s="12"/>
    </row>
    <row r="20915" spans="8:8">
      <c r="H20915" s="12"/>
    </row>
    <row r="20916" spans="8:8">
      <c r="H20916" s="12"/>
    </row>
    <row r="20917" spans="8:8">
      <c r="H20917" s="12"/>
    </row>
    <row r="20918" spans="8:8">
      <c r="H20918" s="12"/>
    </row>
    <row r="20919" spans="8:8">
      <c r="H20919" s="12"/>
    </row>
    <row r="20920" spans="8:8">
      <c r="H20920" s="12"/>
    </row>
    <row r="20921" spans="8:8">
      <c r="H20921" s="12"/>
    </row>
    <row r="20922" spans="8:8">
      <c r="H20922" s="12"/>
    </row>
    <row r="20923" spans="8:8">
      <c r="H20923" s="12"/>
    </row>
    <row r="20924" spans="8:8">
      <c r="H20924" s="12"/>
    </row>
    <row r="20925" spans="8:8">
      <c r="H20925" s="12"/>
    </row>
    <row r="20926" spans="8:8">
      <c r="H20926" s="12"/>
    </row>
    <row r="20927" spans="8:8">
      <c r="H20927" s="12"/>
    </row>
    <row r="20928" spans="8:8">
      <c r="H20928" s="12"/>
    </row>
    <row r="20929" spans="8:8">
      <c r="H20929" s="12"/>
    </row>
    <row r="20930" spans="8:8">
      <c r="H20930" s="12"/>
    </row>
    <row r="20931" spans="8:8">
      <c r="H20931" s="12"/>
    </row>
    <row r="20932" spans="8:8">
      <c r="H20932" s="12"/>
    </row>
    <row r="20933" spans="8:8">
      <c r="H20933" s="12"/>
    </row>
    <row r="20934" spans="8:8">
      <c r="H20934" s="12"/>
    </row>
    <row r="20935" spans="8:8">
      <c r="H20935" s="12"/>
    </row>
    <row r="20936" spans="8:8">
      <c r="H20936" s="12"/>
    </row>
    <row r="20937" spans="8:8">
      <c r="H20937" s="12"/>
    </row>
    <row r="20938" spans="8:8">
      <c r="H20938" s="12"/>
    </row>
    <row r="20939" spans="8:8">
      <c r="H20939" s="12"/>
    </row>
    <row r="20940" spans="8:8">
      <c r="H20940" s="12"/>
    </row>
    <row r="20941" spans="8:8">
      <c r="H20941" s="12"/>
    </row>
    <row r="20942" spans="8:8">
      <c r="H20942" s="12"/>
    </row>
    <row r="20943" spans="8:8">
      <c r="H20943" s="12"/>
    </row>
    <row r="20944" spans="8:8">
      <c r="H20944" s="12"/>
    </row>
    <row r="20945" spans="8:8">
      <c r="H20945" s="12"/>
    </row>
    <row r="20946" spans="8:8">
      <c r="H20946" s="12"/>
    </row>
    <row r="20947" spans="8:8">
      <c r="H20947" s="12"/>
    </row>
    <row r="20948" spans="8:8">
      <c r="H20948" s="12"/>
    </row>
    <row r="20949" spans="8:8">
      <c r="H20949" s="12"/>
    </row>
    <row r="20950" spans="8:8">
      <c r="H20950" s="12"/>
    </row>
    <row r="20951" spans="8:8">
      <c r="H20951" s="12"/>
    </row>
    <row r="20952" spans="8:8">
      <c r="H20952" s="12"/>
    </row>
    <row r="20953" spans="8:8">
      <c r="H20953" s="12"/>
    </row>
    <row r="20954" spans="8:8">
      <c r="H20954" s="12"/>
    </row>
    <row r="20955" spans="8:8">
      <c r="H20955" s="12"/>
    </row>
    <row r="20956" spans="8:8">
      <c r="H20956" s="12"/>
    </row>
    <row r="20957" spans="8:8">
      <c r="H20957" s="12"/>
    </row>
    <row r="20958" spans="8:8">
      <c r="H20958" s="12"/>
    </row>
    <row r="20959" spans="8:8">
      <c r="H20959" s="12"/>
    </row>
    <row r="20960" spans="8:8">
      <c r="H20960" s="12"/>
    </row>
    <row r="20961" spans="8:8">
      <c r="H20961" s="12"/>
    </row>
    <row r="20962" spans="8:8">
      <c r="H20962" s="12"/>
    </row>
    <row r="20963" spans="8:8">
      <c r="H20963" s="12"/>
    </row>
    <row r="20964" spans="8:8">
      <c r="H20964" s="12"/>
    </row>
    <row r="20965" spans="8:8">
      <c r="H20965" s="12"/>
    </row>
    <row r="20966" spans="8:8">
      <c r="H20966" s="12"/>
    </row>
    <row r="20967" spans="8:8">
      <c r="H20967" s="12"/>
    </row>
    <row r="20968" spans="8:8">
      <c r="H20968" s="12"/>
    </row>
    <row r="20969" spans="8:8">
      <c r="H20969" s="12"/>
    </row>
    <row r="20970" spans="8:8">
      <c r="H20970" s="12"/>
    </row>
    <row r="20971" spans="8:8">
      <c r="H20971" s="12"/>
    </row>
    <row r="20972" spans="8:8">
      <c r="H20972" s="12"/>
    </row>
    <row r="20973" spans="8:8">
      <c r="H20973" s="12"/>
    </row>
    <row r="20974" spans="8:8">
      <c r="H20974" s="12"/>
    </row>
    <row r="20975" spans="8:8">
      <c r="H20975" s="12"/>
    </row>
    <row r="20976" spans="8:8">
      <c r="H20976" s="12"/>
    </row>
    <row r="20977" spans="8:8">
      <c r="H20977" s="12"/>
    </row>
    <row r="20978" spans="8:8">
      <c r="H20978" s="12"/>
    </row>
    <row r="20979" spans="8:8">
      <c r="H20979" s="12"/>
    </row>
    <row r="20980" spans="8:8">
      <c r="H20980" s="12"/>
    </row>
    <row r="20981" spans="8:8">
      <c r="H20981" s="12"/>
    </row>
    <row r="20982" spans="8:8">
      <c r="H20982" s="12"/>
    </row>
    <row r="20983" spans="8:8">
      <c r="H20983" s="12"/>
    </row>
    <row r="20984" spans="8:8">
      <c r="H20984" s="12"/>
    </row>
    <row r="20985" spans="8:8">
      <c r="H20985" s="12"/>
    </row>
    <row r="20986" spans="8:8">
      <c r="H20986" s="12"/>
    </row>
    <row r="20987" spans="8:8">
      <c r="H20987" s="12"/>
    </row>
    <row r="20988" spans="8:8">
      <c r="H20988" s="12"/>
    </row>
    <row r="20989" spans="8:8">
      <c r="H20989" s="12"/>
    </row>
    <row r="20990" spans="8:8">
      <c r="H20990" s="12"/>
    </row>
    <row r="20991" spans="8:8">
      <c r="H20991" s="12"/>
    </row>
    <row r="20992" spans="8:8">
      <c r="H20992" s="12"/>
    </row>
    <row r="20993" spans="8:8">
      <c r="H20993" s="12"/>
    </row>
    <row r="20994" spans="8:8">
      <c r="H20994" s="12"/>
    </row>
    <row r="20995" spans="8:8">
      <c r="H20995" s="12"/>
    </row>
    <row r="20996" spans="8:8">
      <c r="H20996" s="12"/>
    </row>
    <row r="20997" spans="8:8">
      <c r="H20997" s="12"/>
    </row>
    <row r="20998" spans="8:8">
      <c r="H20998" s="12"/>
    </row>
    <row r="20999" spans="8:8">
      <c r="H20999" s="12"/>
    </row>
    <row r="21000" spans="8:8">
      <c r="H21000" s="12"/>
    </row>
    <row r="21001" spans="8:8">
      <c r="H21001" s="12"/>
    </row>
    <row r="21002" spans="8:8">
      <c r="H21002" s="12"/>
    </row>
    <row r="21003" spans="8:8">
      <c r="H21003" s="12"/>
    </row>
    <row r="21004" spans="8:8">
      <c r="H21004" s="12"/>
    </row>
    <row r="21005" spans="8:8">
      <c r="H21005" s="12"/>
    </row>
    <row r="21006" spans="8:8">
      <c r="H21006" s="12"/>
    </row>
    <row r="21007" spans="8:8">
      <c r="H21007" s="12"/>
    </row>
    <row r="21008" spans="8:8">
      <c r="H21008" s="12"/>
    </row>
    <row r="21009" spans="8:8">
      <c r="H21009" s="12"/>
    </row>
    <row r="21010" spans="8:8">
      <c r="H21010" s="12"/>
    </row>
    <row r="21011" spans="8:8">
      <c r="H21011" s="12"/>
    </row>
    <row r="21012" spans="8:8">
      <c r="H21012" s="12"/>
    </row>
    <row r="21013" spans="8:8">
      <c r="H21013" s="12"/>
    </row>
    <row r="21014" spans="8:8">
      <c r="H21014" s="12"/>
    </row>
    <row r="21015" spans="8:8">
      <c r="H21015" s="12"/>
    </row>
    <row r="21016" spans="8:8">
      <c r="H21016" s="12"/>
    </row>
    <row r="21017" spans="8:8">
      <c r="H21017" s="12"/>
    </row>
    <row r="21018" spans="8:8">
      <c r="H21018" s="12"/>
    </row>
    <row r="21019" spans="8:8">
      <c r="H21019" s="12"/>
    </row>
    <row r="21020" spans="8:8">
      <c r="H21020" s="12"/>
    </row>
    <row r="21021" spans="8:8">
      <c r="H21021" s="12"/>
    </row>
    <row r="21022" spans="8:8">
      <c r="H21022" s="12"/>
    </row>
    <row r="21023" spans="8:8">
      <c r="H21023" s="12"/>
    </row>
    <row r="21024" spans="8:8">
      <c r="H21024" s="12"/>
    </row>
    <row r="21025" spans="8:8">
      <c r="H21025" s="12"/>
    </row>
    <row r="21026" spans="8:8">
      <c r="H21026" s="12"/>
    </row>
    <row r="21027" spans="8:8">
      <c r="H21027" s="12"/>
    </row>
    <row r="21028" spans="8:8">
      <c r="H21028" s="12"/>
    </row>
    <row r="21029" spans="8:8">
      <c r="H21029" s="12"/>
    </row>
    <row r="21030" spans="8:8">
      <c r="H21030" s="12"/>
    </row>
    <row r="21031" spans="8:8">
      <c r="H21031" s="12"/>
    </row>
    <row r="21032" spans="8:8">
      <c r="H21032" s="12"/>
    </row>
    <row r="21033" spans="8:8">
      <c r="H21033" s="12"/>
    </row>
    <row r="21034" spans="8:8">
      <c r="H21034" s="12"/>
    </row>
    <row r="21035" spans="8:8">
      <c r="H21035" s="12"/>
    </row>
    <row r="21036" spans="8:8">
      <c r="H21036" s="12"/>
    </row>
    <row r="21037" spans="8:8">
      <c r="H21037" s="12"/>
    </row>
    <row r="21038" spans="8:8">
      <c r="H21038" s="12"/>
    </row>
    <row r="21039" spans="8:8">
      <c r="H21039" s="12"/>
    </row>
    <row r="21040" spans="8:8">
      <c r="H21040" s="12"/>
    </row>
    <row r="21041" spans="8:8">
      <c r="H21041" s="12"/>
    </row>
    <row r="21042" spans="8:8">
      <c r="H21042" s="12"/>
    </row>
    <row r="21043" spans="8:8">
      <c r="H21043" s="12"/>
    </row>
    <row r="21044" spans="8:8">
      <c r="H21044" s="12"/>
    </row>
    <row r="21045" spans="8:8">
      <c r="H21045" s="12"/>
    </row>
    <row r="21046" spans="8:8">
      <c r="H21046" s="12"/>
    </row>
    <row r="21047" spans="8:8">
      <c r="H21047" s="12"/>
    </row>
    <row r="21048" spans="8:8">
      <c r="H21048" s="12"/>
    </row>
    <row r="21049" spans="8:8">
      <c r="H21049" s="12"/>
    </row>
    <row r="21050" spans="8:8">
      <c r="H21050" s="12"/>
    </row>
    <row r="21051" spans="8:8">
      <c r="H21051" s="12"/>
    </row>
    <row r="21052" spans="8:8">
      <c r="H21052" s="12"/>
    </row>
    <row r="21053" spans="8:8">
      <c r="H21053" s="12"/>
    </row>
    <row r="21054" spans="8:8">
      <c r="H21054" s="12"/>
    </row>
    <row r="21055" spans="8:8">
      <c r="H21055" s="12"/>
    </row>
    <row r="21056" spans="8:8">
      <c r="H21056" s="12"/>
    </row>
    <row r="21057" spans="8:8">
      <c r="H21057" s="12"/>
    </row>
    <row r="21058" spans="8:8">
      <c r="H21058" s="12"/>
    </row>
    <row r="21059" spans="8:8">
      <c r="H21059" s="12"/>
    </row>
    <row r="21060" spans="8:8">
      <c r="H21060" s="12"/>
    </row>
    <row r="21061" spans="8:8">
      <c r="H21061" s="12"/>
    </row>
    <row r="21062" spans="8:8">
      <c r="H21062" s="12"/>
    </row>
    <row r="21063" spans="8:8">
      <c r="H21063" s="12"/>
    </row>
    <row r="21064" spans="8:8">
      <c r="H21064" s="12"/>
    </row>
    <row r="21065" spans="8:8">
      <c r="H21065" s="12"/>
    </row>
    <row r="21066" spans="8:8">
      <c r="H21066" s="12"/>
    </row>
    <row r="21067" spans="8:8">
      <c r="H21067" s="12"/>
    </row>
    <row r="21068" spans="8:8">
      <c r="H21068" s="12"/>
    </row>
    <row r="21069" spans="8:8">
      <c r="H21069" s="12"/>
    </row>
    <row r="21070" spans="8:8">
      <c r="H21070" s="12"/>
    </row>
    <row r="21071" spans="8:8">
      <c r="H21071" s="12"/>
    </row>
    <row r="21072" spans="8:8">
      <c r="H21072" s="12"/>
    </row>
    <row r="21073" spans="8:8">
      <c r="H21073" s="12"/>
    </row>
    <row r="21074" spans="8:8">
      <c r="H21074" s="12"/>
    </row>
    <row r="21075" spans="8:8">
      <c r="H21075" s="12"/>
    </row>
    <row r="21076" spans="8:8">
      <c r="H21076" s="12"/>
    </row>
    <row r="21077" spans="8:8">
      <c r="H21077" s="12"/>
    </row>
    <row r="21078" spans="8:8">
      <c r="H21078" s="12"/>
    </row>
    <row r="21079" spans="8:8">
      <c r="H21079" s="12"/>
    </row>
    <row r="21080" spans="8:8">
      <c r="H21080" s="12"/>
    </row>
    <row r="21081" spans="8:8">
      <c r="H21081" s="12"/>
    </row>
    <row r="21082" spans="8:8">
      <c r="H21082" s="12"/>
    </row>
    <row r="21083" spans="8:8">
      <c r="H21083" s="12"/>
    </row>
    <row r="21084" spans="8:8">
      <c r="H21084" s="12"/>
    </row>
    <row r="21085" spans="8:8">
      <c r="H21085" s="12"/>
    </row>
    <row r="21086" spans="8:8">
      <c r="H21086" s="12"/>
    </row>
    <row r="21087" spans="8:8">
      <c r="H21087" s="12"/>
    </row>
    <row r="21088" spans="8:8">
      <c r="H21088" s="12"/>
    </row>
    <row r="21089" spans="8:8">
      <c r="H21089" s="12"/>
    </row>
    <row r="21090" spans="8:8">
      <c r="H21090" s="12"/>
    </row>
    <row r="21091" spans="8:8">
      <c r="H21091" s="12"/>
    </row>
    <row r="21092" spans="8:8">
      <c r="H21092" s="12"/>
    </row>
    <row r="21093" spans="8:8">
      <c r="H21093" s="12"/>
    </row>
    <row r="21094" spans="8:8">
      <c r="H21094" s="12"/>
    </row>
    <row r="21095" spans="8:8">
      <c r="H21095" s="12"/>
    </row>
    <row r="21096" spans="8:8">
      <c r="H21096" s="12"/>
    </row>
    <row r="21097" spans="8:8">
      <c r="H21097" s="12"/>
    </row>
    <row r="21098" spans="8:8">
      <c r="H21098" s="12"/>
    </row>
    <row r="21099" spans="8:8">
      <c r="H21099" s="12"/>
    </row>
    <row r="21100" spans="8:8">
      <c r="H21100" s="12"/>
    </row>
    <row r="21101" spans="8:8">
      <c r="H21101" s="12"/>
    </row>
    <row r="21102" spans="8:8">
      <c r="H21102" s="12"/>
    </row>
    <row r="21103" spans="8:8">
      <c r="H21103" s="12"/>
    </row>
    <row r="21104" spans="8:8">
      <c r="H21104" s="12"/>
    </row>
    <row r="21105" spans="8:8">
      <c r="H21105" s="12"/>
    </row>
    <row r="21106" spans="8:8">
      <c r="H21106" s="12"/>
    </row>
    <row r="21107" spans="8:8">
      <c r="H21107" s="12"/>
    </row>
    <row r="21108" spans="8:8">
      <c r="H21108" s="12"/>
    </row>
    <row r="21109" spans="8:8">
      <c r="H21109" s="12"/>
    </row>
    <row r="21110" spans="8:8">
      <c r="H21110" s="12"/>
    </row>
    <row r="21111" spans="8:8">
      <c r="H21111" s="12"/>
    </row>
    <row r="21112" spans="8:8">
      <c r="H21112" s="12"/>
    </row>
    <row r="21113" spans="8:8">
      <c r="H21113" s="12"/>
    </row>
    <row r="21114" spans="8:8">
      <c r="H21114" s="12"/>
    </row>
    <row r="21115" spans="8:8">
      <c r="H21115" s="12"/>
    </row>
    <row r="21116" spans="8:8">
      <c r="H21116" s="12"/>
    </row>
    <row r="21117" spans="8:8">
      <c r="H21117" s="12"/>
    </row>
    <row r="21118" spans="8:8">
      <c r="H21118" s="12"/>
    </row>
    <row r="21119" spans="8:8">
      <c r="H21119" s="12"/>
    </row>
    <row r="21120" spans="8:8">
      <c r="H21120" s="12"/>
    </row>
    <row r="21121" spans="7:8">
      <c r="H21121" s="12"/>
    </row>
    <row r="21122" spans="7:8">
      <c r="H21122" s="12"/>
    </row>
    <row r="21123" spans="7:8">
      <c r="H21123" s="12"/>
    </row>
    <row r="21124" spans="7:8">
      <c r="H21124" s="12"/>
    </row>
    <row r="21125" spans="7:8">
      <c r="G21125" s="12"/>
    </row>
    <row r="21126" spans="7:8">
      <c r="G21126" s="12"/>
    </row>
    <row r="21127" spans="7:8">
      <c r="G21127" s="12"/>
    </row>
    <row r="21128" spans="7:8">
      <c r="G21128" s="12"/>
    </row>
    <row r="21129" spans="7:8">
      <c r="G21129" s="12"/>
    </row>
    <row r="21130" spans="7:8">
      <c r="G21130" s="12"/>
    </row>
    <row r="21131" spans="7:8">
      <c r="G21131" s="12"/>
    </row>
    <row r="21132" spans="7:8">
      <c r="G21132" s="12"/>
    </row>
    <row r="21133" spans="7:8">
      <c r="G21133" s="12"/>
    </row>
    <row r="21134" spans="7:8">
      <c r="G21134" s="12"/>
    </row>
    <row r="21135" spans="7:8">
      <c r="G21135" s="12"/>
    </row>
    <row r="21136" spans="7:8">
      <c r="G21136" s="12"/>
    </row>
    <row r="21137" spans="7:7">
      <c r="G21137" s="12"/>
    </row>
    <row r="21138" spans="7:7">
      <c r="G21138" s="12"/>
    </row>
    <row r="21139" spans="7:7">
      <c r="G21139" s="12"/>
    </row>
    <row r="21140" spans="7:7">
      <c r="G21140" s="12"/>
    </row>
    <row r="21141" spans="7:7">
      <c r="G21141" s="12"/>
    </row>
    <row r="21142" spans="7:7">
      <c r="G21142" s="12"/>
    </row>
    <row r="21143" spans="7:7">
      <c r="G21143" s="12"/>
    </row>
    <row r="21144" spans="7:7">
      <c r="G21144" s="12"/>
    </row>
    <row r="21145" spans="7:7">
      <c r="G21145" s="12"/>
    </row>
    <row r="21146" spans="7:7">
      <c r="G21146" s="12"/>
    </row>
    <row r="21147" spans="7:7">
      <c r="G21147" s="12"/>
    </row>
    <row r="21148" spans="7:7">
      <c r="G21148" s="12"/>
    </row>
    <row r="21149" spans="7:7">
      <c r="G21149" s="12"/>
    </row>
    <row r="21150" spans="7:7">
      <c r="G21150" s="12"/>
    </row>
    <row r="21151" spans="7:7">
      <c r="G21151" s="12"/>
    </row>
    <row r="21152" spans="7:7">
      <c r="G21152" s="12"/>
    </row>
    <row r="21153" spans="7:7">
      <c r="G21153" s="12"/>
    </row>
    <row r="21154" spans="7:7">
      <c r="G21154" s="12"/>
    </row>
    <row r="21155" spans="7:7">
      <c r="G21155" s="12"/>
    </row>
    <row r="21156" spans="7:7">
      <c r="G21156" s="12"/>
    </row>
    <row r="21157" spans="7:7">
      <c r="G21157" s="12"/>
    </row>
    <row r="21158" spans="7:7">
      <c r="G21158" s="12"/>
    </row>
    <row r="21159" spans="7:7">
      <c r="G21159" s="12"/>
    </row>
    <row r="21160" spans="7:7">
      <c r="G21160" s="12"/>
    </row>
    <row r="21161" spans="7:7">
      <c r="G21161" s="12"/>
    </row>
    <row r="21162" spans="7:7">
      <c r="G21162" s="12"/>
    </row>
    <row r="21163" spans="7:7">
      <c r="G21163" s="12"/>
    </row>
    <row r="21164" spans="7:7">
      <c r="G21164" s="12"/>
    </row>
    <row r="21165" spans="7:7">
      <c r="G21165" s="12"/>
    </row>
    <row r="21166" spans="7:7">
      <c r="G21166" s="12"/>
    </row>
    <row r="21167" spans="7:7">
      <c r="G21167" s="12"/>
    </row>
    <row r="21168" spans="7:7">
      <c r="G21168" s="12"/>
    </row>
    <row r="21169" spans="7:7">
      <c r="G21169" s="12"/>
    </row>
    <row r="21170" spans="7:7">
      <c r="G21170" s="12"/>
    </row>
    <row r="21171" spans="7:7">
      <c r="G21171" s="12"/>
    </row>
    <row r="21172" spans="7:7">
      <c r="G21172" s="12"/>
    </row>
    <row r="21173" spans="7:7">
      <c r="G21173" s="12"/>
    </row>
    <row r="21174" spans="7:7">
      <c r="G21174" s="12"/>
    </row>
    <row r="21175" spans="7:7">
      <c r="G21175" s="12"/>
    </row>
    <row r="21176" spans="7:7">
      <c r="G21176" s="12"/>
    </row>
    <row r="21177" spans="7:7">
      <c r="G21177" s="12"/>
    </row>
    <row r="21178" spans="7:7">
      <c r="G21178" s="12"/>
    </row>
    <row r="21179" spans="7:7">
      <c r="G21179" s="12"/>
    </row>
    <row r="21180" spans="7:7">
      <c r="G21180" s="12"/>
    </row>
    <row r="21181" spans="7:7">
      <c r="G21181" s="12"/>
    </row>
    <row r="21182" spans="7:7">
      <c r="G21182" s="12"/>
    </row>
    <row r="21183" spans="7:7">
      <c r="G21183" s="12"/>
    </row>
    <row r="21184" spans="7:7">
      <c r="G21184" s="12"/>
    </row>
    <row r="21185" spans="7:7">
      <c r="G21185" s="12"/>
    </row>
    <row r="21186" spans="7:7">
      <c r="G21186" s="12"/>
    </row>
    <row r="21187" spans="7:7">
      <c r="G21187" s="12"/>
    </row>
    <row r="21188" spans="7:7">
      <c r="G21188" s="12"/>
    </row>
    <row r="21189" spans="7:7">
      <c r="G21189" s="12"/>
    </row>
    <row r="21190" spans="7:7">
      <c r="G21190" s="12"/>
    </row>
    <row r="21191" spans="7:7">
      <c r="G21191" s="12"/>
    </row>
    <row r="21192" spans="7:7">
      <c r="G21192" s="12"/>
    </row>
    <row r="21193" spans="7:7">
      <c r="G21193" s="12"/>
    </row>
    <row r="21194" spans="7:7">
      <c r="G21194" s="12"/>
    </row>
    <row r="21195" spans="7:7">
      <c r="G21195" s="12"/>
    </row>
    <row r="21196" spans="7:7">
      <c r="G21196" s="12"/>
    </row>
    <row r="21197" spans="7:7">
      <c r="G21197" s="12"/>
    </row>
    <row r="21198" spans="7:7">
      <c r="G21198" s="12"/>
    </row>
    <row r="21199" spans="7:7">
      <c r="G21199" s="12"/>
    </row>
    <row r="21200" spans="7:7">
      <c r="G21200" s="12"/>
    </row>
    <row r="21201" spans="7:7">
      <c r="G21201" s="12"/>
    </row>
    <row r="21202" spans="7:7">
      <c r="G21202" s="12"/>
    </row>
    <row r="21203" spans="7:7">
      <c r="G21203" s="12"/>
    </row>
    <row r="21204" spans="7:7">
      <c r="G21204" s="12"/>
    </row>
    <row r="21205" spans="7:7">
      <c r="G21205" s="12"/>
    </row>
    <row r="21206" spans="7:7">
      <c r="G21206" s="12"/>
    </row>
    <row r="21207" spans="7:7">
      <c r="G21207" s="12"/>
    </row>
    <row r="21208" spans="7:7">
      <c r="G21208" s="12"/>
    </row>
    <row r="21209" spans="7:7">
      <c r="G21209" s="12"/>
    </row>
    <row r="21210" spans="7:7">
      <c r="G21210" s="12"/>
    </row>
    <row r="21211" spans="7:7">
      <c r="G21211" s="12"/>
    </row>
    <row r="21212" spans="7:7">
      <c r="G21212" s="12"/>
    </row>
    <row r="21213" spans="7:7">
      <c r="G21213" s="12"/>
    </row>
    <row r="21214" spans="7:7">
      <c r="G21214" s="12"/>
    </row>
    <row r="21215" spans="7:7">
      <c r="G21215" s="12"/>
    </row>
    <row r="21216" spans="7:7">
      <c r="G21216" s="12"/>
    </row>
    <row r="21217" spans="7:7">
      <c r="G21217" s="12"/>
    </row>
    <row r="21218" spans="7:7">
      <c r="G21218" s="12"/>
    </row>
    <row r="21219" spans="7:7">
      <c r="G21219" s="12"/>
    </row>
    <row r="21220" spans="7:7">
      <c r="G21220" s="12"/>
    </row>
    <row r="21221" spans="7:7">
      <c r="G21221" s="12"/>
    </row>
    <row r="21222" spans="7:7">
      <c r="G21222" s="12"/>
    </row>
    <row r="21223" spans="7:7">
      <c r="G21223" s="12"/>
    </row>
    <row r="21340" spans="8:8">
      <c r="H21340" s="20"/>
    </row>
    <row r="21562" spans="8:8">
      <c r="H21562" s="20"/>
    </row>
    <row r="21823" spans="8:8">
      <c r="H21823" s="20"/>
    </row>
    <row r="21963" spans="8:8">
      <c r="H21963" s="20"/>
    </row>
    <row r="21986" spans="8:8">
      <c r="H21986" s="20"/>
    </row>
    <row r="22636" spans="8:8">
      <c r="H22636" s="20"/>
    </row>
    <row r="22813" spans="8:8">
      <c r="H22813" s="20"/>
    </row>
    <row r="23257" spans="8:8">
      <c r="H23257" s="20"/>
    </row>
    <row r="23447" spans="8:8">
      <c r="H23447" s="20"/>
    </row>
    <row r="23864" spans="8:8">
      <c r="H23864" s="20"/>
    </row>
    <row r="23945" spans="8:8">
      <c r="H23945" s="20"/>
    </row>
    <row r="24051" spans="8:8">
      <c r="H24051" s="20"/>
    </row>
    <row r="24548" spans="8:8">
      <c r="H24548" s="20"/>
    </row>
    <row r="24630" spans="8:8">
      <c r="H24630" s="20"/>
    </row>
    <row r="24664" spans="8:8">
      <c r="H24664" s="20"/>
    </row>
    <row r="24814" spans="8:8">
      <c r="H24814" s="20"/>
    </row>
    <row r="25130" spans="8:8">
      <c r="H25130" s="20"/>
    </row>
    <row r="25474" spans="8:8">
      <c r="H25474" s="20"/>
    </row>
    <row r="25888" spans="8:8">
      <c r="H25888" s="20"/>
    </row>
    <row r="26249" spans="8:8">
      <c r="H26249" s="20"/>
    </row>
    <row r="26273" spans="8:8">
      <c r="H26273" s="20"/>
    </row>
    <row r="26976" spans="8:8">
      <c r="H26976" s="20"/>
    </row>
    <row r="27478" spans="8:8">
      <c r="H27478" s="20"/>
    </row>
    <row r="27880" spans="8:8">
      <c r="H27880" s="20"/>
    </row>
    <row r="28180" spans="8:8">
      <c r="H28180" s="20"/>
    </row>
    <row r="28258" spans="8:8">
      <c r="H28258" s="20"/>
    </row>
    <row r="28349" spans="8:8">
      <c r="H28349" s="20"/>
    </row>
    <row r="28466" spans="8:8">
      <c r="H28466" s="20"/>
    </row>
    <row r="29510" spans="8:8">
      <c r="H29510" s="20"/>
    </row>
    <row r="29602" spans="8:8">
      <c r="H29602" s="20"/>
    </row>
    <row r="30095" spans="8:8">
      <c r="H30095" s="20"/>
    </row>
    <row r="30606" spans="8:8">
      <c r="H30606" s="20"/>
    </row>
    <row r="31354" spans="8:8">
      <c r="H31354" s="20"/>
    </row>
    <row r="31456" spans="8:8">
      <c r="H31456" s="20"/>
    </row>
    <row r="33494" spans="8:8">
      <c r="H33494" s="20"/>
    </row>
    <row r="33706" spans="8:8">
      <c r="H33706" s="20"/>
    </row>
    <row r="34922" spans="8:8">
      <c r="H34922" s="20"/>
    </row>
    <row r="35133" spans="8:8">
      <c r="H35133" s="20"/>
    </row>
    <row r="36060" spans="8:8">
      <c r="H36060" s="20"/>
    </row>
    <row r="36360" spans="8:8">
      <c r="H36360" s="20"/>
    </row>
    <row r="36691" spans="8:8">
      <c r="H36691" s="20"/>
    </row>
    <row r="37190" spans="8:8">
      <c r="H37190" s="20"/>
    </row>
    <row r="37907" spans="8:8">
      <c r="H37907" s="20"/>
    </row>
    <row r="37942" spans="8:8">
      <c r="H37942" s="20"/>
    </row>
    <row r="39434" spans="8:8">
      <c r="H39434" s="20"/>
    </row>
    <row r="39543" spans="8:8">
      <c r="H39543" s="20"/>
    </row>
    <row r="39546" spans="8:8">
      <c r="H39546" s="2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73A67-E0ED-48F7-AED3-20C7C1BCC9C4}">
  <dimension ref="A1:S197"/>
  <sheetViews>
    <sheetView workbookViewId="0"/>
  </sheetViews>
  <sheetFormatPr defaultRowHeight="15"/>
  <sheetData>
    <row r="1" spans="1:19">
      <c r="A1" t="s">
        <v>151</v>
      </c>
      <c r="S1" s="21" t="s">
        <v>865</v>
      </c>
    </row>
    <row r="2" spans="1:19">
      <c r="A2" t="s">
        <v>443</v>
      </c>
      <c r="B2" t="s">
        <v>927</v>
      </c>
      <c r="C2" t="s">
        <v>943</v>
      </c>
      <c r="D2" t="s">
        <v>866</v>
      </c>
      <c r="E2" t="s">
        <v>928</v>
      </c>
      <c r="F2" t="s">
        <v>944</v>
      </c>
      <c r="G2" t="s">
        <v>945</v>
      </c>
      <c r="H2" t="s">
        <v>946</v>
      </c>
      <c r="I2" t="s">
        <v>929</v>
      </c>
      <c r="J2" t="s">
        <v>947</v>
      </c>
      <c r="K2" t="s">
        <v>948</v>
      </c>
      <c r="L2" t="s">
        <v>949</v>
      </c>
      <c r="M2" t="s">
        <v>950</v>
      </c>
      <c r="N2" t="s">
        <v>951</v>
      </c>
      <c r="O2" t="s">
        <v>952</v>
      </c>
    </row>
    <row r="3" spans="1:19">
      <c r="A3" t="s">
        <v>445</v>
      </c>
      <c r="B3" t="s">
        <v>953</v>
      </c>
      <c r="C3" t="s">
        <v>954</v>
      </c>
      <c r="D3" t="s">
        <v>955</v>
      </c>
      <c r="E3" t="s">
        <v>956</v>
      </c>
      <c r="F3" t="s">
        <v>957</v>
      </c>
      <c r="G3" t="s">
        <v>958</v>
      </c>
      <c r="H3" t="s">
        <v>959</v>
      </c>
      <c r="I3" t="s">
        <v>960</v>
      </c>
      <c r="J3" t="s">
        <v>961</v>
      </c>
      <c r="K3" t="s">
        <v>962</v>
      </c>
      <c r="L3" t="s">
        <v>963</v>
      </c>
      <c r="M3" t="s">
        <v>964</v>
      </c>
      <c r="N3" t="s">
        <v>965</v>
      </c>
      <c r="O3" t="s">
        <v>966</v>
      </c>
    </row>
    <row r="4" spans="1:19">
      <c r="A4" t="s">
        <v>653</v>
      </c>
      <c r="B4" t="s">
        <v>967</v>
      </c>
      <c r="C4" t="s">
        <v>968</v>
      </c>
      <c r="D4" t="s">
        <v>969</v>
      </c>
      <c r="E4" t="s">
        <v>970</v>
      </c>
      <c r="F4" t="s">
        <v>971</v>
      </c>
      <c r="G4" t="s">
        <v>972</v>
      </c>
      <c r="H4" t="s">
        <v>973</v>
      </c>
      <c r="I4" t="s">
        <v>974</v>
      </c>
      <c r="J4" t="s">
        <v>975</v>
      </c>
      <c r="K4" t="s">
        <v>976</v>
      </c>
      <c r="L4" t="s">
        <v>977</v>
      </c>
      <c r="M4" t="s">
        <v>978</v>
      </c>
      <c r="N4" t="s">
        <v>979</v>
      </c>
      <c r="O4" t="s">
        <v>980</v>
      </c>
    </row>
    <row r="5" spans="1:19">
      <c r="A5" t="s">
        <v>102</v>
      </c>
      <c r="B5" t="s">
        <v>867</v>
      </c>
      <c r="C5" t="s">
        <v>885</v>
      </c>
      <c r="D5" t="s">
        <v>885</v>
      </c>
      <c r="E5" t="s">
        <v>885</v>
      </c>
      <c r="F5" t="s">
        <v>981</v>
      </c>
      <c r="G5" t="s">
        <v>867</v>
      </c>
      <c r="H5" t="s">
        <v>867</v>
      </c>
      <c r="I5" t="s">
        <v>653</v>
      </c>
      <c r="J5" t="s">
        <v>982</v>
      </c>
      <c r="K5" t="s">
        <v>885</v>
      </c>
      <c r="L5" t="s">
        <v>983</v>
      </c>
      <c r="M5" t="s">
        <v>984</v>
      </c>
      <c r="N5" t="s">
        <v>985</v>
      </c>
      <c r="O5" t="s">
        <v>986</v>
      </c>
    </row>
    <row r="6" spans="1:19">
      <c r="A6" t="s">
        <v>47</v>
      </c>
      <c r="B6" t="s">
        <v>987</v>
      </c>
      <c r="C6" t="s">
        <v>102</v>
      </c>
      <c r="D6" t="s">
        <v>102</v>
      </c>
      <c r="E6" t="s">
        <v>102</v>
      </c>
      <c r="F6" t="s">
        <v>988</v>
      </c>
      <c r="G6" t="s">
        <v>102</v>
      </c>
      <c r="H6" t="s">
        <v>102</v>
      </c>
      <c r="I6" t="s">
        <v>102</v>
      </c>
      <c r="J6" t="s">
        <v>102</v>
      </c>
      <c r="K6" t="s">
        <v>989</v>
      </c>
      <c r="L6" t="s">
        <v>990</v>
      </c>
      <c r="M6" t="s">
        <v>991</v>
      </c>
      <c r="N6" t="s">
        <v>992</v>
      </c>
      <c r="O6" t="s">
        <v>993</v>
      </c>
    </row>
    <row r="7" spans="1:19">
      <c r="A7" t="s">
        <v>406</v>
      </c>
      <c r="B7" t="s">
        <v>994</v>
      </c>
      <c r="C7" t="s">
        <v>995</v>
      </c>
      <c r="D7" t="s">
        <v>996</v>
      </c>
      <c r="E7" t="s">
        <v>997</v>
      </c>
      <c r="F7" t="s">
        <v>998</v>
      </c>
      <c r="G7" t="s">
        <v>999</v>
      </c>
      <c r="H7" t="s">
        <v>1000</v>
      </c>
      <c r="I7" t="s">
        <v>1001</v>
      </c>
      <c r="J7" t="s">
        <v>47</v>
      </c>
      <c r="K7" t="s">
        <v>989</v>
      </c>
      <c r="L7" t="s">
        <v>1002</v>
      </c>
      <c r="M7" t="s">
        <v>1003</v>
      </c>
      <c r="N7" t="s">
        <v>992</v>
      </c>
      <c r="O7" t="s">
        <v>1004</v>
      </c>
    </row>
    <row r="8" spans="1:19">
      <c r="A8" t="s">
        <v>427</v>
      </c>
      <c r="B8" t="s">
        <v>1005</v>
      </c>
      <c r="C8" t="s">
        <v>1006</v>
      </c>
      <c r="D8" t="s">
        <v>406</v>
      </c>
      <c r="E8" t="s">
        <v>406</v>
      </c>
      <c r="F8" t="s">
        <v>1007</v>
      </c>
      <c r="G8" t="s">
        <v>1008</v>
      </c>
      <c r="H8" t="s">
        <v>1009</v>
      </c>
      <c r="I8" t="s">
        <v>1010</v>
      </c>
      <c r="J8" t="s">
        <v>1011</v>
      </c>
      <c r="K8" t="s">
        <v>406</v>
      </c>
      <c r="L8" t="s">
        <v>1012</v>
      </c>
      <c r="M8" t="s">
        <v>1013</v>
      </c>
      <c r="N8" t="s">
        <v>1014</v>
      </c>
      <c r="O8" t="s">
        <v>1015</v>
      </c>
    </row>
    <row r="9" spans="1:19">
      <c r="A9" t="s">
        <v>649</v>
      </c>
      <c r="B9" t="s">
        <v>1016</v>
      </c>
      <c r="C9" t="s">
        <v>1017</v>
      </c>
      <c r="D9" t="s">
        <v>1018</v>
      </c>
      <c r="E9" t="s">
        <v>1019</v>
      </c>
      <c r="F9" t="s">
        <v>1020</v>
      </c>
      <c r="G9" t="s">
        <v>1021</v>
      </c>
      <c r="H9" t="s">
        <v>1022</v>
      </c>
      <c r="I9" t="s">
        <v>1023</v>
      </c>
      <c r="J9" t="s">
        <v>1024</v>
      </c>
      <c r="K9" t="s">
        <v>1025</v>
      </c>
      <c r="L9" t="s">
        <v>1026</v>
      </c>
      <c r="M9" t="s">
        <v>1027</v>
      </c>
      <c r="N9" t="s">
        <v>1028</v>
      </c>
      <c r="O9" t="s">
        <v>1029</v>
      </c>
    </row>
    <row r="10" spans="1:19">
      <c r="A10" t="s">
        <v>141</v>
      </c>
      <c r="B10" t="s">
        <v>869</v>
      </c>
      <c r="C10" t="s">
        <v>1030</v>
      </c>
      <c r="D10" t="s">
        <v>913</v>
      </c>
      <c r="E10" t="s">
        <v>649</v>
      </c>
      <c r="F10" t="s">
        <v>1031</v>
      </c>
      <c r="G10" t="s">
        <v>1032</v>
      </c>
      <c r="H10" t="s">
        <v>1033</v>
      </c>
      <c r="I10" t="s">
        <v>649</v>
      </c>
      <c r="J10" t="s">
        <v>1034</v>
      </c>
      <c r="K10" t="s">
        <v>1035</v>
      </c>
      <c r="L10" t="s">
        <v>1036</v>
      </c>
      <c r="M10" t="s">
        <v>1037</v>
      </c>
      <c r="N10" t="s">
        <v>1038</v>
      </c>
      <c r="O10" t="s">
        <v>1039</v>
      </c>
    </row>
    <row r="11" spans="1:19">
      <c r="A11" t="s">
        <v>143</v>
      </c>
      <c r="B11" t="s">
        <v>1040</v>
      </c>
      <c r="C11" t="s">
        <v>1041</v>
      </c>
      <c r="D11" t="s">
        <v>1042</v>
      </c>
      <c r="E11" t="s">
        <v>1043</v>
      </c>
      <c r="F11" t="s">
        <v>1044</v>
      </c>
      <c r="G11" t="s">
        <v>1045</v>
      </c>
      <c r="H11" t="s">
        <v>1046</v>
      </c>
      <c r="I11" t="s">
        <v>1047</v>
      </c>
      <c r="J11" t="s">
        <v>1048</v>
      </c>
      <c r="K11" t="s">
        <v>1049</v>
      </c>
      <c r="L11" t="s">
        <v>1050</v>
      </c>
      <c r="M11" t="s">
        <v>1051</v>
      </c>
      <c r="N11" t="s">
        <v>1052</v>
      </c>
      <c r="O11" t="s">
        <v>1053</v>
      </c>
    </row>
    <row r="12" spans="1:19">
      <c r="A12" t="s">
        <v>363</v>
      </c>
      <c r="B12" t="s">
        <v>1054</v>
      </c>
      <c r="C12" t="s">
        <v>1055</v>
      </c>
      <c r="D12" t="s">
        <v>1056</v>
      </c>
      <c r="E12" t="s">
        <v>1057</v>
      </c>
      <c r="F12" t="s">
        <v>1058</v>
      </c>
      <c r="G12" t="s">
        <v>1059</v>
      </c>
      <c r="H12" t="s">
        <v>1060</v>
      </c>
      <c r="I12" t="s">
        <v>1061</v>
      </c>
      <c r="J12" t="s">
        <v>1062</v>
      </c>
      <c r="K12" t="s">
        <v>1063</v>
      </c>
      <c r="L12" t="s">
        <v>1064</v>
      </c>
      <c r="M12" t="s">
        <v>1065</v>
      </c>
      <c r="N12" t="s">
        <v>1066</v>
      </c>
      <c r="O12" t="s">
        <v>1067</v>
      </c>
    </row>
    <row r="13" spans="1:19">
      <c r="A13" t="s">
        <v>219</v>
      </c>
      <c r="B13" t="s">
        <v>1068</v>
      </c>
      <c r="C13" t="s">
        <v>1069</v>
      </c>
      <c r="D13" t="s">
        <v>1070</v>
      </c>
      <c r="E13" t="s">
        <v>1071</v>
      </c>
      <c r="F13" t="s">
        <v>1072</v>
      </c>
      <c r="G13" t="s">
        <v>1073</v>
      </c>
      <c r="H13" t="s">
        <v>1074</v>
      </c>
      <c r="I13" t="s">
        <v>1075</v>
      </c>
      <c r="J13" t="s">
        <v>1076</v>
      </c>
      <c r="K13" t="s">
        <v>1077</v>
      </c>
      <c r="L13" t="s">
        <v>1078</v>
      </c>
      <c r="M13" t="s">
        <v>1079</v>
      </c>
      <c r="N13" t="s">
        <v>1080</v>
      </c>
      <c r="O13" t="s">
        <v>1081</v>
      </c>
    </row>
    <row r="14" spans="1:19">
      <c r="A14" t="s">
        <v>4</v>
      </c>
      <c r="B14" t="s">
        <v>1082</v>
      </c>
      <c r="C14" t="s">
        <v>1083</v>
      </c>
      <c r="D14" t="s">
        <v>1084</v>
      </c>
      <c r="E14" t="s">
        <v>219</v>
      </c>
      <c r="F14" t="s">
        <v>1085</v>
      </c>
      <c r="G14" t="s">
        <v>1086</v>
      </c>
      <c r="H14" t="s">
        <v>1086</v>
      </c>
      <c r="I14" t="s">
        <v>1087</v>
      </c>
      <c r="J14" t="s">
        <v>1083</v>
      </c>
      <c r="K14" t="s">
        <v>1088</v>
      </c>
      <c r="L14" t="s">
        <v>1089</v>
      </c>
      <c r="M14" t="s">
        <v>1090</v>
      </c>
      <c r="N14" t="s">
        <v>1091</v>
      </c>
      <c r="O14" t="s">
        <v>1092</v>
      </c>
    </row>
    <row r="15" spans="1:19">
      <c r="A15" t="s">
        <v>311</v>
      </c>
      <c r="B15" t="s">
        <v>1093</v>
      </c>
      <c r="C15" t="s">
        <v>4</v>
      </c>
      <c r="D15" t="s">
        <v>4</v>
      </c>
      <c r="E15" t="s">
        <v>4</v>
      </c>
      <c r="F15" t="s">
        <v>4</v>
      </c>
      <c r="G15" t="s">
        <v>1094</v>
      </c>
      <c r="H15" t="s">
        <v>1095</v>
      </c>
      <c r="I15" t="s">
        <v>1096</v>
      </c>
      <c r="J15" t="s">
        <v>4</v>
      </c>
      <c r="K15" t="s">
        <v>4</v>
      </c>
      <c r="L15" t="s">
        <v>1097</v>
      </c>
      <c r="M15" t="s">
        <v>1098</v>
      </c>
      <c r="N15" t="s">
        <v>1099</v>
      </c>
      <c r="O15" t="s">
        <v>1100</v>
      </c>
    </row>
    <row r="16" spans="1:19">
      <c r="A16" t="s">
        <v>332</v>
      </c>
      <c r="B16" t="s">
        <v>1101</v>
      </c>
      <c r="C16" t="s">
        <v>1102</v>
      </c>
      <c r="D16" t="s">
        <v>311</v>
      </c>
      <c r="E16" t="s">
        <v>1103</v>
      </c>
      <c r="F16" t="s">
        <v>1104</v>
      </c>
      <c r="G16" t="s">
        <v>1105</v>
      </c>
      <c r="H16" t="s">
        <v>1106</v>
      </c>
      <c r="I16" t="s">
        <v>1107</v>
      </c>
      <c r="J16" t="s">
        <v>311</v>
      </c>
      <c r="K16" t="s">
        <v>311</v>
      </c>
      <c r="L16" t="s">
        <v>1108</v>
      </c>
      <c r="M16" t="s">
        <v>1109</v>
      </c>
      <c r="N16" t="s">
        <v>1110</v>
      </c>
      <c r="O16" t="s">
        <v>1111</v>
      </c>
    </row>
    <row r="17" spans="1:15">
      <c r="A17" t="s">
        <v>133</v>
      </c>
      <c r="B17" t="s">
        <v>1112</v>
      </c>
      <c r="C17" t="s">
        <v>332</v>
      </c>
      <c r="D17" t="s">
        <v>332</v>
      </c>
      <c r="E17" t="s">
        <v>332</v>
      </c>
      <c r="F17" t="s">
        <v>332</v>
      </c>
      <c r="G17" t="s">
        <v>1113</v>
      </c>
      <c r="H17" t="s">
        <v>1112</v>
      </c>
      <c r="I17" t="s">
        <v>1114</v>
      </c>
      <c r="J17" t="s">
        <v>1115</v>
      </c>
      <c r="K17" t="s">
        <v>1116</v>
      </c>
      <c r="L17" t="s">
        <v>1117</v>
      </c>
      <c r="M17" t="s">
        <v>1118</v>
      </c>
      <c r="N17" t="s">
        <v>1119</v>
      </c>
      <c r="O17" t="s">
        <v>1120</v>
      </c>
    </row>
    <row r="18" spans="1:15">
      <c r="A18" t="s">
        <v>222</v>
      </c>
      <c r="B18" t="s">
        <v>1121</v>
      </c>
      <c r="C18" t="s">
        <v>1122</v>
      </c>
      <c r="D18" t="s">
        <v>1122</v>
      </c>
      <c r="E18" t="s">
        <v>1122</v>
      </c>
      <c r="F18" t="s">
        <v>1122</v>
      </c>
      <c r="G18" t="s">
        <v>1123</v>
      </c>
      <c r="H18" t="s">
        <v>1124</v>
      </c>
      <c r="I18" t="s">
        <v>1122</v>
      </c>
      <c r="J18" t="s">
        <v>1122</v>
      </c>
      <c r="K18" t="s">
        <v>1125</v>
      </c>
      <c r="L18" t="s">
        <v>1126</v>
      </c>
      <c r="M18" t="s">
        <v>1122</v>
      </c>
      <c r="N18" t="s">
        <v>1127</v>
      </c>
      <c r="O18" t="s">
        <v>1128</v>
      </c>
    </row>
    <row r="19" spans="1:15">
      <c r="A19" t="s">
        <v>933</v>
      </c>
      <c r="B19" t="s">
        <v>1129</v>
      </c>
      <c r="C19" t="s">
        <v>1130</v>
      </c>
      <c r="D19" t="s">
        <v>1131</v>
      </c>
      <c r="E19" t="s">
        <v>1132</v>
      </c>
      <c r="F19" t="s">
        <v>1133</v>
      </c>
      <c r="G19" t="s">
        <v>1134</v>
      </c>
      <c r="H19" t="s">
        <v>1135</v>
      </c>
      <c r="I19" t="s">
        <v>222</v>
      </c>
      <c r="J19" t="s">
        <v>222</v>
      </c>
      <c r="K19" t="s">
        <v>222</v>
      </c>
      <c r="L19" t="s">
        <v>1136</v>
      </c>
      <c r="M19" t="s">
        <v>1137</v>
      </c>
      <c r="N19" t="s">
        <v>1138</v>
      </c>
      <c r="O19" t="s">
        <v>1139</v>
      </c>
    </row>
    <row r="20" spans="1:15">
      <c r="A20" t="s">
        <v>931</v>
      </c>
      <c r="B20" t="s">
        <v>1140</v>
      </c>
      <c r="C20" t="s">
        <v>1141</v>
      </c>
      <c r="D20" t="s">
        <v>1142</v>
      </c>
      <c r="E20" t="s">
        <v>1143</v>
      </c>
      <c r="F20" t="s">
        <v>1144</v>
      </c>
      <c r="G20" t="s">
        <v>1145</v>
      </c>
      <c r="H20" t="s">
        <v>1146</v>
      </c>
      <c r="I20" t="s">
        <v>1147</v>
      </c>
      <c r="J20" t="s">
        <v>1148</v>
      </c>
      <c r="K20" t="s">
        <v>1149</v>
      </c>
      <c r="L20" t="s">
        <v>1150</v>
      </c>
      <c r="M20" t="s">
        <v>1151</v>
      </c>
      <c r="N20" t="s">
        <v>1152</v>
      </c>
      <c r="O20" t="s">
        <v>1153</v>
      </c>
    </row>
    <row r="21" spans="1:15">
      <c r="A21" t="s">
        <v>937</v>
      </c>
      <c r="B21" t="s">
        <v>1154</v>
      </c>
      <c r="C21" t="s">
        <v>1155</v>
      </c>
      <c r="D21" t="s">
        <v>1156</v>
      </c>
      <c r="E21" t="s">
        <v>1157</v>
      </c>
      <c r="F21" t="s">
        <v>1158</v>
      </c>
      <c r="G21" t="s">
        <v>1159</v>
      </c>
      <c r="H21" t="s">
        <v>1160</v>
      </c>
      <c r="I21" t="s">
        <v>1161</v>
      </c>
      <c r="J21" t="s">
        <v>1162</v>
      </c>
      <c r="K21" t="s">
        <v>1163</v>
      </c>
      <c r="L21" t="s">
        <v>1164</v>
      </c>
      <c r="M21" t="s">
        <v>1165</v>
      </c>
      <c r="N21" t="s">
        <v>1166</v>
      </c>
      <c r="O21" t="s">
        <v>1167</v>
      </c>
    </row>
    <row r="22" spans="1:15">
      <c r="A22" t="s">
        <v>224</v>
      </c>
      <c r="B22" t="s">
        <v>1168</v>
      </c>
      <c r="C22" t="s">
        <v>1169</v>
      </c>
      <c r="D22" t="s">
        <v>1170</v>
      </c>
      <c r="E22" t="s">
        <v>1171</v>
      </c>
      <c r="F22" t="s">
        <v>1172</v>
      </c>
      <c r="G22" t="s">
        <v>1173</v>
      </c>
      <c r="H22" t="s">
        <v>1174</v>
      </c>
      <c r="I22" t="s">
        <v>1169</v>
      </c>
      <c r="J22" t="s">
        <v>1175</v>
      </c>
      <c r="K22" t="s">
        <v>1176</v>
      </c>
      <c r="L22" t="s">
        <v>1177</v>
      </c>
      <c r="M22" t="s">
        <v>1178</v>
      </c>
      <c r="N22" t="s">
        <v>1179</v>
      </c>
      <c r="O22" t="s">
        <v>1180</v>
      </c>
    </row>
    <row r="23" spans="1:15">
      <c r="A23" t="s">
        <v>935</v>
      </c>
      <c r="B23" t="s">
        <v>1181</v>
      </c>
      <c r="C23" t="s">
        <v>1182</v>
      </c>
      <c r="D23" t="s">
        <v>1183</v>
      </c>
      <c r="E23" t="s">
        <v>1183</v>
      </c>
      <c r="F23" t="s">
        <v>1184</v>
      </c>
      <c r="G23" t="s">
        <v>1185</v>
      </c>
      <c r="H23" t="s">
        <v>1186</v>
      </c>
      <c r="I23" t="s">
        <v>1187</v>
      </c>
      <c r="J23" t="s">
        <v>1188</v>
      </c>
      <c r="K23" t="s">
        <v>1183</v>
      </c>
      <c r="L23" t="s">
        <v>1189</v>
      </c>
      <c r="M23" t="s">
        <v>1190</v>
      </c>
      <c r="N23" t="s">
        <v>1191</v>
      </c>
      <c r="O23" t="s">
        <v>1192</v>
      </c>
    </row>
    <row r="24" spans="1:15">
      <c r="A24" t="s">
        <v>41</v>
      </c>
      <c r="B24" t="s">
        <v>1193</v>
      </c>
      <c r="C24" t="s">
        <v>935</v>
      </c>
      <c r="D24" t="s">
        <v>935</v>
      </c>
      <c r="E24" t="s">
        <v>935</v>
      </c>
      <c r="F24" t="s">
        <v>935</v>
      </c>
      <c r="G24" t="s">
        <v>935</v>
      </c>
      <c r="H24" t="s">
        <v>935</v>
      </c>
      <c r="I24" t="s">
        <v>935</v>
      </c>
      <c r="J24" t="s">
        <v>935</v>
      </c>
      <c r="K24" t="s">
        <v>935</v>
      </c>
      <c r="L24" t="s">
        <v>935</v>
      </c>
      <c r="M24" t="s">
        <v>1194</v>
      </c>
      <c r="N24" t="s">
        <v>1195</v>
      </c>
      <c r="O24" t="s">
        <v>1196</v>
      </c>
    </row>
    <row r="25" spans="1:15">
      <c r="A25" t="s">
        <v>658</v>
      </c>
      <c r="B25" t="s">
        <v>878</v>
      </c>
      <c r="C25" t="s">
        <v>894</v>
      </c>
      <c r="D25" t="s">
        <v>920</v>
      </c>
      <c r="E25" t="s">
        <v>894</v>
      </c>
      <c r="F25" t="s">
        <v>1197</v>
      </c>
      <c r="G25" t="s">
        <v>1198</v>
      </c>
      <c r="H25" t="s">
        <v>1199</v>
      </c>
      <c r="I25" t="s">
        <v>906</v>
      </c>
      <c r="J25" t="s">
        <v>1200</v>
      </c>
      <c r="K25" t="s">
        <v>1200</v>
      </c>
      <c r="L25" t="s">
        <v>894</v>
      </c>
      <c r="M25" t="s">
        <v>1201</v>
      </c>
      <c r="N25" t="s">
        <v>1202</v>
      </c>
      <c r="O25" t="s">
        <v>1203</v>
      </c>
    </row>
    <row r="26" spans="1:15">
      <c r="A26" t="s">
        <v>293</v>
      </c>
      <c r="B26" t="s">
        <v>1204</v>
      </c>
      <c r="C26" t="s">
        <v>1205</v>
      </c>
      <c r="D26" t="s">
        <v>1206</v>
      </c>
      <c r="E26" t="s">
        <v>1207</v>
      </c>
      <c r="F26" t="s">
        <v>1208</v>
      </c>
      <c r="G26" t="s">
        <v>1209</v>
      </c>
      <c r="H26" t="s">
        <v>1210</v>
      </c>
      <c r="I26" t="s">
        <v>1211</v>
      </c>
      <c r="J26" t="s">
        <v>1212</v>
      </c>
      <c r="K26" t="s">
        <v>1213</v>
      </c>
      <c r="L26" t="s">
        <v>1214</v>
      </c>
      <c r="M26" t="s">
        <v>1215</v>
      </c>
      <c r="N26" t="s">
        <v>1216</v>
      </c>
      <c r="O26" t="s">
        <v>1217</v>
      </c>
    </row>
    <row r="27" spans="1:15">
      <c r="A27" t="s">
        <v>159</v>
      </c>
      <c r="B27" t="s">
        <v>1218</v>
      </c>
      <c r="C27" t="s">
        <v>1219</v>
      </c>
      <c r="D27" t="s">
        <v>1220</v>
      </c>
      <c r="E27" t="s">
        <v>1219</v>
      </c>
      <c r="F27" t="s">
        <v>1221</v>
      </c>
      <c r="G27" t="s">
        <v>1222</v>
      </c>
      <c r="H27" t="s">
        <v>1223</v>
      </c>
      <c r="I27" t="s">
        <v>1224</v>
      </c>
      <c r="J27" t="s">
        <v>293</v>
      </c>
      <c r="K27" t="s">
        <v>293</v>
      </c>
      <c r="L27" t="s">
        <v>1225</v>
      </c>
      <c r="M27" t="s">
        <v>1226</v>
      </c>
      <c r="N27" t="s">
        <v>1227</v>
      </c>
      <c r="O27" t="s">
        <v>1228</v>
      </c>
    </row>
    <row r="28" spans="1:15">
      <c r="A28" t="s">
        <v>156</v>
      </c>
      <c r="B28" t="s">
        <v>1229</v>
      </c>
      <c r="C28" t="s">
        <v>1230</v>
      </c>
      <c r="D28" t="s">
        <v>1231</v>
      </c>
      <c r="E28" t="s">
        <v>1232</v>
      </c>
      <c r="F28" t="s">
        <v>1233</v>
      </c>
      <c r="G28" t="s">
        <v>1234</v>
      </c>
      <c r="H28" t="s">
        <v>1229</v>
      </c>
      <c r="I28" t="s">
        <v>1235</v>
      </c>
      <c r="J28" t="s">
        <v>1236</v>
      </c>
      <c r="K28" t="s">
        <v>1237</v>
      </c>
      <c r="L28" t="s">
        <v>1238</v>
      </c>
      <c r="M28" t="s">
        <v>1239</v>
      </c>
      <c r="N28" t="s">
        <v>1240</v>
      </c>
      <c r="O28" t="s">
        <v>1240</v>
      </c>
    </row>
    <row r="29" spans="1:15">
      <c r="A29" t="s">
        <v>1255</v>
      </c>
      <c r="B29" t="s">
        <v>1241</v>
      </c>
      <c r="C29" t="s">
        <v>1242</v>
      </c>
      <c r="D29" t="s">
        <v>1243</v>
      </c>
      <c r="E29" t="s">
        <v>1244</v>
      </c>
      <c r="F29" t="s">
        <v>1245</v>
      </c>
      <c r="G29" t="s">
        <v>1246</v>
      </c>
      <c r="H29" t="s">
        <v>1247</v>
      </c>
      <c r="I29" t="s">
        <v>1248</v>
      </c>
      <c r="J29" t="s">
        <v>1249</v>
      </c>
      <c r="K29" t="s">
        <v>1250</v>
      </c>
      <c r="L29" t="s">
        <v>1251</v>
      </c>
      <c r="M29" t="s">
        <v>1252</v>
      </c>
      <c r="N29" t="s">
        <v>1253</v>
      </c>
      <c r="O29" t="s">
        <v>1254</v>
      </c>
    </row>
    <row r="30" spans="1:15">
      <c r="A30" t="s">
        <v>1267</v>
      </c>
      <c r="B30" t="s">
        <v>1256</v>
      </c>
      <c r="C30" t="s">
        <v>1257</v>
      </c>
      <c r="D30" t="s">
        <v>1255</v>
      </c>
      <c r="E30" t="s">
        <v>1255</v>
      </c>
      <c r="F30" t="s">
        <v>1258</v>
      </c>
      <c r="G30" t="s">
        <v>1259</v>
      </c>
      <c r="H30" t="s">
        <v>1255</v>
      </c>
      <c r="I30" t="s">
        <v>1260</v>
      </c>
      <c r="J30" t="s">
        <v>1261</v>
      </c>
      <c r="K30" t="s">
        <v>1262</v>
      </c>
      <c r="L30" t="s">
        <v>1263</v>
      </c>
      <c r="M30" t="s">
        <v>1264</v>
      </c>
      <c r="N30" t="s">
        <v>1265</v>
      </c>
      <c r="O30" t="s">
        <v>1266</v>
      </c>
    </row>
    <row r="31" spans="1:15">
      <c r="A31" t="s">
        <v>651</v>
      </c>
      <c r="B31" t="s">
        <v>1268</v>
      </c>
      <c r="C31" t="s">
        <v>1269</v>
      </c>
      <c r="D31" t="s">
        <v>1267</v>
      </c>
      <c r="E31" t="s">
        <v>1267</v>
      </c>
      <c r="F31" t="s">
        <v>1270</v>
      </c>
      <c r="G31" t="s">
        <v>1271</v>
      </c>
      <c r="H31" t="s">
        <v>1267</v>
      </c>
      <c r="I31" t="s">
        <v>1272</v>
      </c>
      <c r="J31" t="s">
        <v>1273</v>
      </c>
      <c r="K31" t="s">
        <v>1274</v>
      </c>
      <c r="L31" t="s">
        <v>1275</v>
      </c>
      <c r="M31" t="s">
        <v>1276</v>
      </c>
      <c r="N31" t="s">
        <v>1277</v>
      </c>
      <c r="O31" t="s">
        <v>1278</v>
      </c>
    </row>
    <row r="32" spans="1:15">
      <c r="A32" t="s">
        <v>413</v>
      </c>
      <c r="B32" t="s">
        <v>871</v>
      </c>
      <c r="C32" t="s">
        <v>1279</v>
      </c>
      <c r="D32" t="s">
        <v>915</v>
      </c>
      <c r="E32" t="s">
        <v>888</v>
      </c>
      <c r="F32" t="s">
        <v>1280</v>
      </c>
      <c r="G32" t="s">
        <v>1281</v>
      </c>
      <c r="H32" t="s">
        <v>1282</v>
      </c>
      <c r="I32" t="s">
        <v>900</v>
      </c>
      <c r="J32" t="s">
        <v>1283</v>
      </c>
      <c r="K32" t="s">
        <v>1284</v>
      </c>
      <c r="L32" t="s">
        <v>1285</v>
      </c>
      <c r="M32" t="s">
        <v>1286</v>
      </c>
      <c r="N32" t="s">
        <v>1287</v>
      </c>
      <c r="O32" t="s">
        <v>1288</v>
      </c>
    </row>
    <row r="33" spans="1:15">
      <c r="A33" t="s">
        <v>184</v>
      </c>
      <c r="B33" t="s">
        <v>1289</v>
      </c>
      <c r="C33" t="s">
        <v>1290</v>
      </c>
      <c r="D33" t="s">
        <v>1291</v>
      </c>
      <c r="E33" t="s">
        <v>1292</v>
      </c>
      <c r="F33" t="s">
        <v>1293</v>
      </c>
      <c r="G33" t="s">
        <v>1294</v>
      </c>
      <c r="H33" t="s">
        <v>1295</v>
      </c>
      <c r="I33" t="s">
        <v>1296</v>
      </c>
      <c r="J33" t="s">
        <v>1297</v>
      </c>
      <c r="K33" t="s">
        <v>1298</v>
      </c>
      <c r="L33" t="s">
        <v>1299</v>
      </c>
      <c r="M33" t="s">
        <v>1300</v>
      </c>
      <c r="N33" t="s">
        <v>1301</v>
      </c>
      <c r="O33" t="s">
        <v>1302</v>
      </c>
    </row>
    <row r="34" spans="1:15">
      <c r="A34" t="s">
        <v>288</v>
      </c>
      <c r="B34" t="s">
        <v>1303</v>
      </c>
      <c r="C34" t="s">
        <v>1304</v>
      </c>
      <c r="D34" t="s">
        <v>1305</v>
      </c>
      <c r="E34" t="s">
        <v>1306</v>
      </c>
      <c r="F34" t="s">
        <v>1307</v>
      </c>
      <c r="G34" t="s">
        <v>1308</v>
      </c>
      <c r="H34" t="s">
        <v>1309</v>
      </c>
      <c r="I34" t="s">
        <v>1310</v>
      </c>
      <c r="J34" t="s">
        <v>1311</v>
      </c>
      <c r="K34" t="s">
        <v>1312</v>
      </c>
      <c r="L34" t="s">
        <v>1313</v>
      </c>
      <c r="M34" t="s">
        <v>1314</v>
      </c>
      <c r="N34" t="s">
        <v>1315</v>
      </c>
      <c r="O34" t="s">
        <v>1316</v>
      </c>
    </row>
    <row r="35" spans="1:15">
      <c r="A35" t="s">
        <v>169</v>
      </c>
      <c r="B35" t="s">
        <v>1317</v>
      </c>
      <c r="C35" t="s">
        <v>288</v>
      </c>
      <c r="D35" t="s">
        <v>288</v>
      </c>
      <c r="E35" t="s">
        <v>288</v>
      </c>
      <c r="F35" t="s">
        <v>288</v>
      </c>
      <c r="G35" t="s">
        <v>1318</v>
      </c>
      <c r="H35" t="s">
        <v>1318</v>
      </c>
      <c r="I35" t="s">
        <v>288</v>
      </c>
      <c r="J35" t="s">
        <v>1319</v>
      </c>
      <c r="K35" t="s">
        <v>1320</v>
      </c>
      <c r="L35" t="s">
        <v>1321</v>
      </c>
      <c r="M35" t="s">
        <v>1322</v>
      </c>
      <c r="N35" t="s">
        <v>1323</v>
      </c>
      <c r="O35" t="s">
        <v>288</v>
      </c>
    </row>
    <row r="36" spans="1:15">
      <c r="A36" t="s">
        <v>482</v>
      </c>
      <c r="B36" t="s">
        <v>1324</v>
      </c>
      <c r="C36" t="s">
        <v>169</v>
      </c>
      <c r="D36" t="s">
        <v>169</v>
      </c>
      <c r="E36" t="s">
        <v>169</v>
      </c>
      <c r="F36" t="s">
        <v>169</v>
      </c>
      <c r="G36" t="s">
        <v>169</v>
      </c>
      <c r="H36" t="s">
        <v>169</v>
      </c>
      <c r="I36" t="s">
        <v>1325</v>
      </c>
      <c r="J36" t="s">
        <v>1325</v>
      </c>
      <c r="K36" t="s">
        <v>169</v>
      </c>
      <c r="L36" t="s">
        <v>1325</v>
      </c>
      <c r="M36" t="s">
        <v>169</v>
      </c>
      <c r="N36" t="s">
        <v>1326</v>
      </c>
      <c r="O36" t="s">
        <v>169</v>
      </c>
    </row>
    <row r="37" spans="1:15">
      <c r="A37" t="s">
        <v>5</v>
      </c>
      <c r="B37" t="s">
        <v>1327</v>
      </c>
      <c r="C37" t="s">
        <v>1328</v>
      </c>
      <c r="D37" t="s">
        <v>1329</v>
      </c>
      <c r="E37" t="s">
        <v>482</v>
      </c>
      <c r="F37" t="s">
        <v>1330</v>
      </c>
      <c r="G37" t="s">
        <v>1331</v>
      </c>
      <c r="H37" t="s">
        <v>1332</v>
      </c>
      <c r="I37" t="s">
        <v>1333</v>
      </c>
      <c r="J37" t="s">
        <v>1334</v>
      </c>
      <c r="K37" t="s">
        <v>1335</v>
      </c>
      <c r="L37" t="s">
        <v>1336</v>
      </c>
      <c r="M37" t="s">
        <v>1337</v>
      </c>
      <c r="N37" t="s">
        <v>1338</v>
      </c>
      <c r="O37" t="s">
        <v>1339</v>
      </c>
    </row>
    <row r="38" spans="1:15">
      <c r="A38" t="s">
        <v>100</v>
      </c>
      <c r="B38" t="s">
        <v>882</v>
      </c>
      <c r="C38" t="s">
        <v>1340</v>
      </c>
      <c r="D38" t="s">
        <v>923</v>
      </c>
      <c r="E38" t="s">
        <v>896</v>
      </c>
      <c r="F38" t="s">
        <v>1341</v>
      </c>
      <c r="G38" t="s">
        <v>1342</v>
      </c>
      <c r="H38" t="s">
        <v>1343</v>
      </c>
      <c r="I38" t="s">
        <v>908</v>
      </c>
      <c r="J38" t="s">
        <v>1344</v>
      </c>
      <c r="K38" t="s">
        <v>1345</v>
      </c>
      <c r="L38" t="s">
        <v>1346</v>
      </c>
      <c r="M38" t="s">
        <v>1347</v>
      </c>
      <c r="N38" t="s">
        <v>1348</v>
      </c>
      <c r="O38" t="s">
        <v>1349</v>
      </c>
    </row>
    <row r="39" spans="1:15">
      <c r="A39" t="s">
        <v>229</v>
      </c>
      <c r="B39" t="s">
        <v>1350</v>
      </c>
      <c r="C39" t="s">
        <v>1351</v>
      </c>
      <c r="D39" t="s">
        <v>1352</v>
      </c>
      <c r="E39" t="s">
        <v>1353</v>
      </c>
      <c r="F39" t="s">
        <v>1354</v>
      </c>
      <c r="G39" t="s">
        <v>1355</v>
      </c>
      <c r="H39" t="s">
        <v>1356</v>
      </c>
      <c r="I39" t="s">
        <v>1357</v>
      </c>
      <c r="J39" t="s">
        <v>1358</v>
      </c>
      <c r="K39" t="s">
        <v>1359</v>
      </c>
      <c r="L39" t="s">
        <v>1360</v>
      </c>
      <c r="M39" t="s">
        <v>1361</v>
      </c>
      <c r="N39" t="s">
        <v>1362</v>
      </c>
      <c r="O39" t="s">
        <v>1363</v>
      </c>
    </row>
    <row r="40" spans="1:15">
      <c r="A40" t="s">
        <v>347</v>
      </c>
      <c r="B40" t="s">
        <v>1364</v>
      </c>
      <c r="C40" t="s">
        <v>1365</v>
      </c>
      <c r="D40" t="s">
        <v>1366</v>
      </c>
      <c r="E40" t="s">
        <v>1367</v>
      </c>
      <c r="F40" t="s">
        <v>1368</v>
      </c>
      <c r="G40" t="s">
        <v>1369</v>
      </c>
      <c r="H40" t="s">
        <v>1370</v>
      </c>
      <c r="I40" t="s">
        <v>1371</v>
      </c>
      <c r="J40" t="s">
        <v>1372</v>
      </c>
      <c r="K40" t="s">
        <v>1373</v>
      </c>
      <c r="L40" t="s">
        <v>1374</v>
      </c>
      <c r="M40" t="s">
        <v>1375</v>
      </c>
      <c r="N40" t="s">
        <v>1376</v>
      </c>
      <c r="O40" t="s">
        <v>1377</v>
      </c>
    </row>
    <row r="41" spans="1:15">
      <c r="A41" t="s">
        <v>217</v>
      </c>
      <c r="B41" t="s">
        <v>1378</v>
      </c>
      <c r="C41" t="s">
        <v>1379</v>
      </c>
      <c r="D41" t="s">
        <v>347</v>
      </c>
      <c r="E41" t="s">
        <v>347</v>
      </c>
      <c r="F41" t="s">
        <v>1380</v>
      </c>
      <c r="G41" t="s">
        <v>1381</v>
      </c>
      <c r="H41" t="s">
        <v>1382</v>
      </c>
      <c r="I41" t="s">
        <v>1383</v>
      </c>
      <c r="J41" t="s">
        <v>1344</v>
      </c>
      <c r="K41" t="s">
        <v>1384</v>
      </c>
      <c r="L41" t="s">
        <v>1385</v>
      </c>
      <c r="M41" t="s">
        <v>1386</v>
      </c>
      <c r="N41" t="s">
        <v>1387</v>
      </c>
      <c r="O41" t="s">
        <v>1388</v>
      </c>
    </row>
    <row r="42" spans="1:15">
      <c r="A42" t="s">
        <v>25</v>
      </c>
      <c r="B42" t="s">
        <v>1389</v>
      </c>
      <c r="C42" t="s">
        <v>1390</v>
      </c>
      <c r="D42" t="s">
        <v>1391</v>
      </c>
      <c r="E42" t="s">
        <v>1392</v>
      </c>
      <c r="F42" t="s">
        <v>1393</v>
      </c>
      <c r="G42" t="s">
        <v>1394</v>
      </c>
      <c r="H42" t="s">
        <v>1395</v>
      </c>
      <c r="I42" t="s">
        <v>1390</v>
      </c>
      <c r="J42" t="s">
        <v>1396</v>
      </c>
      <c r="K42" t="s">
        <v>1397</v>
      </c>
      <c r="L42" t="s">
        <v>1398</v>
      </c>
      <c r="M42" t="s">
        <v>1399</v>
      </c>
      <c r="N42" t="s">
        <v>1400</v>
      </c>
      <c r="O42" t="s">
        <v>1401</v>
      </c>
    </row>
    <row r="43" spans="1:15">
      <c r="A43" t="s">
        <v>400</v>
      </c>
      <c r="B43" t="s">
        <v>1402</v>
      </c>
      <c r="C43" t="s">
        <v>1403</v>
      </c>
      <c r="D43" t="s">
        <v>1404</v>
      </c>
      <c r="E43" t="s">
        <v>1405</v>
      </c>
      <c r="F43" t="s">
        <v>1406</v>
      </c>
      <c r="G43" t="s">
        <v>1407</v>
      </c>
      <c r="H43" t="s">
        <v>1408</v>
      </c>
      <c r="I43" t="s">
        <v>1409</v>
      </c>
      <c r="J43" t="s">
        <v>25</v>
      </c>
      <c r="K43" t="s">
        <v>1410</v>
      </c>
      <c r="L43" t="s">
        <v>1409</v>
      </c>
      <c r="M43" t="s">
        <v>1411</v>
      </c>
      <c r="N43" t="s">
        <v>1412</v>
      </c>
      <c r="O43" t="s">
        <v>1413</v>
      </c>
    </row>
    <row r="44" spans="1:15">
      <c r="A44" t="s">
        <v>429</v>
      </c>
      <c r="B44" t="s">
        <v>1414</v>
      </c>
      <c r="C44" t="s">
        <v>400</v>
      </c>
      <c r="D44" t="s">
        <v>1415</v>
      </c>
      <c r="E44" t="s">
        <v>400</v>
      </c>
      <c r="F44" t="s">
        <v>400</v>
      </c>
      <c r="G44" t="s">
        <v>1416</v>
      </c>
      <c r="H44" t="s">
        <v>1417</v>
      </c>
      <c r="I44" t="s">
        <v>400</v>
      </c>
      <c r="J44" t="s">
        <v>1418</v>
      </c>
      <c r="K44" t="s">
        <v>400</v>
      </c>
      <c r="L44" t="s">
        <v>1419</v>
      </c>
      <c r="M44" t="s">
        <v>1420</v>
      </c>
      <c r="N44" t="s">
        <v>1421</v>
      </c>
      <c r="O44" t="s">
        <v>1422</v>
      </c>
    </row>
    <row r="45" spans="1:15">
      <c r="A45" t="s">
        <v>145</v>
      </c>
      <c r="B45" t="s">
        <v>1423</v>
      </c>
      <c r="C45" t="s">
        <v>1424</v>
      </c>
      <c r="D45" t="s">
        <v>1425</v>
      </c>
      <c r="E45" t="s">
        <v>1426</v>
      </c>
      <c r="F45" t="s">
        <v>1427</v>
      </c>
      <c r="G45" t="s">
        <v>1428</v>
      </c>
      <c r="H45" t="s">
        <v>1429</v>
      </c>
      <c r="I45" t="s">
        <v>1430</v>
      </c>
      <c r="J45" t="s">
        <v>1431</v>
      </c>
      <c r="K45" t="s">
        <v>1432</v>
      </c>
      <c r="L45" t="s">
        <v>1433</v>
      </c>
      <c r="M45" t="s">
        <v>1434</v>
      </c>
      <c r="N45" t="s">
        <v>1435</v>
      </c>
      <c r="O45" t="s">
        <v>1436</v>
      </c>
    </row>
    <row r="46" spans="1:15">
      <c r="A46" t="s">
        <v>104</v>
      </c>
      <c r="B46" t="s">
        <v>1437</v>
      </c>
      <c r="C46" t="s">
        <v>1438</v>
      </c>
      <c r="D46" t="s">
        <v>145</v>
      </c>
      <c r="E46" t="s">
        <v>145</v>
      </c>
      <c r="F46" t="s">
        <v>1439</v>
      </c>
      <c r="G46" t="s">
        <v>145</v>
      </c>
      <c r="H46" t="s">
        <v>145</v>
      </c>
      <c r="I46" t="s">
        <v>145</v>
      </c>
      <c r="J46" t="s">
        <v>1440</v>
      </c>
      <c r="K46" t="s">
        <v>1441</v>
      </c>
      <c r="L46" t="s">
        <v>1442</v>
      </c>
      <c r="M46" t="s">
        <v>1443</v>
      </c>
      <c r="N46" t="s">
        <v>1444</v>
      </c>
      <c r="O46" t="s">
        <v>1445</v>
      </c>
    </row>
    <row r="47" spans="1:15">
      <c r="A47" t="s">
        <v>144</v>
      </c>
      <c r="B47" t="s">
        <v>1446</v>
      </c>
      <c r="C47" t="s">
        <v>1447</v>
      </c>
      <c r="D47" t="s">
        <v>1448</v>
      </c>
      <c r="E47" t="s">
        <v>1449</v>
      </c>
      <c r="F47" t="s">
        <v>1450</v>
      </c>
      <c r="G47" t="s">
        <v>1451</v>
      </c>
      <c r="H47" t="s">
        <v>1452</v>
      </c>
      <c r="I47" t="s">
        <v>1453</v>
      </c>
      <c r="J47" t="s">
        <v>1453</v>
      </c>
      <c r="K47" t="s">
        <v>1454</v>
      </c>
      <c r="L47" t="s">
        <v>1455</v>
      </c>
      <c r="M47" t="s">
        <v>1456</v>
      </c>
      <c r="N47" t="s">
        <v>1457</v>
      </c>
      <c r="O47" t="s">
        <v>1458</v>
      </c>
    </row>
    <row r="48" spans="1:15">
      <c r="A48" t="s">
        <v>578</v>
      </c>
      <c r="B48" t="s">
        <v>1459</v>
      </c>
      <c r="C48" t="s">
        <v>1460</v>
      </c>
      <c r="D48" t="s">
        <v>144</v>
      </c>
      <c r="E48" t="s">
        <v>144</v>
      </c>
      <c r="F48" t="s">
        <v>144</v>
      </c>
      <c r="G48" t="s">
        <v>144</v>
      </c>
      <c r="H48" t="s">
        <v>144</v>
      </c>
      <c r="I48" t="s">
        <v>144</v>
      </c>
      <c r="J48" t="s">
        <v>144</v>
      </c>
      <c r="K48" t="s">
        <v>144</v>
      </c>
      <c r="L48" t="s">
        <v>1461</v>
      </c>
      <c r="M48" t="s">
        <v>1462</v>
      </c>
      <c r="N48" t="s">
        <v>1463</v>
      </c>
      <c r="O48" t="s">
        <v>1464</v>
      </c>
    </row>
    <row r="49" spans="1:15">
      <c r="A49" t="s">
        <v>1478</v>
      </c>
      <c r="B49" t="s">
        <v>1465</v>
      </c>
      <c r="C49" t="s">
        <v>1466</v>
      </c>
      <c r="D49" t="s">
        <v>1467</v>
      </c>
      <c r="E49" t="s">
        <v>1468</v>
      </c>
      <c r="F49" t="s">
        <v>1469</v>
      </c>
      <c r="G49" t="s">
        <v>1470</v>
      </c>
      <c r="H49" t="s">
        <v>1471</v>
      </c>
      <c r="I49" t="s">
        <v>1472</v>
      </c>
      <c r="J49" t="s">
        <v>1473</v>
      </c>
      <c r="K49" t="s">
        <v>1474</v>
      </c>
      <c r="L49" t="s">
        <v>1475</v>
      </c>
      <c r="M49" t="s">
        <v>1476</v>
      </c>
      <c r="N49" t="s">
        <v>1477</v>
      </c>
      <c r="O49" t="s">
        <v>1477</v>
      </c>
    </row>
    <row r="50" spans="1:15">
      <c r="A50" t="s">
        <v>1489</v>
      </c>
      <c r="B50" t="s">
        <v>1479</v>
      </c>
      <c r="C50" t="s">
        <v>1480</v>
      </c>
      <c r="D50" t="s">
        <v>1478</v>
      </c>
      <c r="E50" t="s">
        <v>1481</v>
      </c>
      <c r="F50" t="s">
        <v>1482</v>
      </c>
      <c r="G50" t="s">
        <v>1483</v>
      </c>
      <c r="H50" t="s">
        <v>1484</v>
      </c>
      <c r="I50" t="s">
        <v>1478</v>
      </c>
      <c r="J50" t="s">
        <v>1478</v>
      </c>
      <c r="K50" t="s">
        <v>1485</v>
      </c>
      <c r="L50" t="s">
        <v>1478</v>
      </c>
      <c r="M50" t="s">
        <v>1486</v>
      </c>
      <c r="N50" t="s">
        <v>1487</v>
      </c>
      <c r="O50" t="s">
        <v>1488</v>
      </c>
    </row>
    <row r="51" spans="1:15">
      <c r="A51" t="s">
        <v>1502</v>
      </c>
      <c r="B51" t="s">
        <v>1490</v>
      </c>
      <c r="C51" t="s">
        <v>1491</v>
      </c>
      <c r="D51" t="s">
        <v>1492</v>
      </c>
      <c r="E51" t="s">
        <v>1493</v>
      </c>
      <c r="F51" t="s">
        <v>1494</v>
      </c>
      <c r="G51" t="s">
        <v>1495</v>
      </c>
      <c r="H51" t="s">
        <v>1496</v>
      </c>
      <c r="I51" t="s">
        <v>1489</v>
      </c>
      <c r="J51" t="s">
        <v>1497</v>
      </c>
      <c r="K51" t="s">
        <v>1489</v>
      </c>
      <c r="L51" t="s">
        <v>1498</v>
      </c>
      <c r="M51" t="s">
        <v>1499</v>
      </c>
      <c r="N51" t="s">
        <v>1500</v>
      </c>
      <c r="O51" t="s">
        <v>1501</v>
      </c>
    </row>
    <row r="52" spans="1:15">
      <c r="A52" t="s">
        <v>1513</v>
      </c>
      <c r="B52" t="s">
        <v>1503</v>
      </c>
      <c r="C52" t="s">
        <v>1504</v>
      </c>
      <c r="D52" t="s">
        <v>1502</v>
      </c>
      <c r="E52" t="s">
        <v>1505</v>
      </c>
      <c r="F52" t="s">
        <v>1506</v>
      </c>
      <c r="G52" t="s">
        <v>1507</v>
      </c>
      <c r="H52" t="s">
        <v>1508</v>
      </c>
      <c r="I52" t="s">
        <v>1502</v>
      </c>
      <c r="J52" t="s">
        <v>1502</v>
      </c>
      <c r="K52" t="s">
        <v>1509</v>
      </c>
      <c r="L52" t="s">
        <v>1502</v>
      </c>
      <c r="M52" t="s">
        <v>1510</v>
      </c>
      <c r="N52" t="s">
        <v>1511</v>
      </c>
      <c r="O52" t="s">
        <v>1512</v>
      </c>
    </row>
    <row r="53" spans="1:15">
      <c r="A53" t="s">
        <v>166</v>
      </c>
      <c r="B53" t="s">
        <v>1514</v>
      </c>
      <c r="C53" t="s">
        <v>1515</v>
      </c>
      <c r="D53" t="s">
        <v>1516</v>
      </c>
      <c r="E53" t="s">
        <v>1517</v>
      </c>
      <c r="F53" t="s">
        <v>1518</v>
      </c>
      <c r="G53" t="s">
        <v>1519</v>
      </c>
      <c r="H53" t="s">
        <v>1520</v>
      </c>
      <c r="I53" t="s">
        <v>1513</v>
      </c>
      <c r="J53" t="s">
        <v>1513</v>
      </c>
      <c r="K53" t="s">
        <v>1521</v>
      </c>
      <c r="L53" t="s">
        <v>1522</v>
      </c>
      <c r="M53" t="s">
        <v>1523</v>
      </c>
      <c r="N53" t="s">
        <v>1524</v>
      </c>
      <c r="O53" t="s">
        <v>1525</v>
      </c>
    </row>
    <row r="54" spans="1:15">
      <c r="A54" t="s">
        <v>495</v>
      </c>
      <c r="B54" t="s">
        <v>1526</v>
      </c>
      <c r="C54" t="s">
        <v>1527</v>
      </c>
      <c r="D54" t="s">
        <v>1528</v>
      </c>
      <c r="E54" t="s">
        <v>166</v>
      </c>
      <c r="F54" t="s">
        <v>1529</v>
      </c>
      <c r="G54" t="s">
        <v>1530</v>
      </c>
      <c r="H54" t="s">
        <v>1531</v>
      </c>
      <c r="I54" t="s">
        <v>1532</v>
      </c>
      <c r="J54" t="s">
        <v>166</v>
      </c>
      <c r="K54" t="s">
        <v>166</v>
      </c>
      <c r="L54" t="s">
        <v>166</v>
      </c>
      <c r="M54" t="s">
        <v>1533</v>
      </c>
      <c r="N54" t="s">
        <v>1534</v>
      </c>
      <c r="O54" t="s">
        <v>1535</v>
      </c>
    </row>
    <row r="55" spans="1:15">
      <c r="A55" t="s">
        <v>439</v>
      </c>
      <c r="B55" t="s">
        <v>1536</v>
      </c>
      <c r="C55" t="s">
        <v>1537</v>
      </c>
      <c r="D55" t="s">
        <v>1538</v>
      </c>
      <c r="E55" t="s">
        <v>495</v>
      </c>
      <c r="F55" t="s">
        <v>1539</v>
      </c>
      <c r="G55" t="s">
        <v>1540</v>
      </c>
      <c r="H55" t="s">
        <v>1541</v>
      </c>
      <c r="I55" t="s">
        <v>1542</v>
      </c>
      <c r="J55" t="s">
        <v>1543</v>
      </c>
      <c r="K55" t="s">
        <v>1544</v>
      </c>
      <c r="L55" t="s">
        <v>1545</v>
      </c>
      <c r="M55" t="s">
        <v>1546</v>
      </c>
      <c r="N55" t="s">
        <v>1547</v>
      </c>
      <c r="O55" t="s">
        <v>1548</v>
      </c>
    </row>
    <row r="56" spans="1:15">
      <c r="A56" t="s">
        <v>457</v>
      </c>
      <c r="B56" t="s">
        <v>1549</v>
      </c>
      <c r="C56" t="s">
        <v>1550</v>
      </c>
      <c r="D56" t="s">
        <v>1551</v>
      </c>
      <c r="E56" t="s">
        <v>1552</v>
      </c>
      <c r="F56" t="s">
        <v>1553</v>
      </c>
      <c r="G56" t="s">
        <v>1554</v>
      </c>
      <c r="H56" t="s">
        <v>1555</v>
      </c>
      <c r="I56" t="s">
        <v>1556</v>
      </c>
      <c r="J56" t="s">
        <v>1557</v>
      </c>
      <c r="K56" t="s">
        <v>1558</v>
      </c>
      <c r="L56" t="s">
        <v>1559</v>
      </c>
      <c r="M56" t="s">
        <v>1560</v>
      </c>
      <c r="N56" t="s">
        <v>1561</v>
      </c>
      <c r="O56" t="s">
        <v>1561</v>
      </c>
    </row>
    <row r="57" spans="1:15">
      <c r="A57" t="s">
        <v>381</v>
      </c>
      <c r="B57" t="s">
        <v>1562</v>
      </c>
      <c r="C57" t="s">
        <v>1563</v>
      </c>
      <c r="D57" t="s">
        <v>1564</v>
      </c>
      <c r="E57" t="s">
        <v>1565</v>
      </c>
      <c r="F57" t="s">
        <v>1566</v>
      </c>
      <c r="G57" t="s">
        <v>1567</v>
      </c>
      <c r="H57" t="s">
        <v>1568</v>
      </c>
      <c r="I57" t="s">
        <v>1569</v>
      </c>
      <c r="J57" t="s">
        <v>1570</v>
      </c>
      <c r="K57" t="s">
        <v>1571</v>
      </c>
      <c r="L57" t="s">
        <v>1572</v>
      </c>
      <c r="M57" t="s">
        <v>1573</v>
      </c>
      <c r="N57" t="s">
        <v>1574</v>
      </c>
      <c r="O57" t="s">
        <v>1575</v>
      </c>
    </row>
    <row r="58" spans="1:15">
      <c r="A58" t="s">
        <v>380</v>
      </c>
      <c r="B58" t="s">
        <v>1576</v>
      </c>
      <c r="C58" t="s">
        <v>1577</v>
      </c>
      <c r="D58" t="s">
        <v>381</v>
      </c>
      <c r="E58" t="s">
        <v>381</v>
      </c>
      <c r="F58" t="s">
        <v>1578</v>
      </c>
      <c r="G58" t="s">
        <v>1579</v>
      </c>
      <c r="H58" t="s">
        <v>1580</v>
      </c>
      <c r="I58" t="s">
        <v>381</v>
      </c>
      <c r="J58" t="s">
        <v>381</v>
      </c>
      <c r="K58" t="s">
        <v>1581</v>
      </c>
      <c r="L58" t="s">
        <v>1582</v>
      </c>
      <c r="M58" t="s">
        <v>1583</v>
      </c>
      <c r="N58" t="s">
        <v>1584</v>
      </c>
      <c r="O58" t="s">
        <v>1585</v>
      </c>
    </row>
    <row r="59" spans="1:15">
      <c r="A59" t="s">
        <v>1598</v>
      </c>
      <c r="B59" t="s">
        <v>1586</v>
      </c>
      <c r="C59" t="s">
        <v>1587</v>
      </c>
      <c r="D59" t="s">
        <v>1588</v>
      </c>
      <c r="E59" t="s">
        <v>1589</v>
      </c>
      <c r="F59" t="s">
        <v>1590</v>
      </c>
      <c r="G59" t="s">
        <v>1591</v>
      </c>
      <c r="H59" t="s">
        <v>1592</v>
      </c>
      <c r="I59" t="s">
        <v>380</v>
      </c>
      <c r="J59" t="s">
        <v>1593</v>
      </c>
      <c r="K59" t="s">
        <v>380</v>
      </c>
      <c r="L59" t="s">
        <v>1594</v>
      </c>
      <c r="M59" t="s">
        <v>1595</v>
      </c>
      <c r="N59" t="s">
        <v>1596</v>
      </c>
      <c r="O59" t="s">
        <v>1597</v>
      </c>
    </row>
    <row r="60" spans="1:15">
      <c r="A60" t="s">
        <v>1608</v>
      </c>
      <c r="B60" t="s">
        <v>1599</v>
      </c>
      <c r="C60" t="s">
        <v>1598</v>
      </c>
      <c r="D60" t="s">
        <v>1600</v>
      </c>
      <c r="E60" t="s">
        <v>1598</v>
      </c>
      <c r="F60" t="s">
        <v>1598</v>
      </c>
      <c r="G60" t="s">
        <v>1598</v>
      </c>
      <c r="H60" t="s">
        <v>1601</v>
      </c>
      <c r="I60" t="s">
        <v>1600</v>
      </c>
      <c r="J60" t="s">
        <v>1602</v>
      </c>
      <c r="K60" t="s">
        <v>1603</v>
      </c>
      <c r="L60" t="s">
        <v>1604</v>
      </c>
      <c r="M60" t="s">
        <v>1605</v>
      </c>
      <c r="N60" t="s">
        <v>1606</v>
      </c>
      <c r="O60" t="s">
        <v>1607</v>
      </c>
    </row>
    <row r="61" spans="1:15">
      <c r="A61" t="s">
        <v>581</v>
      </c>
      <c r="B61" t="s">
        <v>1609</v>
      </c>
      <c r="C61" t="s">
        <v>1610</v>
      </c>
      <c r="D61" t="s">
        <v>1608</v>
      </c>
      <c r="E61" t="s">
        <v>1608</v>
      </c>
      <c r="F61" t="s">
        <v>1608</v>
      </c>
      <c r="G61" t="s">
        <v>1611</v>
      </c>
      <c r="H61" t="s">
        <v>1608</v>
      </c>
      <c r="I61" t="s">
        <v>1608</v>
      </c>
      <c r="J61" t="s">
        <v>1612</v>
      </c>
      <c r="K61" t="s">
        <v>1613</v>
      </c>
      <c r="L61" t="s">
        <v>1614</v>
      </c>
      <c r="M61" t="s">
        <v>1608</v>
      </c>
      <c r="N61" t="s">
        <v>1615</v>
      </c>
      <c r="O61" t="s">
        <v>1616</v>
      </c>
    </row>
    <row r="62" spans="1:15">
      <c r="A62" t="s">
        <v>1628</v>
      </c>
      <c r="B62" t="s">
        <v>1617</v>
      </c>
      <c r="C62" t="s">
        <v>1618</v>
      </c>
      <c r="D62" t="s">
        <v>1619</v>
      </c>
      <c r="E62" t="s">
        <v>581</v>
      </c>
      <c r="F62" t="s">
        <v>1620</v>
      </c>
      <c r="G62" t="s">
        <v>1621</v>
      </c>
      <c r="H62" t="s">
        <v>1621</v>
      </c>
      <c r="I62" t="s">
        <v>1622</v>
      </c>
      <c r="J62" t="s">
        <v>1623</v>
      </c>
      <c r="K62" t="s">
        <v>581</v>
      </c>
      <c r="L62" t="s">
        <v>1624</v>
      </c>
      <c r="M62" t="s">
        <v>1625</v>
      </c>
      <c r="N62" t="s">
        <v>1626</v>
      </c>
      <c r="O62" t="s">
        <v>1627</v>
      </c>
    </row>
    <row r="63" spans="1:15">
      <c r="A63" t="s">
        <v>1631</v>
      </c>
      <c r="B63" t="s">
        <v>1629</v>
      </c>
      <c r="C63" t="s">
        <v>1628</v>
      </c>
      <c r="D63" t="s">
        <v>1628</v>
      </c>
      <c r="E63" t="s">
        <v>1628</v>
      </c>
      <c r="F63" t="s">
        <v>1630</v>
      </c>
      <c r="G63" t="s">
        <v>1628</v>
      </c>
      <c r="H63" t="s">
        <v>1628</v>
      </c>
      <c r="I63" t="s">
        <v>1628</v>
      </c>
      <c r="J63" t="s">
        <v>1628</v>
      </c>
      <c r="K63" t="s">
        <v>1628</v>
      </c>
      <c r="L63" t="s">
        <v>1628</v>
      </c>
      <c r="M63" t="s">
        <v>1628</v>
      </c>
      <c r="N63" t="s">
        <v>1628</v>
      </c>
      <c r="O63" t="s">
        <v>1628</v>
      </c>
    </row>
    <row r="64" spans="1:15">
      <c r="A64" t="s">
        <v>1641</v>
      </c>
      <c r="B64" t="s">
        <v>1632</v>
      </c>
      <c r="C64" t="s">
        <v>1631</v>
      </c>
      <c r="D64" t="s">
        <v>1631</v>
      </c>
      <c r="E64" t="s">
        <v>1631</v>
      </c>
      <c r="F64" t="s">
        <v>1631</v>
      </c>
      <c r="G64" t="s">
        <v>1633</v>
      </c>
      <c r="H64" t="s">
        <v>1634</v>
      </c>
      <c r="I64" t="s">
        <v>1631</v>
      </c>
      <c r="J64" t="s">
        <v>1635</v>
      </c>
      <c r="K64" t="s">
        <v>1636</v>
      </c>
      <c r="L64" t="s">
        <v>1637</v>
      </c>
      <c r="M64" t="s">
        <v>1638</v>
      </c>
      <c r="N64" t="s">
        <v>1639</v>
      </c>
      <c r="O64" t="s">
        <v>1640</v>
      </c>
    </row>
    <row r="65" spans="1:15">
      <c r="A65" t="s">
        <v>1650</v>
      </c>
      <c r="B65" t="s">
        <v>1642</v>
      </c>
      <c r="C65" t="s">
        <v>1643</v>
      </c>
      <c r="D65" t="s">
        <v>1641</v>
      </c>
      <c r="E65" t="s">
        <v>1641</v>
      </c>
      <c r="F65" t="s">
        <v>1641</v>
      </c>
      <c r="G65" t="s">
        <v>1644</v>
      </c>
      <c r="H65" t="s">
        <v>1644</v>
      </c>
      <c r="I65" t="s">
        <v>1641</v>
      </c>
      <c r="J65" t="s">
        <v>1641</v>
      </c>
      <c r="K65" t="s">
        <v>1645</v>
      </c>
      <c r="L65" t="s">
        <v>1646</v>
      </c>
      <c r="M65" t="s">
        <v>1647</v>
      </c>
      <c r="N65" t="s">
        <v>1648</v>
      </c>
      <c r="O65" t="s">
        <v>1649</v>
      </c>
    </row>
    <row r="66" spans="1:15">
      <c r="A66" t="s">
        <v>1661</v>
      </c>
      <c r="B66" t="s">
        <v>1651</v>
      </c>
      <c r="C66" t="s">
        <v>1652</v>
      </c>
      <c r="D66" t="s">
        <v>1650</v>
      </c>
      <c r="E66" t="s">
        <v>1650</v>
      </c>
      <c r="F66" t="s">
        <v>1653</v>
      </c>
      <c r="G66" t="s">
        <v>1650</v>
      </c>
      <c r="H66" t="s">
        <v>1654</v>
      </c>
      <c r="I66" t="s">
        <v>1650</v>
      </c>
      <c r="J66" t="s">
        <v>1655</v>
      </c>
      <c r="K66" t="s">
        <v>1656</v>
      </c>
      <c r="L66" t="s">
        <v>1657</v>
      </c>
      <c r="M66" t="s">
        <v>1658</v>
      </c>
      <c r="N66" t="s">
        <v>1659</v>
      </c>
      <c r="O66" t="s">
        <v>1660</v>
      </c>
    </row>
    <row r="67" spans="1:15">
      <c r="A67" t="s">
        <v>157</v>
      </c>
      <c r="B67" t="s">
        <v>1662</v>
      </c>
      <c r="C67" t="s">
        <v>1663</v>
      </c>
      <c r="D67" t="s">
        <v>1661</v>
      </c>
      <c r="E67" t="s">
        <v>1661</v>
      </c>
      <c r="F67" t="s">
        <v>1661</v>
      </c>
      <c r="G67" t="s">
        <v>1664</v>
      </c>
      <c r="H67" t="s">
        <v>1664</v>
      </c>
      <c r="I67" t="s">
        <v>1661</v>
      </c>
      <c r="J67" t="s">
        <v>1661</v>
      </c>
      <c r="K67" t="s">
        <v>1661</v>
      </c>
      <c r="L67" t="s">
        <v>1665</v>
      </c>
      <c r="M67" t="s">
        <v>1666</v>
      </c>
      <c r="N67" t="s">
        <v>1667</v>
      </c>
      <c r="O67" t="s">
        <v>1668</v>
      </c>
    </row>
    <row r="68" spans="1:15">
      <c r="A68" t="s">
        <v>1682</v>
      </c>
      <c r="B68" t="s">
        <v>1669</v>
      </c>
      <c r="C68" t="s">
        <v>1670</v>
      </c>
      <c r="D68" t="s">
        <v>1671</v>
      </c>
      <c r="E68" t="s">
        <v>157</v>
      </c>
      <c r="F68" t="s">
        <v>1672</v>
      </c>
      <c r="G68" t="s">
        <v>1673</v>
      </c>
      <c r="H68" t="s">
        <v>1674</v>
      </c>
      <c r="I68" t="s">
        <v>1675</v>
      </c>
      <c r="J68" t="s">
        <v>1676</v>
      </c>
      <c r="K68" t="s">
        <v>1677</v>
      </c>
      <c r="L68" t="s">
        <v>1678</v>
      </c>
      <c r="M68" t="s">
        <v>1679</v>
      </c>
      <c r="N68" t="s">
        <v>1680</v>
      </c>
      <c r="O68" t="s">
        <v>1681</v>
      </c>
    </row>
    <row r="69" spans="1:15">
      <c r="A69" t="s">
        <v>10</v>
      </c>
      <c r="B69" t="s">
        <v>1683</v>
      </c>
      <c r="C69" t="s">
        <v>1684</v>
      </c>
      <c r="D69" t="s">
        <v>1685</v>
      </c>
      <c r="E69" t="s">
        <v>1682</v>
      </c>
      <c r="F69" t="s">
        <v>1686</v>
      </c>
      <c r="G69" t="s">
        <v>1687</v>
      </c>
      <c r="H69" t="s">
        <v>1688</v>
      </c>
      <c r="I69" t="s">
        <v>1689</v>
      </c>
      <c r="J69" t="s">
        <v>1690</v>
      </c>
      <c r="K69" t="s">
        <v>1691</v>
      </c>
      <c r="L69" t="s">
        <v>1692</v>
      </c>
      <c r="M69" t="s">
        <v>1693</v>
      </c>
      <c r="N69" t="s">
        <v>1694</v>
      </c>
      <c r="O69" t="s">
        <v>1695</v>
      </c>
    </row>
    <row r="70" spans="1:15">
      <c r="A70" t="s">
        <v>544</v>
      </c>
      <c r="B70" t="s">
        <v>1696</v>
      </c>
      <c r="C70" t="s">
        <v>1697</v>
      </c>
      <c r="D70" t="s">
        <v>1698</v>
      </c>
      <c r="E70" t="s">
        <v>1699</v>
      </c>
      <c r="F70" t="s">
        <v>1700</v>
      </c>
      <c r="G70" t="s">
        <v>1701</v>
      </c>
      <c r="H70" t="s">
        <v>1702</v>
      </c>
      <c r="I70" t="s">
        <v>1703</v>
      </c>
      <c r="J70" t="s">
        <v>1704</v>
      </c>
      <c r="K70" t="s">
        <v>1705</v>
      </c>
      <c r="L70" t="s">
        <v>1706</v>
      </c>
      <c r="M70" t="s">
        <v>1707</v>
      </c>
      <c r="N70" t="s">
        <v>1708</v>
      </c>
      <c r="O70" t="s">
        <v>1709</v>
      </c>
    </row>
    <row r="71" spans="1:15">
      <c r="A71" t="s">
        <v>213</v>
      </c>
      <c r="B71" t="s">
        <v>1710</v>
      </c>
      <c r="C71" t="s">
        <v>1711</v>
      </c>
      <c r="D71" t="s">
        <v>544</v>
      </c>
      <c r="E71" t="s">
        <v>544</v>
      </c>
      <c r="F71" t="s">
        <v>1712</v>
      </c>
      <c r="G71" t="s">
        <v>1713</v>
      </c>
      <c r="H71" t="s">
        <v>1714</v>
      </c>
      <c r="I71" t="s">
        <v>1715</v>
      </c>
      <c r="J71" t="s">
        <v>1716</v>
      </c>
      <c r="K71" t="s">
        <v>1717</v>
      </c>
      <c r="L71" t="s">
        <v>1718</v>
      </c>
      <c r="M71" t="s">
        <v>1719</v>
      </c>
      <c r="N71" t="s">
        <v>1720</v>
      </c>
      <c r="O71" t="s">
        <v>1721</v>
      </c>
    </row>
    <row r="72" spans="1:15">
      <c r="A72" t="s">
        <v>160</v>
      </c>
      <c r="B72" t="s">
        <v>1722</v>
      </c>
      <c r="C72" t="s">
        <v>1723</v>
      </c>
      <c r="D72" t="s">
        <v>1724</v>
      </c>
      <c r="E72" t="s">
        <v>1725</v>
      </c>
      <c r="F72" t="s">
        <v>1726</v>
      </c>
      <c r="G72" t="s">
        <v>1727</v>
      </c>
      <c r="H72" t="s">
        <v>1728</v>
      </c>
      <c r="I72" t="s">
        <v>1729</v>
      </c>
      <c r="J72" t="s">
        <v>1730</v>
      </c>
      <c r="K72" t="s">
        <v>213</v>
      </c>
      <c r="L72" t="s">
        <v>1731</v>
      </c>
      <c r="M72" t="s">
        <v>1732</v>
      </c>
      <c r="N72" t="s">
        <v>1733</v>
      </c>
      <c r="O72" t="s">
        <v>1734</v>
      </c>
    </row>
    <row r="73" spans="1:15">
      <c r="A73" t="s">
        <v>1749</v>
      </c>
      <c r="B73" t="s">
        <v>1735</v>
      </c>
      <c r="C73" t="s">
        <v>1736</v>
      </c>
      <c r="D73" t="s">
        <v>1737</v>
      </c>
      <c r="E73" t="s">
        <v>1738</v>
      </c>
      <c r="F73" t="s">
        <v>1739</v>
      </c>
      <c r="G73" t="s">
        <v>1740</v>
      </c>
      <c r="H73" t="s">
        <v>1741</v>
      </c>
      <c r="I73" t="s">
        <v>1742</v>
      </c>
      <c r="J73" t="s">
        <v>1743</v>
      </c>
      <c r="K73" t="s">
        <v>1744</v>
      </c>
      <c r="L73" t="s">
        <v>1745</v>
      </c>
      <c r="M73" t="s">
        <v>1746</v>
      </c>
      <c r="N73" t="s">
        <v>1747</v>
      </c>
      <c r="O73" t="s">
        <v>1748</v>
      </c>
    </row>
    <row r="74" spans="1:15">
      <c r="A74" t="s">
        <v>200</v>
      </c>
      <c r="B74" t="s">
        <v>1750</v>
      </c>
      <c r="C74" t="s">
        <v>1749</v>
      </c>
      <c r="D74" t="s">
        <v>1749</v>
      </c>
      <c r="E74" t="s">
        <v>1749</v>
      </c>
      <c r="F74" t="s">
        <v>1749</v>
      </c>
      <c r="G74" t="s">
        <v>1749</v>
      </c>
      <c r="H74" t="s">
        <v>1749</v>
      </c>
      <c r="I74" t="s">
        <v>1749</v>
      </c>
      <c r="J74" t="s">
        <v>1749</v>
      </c>
      <c r="K74" t="s">
        <v>1749</v>
      </c>
      <c r="L74" t="s">
        <v>1749</v>
      </c>
      <c r="M74" t="s">
        <v>1749</v>
      </c>
      <c r="N74" t="s">
        <v>1749</v>
      </c>
      <c r="O74" t="s">
        <v>1749</v>
      </c>
    </row>
    <row r="75" spans="1:15">
      <c r="A75" t="s">
        <v>378</v>
      </c>
      <c r="B75" t="s">
        <v>1751</v>
      </c>
      <c r="C75" t="s">
        <v>1752</v>
      </c>
      <c r="D75" t="s">
        <v>1753</v>
      </c>
      <c r="E75" t="s">
        <v>1754</v>
      </c>
      <c r="F75" t="s">
        <v>1755</v>
      </c>
      <c r="G75" t="s">
        <v>1756</v>
      </c>
      <c r="H75" t="s">
        <v>1757</v>
      </c>
      <c r="I75" t="s">
        <v>1758</v>
      </c>
      <c r="J75" t="s">
        <v>1759</v>
      </c>
      <c r="K75" t="s">
        <v>1758</v>
      </c>
      <c r="L75" t="s">
        <v>1760</v>
      </c>
      <c r="M75" t="s">
        <v>1761</v>
      </c>
      <c r="N75" t="s">
        <v>1762</v>
      </c>
      <c r="O75" t="s">
        <v>1763</v>
      </c>
    </row>
    <row r="76" spans="1:15">
      <c r="A76" t="s">
        <v>379</v>
      </c>
      <c r="B76" t="s">
        <v>1764</v>
      </c>
      <c r="C76" t="s">
        <v>1765</v>
      </c>
      <c r="D76" t="s">
        <v>378</v>
      </c>
      <c r="E76" t="s">
        <v>378</v>
      </c>
      <c r="F76" t="s">
        <v>1766</v>
      </c>
      <c r="G76" t="s">
        <v>1767</v>
      </c>
      <c r="H76" t="s">
        <v>1768</v>
      </c>
      <c r="I76" t="s">
        <v>378</v>
      </c>
      <c r="J76" t="s">
        <v>378</v>
      </c>
      <c r="K76" t="s">
        <v>1769</v>
      </c>
      <c r="L76" t="s">
        <v>1770</v>
      </c>
      <c r="M76" t="s">
        <v>1771</v>
      </c>
      <c r="N76" t="s">
        <v>1772</v>
      </c>
      <c r="O76" t="s">
        <v>1773</v>
      </c>
    </row>
    <row r="77" spans="1:15">
      <c r="A77" t="s">
        <v>655</v>
      </c>
      <c r="B77" t="s">
        <v>1774</v>
      </c>
      <c r="C77" t="s">
        <v>1775</v>
      </c>
      <c r="D77" t="s">
        <v>1776</v>
      </c>
      <c r="E77" t="s">
        <v>1777</v>
      </c>
      <c r="F77" t="s">
        <v>1778</v>
      </c>
      <c r="G77" t="s">
        <v>1779</v>
      </c>
      <c r="H77" t="s">
        <v>1780</v>
      </c>
      <c r="I77" t="s">
        <v>379</v>
      </c>
      <c r="J77" t="s">
        <v>1781</v>
      </c>
      <c r="K77" t="s">
        <v>379</v>
      </c>
      <c r="L77" t="s">
        <v>1782</v>
      </c>
      <c r="M77" t="s">
        <v>1783</v>
      </c>
      <c r="N77" t="s">
        <v>1784</v>
      </c>
      <c r="O77" t="s">
        <v>1785</v>
      </c>
    </row>
    <row r="78" spans="1:15">
      <c r="A78" t="s">
        <v>650</v>
      </c>
      <c r="B78" t="s">
        <v>868</v>
      </c>
      <c r="C78" t="s">
        <v>1786</v>
      </c>
      <c r="D78" t="s">
        <v>912</v>
      </c>
      <c r="E78" t="s">
        <v>886</v>
      </c>
      <c r="F78" t="s">
        <v>1787</v>
      </c>
      <c r="G78" t="s">
        <v>1788</v>
      </c>
      <c r="H78" t="s">
        <v>1789</v>
      </c>
      <c r="I78" t="s">
        <v>655</v>
      </c>
      <c r="J78" t="s">
        <v>1790</v>
      </c>
      <c r="K78" t="s">
        <v>1791</v>
      </c>
      <c r="L78" t="s">
        <v>1792</v>
      </c>
      <c r="M78" t="s">
        <v>1793</v>
      </c>
      <c r="N78" t="s">
        <v>1794</v>
      </c>
      <c r="O78" t="s">
        <v>1795</v>
      </c>
    </row>
    <row r="79" spans="1:15">
      <c r="A79" t="s">
        <v>1803</v>
      </c>
      <c r="B79" t="s">
        <v>870</v>
      </c>
      <c r="C79" t="s">
        <v>1796</v>
      </c>
      <c r="D79" t="s">
        <v>914</v>
      </c>
      <c r="E79" t="s">
        <v>887</v>
      </c>
      <c r="F79" t="s">
        <v>1797</v>
      </c>
      <c r="G79" t="s">
        <v>1798</v>
      </c>
      <c r="H79" t="s">
        <v>870</v>
      </c>
      <c r="I79" t="s">
        <v>899</v>
      </c>
      <c r="J79" t="s">
        <v>1799</v>
      </c>
      <c r="K79" t="s">
        <v>899</v>
      </c>
      <c r="L79" t="s">
        <v>899</v>
      </c>
      <c r="M79" t="s">
        <v>1800</v>
      </c>
      <c r="N79" t="s">
        <v>1801</v>
      </c>
      <c r="O79" t="s">
        <v>1802</v>
      </c>
    </row>
    <row r="80" spans="1:15">
      <c r="A80" t="s">
        <v>342</v>
      </c>
      <c r="B80" t="s">
        <v>1804</v>
      </c>
      <c r="C80" t="s">
        <v>1805</v>
      </c>
      <c r="D80" t="s">
        <v>1806</v>
      </c>
      <c r="E80" t="s">
        <v>1807</v>
      </c>
      <c r="F80" t="s">
        <v>1808</v>
      </c>
      <c r="G80" t="s">
        <v>1809</v>
      </c>
      <c r="H80" t="s">
        <v>1810</v>
      </c>
      <c r="I80" t="s">
        <v>1811</v>
      </c>
      <c r="J80" t="s">
        <v>1812</v>
      </c>
      <c r="K80" t="s">
        <v>1813</v>
      </c>
      <c r="L80" t="s">
        <v>1814</v>
      </c>
      <c r="M80" t="s">
        <v>1815</v>
      </c>
      <c r="N80" t="s">
        <v>1816</v>
      </c>
      <c r="O80" t="s">
        <v>1817</v>
      </c>
    </row>
    <row r="81" spans="1:15">
      <c r="A81" t="s">
        <v>154</v>
      </c>
      <c r="B81" t="s">
        <v>1818</v>
      </c>
      <c r="C81" t="s">
        <v>1819</v>
      </c>
      <c r="D81" t="s">
        <v>1820</v>
      </c>
      <c r="E81" t="s">
        <v>1821</v>
      </c>
      <c r="F81" t="s">
        <v>1822</v>
      </c>
      <c r="G81" t="s">
        <v>1823</v>
      </c>
      <c r="H81" t="s">
        <v>1824</v>
      </c>
      <c r="I81" t="s">
        <v>1825</v>
      </c>
      <c r="J81" t="s">
        <v>342</v>
      </c>
      <c r="K81" t="s">
        <v>1826</v>
      </c>
      <c r="L81" t="s">
        <v>1827</v>
      </c>
      <c r="M81" t="s">
        <v>1828</v>
      </c>
      <c r="N81" t="s">
        <v>1829</v>
      </c>
      <c r="O81" t="s">
        <v>1830</v>
      </c>
    </row>
    <row r="82" spans="1:15">
      <c r="A82" t="s">
        <v>267</v>
      </c>
      <c r="B82" t="s">
        <v>1831</v>
      </c>
      <c r="C82" t="s">
        <v>1832</v>
      </c>
      <c r="D82" t="s">
        <v>1833</v>
      </c>
      <c r="E82" t="s">
        <v>1834</v>
      </c>
      <c r="F82" t="s">
        <v>1835</v>
      </c>
      <c r="G82" t="s">
        <v>1836</v>
      </c>
      <c r="H82" t="s">
        <v>1837</v>
      </c>
      <c r="I82" t="s">
        <v>1838</v>
      </c>
      <c r="J82" t="s">
        <v>1839</v>
      </c>
      <c r="K82" t="s">
        <v>1840</v>
      </c>
      <c r="L82" t="s">
        <v>1841</v>
      </c>
      <c r="M82" t="s">
        <v>1842</v>
      </c>
      <c r="N82" t="s">
        <v>1843</v>
      </c>
      <c r="O82" t="s">
        <v>1844</v>
      </c>
    </row>
    <row r="83" spans="1:15">
      <c r="A83" t="s">
        <v>158</v>
      </c>
      <c r="B83" t="s">
        <v>1845</v>
      </c>
      <c r="C83" t="s">
        <v>1846</v>
      </c>
      <c r="D83" t="s">
        <v>1847</v>
      </c>
      <c r="E83" t="s">
        <v>1848</v>
      </c>
      <c r="F83" t="s">
        <v>1849</v>
      </c>
      <c r="G83" t="s">
        <v>1850</v>
      </c>
      <c r="H83" t="s">
        <v>1851</v>
      </c>
      <c r="I83" t="s">
        <v>1852</v>
      </c>
      <c r="J83" t="s">
        <v>1853</v>
      </c>
      <c r="K83" t="s">
        <v>1854</v>
      </c>
      <c r="L83" t="s">
        <v>1855</v>
      </c>
      <c r="M83" t="s">
        <v>1856</v>
      </c>
      <c r="N83" t="s">
        <v>1857</v>
      </c>
      <c r="O83" t="s">
        <v>1857</v>
      </c>
    </row>
    <row r="84" spans="1:15">
      <c r="A84" t="s">
        <v>6</v>
      </c>
      <c r="B84" t="s">
        <v>1858</v>
      </c>
      <c r="C84" t="s">
        <v>1859</v>
      </c>
      <c r="D84" t="s">
        <v>1860</v>
      </c>
      <c r="E84" t="s">
        <v>1861</v>
      </c>
      <c r="F84" t="s">
        <v>1862</v>
      </c>
      <c r="G84" t="s">
        <v>1863</v>
      </c>
      <c r="H84" t="s">
        <v>1864</v>
      </c>
      <c r="I84" t="s">
        <v>1865</v>
      </c>
      <c r="J84" t="s">
        <v>1866</v>
      </c>
      <c r="K84" t="s">
        <v>1867</v>
      </c>
      <c r="L84" t="s">
        <v>1868</v>
      </c>
      <c r="M84" t="s">
        <v>1869</v>
      </c>
      <c r="N84" t="s">
        <v>1870</v>
      </c>
      <c r="O84" t="s">
        <v>1871</v>
      </c>
    </row>
    <row r="85" spans="1:15">
      <c r="A85" t="s">
        <v>101</v>
      </c>
      <c r="B85" t="s">
        <v>881</v>
      </c>
      <c r="C85" t="s">
        <v>1872</v>
      </c>
      <c r="D85" t="s">
        <v>922</v>
      </c>
      <c r="E85" t="s">
        <v>6</v>
      </c>
      <c r="F85" t="s">
        <v>1873</v>
      </c>
      <c r="G85" t="s">
        <v>1874</v>
      </c>
      <c r="H85" t="s">
        <v>1875</v>
      </c>
      <c r="I85" t="s">
        <v>907</v>
      </c>
      <c r="J85" t="s">
        <v>907</v>
      </c>
      <c r="K85" t="s">
        <v>6</v>
      </c>
      <c r="L85" t="s">
        <v>6</v>
      </c>
      <c r="M85" t="s">
        <v>1876</v>
      </c>
      <c r="N85" t="s">
        <v>1877</v>
      </c>
      <c r="O85" t="s">
        <v>1878</v>
      </c>
    </row>
    <row r="86" spans="1:15">
      <c r="A86" t="s">
        <v>167</v>
      </c>
      <c r="B86" t="s">
        <v>1879</v>
      </c>
      <c r="C86" t="s">
        <v>1880</v>
      </c>
      <c r="D86" t="s">
        <v>1881</v>
      </c>
      <c r="E86" t="s">
        <v>1882</v>
      </c>
      <c r="F86" t="s">
        <v>1883</v>
      </c>
      <c r="G86" t="s">
        <v>1884</v>
      </c>
      <c r="H86" t="s">
        <v>1884</v>
      </c>
      <c r="I86" t="s">
        <v>1880</v>
      </c>
      <c r="J86" t="s">
        <v>1885</v>
      </c>
      <c r="K86" t="s">
        <v>101</v>
      </c>
      <c r="L86" t="s">
        <v>101</v>
      </c>
      <c r="M86" t="s">
        <v>1886</v>
      </c>
      <c r="N86" t="s">
        <v>1887</v>
      </c>
      <c r="O86" t="s">
        <v>1888</v>
      </c>
    </row>
    <row r="87" spans="1:15">
      <c r="A87" t="s">
        <v>1899</v>
      </c>
      <c r="B87" t="s">
        <v>1889</v>
      </c>
      <c r="C87" t="s">
        <v>1890</v>
      </c>
      <c r="D87" t="s">
        <v>1891</v>
      </c>
      <c r="E87" t="s">
        <v>1891</v>
      </c>
      <c r="F87" t="s">
        <v>1892</v>
      </c>
      <c r="G87" t="s">
        <v>1889</v>
      </c>
      <c r="H87" t="s">
        <v>1889</v>
      </c>
      <c r="I87" t="s">
        <v>1893</v>
      </c>
      <c r="J87" t="s">
        <v>1894</v>
      </c>
      <c r="K87" t="s">
        <v>1891</v>
      </c>
      <c r="L87" t="s">
        <v>1895</v>
      </c>
      <c r="M87" t="s">
        <v>1896</v>
      </c>
      <c r="N87" t="s">
        <v>1897</v>
      </c>
      <c r="O87" t="s">
        <v>1898</v>
      </c>
    </row>
    <row r="88" spans="1:15">
      <c r="A88" t="s">
        <v>1910</v>
      </c>
      <c r="B88" t="s">
        <v>1900</v>
      </c>
      <c r="C88" t="s">
        <v>1901</v>
      </c>
      <c r="D88" t="s">
        <v>1902</v>
      </c>
      <c r="E88" t="s">
        <v>1903</v>
      </c>
      <c r="F88" t="s">
        <v>1904</v>
      </c>
      <c r="G88" t="s">
        <v>1900</v>
      </c>
      <c r="H88" t="s">
        <v>1900</v>
      </c>
      <c r="I88" t="s">
        <v>1901</v>
      </c>
      <c r="J88" t="s">
        <v>1905</v>
      </c>
      <c r="K88" t="s">
        <v>1903</v>
      </c>
      <c r="L88" t="s">
        <v>1906</v>
      </c>
      <c r="M88" t="s">
        <v>1907</v>
      </c>
      <c r="N88" t="s">
        <v>1908</v>
      </c>
      <c r="O88" t="s">
        <v>1909</v>
      </c>
    </row>
    <row r="89" spans="1:15">
      <c r="A89" t="s">
        <v>1921</v>
      </c>
      <c r="B89" t="s">
        <v>1911</v>
      </c>
      <c r="C89" t="s">
        <v>1912</v>
      </c>
      <c r="D89" t="s">
        <v>1913</v>
      </c>
      <c r="E89" t="s">
        <v>1914</v>
      </c>
      <c r="F89" t="s">
        <v>1915</v>
      </c>
      <c r="G89" t="s">
        <v>1911</v>
      </c>
      <c r="H89" t="s">
        <v>1911</v>
      </c>
      <c r="I89" t="s">
        <v>1912</v>
      </c>
      <c r="J89" t="s">
        <v>1916</v>
      </c>
      <c r="K89" t="s">
        <v>1914</v>
      </c>
      <c r="L89" t="s">
        <v>1917</v>
      </c>
      <c r="M89" t="s">
        <v>1918</v>
      </c>
      <c r="N89" t="s">
        <v>1919</v>
      </c>
      <c r="O89" t="s">
        <v>1920</v>
      </c>
    </row>
    <row r="90" spans="1:15">
      <c r="A90" t="s">
        <v>318</v>
      </c>
      <c r="B90" t="s">
        <v>1922</v>
      </c>
      <c r="C90" t="s">
        <v>1923</v>
      </c>
      <c r="D90" t="s">
        <v>1924</v>
      </c>
      <c r="E90" t="s">
        <v>1925</v>
      </c>
      <c r="F90" t="s">
        <v>1926</v>
      </c>
      <c r="G90" t="s">
        <v>1922</v>
      </c>
      <c r="H90" t="s">
        <v>1922</v>
      </c>
      <c r="I90" t="s">
        <v>1923</v>
      </c>
      <c r="J90" t="s">
        <v>1927</v>
      </c>
      <c r="K90" t="s">
        <v>1925</v>
      </c>
      <c r="L90" t="s">
        <v>1928</v>
      </c>
      <c r="M90" t="s">
        <v>1929</v>
      </c>
      <c r="N90" t="s">
        <v>1930</v>
      </c>
      <c r="O90" t="s">
        <v>1931</v>
      </c>
    </row>
    <row r="91" spans="1:15">
      <c r="A91" t="s">
        <v>13</v>
      </c>
      <c r="B91" t="s">
        <v>877</v>
      </c>
      <c r="C91" t="s">
        <v>1932</v>
      </c>
      <c r="D91" t="s">
        <v>318</v>
      </c>
      <c r="E91" t="s">
        <v>893</v>
      </c>
      <c r="F91" t="s">
        <v>318</v>
      </c>
      <c r="G91" t="s">
        <v>877</v>
      </c>
      <c r="H91" t="s">
        <v>1933</v>
      </c>
      <c r="I91" t="s">
        <v>905</v>
      </c>
      <c r="J91" t="s">
        <v>1934</v>
      </c>
      <c r="K91" t="s">
        <v>1935</v>
      </c>
      <c r="L91" t="s">
        <v>1936</v>
      </c>
      <c r="M91" t="s">
        <v>1937</v>
      </c>
      <c r="N91" t="s">
        <v>1938</v>
      </c>
      <c r="O91" t="s">
        <v>1939</v>
      </c>
    </row>
    <row r="92" spans="1:15">
      <c r="A92" t="s">
        <v>344</v>
      </c>
      <c r="B92" t="s">
        <v>1940</v>
      </c>
      <c r="C92" t="s">
        <v>1941</v>
      </c>
      <c r="D92" t="s">
        <v>1942</v>
      </c>
      <c r="E92" t="s">
        <v>1943</v>
      </c>
      <c r="F92" t="s">
        <v>1944</v>
      </c>
      <c r="G92" t="s">
        <v>1945</v>
      </c>
      <c r="H92" t="s">
        <v>1946</v>
      </c>
      <c r="I92" t="s">
        <v>1947</v>
      </c>
      <c r="J92" t="s">
        <v>1934</v>
      </c>
      <c r="K92" t="s">
        <v>1935</v>
      </c>
      <c r="L92" t="s">
        <v>1936</v>
      </c>
      <c r="M92" t="s">
        <v>1948</v>
      </c>
      <c r="N92" t="s">
        <v>1938</v>
      </c>
      <c r="O92" t="s">
        <v>1939</v>
      </c>
    </row>
    <row r="93" spans="1:15">
      <c r="A93" t="s">
        <v>1959</v>
      </c>
      <c r="B93" t="s">
        <v>880</v>
      </c>
      <c r="C93" t="s">
        <v>1949</v>
      </c>
      <c r="D93" t="s">
        <v>344</v>
      </c>
      <c r="E93" t="s">
        <v>344</v>
      </c>
      <c r="F93" t="s">
        <v>1950</v>
      </c>
      <c r="G93" t="s">
        <v>1951</v>
      </c>
      <c r="H93" t="s">
        <v>1952</v>
      </c>
      <c r="I93" t="s">
        <v>344</v>
      </c>
      <c r="J93" t="s">
        <v>1953</v>
      </c>
      <c r="K93" t="s">
        <v>1954</v>
      </c>
      <c r="L93" t="s">
        <v>1955</v>
      </c>
      <c r="M93" t="s">
        <v>1956</v>
      </c>
      <c r="N93" t="s">
        <v>1957</v>
      </c>
      <c r="O93" t="s">
        <v>1958</v>
      </c>
    </row>
    <row r="94" spans="1:15">
      <c r="A94" t="s">
        <v>1971</v>
      </c>
      <c r="B94" t="s">
        <v>1960</v>
      </c>
      <c r="C94" t="s">
        <v>1961</v>
      </c>
      <c r="D94" t="s">
        <v>1962</v>
      </c>
      <c r="E94" t="s">
        <v>1959</v>
      </c>
      <c r="F94" t="s">
        <v>1959</v>
      </c>
      <c r="G94" t="s">
        <v>1963</v>
      </c>
      <c r="H94" t="s">
        <v>1964</v>
      </c>
      <c r="I94" t="s">
        <v>1959</v>
      </c>
      <c r="J94" t="s">
        <v>1965</v>
      </c>
      <c r="K94" t="s">
        <v>1966</v>
      </c>
      <c r="L94" t="s">
        <v>1967</v>
      </c>
      <c r="M94" t="s">
        <v>1968</v>
      </c>
      <c r="N94" t="s">
        <v>1969</v>
      </c>
      <c r="O94" t="s">
        <v>1970</v>
      </c>
    </row>
    <row r="95" spans="1:15">
      <c r="A95" t="s">
        <v>630</v>
      </c>
      <c r="B95" t="s">
        <v>1972</v>
      </c>
      <c r="C95" t="s">
        <v>1971</v>
      </c>
      <c r="D95" t="s">
        <v>1971</v>
      </c>
      <c r="E95" t="s">
        <v>1971</v>
      </c>
      <c r="F95" t="s">
        <v>1971</v>
      </c>
      <c r="G95" t="s">
        <v>1973</v>
      </c>
      <c r="H95" t="s">
        <v>1971</v>
      </c>
      <c r="I95" t="s">
        <v>1971</v>
      </c>
      <c r="J95" t="s">
        <v>1971</v>
      </c>
      <c r="K95" t="s">
        <v>1971</v>
      </c>
      <c r="L95" t="s">
        <v>1974</v>
      </c>
      <c r="M95" t="s">
        <v>1971</v>
      </c>
      <c r="N95" t="s">
        <v>1975</v>
      </c>
      <c r="O95" t="s">
        <v>1976</v>
      </c>
    </row>
    <row r="96" spans="1:15">
      <c r="A96" t="s">
        <v>337</v>
      </c>
      <c r="B96" t="s">
        <v>1977</v>
      </c>
      <c r="C96" t="s">
        <v>630</v>
      </c>
      <c r="D96" t="s">
        <v>630</v>
      </c>
      <c r="E96" t="s">
        <v>630</v>
      </c>
      <c r="F96" t="s">
        <v>630</v>
      </c>
      <c r="G96" t="s">
        <v>1978</v>
      </c>
      <c r="H96" t="s">
        <v>1979</v>
      </c>
      <c r="I96" t="s">
        <v>630</v>
      </c>
      <c r="J96" t="s">
        <v>630</v>
      </c>
      <c r="K96" t="s">
        <v>630</v>
      </c>
      <c r="L96" t="s">
        <v>1980</v>
      </c>
      <c r="M96" t="s">
        <v>1981</v>
      </c>
      <c r="N96" t="s">
        <v>1982</v>
      </c>
      <c r="O96" t="s">
        <v>1983</v>
      </c>
    </row>
    <row r="97" spans="1:15">
      <c r="A97" t="s">
        <v>335</v>
      </c>
      <c r="B97" t="s">
        <v>1984</v>
      </c>
      <c r="C97" t="s">
        <v>337</v>
      </c>
      <c r="D97" t="s">
        <v>1985</v>
      </c>
      <c r="E97" t="s">
        <v>337</v>
      </c>
      <c r="F97" t="s">
        <v>1986</v>
      </c>
      <c r="G97" t="s">
        <v>337</v>
      </c>
      <c r="H97" t="s">
        <v>337</v>
      </c>
      <c r="I97" t="s">
        <v>337</v>
      </c>
      <c r="J97" t="s">
        <v>1987</v>
      </c>
      <c r="K97" t="s">
        <v>1985</v>
      </c>
      <c r="L97" t="s">
        <v>1988</v>
      </c>
      <c r="M97" t="s">
        <v>1989</v>
      </c>
      <c r="N97" t="s">
        <v>1990</v>
      </c>
      <c r="O97" t="s">
        <v>1991</v>
      </c>
    </row>
    <row r="98" spans="1:15">
      <c r="A98" t="s">
        <v>527</v>
      </c>
      <c r="B98" t="s">
        <v>1992</v>
      </c>
      <c r="C98" t="s">
        <v>1993</v>
      </c>
      <c r="D98" t="s">
        <v>1994</v>
      </c>
      <c r="E98" t="s">
        <v>335</v>
      </c>
      <c r="F98" t="s">
        <v>1995</v>
      </c>
      <c r="G98" t="s">
        <v>1996</v>
      </c>
      <c r="H98" t="s">
        <v>1997</v>
      </c>
      <c r="I98" t="s">
        <v>1998</v>
      </c>
      <c r="J98" t="s">
        <v>1999</v>
      </c>
      <c r="K98" t="s">
        <v>335</v>
      </c>
      <c r="L98" t="s">
        <v>2000</v>
      </c>
      <c r="M98" t="s">
        <v>2001</v>
      </c>
      <c r="N98" t="s">
        <v>2002</v>
      </c>
      <c r="O98" t="s">
        <v>2003</v>
      </c>
    </row>
    <row r="99" spans="1:15">
      <c r="A99" t="s">
        <v>524</v>
      </c>
      <c r="B99" t="s">
        <v>2004</v>
      </c>
      <c r="C99" t="s">
        <v>527</v>
      </c>
      <c r="D99" t="s">
        <v>527</v>
      </c>
      <c r="E99" t="s">
        <v>527</v>
      </c>
      <c r="F99" t="s">
        <v>527</v>
      </c>
      <c r="G99" t="s">
        <v>527</v>
      </c>
      <c r="H99" t="s">
        <v>2005</v>
      </c>
      <c r="I99" t="s">
        <v>527</v>
      </c>
      <c r="J99" t="s">
        <v>527</v>
      </c>
      <c r="K99" t="s">
        <v>527</v>
      </c>
      <c r="L99" t="s">
        <v>527</v>
      </c>
      <c r="M99" t="s">
        <v>527</v>
      </c>
      <c r="N99" t="s">
        <v>2006</v>
      </c>
      <c r="O99" t="s">
        <v>2007</v>
      </c>
    </row>
    <row r="100" spans="1:15">
      <c r="A100" t="s">
        <v>525</v>
      </c>
      <c r="B100" t="s">
        <v>2008</v>
      </c>
      <c r="C100" t="s">
        <v>2009</v>
      </c>
      <c r="D100" t="s">
        <v>2010</v>
      </c>
      <c r="E100" t="s">
        <v>2011</v>
      </c>
      <c r="F100" t="s">
        <v>2012</v>
      </c>
      <c r="G100" t="s">
        <v>2013</v>
      </c>
      <c r="H100" t="s">
        <v>2014</v>
      </c>
      <c r="I100" t="s">
        <v>2015</v>
      </c>
      <c r="J100" t="s">
        <v>2016</v>
      </c>
      <c r="K100" t="s">
        <v>2017</v>
      </c>
      <c r="L100" t="s">
        <v>2018</v>
      </c>
      <c r="M100" t="s">
        <v>524</v>
      </c>
      <c r="N100" t="s">
        <v>2019</v>
      </c>
      <c r="O100" t="s">
        <v>2020</v>
      </c>
    </row>
    <row r="101" spans="1:15">
      <c r="A101" t="s">
        <v>7</v>
      </c>
      <c r="B101" t="s">
        <v>2021</v>
      </c>
      <c r="C101" t="s">
        <v>2022</v>
      </c>
      <c r="D101" t="s">
        <v>2023</v>
      </c>
      <c r="E101" t="s">
        <v>2024</v>
      </c>
      <c r="F101" t="s">
        <v>2025</v>
      </c>
      <c r="G101" t="s">
        <v>2026</v>
      </c>
      <c r="H101" t="s">
        <v>2027</v>
      </c>
      <c r="I101" t="s">
        <v>2028</v>
      </c>
      <c r="J101" t="s">
        <v>2029</v>
      </c>
      <c r="K101" t="s">
        <v>2030</v>
      </c>
      <c r="L101" t="s">
        <v>2028</v>
      </c>
      <c r="M101" t="s">
        <v>525</v>
      </c>
      <c r="N101" t="s">
        <v>2031</v>
      </c>
      <c r="O101" t="s">
        <v>2032</v>
      </c>
    </row>
    <row r="102" spans="1:15">
      <c r="A102" t="s">
        <v>178</v>
      </c>
      <c r="B102" t="s">
        <v>883</v>
      </c>
      <c r="C102" t="s">
        <v>2033</v>
      </c>
      <c r="D102" t="s">
        <v>924</v>
      </c>
      <c r="E102" t="s">
        <v>897</v>
      </c>
      <c r="F102" t="s">
        <v>2034</v>
      </c>
      <c r="G102" t="s">
        <v>2035</v>
      </c>
      <c r="H102" t="s">
        <v>2036</v>
      </c>
      <c r="I102" t="s">
        <v>909</v>
      </c>
      <c r="J102" t="s">
        <v>2037</v>
      </c>
      <c r="K102" t="s">
        <v>2038</v>
      </c>
      <c r="L102" t="s">
        <v>2039</v>
      </c>
      <c r="M102" t="s">
        <v>2040</v>
      </c>
      <c r="N102" t="s">
        <v>2041</v>
      </c>
      <c r="O102" t="s">
        <v>2042</v>
      </c>
    </row>
    <row r="103" spans="1:15">
      <c r="A103" t="s">
        <v>449</v>
      </c>
      <c r="B103" t="s">
        <v>2043</v>
      </c>
      <c r="C103" t="s">
        <v>2044</v>
      </c>
      <c r="D103" t="s">
        <v>2045</v>
      </c>
      <c r="E103" t="s">
        <v>2046</v>
      </c>
      <c r="F103" t="s">
        <v>2047</v>
      </c>
      <c r="G103" t="s">
        <v>2048</v>
      </c>
      <c r="H103" t="s">
        <v>2049</v>
      </c>
      <c r="I103" t="s">
        <v>2050</v>
      </c>
      <c r="J103" t="s">
        <v>2051</v>
      </c>
      <c r="K103" t="s">
        <v>2052</v>
      </c>
      <c r="L103" t="s">
        <v>2053</v>
      </c>
      <c r="M103" t="s">
        <v>2054</v>
      </c>
      <c r="N103" t="s">
        <v>2055</v>
      </c>
      <c r="O103" t="s">
        <v>2055</v>
      </c>
    </row>
    <row r="104" spans="1:15">
      <c r="A104" t="s">
        <v>402</v>
      </c>
      <c r="B104" t="s">
        <v>2056</v>
      </c>
      <c r="C104" t="s">
        <v>2057</v>
      </c>
      <c r="D104" t="s">
        <v>2058</v>
      </c>
      <c r="E104" t="s">
        <v>449</v>
      </c>
      <c r="F104" t="s">
        <v>2059</v>
      </c>
      <c r="G104" t="s">
        <v>2060</v>
      </c>
      <c r="H104" t="s">
        <v>2061</v>
      </c>
      <c r="I104" t="s">
        <v>2062</v>
      </c>
      <c r="J104" t="s">
        <v>2063</v>
      </c>
      <c r="K104" t="s">
        <v>2064</v>
      </c>
      <c r="L104" t="s">
        <v>2065</v>
      </c>
      <c r="M104" t="s">
        <v>2066</v>
      </c>
      <c r="N104" t="s">
        <v>2067</v>
      </c>
      <c r="O104" t="s">
        <v>2068</v>
      </c>
    </row>
    <row r="105" spans="1:15">
      <c r="A105" t="s">
        <v>431</v>
      </c>
      <c r="B105" t="s">
        <v>2069</v>
      </c>
      <c r="C105" t="s">
        <v>2070</v>
      </c>
      <c r="D105" t="s">
        <v>402</v>
      </c>
      <c r="E105" t="s">
        <v>2071</v>
      </c>
      <c r="F105" t="s">
        <v>2072</v>
      </c>
      <c r="G105" t="s">
        <v>2073</v>
      </c>
      <c r="H105" t="s">
        <v>2074</v>
      </c>
      <c r="I105" t="s">
        <v>2075</v>
      </c>
      <c r="J105" t="s">
        <v>2076</v>
      </c>
      <c r="K105" t="s">
        <v>2077</v>
      </c>
      <c r="L105" t="s">
        <v>2078</v>
      </c>
      <c r="M105" t="s">
        <v>2079</v>
      </c>
      <c r="N105" t="s">
        <v>2080</v>
      </c>
      <c r="O105" t="s">
        <v>2081</v>
      </c>
    </row>
    <row r="106" spans="1:15">
      <c r="A106" t="s">
        <v>14</v>
      </c>
      <c r="B106" t="s">
        <v>2082</v>
      </c>
      <c r="C106" t="s">
        <v>2083</v>
      </c>
      <c r="D106" t="s">
        <v>2084</v>
      </c>
      <c r="E106" t="s">
        <v>2085</v>
      </c>
      <c r="F106" t="s">
        <v>2086</v>
      </c>
      <c r="G106" t="s">
        <v>2087</v>
      </c>
      <c r="H106" t="s">
        <v>2088</v>
      </c>
      <c r="I106" t="s">
        <v>2089</v>
      </c>
      <c r="J106" t="s">
        <v>2090</v>
      </c>
      <c r="K106" t="s">
        <v>2091</v>
      </c>
      <c r="L106" t="s">
        <v>2092</v>
      </c>
      <c r="M106" t="s">
        <v>2093</v>
      </c>
      <c r="N106" t="s">
        <v>2094</v>
      </c>
      <c r="O106" t="s">
        <v>2095</v>
      </c>
    </row>
    <row r="107" spans="1:15">
      <c r="A107" t="s">
        <v>8</v>
      </c>
      <c r="B107" t="s">
        <v>876</v>
      </c>
      <c r="C107" t="s">
        <v>904</v>
      </c>
      <c r="D107" t="s">
        <v>14</v>
      </c>
      <c r="E107" t="s">
        <v>14</v>
      </c>
      <c r="F107" t="s">
        <v>14</v>
      </c>
      <c r="G107" t="s">
        <v>2096</v>
      </c>
      <c r="H107" t="s">
        <v>876</v>
      </c>
      <c r="I107" t="s">
        <v>904</v>
      </c>
      <c r="J107" t="s">
        <v>2097</v>
      </c>
      <c r="K107" t="s">
        <v>2098</v>
      </c>
      <c r="L107" t="s">
        <v>904</v>
      </c>
      <c r="M107" t="s">
        <v>2099</v>
      </c>
      <c r="N107" t="s">
        <v>2100</v>
      </c>
      <c r="O107" t="s">
        <v>2101</v>
      </c>
    </row>
    <row r="108" spans="1:15">
      <c r="A108" t="s">
        <v>2112</v>
      </c>
      <c r="B108" t="s">
        <v>884</v>
      </c>
      <c r="C108" t="s">
        <v>2102</v>
      </c>
      <c r="D108" t="s">
        <v>926</v>
      </c>
      <c r="E108" t="s">
        <v>898</v>
      </c>
      <c r="F108" t="s">
        <v>2103</v>
      </c>
      <c r="G108" t="s">
        <v>2104</v>
      </c>
      <c r="H108" t="s">
        <v>2105</v>
      </c>
      <c r="I108" t="s">
        <v>911</v>
      </c>
      <c r="J108" t="s">
        <v>2106</v>
      </c>
      <c r="K108" t="s">
        <v>2107</v>
      </c>
      <c r="L108" t="s">
        <v>2108</v>
      </c>
      <c r="M108" t="s">
        <v>2109</v>
      </c>
      <c r="N108" t="s">
        <v>2110</v>
      </c>
      <c r="O108" t="s">
        <v>2111</v>
      </c>
    </row>
    <row r="109" spans="1:15">
      <c r="A109" t="s">
        <v>556</v>
      </c>
      <c r="B109" t="s">
        <v>884</v>
      </c>
      <c r="C109" t="s">
        <v>2102</v>
      </c>
      <c r="D109" t="s">
        <v>926</v>
      </c>
      <c r="E109" t="s">
        <v>898</v>
      </c>
      <c r="F109" t="s">
        <v>2103</v>
      </c>
      <c r="G109" t="s">
        <v>2104</v>
      </c>
      <c r="H109" t="s">
        <v>2105</v>
      </c>
      <c r="I109" t="s">
        <v>911</v>
      </c>
      <c r="J109" t="s">
        <v>2106</v>
      </c>
      <c r="K109" t="s">
        <v>2107</v>
      </c>
      <c r="L109" t="s">
        <v>2108</v>
      </c>
      <c r="M109" t="s">
        <v>2109</v>
      </c>
      <c r="N109" t="s">
        <v>2110</v>
      </c>
      <c r="O109" t="s">
        <v>2111</v>
      </c>
    </row>
    <row r="110" spans="1:15">
      <c r="A110" t="s">
        <v>9</v>
      </c>
      <c r="B110" t="s">
        <v>2113</v>
      </c>
      <c r="C110" t="s">
        <v>2114</v>
      </c>
      <c r="D110" t="s">
        <v>556</v>
      </c>
      <c r="E110" t="s">
        <v>2115</v>
      </c>
      <c r="F110" t="s">
        <v>2116</v>
      </c>
      <c r="G110" t="s">
        <v>2117</v>
      </c>
      <c r="H110" t="s">
        <v>2118</v>
      </c>
      <c r="I110" t="s">
        <v>556</v>
      </c>
      <c r="J110" t="s">
        <v>2119</v>
      </c>
      <c r="K110" t="s">
        <v>2120</v>
      </c>
      <c r="L110" t="s">
        <v>2121</v>
      </c>
      <c r="M110" t="s">
        <v>2122</v>
      </c>
      <c r="N110" t="s">
        <v>2123</v>
      </c>
      <c r="O110" t="s">
        <v>2124</v>
      </c>
    </row>
    <row r="111" spans="1:15">
      <c r="A111" t="s">
        <v>559</v>
      </c>
      <c r="B111" t="s">
        <v>2125</v>
      </c>
      <c r="C111" t="s">
        <v>2126</v>
      </c>
      <c r="D111" t="s">
        <v>2127</v>
      </c>
      <c r="E111" t="s">
        <v>2128</v>
      </c>
      <c r="F111" t="s">
        <v>2129</v>
      </c>
      <c r="G111" t="s">
        <v>2130</v>
      </c>
      <c r="H111" t="s">
        <v>2131</v>
      </c>
      <c r="I111" t="s">
        <v>2132</v>
      </c>
      <c r="J111" t="s">
        <v>2132</v>
      </c>
      <c r="K111" t="s">
        <v>2132</v>
      </c>
      <c r="L111" t="s">
        <v>2126</v>
      </c>
      <c r="M111" t="s">
        <v>2133</v>
      </c>
      <c r="N111" t="s">
        <v>2134</v>
      </c>
      <c r="O111" t="s">
        <v>2135</v>
      </c>
    </row>
    <row r="112" spans="1:15">
      <c r="A112" t="s">
        <v>320</v>
      </c>
      <c r="B112" t="s">
        <v>2136</v>
      </c>
      <c r="C112" t="s">
        <v>2137</v>
      </c>
      <c r="D112" t="s">
        <v>2138</v>
      </c>
      <c r="E112" t="s">
        <v>2139</v>
      </c>
      <c r="F112" t="s">
        <v>2140</v>
      </c>
      <c r="G112" t="s">
        <v>2141</v>
      </c>
      <c r="H112" t="s">
        <v>2142</v>
      </c>
      <c r="I112" t="s">
        <v>2137</v>
      </c>
      <c r="J112" t="s">
        <v>2143</v>
      </c>
      <c r="K112" t="s">
        <v>2143</v>
      </c>
      <c r="L112" t="s">
        <v>2137</v>
      </c>
      <c r="M112" t="s">
        <v>2144</v>
      </c>
      <c r="N112" t="s">
        <v>2145</v>
      </c>
      <c r="O112" t="s">
        <v>2146</v>
      </c>
    </row>
    <row r="113" spans="1:15">
      <c r="A113" t="s">
        <v>441</v>
      </c>
      <c r="B113" t="s">
        <v>2147</v>
      </c>
      <c r="C113" t="s">
        <v>320</v>
      </c>
      <c r="D113" t="s">
        <v>320</v>
      </c>
      <c r="E113" t="s">
        <v>320</v>
      </c>
      <c r="F113" t="s">
        <v>320</v>
      </c>
      <c r="G113" t="s">
        <v>2148</v>
      </c>
      <c r="H113" t="s">
        <v>2149</v>
      </c>
      <c r="I113" t="s">
        <v>320</v>
      </c>
      <c r="J113" t="s">
        <v>2150</v>
      </c>
      <c r="K113" t="s">
        <v>2151</v>
      </c>
      <c r="L113" t="s">
        <v>2152</v>
      </c>
      <c r="M113" t="s">
        <v>2153</v>
      </c>
      <c r="N113" t="s">
        <v>2154</v>
      </c>
      <c r="O113" t="s">
        <v>2155</v>
      </c>
    </row>
    <row r="114" spans="1:15">
      <c r="A114" t="s">
        <v>459</v>
      </c>
      <c r="B114" t="s">
        <v>2156</v>
      </c>
      <c r="C114" t="s">
        <v>2157</v>
      </c>
      <c r="D114" t="s">
        <v>2158</v>
      </c>
      <c r="E114" t="s">
        <v>441</v>
      </c>
      <c r="F114" t="s">
        <v>2159</v>
      </c>
      <c r="G114" t="s">
        <v>2160</v>
      </c>
      <c r="H114" t="s">
        <v>2161</v>
      </c>
      <c r="I114" t="s">
        <v>2162</v>
      </c>
      <c r="J114" t="s">
        <v>2163</v>
      </c>
      <c r="K114" t="s">
        <v>2164</v>
      </c>
      <c r="L114" t="s">
        <v>2165</v>
      </c>
      <c r="M114" t="s">
        <v>2166</v>
      </c>
      <c r="N114" t="s">
        <v>2167</v>
      </c>
      <c r="O114" t="s">
        <v>2168</v>
      </c>
    </row>
    <row r="115" spans="1:15">
      <c r="A115" t="s">
        <v>163</v>
      </c>
      <c r="B115" t="s">
        <v>2169</v>
      </c>
      <c r="C115" t="s">
        <v>2170</v>
      </c>
      <c r="D115" t="s">
        <v>2171</v>
      </c>
      <c r="E115" t="s">
        <v>2172</v>
      </c>
      <c r="F115" t="s">
        <v>2173</v>
      </c>
      <c r="G115" t="s">
        <v>2174</v>
      </c>
      <c r="H115" t="s">
        <v>2175</v>
      </c>
      <c r="I115" t="s">
        <v>2176</v>
      </c>
      <c r="J115" t="s">
        <v>2177</v>
      </c>
      <c r="K115" t="s">
        <v>2178</v>
      </c>
      <c r="L115" t="s">
        <v>2179</v>
      </c>
      <c r="M115" t="s">
        <v>2180</v>
      </c>
      <c r="N115" t="s">
        <v>2181</v>
      </c>
      <c r="O115" t="s">
        <v>2182</v>
      </c>
    </row>
    <row r="116" spans="1:15">
      <c r="A116" t="s">
        <v>177</v>
      </c>
      <c r="B116" t="s">
        <v>2183</v>
      </c>
      <c r="C116" t="s">
        <v>2184</v>
      </c>
      <c r="D116" t="s">
        <v>2185</v>
      </c>
      <c r="E116" t="s">
        <v>2186</v>
      </c>
      <c r="F116" t="s">
        <v>2187</v>
      </c>
      <c r="G116" t="s">
        <v>2188</v>
      </c>
      <c r="H116" t="s">
        <v>2189</v>
      </c>
      <c r="I116" t="s">
        <v>2190</v>
      </c>
      <c r="J116" t="s">
        <v>2191</v>
      </c>
      <c r="K116" t="s">
        <v>2192</v>
      </c>
      <c r="L116" t="s">
        <v>2193</v>
      </c>
      <c r="M116" t="s">
        <v>2194</v>
      </c>
      <c r="N116" t="s">
        <v>2195</v>
      </c>
      <c r="O116" t="s">
        <v>2196</v>
      </c>
    </row>
    <row r="117" spans="1:15">
      <c r="A117" t="s">
        <v>179</v>
      </c>
      <c r="B117" t="s">
        <v>2197</v>
      </c>
      <c r="C117" t="s">
        <v>177</v>
      </c>
      <c r="D117" t="s">
        <v>177</v>
      </c>
      <c r="E117" t="s">
        <v>177</v>
      </c>
      <c r="F117" t="s">
        <v>177</v>
      </c>
      <c r="G117" t="s">
        <v>2198</v>
      </c>
      <c r="H117" t="s">
        <v>2199</v>
      </c>
      <c r="I117" t="s">
        <v>177</v>
      </c>
      <c r="J117" t="s">
        <v>2200</v>
      </c>
      <c r="K117" t="s">
        <v>2201</v>
      </c>
      <c r="L117" t="s">
        <v>177</v>
      </c>
      <c r="M117" t="s">
        <v>2202</v>
      </c>
      <c r="N117" t="s">
        <v>2203</v>
      </c>
      <c r="O117" t="s">
        <v>2204</v>
      </c>
    </row>
    <row r="118" spans="1:15">
      <c r="A118" t="s">
        <v>451</v>
      </c>
      <c r="B118" t="s">
        <v>2205</v>
      </c>
      <c r="C118" t="s">
        <v>2206</v>
      </c>
      <c r="D118" t="s">
        <v>2207</v>
      </c>
      <c r="E118" t="s">
        <v>2207</v>
      </c>
      <c r="F118" t="s">
        <v>2208</v>
      </c>
      <c r="G118" t="s">
        <v>2209</v>
      </c>
      <c r="H118" t="s">
        <v>2210</v>
      </c>
      <c r="I118" t="s">
        <v>2211</v>
      </c>
      <c r="J118" t="s">
        <v>2212</v>
      </c>
      <c r="K118" t="s">
        <v>2213</v>
      </c>
      <c r="L118" t="s">
        <v>2214</v>
      </c>
      <c r="M118" t="s">
        <v>2215</v>
      </c>
      <c r="N118" t="s">
        <v>2216</v>
      </c>
      <c r="O118" t="s">
        <v>2217</v>
      </c>
    </row>
    <row r="119" spans="1:15">
      <c r="A119" t="s">
        <v>539</v>
      </c>
      <c r="B119" t="s">
        <v>2218</v>
      </c>
      <c r="C119" t="s">
        <v>2219</v>
      </c>
      <c r="D119" t="s">
        <v>2220</v>
      </c>
      <c r="E119" t="s">
        <v>2221</v>
      </c>
      <c r="F119" t="s">
        <v>2222</v>
      </c>
      <c r="G119" t="s">
        <v>2223</v>
      </c>
      <c r="H119" t="s">
        <v>2224</v>
      </c>
      <c r="I119" t="s">
        <v>2225</v>
      </c>
      <c r="J119" t="s">
        <v>2226</v>
      </c>
      <c r="K119" t="s">
        <v>2227</v>
      </c>
      <c r="L119" t="s">
        <v>2228</v>
      </c>
      <c r="M119" t="s">
        <v>2229</v>
      </c>
      <c r="N119" t="s">
        <v>2230</v>
      </c>
      <c r="O119" t="s">
        <v>2231</v>
      </c>
    </row>
    <row r="120" spans="1:15">
      <c r="A120" t="s">
        <v>404</v>
      </c>
      <c r="B120" t="s">
        <v>2232</v>
      </c>
      <c r="C120" t="s">
        <v>2233</v>
      </c>
      <c r="D120" t="s">
        <v>2234</v>
      </c>
      <c r="E120" t="s">
        <v>2235</v>
      </c>
      <c r="F120" t="s">
        <v>2236</v>
      </c>
      <c r="G120" t="s">
        <v>2237</v>
      </c>
      <c r="H120" t="s">
        <v>2238</v>
      </c>
      <c r="I120" t="s">
        <v>2239</v>
      </c>
      <c r="J120" t="s">
        <v>2240</v>
      </c>
      <c r="K120" t="s">
        <v>2241</v>
      </c>
      <c r="L120" t="s">
        <v>2242</v>
      </c>
      <c r="M120" t="s">
        <v>2243</v>
      </c>
      <c r="N120" t="s">
        <v>2244</v>
      </c>
      <c r="O120" t="s">
        <v>2245</v>
      </c>
    </row>
    <row r="121" spans="1:15">
      <c r="A121" t="s">
        <v>433</v>
      </c>
      <c r="B121" t="s">
        <v>2246</v>
      </c>
      <c r="C121" t="s">
        <v>2247</v>
      </c>
      <c r="D121" t="s">
        <v>404</v>
      </c>
      <c r="E121" t="s">
        <v>404</v>
      </c>
      <c r="F121" t="s">
        <v>2248</v>
      </c>
      <c r="G121" t="s">
        <v>2249</v>
      </c>
      <c r="H121" t="s">
        <v>2250</v>
      </c>
      <c r="I121" t="s">
        <v>2251</v>
      </c>
      <c r="J121" t="s">
        <v>404</v>
      </c>
      <c r="K121" t="s">
        <v>2252</v>
      </c>
      <c r="L121" t="s">
        <v>2253</v>
      </c>
      <c r="M121" t="s">
        <v>2254</v>
      </c>
      <c r="N121" t="s">
        <v>2255</v>
      </c>
      <c r="O121" t="s">
        <v>2256</v>
      </c>
    </row>
    <row r="122" spans="1:15">
      <c r="A122" t="s">
        <v>299</v>
      </c>
      <c r="B122" t="s">
        <v>2257</v>
      </c>
      <c r="C122" t="s">
        <v>2258</v>
      </c>
      <c r="D122" t="s">
        <v>2259</v>
      </c>
      <c r="E122" t="s">
        <v>2260</v>
      </c>
      <c r="F122" t="s">
        <v>2261</v>
      </c>
      <c r="G122" t="s">
        <v>2262</v>
      </c>
      <c r="H122" t="s">
        <v>2263</v>
      </c>
      <c r="I122" t="s">
        <v>2264</v>
      </c>
      <c r="J122" t="s">
        <v>2265</v>
      </c>
      <c r="K122" t="s">
        <v>2266</v>
      </c>
      <c r="L122" t="s">
        <v>2267</v>
      </c>
      <c r="M122" t="s">
        <v>2268</v>
      </c>
      <c r="N122" t="s">
        <v>2269</v>
      </c>
      <c r="O122" t="s">
        <v>2270</v>
      </c>
    </row>
    <row r="123" spans="1:15">
      <c r="A123" t="s">
        <v>168</v>
      </c>
      <c r="B123" t="s">
        <v>2271</v>
      </c>
      <c r="C123" t="s">
        <v>2272</v>
      </c>
      <c r="D123" t="s">
        <v>2273</v>
      </c>
      <c r="E123" t="s">
        <v>2274</v>
      </c>
      <c r="F123" t="s">
        <v>2275</v>
      </c>
      <c r="G123" t="s">
        <v>2276</v>
      </c>
      <c r="H123" t="s">
        <v>2277</v>
      </c>
      <c r="I123" t="s">
        <v>2274</v>
      </c>
      <c r="J123" t="s">
        <v>299</v>
      </c>
      <c r="K123" t="s">
        <v>2278</v>
      </c>
      <c r="L123" t="s">
        <v>2279</v>
      </c>
      <c r="M123" t="s">
        <v>299</v>
      </c>
      <c r="N123" t="s">
        <v>2280</v>
      </c>
      <c r="O123" t="s">
        <v>2281</v>
      </c>
    </row>
    <row r="124" spans="1:15">
      <c r="A124" t="s">
        <v>173</v>
      </c>
      <c r="B124" t="s">
        <v>2282</v>
      </c>
      <c r="C124" t="s">
        <v>168</v>
      </c>
      <c r="D124" t="s">
        <v>168</v>
      </c>
      <c r="E124" t="s">
        <v>168</v>
      </c>
      <c r="F124" t="s">
        <v>168</v>
      </c>
      <c r="G124" t="s">
        <v>2283</v>
      </c>
      <c r="H124" t="s">
        <v>168</v>
      </c>
      <c r="I124" t="s">
        <v>2284</v>
      </c>
      <c r="J124" t="s">
        <v>2284</v>
      </c>
      <c r="K124" t="s">
        <v>168</v>
      </c>
      <c r="L124" t="s">
        <v>2284</v>
      </c>
      <c r="M124" t="s">
        <v>2285</v>
      </c>
      <c r="N124" t="s">
        <v>2286</v>
      </c>
      <c r="O124" t="s">
        <v>168</v>
      </c>
    </row>
    <row r="125" spans="1:15">
      <c r="A125" t="s">
        <v>543</v>
      </c>
      <c r="B125" t="s">
        <v>2287</v>
      </c>
      <c r="C125" t="s">
        <v>173</v>
      </c>
      <c r="D125" t="s">
        <v>173</v>
      </c>
      <c r="E125" t="s">
        <v>173</v>
      </c>
      <c r="F125" t="s">
        <v>173</v>
      </c>
      <c r="G125" t="s">
        <v>2288</v>
      </c>
      <c r="H125" t="s">
        <v>173</v>
      </c>
      <c r="I125" t="s">
        <v>2289</v>
      </c>
      <c r="J125" t="s">
        <v>2289</v>
      </c>
      <c r="K125" t="s">
        <v>2290</v>
      </c>
      <c r="L125" t="s">
        <v>2291</v>
      </c>
      <c r="M125" t="s">
        <v>2292</v>
      </c>
      <c r="N125" t="s">
        <v>2293</v>
      </c>
      <c r="O125" t="s">
        <v>173</v>
      </c>
    </row>
    <row r="126" spans="1:15">
      <c r="A126" t="s">
        <v>626</v>
      </c>
      <c r="B126" t="s">
        <v>2294</v>
      </c>
      <c r="C126" t="s">
        <v>2295</v>
      </c>
      <c r="D126" t="s">
        <v>2296</v>
      </c>
      <c r="E126" t="s">
        <v>2297</v>
      </c>
      <c r="F126" t="s">
        <v>2298</v>
      </c>
      <c r="G126" t="s">
        <v>2299</v>
      </c>
      <c r="H126" t="s">
        <v>2300</v>
      </c>
      <c r="I126" t="s">
        <v>2301</v>
      </c>
      <c r="J126" t="s">
        <v>2302</v>
      </c>
      <c r="K126" t="s">
        <v>2303</v>
      </c>
      <c r="L126" t="s">
        <v>2304</v>
      </c>
      <c r="M126" t="s">
        <v>2305</v>
      </c>
      <c r="N126" t="s">
        <v>2306</v>
      </c>
      <c r="O126" t="s">
        <v>2307</v>
      </c>
    </row>
    <row r="127" spans="1:15">
      <c r="A127" t="s">
        <v>623</v>
      </c>
      <c r="B127" t="s">
        <v>2308</v>
      </c>
      <c r="C127" t="s">
        <v>2309</v>
      </c>
      <c r="D127" t="s">
        <v>2310</v>
      </c>
      <c r="E127" t="s">
        <v>2311</v>
      </c>
      <c r="F127" t="s">
        <v>2312</v>
      </c>
      <c r="G127" t="s">
        <v>2313</v>
      </c>
      <c r="H127" t="s">
        <v>2314</v>
      </c>
      <c r="I127" t="s">
        <v>2315</v>
      </c>
      <c r="J127" t="s">
        <v>2316</v>
      </c>
      <c r="K127" t="s">
        <v>2317</v>
      </c>
      <c r="L127" t="s">
        <v>2318</v>
      </c>
      <c r="M127" t="s">
        <v>2319</v>
      </c>
      <c r="N127" t="s">
        <v>2320</v>
      </c>
      <c r="O127" t="s">
        <v>2321</v>
      </c>
    </row>
    <row r="128" spans="1:15">
      <c r="A128" t="s">
        <v>579</v>
      </c>
      <c r="B128" t="s">
        <v>2322</v>
      </c>
      <c r="C128" t="s">
        <v>2323</v>
      </c>
      <c r="D128" t="s">
        <v>2324</v>
      </c>
      <c r="E128" t="s">
        <v>2325</v>
      </c>
      <c r="F128" t="s">
        <v>2326</v>
      </c>
      <c r="G128" t="s">
        <v>2327</v>
      </c>
      <c r="H128" t="s">
        <v>2322</v>
      </c>
      <c r="I128" t="s">
        <v>2328</v>
      </c>
      <c r="J128" t="s">
        <v>2329</v>
      </c>
      <c r="K128" t="s">
        <v>2330</v>
      </c>
      <c r="L128" t="s">
        <v>2331</v>
      </c>
      <c r="M128" t="s">
        <v>2332</v>
      </c>
      <c r="N128" t="s">
        <v>2333</v>
      </c>
      <c r="O128" t="s">
        <v>2334</v>
      </c>
    </row>
    <row r="129" spans="1:15">
      <c r="A129" t="s">
        <v>654</v>
      </c>
      <c r="B129" t="s">
        <v>2335</v>
      </c>
      <c r="C129" t="s">
        <v>2336</v>
      </c>
      <c r="D129" t="s">
        <v>2337</v>
      </c>
      <c r="E129" t="s">
        <v>2338</v>
      </c>
      <c r="F129" t="s">
        <v>2339</v>
      </c>
      <c r="G129" t="s">
        <v>2340</v>
      </c>
      <c r="H129" t="s">
        <v>2341</v>
      </c>
      <c r="I129" t="s">
        <v>579</v>
      </c>
      <c r="J129" t="s">
        <v>2342</v>
      </c>
      <c r="K129" t="s">
        <v>579</v>
      </c>
      <c r="L129" t="s">
        <v>579</v>
      </c>
      <c r="M129" t="s">
        <v>2343</v>
      </c>
      <c r="N129" t="s">
        <v>2344</v>
      </c>
      <c r="O129" t="s">
        <v>2344</v>
      </c>
    </row>
    <row r="130" spans="1:15">
      <c r="A130" t="s">
        <v>466</v>
      </c>
      <c r="B130" t="s">
        <v>872</v>
      </c>
      <c r="C130" t="s">
        <v>2345</v>
      </c>
      <c r="D130" t="s">
        <v>916</v>
      </c>
      <c r="E130" t="s">
        <v>889</v>
      </c>
      <c r="F130" t="s">
        <v>2346</v>
      </c>
      <c r="G130" t="s">
        <v>2347</v>
      </c>
      <c r="H130" t="s">
        <v>2348</v>
      </c>
      <c r="I130" t="s">
        <v>901</v>
      </c>
      <c r="J130" t="s">
        <v>2349</v>
      </c>
      <c r="K130" t="s">
        <v>2350</v>
      </c>
      <c r="L130" t="s">
        <v>2351</v>
      </c>
      <c r="M130" t="s">
        <v>2352</v>
      </c>
      <c r="N130" t="s">
        <v>2353</v>
      </c>
      <c r="O130" t="s">
        <v>2354</v>
      </c>
    </row>
    <row r="131" spans="1:15">
      <c r="A131" t="s">
        <v>266</v>
      </c>
      <c r="B131" t="s">
        <v>2355</v>
      </c>
      <c r="C131" t="s">
        <v>2356</v>
      </c>
      <c r="D131" t="s">
        <v>2357</v>
      </c>
      <c r="E131" t="s">
        <v>2358</v>
      </c>
      <c r="F131" t="s">
        <v>2359</v>
      </c>
      <c r="G131" t="s">
        <v>2360</v>
      </c>
      <c r="H131" t="s">
        <v>2361</v>
      </c>
      <c r="I131" t="s">
        <v>2362</v>
      </c>
      <c r="J131" t="s">
        <v>2363</v>
      </c>
      <c r="K131" t="s">
        <v>2364</v>
      </c>
      <c r="L131" t="s">
        <v>2365</v>
      </c>
      <c r="M131" t="s">
        <v>2366</v>
      </c>
      <c r="N131" t="s">
        <v>2367</v>
      </c>
      <c r="O131" t="s">
        <v>2368</v>
      </c>
    </row>
    <row r="132" spans="1:15">
      <c r="A132" t="s">
        <v>181</v>
      </c>
      <c r="B132" t="s">
        <v>2369</v>
      </c>
      <c r="C132" t="s">
        <v>2370</v>
      </c>
      <c r="D132" t="s">
        <v>2371</v>
      </c>
      <c r="E132" t="s">
        <v>2372</v>
      </c>
      <c r="F132" t="s">
        <v>2373</v>
      </c>
      <c r="G132" t="s">
        <v>2374</v>
      </c>
      <c r="H132" t="s">
        <v>2375</v>
      </c>
      <c r="I132" t="s">
        <v>2376</v>
      </c>
      <c r="J132" t="s">
        <v>2377</v>
      </c>
      <c r="K132" t="s">
        <v>2378</v>
      </c>
      <c r="L132" t="s">
        <v>2379</v>
      </c>
      <c r="M132" t="s">
        <v>2380</v>
      </c>
      <c r="N132" t="s">
        <v>2381</v>
      </c>
      <c r="O132" t="s">
        <v>2382</v>
      </c>
    </row>
    <row r="133" spans="1:15">
      <c r="A133" t="s">
        <v>142</v>
      </c>
      <c r="B133" t="s">
        <v>2383</v>
      </c>
      <c r="C133" t="s">
        <v>2384</v>
      </c>
      <c r="D133" t="s">
        <v>2384</v>
      </c>
      <c r="E133" t="s">
        <v>2384</v>
      </c>
      <c r="F133" t="s">
        <v>2385</v>
      </c>
      <c r="G133" t="s">
        <v>2383</v>
      </c>
      <c r="H133" t="s">
        <v>2383</v>
      </c>
      <c r="I133" t="s">
        <v>2384</v>
      </c>
      <c r="J133" t="s">
        <v>2386</v>
      </c>
      <c r="K133" t="s">
        <v>181</v>
      </c>
      <c r="L133" t="s">
        <v>2384</v>
      </c>
      <c r="M133" t="s">
        <v>2387</v>
      </c>
      <c r="N133" t="s">
        <v>2388</v>
      </c>
      <c r="O133" t="s">
        <v>2389</v>
      </c>
    </row>
    <row r="134" spans="1:15">
      <c r="A134" t="s">
        <v>486</v>
      </c>
      <c r="B134" t="s">
        <v>2390</v>
      </c>
      <c r="C134" t="s">
        <v>142</v>
      </c>
      <c r="D134" t="s">
        <v>142</v>
      </c>
      <c r="E134" t="s">
        <v>142</v>
      </c>
      <c r="F134" t="s">
        <v>142</v>
      </c>
      <c r="G134" t="s">
        <v>142</v>
      </c>
      <c r="H134" t="s">
        <v>142</v>
      </c>
      <c r="I134" t="s">
        <v>142</v>
      </c>
      <c r="J134" t="s">
        <v>2391</v>
      </c>
      <c r="K134" t="s">
        <v>142</v>
      </c>
      <c r="L134" t="s">
        <v>2392</v>
      </c>
      <c r="M134" t="s">
        <v>2393</v>
      </c>
      <c r="N134" t="s">
        <v>2394</v>
      </c>
      <c r="O134" t="s">
        <v>2395</v>
      </c>
    </row>
    <row r="135" spans="1:15">
      <c r="A135" t="s">
        <v>480</v>
      </c>
      <c r="B135" t="s">
        <v>2396</v>
      </c>
      <c r="C135" t="s">
        <v>486</v>
      </c>
      <c r="D135" t="s">
        <v>486</v>
      </c>
      <c r="E135" t="s">
        <v>486</v>
      </c>
      <c r="F135" t="s">
        <v>486</v>
      </c>
      <c r="G135" t="s">
        <v>486</v>
      </c>
      <c r="H135" t="s">
        <v>486</v>
      </c>
      <c r="I135" t="s">
        <v>2397</v>
      </c>
      <c r="J135" t="s">
        <v>2398</v>
      </c>
      <c r="K135" t="s">
        <v>486</v>
      </c>
      <c r="L135" t="s">
        <v>2399</v>
      </c>
      <c r="M135" t="s">
        <v>2400</v>
      </c>
      <c r="N135" t="s">
        <v>2401</v>
      </c>
      <c r="O135" t="s">
        <v>2402</v>
      </c>
    </row>
    <row r="136" spans="1:15">
      <c r="A136" t="s">
        <v>127</v>
      </c>
      <c r="B136" t="s">
        <v>2403</v>
      </c>
      <c r="C136" t="s">
        <v>2404</v>
      </c>
      <c r="D136" t="s">
        <v>2405</v>
      </c>
      <c r="E136" t="s">
        <v>480</v>
      </c>
      <c r="F136" t="s">
        <v>2406</v>
      </c>
      <c r="G136" t="s">
        <v>2407</v>
      </c>
      <c r="H136" t="s">
        <v>2408</v>
      </c>
      <c r="I136" t="s">
        <v>2409</v>
      </c>
      <c r="J136" t="s">
        <v>2410</v>
      </c>
      <c r="K136" t="s">
        <v>2411</v>
      </c>
      <c r="L136" t="s">
        <v>2412</v>
      </c>
      <c r="M136" t="s">
        <v>2413</v>
      </c>
      <c r="N136" t="s">
        <v>2414</v>
      </c>
      <c r="O136" t="s">
        <v>2415</v>
      </c>
    </row>
    <row r="137" spans="1:15">
      <c r="A137" t="s">
        <v>802</v>
      </c>
      <c r="B137" t="s">
        <v>2416</v>
      </c>
      <c r="C137" t="s">
        <v>2417</v>
      </c>
      <c r="D137" t="s">
        <v>2418</v>
      </c>
      <c r="E137" t="s">
        <v>127</v>
      </c>
      <c r="F137" t="s">
        <v>127</v>
      </c>
      <c r="G137" t="s">
        <v>127</v>
      </c>
      <c r="H137" t="s">
        <v>2419</v>
      </c>
      <c r="I137" t="s">
        <v>2420</v>
      </c>
      <c r="J137" t="s">
        <v>2417</v>
      </c>
      <c r="K137" t="s">
        <v>127</v>
      </c>
      <c r="L137" t="s">
        <v>2421</v>
      </c>
      <c r="M137" t="s">
        <v>2422</v>
      </c>
      <c r="N137" t="s">
        <v>2423</v>
      </c>
      <c r="O137" t="s">
        <v>2424</v>
      </c>
    </row>
    <row r="138" spans="1:15">
      <c r="A138" t="s">
        <v>424</v>
      </c>
      <c r="B138" t="s">
        <v>2425</v>
      </c>
      <c r="C138" t="s">
        <v>802</v>
      </c>
      <c r="D138" t="s">
        <v>802</v>
      </c>
      <c r="E138" t="s">
        <v>802</v>
      </c>
      <c r="F138" t="s">
        <v>802</v>
      </c>
      <c r="G138" t="s">
        <v>2425</v>
      </c>
      <c r="H138" t="s">
        <v>802</v>
      </c>
      <c r="I138" t="s">
        <v>802</v>
      </c>
      <c r="J138" t="s">
        <v>2426</v>
      </c>
      <c r="K138" t="s">
        <v>802</v>
      </c>
      <c r="L138" t="s">
        <v>2426</v>
      </c>
      <c r="M138" t="s">
        <v>802</v>
      </c>
      <c r="N138" t="s">
        <v>2427</v>
      </c>
      <c r="O138" t="s">
        <v>802</v>
      </c>
    </row>
    <row r="139" spans="1:15">
      <c r="A139" t="s">
        <v>272</v>
      </c>
      <c r="B139" t="s">
        <v>2428</v>
      </c>
      <c r="C139" t="s">
        <v>2429</v>
      </c>
      <c r="D139" t="s">
        <v>2430</v>
      </c>
      <c r="E139" t="s">
        <v>2431</v>
      </c>
      <c r="F139" t="s">
        <v>2432</v>
      </c>
      <c r="G139" t="s">
        <v>2433</v>
      </c>
      <c r="H139" t="s">
        <v>2434</v>
      </c>
      <c r="I139" t="s">
        <v>2435</v>
      </c>
      <c r="J139" t="s">
        <v>2436</v>
      </c>
      <c r="K139" t="s">
        <v>2437</v>
      </c>
      <c r="L139" t="s">
        <v>2438</v>
      </c>
      <c r="M139" t="s">
        <v>2439</v>
      </c>
      <c r="N139" t="s">
        <v>2440</v>
      </c>
      <c r="O139" t="s">
        <v>2441</v>
      </c>
    </row>
    <row r="140" spans="1:15">
      <c r="A140" t="s">
        <v>263</v>
      </c>
      <c r="B140" t="s">
        <v>2442</v>
      </c>
      <c r="C140" t="s">
        <v>2443</v>
      </c>
      <c r="D140" t="s">
        <v>2444</v>
      </c>
      <c r="E140" t="s">
        <v>2445</v>
      </c>
      <c r="F140" t="s">
        <v>2446</v>
      </c>
      <c r="G140" t="s">
        <v>2447</v>
      </c>
      <c r="H140" t="s">
        <v>2448</v>
      </c>
      <c r="I140" t="s">
        <v>2449</v>
      </c>
      <c r="J140" t="s">
        <v>2450</v>
      </c>
      <c r="K140" t="s">
        <v>2451</v>
      </c>
      <c r="L140" t="s">
        <v>2452</v>
      </c>
      <c r="M140" t="s">
        <v>2453</v>
      </c>
      <c r="N140" t="s">
        <v>2454</v>
      </c>
      <c r="O140" t="s">
        <v>2455</v>
      </c>
    </row>
    <row r="141" spans="1:15">
      <c r="A141" t="s">
        <v>264</v>
      </c>
      <c r="B141" t="s">
        <v>2456</v>
      </c>
      <c r="C141" t="s">
        <v>2457</v>
      </c>
      <c r="D141" t="s">
        <v>2458</v>
      </c>
      <c r="E141" t="s">
        <v>2459</v>
      </c>
      <c r="F141" t="s">
        <v>2460</v>
      </c>
      <c r="G141" t="s">
        <v>2461</v>
      </c>
      <c r="H141" t="s">
        <v>2462</v>
      </c>
      <c r="I141" t="s">
        <v>2463</v>
      </c>
      <c r="J141" t="s">
        <v>2464</v>
      </c>
      <c r="K141" t="s">
        <v>2465</v>
      </c>
      <c r="L141" t="s">
        <v>2466</v>
      </c>
      <c r="M141" t="s">
        <v>2467</v>
      </c>
      <c r="N141" t="s">
        <v>2468</v>
      </c>
      <c r="O141" t="s">
        <v>2469</v>
      </c>
    </row>
    <row r="142" spans="1:15">
      <c r="A142" t="s">
        <v>652</v>
      </c>
      <c r="B142" t="s">
        <v>2470</v>
      </c>
      <c r="C142" t="s">
        <v>2471</v>
      </c>
      <c r="D142" t="s">
        <v>2472</v>
      </c>
      <c r="E142" t="s">
        <v>2473</v>
      </c>
      <c r="F142" t="s">
        <v>2474</v>
      </c>
      <c r="G142" t="s">
        <v>2470</v>
      </c>
      <c r="H142" t="s">
        <v>2470</v>
      </c>
      <c r="I142" t="s">
        <v>2475</v>
      </c>
      <c r="J142" t="s">
        <v>2476</v>
      </c>
      <c r="K142" t="s">
        <v>2477</v>
      </c>
      <c r="L142" t="s">
        <v>2478</v>
      </c>
      <c r="M142" t="s">
        <v>2479</v>
      </c>
      <c r="N142" t="s">
        <v>2480</v>
      </c>
      <c r="O142" t="s">
        <v>2480</v>
      </c>
    </row>
    <row r="143" spans="1:15">
      <c r="A143" t="s">
        <v>15</v>
      </c>
      <c r="B143" t="s">
        <v>873</v>
      </c>
      <c r="C143" t="s">
        <v>2481</v>
      </c>
      <c r="D143" t="s">
        <v>917</v>
      </c>
      <c r="E143" t="s">
        <v>890</v>
      </c>
      <c r="F143" t="s">
        <v>2482</v>
      </c>
      <c r="G143" t="s">
        <v>2483</v>
      </c>
      <c r="H143" t="s">
        <v>873</v>
      </c>
      <c r="I143" t="s">
        <v>902</v>
      </c>
      <c r="J143" t="s">
        <v>2484</v>
      </c>
      <c r="K143" t="s">
        <v>2485</v>
      </c>
      <c r="L143" t="s">
        <v>2486</v>
      </c>
      <c r="M143" t="s">
        <v>2487</v>
      </c>
      <c r="N143" t="s">
        <v>2488</v>
      </c>
      <c r="O143" t="s">
        <v>2489</v>
      </c>
    </row>
    <row r="144" spans="1:15">
      <c r="A144" t="s">
        <v>16</v>
      </c>
      <c r="B144" t="s">
        <v>879</v>
      </c>
      <c r="C144" t="s">
        <v>2490</v>
      </c>
      <c r="D144" t="s">
        <v>921</v>
      </c>
      <c r="E144" t="s">
        <v>895</v>
      </c>
      <c r="F144" t="s">
        <v>2491</v>
      </c>
      <c r="G144" t="s">
        <v>2492</v>
      </c>
      <c r="H144" t="s">
        <v>2493</v>
      </c>
      <c r="I144" t="s">
        <v>15</v>
      </c>
      <c r="J144" t="s">
        <v>2494</v>
      </c>
      <c r="K144" t="s">
        <v>2495</v>
      </c>
      <c r="L144" t="s">
        <v>15</v>
      </c>
      <c r="M144" t="s">
        <v>2496</v>
      </c>
      <c r="N144" t="s">
        <v>2497</v>
      </c>
      <c r="O144" t="s">
        <v>2497</v>
      </c>
    </row>
    <row r="145" spans="1:15">
      <c r="A145" t="s">
        <v>352</v>
      </c>
      <c r="B145" t="s">
        <v>2498</v>
      </c>
      <c r="C145" t="s">
        <v>2499</v>
      </c>
      <c r="D145" t="s">
        <v>2500</v>
      </c>
      <c r="E145" t="s">
        <v>2501</v>
      </c>
      <c r="F145" t="s">
        <v>2502</v>
      </c>
      <c r="G145" t="s">
        <v>2503</v>
      </c>
      <c r="H145" t="s">
        <v>2504</v>
      </c>
      <c r="I145" t="s">
        <v>2505</v>
      </c>
      <c r="J145" t="s">
        <v>2506</v>
      </c>
      <c r="K145" t="s">
        <v>2507</v>
      </c>
      <c r="L145" t="s">
        <v>2508</v>
      </c>
      <c r="M145" t="s">
        <v>2509</v>
      </c>
      <c r="N145" t="s">
        <v>2510</v>
      </c>
      <c r="O145" t="s">
        <v>2510</v>
      </c>
    </row>
    <row r="146" spans="1:15">
      <c r="A146" t="s">
        <v>353</v>
      </c>
      <c r="B146" t="s">
        <v>2511</v>
      </c>
      <c r="C146" t="s">
        <v>2512</v>
      </c>
      <c r="D146" t="s">
        <v>925</v>
      </c>
      <c r="E146" t="s">
        <v>2513</v>
      </c>
      <c r="F146" t="s">
        <v>2514</v>
      </c>
      <c r="G146" t="s">
        <v>2515</v>
      </c>
      <c r="H146" t="s">
        <v>2516</v>
      </c>
      <c r="I146" t="s">
        <v>910</v>
      </c>
      <c r="J146" t="s">
        <v>2517</v>
      </c>
      <c r="K146" t="s">
        <v>2518</v>
      </c>
      <c r="L146" t="s">
        <v>2519</v>
      </c>
      <c r="M146" t="s">
        <v>2520</v>
      </c>
      <c r="N146" t="s">
        <v>1457</v>
      </c>
      <c r="O146" t="s">
        <v>1457</v>
      </c>
    </row>
    <row r="147" spans="1:15">
      <c r="A147" t="s">
        <v>362</v>
      </c>
      <c r="B147" t="s">
        <v>2521</v>
      </c>
      <c r="C147" t="s">
        <v>2522</v>
      </c>
      <c r="D147" t="s">
        <v>2523</v>
      </c>
      <c r="E147" t="s">
        <v>353</v>
      </c>
      <c r="F147" t="s">
        <v>353</v>
      </c>
      <c r="G147" t="s">
        <v>353</v>
      </c>
      <c r="H147" t="s">
        <v>353</v>
      </c>
      <c r="I147" t="s">
        <v>353</v>
      </c>
      <c r="J147" t="s">
        <v>2524</v>
      </c>
      <c r="K147" t="s">
        <v>2525</v>
      </c>
      <c r="L147" t="s">
        <v>2526</v>
      </c>
      <c r="M147" t="s">
        <v>2527</v>
      </c>
      <c r="N147" t="s">
        <v>2528</v>
      </c>
      <c r="O147" t="s">
        <v>2529</v>
      </c>
    </row>
    <row r="148" spans="1:15">
      <c r="A148" t="s">
        <v>540</v>
      </c>
      <c r="B148" t="s">
        <v>2530</v>
      </c>
      <c r="C148" t="s">
        <v>2531</v>
      </c>
      <c r="D148" t="s">
        <v>2532</v>
      </c>
      <c r="E148" t="s">
        <v>362</v>
      </c>
      <c r="F148" t="s">
        <v>362</v>
      </c>
      <c r="G148" t="s">
        <v>2533</v>
      </c>
      <c r="H148" t="s">
        <v>2533</v>
      </c>
      <c r="I148" t="s">
        <v>2534</v>
      </c>
      <c r="J148" t="s">
        <v>2535</v>
      </c>
      <c r="K148" t="s">
        <v>2536</v>
      </c>
      <c r="L148" t="s">
        <v>2537</v>
      </c>
      <c r="M148" t="s">
        <v>2538</v>
      </c>
      <c r="N148" t="s">
        <v>2539</v>
      </c>
      <c r="O148" t="s">
        <v>2540</v>
      </c>
    </row>
    <row r="149" spans="1:15">
      <c r="A149" t="s">
        <v>2555</v>
      </c>
      <c r="B149" t="s">
        <v>2541</v>
      </c>
      <c r="C149" t="s">
        <v>2542</v>
      </c>
      <c r="D149" t="s">
        <v>2543</v>
      </c>
      <c r="E149" t="s">
        <v>2544</v>
      </c>
      <c r="F149" t="s">
        <v>2545</v>
      </c>
      <c r="G149" t="s">
        <v>2546</v>
      </c>
      <c r="H149" t="s">
        <v>2547</v>
      </c>
      <c r="I149" t="s">
        <v>2548</v>
      </c>
      <c r="J149" t="s">
        <v>2549</v>
      </c>
      <c r="K149" t="s">
        <v>2550</v>
      </c>
      <c r="L149" t="s">
        <v>2551</v>
      </c>
      <c r="M149" t="s">
        <v>2552</v>
      </c>
      <c r="N149" t="s">
        <v>2553</v>
      </c>
      <c r="O149" t="s">
        <v>2554</v>
      </c>
    </row>
    <row r="150" spans="1:15">
      <c r="A150" t="s">
        <v>2570</v>
      </c>
      <c r="B150" t="s">
        <v>2556</v>
      </c>
      <c r="C150" t="s">
        <v>2557</v>
      </c>
      <c r="D150" t="s">
        <v>2558</v>
      </c>
      <c r="E150" t="s">
        <v>2559</v>
      </c>
      <c r="F150" t="s">
        <v>2560</v>
      </c>
      <c r="G150" t="s">
        <v>2561</v>
      </c>
      <c r="H150" t="s">
        <v>2562</v>
      </c>
      <c r="I150" t="s">
        <v>2563</v>
      </c>
      <c r="J150" t="s">
        <v>2564</v>
      </c>
      <c r="K150" t="s">
        <v>2565</v>
      </c>
      <c r="L150" t="s">
        <v>2566</v>
      </c>
      <c r="M150" t="s">
        <v>2567</v>
      </c>
      <c r="N150" t="s">
        <v>2568</v>
      </c>
      <c r="O150" t="s">
        <v>2569</v>
      </c>
    </row>
    <row r="151" spans="1:15">
      <c r="A151" t="s">
        <v>421</v>
      </c>
      <c r="B151" t="s">
        <v>2571</v>
      </c>
      <c r="C151" t="s">
        <v>2572</v>
      </c>
      <c r="D151" t="s">
        <v>2573</v>
      </c>
      <c r="E151" t="s">
        <v>2574</v>
      </c>
      <c r="F151" t="s">
        <v>2575</v>
      </c>
      <c r="G151" t="s">
        <v>2576</v>
      </c>
      <c r="H151" t="s">
        <v>2571</v>
      </c>
      <c r="I151" t="s">
        <v>2577</v>
      </c>
      <c r="J151" t="s">
        <v>2578</v>
      </c>
      <c r="K151" t="s">
        <v>2579</v>
      </c>
      <c r="L151" t="s">
        <v>2580</v>
      </c>
      <c r="M151" t="s">
        <v>2581</v>
      </c>
      <c r="N151" t="s">
        <v>2582</v>
      </c>
      <c r="O151" t="s">
        <v>2583</v>
      </c>
    </row>
    <row r="152" spans="1:15">
      <c r="A152" t="s">
        <v>268</v>
      </c>
      <c r="B152" t="s">
        <v>2584</v>
      </c>
      <c r="C152" t="s">
        <v>2585</v>
      </c>
      <c r="D152" t="s">
        <v>2586</v>
      </c>
      <c r="E152" t="s">
        <v>2587</v>
      </c>
      <c r="F152" t="s">
        <v>2588</v>
      </c>
      <c r="G152" t="s">
        <v>2589</v>
      </c>
      <c r="H152" t="s">
        <v>2590</v>
      </c>
      <c r="I152" t="s">
        <v>2591</v>
      </c>
      <c r="J152" t="s">
        <v>2592</v>
      </c>
      <c r="K152" t="s">
        <v>2593</v>
      </c>
      <c r="L152" t="s">
        <v>2594</v>
      </c>
      <c r="M152" t="s">
        <v>2595</v>
      </c>
      <c r="N152" t="s">
        <v>2596</v>
      </c>
      <c r="O152" t="s">
        <v>2597</v>
      </c>
    </row>
    <row r="153" spans="1:15">
      <c r="A153" t="s">
        <v>545</v>
      </c>
      <c r="B153" t="s">
        <v>2598</v>
      </c>
      <c r="C153" t="s">
        <v>2599</v>
      </c>
      <c r="D153" t="s">
        <v>2600</v>
      </c>
      <c r="E153" t="s">
        <v>2601</v>
      </c>
      <c r="F153" t="s">
        <v>2602</v>
      </c>
      <c r="G153" t="s">
        <v>2603</v>
      </c>
      <c r="H153" t="s">
        <v>2604</v>
      </c>
      <c r="I153" t="s">
        <v>2605</v>
      </c>
      <c r="J153" t="s">
        <v>2606</v>
      </c>
      <c r="K153" t="s">
        <v>2607</v>
      </c>
      <c r="L153" t="s">
        <v>2608</v>
      </c>
      <c r="M153" t="s">
        <v>2609</v>
      </c>
      <c r="N153" t="s">
        <v>2610</v>
      </c>
      <c r="O153" t="s">
        <v>2611</v>
      </c>
    </row>
    <row r="154" spans="1:15">
      <c r="A154" t="s">
        <v>806</v>
      </c>
      <c r="B154" t="s">
        <v>2612</v>
      </c>
      <c r="C154" t="s">
        <v>2613</v>
      </c>
      <c r="D154" t="s">
        <v>2614</v>
      </c>
      <c r="E154" t="s">
        <v>2615</v>
      </c>
      <c r="F154" t="s">
        <v>2616</v>
      </c>
      <c r="G154" t="s">
        <v>2617</v>
      </c>
      <c r="H154" t="s">
        <v>2618</v>
      </c>
      <c r="I154" t="s">
        <v>2619</v>
      </c>
      <c r="J154" t="s">
        <v>2620</v>
      </c>
      <c r="K154" t="s">
        <v>2621</v>
      </c>
      <c r="L154" t="s">
        <v>2622</v>
      </c>
      <c r="M154" t="s">
        <v>2623</v>
      </c>
      <c r="N154" t="s">
        <v>2624</v>
      </c>
      <c r="O154" t="s">
        <v>2625</v>
      </c>
    </row>
    <row r="155" spans="1:15">
      <c r="A155" t="s">
        <v>140</v>
      </c>
      <c r="B155" t="s">
        <v>2626</v>
      </c>
      <c r="C155" t="s">
        <v>2627</v>
      </c>
      <c r="D155" t="s">
        <v>2628</v>
      </c>
      <c r="E155" t="s">
        <v>2629</v>
      </c>
      <c r="F155" t="s">
        <v>2630</v>
      </c>
      <c r="G155" t="s">
        <v>806</v>
      </c>
      <c r="H155" t="s">
        <v>2631</v>
      </c>
      <c r="I155" t="s">
        <v>2632</v>
      </c>
      <c r="J155" t="s">
        <v>2633</v>
      </c>
      <c r="K155" t="s">
        <v>2634</v>
      </c>
      <c r="L155" t="s">
        <v>2635</v>
      </c>
      <c r="M155" t="s">
        <v>2636</v>
      </c>
      <c r="N155" t="s">
        <v>2637</v>
      </c>
      <c r="O155" t="s">
        <v>2638</v>
      </c>
    </row>
    <row r="156" spans="1:15">
      <c r="A156" t="s">
        <v>183</v>
      </c>
      <c r="B156" t="s">
        <v>2639</v>
      </c>
      <c r="C156" t="s">
        <v>2640</v>
      </c>
      <c r="D156" t="s">
        <v>2641</v>
      </c>
      <c r="E156" t="s">
        <v>2642</v>
      </c>
      <c r="F156" t="s">
        <v>2643</v>
      </c>
      <c r="G156" t="s">
        <v>2644</v>
      </c>
      <c r="H156" t="s">
        <v>2645</v>
      </c>
      <c r="I156" t="s">
        <v>2646</v>
      </c>
      <c r="J156" t="s">
        <v>2647</v>
      </c>
      <c r="K156" t="s">
        <v>2648</v>
      </c>
      <c r="L156" t="s">
        <v>2649</v>
      </c>
      <c r="M156" t="s">
        <v>2650</v>
      </c>
      <c r="N156" t="s">
        <v>2651</v>
      </c>
      <c r="O156" t="s">
        <v>2652</v>
      </c>
    </row>
    <row r="157" spans="1:15">
      <c r="A157" t="s">
        <v>807</v>
      </c>
      <c r="B157" t="s">
        <v>2653</v>
      </c>
      <c r="C157" t="s">
        <v>183</v>
      </c>
      <c r="D157" t="s">
        <v>183</v>
      </c>
      <c r="E157" t="s">
        <v>183</v>
      </c>
      <c r="F157" t="s">
        <v>183</v>
      </c>
      <c r="G157" t="s">
        <v>2654</v>
      </c>
      <c r="H157" t="s">
        <v>2655</v>
      </c>
      <c r="I157" t="s">
        <v>183</v>
      </c>
      <c r="J157" t="s">
        <v>2656</v>
      </c>
      <c r="K157" t="s">
        <v>2657</v>
      </c>
      <c r="L157" t="s">
        <v>2658</v>
      </c>
      <c r="M157" t="s">
        <v>2659</v>
      </c>
      <c r="N157" t="s">
        <v>2660</v>
      </c>
      <c r="O157" t="s">
        <v>2661</v>
      </c>
    </row>
    <row r="158" spans="1:15">
      <c r="A158" t="s">
        <v>147</v>
      </c>
      <c r="B158" t="s">
        <v>2662</v>
      </c>
      <c r="C158" t="s">
        <v>2663</v>
      </c>
      <c r="D158" t="s">
        <v>2664</v>
      </c>
      <c r="E158" t="s">
        <v>2665</v>
      </c>
      <c r="F158" t="s">
        <v>2666</v>
      </c>
      <c r="G158" t="s">
        <v>2667</v>
      </c>
      <c r="H158" t="s">
        <v>2668</v>
      </c>
      <c r="I158" t="s">
        <v>2669</v>
      </c>
      <c r="J158" t="s">
        <v>2670</v>
      </c>
      <c r="K158" t="s">
        <v>2671</v>
      </c>
      <c r="L158" t="s">
        <v>2672</v>
      </c>
      <c r="M158" t="s">
        <v>2673</v>
      </c>
      <c r="N158" t="s">
        <v>2674</v>
      </c>
      <c r="O158" t="s">
        <v>2675</v>
      </c>
    </row>
    <row r="159" spans="1:15">
      <c r="A159" t="s">
        <v>558</v>
      </c>
      <c r="B159" t="s">
        <v>2676</v>
      </c>
      <c r="C159" t="s">
        <v>2677</v>
      </c>
      <c r="D159" t="s">
        <v>2678</v>
      </c>
      <c r="E159" t="s">
        <v>2679</v>
      </c>
      <c r="F159" t="s">
        <v>2680</v>
      </c>
      <c r="G159" t="s">
        <v>2681</v>
      </c>
      <c r="H159" t="s">
        <v>2682</v>
      </c>
      <c r="I159" t="s">
        <v>2683</v>
      </c>
      <c r="J159" t="s">
        <v>2684</v>
      </c>
      <c r="K159" t="s">
        <v>2685</v>
      </c>
      <c r="L159" t="s">
        <v>2686</v>
      </c>
      <c r="M159" t="s">
        <v>2687</v>
      </c>
      <c r="N159" t="s">
        <v>2688</v>
      </c>
      <c r="O159" t="s">
        <v>2689</v>
      </c>
    </row>
    <row r="160" spans="1:15">
      <c r="A160" t="s">
        <v>557</v>
      </c>
      <c r="B160" t="s">
        <v>2690</v>
      </c>
      <c r="C160" t="s">
        <v>2691</v>
      </c>
      <c r="D160" t="s">
        <v>558</v>
      </c>
      <c r="E160" t="s">
        <v>558</v>
      </c>
      <c r="F160" t="s">
        <v>558</v>
      </c>
      <c r="G160" t="s">
        <v>558</v>
      </c>
      <c r="H160" t="s">
        <v>558</v>
      </c>
      <c r="I160" t="s">
        <v>558</v>
      </c>
      <c r="J160" t="s">
        <v>2692</v>
      </c>
      <c r="K160" t="s">
        <v>558</v>
      </c>
      <c r="L160" t="s">
        <v>2693</v>
      </c>
      <c r="M160" t="s">
        <v>2694</v>
      </c>
      <c r="N160" t="s">
        <v>2695</v>
      </c>
      <c r="O160" t="s">
        <v>2696</v>
      </c>
    </row>
    <row r="161" spans="1:15">
      <c r="A161" t="s">
        <v>292</v>
      </c>
      <c r="B161" t="s">
        <v>2697</v>
      </c>
      <c r="C161" t="s">
        <v>2698</v>
      </c>
      <c r="D161" t="s">
        <v>557</v>
      </c>
      <c r="E161" t="s">
        <v>557</v>
      </c>
      <c r="F161" t="s">
        <v>2699</v>
      </c>
      <c r="G161" t="s">
        <v>557</v>
      </c>
      <c r="H161" t="s">
        <v>557</v>
      </c>
      <c r="I161" t="s">
        <v>557</v>
      </c>
      <c r="J161" t="s">
        <v>557</v>
      </c>
      <c r="K161" t="s">
        <v>2700</v>
      </c>
      <c r="L161" t="s">
        <v>557</v>
      </c>
      <c r="M161" t="s">
        <v>2701</v>
      </c>
      <c r="N161" t="s">
        <v>2702</v>
      </c>
      <c r="O161" t="s">
        <v>2703</v>
      </c>
    </row>
    <row r="162" spans="1:15">
      <c r="A162" t="s">
        <v>518</v>
      </c>
      <c r="B162" t="s">
        <v>2704</v>
      </c>
      <c r="C162" t="s">
        <v>2705</v>
      </c>
      <c r="D162" t="s">
        <v>2706</v>
      </c>
      <c r="E162" t="s">
        <v>2707</v>
      </c>
      <c r="F162" t="s">
        <v>2708</v>
      </c>
      <c r="G162" t="s">
        <v>2709</v>
      </c>
      <c r="H162" t="s">
        <v>2710</v>
      </c>
      <c r="I162" t="s">
        <v>2711</v>
      </c>
      <c r="J162" t="s">
        <v>2712</v>
      </c>
      <c r="K162" t="s">
        <v>2713</v>
      </c>
      <c r="L162" t="s">
        <v>2714</v>
      </c>
      <c r="M162" t="s">
        <v>2715</v>
      </c>
      <c r="N162" t="s">
        <v>2716</v>
      </c>
      <c r="O162" t="s">
        <v>2717</v>
      </c>
    </row>
    <row r="163" spans="1:15">
      <c r="A163" t="s">
        <v>657</v>
      </c>
      <c r="B163" t="s">
        <v>2718</v>
      </c>
      <c r="C163" t="s">
        <v>2719</v>
      </c>
      <c r="D163" t="s">
        <v>2720</v>
      </c>
      <c r="E163" t="s">
        <v>518</v>
      </c>
      <c r="F163" t="s">
        <v>518</v>
      </c>
      <c r="G163" t="s">
        <v>2721</v>
      </c>
      <c r="H163" t="s">
        <v>2722</v>
      </c>
      <c r="I163" t="s">
        <v>2723</v>
      </c>
      <c r="J163" t="s">
        <v>2724</v>
      </c>
      <c r="K163" t="s">
        <v>2725</v>
      </c>
      <c r="L163" t="s">
        <v>2726</v>
      </c>
      <c r="M163" t="s">
        <v>2727</v>
      </c>
      <c r="N163" t="s">
        <v>2728</v>
      </c>
      <c r="O163" t="s">
        <v>2729</v>
      </c>
    </row>
    <row r="164" spans="1:15">
      <c r="A164" t="s">
        <v>542</v>
      </c>
      <c r="B164" t="s">
        <v>2730</v>
      </c>
      <c r="C164" t="s">
        <v>657</v>
      </c>
      <c r="D164" t="s">
        <v>657</v>
      </c>
      <c r="E164" t="s">
        <v>657</v>
      </c>
      <c r="F164" t="s">
        <v>657</v>
      </c>
      <c r="G164" t="s">
        <v>657</v>
      </c>
      <c r="H164" t="s">
        <v>657</v>
      </c>
      <c r="I164" t="s">
        <v>657</v>
      </c>
      <c r="J164" t="s">
        <v>657</v>
      </c>
      <c r="K164" t="s">
        <v>657</v>
      </c>
      <c r="L164" t="s">
        <v>657</v>
      </c>
      <c r="M164" t="s">
        <v>657</v>
      </c>
      <c r="N164" t="s">
        <v>2731</v>
      </c>
      <c r="O164" t="s">
        <v>2732</v>
      </c>
    </row>
    <row r="165" spans="1:15">
      <c r="A165" t="s">
        <v>541</v>
      </c>
      <c r="B165" t="s">
        <v>2733</v>
      </c>
      <c r="C165" t="s">
        <v>542</v>
      </c>
      <c r="D165" t="s">
        <v>542</v>
      </c>
      <c r="E165" t="s">
        <v>542</v>
      </c>
      <c r="F165" t="s">
        <v>542</v>
      </c>
      <c r="G165" t="s">
        <v>2734</v>
      </c>
      <c r="H165" t="s">
        <v>2735</v>
      </c>
      <c r="I165" t="s">
        <v>542</v>
      </c>
      <c r="J165" t="s">
        <v>542</v>
      </c>
      <c r="K165" t="s">
        <v>542</v>
      </c>
      <c r="L165" t="s">
        <v>2736</v>
      </c>
      <c r="M165" t="s">
        <v>2737</v>
      </c>
      <c r="N165" t="s">
        <v>2738</v>
      </c>
      <c r="O165" t="s">
        <v>2739</v>
      </c>
    </row>
    <row r="166" spans="1:15">
      <c r="A166" t="s">
        <v>185</v>
      </c>
      <c r="B166" t="s">
        <v>2740</v>
      </c>
      <c r="C166" t="s">
        <v>2741</v>
      </c>
      <c r="D166" t="s">
        <v>2742</v>
      </c>
      <c r="E166" t="s">
        <v>541</v>
      </c>
      <c r="F166" t="s">
        <v>2743</v>
      </c>
      <c r="G166" t="s">
        <v>2744</v>
      </c>
      <c r="H166" t="s">
        <v>2745</v>
      </c>
      <c r="I166" t="s">
        <v>2746</v>
      </c>
      <c r="J166" t="s">
        <v>2747</v>
      </c>
      <c r="K166" t="s">
        <v>2748</v>
      </c>
      <c r="L166" t="s">
        <v>2749</v>
      </c>
      <c r="M166" t="s">
        <v>2750</v>
      </c>
      <c r="N166" t="s">
        <v>2751</v>
      </c>
      <c r="O166" t="s">
        <v>2752</v>
      </c>
    </row>
    <row r="167" spans="1:15">
      <c r="A167" t="s">
        <v>453</v>
      </c>
      <c r="B167" t="s">
        <v>2753</v>
      </c>
      <c r="C167" t="s">
        <v>2754</v>
      </c>
      <c r="D167" t="s">
        <v>2755</v>
      </c>
      <c r="E167" t="s">
        <v>2756</v>
      </c>
      <c r="F167" t="s">
        <v>2757</v>
      </c>
      <c r="G167" t="s">
        <v>2758</v>
      </c>
      <c r="H167" t="s">
        <v>2759</v>
      </c>
      <c r="I167" t="s">
        <v>2760</v>
      </c>
      <c r="J167" t="s">
        <v>2761</v>
      </c>
      <c r="K167" t="s">
        <v>2762</v>
      </c>
      <c r="L167" t="s">
        <v>2763</v>
      </c>
      <c r="M167" t="s">
        <v>2764</v>
      </c>
      <c r="N167" t="s">
        <v>2765</v>
      </c>
      <c r="O167" t="s">
        <v>2766</v>
      </c>
    </row>
    <row r="168" spans="1:15">
      <c r="A168" t="s">
        <v>455</v>
      </c>
      <c r="B168" t="s">
        <v>2767</v>
      </c>
      <c r="C168" t="s">
        <v>2768</v>
      </c>
      <c r="D168" t="s">
        <v>2769</v>
      </c>
      <c r="E168" t="s">
        <v>453</v>
      </c>
      <c r="F168" t="s">
        <v>2770</v>
      </c>
      <c r="G168" t="s">
        <v>2771</v>
      </c>
      <c r="H168" t="s">
        <v>2772</v>
      </c>
      <c r="I168" t="s">
        <v>2773</v>
      </c>
      <c r="J168" t="s">
        <v>2774</v>
      </c>
      <c r="K168" t="s">
        <v>2775</v>
      </c>
      <c r="L168" t="s">
        <v>2776</v>
      </c>
      <c r="M168" t="s">
        <v>2777</v>
      </c>
      <c r="N168" t="s">
        <v>2778</v>
      </c>
      <c r="O168" t="s">
        <v>2779</v>
      </c>
    </row>
    <row r="169" spans="1:15">
      <c r="A169" t="s">
        <v>130</v>
      </c>
      <c r="B169" t="s">
        <v>2780</v>
      </c>
      <c r="C169" t="s">
        <v>2781</v>
      </c>
      <c r="D169" t="s">
        <v>2782</v>
      </c>
      <c r="E169" t="s">
        <v>2783</v>
      </c>
      <c r="F169" t="s">
        <v>2784</v>
      </c>
      <c r="G169" t="s">
        <v>2785</v>
      </c>
      <c r="H169" t="s">
        <v>2786</v>
      </c>
      <c r="I169" t="s">
        <v>2787</v>
      </c>
      <c r="J169" t="s">
        <v>2788</v>
      </c>
      <c r="K169" t="s">
        <v>2789</v>
      </c>
      <c r="L169" t="s">
        <v>2790</v>
      </c>
      <c r="M169" t="s">
        <v>2791</v>
      </c>
      <c r="N169" t="s">
        <v>2792</v>
      </c>
      <c r="O169" t="s">
        <v>2793</v>
      </c>
    </row>
    <row r="170" spans="1:15">
      <c r="A170" t="s">
        <v>207</v>
      </c>
      <c r="B170" t="s">
        <v>2794</v>
      </c>
      <c r="C170" t="s">
        <v>2795</v>
      </c>
      <c r="D170" t="s">
        <v>2796</v>
      </c>
      <c r="E170" t="s">
        <v>2797</v>
      </c>
      <c r="F170" t="s">
        <v>2798</v>
      </c>
      <c r="G170" t="s">
        <v>2799</v>
      </c>
      <c r="H170" t="s">
        <v>2800</v>
      </c>
      <c r="I170" t="s">
        <v>2801</v>
      </c>
      <c r="J170" t="s">
        <v>2802</v>
      </c>
      <c r="K170" t="s">
        <v>2803</v>
      </c>
      <c r="L170" t="s">
        <v>2804</v>
      </c>
      <c r="M170" t="s">
        <v>2805</v>
      </c>
      <c r="N170" t="s">
        <v>2806</v>
      </c>
      <c r="O170" t="s">
        <v>2807</v>
      </c>
    </row>
    <row r="171" spans="1:15">
      <c r="A171" t="s">
        <v>46</v>
      </c>
      <c r="B171" t="s">
        <v>2808</v>
      </c>
      <c r="C171" t="s">
        <v>207</v>
      </c>
      <c r="D171" t="s">
        <v>207</v>
      </c>
      <c r="E171" t="s">
        <v>207</v>
      </c>
      <c r="F171" t="s">
        <v>2809</v>
      </c>
      <c r="G171" t="s">
        <v>207</v>
      </c>
      <c r="H171" t="s">
        <v>207</v>
      </c>
      <c r="I171" t="s">
        <v>207</v>
      </c>
      <c r="J171" t="s">
        <v>207</v>
      </c>
      <c r="K171" t="s">
        <v>207</v>
      </c>
      <c r="L171" t="s">
        <v>2810</v>
      </c>
      <c r="M171" t="s">
        <v>2811</v>
      </c>
      <c r="N171" t="s">
        <v>2812</v>
      </c>
      <c r="O171" t="s">
        <v>2813</v>
      </c>
    </row>
    <row r="172" spans="1:15">
      <c r="A172" t="s">
        <v>26</v>
      </c>
      <c r="B172" t="s">
        <v>2814</v>
      </c>
      <c r="C172" t="s">
        <v>2815</v>
      </c>
      <c r="D172" t="s">
        <v>2816</v>
      </c>
      <c r="E172" t="s">
        <v>2817</v>
      </c>
      <c r="F172" t="s">
        <v>2818</v>
      </c>
      <c r="G172" t="s">
        <v>2819</v>
      </c>
      <c r="H172" t="s">
        <v>2820</v>
      </c>
      <c r="I172" t="s">
        <v>2821</v>
      </c>
      <c r="J172" t="s">
        <v>2822</v>
      </c>
      <c r="K172" t="s">
        <v>2823</v>
      </c>
      <c r="L172" t="s">
        <v>2824</v>
      </c>
      <c r="M172" t="s">
        <v>2825</v>
      </c>
      <c r="N172" t="s">
        <v>2826</v>
      </c>
      <c r="O172" t="s">
        <v>2827</v>
      </c>
    </row>
    <row r="173" spans="1:15">
      <c r="A173" t="s">
        <v>2842</v>
      </c>
      <c r="B173" t="s">
        <v>2828</v>
      </c>
      <c r="C173" t="s">
        <v>2829</v>
      </c>
      <c r="D173" t="s">
        <v>2830</v>
      </c>
      <c r="E173" t="s">
        <v>2831</v>
      </c>
      <c r="F173" t="s">
        <v>2832</v>
      </c>
      <c r="G173" t="s">
        <v>2833</v>
      </c>
      <c r="H173" t="s">
        <v>2834</v>
      </c>
      <c r="I173" t="s">
        <v>2835</v>
      </c>
      <c r="J173" t="s">
        <v>2836</v>
      </c>
      <c r="K173" t="s">
        <v>2837</v>
      </c>
      <c r="L173" t="s">
        <v>2838</v>
      </c>
      <c r="M173" t="s">
        <v>2839</v>
      </c>
      <c r="N173" t="s">
        <v>2840</v>
      </c>
      <c r="O173" t="s">
        <v>2841</v>
      </c>
    </row>
    <row r="174" spans="1:15">
      <c r="A174" t="s">
        <v>519</v>
      </c>
      <c r="B174" t="s">
        <v>2843</v>
      </c>
      <c r="C174" t="s">
        <v>2844</v>
      </c>
      <c r="D174" t="s">
        <v>2845</v>
      </c>
      <c r="E174" t="s">
        <v>2842</v>
      </c>
      <c r="F174" t="s">
        <v>2846</v>
      </c>
      <c r="G174" t="s">
        <v>2847</v>
      </c>
      <c r="H174" t="s">
        <v>2848</v>
      </c>
      <c r="I174" t="s">
        <v>2849</v>
      </c>
      <c r="J174" t="s">
        <v>2850</v>
      </c>
      <c r="K174" t="s">
        <v>2851</v>
      </c>
      <c r="L174" t="s">
        <v>2852</v>
      </c>
      <c r="M174" t="s">
        <v>2853</v>
      </c>
      <c r="N174" t="s">
        <v>2854</v>
      </c>
      <c r="O174" t="s">
        <v>2855</v>
      </c>
    </row>
    <row r="175" spans="1:15">
      <c r="A175" t="s">
        <v>17</v>
      </c>
      <c r="B175" t="s">
        <v>2856</v>
      </c>
      <c r="C175" t="s">
        <v>2857</v>
      </c>
      <c r="D175" t="s">
        <v>2858</v>
      </c>
      <c r="E175" t="s">
        <v>2859</v>
      </c>
      <c r="F175" t="s">
        <v>2860</v>
      </c>
      <c r="G175" t="s">
        <v>2861</v>
      </c>
      <c r="H175" t="s">
        <v>2862</v>
      </c>
      <c r="I175" t="s">
        <v>2863</v>
      </c>
      <c r="J175" t="s">
        <v>2864</v>
      </c>
      <c r="K175" t="s">
        <v>2865</v>
      </c>
      <c r="L175" t="s">
        <v>2866</v>
      </c>
      <c r="M175" t="s">
        <v>2867</v>
      </c>
      <c r="N175" t="s">
        <v>2868</v>
      </c>
      <c r="O175" t="s">
        <v>2869</v>
      </c>
    </row>
    <row r="176" spans="1:15">
      <c r="A176" t="s">
        <v>408</v>
      </c>
      <c r="B176" t="s">
        <v>874</v>
      </c>
      <c r="C176" t="s">
        <v>2870</v>
      </c>
      <c r="D176" t="s">
        <v>918</v>
      </c>
      <c r="E176" t="s">
        <v>891</v>
      </c>
      <c r="F176" t="s">
        <v>2871</v>
      </c>
      <c r="G176" t="s">
        <v>2872</v>
      </c>
      <c r="H176" t="s">
        <v>2873</v>
      </c>
      <c r="I176" t="s">
        <v>17</v>
      </c>
      <c r="J176" t="s">
        <v>2874</v>
      </c>
      <c r="K176" t="s">
        <v>17</v>
      </c>
      <c r="L176" t="s">
        <v>17</v>
      </c>
      <c r="M176" t="s">
        <v>2875</v>
      </c>
      <c r="N176" t="s">
        <v>2876</v>
      </c>
      <c r="O176" t="s">
        <v>2877</v>
      </c>
    </row>
    <row r="177" spans="1:15">
      <c r="A177" t="s">
        <v>435</v>
      </c>
      <c r="B177" t="s">
        <v>2878</v>
      </c>
      <c r="C177" t="s">
        <v>408</v>
      </c>
      <c r="D177" t="s">
        <v>408</v>
      </c>
      <c r="E177" t="s">
        <v>408</v>
      </c>
      <c r="F177" t="s">
        <v>408</v>
      </c>
      <c r="G177" t="s">
        <v>408</v>
      </c>
      <c r="H177" t="s">
        <v>408</v>
      </c>
      <c r="I177" t="s">
        <v>408</v>
      </c>
      <c r="J177" t="s">
        <v>2879</v>
      </c>
      <c r="K177" t="s">
        <v>2880</v>
      </c>
      <c r="L177" t="s">
        <v>2881</v>
      </c>
      <c r="M177" t="s">
        <v>2882</v>
      </c>
      <c r="N177" t="s">
        <v>2883</v>
      </c>
      <c r="O177" t="s">
        <v>2884</v>
      </c>
    </row>
    <row r="178" spans="1:15">
      <c r="A178" t="s">
        <v>410</v>
      </c>
      <c r="B178" t="s">
        <v>2885</v>
      </c>
      <c r="C178" t="s">
        <v>2886</v>
      </c>
      <c r="D178" t="s">
        <v>2887</v>
      </c>
      <c r="E178" t="s">
        <v>2888</v>
      </c>
      <c r="F178" t="s">
        <v>2889</v>
      </c>
      <c r="G178" t="s">
        <v>2890</v>
      </c>
      <c r="H178" t="s">
        <v>2891</v>
      </c>
      <c r="I178" t="s">
        <v>2892</v>
      </c>
      <c r="J178" t="s">
        <v>2893</v>
      </c>
      <c r="K178" t="s">
        <v>2894</v>
      </c>
      <c r="L178" t="s">
        <v>2895</v>
      </c>
      <c r="M178" t="s">
        <v>2896</v>
      </c>
      <c r="N178" t="s">
        <v>2897</v>
      </c>
      <c r="O178" t="s">
        <v>2898</v>
      </c>
    </row>
    <row r="179" spans="1:15">
      <c r="A179" t="s">
        <v>437</v>
      </c>
      <c r="B179" t="s">
        <v>2899</v>
      </c>
      <c r="C179" t="s">
        <v>2900</v>
      </c>
      <c r="D179" t="s">
        <v>2901</v>
      </c>
      <c r="E179" t="s">
        <v>2902</v>
      </c>
      <c r="F179" t="s">
        <v>2903</v>
      </c>
      <c r="G179" t="s">
        <v>2904</v>
      </c>
      <c r="H179" t="s">
        <v>2905</v>
      </c>
      <c r="I179" t="s">
        <v>2906</v>
      </c>
      <c r="J179" t="s">
        <v>2907</v>
      </c>
      <c r="K179" t="s">
        <v>2908</v>
      </c>
      <c r="L179" t="s">
        <v>2909</v>
      </c>
      <c r="M179" t="s">
        <v>2910</v>
      </c>
      <c r="N179" t="s">
        <v>2911</v>
      </c>
      <c r="O179" t="s">
        <v>2912</v>
      </c>
    </row>
    <row r="180" spans="1:15">
      <c r="A180" t="s">
        <v>546</v>
      </c>
      <c r="B180" t="s">
        <v>2913</v>
      </c>
      <c r="C180" t="s">
        <v>2914</v>
      </c>
      <c r="D180" t="s">
        <v>2915</v>
      </c>
      <c r="E180" t="s">
        <v>2916</v>
      </c>
      <c r="F180" t="s">
        <v>2917</v>
      </c>
      <c r="G180" t="s">
        <v>2918</v>
      </c>
      <c r="H180" t="s">
        <v>2919</v>
      </c>
      <c r="I180" t="s">
        <v>2920</v>
      </c>
      <c r="J180" t="s">
        <v>2921</v>
      </c>
      <c r="K180" t="s">
        <v>2922</v>
      </c>
      <c r="L180" t="s">
        <v>2923</v>
      </c>
      <c r="M180" t="s">
        <v>2924</v>
      </c>
      <c r="N180" t="s">
        <v>2925</v>
      </c>
      <c r="O180" t="s">
        <v>2926</v>
      </c>
    </row>
    <row r="181" spans="1:15">
      <c r="A181" t="s">
        <v>538</v>
      </c>
      <c r="B181" t="s">
        <v>2927</v>
      </c>
      <c r="C181" t="s">
        <v>2928</v>
      </c>
      <c r="D181" t="s">
        <v>2928</v>
      </c>
      <c r="E181" t="s">
        <v>546</v>
      </c>
      <c r="F181" t="s">
        <v>2929</v>
      </c>
      <c r="G181" t="s">
        <v>546</v>
      </c>
      <c r="H181" t="s">
        <v>546</v>
      </c>
      <c r="I181" t="s">
        <v>2930</v>
      </c>
      <c r="J181" t="s">
        <v>2931</v>
      </c>
      <c r="K181" t="s">
        <v>2932</v>
      </c>
      <c r="L181" t="s">
        <v>2933</v>
      </c>
      <c r="M181" t="s">
        <v>2934</v>
      </c>
      <c r="N181" t="s">
        <v>2935</v>
      </c>
      <c r="O181" t="s">
        <v>2936</v>
      </c>
    </row>
    <row r="182" spans="1:15">
      <c r="A182" t="s">
        <v>484</v>
      </c>
      <c r="B182" t="s">
        <v>2937</v>
      </c>
      <c r="C182" t="s">
        <v>2938</v>
      </c>
      <c r="D182" t="s">
        <v>2939</v>
      </c>
      <c r="E182" t="s">
        <v>538</v>
      </c>
      <c r="F182" t="s">
        <v>2940</v>
      </c>
      <c r="G182" t="s">
        <v>2941</v>
      </c>
      <c r="H182" t="s">
        <v>2942</v>
      </c>
      <c r="I182" t="s">
        <v>2943</v>
      </c>
      <c r="J182" t="s">
        <v>2944</v>
      </c>
      <c r="K182" t="s">
        <v>2945</v>
      </c>
      <c r="L182" t="s">
        <v>2946</v>
      </c>
      <c r="M182" t="s">
        <v>2947</v>
      </c>
      <c r="N182" t="s">
        <v>2948</v>
      </c>
      <c r="O182" t="s">
        <v>2949</v>
      </c>
    </row>
    <row r="183" spans="1:15">
      <c r="A183" t="s">
        <v>520</v>
      </c>
      <c r="B183" t="s">
        <v>2950</v>
      </c>
      <c r="C183" t="s">
        <v>2951</v>
      </c>
      <c r="D183" t="s">
        <v>2952</v>
      </c>
      <c r="E183" t="s">
        <v>2953</v>
      </c>
      <c r="F183" t="s">
        <v>2954</v>
      </c>
      <c r="G183" t="s">
        <v>2955</v>
      </c>
      <c r="H183" t="s">
        <v>2956</v>
      </c>
      <c r="I183" t="s">
        <v>2957</v>
      </c>
      <c r="J183" t="s">
        <v>2958</v>
      </c>
      <c r="K183" t="s">
        <v>2959</v>
      </c>
      <c r="L183" t="s">
        <v>2960</v>
      </c>
      <c r="M183" t="s">
        <v>2961</v>
      </c>
      <c r="N183" t="s">
        <v>2962</v>
      </c>
      <c r="O183" t="s">
        <v>2963</v>
      </c>
    </row>
    <row r="184" spans="1:15">
      <c r="A184" t="s">
        <v>326</v>
      </c>
      <c r="B184" t="s">
        <v>2964</v>
      </c>
      <c r="C184" t="s">
        <v>2965</v>
      </c>
      <c r="D184" t="s">
        <v>2966</v>
      </c>
      <c r="E184" t="s">
        <v>2967</v>
      </c>
      <c r="F184" t="s">
        <v>2968</v>
      </c>
      <c r="G184" t="s">
        <v>2969</v>
      </c>
      <c r="H184" t="s">
        <v>2970</v>
      </c>
      <c r="I184" t="s">
        <v>2971</v>
      </c>
      <c r="J184" t="s">
        <v>2972</v>
      </c>
      <c r="K184" t="s">
        <v>2973</v>
      </c>
      <c r="L184" t="s">
        <v>2974</v>
      </c>
      <c r="M184" t="s">
        <v>2975</v>
      </c>
      <c r="N184" t="s">
        <v>2976</v>
      </c>
      <c r="O184" t="s">
        <v>2977</v>
      </c>
    </row>
    <row r="185" spans="1:15">
      <c r="A185" t="s">
        <v>361</v>
      </c>
      <c r="B185" t="s">
        <v>2978</v>
      </c>
      <c r="C185" t="s">
        <v>2979</v>
      </c>
      <c r="D185" t="s">
        <v>2980</v>
      </c>
      <c r="E185" t="s">
        <v>326</v>
      </c>
      <c r="F185" t="s">
        <v>2981</v>
      </c>
      <c r="G185" t="s">
        <v>2982</v>
      </c>
      <c r="H185" t="s">
        <v>2983</v>
      </c>
      <c r="I185" t="s">
        <v>2984</v>
      </c>
      <c r="J185" t="s">
        <v>2985</v>
      </c>
      <c r="K185" t="s">
        <v>2986</v>
      </c>
      <c r="L185" t="s">
        <v>2987</v>
      </c>
      <c r="M185" t="s">
        <v>2988</v>
      </c>
      <c r="N185" t="s">
        <v>2989</v>
      </c>
      <c r="O185" t="s">
        <v>2990</v>
      </c>
    </row>
    <row r="186" spans="1:15">
      <c r="A186" t="s">
        <v>262</v>
      </c>
      <c r="B186" t="s">
        <v>2991</v>
      </c>
      <c r="C186" t="s">
        <v>2992</v>
      </c>
      <c r="D186" t="s">
        <v>2993</v>
      </c>
      <c r="E186" t="s">
        <v>361</v>
      </c>
      <c r="F186" t="s">
        <v>2994</v>
      </c>
      <c r="G186" t="s">
        <v>2995</v>
      </c>
      <c r="H186" t="s">
        <v>2996</v>
      </c>
      <c r="I186" t="s">
        <v>2997</v>
      </c>
      <c r="J186" t="s">
        <v>2998</v>
      </c>
      <c r="K186" t="s">
        <v>2999</v>
      </c>
      <c r="L186" t="s">
        <v>3000</v>
      </c>
      <c r="M186" t="s">
        <v>3001</v>
      </c>
      <c r="N186" t="s">
        <v>3002</v>
      </c>
      <c r="O186" t="s">
        <v>3003</v>
      </c>
    </row>
    <row r="187" spans="1:15">
      <c r="A187" t="s">
        <v>357</v>
      </c>
      <c r="B187" t="s">
        <v>3004</v>
      </c>
      <c r="C187" t="s">
        <v>3005</v>
      </c>
      <c r="D187" t="s">
        <v>3006</v>
      </c>
      <c r="E187" t="s">
        <v>3007</v>
      </c>
      <c r="F187" t="s">
        <v>3008</v>
      </c>
      <c r="G187" t="s">
        <v>3009</v>
      </c>
      <c r="H187" t="s">
        <v>3010</v>
      </c>
      <c r="I187" t="s">
        <v>262</v>
      </c>
      <c r="J187" t="s">
        <v>3011</v>
      </c>
      <c r="K187" t="s">
        <v>3012</v>
      </c>
      <c r="L187" t="s">
        <v>3013</v>
      </c>
      <c r="M187" t="s">
        <v>3014</v>
      </c>
      <c r="N187" t="s">
        <v>3015</v>
      </c>
      <c r="O187" t="s">
        <v>3015</v>
      </c>
    </row>
    <row r="188" spans="1:15">
      <c r="A188" t="s">
        <v>359</v>
      </c>
      <c r="B188" t="s">
        <v>3016</v>
      </c>
      <c r="C188" t="s">
        <v>3017</v>
      </c>
      <c r="D188" t="s">
        <v>357</v>
      </c>
      <c r="E188" t="s">
        <v>357</v>
      </c>
      <c r="F188" t="s">
        <v>3018</v>
      </c>
      <c r="G188" t="s">
        <v>3019</v>
      </c>
      <c r="H188" t="s">
        <v>3020</v>
      </c>
      <c r="I188" t="s">
        <v>357</v>
      </c>
      <c r="J188" t="s">
        <v>3021</v>
      </c>
      <c r="K188" t="s">
        <v>357</v>
      </c>
      <c r="L188" t="s">
        <v>3022</v>
      </c>
      <c r="M188" t="s">
        <v>3023</v>
      </c>
      <c r="N188" t="s">
        <v>3024</v>
      </c>
      <c r="O188" t="s">
        <v>3025</v>
      </c>
    </row>
    <row r="189" spans="1:15">
      <c r="A189" t="s">
        <v>191</v>
      </c>
      <c r="B189" t="s">
        <v>3026</v>
      </c>
      <c r="C189" t="s">
        <v>3027</v>
      </c>
      <c r="D189" t="s">
        <v>3028</v>
      </c>
      <c r="E189" t="s">
        <v>359</v>
      </c>
      <c r="F189" t="s">
        <v>359</v>
      </c>
      <c r="G189" t="s">
        <v>3029</v>
      </c>
      <c r="H189" t="s">
        <v>3030</v>
      </c>
      <c r="I189" t="s">
        <v>3031</v>
      </c>
      <c r="J189" t="s">
        <v>359</v>
      </c>
      <c r="K189" t="s">
        <v>359</v>
      </c>
      <c r="L189" t="s">
        <v>3032</v>
      </c>
      <c r="M189" t="s">
        <v>3033</v>
      </c>
      <c r="N189" t="s">
        <v>3034</v>
      </c>
      <c r="O189" t="s">
        <v>3035</v>
      </c>
    </row>
    <row r="190" spans="1:15">
      <c r="A190" t="s">
        <v>11</v>
      </c>
      <c r="B190" t="s">
        <v>3036</v>
      </c>
      <c r="C190" t="s">
        <v>3037</v>
      </c>
      <c r="D190" t="s">
        <v>1404</v>
      </c>
      <c r="E190" t="s">
        <v>3038</v>
      </c>
      <c r="F190" t="s">
        <v>3039</v>
      </c>
      <c r="G190" t="s">
        <v>3040</v>
      </c>
      <c r="H190" t="s">
        <v>3041</v>
      </c>
      <c r="I190" t="s">
        <v>3042</v>
      </c>
      <c r="J190" t="s">
        <v>3043</v>
      </c>
      <c r="K190" t="s">
        <v>3044</v>
      </c>
      <c r="L190" t="s">
        <v>3045</v>
      </c>
      <c r="M190" t="s">
        <v>3046</v>
      </c>
      <c r="N190" t="s">
        <v>3047</v>
      </c>
      <c r="O190" t="s">
        <v>3048</v>
      </c>
    </row>
    <row r="191" spans="1:15">
      <c r="A191" t="s">
        <v>265</v>
      </c>
      <c r="B191" t="s">
        <v>3049</v>
      </c>
      <c r="C191" t="s">
        <v>3050</v>
      </c>
      <c r="D191" t="s">
        <v>3051</v>
      </c>
      <c r="E191" t="s">
        <v>11</v>
      </c>
      <c r="F191" t="s">
        <v>3052</v>
      </c>
      <c r="G191" t="s">
        <v>3049</v>
      </c>
      <c r="H191" t="s">
        <v>3053</v>
      </c>
      <c r="I191" t="s">
        <v>11</v>
      </c>
      <c r="J191" t="s">
        <v>11</v>
      </c>
      <c r="K191" t="s">
        <v>11</v>
      </c>
      <c r="L191" t="s">
        <v>3054</v>
      </c>
      <c r="M191" t="s">
        <v>3055</v>
      </c>
      <c r="N191" t="s">
        <v>3056</v>
      </c>
      <c r="O191" t="s">
        <v>3057</v>
      </c>
    </row>
    <row r="192" spans="1:15">
      <c r="A192" t="s">
        <v>560</v>
      </c>
      <c r="B192" t="s">
        <v>3058</v>
      </c>
      <c r="C192" t="s">
        <v>3059</v>
      </c>
      <c r="D192" t="s">
        <v>3060</v>
      </c>
      <c r="E192" t="s">
        <v>3061</v>
      </c>
      <c r="F192" t="s">
        <v>3062</v>
      </c>
      <c r="G192" t="s">
        <v>3063</v>
      </c>
      <c r="H192" t="s">
        <v>3064</v>
      </c>
      <c r="I192" t="s">
        <v>3065</v>
      </c>
      <c r="J192" t="s">
        <v>3066</v>
      </c>
      <c r="K192" t="s">
        <v>3067</v>
      </c>
      <c r="L192" t="s">
        <v>3068</v>
      </c>
      <c r="M192" t="s">
        <v>3069</v>
      </c>
      <c r="N192" t="s">
        <v>3070</v>
      </c>
      <c r="O192" t="s">
        <v>3071</v>
      </c>
    </row>
    <row r="193" spans="1:15">
      <c r="A193" t="s">
        <v>136</v>
      </c>
      <c r="B193" t="s">
        <v>3072</v>
      </c>
      <c r="C193" t="s">
        <v>3073</v>
      </c>
      <c r="D193" t="s">
        <v>3074</v>
      </c>
      <c r="E193" t="s">
        <v>560</v>
      </c>
      <c r="F193" t="s">
        <v>3075</v>
      </c>
      <c r="G193" t="s">
        <v>3072</v>
      </c>
      <c r="H193" t="s">
        <v>3076</v>
      </c>
      <c r="I193" t="s">
        <v>560</v>
      </c>
      <c r="J193" t="s">
        <v>3077</v>
      </c>
      <c r="K193" t="s">
        <v>560</v>
      </c>
      <c r="L193" t="s">
        <v>3078</v>
      </c>
      <c r="M193" t="s">
        <v>3079</v>
      </c>
      <c r="N193" t="s">
        <v>3080</v>
      </c>
      <c r="O193" t="s">
        <v>3081</v>
      </c>
    </row>
    <row r="194" spans="1:15">
      <c r="A194" t="s">
        <v>42</v>
      </c>
      <c r="B194" t="s">
        <v>3082</v>
      </c>
      <c r="C194" t="s">
        <v>3083</v>
      </c>
      <c r="D194" t="s">
        <v>3084</v>
      </c>
      <c r="E194" t="s">
        <v>3085</v>
      </c>
      <c r="F194" t="s">
        <v>3086</v>
      </c>
      <c r="G194" t="s">
        <v>3087</v>
      </c>
      <c r="H194" t="s">
        <v>3088</v>
      </c>
      <c r="I194" t="s">
        <v>3089</v>
      </c>
      <c r="J194" t="s">
        <v>3090</v>
      </c>
      <c r="K194" t="s">
        <v>3091</v>
      </c>
      <c r="L194" t="s">
        <v>3092</v>
      </c>
      <c r="M194" t="s">
        <v>3093</v>
      </c>
      <c r="N194" t="s">
        <v>3094</v>
      </c>
      <c r="O194" t="s">
        <v>3095</v>
      </c>
    </row>
    <row r="195" spans="1:15">
      <c r="A195" t="s">
        <v>3110</v>
      </c>
      <c r="B195" t="s">
        <v>3096</v>
      </c>
      <c r="C195" t="s">
        <v>3097</v>
      </c>
      <c r="D195" t="s">
        <v>3098</v>
      </c>
      <c r="E195" t="s">
        <v>3099</v>
      </c>
      <c r="F195" t="s">
        <v>3100</v>
      </c>
      <c r="G195" t="s">
        <v>3101</v>
      </c>
      <c r="H195" t="s">
        <v>3102</v>
      </c>
      <c r="I195" t="s">
        <v>3103</v>
      </c>
      <c r="J195" t="s">
        <v>3104</v>
      </c>
      <c r="K195" t="s">
        <v>3105</v>
      </c>
      <c r="L195" t="s">
        <v>3106</v>
      </c>
      <c r="M195" t="s">
        <v>3107</v>
      </c>
      <c r="N195" t="s">
        <v>3108</v>
      </c>
      <c r="O195" t="s">
        <v>3109</v>
      </c>
    </row>
    <row r="196" spans="1:15">
      <c r="A196" t="s">
        <v>18</v>
      </c>
      <c r="B196" t="s">
        <v>3111</v>
      </c>
      <c r="C196" t="s">
        <v>3112</v>
      </c>
      <c r="D196" t="s">
        <v>3113</v>
      </c>
      <c r="E196" t="s">
        <v>3114</v>
      </c>
      <c r="F196" t="s">
        <v>3115</v>
      </c>
      <c r="G196" t="s">
        <v>3116</v>
      </c>
      <c r="H196" t="s">
        <v>3117</v>
      </c>
      <c r="I196" t="s">
        <v>3118</v>
      </c>
      <c r="J196" t="s">
        <v>3119</v>
      </c>
      <c r="K196" t="s">
        <v>3120</v>
      </c>
      <c r="L196" t="s">
        <v>3121</v>
      </c>
      <c r="M196" t="s">
        <v>3122</v>
      </c>
      <c r="N196" t="s">
        <v>3123</v>
      </c>
      <c r="O196" t="s">
        <v>3124</v>
      </c>
    </row>
    <row r="197" spans="1:15">
      <c r="B197" t="s">
        <v>875</v>
      </c>
      <c r="C197" t="s">
        <v>3125</v>
      </c>
      <c r="D197" t="s">
        <v>919</v>
      </c>
      <c r="E197" t="s">
        <v>892</v>
      </c>
      <c r="F197" t="s">
        <v>3126</v>
      </c>
      <c r="G197" t="s">
        <v>3127</v>
      </c>
      <c r="H197" t="s">
        <v>3128</v>
      </c>
      <c r="I197" t="s">
        <v>903</v>
      </c>
      <c r="J197" t="s">
        <v>3129</v>
      </c>
      <c r="K197" t="s">
        <v>18</v>
      </c>
      <c r="L197" t="s">
        <v>3130</v>
      </c>
      <c r="M197" t="s">
        <v>3131</v>
      </c>
      <c r="N197" t="s">
        <v>3132</v>
      </c>
      <c r="O197" t="s">
        <v>3133</v>
      </c>
    </row>
  </sheetData>
  <hyperlinks>
    <hyperlink ref="S1" r:id="rId1" xr:uid="{010CAB7A-9A04-445F-9309-8B3851C3C5B3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ATS-WEO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2025-02-17T11:18:22Z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