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BattCircularity-main\"/>
    </mc:Choice>
  </mc:AlternateContent>
  <xr:revisionPtr revIDLastSave="0" documentId="13_ncr:1_{1B7DE945-DCF9-48C0-9544-24553DD71C83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cenMap" sheetId="64" r:id="rId1"/>
    <sheet name="TS_Defs" sheetId="80" r:id="rId2"/>
    <sheet name="TS_Defs repUCs" sheetId="87" r:id="rId3"/>
    <sheet name="TS_ratios" sheetId="86" r:id="rId4"/>
    <sheet name="PSET_Map" sheetId="58" r:id="rId5"/>
    <sheet name="CSET_Map" sheetId="82" r:id="rId6"/>
    <sheet name="cname_map" sheetId="83" r:id="rId7"/>
    <sheet name="pname_map" sheetId="88" r:id="rId8"/>
    <sheet name="varbl map" sheetId="77" r:id="rId9"/>
    <sheet name="process map" sheetId="78" r:id="rId10"/>
    <sheet name="commodity map" sheetId="79" r:id="rId11"/>
    <sheet name="UnitConv_TIAM" sheetId="38" r:id="rId12"/>
  </sheets>
  <definedNames>
    <definedName name="_xlnm._FilterDatabase" localSheetId="9" hidden="1">'process map'!$A$2:$F$73</definedName>
    <definedName name="_xlnm._FilterDatabase" localSheetId="0" hidden="1">ScenMap!$G$5:$G$9</definedName>
    <definedName name="_xlnm._FilterDatabase" localSheetId="1" hidden="1">TS_Defs!$N$2:$O$49</definedName>
    <definedName name="_xlnm._FilterDatabase" localSheetId="2" hidden="1">'TS_Defs repUCs'!$P$2:$Q$2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80" l="1"/>
  <c r="D32" i="38"/>
  <c r="D30" i="38"/>
  <c r="D29" i="38"/>
  <c r="D24" i="38"/>
  <c r="D23" i="38"/>
  <c r="D20" i="38"/>
  <c r="D18" i="38"/>
  <c r="D17" i="38"/>
  <c r="D16" i="38"/>
  <c r="N10" i="38"/>
  <c r="D10" i="38"/>
  <c r="D9" i="38"/>
  <c r="H4" i="38"/>
  <c r="D4" i="38"/>
  <c r="M3" i="38"/>
  <c r="L3" i="38"/>
  <c r="C7" i="79"/>
  <c r="C6" i="79"/>
  <c r="B144" i="88"/>
  <c r="B143" i="88"/>
  <c r="B142" i="88"/>
  <c r="B141" i="88"/>
  <c r="B140" i="88"/>
  <c r="B139" i="88"/>
  <c r="B138" i="88"/>
  <c r="B137" i="88"/>
  <c r="B136" i="88"/>
  <c r="B135" i="88"/>
  <c r="B134" i="88"/>
  <c r="B133" i="88"/>
  <c r="B132" i="88"/>
  <c r="B131" i="88"/>
  <c r="B130" i="88"/>
  <c r="B129" i="88"/>
  <c r="B128" i="88"/>
  <c r="B127" i="88"/>
  <c r="B126" i="88"/>
  <c r="B125" i="88"/>
  <c r="B124" i="88"/>
  <c r="B123" i="88"/>
  <c r="B122" i="88"/>
  <c r="B121" i="88"/>
  <c r="B120" i="88"/>
  <c r="B119" i="88"/>
  <c r="B118" i="88"/>
  <c r="B117" i="88"/>
  <c r="B116" i="88"/>
  <c r="B115" i="88"/>
  <c r="B114" i="88"/>
  <c r="B113" i="88"/>
  <c r="B112" i="88"/>
  <c r="B111" i="88"/>
  <c r="B110" i="88"/>
  <c r="B109" i="88"/>
  <c r="B108" i="88"/>
  <c r="B107" i="88"/>
  <c r="B106" i="88"/>
  <c r="B105" i="88"/>
  <c r="B104" i="88"/>
  <c r="B103" i="88"/>
  <c r="B102" i="88"/>
  <c r="B101" i="88"/>
  <c r="B100" i="88"/>
  <c r="B99" i="88"/>
  <c r="B98" i="88"/>
  <c r="B97" i="88"/>
  <c r="B96" i="88"/>
  <c r="B95" i="88"/>
  <c r="B94" i="88"/>
  <c r="B93" i="88"/>
  <c r="B92" i="88"/>
  <c r="B91" i="88"/>
  <c r="B90" i="88"/>
  <c r="B89" i="88"/>
  <c r="B88" i="88"/>
  <c r="B87" i="88"/>
  <c r="B86" i="88"/>
  <c r="B85" i="88"/>
  <c r="B84" i="88"/>
  <c r="B83" i="88"/>
  <c r="B82" i="88"/>
  <c r="B81" i="88"/>
  <c r="B80" i="88"/>
  <c r="B79" i="88"/>
  <c r="B78" i="88"/>
  <c r="B77" i="88"/>
  <c r="B76" i="88"/>
  <c r="B75" i="88"/>
  <c r="B74" i="88"/>
  <c r="B73" i="88"/>
  <c r="B72" i="88"/>
  <c r="B71" i="88"/>
  <c r="B70" i="88"/>
  <c r="B69" i="88"/>
  <c r="B68" i="88"/>
  <c r="B67" i="88"/>
  <c r="B66" i="88"/>
  <c r="B65" i="88"/>
  <c r="B64" i="88"/>
  <c r="B63" i="88"/>
  <c r="B62" i="88"/>
  <c r="B61" i="88"/>
  <c r="B60" i="88"/>
  <c r="B59" i="88"/>
  <c r="B58" i="88"/>
  <c r="B57" i="88"/>
  <c r="B56" i="88"/>
  <c r="B55" i="88"/>
  <c r="B54" i="88"/>
  <c r="B53" i="88"/>
  <c r="B52" i="88"/>
  <c r="B51" i="88"/>
  <c r="B50" i="88"/>
  <c r="B49" i="88"/>
  <c r="B48" i="88"/>
  <c r="B47" i="88"/>
  <c r="B46" i="88"/>
  <c r="B45" i="88"/>
  <c r="B44" i="88"/>
  <c r="B43" i="88"/>
  <c r="B42" i="88"/>
  <c r="B41" i="88"/>
  <c r="B40" i="88"/>
  <c r="B39" i="88"/>
  <c r="B38" i="88"/>
  <c r="B37" i="88"/>
  <c r="B36" i="88"/>
  <c r="B35" i="88"/>
  <c r="B34" i="88"/>
  <c r="B33" i="88"/>
  <c r="B32" i="88"/>
  <c r="B31" i="88"/>
  <c r="B30" i="88"/>
  <c r="B29" i="88"/>
  <c r="B28" i="88"/>
  <c r="B27" i="88"/>
  <c r="B26" i="88"/>
  <c r="B25" i="88"/>
  <c r="B24" i="88"/>
  <c r="B23" i="88"/>
  <c r="B22" i="88"/>
  <c r="B21" i="88"/>
  <c r="B20" i="88"/>
  <c r="B19" i="88"/>
  <c r="B18" i="88"/>
  <c r="B17" i="88"/>
  <c r="B16" i="88"/>
  <c r="B15" i="88"/>
  <c r="B14" i="88"/>
  <c r="B13" i="88"/>
  <c r="B12" i="88"/>
  <c r="B11" i="88"/>
  <c r="B10" i="88"/>
  <c r="B9" i="88"/>
  <c r="B8" i="88"/>
  <c r="B7" i="88"/>
  <c r="B6" i="88"/>
  <c r="B5" i="88"/>
  <c r="C7" i="83"/>
  <c r="C6" i="83"/>
  <c r="C5" i="83"/>
  <c r="C4" i="83"/>
  <c r="C3" i="83"/>
  <c r="H29" i="82"/>
  <c r="H19" i="82"/>
  <c r="C19" i="82"/>
  <c r="C18" i="82"/>
  <c r="C17" i="82"/>
  <c r="C16" i="82"/>
  <c r="C15" i="82"/>
  <c r="C14" i="82"/>
  <c r="C13" i="82"/>
  <c r="C12" i="82"/>
  <c r="C11" i="82"/>
  <c r="C10" i="82"/>
  <c r="C9" i="82"/>
  <c r="C8" i="82"/>
  <c r="C7" i="82"/>
  <c r="H6" i="82"/>
  <c r="C6" i="82"/>
  <c r="C5" i="82"/>
  <c r="C4" i="82"/>
  <c r="C3" i="82"/>
  <c r="H96" i="58"/>
  <c r="H58" i="58"/>
  <c r="C58" i="58"/>
  <c r="H56" i="58"/>
  <c r="C56" i="58"/>
  <c r="C55" i="58"/>
  <c r="C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C46" i="58"/>
  <c r="C45" i="58"/>
  <c r="C44" i="58"/>
  <c r="C43" i="58"/>
  <c r="C42" i="58"/>
  <c r="C41" i="58"/>
  <c r="H39" i="58"/>
  <c r="C39" i="58"/>
  <c r="C38" i="58"/>
  <c r="C37" i="58"/>
  <c r="C36" i="58"/>
  <c r="C35" i="58"/>
  <c r="C34" i="58"/>
  <c r="C33" i="58"/>
  <c r="C32" i="58"/>
  <c r="C31" i="58"/>
  <c r="H30" i="58"/>
  <c r="C30" i="58"/>
  <c r="H28" i="58"/>
  <c r="C28" i="58"/>
  <c r="C27" i="58"/>
  <c r="C26" i="58"/>
  <c r="C25" i="58"/>
  <c r="C24" i="58"/>
  <c r="C23" i="58"/>
  <c r="C22" i="58"/>
  <c r="C21" i="58"/>
  <c r="H19" i="58"/>
  <c r="C19" i="58"/>
  <c r="C18" i="58"/>
  <c r="C17" i="58"/>
  <c r="C16" i="58"/>
  <c r="C15" i="58"/>
  <c r="C14" i="58"/>
  <c r="C13" i="58"/>
  <c r="C12" i="58"/>
  <c r="C11" i="58"/>
  <c r="C10" i="58"/>
  <c r="C9" i="58"/>
  <c r="C8" i="58"/>
  <c r="C7" i="58"/>
  <c r="C6" i="58"/>
  <c r="C5" i="58"/>
  <c r="C4" i="58"/>
  <c r="C3" i="58"/>
  <c r="E24" i="86"/>
  <c r="E23" i="86"/>
  <c r="E22" i="86"/>
  <c r="E21" i="86"/>
  <c r="E20" i="86"/>
  <c r="E19" i="86"/>
  <c r="E18" i="86"/>
  <c r="E17" i="86"/>
  <c r="S19" i="87"/>
  <c r="R19" i="87"/>
  <c r="Q19" i="87"/>
  <c r="S18" i="87"/>
  <c r="R18" i="87"/>
  <c r="Q18" i="87"/>
  <c r="S17" i="87"/>
  <c r="R17" i="87"/>
  <c r="Q17" i="87"/>
  <c r="S16" i="87"/>
  <c r="R16" i="87"/>
  <c r="Q16" i="87"/>
  <c r="S15" i="87"/>
  <c r="R15" i="87"/>
  <c r="Q15" i="87"/>
  <c r="S14" i="87"/>
  <c r="R14" i="87"/>
  <c r="Q14" i="87"/>
  <c r="S13" i="87"/>
  <c r="R13" i="87"/>
  <c r="Q13" i="87"/>
  <c r="S12" i="87"/>
  <c r="R12" i="87"/>
  <c r="Q12" i="87"/>
  <c r="S11" i="87"/>
  <c r="R11" i="87"/>
  <c r="Q11" i="87"/>
  <c r="S10" i="87"/>
  <c r="R10" i="87"/>
  <c r="Q10" i="87"/>
  <c r="S9" i="87"/>
  <c r="R9" i="87"/>
  <c r="Q9" i="87"/>
  <c r="S8" i="87"/>
  <c r="R8" i="87"/>
  <c r="Q8" i="87"/>
  <c r="S7" i="87"/>
  <c r="R7" i="87"/>
  <c r="Q7" i="87"/>
  <c r="S6" i="87"/>
  <c r="R6" i="87"/>
  <c r="Q6" i="87"/>
  <c r="S5" i="87"/>
  <c r="R5" i="87"/>
  <c r="Q5" i="87"/>
  <c r="S4" i="87"/>
  <c r="R4" i="87"/>
  <c r="Q4" i="87"/>
  <c r="S3" i="87"/>
  <c r="R3" i="87"/>
  <c r="Q3" i="87"/>
  <c r="I17" i="64"/>
  <c r="H17" i="64"/>
  <c r="G17" i="64"/>
  <c r="B17" i="64"/>
  <c r="A17" i="64"/>
  <c r="I16" i="64"/>
  <c r="H16" i="64"/>
  <c r="G16" i="64"/>
  <c r="B16" i="64"/>
  <c r="A16" i="64"/>
  <c r="I15" i="64"/>
  <c r="H15" i="64"/>
  <c r="G15" i="64"/>
  <c r="B15" i="64"/>
  <c r="A15" i="64"/>
  <c r="I14" i="64"/>
  <c r="H14" i="64"/>
  <c r="G14" i="64"/>
  <c r="B14" i="64"/>
  <c r="A14" i="64"/>
  <c r="I13" i="64"/>
  <c r="H13" i="64"/>
  <c r="G13" i="64"/>
  <c r="B13" i="64"/>
  <c r="A13" i="64"/>
  <c r="I12" i="64"/>
  <c r="H12" i="64"/>
  <c r="G12" i="64"/>
  <c r="B12" i="64"/>
  <c r="A12" i="64"/>
  <c r="I11" i="64"/>
  <c r="H11" i="64"/>
  <c r="G11" i="64"/>
  <c r="B11" i="64"/>
  <c r="A11" i="64"/>
  <c r="I10" i="64"/>
  <c r="H10" i="64"/>
  <c r="G10" i="64"/>
  <c r="B10" i="64"/>
  <c r="A10" i="64"/>
  <c r="I9" i="64"/>
  <c r="H9" i="64"/>
  <c r="G9" i="64"/>
  <c r="B9" i="64"/>
  <c r="A9" i="64"/>
  <c r="I8" i="64"/>
  <c r="H8" i="64"/>
  <c r="G8" i="64"/>
  <c r="B8" i="64"/>
  <c r="A8" i="64"/>
  <c r="I7" i="64"/>
  <c r="H7" i="64"/>
  <c r="G7" i="64"/>
  <c r="B7" i="64"/>
  <c r="A7" i="64"/>
  <c r="I6" i="64"/>
  <c r="H6" i="64"/>
  <c r="G6" i="64"/>
  <c r="B6" i="64"/>
  <c r="A6" i="64"/>
  <c r="I5" i="64"/>
  <c r="H5" i="64"/>
  <c r="O61" i="80"/>
  <c r="O60" i="80"/>
  <c r="O59" i="80"/>
  <c r="O58" i="80"/>
  <c r="O57" i="80"/>
  <c r="O56" i="80"/>
  <c r="P55" i="80"/>
  <c r="Q55" i="80" s="1"/>
  <c r="Q54" i="80"/>
  <c r="P54" i="80"/>
  <c r="P53" i="80"/>
  <c r="Q53" i="80" s="1"/>
  <c r="Q52" i="80"/>
  <c r="P52" i="80"/>
  <c r="Q51" i="80"/>
  <c r="P51" i="80"/>
  <c r="L51" i="80"/>
  <c r="Q50" i="80"/>
  <c r="P50" i="80"/>
  <c r="P49" i="80"/>
  <c r="Q49" i="80" s="1"/>
  <c r="Q48" i="80"/>
  <c r="P48" i="80"/>
  <c r="P47" i="80"/>
  <c r="Q47" i="80" s="1"/>
  <c r="P46" i="80"/>
  <c r="Q46" i="80" s="1"/>
  <c r="P45" i="80"/>
  <c r="Q45" i="80" s="1"/>
  <c r="P42" i="80"/>
  <c r="Q42" i="80" s="1"/>
  <c r="P41" i="80"/>
  <c r="Q41" i="80" s="1"/>
  <c r="P40" i="80"/>
  <c r="Q40" i="80" s="1"/>
  <c r="P39" i="80"/>
  <c r="Q39" i="80" s="1"/>
  <c r="P37" i="80"/>
  <c r="Q37" i="80" s="1"/>
  <c r="Q36" i="80"/>
  <c r="P36" i="80"/>
  <c r="P35" i="80"/>
  <c r="Q35" i="80" s="1"/>
  <c r="P34" i="80"/>
  <c r="Q34" i="80" s="1"/>
  <c r="P33" i="80"/>
  <c r="Q33" i="80" s="1"/>
  <c r="P32" i="80"/>
  <c r="Q32" i="80" s="1"/>
  <c r="P31" i="80"/>
  <c r="Q31" i="80" s="1"/>
  <c r="P30" i="80"/>
  <c r="Q30" i="80" s="1"/>
  <c r="P29" i="80"/>
  <c r="Q29" i="80" s="1"/>
  <c r="P28" i="80"/>
  <c r="P25" i="80"/>
  <c r="P24" i="80"/>
  <c r="P23" i="80"/>
  <c r="Q23" i="80" s="1"/>
  <c r="P22" i="80"/>
  <c r="Q22" i="80" s="1"/>
  <c r="P21" i="80"/>
  <c r="Q21" i="80" s="1"/>
  <c r="P20" i="80"/>
  <c r="Q20" i="80" s="1"/>
  <c r="P19" i="80"/>
  <c r="Q19" i="80" s="1"/>
  <c r="P18" i="80"/>
  <c r="Q18" i="80" s="1"/>
  <c r="P17" i="80"/>
  <c r="Q17" i="80" s="1"/>
  <c r="P16" i="80"/>
  <c r="P15" i="80"/>
  <c r="P14" i="80"/>
  <c r="P13" i="80"/>
  <c r="Q13" i="80" s="1"/>
  <c r="P12" i="80"/>
  <c r="Q12" i="80" s="1"/>
  <c r="P11" i="80"/>
  <c r="P10" i="80"/>
  <c r="Q10" i="80" s="1"/>
  <c r="P9" i="80"/>
  <c r="P7" i="80"/>
  <c r="P6" i="80"/>
  <c r="I6" i="80"/>
  <c r="P5" i="80"/>
  <c r="I5" i="80"/>
  <c r="P4" i="80"/>
  <c r="I4" i="80"/>
  <c r="P3" i="80"/>
  <c r="D3" i="8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0100-000001000000}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3/20/2013
to use as weight for aggregating over commodities or TS (or process?)
</t>
        </r>
      </text>
    </comment>
    <comment ref="D2" authorId="0" shapeId="0" xr:uid="{00000000-0006-0000-0100-000002000000}">
      <text>
        <r>
          <rPr>
            <b/>
            <sz val="8"/>
            <rFont val="Tahoma"/>
            <charset val="134"/>
          </rPr>
          <t>Amit Kanudia:</t>
        </r>
        <r>
          <rPr>
            <sz val="8"/>
            <rFont val="Tahoma"/>
            <charset val="134"/>
          </rPr>
          <t xml:space="preserve">
6/4/2011
These sets should not have common elements</t>
        </r>
      </text>
    </comment>
    <comment ref="W2" authorId="0" shapeId="0" xr:uid="{00000000-0006-0000-0100-000003000000}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2/11/2012
Name of the aggregated Region
</t>
        </r>
      </text>
    </comment>
    <comment ref="AA2" authorId="0" shapeId="0" xr:uid="{00000000-0006-0000-0100-000004000000}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3/29/2012
if not from EMF TS
</t>
        </r>
      </text>
    </comment>
    <comment ref="J23" authorId="0" shapeId="0" xr:uid="{00000000-0006-0000-0100-000005000000}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10-04-2022
energy services
</t>
        </r>
      </text>
    </comment>
    <comment ref="J24" authorId="0" shapeId="0" xr:uid="{00000000-0006-0000-0100-000006000000}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03-07-2018
Removing autoproduction from here… this varbl is used in sector fuel consumption… leads to double counting
10-12-2021
Autoprod added, because EFF calculation suffers without it. Will manage sector fuel consumption.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  <author>Amit Kanudia</author>
  </authors>
  <commentList>
    <comment ref="A2" authorId="0" shapeId="0" xr:uid="{00000000-0006-0000-0400-000001000000}">
      <text>
        <r>
          <rPr>
            <b/>
            <sz val="9"/>
            <rFont val="Tahoma"/>
            <charset val="134"/>
          </rPr>
          <t>Amit:</t>
        </r>
        <r>
          <rPr>
            <sz val="9"/>
            <rFont val="Tahoma"/>
            <charset val="134"/>
          </rPr>
          <t xml:space="preserve">
31-05-2012
Flag to trigger process level reporting for GIS</t>
        </r>
      </text>
    </comment>
    <comment ref="B2" authorId="1" shapeId="0" xr:uid="{00000000-0006-0000-0400-000002000000}">
      <text>
        <r>
          <rPr>
            <b/>
            <sz val="8"/>
            <rFont val="Tahoma"/>
            <charset val="134"/>
          </rPr>
          <t>Amit Kanudia:</t>
        </r>
        <r>
          <rPr>
            <sz val="8"/>
            <rFont val="Tahoma"/>
            <charset val="134"/>
          </rPr>
          <t xml:space="preserve">
</t>
        </r>
        <r>
          <rPr>
            <i/>
            <sz val="8"/>
            <rFont val="Tahoma"/>
            <charset val="134"/>
          </rPr>
          <t>Types:</t>
        </r>
        <r>
          <rPr>
            <sz val="8"/>
            <rFont val="Tahoma"/>
            <charset val="134"/>
          </rPr>
          <t xml:space="preserve">
1: PSet
2: CName
3: Pset,Cname
4: PSet, Cset
</t>
        </r>
      </text>
    </comment>
    <comment ref="D2" authorId="1" shapeId="0" xr:uid="{00000000-0006-0000-0400-000003000000}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3/20/2013
to use as weight for aggregating over commodities or TS (or process?)
</t>
        </r>
      </text>
    </comment>
    <comment ref="F2" authorId="1" shapeId="0" xr:uid="{00000000-0006-0000-0400-000004000000}">
      <text>
        <r>
          <rPr>
            <b/>
            <sz val="8"/>
            <rFont val="Tahoma"/>
            <charset val="134"/>
          </rPr>
          <t>Amit Kanudia:</t>
        </r>
        <r>
          <rPr>
            <sz val="8"/>
            <rFont val="Tahoma"/>
            <charset val="134"/>
          </rPr>
          <t xml:space="preserve">
6/4/2011
These sets should not have common elements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500-000001000000}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<sst xmlns="http://schemas.openxmlformats.org/spreadsheetml/2006/main" count="1905" uniqueCount="1150">
  <si>
    <t>KS</t>
  </si>
  <si>
    <t>~ScenMap</t>
  </si>
  <si>
    <t>~ScenG</t>
  </si>
  <si>
    <t>Oname</t>
  </si>
  <si>
    <t>Name</t>
  </si>
  <si>
    <t>Desc</t>
  </si>
  <si>
    <t>Ldesc</t>
  </si>
  <si>
    <t>Scen</t>
  </si>
  <si>
    <t>priority</t>
  </si>
  <si>
    <t>case_no</t>
  </si>
  <si>
    <t>CO2Price</t>
  </si>
  <si>
    <t>V2G</t>
  </si>
  <si>
    <t>cp-000.v2g-N</t>
  </si>
  <si>
    <t>000</t>
  </si>
  <si>
    <t>N</t>
  </si>
  <si>
    <t>cp-043.v2g-N</t>
  </si>
  <si>
    <t>043</t>
  </si>
  <si>
    <t>cp-109.v2g-N</t>
  </si>
  <si>
    <t>109</t>
  </si>
  <si>
    <t>cp-205.v2g-N</t>
  </si>
  <si>
    <t>205</t>
  </si>
  <si>
    <t>cp-345.v2g-N</t>
  </si>
  <si>
    <t>345</t>
  </si>
  <si>
    <t>cp-542.v2g-N</t>
  </si>
  <si>
    <t>542</t>
  </si>
  <si>
    <t>cp-000.v2g-Y</t>
  </si>
  <si>
    <t>Y</t>
  </si>
  <si>
    <t>cp-043.v2g-Y</t>
  </si>
  <si>
    <t>cp-109.v2g-Y</t>
  </si>
  <si>
    <t>cp-205.v2g-Y</t>
  </si>
  <si>
    <t>cp-345.v2g-Y</t>
  </si>
  <si>
    <t>cp-542.v2g-Y</t>
  </si>
  <si>
    <t>~TS_Defs</t>
  </si>
  <si>
    <t>Attribute</t>
  </si>
  <si>
    <t>WAttribute</t>
  </si>
  <si>
    <t>Vintage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</si>
  <si>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</si>
  <si>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</si>
  <si>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</si>
  <si>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</si>
  <si>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</si>
  <si>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</si>
  <si>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</si>
  <si>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</si>
  <si>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Unit</t>
  </si>
  <si>
    <t>TS</t>
  </si>
  <si>
    <t>UC_N</t>
  </si>
  <si>
    <t>show_me</t>
  </si>
  <si>
    <t>ignore</t>
  </si>
  <si>
    <t>t_neg_andor</t>
  </si>
  <si>
    <t>TIAM</t>
  </si>
  <si>
    <t>World</t>
  </si>
  <si>
    <t>Alt Description</t>
  </si>
  <si>
    <t>VAR_FIN</t>
  </si>
  <si>
    <t>NRG</t>
  </si>
  <si>
    <t>PJ</t>
  </si>
  <si>
    <t>FinEnergy</t>
  </si>
  <si>
    <t>Final energy consumption by sector and fuel</t>
  </si>
  <si>
    <t>SUP*</t>
  </si>
  <si>
    <t>\I:</t>
  </si>
  <si>
    <t>SUP_TBLAST*,SUP_TCOK*</t>
  </si>
  <si>
    <t>-SUP*</t>
  </si>
  <si>
    <t>PJneg</t>
  </si>
  <si>
    <t>VAR_FOUT</t>
  </si>
  <si>
    <t>ELE,CHP,STG,IRE</t>
  </si>
  <si>
    <t>-TU_sup-dem*,-ElcAgg*</t>
  </si>
  <si>
    <t>PJe</t>
  </si>
  <si>
    <t>Elec_Prod</t>
  </si>
  <si>
    <t>Electricity production - including output from storage and trade</t>
  </si>
  <si>
    <t>IRE,STG</t>
  </si>
  <si>
    <t>-TU_sup-dem*</t>
  </si>
  <si>
    <t>ELC</t>
  </si>
  <si>
    <t>PJeNeg</t>
  </si>
  <si>
    <t>ELE,PRE</t>
  </si>
  <si>
    <t>ELCCurt</t>
  </si>
  <si>
    <t>Elec-int_Prod</t>
  </si>
  <si>
    <t>Intermittent electricity production - this is either curtailed or used for Hydrogen production</t>
  </si>
  <si>
    <t>VAR_ACT</t>
  </si>
  <si>
    <t>ELE,CHP,IRE</t>
  </si>
  <si>
    <t>Elec_act</t>
  </si>
  <si>
    <t>-IRE,-STG</t>
  </si>
  <si>
    <t>HH2</t>
  </si>
  <si>
    <t>H2_Prod</t>
  </si>
  <si>
    <t>Hydrogen production</t>
  </si>
  <si>
    <t>p</t>
  </si>
  <si>
    <t>VAR_CAP</t>
  </si>
  <si>
    <t>ELE,CHP,PRE,STG</t>
  </si>
  <si>
    <t>-ElcAgg*</t>
  </si>
  <si>
    <t>GW</t>
  </si>
  <si>
    <t>Capacity_Elec</t>
  </si>
  <si>
    <t>OR</t>
  </si>
  <si>
    <t>IRE</t>
  </si>
  <si>
    <t>T?_ELC*</t>
  </si>
  <si>
    <t>-IRE</t>
  </si>
  <si>
    <t>&lt;pc&gt;</t>
  </si>
  <si>
    <t>Capacity_H2</t>
  </si>
  <si>
    <t>VAR_NCAP</t>
  </si>
  <si>
    <t>NewCap</t>
  </si>
  <si>
    <t>Cost_INV</t>
  </si>
  <si>
    <t>ELE,CHP,DMD,PRE,IRE</t>
  </si>
  <si>
    <t>-FT[_]*-ElcAgg*</t>
  </si>
  <si>
    <t>m$</t>
  </si>
  <si>
    <t>CostINV</t>
  </si>
  <si>
    <t>Cost_Act</t>
  </si>
  <si>
    <t>ELE,CHP,DMD,PRE</t>
  </si>
  <si>
    <t>CostVAR</t>
  </si>
  <si>
    <t>Cost_Fom</t>
  </si>
  <si>
    <t>CostFIX</t>
  </si>
  <si>
    <t>Val_Flo</t>
  </si>
  <si>
    <t>ELE,CHP</t>
  </si>
  <si>
    <t>-ELC*,-HET,-INDELC,-INDHET</t>
  </si>
  <si>
    <t>CostFue</t>
  </si>
  <si>
    <t>-HH2</t>
  </si>
  <si>
    <t>DMD</t>
  </si>
  <si>
    <t>C*,R*,T*</t>
  </si>
  <si>
    <t>DMD_IND,DMD_Non-En</t>
  </si>
  <si>
    <t>-*[_]*</t>
  </si>
  <si>
    <t>ELE,CHP,HPL,-STG</t>
  </si>
  <si>
    <t>-*WHT,-ELCC,-ELC</t>
  </si>
  <si>
    <t>Fuel_cons_power</t>
  </si>
  <si>
    <t>Energy consumed for producing electricity and heat</t>
  </si>
  <si>
    <t>Fuel_cons_H2</t>
  </si>
  <si>
    <t>Energy consumed for producing Hydrogen</t>
  </si>
  <si>
    <t>CO2_DAC</t>
  </si>
  <si>
    <t>Fuel_cons_DAC</t>
  </si>
  <si>
    <t>Energy consumed in Direct Air Capture of CO2</t>
  </si>
  <si>
    <t>Trd[_]*</t>
  </si>
  <si>
    <t>Capacity_roadtra</t>
  </si>
  <si>
    <t>Road transport vehicles population</t>
  </si>
  <si>
    <t>DEM</t>
  </si>
  <si>
    <t>-I??,-ONO</t>
  </si>
  <si>
    <t>&lt;c&gt;</t>
  </si>
  <si>
    <t>DMD_out</t>
  </si>
  <si>
    <t>End-use services produced - these are the exogenous demands</t>
  </si>
  <si>
    <t>-I*,-ONO</t>
  </si>
  <si>
    <t>DMD_in</t>
  </si>
  <si>
    <t>VAR_POUT</t>
  </si>
  <si>
    <t>*,-FT[_]*,-TU_sup-dem*</t>
  </si>
  <si>
    <t>-TRDELC</t>
  </si>
  <si>
    <t>PJ2gw</t>
  </si>
  <si>
    <t>Power</t>
  </si>
  <si>
    <t>t,c</t>
  </si>
  <si>
    <t>MIN*,WB_sup*</t>
  </si>
  <si>
    <t>Pri_Prod</t>
  </si>
  <si>
    <t>SUP_GasSupply</t>
  </si>
  <si>
    <t>OILNGL</t>
  </si>
  <si>
    <t>ENV</t>
  </si>
  <si>
    <t>???CO2??,-*CO2Nb</t>
  </si>
  <si>
    <t>kt CO2</t>
  </si>
  <si>
    <t>CO2_emissions</t>
  </si>
  <si>
    <t>c</t>
  </si>
  <si>
    <t>CO2Captured*,CO2_DAC</t>
  </si>
  <si>
    <t>kt CO2neg</t>
  </si>
  <si>
    <t>CO2_captured</t>
  </si>
  <si>
    <t>TOTCO2</t>
  </si>
  <si>
    <t>CO2ForStorage</t>
  </si>
  <si>
    <t>CO2_Stored</t>
  </si>
  <si>
    <t>Trd_endo</t>
  </si>
  <si>
    <t>Pri_Import</t>
  </si>
  <si>
    <t>LNG[_]*</t>
  </si>
  <si>
    <t>GASNGA</t>
  </si>
  <si>
    <t>Pjneg</t>
  </si>
  <si>
    <t>Pri_Export</t>
  </si>
  <si>
    <t>EQ_COMBALM</t>
  </si>
  <si>
    <t>VAR_COMPRD</t>
  </si>
  <si>
    <t>OILDST,OILGSL,BIODST,BIOGSL,BIOBSL,COAHCO</t>
  </si>
  <si>
    <t>$/GJ</t>
  </si>
  <si>
    <t>Prices</t>
  </si>
  <si>
    <t>ELC,INDELC,TRAELC,COMELC</t>
  </si>
  <si>
    <t>$/GJe</t>
  </si>
  <si>
    <t>ct</t>
  </si>
  <si>
    <t>$/GJh</t>
  </si>
  <si>
    <t>OILCRD</t>
  </si>
  <si>
    <t>$/Gjo</t>
  </si>
  <si>
    <t>GASNGA,GASLNG,GAS[_]*</t>
  </si>
  <si>
    <t>$/GJg</t>
  </si>
  <si>
    <t>t</t>
  </si>
  <si>
    <t>000$/tneg</t>
  </si>
  <si>
    <t>$/000vkm</t>
  </si>
  <si>
    <t>IIS,ILP,INM,INF</t>
  </si>
  <si>
    <t>$/t</t>
  </si>
  <si>
    <t>-Trd[_]*,-IIS,-ILP,-INF,-INM</t>
  </si>
  <si>
    <t>VAR_NCAPR</t>
  </si>
  <si>
    <t>ELE</t>
  </si>
  <si>
    <t>LCOE</t>
  </si>
  <si>
    <t>PRE,DMD</t>
  </si>
  <si>
    <t>HH2,Trd[_]*</t>
  </si>
  <si>
    <t>m$/&lt;pa&gt;</t>
  </si>
  <si>
    <t>VAR_COMNET</t>
  </si>
  <si>
    <t>TOTCO2_check</t>
  </si>
  <si>
    <t>Reg_Acost</t>
  </si>
  <si>
    <t>Ann_OBJ</t>
  </si>
  <si>
    <t>u</t>
  </si>
  <si>
    <t>IMP*Z</t>
  </si>
  <si>
    <t>Dummy imports</t>
  </si>
  <si>
    <t>c,t</t>
  </si>
  <si>
    <t>PRE</t>
  </si>
  <si>
    <t>GASLNG</t>
  </si>
  <si>
    <t>LNG_liquefaction</t>
  </si>
  <si>
    <t>LNG_regasification</t>
  </si>
  <si>
    <t>mt LNG</t>
  </si>
  <si>
    <t>STG</t>
  </si>
  <si>
    <t>p,t</t>
  </si>
  <si>
    <t>p,c,t</t>
  </si>
  <si>
    <t>p,c</t>
  </si>
  <si>
    <t>mt</t>
  </si>
  <si>
    <t>zz_TFC_steelprod</t>
  </si>
  <si>
    <t>*</t>
  </si>
  <si>
    <t>ALLBIO</t>
  </si>
  <si>
    <t>ALLGAS</t>
  </si>
  <si>
    <t>~Pset_Map</t>
  </si>
  <si>
    <t>Pset</t>
  </si>
  <si>
    <t>MAT</t>
  </si>
  <si>
    <t>kt</t>
  </si>
  <si>
    <t>mtneg</t>
  </si>
  <si>
    <t>~process_map</t>
  </si>
  <si>
    <t>dimension</t>
  </si>
  <si>
    <t>name</t>
  </si>
  <si>
    <t>description</t>
  </si>
  <si>
    <t>pset_set</t>
  </si>
  <si>
    <t>pset_ci</t>
  </si>
  <si>
    <t>pset_co</t>
  </si>
  <si>
    <t>Tech</t>
  </si>
  <si>
    <t>IgnoreForRegAgg</t>
  </si>
  <si>
    <t>ProcOrd</t>
  </si>
  <si>
    <t>User_con</t>
  </si>
  <si>
    <t>bvkm</t>
  </si>
  <si>
    <t>rep_tra_road_pass</t>
  </si>
  <si>
    <t>rep_tra_road_frt</t>
  </si>
  <si>
    <t>rep_totco2</t>
  </si>
  <si>
    <t>b$</t>
  </si>
  <si>
    <t>rep_GDP</t>
  </si>
  <si>
    <t>rep_GDPAGR</t>
  </si>
  <si>
    <t>rep_GDPIND</t>
  </si>
  <si>
    <t>rep_GDPSER</t>
  </si>
  <si>
    <t>million</t>
  </si>
  <si>
    <t>rep_HOU</t>
  </si>
  <si>
    <t>rep_POP</t>
  </si>
  <si>
    <t>rep_com_cookhw</t>
  </si>
  <si>
    <t>rep_com_lightappl</t>
  </si>
  <si>
    <t>rep_com_spcool</t>
  </si>
  <si>
    <t>rep_com_spht</t>
  </si>
  <si>
    <t>rep_res_cookhw</t>
  </si>
  <si>
    <t>rep_res_lightappl</t>
  </si>
  <si>
    <t>rep_res_spcool</t>
  </si>
  <si>
    <t>rep_res_spht</t>
  </si>
  <si>
    <t>~TS_Ratios</t>
  </si>
  <si>
    <t>var_num</t>
  </si>
  <si>
    <t>var_den</t>
  </si>
  <si>
    <t>include_null</t>
  </si>
  <si>
    <t>include_dim</t>
  </si>
  <si>
    <t>Capacity_factor</t>
  </si>
  <si>
    <t>PJ/GW</t>
  </si>
  <si>
    <t>y</t>
  </si>
  <si>
    <t>Efficiency</t>
  </si>
  <si>
    <t>%</t>
  </si>
  <si>
    <t>CO2 intensity</t>
  </si>
  <si>
    <t>t/TJ</t>
  </si>
  <si>
    <t>kt/DemU</t>
  </si>
  <si>
    <t>Road pass/Population</t>
  </si>
  <si>
    <t>000 vkm pcap</t>
  </si>
  <si>
    <t>Road frt/GDP</t>
  </si>
  <si>
    <t>vkm/$</t>
  </si>
  <si>
    <t>CO2 percapita</t>
  </si>
  <si>
    <t>kg pcap</t>
  </si>
  <si>
    <t>CO2/GDP</t>
  </si>
  <si>
    <t>kt/b$</t>
  </si>
  <si>
    <t>MJ/$</t>
  </si>
  <si>
    <t>GJ/HH</t>
  </si>
  <si>
    <t>mat_prod-crudesteel</t>
  </si>
  <si>
    <t>Efficiency_steelprod</t>
  </si>
  <si>
    <t>GJ/t</t>
  </si>
  <si>
    <t>t/Tjneg</t>
  </si>
  <si>
    <t>t/Mwhneg</t>
  </si>
  <si>
    <t>E_Bio</t>
  </si>
  <si>
    <t>Bio</t>
  </si>
  <si>
    <t>E_Coal</t>
  </si>
  <si>
    <t>Coal</t>
  </si>
  <si>
    <t>E_Gas</t>
  </si>
  <si>
    <t>Gas</t>
  </si>
  <si>
    <t>E_Lignite</t>
  </si>
  <si>
    <t>Lignite</t>
  </si>
  <si>
    <t>E_Geothermal</t>
  </si>
  <si>
    <t>Geothermal</t>
  </si>
  <si>
    <t>E_Nuclear</t>
  </si>
  <si>
    <t>Nuclear</t>
  </si>
  <si>
    <t>E_Oil</t>
  </si>
  <si>
    <t>Oil</t>
  </si>
  <si>
    <t>E_Crude</t>
  </si>
  <si>
    <t>Crude</t>
  </si>
  <si>
    <t>E_Diesel</t>
  </si>
  <si>
    <t>Diesel</t>
  </si>
  <si>
    <t>E_Waste</t>
  </si>
  <si>
    <t>Waste</t>
  </si>
  <si>
    <t>E_Hydro</t>
  </si>
  <si>
    <t>Hydro</t>
  </si>
  <si>
    <t>E_Solar</t>
  </si>
  <si>
    <t>Solar</t>
  </si>
  <si>
    <t>E_Tidal</t>
  </si>
  <si>
    <t>Tidal</t>
  </si>
  <si>
    <t>E_Wind</t>
  </si>
  <si>
    <t>Wind</t>
  </si>
  <si>
    <t>E_Bio-S</t>
  </si>
  <si>
    <t>Bio (CCS)</t>
  </si>
  <si>
    <t>E_Coal-S</t>
  </si>
  <si>
    <t>Coal (CCS)</t>
  </si>
  <si>
    <t>E_Gas-S</t>
  </si>
  <si>
    <t>Gas (CCS)</t>
  </si>
  <si>
    <t>Final energy</t>
  </si>
  <si>
    <t>DMD_AGR</t>
  </si>
  <si>
    <t>Agri</t>
  </si>
  <si>
    <t>DMD_COM</t>
  </si>
  <si>
    <t>Commercial</t>
  </si>
  <si>
    <t>DMD_RES</t>
  </si>
  <si>
    <t>Residential</t>
  </si>
  <si>
    <t>DMD_AUTOP</t>
  </si>
  <si>
    <t>Industry</t>
  </si>
  <si>
    <t>DMD_IND</t>
  </si>
  <si>
    <t>DMD_Non-En</t>
  </si>
  <si>
    <t>Non-Energy</t>
  </si>
  <si>
    <t>DMD_TRA-NR</t>
  </si>
  <si>
    <t>Tra Non-Road</t>
  </si>
  <si>
    <t>DMD_TRA-R</t>
  </si>
  <si>
    <t>Tra Road</t>
  </si>
  <si>
    <t>SNK</t>
  </si>
  <si>
    <t>NETs</t>
  </si>
  <si>
    <t>s_DAC</t>
  </si>
  <si>
    <t>Direct Air Cap</t>
  </si>
  <si>
    <t>Snk_Avo_For</t>
  </si>
  <si>
    <t>Avoided Forest Conv</t>
  </si>
  <si>
    <t>Snk_Ref_-_T</t>
  </si>
  <si>
    <t xml:space="preserve">Reforestation </t>
  </si>
  <si>
    <t>Snk_Nat_For</t>
  </si>
  <si>
    <t>Nat Forest Mgmt</t>
  </si>
  <si>
    <t>Snk_Bio_-_T</t>
  </si>
  <si>
    <t xml:space="preserve">Biochar </t>
  </si>
  <si>
    <t>Snk_Cro_Nut</t>
  </si>
  <si>
    <t>Crplnd Nutrient Mgmt</t>
  </si>
  <si>
    <t>Snk_Tre_In_</t>
  </si>
  <si>
    <t xml:space="preserve">Trees in Cropland </t>
  </si>
  <si>
    <t>Snk_Avo_Pet</t>
  </si>
  <si>
    <t>Avoided Peatland</t>
  </si>
  <si>
    <t>Snk_Coa_Wet</t>
  </si>
  <si>
    <t>Cstal Wetland Rstrn</t>
  </si>
  <si>
    <t>Snk_Pet_Res</t>
  </si>
  <si>
    <t xml:space="preserve">Peatland Restoration </t>
  </si>
  <si>
    <t>E_Thermal</t>
  </si>
  <si>
    <t>Thermal Power</t>
  </si>
  <si>
    <t>E_Thermal-S</t>
  </si>
  <si>
    <t>Thermal CCS</t>
  </si>
  <si>
    <t>E_USHP</t>
  </si>
  <si>
    <t>Utility Heat Pump</t>
  </si>
  <si>
    <t>E_Renewable</t>
  </si>
  <si>
    <t>Ren Elec</t>
  </si>
  <si>
    <t>FossilProc</t>
  </si>
  <si>
    <t>Oil Ref</t>
  </si>
  <si>
    <t>IndProc</t>
  </si>
  <si>
    <t>BF and CokOv</t>
  </si>
  <si>
    <t>BioRef</t>
  </si>
  <si>
    <t>Bio Ref</t>
  </si>
  <si>
    <t>H2_Exp_LH2</t>
  </si>
  <si>
    <t>H2_Exp_Amm</t>
  </si>
  <si>
    <t>H2_Exp_LOHC</t>
  </si>
  <si>
    <t>H2_Imp_LH2</t>
  </si>
  <si>
    <t>H2_Imp_Amm</t>
  </si>
  <si>
    <t>H2_Imp_LOHC</t>
  </si>
  <si>
    <t>H2_Thermal</t>
  </si>
  <si>
    <t>H2 Thermal</t>
  </si>
  <si>
    <t>H2_Bio</t>
  </si>
  <si>
    <t>H2 Bio</t>
  </si>
  <si>
    <t>H2_Elec</t>
  </si>
  <si>
    <t>H2 Elec</t>
  </si>
  <si>
    <t>SRC + SNK</t>
  </si>
  <si>
    <t>s_Mining</t>
  </si>
  <si>
    <t>Extraction</t>
  </si>
  <si>
    <t>SRC</t>
  </si>
  <si>
    <t>For sector SANKEY</t>
  </si>
  <si>
    <t>Agriculture</t>
  </si>
  <si>
    <t>DMD_CCK</t>
  </si>
  <si>
    <t>Cooking</t>
  </si>
  <si>
    <t>DMD_CHW</t>
  </si>
  <si>
    <t>Hot Water</t>
  </si>
  <si>
    <t>DMD_CLA</t>
  </si>
  <si>
    <t>Lighting</t>
  </si>
  <si>
    <t>DMD_CAP</t>
  </si>
  <si>
    <t>Appliances</t>
  </si>
  <si>
    <t>DMD_CSC</t>
  </si>
  <si>
    <t>Space Cooling</t>
  </si>
  <si>
    <t>DMD_CSH</t>
  </si>
  <si>
    <t>Space Heating</t>
  </si>
  <si>
    <t>DMD_ICH</t>
  </si>
  <si>
    <t>Chemicals</t>
  </si>
  <si>
    <t>DMD_ICH-fStock</t>
  </si>
  <si>
    <t>Chemical feedstock</t>
  </si>
  <si>
    <t>IndSerT_STM</t>
  </si>
  <si>
    <t>Steam</t>
  </si>
  <si>
    <t>IndSerT_PRH</t>
  </si>
  <si>
    <t>Proc. heat</t>
  </si>
  <si>
    <t>IndSerT_PRC</t>
  </si>
  <si>
    <t>Proc. Cool</t>
  </si>
  <si>
    <t>IndSerT_MDR</t>
  </si>
  <si>
    <t>Mch drive</t>
  </si>
  <si>
    <t>IndSerT_ECP</t>
  </si>
  <si>
    <t>Electrochem</t>
  </si>
  <si>
    <t>IndSerT_OTP</t>
  </si>
  <si>
    <t>Oth. Proc. Use</t>
  </si>
  <si>
    <t>IndSerT_SPC</t>
  </si>
  <si>
    <t>Space cond.</t>
  </si>
  <si>
    <t>IndSerT_LIG</t>
  </si>
  <si>
    <t>IndSerT_OTH</t>
  </si>
  <si>
    <t>Other</t>
  </si>
  <si>
    <t>DMD_ONO</t>
  </si>
  <si>
    <t>Other non-specified</t>
  </si>
  <si>
    <t>DMD_RAP</t>
  </si>
  <si>
    <t>DMD_RCK</t>
  </si>
  <si>
    <t>DMD_RHW</t>
  </si>
  <si>
    <t>DMD_RLI</t>
  </si>
  <si>
    <t>DMD_RSC</t>
  </si>
  <si>
    <t>DMD_RSH</t>
  </si>
  <si>
    <t>DMD_TAD</t>
  </si>
  <si>
    <t>Dom. Aviation</t>
  </si>
  <si>
    <t>DMD_TAI</t>
  </si>
  <si>
    <t>Int. Aviation</t>
  </si>
  <si>
    <t>DMD_Trd_2w</t>
  </si>
  <si>
    <t>2-wheelers</t>
  </si>
  <si>
    <t>DMD_Trd_3w</t>
  </si>
  <si>
    <t>3-wheelers</t>
  </si>
  <si>
    <t>DMD_Trd_Bus</t>
  </si>
  <si>
    <t>Bus</t>
  </si>
  <si>
    <t>DMD_Trd_Car</t>
  </si>
  <si>
    <t>Cars</t>
  </si>
  <si>
    <t>DMD_Trd_Hdt</t>
  </si>
  <si>
    <t>Heavy Trucks</t>
  </si>
  <si>
    <t>DMD_Trd_Lcv</t>
  </si>
  <si>
    <t>Light Trucks</t>
  </si>
  <si>
    <t>DMD_TTF</t>
  </si>
  <si>
    <t>Rail-Freight</t>
  </si>
  <si>
    <t>DMD_TTP</t>
  </si>
  <si>
    <t>Rail-Passenger</t>
  </si>
  <si>
    <t>DMD_TWD</t>
  </si>
  <si>
    <t>Dom. Ships</t>
  </si>
  <si>
    <t>DMD_TWI</t>
  </si>
  <si>
    <t>Int. Ships</t>
  </si>
  <si>
    <t>~Cset_Map</t>
  </si>
  <si>
    <t>Cset</t>
  </si>
  <si>
    <t>ALLSOL</t>
  </si>
  <si>
    <t>ALLWIN</t>
  </si>
  <si>
    <t>ALLHYD</t>
  </si>
  <si>
    <t>ALLGEO</t>
  </si>
  <si>
    <t>Geotherm</t>
  </si>
  <si>
    <t>Biomass</t>
  </si>
  <si>
    <t>ALLNUC</t>
  </si>
  <si>
    <t>ALLELC</t>
  </si>
  <si>
    <t>Grid Elec</t>
  </si>
  <si>
    <t>ALLELCi</t>
  </si>
  <si>
    <t>Int. Elec</t>
  </si>
  <si>
    <t>ALLH2</t>
  </si>
  <si>
    <t>Hydrogen</t>
  </si>
  <si>
    <t>ALLCOAL</t>
  </si>
  <si>
    <t>ALLCOALInd</t>
  </si>
  <si>
    <t>Coal Ind.</t>
  </si>
  <si>
    <t>ALLBIOFliq</t>
  </si>
  <si>
    <t>Biofuels liq</t>
  </si>
  <si>
    <t>ALLBIOFgas</t>
  </si>
  <si>
    <t>Biofuels gas</t>
  </si>
  <si>
    <t>ALLHEAT</t>
  </si>
  <si>
    <t>Heat</t>
  </si>
  <si>
    <t>ALLOILCrd</t>
  </si>
  <si>
    <t>Oil Crude</t>
  </si>
  <si>
    <t>ALLOILPrd</t>
  </si>
  <si>
    <t>Oil Prod.</t>
  </si>
  <si>
    <t>for industry sector SANKEY</t>
  </si>
  <si>
    <t>IndSer_STM</t>
  </si>
  <si>
    <t>-Steam</t>
  </si>
  <si>
    <t>IndSer_PRH</t>
  </si>
  <si>
    <t>-Proc. heat</t>
  </si>
  <si>
    <t>IndSer_PRC</t>
  </si>
  <si>
    <t>-Proc. Cool</t>
  </si>
  <si>
    <t>IndSer_MDR</t>
  </si>
  <si>
    <t>-Mch drive</t>
  </si>
  <si>
    <t>IndSer_ECP</t>
  </si>
  <si>
    <t>-Electrochem</t>
  </si>
  <si>
    <t>IndSer_OTP</t>
  </si>
  <si>
    <t>-Oth. Proc. Use</t>
  </si>
  <si>
    <t>IndSer_SPC</t>
  </si>
  <si>
    <t>-Space cond.</t>
  </si>
  <si>
    <t>IndSer_LIG</t>
  </si>
  <si>
    <t>-Lighting</t>
  </si>
  <si>
    <t>IndSer_OTH</t>
  </si>
  <si>
    <t>-Other</t>
  </si>
  <si>
    <t>~CName_Map</t>
  </si>
  <si>
    <t>Cname</t>
  </si>
  <si>
    <t>HYD</t>
  </si>
  <si>
    <t>SOL</t>
  </si>
  <si>
    <t>WIN</t>
  </si>
  <si>
    <t>GEO</t>
  </si>
  <si>
    <t>TID</t>
  </si>
  <si>
    <t>~PName_Map</t>
  </si>
  <si>
    <t>Pname</t>
  </si>
  <si>
    <t>TU_GasPip--Austria-Hungary</t>
  </si>
  <si>
    <t>gp_aut-hun</t>
  </si>
  <si>
    <t xml:space="preserve"> [0.0 km]</t>
  </si>
  <si>
    <t>TU_GasPip--Hungary-Serbia</t>
  </si>
  <si>
    <t>gp_hun-srb</t>
  </si>
  <si>
    <t>TU_GasPip--Lithuania-Poland</t>
  </si>
  <si>
    <t>gp_ltu-pol</t>
  </si>
  <si>
    <t>TU_GasPip--Serbia-Bosnia_Herz</t>
  </si>
  <si>
    <t>gp_srb-bih</t>
  </si>
  <si>
    <t>TU_GasPip--Slovak-Poland</t>
  </si>
  <si>
    <t>gp_svk-pol</t>
  </si>
  <si>
    <t>TU_GasPip--Ukraine-Poland</t>
  </si>
  <si>
    <t>gp_ukr-pol</t>
  </si>
  <si>
    <t>TU_GasPip--Uzbekistan-Tajikistan</t>
  </si>
  <si>
    <t>gp_uzb-tjk</t>
  </si>
  <si>
    <t>TU_GasPip--Moldova-Romania</t>
  </si>
  <si>
    <t>gp_mda-rou</t>
  </si>
  <si>
    <t>anan^iv-tiraspol-izmail [257.0 km]</t>
  </si>
  <si>
    <t>TU_GasPip--Ukraine-Moldova</t>
  </si>
  <si>
    <t>gp_ukr-mda</t>
  </si>
  <si>
    <t>TU_GasPip--France-Switzerland</t>
  </si>
  <si>
    <t>gp_fra-che</t>
  </si>
  <si>
    <t>annecy-la gabiule+etrez-vernier+morelmaison-rodersdorf [276.0 km]</t>
  </si>
  <si>
    <t>TU_GasPip--Egypt-Other_MidEast</t>
  </si>
  <si>
    <t>gp_egy-jor</t>
  </si>
  <si>
    <t>arab [1200.0 km]</t>
  </si>
  <si>
    <t>TU_GasPip--Romania-Hungary</t>
  </si>
  <si>
    <t>gp_rou-hun</t>
  </si>
  <si>
    <t>arad-szeged [109.0 km]</t>
  </si>
  <si>
    <t>TU_GasPip--Israel-Egypt</t>
  </si>
  <si>
    <t>gp_isr-egy</t>
  </si>
  <si>
    <t>arish–ashkelon [90.0 km]</t>
  </si>
  <si>
    <t>TU_GasPip--Austria-Slovenia</t>
  </si>
  <si>
    <t>gp_aut-svn</t>
  </si>
  <si>
    <t>austria–slovenia interconnector [28.0 km]</t>
  </si>
  <si>
    <t>TU_GasPip--Netherlands-UK</t>
  </si>
  <si>
    <t>gp_nld-gbr</t>
  </si>
  <si>
    <t>balgzand–bacton line [232.0 km]</t>
  </si>
  <si>
    <t>TU_GasPip--Denmark-Sweden</t>
  </si>
  <si>
    <t>gp_dnk-swe</t>
  </si>
  <si>
    <t>baltic pipe project [613.0 km]</t>
  </si>
  <si>
    <t>TU_GasPip--Norway-Denmark</t>
  </si>
  <si>
    <t>gp_nor-dnk</t>
  </si>
  <si>
    <t>TU_GasPip--Sweden-Poland</t>
  </si>
  <si>
    <t>gp_swe-pol</t>
  </si>
  <si>
    <t>TU_GasPip--Finland-Estonia</t>
  </si>
  <si>
    <t>gp_fin-est</t>
  </si>
  <si>
    <t>balticconnector [155.0 km]</t>
  </si>
  <si>
    <t>TU_GasPip--Canada-USA</t>
  </si>
  <si>
    <t>gp_can-usa</t>
  </si>
  <si>
    <t>bc+gas transmission northwest+great lakestransmission+northern border+transgas+empire+vikingtransmission+alliance+maritimes and northeast [31596.0 km]</t>
  </si>
  <si>
    <t>TU_GasPip--Russia-Turkey</t>
  </si>
  <si>
    <t>gp_rus-tur</t>
  </si>
  <si>
    <t>bluestream</t>
  </si>
  <si>
    <t>blue stream+turkstream [2143.0 km]</t>
  </si>
  <si>
    <t>TU_GasPip--Kyrgyzstan-Kazakhstan</t>
  </si>
  <si>
    <t>gp_kgz-kaz</t>
  </si>
  <si>
    <t>bukhara-tashkent-bishkek-almaty [1585.0 km]</t>
  </si>
  <si>
    <t>TU_GasPip--Uzbekistan-Kyrgyzstan</t>
  </si>
  <si>
    <t>gp_uzb-kgz</t>
  </si>
  <si>
    <t>TU_GasPip--Turkmenistan-Kazakhstan</t>
  </si>
  <si>
    <t>gp_tkm-kaz</t>
  </si>
  <si>
    <t>bukhara-ural [2382.0 km]</t>
  </si>
  <si>
    <t>TU_GasPip--Uzbekistan-Russia</t>
  </si>
  <si>
    <t>gp_uzb-rus</t>
  </si>
  <si>
    <t>bukhara-ural [4537.0 km]</t>
  </si>
  <si>
    <t>TU_GasPip--Uzbekistan-Turkmenistan</t>
  </si>
  <si>
    <t>gp_uzb-tkm</t>
  </si>
  <si>
    <t>TU_GasPip--Kazakhstan-Russia</t>
  </si>
  <si>
    <t>gp_kaz-rus</t>
  </si>
  <si>
    <t>bukhara-ural+central asia–center+central asia–center+makat–north caucasus [9775.0 km]</t>
  </si>
  <si>
    <t>TU_GasPip--Germany-Netherlands</t>
  </si>
  <si>
    <t>gp_deu-nld</t>
  </si>
  <si>
    <t>bunde-etzel [60.0 km]</t>
  </si>
  <si>
    <t>TU_GasPip--Turkmenistan-Uzbekistan</t>
  </si>
  <si>
    <t>gp_tkm-uzb</t>
  </si>
  <si>
    <t>central asia–center+central asia–center+central asia–china [8282.0 km]</t>
  </si>
  <si>
    <t>TU_GasPip--Uzbekistan-Kazakhstan</t>
  </si>
  <si>
    <t>gp_uzb-kaz</t>
  </si>
  <si>
    <t>central asia–center+central asia–center+central asia–china+gazli-shymkent [9159.0 km]</t>
  </si>
  <si>
    <t>TU_GasPip--Kazakhstan-China</t>
  </si>
  <si>
    <t>gp_kaz-chn</t>
  </si>
  <si>
    <t>central asia–china [1833.0 km]</t>
  </si>
  <si>
    <t>TU_GasPip--Turkmenistan-China</t>
  </si>
  <si>
    <t>gp_tkm-chn</t>
  </si>
  <si>
    <t>central asia–china+central asia–china [3666.0 km]</t>
  </si>
  <si>
    <t>TU_GasPip--Turkmenistan-Russia</t>
  </si>
  <si>
    <t>gp_tkm-rus</t>
  </si>
  <si>
    <t>central asia-center+central asia-center [5399.0 km]</t>
  </si>
  <si>
    <t>TU_GasPip--Qatar-UAE</t>
  </si>
  <si>
    <t>gp_qat-are</t>
  </si>
  <si>
    <t>dolphin qatar–uae natural [364.0 km]</t>
  </si>
  <si>
    <t>TU_GasPip--UAE-Oman</t>
  </si>
  <si>
    <t>gp_are-omn</t>
  </si>
  <si>
    <t>TU_GasPip--Croatia-Hungary</t>
  </si>
  <si>
    <t>gp_hrv-hun</t>
  </si>
  <si>
    <t>donje mijolac-bata [73.0 km]</t>
  </si>
  <si>
    <t>TU_GasPip--France-Belgium</t>
  </si>
  <si>
    <t>gp_fra-bel</t>
  </si>
  <si>
    <t>dunkirk-zeebrugge+taisnieres sur hon-mons+maastricht-paris [376.0 km]</t>
  </si>
  <si>
    <t>TU_GasPip--Algeria-Tunisia</t>
  </si>
  <si>
    <t>gp_dza-tun</t>
  </si>
  <si>
    <t>el borma-gabes+trans-mediterranean [2769.0 km]</t>
  </si>
  <si>
    <t>TU_GasPip--Norway-France</t>
  </si>
  <si>
    <t>gp_nor-fra</t>
  </si>
  <si>
    <t>franpipe</t>
  </si>
  <si>
    <t>franpipe [840.0 km]</t>
  </si>
  <si>
    <t>TU_GasPip--Poland-Lithuania</t>
  </si>
  <si>
    <t>gp_pol-ltu</t>
  </si>
  <si>
    <t>gas interconnection poland-lithuania+gas interconnection poland-lithuania [508.0 km]</t>
  </si>
  <si>
    <t>TU_GasPip--Greece-Bulgaria</t>
  </si>
  <si>
    <t>gp_grc-bgr</t>
  </si>
  <si>
    <t>gas interconnector greece–bulgaria (igb) [184.0 km]</t>
  </si>
  <si>
    <t>TU_GasPip--Argentina-Chile</t>
  </si>
  <si>
    <t>gp_arg-chl</t>
  </si>
  <si>
    <t>gasandes+norandino+atacama+gasoducto del pacifico+gasoducto del pacifico [3440.0 km]</t>
  </si>
  <si>
    <t>TU_GasPip--Other_LatAm-Brazil</t>
  </si>
  <si>
    <t>gp_bol-bra</t>
  </si>
  <si>
    <t>gasbol+cuiabá [3795.0 km]</t>
  </si>
  <si>
    <t>TU_GasPip--Argentina-Other_LatAm</t>
  </si>
  <si>
    <t>gp_arg-ury</t>
  </si>
  <si>
    <t>gasoducto del litoral+southern cross [427.0 km]</t>
  </si>
  <si>
    <t>TU_GasPip--Czech-Germany</t>
  </si>
  <si>
    <t>gp_cze-deu</t>
  </si>
  <si>
    <t>gazela+kateřinský potok junction point–přimda junction point [316.0 km]</t>
  </si>
  <si>
    <t>TU_GasPip--Romania-Bulgaria</t>
  </si>
  <si>
    <t>gp_rou-bgr</t>
  </si>
  <si>
    <t>giurgiu-ruse [26.0 km]</t>
  </si>
  <si>
    <t>TU_GasPip--Belgium-Netherlands</t>
  </si>
  <si>
    <t>gp_bel-nld</t>
  </si>
  <si>
    <t>gravenvoeren–bemelen+maastricht-paris [293.0 km]</t>
  </si>
  <si>
    <t>TU_GasPip--Greece-Italy</t>
  </si>
  <si>
    <t>gp_grc-ita</t>
  </si>
  <si>
    <t>greece-italy interconnector [800.0 km]</t>
  </si>
  <si>
    <t>TU_GasPip--Libya-Italy</t>
  </si>
  <si>
    <t>gp_lby-ita</t>
  </si>
  <si>
    <t>greenstream</t>
  </si>
  <si>
    <t>greenstream [520.0 km]</t>
  </si>
  <si>
    <t>TU_GasPip--Indonesia-Singapore</t>
  </si>
  <si>
    <t>gp_idn-sgp</t>
  </si>
  <si>
    <t>gresik-batam-singapore [468.0 km]</t>
  </si>
  <si>
    <t>TU_GasPip--Azerbaijan-Russia</t>
  </si>
  <si>
    <t>gp_aze-rus</t>
  </si>
  <si>
    <t>hajigabul-shirvanovka-mozdok [680.0 km]</t>
  </si>
  <si>
    <t>TU_GasPip--Azerbaijan-Iran</t>
  </si>
  <si>
    <t>gp_aze-irn</t>
  </si>
  <si>
    <t>hajiqabul–astara–abadan [1475.0 km]</t>
  </si>
  <si>
    <t>TU_GasPip--Austria-Switzerland</t>
  </si>
  <si>
    <t>gp_aut-che</t>
  </si>
  <si>
    <t>hoscht-st.magrethen+rankweil-lienz [14.0 km]</t>
  </si>
  <si>
    <t>TU_GasPip--Ukraine-Romania</t>
  </si>
  <si>
    <t>gp_ukr-rou</t>
  </si>
  <si>
    <t>hust–satu mare [21.0 km]</t>
  </si>
  <si>
    <t>TU_GasPip--Iran-Armenia</t>
  </si>
  <si>
    <t>gp_irn-arm</t>
  </si>
  <si>
    <t>iran-armenia [141.0 km]</t>
  </si>
  <si>
    <t>TU_GasPip--Iran-Iraq</t>
  </si>
  <si>
    <t>gp_irn-irq</t>
  </si>
  <si>
    <t>iran-iraq [0.0 km]</t>
  </si>
  <si>
    <t>TU_GasPip--Spain-France</t>
  </si>
  <si>
    <t>gp_esp-fra</t>
  </si>
  <si>
    <t>irun-biriatou [4.0 km]</t>
  </si>
  <si>
    <t>TU_GasPip--Israel-Other_MidEast</t>
  </si>
  <si>
    <t>gp_isr-jor</t>
  </si>
  <si>
    <t>israel naturaltransmission system+israel jordan [684.0 km]</t>
  </si>
  <si>
    <t>TU_GasPip--Belarus-Ukraine</t>
  </si>
  <si>
    <t>gp_blr-ukr</t>
  </si>
  <si>
    <t>ivatsevichy-kobryn-dolyna+ivatsevichy-kobryn-dolyna+torzhok-smolensk-mazyr-dolyna [948.0 km]</t>
  </si>
  <si>
    <t>TU_GasPip--Russia-Kazakhstan</t>
  </si>
  <si>
    <t>gp_rus-kaz</t>
  </si>
  <si>
    <t>kartaly-rudny-kostanai [156.0 km]</t>
  </si>
  <si>
    <t>TU_GasPip--Belarus-Poland</t>
  </si>
  <si>
    <t>gp_blr-pol</t>
  </si>
  <si>
    <t>kobryn-brest-warsaw [263.0 km]</t>
  </si>
  <si>
    <t>TU_GasPip--Estonia-Russia</t>
  </si>
  <si>
    <t>gp_est-rus</t>
  </si>
  <si>
    <t>kohtla-järve-leningrad+kohtla-järve-leningrad [317.0 km]</t>
  </si>
  <si>
    <t>TU_GasPip--Turkmenistan-Iran</t>
  </si>
  <si>
    <t>gp_tkm-irn</t>
  </si>
  <si>
    <t>korpeje-kordkuy+dauletabad-sarakhs-khangiran [379.0 km]</t>
  </si>
  <si>
    <t>TU_GasPip--Bulgaria-Greece</t>
  </si>
  <si>
    <t>gp_bgr-grc</t>
  </si>
  <si>
    <t>kulata-nea missivria [92.0 km]</t>
  </si>
  <si>
    <t>TU_GasPip--Austria-Slovak</t>
  </si>
  <si>
    <t>gp_aut-svk</t>
  </si>
  <si>
    <t>lanzhot–plavecky peter [34.0 km]</t>
  </si>
  <si>
    <t>TU_GasPip--France-Spain</t>
  </si>
  <si>
    <t>gp_fra-esp</t>
  </si>
  <si>
    <t>larrau–villar de arnedo [145.0 km]</t>
  </si>
  <si>
    <t>TU_GasPip--Lithuania-Latvia</t>
  </si>
  <si>
    <t>gp_ltu-lva</t>
  </si>
  <si>
    <t>lithuania-latvia interconnection [138.0 km]</t>
  </si>
  <si>
    <t>TU_GasPip--Algeria-Spain</t>
  </si>
  <si>
    <t>gp_dza-esp</t>
  </si>
  <si>
    <t>medgaz</t>
  </si>
  <si>
    <t>medgaz+medgaz [757.0 km]</t>
  </si>
  <si>
    <t>TU_GasPip--Germany-France</t>
  </si>
  <si>
    <t>gp_deu-fra</t>
  </si>
  <si>
    <t>megal–france [86.0 km]</t>
  </si>
  <si>
    <t>TU_GasPip--USA-Mexico</t>
  </si>
  <si>
    <t>gp_usa-mex</t>
  </si>
  <si>
    <t>mier monterrey+norte crossing+sierrita+nueva era+sur de texas-tuxpan+sierrita+sierrita [1334.0 km]</t>
  </si>
  <si>
    <t>TU_GasPip--Belarus-Russia</t>
  </si>
  <si>
    <t>gp_blr-rus</t>
  </si>
  <si>
    <t>minsk-kaliningrad interconnection [155.0 km]</t>
  </si>
  <si>
    <t>TU_GasPip--Mozambique-SouthAfrica</t>
  </si>
  <si>
    <t>gp_moz-zaf</t>
  </si>
  <si>
    <t>mozambique-south africa [865.0 km]</t>
  </si>
  <si>
    <t>TU_GasPip--Denmark-Netherlands</t>
  </si>
  <si>
    <t>gp_dnk-nld</t>
  </si>
  <si>
    <t>noordgastransport (nogat)+tyra west–f3 [570.0 km]</t>
  </si>
  <si>
    <t>TU_GasPip--Norway-Germany</t>
  </si>
  <si>
    <t>gp_nor-deu</t>
  </si>
  <si>
    <t>norpipe+europipe ii+europipe i [1718.0 km]</t>
  </si>
  <si>
    <t>TU_GasPip--Georgia-Armenia</t>
  </si>
  <si>
    <t>gp_geo-arm</t>
  </si>
  <si>
    <t>north caucasus-transcaucasia [271.0 km]</t>
  </si>
  <si>
    <t>TU_GasPip--Russia-Georgia</t>
  </si>
  <si>
    <t>gp_rus-geo</t>
  </si>
  <si>
    <t>north caucasus-transcaucasia+north caucasus-transcaucasia [884.0 km]</t>
  </si>
  <si>
    <t>TU_GasPip--UK-Norway</t>
  </si>
  <si>
    <t>gp_gbr-nor</t>
  </si>
  <si>
    <t>northern leg [80.0 km]</t>
  </si>
  <si>
    <t>TU_GasPip--Kazakhstan-Turkmenistan</t>
  </si>
  <si>
    <t>gp_kaz-tkm</t>
  </si>
  <si>
    <t>okarem-beyneu [999.0 km]</t>
  </si>
  <si>
    <t>TU_GasPip--Slovak-Hungary</t>
  </si>
  <si>
    <t>gp_svk-hun</t>
  </si>
  <si>
    <t>ozdany–nemesbikk [104.0 km]</t>
  </si>
  <si>
    <t>TU_GasPip--Argentina-Brazil</t>
  </si>
  <si>
    <t>gp_arg-bra</t>
  </si>
  <si>
    <t>paraná-uruguayana [437.0 km]</t>
  </si>
  <si>
    <t>TU_GasPip--Belgium-France</t>
  </si>
  <si>
    <t>gp_bel-fra</t>
  </si>
  <si>
    <t>pitgam–maldegem [76.0 km]</t>
  </si>
  <si>
    <t>TU_GasPip--Poland-Slovak</t>
  </si>
  <si>
    <t>gp_pol-svk</t>
  </si>
  <si>
    <t>poland-slovakia+poland-slovakia [165.0 km]</t>
  </si>
  <si>
    <t>TU_GasPip--Netherlands-Germany</t>
  </si>
  <si>
    <t>gp_nld-deu</t>
  </si>
  <si>
    <t>ravenstein-echt+zweekhorst–paffrath+laren-vreden+ommen-legden+scheemda-emden+scheemda–bunde [254.0 km]</t>
  </si>
  <si>
    <t>TU_GasPip--Slovenia-Italy</t>
  </si>
  <si>
    <t>gp_svn-ita</t>
  </si>
  <si>
    <t>rogatec–gorizia [101.0 km]</t>
  </si>
  <si>
    <t>TU_GasPip--Romania-Moldova</t>
  </si>
  <si>
    <t>gp_rou-mda</t>
  </si>
  <si>
    <t>romania-moldova [120.0 km]</t>
  </si>
  <si>
    <t>TU_GasPip--Serbia-Hungary</t>
  </si>
  <si>
    <t>gp_srb-hun</t>
  </si>
  <si>
    <t>serbian-hungarian+turkstream 2 [1728.0 km]</t>
  </si>
  <si>
    <t>TU_GasPip--Russia-Ukraine</t>
  </si>
  <si>
    <t>gp_rus-ukr</t>
  </si>
  <si>
    <t>shebelinka-belgorod-kursk-bryansk+dashava-kiev-bryansk-moscow+yelets-kursk-kyiv+yelets-kursk-dykanka+yelets-kremenchuk–kryvyi rih+progress+tula-shostka-kiev+orenburg-novopskov+petrovsk-novopskov+urengoy-novopskov+urengoy-pomary-uzhgorod [18154.0 km]</t>
  </si>
  <si>
    <t>TU_GasPip--Myanmar-China</t>
  </si>
  <si>
    <t>gp_mmr-chn</t>
  </si>
  <si>
    <t>sino-myanmar [2518.0 km]</t>
  </si>
  <si>
    <t>TU_GasPip--Macedonia-Bulgaria</t>
  </si>
  <si>
    <t>gp_mkd-bgr</t>
  </si>
  <si>
    <t>skopje-kriva palanka [86.0 km]</t>
  </si>
  <si>
    <t>TU_GasPip--Azerbaijan-Georgia</t>
  </si>
  <si>
    <t>gp_aze-geo</t>
  </si>
  <si>
    <t>south caucasus+hajigabul-gazakh-saguramo+south caucasus [1659.0 km]</t>
  </si>
  <si>
    <t>TU_GasPip--Georgia-Turkey</t>
  </si>
  <si>
    <t>gp_geo-tur</t>
  </si>
  <si>
    <t>south caucasus+trans-anatolian+south caucasus [2992.0 km]</t>
  </si>
  <si>
    <t>TU_GasPip--Bulgaria-Turkey</t>
  </si>
  <si>
    <t>gp_bgr-tur</t>
  </si>
  <si>
    <t>strandja–malkoclar [16.0 km]</t>
  </si>
  <si>
    <t>TU_GasPip--Iran-Turkey</t>
  </si>
  <si>
    <t>gp_irn-tur</t>
  </si>
  <si>
    <t>tabriz-ankara [2577.0 km]</t>
  </si>
  <si>
    <t>TU_GasPip--Russia-Belarus</t>
  </si>
  <si>
    <t>gp_rus-blr</t>
  </si>
  <si>
    <t>torzhok-minsk-ivatsevichy+torzhok-minsk-ivatsevichy+torzhok-minsk-ivatsevichy+torzhok-smolensk-mazyr-dolyna [2917.0 km]</t>
  </si>
  <si>
    <t>TU_GasPip--Germany-Switzerland</t>
  </si>
  <si>
    <t>gp_deu-che</t>
  </si>
  <si>
    <t>trans europa naturgas [968.0 km]</t>
  </si>
  <si>
    <t>TU_GasPip--Malaysia-Thailand</t>
  </si>
  <si>
    <t>gp_mys-tha</t>
  </si>
  <si>
    <t>trans thailand–malaysia (ttm) [267.0 km]</t>
  </si>
  <si>
    <t>TU_GasPip--Albania-Italy</t>
  </si>
  <si>
    <t>gp_alb-ita</t>
  </si>
  <si>
    <t>trans-adriatic [878.0 km]</t>
  </si>
  <si>
    <t>TU_GasPip--Greece-Albania</t>
  </si>
  <si>
    <t>gp_grc-alb</t>
  </si>
  <si>
    <t>TU_GasPip--Georgia-Greece</t>
  </si>
  <si>
    <t>gp_geo-grc</t>
  </si>
  <si>
    <t>trans-anatolian [0.0 km]</t>
  </si>
  <si>
    <t>TU_GasPip--Greece-Turkey</t>
  </si>
  <si>
    <t>gp_grc-tur</t>
  </si>
  <si>
    <t>TU_GasPip--Turkey-Bulgaria</t>
  </si>
  <si>
    <t>gp_tur-bgr</t>
  </si>
  <si>
    <t>trans-balkan [638.0 km]</t>
  </si>
  <si>
    <t>TU_GasPip--Bulgaria-Romania</t>
  </si>
  <si>
    <t>gp_bgr-rou</t>
  </si>
  <si>
    <t>trans-balkan+gas interconnector bulgaria-romania [668.0 km]</t>
  </si>
  <si>
    <t>TU_GasPip--Italy-Slovenia</t>
  </si>
  <si>
    <t>gp_ita-svn</t>
  </si>
  <si>
    <t>trans-mediterranean [2475.0 km]</t>
  </si>
  <si>
    <t>TU_GasPip--Tunisia-Italy</t>
  </si>
  <si>
    <t>gp_tun-ita</t>
  </si>
  <si>
    <t>TU_GasPip--Switzerland-France</t>
  </si>
  <si>
    <t>gp_che-fra</t>
  </si>
  <si>
    <t>transitgas–laneuvelotte–obergailbach [327.0 km]</t>
  </si>
  <si>
    <t>TU_GasPip--Turkey-Greece</t>
  </si>
  <si>
    <t>gp_tur-grc</t>
  </si>
  <si>
    <t>turkey-greece-italy interconnector (itgi)+trans-adriatic+kipi-komotini [1261.0 km]</t>
  </si>
  <si>
    <t>TU_GasPip--Bulgaria-Serbia</t>
  </si>
  <si>
    <t>gp_bgr-srb</t>
  </si>
  <si>
    <t>turkstream</t>
  </si>
  <si>
    <t>turkstream 2 [1646.0 km]</t>
  </si>
  <si>
    <t>TU_GasPip--Russia-Bulgaria</t>
  </si>
  <si>
    <t>gp_rus-bgr</t>
  </si>
  <si>
    <t>TU_GasPip--UK-Ireland</t>
  </si>
  <si>
    <t>gp_gbr-irl</t>
  </si>
  <si>
    <t>uk-ireland interconnector 2+uk-ireland interconnector+carrickfergus-gormansten [573.0 km]</t>
  </si>
  <si>
    <t>TU_GasPip--Slovak-Austria</t>
  </si>
  <si>
    <t>gp_svk-aut</t>
  </si>
  <si>
    <t>urengoy-pomary-uzhgorod [4451.0 km]</t>
  </si>
  <si>
    <t>TU_GasPip--Ukraine-Slovak</t>
  </si>
  <si>
    <t>gp_ukr-svk</t>
  </si>
  <si>
    <t>uzhgorod–velke kapusany+urengoy-pomary-uzhgorod [4466.0 km]</t>
  </si>
  <si>
    <t>TU_GasPip--Russia-Estonia</t>
  </si>
  <si>
    <t>gp_rus-est</t>
  </si>
  <si>
    <t>valdai-pskov-riga [365.0 km]</t>
  </si>
  <si>
    <t>TU_GasPip--Estonia-Latvia</t>
  </si>
  <si>
    <t>gp_est-lva</t>
  </si>
  <si>
    <t>valdai-pskov-riga+estonia-latvia interconnection [645.0 km]</t>
  </si>
  <si>
    <t>TU_GasPip--USA-Canada</t>
  </si>
  <si>
    <t>gp_usa-can</t>
  </si>
  <si>
    <t>vector+empire+portland naturaltransmission system (pngts)+atlantic bridge+portland naturaltransmission system (pngts) [610.0 km]</t>
  </si>
  <si>
    <t>TU_GasPip--Norway-UK</t>
  </si>
  <si>
    <t>gp_nor-gbr</t>
  </si>
  <si>
    <t>vesterled+langeled+tampen link+gjøa [1681.0 km]</t>
  </si>
  <si>
    <t>TU_GasPip--Slovak-Ukraine</t>
  </si>
  <si>
    <t>gp_svk-ukr</t>
  </si>
  <si>
    <t>vojany-uzhgorod [23.0 km]</t>
  </si>
  <si>
    <t>TU_GasPip--Hungary-Croatia</t>
  </si>
  <si>
    <t>gp_hun-hrv</t>
  </si>
  <si>
    <t>városföld-slobodnica [293.0 km]</t>
  </si>
  <si>
    <t>TU_GasPip--Belgium-Luxembourg</t>
  </si>
  <si>
    <t>gp_bel-lux</t>
  </si>
  <si>
    <t>warnant dreye-petange+berneau-winseler [254.0 km]</t>
  </si>
  <si>
    <t>TU_GasPip--Germany-Belgium</t>
  </si>
  <si>
    <t>gp_deu-bel</t>
  </si>
  <si>
    <t>wedal [236.0 km]</t>
  </si>
  <si>
    <t>TU_GasPip--Nigeria-Other_Africa</t>
  </si>
  <si>
    <t>gp_nga-ben</t>
  </si>
  <si>
    <t>west african [678.0 km]</t>
  </si>
  <si>
    <t>TU_GasPip--Other_Africa-Ghana</t>
  </si>
  <si>
    <t>gp_tgo-gha</t>
  </si>
  <si>
    <t>west natuna transportation system [640.0 km]</t>
  </si>
  <si>
    <t>TU_GasPip--Netherlands-Belgium</t>
  </si>
  <si>
    <t>gp_nld-bel</t>
  </si>
  <si>
    <t>westerschelde oost–zelzate [45.0 km]</t>
  </si>
  <si>
    <t>TU_GasPip--Other_LatAm-Argentina</t>
  </si>
  <si>
    <t>gp_bol-arg</t>
  </si>
  <si>
    <t>yabog+juana azurduy [493.0 km]</t>
  </si>
  <si>
    <t>yamal</t>
  </si>
  <si>
    <t>yamal-europe [1660.0 km]</t>
  </si>
  <si>
    <t>TU_GasPip--Poland-Germany</t>
  </si>
  <si>
    <t>gp_pol-deu</t>
  </si>
  <si>
    <t>TU_GasPip--Germany-Poland</t>
  </si>
  <si>
    <t>gp_deu-pol</t>
  </si>
  <si>
    <t>yamal-rev</t>
  </si>
  <si>
    <t>yamal-reverse [0.0 km]</t>
  </si>
  <si>
    <t>TU_GasPip--Myanmar-Thailand</t>
  </si>
  <si>
    <t>gp_mmr-tha</t>
  </si>
  <si>
    <t>yetagun [472.0 km]</t>
  </si>
  <si>
    <t>TU_GasPip--Belgium-UK</t>
  </si>
  <si>
    <t>gp_bel-gbr</t>
  </si>
  <si>
    <t>zeebrugge-bacton [0.0 km]</t>
  </si>
  <si>
    <t>TU_GasPip--UK-Belgium</t>
  </si>
  <si>
    <t>gp_gbr-bel</t>
  </si>
  <si>
    <t>zeebrugge-bacton [235.0 km]</t>
  </si>
  <si>
    <t>TU_GasPip--Norway-Belgium</t>
  </si>
  <si>
    <t>gp_nor-bel</t>
  </si>
  <si>
    <t>zeepipe [1445.0 km]</t>
  </si>
  <si>
    <t>TU_GasPip--Russia-Germany</t>
  </si>
  <si>
    <t>gp_rus-deu</t>
  </si>
  <si>
    <t>nordstream</t>
  </si>
  <si>
    <t>nord stream [1222.0 km]</t>
  </si>
  <si>
    <t>bulgaria-serbia interconnector+bulgaria-serbia interconnector [170.0 km]</t>
  </si>
  <si>
    <t>central asia–china [966.0 km]</t>
  </si>
  <si>
    <t>TU_GasPip--Iran-Pakistan</t>
  </si>
  <si>
    <t>gp_irn-pak</t>
  </si>
  <si>
    <t>iran-pakistan [2775.0 km]</t>
  </si>
  <si>
    <t>israel–egypt onshore [79.0 km]</t>
  </si>
  <si>
    <t>lithuania-latvia interconnection [0.0 km]</t>
  </si>
  <si>
    <t>TU_GasPip--Iran-Azerbaijan</t>
  </si>
  <si>
    <t>gp_irn-aze</t>
  </si>
  <si>
    <t>rasht-chelavend [150.0 km]</t>
  </si>
  <si>
    <t>taganrog-melitopol-berdyansk [273.0 km]</t>
  </si>
  <si>
    <t>~varbl_map</t>
  </si>
  <si>
    <t>Fuel</t>
  </si>
  <si>
    <t>Emission</t>
  </si>
  <si>
    <t>Transport</t>
  </si>
  <si>
    <t>Energy</t>
  </si>
  <si>
    <t>Buildings</t>
  </si>
  <si>
    <t>s_Transport_NE</t>
  </si>
  <si>
    <t>Storage</t>
  </si>
  <si>
    <t>IND_CCS</t>
  </si>
  <si>
    <t>Ind CCS</t>
  </si>
  <si>
    <t>sub_sector</t>
  </si>
  <si>
    <t>Non-energy use</t>
  </si>
  <si>
    <t>Domestic Aviation</t>
  </si>
  <si>
    <t>International Aviation</t>
  </si>
  <si>
    <t>Domestic Ships</t>
  </si>
  <si>
    <t>International Ships</t>
  </si>
  <si>
    <t>T?[_]ELC*</t>
  </si>
  <si>
    <t>Elec Transmission</t>
  </si>
  <si>
    <t>T?[_]GasPip*</t>
  </si>
  <si>
    <t>Gas pipelines</t>
  </si>
  <si>
    <t>Sto-CO2_CB1</t>
  </si>
  <si>
    <t>CBM &lt;1000 m</t>
  </si>
  <si>
    <t>Sto-CO2_CB2</t>
  </si>
  <si>
    <t>CBM  &gt;1000 m</t>
  </si>
  <si>
    <t>Sto-CO2_DGF</t>
  </si>
  <si>
    <t>DGF (offshore)</t>
  </si>
  <si>
    <t>Sto-CO2_DGO</t>
  </si>
  <si>
    <t>DGF (onshore)</t>
  </si>
  <si>
    <t>Sto-CO2_DOF</t>
  </si>
  <si>
    <t>DOF (offshore)</t>
  </si>
  <si>
    <t>Sto-CO2_DOO</t>
  </si>
  <si>
    <t>DOF (onshore)</t>
  </si>
  <si>
    <t>Sto-CO2_DSA</t>
  </si>
  <si>
    <t>DSA (onshore)</t>
  </si>
  <si>
    <t>Sto-CO2_DSO</t>
  </si>
  <si>
    <t>DSA (offshore)</t>
  </si>
  <si>
    <t>Sto-CO2_EOF</t>
  </si>
  <si>
    <t>EOR (offshore)</t>
  </si>
  <si>
    <t>Sto-CO2_EOR</t>
  </si>
  <si>
    <t>EOR (onshore)</t>
  </si>
  <si>
    <t>*bioref*,brf[_]*</t>
  </si>
  <si>
    <t>Bio Refinery</t>
  </si>
  <si>
    <t>*DAC*</t>
  </si>
  <si>
    <t>DAC</t>
  </si>
  <si>
    <t>???BSL,???BIO</t>
  </si>
  <si>
    <t>-CO2Captured*</t>
  </si>
  <si>
    <t>???COA</t>
  </si>
  <si>
    <t>???NGA</t>
  </si>
  <si>
    <t>???COB</t>
  </si>
  <si>
    <t>???GEO</t>
  </si>
  <si>
    <t>???NUC</t>
  </si>
  <si>
    <t>???OIL</t>
  </si>
  <si>
    <t>???OIL_CRD</t>
  </si>
  <si>
    <t>???OIL_DST</t>
  </si>
  <si>
    <t>???WAS</t>
  </si>
  <si>
    <t>???HYD</t>
  </si>
  <si>
    <t>???TDL</t>
  </si>
  <si>
    <t>CO2Captured*</t>
  </si>
  <si>
    <t>*ELC*</t>
  </si>
  <si>
    <t>Vehicle Batt</t>
  </si>
  <si>
    <t>TRDELC</t>
  </si>
  <si>
    <t>H2_blue</t>
  </si>
  <si>
    <t>*COA*,*NGA*</t>
  </si>
  <si>
    <t>H2_green</t>
  </si>
  <si>
    <t>*ELC*,-*COA*,-*NGA*,-*BIO*</t>
  </si>
  <si>
    <t>H2_bio</t>
  </si>
  <si>
    <t>*BIO*</t>
  </si>
  <si>
    <t>CNG</t>
  </si>
  <si>
    <t>TrdT_CNG</t>
  </si>
  <si>
    <t>TrdT_Diesel</t>
  </si>
  <si>
    <t>Dsl Hybrid</t>
  </si>
  <si>
    <t>TrdT_Dsl Hybrid</t>
  </si>
  <si>
    <t>Dsl Plug-in Hyb</t>
  </si>
  <si>
    <t>TrdT_Dsl Plug-in Hyb</t>
  </si>
  <si>
    <t>E85</t>
  </si>
  <si>
    <t>TrdT_E85</t>
  </si>
  <si>
    <t>Elec vehicle</t>
  </si>
  <si>
    <t>TrdT_Elec vehicle</t>
  </si>
  <si>
    <t>Elec 150</t>
  </si>
  <si>
    <t>TrdT_Elec 150</t>
  </si>
  <si>
    <t>Elec 50</t>
  </si>
  <si>
    <t>TrdT_Elec 50</t>
  </si>
  <si>
    <t>Elec 500</t>
  </si>
  <si>
    <t>TrdT_Elec 500</t>
  </si>
  <si>
    <t>Gasoline</t>
  </si>
  <si>
    <t>TrdT_Gasoline</t>
  </si>
  <si>
    <t>Gasoline 150</t>
  </si>
  <si>
    <t>TrdT_Gasoline 150</t>
  </si>
  <si>
    <t>Gasoline 50</t>
  </si>
  <si>
    <t>TrdT_Gasoline 50</t>
  </si>
  <si>
    <t>Gasoline 500</t>
  </si>
  <si>
    <t>TrdT_Gasoline 500</t>
  </si>
  <si>
    <t>Gsl Hybrid</t>
  </si>
  <si>
    <t>TrdT_Gsl Hybrid</t>
  </si>
  <si>
    <t>Gsl Plug-in Hyb</t>
  </si>
  <si>
    <t>TrdT_Gsl Plug-in Hyb</t>
  </si>
  <si>
    <t xml:space="preserve">Hydrogen </t>
  </si>
  <si>
    <t xml:space="preserve">TrdT_Hydrogen </t>
  </si>
  <si>
    <t>LNG</t>
  </si>
  <si>
    <t>TrdT_LNG</t>
  </si>
  <si>
    <t>LPG</t>
  </si>
  <si>
    <t>TrdT_LPG</t>
  </si>
  <si>
    <t>ele_chp</t>
  </si>
  <si>
    <t>Elec</t>
  </si>
  <si>
    <t>CHP</t>
  </si>
  <si>
    <t>~commodity_map</t>
  </si>
  <si>
    <t>cset_set</t>
  </si>
  <si>
    <t>cset_cd</t>
  </si>
  <si>
    <t>ldesc</t>
  </si>
  <si>
    <t>Electricity</t>
  </si>
  <si>
    <t>*H2*,-[_]*</t>
  </si>
  <si>
    <t>LOHC</t>
  </si>
  <si>
    <t>Ammonia</t>
  </si>
  <si>
    <t>*HET*</t>
  </si>
  <si>
    <t>*OIL*,???RPP,???RFG</t>
  </si>
  <si>
    <t>*GAS*,*NGA*</t>
  </si>
  <si>
    <t>*COA*</t>
  </si>
  <si>
    <t>*COB*,*BCO*</t>
  </si>
  <si>
    <t>Coal bro</t>
  </si>
  <si>
    <t>???DST</t>
  </si>
  <si>
    <t>???GSL*</t>
  </si>
  <si>
    <t>???LNG</t>
  </si>
  <si>
    <t>TRANGA</t>
  </si>
  <si>
    <t>???LPG</t>
  </si>
  <si>
    <t>*SOL*,*SPV*,*STH*</t>
  </si>
  <si>
    <t>???JTK</t>
  </si>
  <si>
    <t>Jet kero</t>
  </si>
  <si>
    <t>???HFO</t>
  </si>
  <si>
    <t>Heavy oil</t>
  </si>
  <si>
    <t>???KER</t>
  </si>
  <si>
    <t>Kerosene</t>
  </si>
  <si>
    <t>???Nap</t>
  </si>
  <si>
    <t>Naphtha</t>
  </si>
  <si>
    <t>???PTC</t>
  </si>
  <si>
    <t>Petcoke</t>
  </si>
  <si>
    <t>*HYD*</t>
  </si>
  <si>
    <t>???WAS,???WHT</t>
  </si>
  <si>
    <t>*WIN*</t>
  </si>
  <si>
    <t>???OVC,???COK</t>
  </si>
  <si>
    <t>Coke</t>
  </si>
  <si>
    <t>???REN</t>
  </si>
  <si>
    <t>Renewable</t>
  </si>
  <si>
    <t>???BFG,???COG</t>
  </si>
  <si>
    <t>BF gas</t>
  </si>
  <si>
    <t>???BDS</t>
  </si>
  <si>
    <t>Biodiesel</t>
  </si>
  <si>
    <t>???BGS</t>
  </si>
  <si>
    <t>Biogasoline</t>
  </si>
  <si>
    <t>BIOJTK,TRABJT</t>
  </si>
  <si>
    <t>Biojet</t>
  </si>
  <si>
    <t>???SNG</t>
  </si>
  <si>
    <t>Biogas syn</t>
  </si>
  <si>
    <t>*NGL*</t>
  </si>
  <si>
    <t>NGL</t>
  </si>
  <si>
    <t>OIL[_]*</t>
  </si>
  <si>
    <t>p-Crude Oil</t>
  </si>
  <si>
    <t>GAS[_]*</t>
  </si>
  <si>
    <t>p-Natural Gas</t>
  </si>
  <si>
    <t>*GEO*</t>
  </si>
  <si>
    <t>*NUC</t>
  </si>
  <si>
    <t>*CO2Nc</t>
  </si>
  <si>
    <t>*CO2Ng</t>
  </si>
  <si>
    <t>*CO2No</t>
  </si>
  <si>
    <t>*CO2Nw</t>
  </si>
  <si>
    <t>*CO2Nb</t>
  </si>
  <si>
    <t>Fuel_Agg</t>
  </si>
  <si>
    <t>Oil crude+NGL</t>
  </si>
  <si>
    <t>Oil prod.</t>
  </si>
  <si>
    <t>ALLOILprd</t>
  </si>
  <si>
    <t>-[_]*</t>
  </si>
  <si>
    <t>Hydrogen+</t>
  </si>
  <si>
    <t>LOHC,Ammonia,LH2</t>
  </si>
  <si>
    <t>commtype</t>
  </si>
  <si>
    <t>Demand</t>
  </si>
  <si>
    <t>Material</t>
  </si>
  <si>
    <t>Dummy</t>
  </si>
  <si>
    <t>*dummy*</t>
  </si>
  <si>
    <t>sector_c</t>
  </si>
  <si>
    <t>R*,C*</t>
  </si>
  <si>
    <t>T*</t>
  </si>
  <si>
    <t>I*</t>
  </si>
  <si>
    <t>E*</t>
  </si>
  <si>
    <t>H*</t>
  </si>
  <si>
    <t>en_type</t>
  </si>
  <si>
    <t>final</t>
  </si>
  <si>
    <t>for final energy view - to distinguish combustion and non-energy uses</t>
  </si>
  <si>
    <t>COA*,BIO*,OIL*,GAS*,HH2</t>
  </si>
  <si>
    <t>primary</t>
  </si>
  <si>
    <t>~UnitConv</t>
  </si>
  <si>
    <t>Model</t>
  </si>
  <si>
    <t>Unit1</t>
  </si>
  <si>
    <t>Unit2</t>
  </si>
  <si>
    <t>MultFact</t>
  </si>
  <si>
    <t>KINESYS</t>
  </si>
  <si>
    <t>$2000 to 2005</t>
  </si>
  <si>
    <t>EMF27 Units</t>
  </si>
  <si>
    <t>US$2020/GJ</t>
  </si>
  <si>
    <t>$2000 to 2010</t>
  </si>
  <si>
    <t xml:space="preserve"> °C</t>
  </si>
  <si>
    <t>kt CH4</t>
  </si>
  <si>
    <t>Mt CH4/yr</t>
  </si>
  <si>
    <t>$2015 to 2015</t>
  </si>
  <si>
    <t>$/kW</t>
  </si>
  <si>
    <t>Mt CO2/yr</t>
  </si>
  <si>
    <t>$2015 to 2010</t>
  </si>
  <si>
    <t>billion US$2005/yr</t>
  </si>
  <si>
    <t>kt N2O</t>
  </si>
  <si>
    <t>kt N2O/yr</t>
  </si>
  <si>
    <t>bn m2/yr</t>
  </si>
  <si>
    <t>billion US$2020/yr</t>
  </si>
  <si>
    <t>bn pkm/yr</t>
  </si>
  <si>
    <t>$/t CO2</t>
  </si>
  <si>
    <t>US$2020/t CO2</t>
  </si>
  <si>
    <t>bn tkm/yr</t>
  </si>
  <si>
    <t>quadrillion Btu</t>
  </si>
  <si>
    <t>ppb</t>
  </si>
  <si>
    <t>EJ</t>
  </si>
  <si>
    <t>ppm</t>
  </si>
  <si>
    <t>EJ/yr</t>
  </si>
  <si>
    <t>W/m2</t>
  </si>
  <si>
    <t>PJ-Cum</t>
  </si>
  <si>
    <t>Index (2005 = 1)</t>
  </si>
  <si>
    <t>US$2020/MWh</t>
  </si>
  <si>
    <t>$/kw</t>
  </si>
  <si>
    <t>US$2020/kW</t>
  </si>
  <si>
    <t>ktU</t>
  </si>
  <si>
    <t>m$npv</t>
  </si>
  <si>
    <t>billion US$2020</t>
  </si>
  <si>
    <t>Twh</t>
  </si>
  <si>
    <t>million Ha/yr</t>
  </si>
  <si>
    <t>PJNeg</t>
  </si>
  <si>
    <t>Mt BC/yr</t>
  </si>
  <si>
    <t>Mt CO/yr</t>
  </si>
  <si>
    <t>US$2020/vkm</t>
  </si>
  <si>
    <t>CF</t>
  </si>
  <si>
    <t>Mt CO2-equiv/yr</t>
  </si>
  <si>
    <t>kg/Mwh</t>
  </si>
  <si>
    <t>CO2 int</t>
  </si>
  <si>
    <t>Mt NO2/yr</t>
  </si>
  <si>
    <t>tons per capita</t>
  </si>
  <si>
    <t>Mt OC/yr</t>
  </si>
  <si>
    <t>kg per PPP $</t>
  </si>
  <si>
    <t>Mt SO2/yr</t>
  </si>
  <si>
    <t>$/GJo</t>
  </si>
  <si>
    <t>$/bbl</t>
  </si>
  <si>
    <t>$/MMBTU</t>
  </si>
  <si>
    <t>$/kg</t>
  </si>
  <si>
    <t>US$2005/GJ</t>
  </si>
  <si>
    <t>US$2005/MWh</t>
  </si>
  <si>
    <t>US$2005/t CO2</t>
  </si>
  <si>
    <t>???SPV,???STH,*spv*</t>
  </si>
  <si>
    <t>???WIN,*won*</t>
  </si>
  <si>
    <t>Wind offshore</t>
  </si>
  <si>
    <t>*wof*</t>
  </si>
  <si>
    <t>ELC,INDELC,elc_???_*</t>
  </si>
  <si>
    <t>ELC,INDELC,elc_???_*,-TRDELC</t>
  </si>
  <si>
    <t>ELC,HET,elc_???_*</t>
  </si>
  <si>
    <t>Twh/GW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</si>
</sst>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o\n\th\ d\,\ yyyy"/>
    <numFmt numFmtId="165" formatCode="_-&quot;€&quot;\ * #,##0.00_-;\-&quot;€&quot;\ * #,##0.00_-;_-&quot;€&quot;\ * &quot;-&quot;??_-;_-@_-"/>
    <numFmt numFmtId="166" formatCode="#.00"/>
    <numFmt numFmtId="167" formatCode="#."/>
    <numFmt numFmtId="168" formatCode="_-* #,##0.00\ _€_-;\-* #,##0.00\ _€_-;_-* &quot;-&quot;??\ _€_-;_-@_-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theme="1"/>
      <name val="Calibri"/>
      <charset val="134"/>
      <scheme val="minor"/>
    </font>
    <font>
      <sz val="1"/>
      <color indexed="8"/>
      <name val="Courier"/>
      <charset val="134"/>
    </font>
    <font>
      <sz val="10"/>
      <name val="Arial"/>
      <charset val="134"/>
    </font>
    <font>
      <b/>
      <sz val="1"/>
      <color indexed="8"/>
      <name val="Courier"/>
      <charset val="134"/>
    </font>
    <font>
      <sz val="10"/>
      <name val="Gill Sans MT"/>
      <charset val="134"/>
    </font>
    <font>
      <sz val="10"/>
      <name val="STKFLOW - 14 of 38"/>
      <charset val="134"/>
    </font>
    <font>
      <b/>
      <sz val="9"/>
      <name val="Tahoma"/>
      <charset val="134"/>
    </font>
    <font>
      <i/>
      <sz val="8"/>
      <name val="Tahoma"/>
      <charset val="134"/>
    </font>
    <font>
      <sz val="9"/>
      <name val="Tahoma"/>
      <charset val="134"/>
    </font>
    <font>
      <b/>
      <sz val="8"/>
      <name val="Tahoma"/>
      <charset val="134"/>
    </font>
    <font>
      <sz val="8"/>
      <name val="Tahoma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5">
    <xf numFmtId="0" fontId="0" fillId="0" borderId="0"/>
    <xf numFmtId="0" fontId="5" fillId="0" borderId="1" applyNumberFormat="0" applyFill="0" applyAlignment="0" applyProtection="0"/>
    <xf numFmtId="0" fontId="8" fillId="8" borderId="2" applyNumberFormat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5" borderId="0" applyNumberFormat="0" applyBorder="0" applyAlignment="0" applyProtection="0"/>
    <xf numFmtId="164" fontId="10" fillId="0" borderId="0">
      <protection locked="0"/>
    </xf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0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8" fontId="11" fillId="0" borderId="0" applyFont="0" applyFill="0" applyBorder="0" applyAlignment="0" applyProtection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9" fillId="0" borderId="0" applyFont="0" applyFill="0" applyBorder="0" applyAlignment="0" applyProtection="0"/>
    <xf numFmtId="0" fontId="11" fillId="0" borderId="0"/>
  </cellStyleXfs>
  <cellXfs count="18">
    <xf numFmtId="0" fontId="0" fillId="0" borderId="0" xfId="0"/>
    <xf numFmtId="0" fontId="1" fillId="2" borderId="0" xfId="0" applyFont="1" applyFill="1"/>
    <xf numFmtId="0" fontId="2" fillId="3" borderId="0" xfId="3"/>
    <xf numFmtId="0" fontId="3" fillId="3" borderId="0" xfId="3" applyFont="1"/>
    <xf numFmtId="2" fontId="0" fillId="0" borderId="0" xfId="0" applyNumberFormat="1"/>
    <xf numFmtId="2" fontId="3" fillId="3" borderId="0" xfId="3" applyNumberFormat="1" applyFont="1"/>
    <xf numFmtId="0" fontId="1" fillId="0" borderId="0" xfId="0" applyFont="1"/>
    <xf numFmtId="0" fontId="4" fillId="4" borderId="0" xfId="4"/>
    <xf numFmtId="0" fontId="2" fillId="3" borderId="0" xfId="3" applyBorder="1"/>
    <xf numFmtId="0" fontId="5" fillId="0" borderId="1" xfId="1"/>
    <xf numFmtId="0" fontId="5" fillId="0" borderId="0" xfId="1" applyFill="1" applyBorder="1"/>
    <xf numFmtId="0" fontId="0" fillId="2" borderId="0" xfId="0" applyFill="1"/>
    <xf numFmtId="0" fontId="1" fillId="6" borderId="0" xfId="0" applyFont="1" applyFill="1"/>
    <xf numFmtId="0" fontId="7" fillId="7" borderId="0" xfId="0" applyFont="1" applyFill="1"/>
    <xf numFmtId="0" fontId="6" fillId="5" borderId="0" xfId="5" applyAlignment="1">
      <alignment horizontal="center"/>
    </xf>
    <xf numFmtId="0" fontId="8" fillId="8" borderId="2" xfId="2"/>
    <xf numFmtId="0" fontId="7" fillId="0" borderId="0" xfId="0" applyFont="1"/>
    <xf numFmtId="0" fontId="0" fillId="0" borderId="0" xfId="0" quotePrefix="1"/>
  </cellXfs>
  <cellStyles count="45">
    <cellStyle name="Bad" xfId="4" builtinId="27"/>
    <cellStyle name="Date" xfId="6" xr:uid="{00000000-0005-0000-0000-000031000000}"/>
    <cellStyle name="Euro" xfId="7" xr:uid="{00000000-0005-0000-0000-000032000000}"/>
    <cellStyle name="Euro 2" xfId="8" xr:uid="{00000000-0005-0000-0000-000033000000}"/>
    <cellStyle name="Fixed" xfId="9" xr:uid="{00000000-0005-0000-0000-000034000000}"/>
    <cellStyle name="Good" xfId="3" builtinId="26"/>
    <cellStyle name="Heading 3" xfId="1" builtinId="18"/>
    <cellStyle name="Heading1" xfId="10" xr:uid="{00000000-0005-0000-0000-000035000000}"/>
    <cellStyle name="Heading2" xfId="11" xr:uid="{00000000-0005-0000-0000-000036000000}"/>
    <cellStyle name="Input" xfId="2" builtinId="20"/>
    <cellStyle name="Migliaia_Oil&amp;Gas IFE ARC POLITO" xfId="12" xr:uid="{00000000-0005-0000-0000-000037000000}"/>
    <cellStyle name="Neutral" xfId="5" builtinId="28"/>
    <cellStyle name="Normal" xfId="0" builtinId="0"/>
    <cellStyle name="Normal 10" xfId="13" xr:uid="{00000000-0005-0000-0000-000038000000}"/>
    <cellStyle name="Normal 11 2" xfId="14" xr:uid="{00000000-0005-0000-0000-000039000000}"/>
    <cellStyle name="Normal 11 3" xfId="15" xr:uid="{00000000-0005-0000-0000-00003A000000}"/>
    <cellStyle name="Normal 11 4" xfId="16" xr:uid="{00000000-0005-0000-0000-00003B000000}"/>
    <cellStyle name="Normal 12 2" xfId="17" xr:uid="{00000000-0005-0000-0000-00003C000000}"/>
    <cellStyle name="Normal 12 3" xfId="18" xr:uid="{00000000-0005-0000-0000-00003D000000}"/>
    <cellStyle name="Normal 12 4" xfId="19" xr:uid="{00000000-0005-0000-0000-00003E000000}"/>
    <cellStyle name="Normal 13 2" xfId="20" xr:uid="{00000000-0005-0000-0000-00003F000000}"/>
    <cellStyle name="Normal 13 3" xfId="21" xr:uid="{00000000-0005-0000-0000-000040000000}"/>
    <cellStyle name="Normal 13 4" xfId="22" xr:uid="{00000000-0005-0000-0000-000041000000}"/>
    <cellStyle name="Normal 14 2" xfId="23" xr:uid="{00000000-0005-0000-0000-000042000000}"/>
    <cellStyle name="Normal 14 3" xfId="24" xr:uid="{00000000-0005-0000-0000-000043000000}"/>
    <cellStyle name="Normal 14 4" xfId="25" xr:uid="{00000000-0005-0000-0000-000044000000}"/>
    <cellStyle name="Normal 15 2" xfId="26" xr:uid="{00000000-0005-0000-0000-000045000000}"/>
    <cellStyle name="Normal 15 3" xfId="27" xr:uid="{00000000-0005-0000-0000-000046000000}"/>
    <cellStyle name="Normal 15 4" xfId="28" xr:uid="{00000000-0005-0000-0000-000047000000}"/>
    <cellStyle name="Normal 2" xfId="29" xr:uid="{00000000-0005-0000-0000-000048000000}"/>
    <cellStyle name="Normal 2 2" xfId="30" xr:uid="{00000000-0005-0000-0000-000049000000}"/>
    <cellStyle name="Normal 2 3" xfId="31" xr:uid="{00000000-0005-0000-0000-00004A000000}"/>
    <cellStyle name="Normal 2 4" xfId="32" xr:uid="{00000000-0005-0000-0000-00004B000000}"/>
    <cellStyle name="Normal 2 5" xfId="33" xr:uid="{00000000-0005-0000-0000-00004C000000}"/>
    <cellStyle name="Normal 2 6" xfId="34" xr:uid="{00000000-0005-0000-0000-00004D000000}"/>
    <cellStyle name="Normal 2 7" xfId="35" xr:uid="{00000000-0005-0000-0000-00004E000000}"/>
    <cellStyle name="Normal 2 8" xfId="36" xr:uid="{00000000-0005-0000-0000-00004F000000}"/>
    <cellStyle name="Normal 2 9" xfId="37" xr:uid="{00000000-0005-0000-0000-000050000000}"/>
    <cellStyle name="Normal 3" xfId="38" xr:uid="{00000000-0005-0000-0000-000051000000}"/>
    <cellStyle name="Normal 3 2" xfId="39" xr:uid="{00000000-0005-0000-0000-000052000000}"/>
    <cellStyle name="Normal 4" xfId="40" xr:uid="{00000000-0005-0000-0000-000053000000}"/>
    <cellStyle name="Normal 4 2" xfId="41" xr:uid="{00000000-0005-0000-0000-000054000000}"/>
    <cellStyle name="Normale_DBT completo" xfId="42" xr:uid="{00000000-0005-0000-0000-000055000000}"/>
    <cellStyle name="Percent 2" xfId="43" xr:uid="{00000000-0005-0000-0000-000056000000}"/>
    <cellStyle name="Standard_Sce_D_Extraction" xfId="44" xr:uid="{00000000-0005-0000-0000-00005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7"/>
  <dimension ref="A1:P17"/>
  <sheetViews>
    <sheetView workbookViewId="0"/>
  </sheetViews>
  <sheetFormatPr defaultColWidth="9" defaultRowHeight="14.25"/>
  <cols>
    <col min="1" max="1" width="8.86328125" customWidth="1"/>
    <col min="2" max="2" width="32.86328125" customWidth="1"/>
    <col min="3" max="4" width="5.1328125" customWidth="1"/>
    <col min="5" max="5" width="3.59765625" customWidth="1"/>
    <col min="6" max="6" width="4.59765625" customWidth="1"/>
    <col min="7" max="7" width="15" customWidth="1"/>
    <col min="8" max="8" width="10.59765625" customWidth="1"/>
    <col min="9" max="11" width="12.265625" customWidth="1"/>
    <col min="12" max="12" width="9.73046875" customWidth="1"/>
    <col min="14" max="14" width="27.1328125" customWidth="1"/>
  </cols>
  <sheetData>
    <row r="1" spans="1:16">
      <c r="A1" s="15" t="s">
        <v>0</v>
      </c>
      <c r="F1" s="16"/>
    </row>
    <row r="4" spans="1:16">
      <c r="A4" t="s">
        <v>1</v>
      </c>
      <c r="G4" t="s">
        <v>2</v>
      </c>
    </row>
    <row r="5" spans="1:16">
      <c r="A5" s="9" t="s">
        <v>3</v>
      </c>
      <c r="B5" s="9" t="s">
        <v>4</v>
      </c>
      <c r="C5" s="9" t="s">
        <v>5</v>
      </c>
      <c r="D5" s="9" t="s">
        <v>6</v>
      </c>
      <c r="G5" s="9" t="s">
        <v>7</v>
      </c>
      <c r="H5" t="str">
        <f>"sg_"&amp;O5</f>
        <v>sg_CO2Price</v>
      </c>
      <c r="I5" t="str">
        <f>"sg_"&amp;P5</f>
        <v>sg_V2G</v>
      </c>
      <c r="L5" t="s">
        <v>8</v>
      </c>
      <c r="M5" t="s">
        <v>7</v>
      </c>
      <c r="N5" t="s">
        <v>9</v>
      </c>
      <c r="O5" t="s">
        <v>10</v>
      </c>
      <c r="P5" t="s">
        <v>11</v>
      </c>
    </row>
    <row r="6" spans="1:16">
      <c r="A6" t="str">
        <f>$A$1&amp;"~"&amp;TEXT(N6,"0000")</f>
        <v>KS~0001</v>
      </c>
      <c r="B6" t="str">
        <f>G6</f>
        <v>cp-000.v2g-N</v>
      </c>
      <c r="G6" t="str">
        <f>M6</f>
        <v>cp-000.v2g-N</v>
      </c>
      <c r="H6" t="str">
        <f>O6</f>
        <v>000</v>
      </c>
      <c r="I6" t="str">
        <f>P6</f>
        <v>N</v>
      </c>
      <c r="L6">
        <v>5</v>
      </c>
      <c r="M6" t="s">
        <v>12</v>
      </c>
      <c r="N6">
        <v>1</v>
      </c>
      <c r="O6" t="s">
        <v>13</v>
      </c>
      <c r="P6" t="s">
        <v>14</v>
      </c>
    </row>
    <row r="7" spans="1:16">
      <c r="A7" t="str">
        <f t="shared" ref="A7:A17" si="0">$A$1&amp;"~"&amp;TEXT(N7,"0000")</f>
        <v>KS~0002</v>
      </c>
      <c r="B7" t="str">
        <f t="shared" ref="B7:B17" si="1">G7</f>
        <v>cp-043.v2g-N</v>
      </c>
      <c r="G7" t="str">
        <f t="shared" ref="G7:G17" si="2">M7</f>
        <v>cp-043.v2g-N</v>
      </c>
      <c r="H7" t="str">
        <f t="shared" ref="H7:H17" si="3">O7</f>
        <v>043</v>
      </c>
      <c r="I7" t="str">
        <f t="shared" ref="I7:I17" si="4">P7</f>
        <v>N</v>
      </c>
      <c r="L7">
        <v>5</v>
      </c>
      <c r="M7" t="s">
        <v>15</v>
      </c>
      <c r="N7">
        <v>2</v>
      </c>
      <c r="O7" t="s">
        <v>16</v>
      </c>
      <c r="P7" t="s">
        <v>14</v>
      </c>
    </row>
    <row r="8" spans="1:16">
      <c r="A8" t="str">
        <f t="shared" si="0"/>
        <v>KS~0003</v>
      </c>
      <c r="B8" t="str">
        <f t="shared" si="1"/>
        <v>cp-109.v2g-N</v>
      </c>
      <c r="G8" t="str">
        <f t="shared" si="2"/>
        <v>cp-109.v2g-N</v>
      </c>
      <c r="H8" t="str">
        <f t="shared" si="3"/>
        <v>109</v>
      </c>
      <c r="I8" t="str">
        <f t="shared" si="4"/>
        <v>N</v>
      </c>
      <c r="L8">
        <v>5</v>
      </c>
      <c r="M8" t="s">
        <v>17</v>
      </c>
      <c r="N8">
        <v>3</v>
      </c>
      <c r="O8" t="s">
        <v>18</v>
      </c>
      <c r="P8" t="s">
        <v>14</v>
      </c>
    </row>
    <row r="9" spans="1:16">
      <c r="A9" t="str">
        <f t="shared" si="0"/>
        <v>KS~0004</v>
      </c>
      <c r="B9" t="str">
        <f t="shared" si="1"/>
        <v>cp-205.v2g-N</v>
      </c>
      <c r="G9" t="str">
        <f t="shared" si="2"/>
        <v>cp-205.v2g-N</v>
      </c>
      <c r="H9" t="str">
        <f t="shared" si="3"/>
        <v>205</v>
      </c>
      <c r="I9" t="str">
        <f t="shared" si="4"/>
        <v>N</v>
      </c>
      <c r="L9">
        <v>5</v>
      </c>
      <c r="M9" t="s">
        <v>19</v>
      </c>
      <c r="N9">
        <v>4</v>
      </c>
      <c r="O9" t="s">
        <v>20</v>
      </c>
      <c r="P9" t="s">
        <v>14</v>
      </c>
    </row>
    <row r="10" spans="1:16">
      <c r="A10" t="str">
        <f t="shared" si="0"/>
        <v>KS~0005</v>
      </c>
      <c r="B10" t="str">
        <f t="shared" si="1"/>
        <v>cp-345.v2g-N</v>
      </c>
      <c r="G10" t="str">
        <f t="shared" si="2"/>
        <v>cp-345.v2g-N</v>
      </c>
      <c r="H10" t="str">
        <f t="shared" si="3"/>
        <v>345</v>
      </c>
      <c r="I10" t="str">
        <f t="shared" si="4"/>
        <v>N</v>
      </c>
      <c r="L10">
        <v>5</v>
      </c>
      <c r="M10" t="s">
        <v>21</v>
      </c>
      <c r="N10">
        <v>5</v>
      </c>
      <c r="O10" t="s">
        <v>22</v>
      </c>
      <c r="P10" t="s">
        <v>14</v>
      </c>
    </row>
    <row r="11" spans="1:16">
      <c r="A11" t="str">
        <f t="shared" si="0"/>
        <v>KS~0006</v>
      </c>
      <c r="B11" t="str">
        <f t="shared" si="1"/>
        <v>cp-542.v2g-N</v>
      </c>
      <c r="G11" t="str">
        <f t="shared" si="2"/>
        <v>cp-542.v2g-N</v>
      </c>
      <c r="H11" t="str">
        <f t="shared" si="3"/>
        <v>542</v>
      </c>
      <c r="I11" t="str">
        <f t="shared" si="4"/>
        <v>N</v>
      </c>
      <c r="L11">
        <v>5</v>
      </c>
      <c r="M11" t="s">
        <v>23</v>
      </c>
      <c r="N11">
        <v>6</v>
      </c>
      <c r="O11" t="s">
        <v>24</v>
      </c>
      <c r="P11" t="s">
        <v>14</v>
      </c>
    </row>
    <row r="12" spans="1:16">
      <c r="A12" t="str">
        <f t="shared" si="0"/>
        <v>KS~0007</v>
      </c>
      <c r="B12" t="str">
        <f t="shared" si="1"/>
        <v>cp-000.v2g-Y</v>
      </c>
      <c r="G12" t="str">
        <f t="shared" si="2"/>
        <v>cp-000.v2g-Y</v>
      </c>
      <c r="H12" t="str">
        <f t="shared" si="3"/>
        <v>000</v>
      </c>
      <c r="I12" t="str">
        <f t="shared" si="4"/>
        <v>Y</v>
      </c>
      <c r="L12">
        <v>5</v>
      </c>
      <c r="M12" t="s">
        <v>25</v>
      </c>
      <c r="N12">
        <v>7</v>
      </c>
      <c r="O12" t="s">
        <v>13</v>
      </c>
      <c r="P12" t="s">
        <v>26</v>
      </c>
    </row>
    <row r="13" spans="1:16">
      <c r="A13" t="str">
        <f t="shared" si="0"/>
        <v>KS~0008</v>
      </c>
      <c r="B13" t="str">
        <f t="shared" si="1"/>
        <v>cp-043.v2g-Y</v>
      </c>
      <c r="G13" t="str">
        <f t="shared" si="2"/>
        <v>cp-043.v2g-Y</v>
      </c>
      <c r="H13" t="str">
        <f t="shared" si="3"/>
        <v>043</v>
      </c>
      <c r="I13" t="str">
        <f t="shared" si="4"/>
        <v>Y</v>
      </c>
      <c r="L13">
        <v>5</v>
      </c>
      <c r="M13" t="s">
        <v>27</v>
      </c>
      <c r="N13">
        <v>8</v>
      </c>
      <c r="O13" t="s">
        <v>16</v>
      </c>
      <c r="P13" t="s">
        <v>26</v>
      </c>
    </row>
    <row r="14" spans="1:16">
      <c r="A14" t="str">
        <f t="shared" si="0"/>
        <v>KS~0009</v>
      </c>
      <c r="B14" t="str">
        <f t="shared" si="1"/>
        <v>cp-109.v2g-Y</v>
      </c>
      <c r="G14" t="str">
        <f t="shared" si="2"/>
        <v>cp-109.v2g-Y</v>
      </c>
      <c r="H14" t="str">
        <f t="shared" si="3"/>
        <v>109</v>
      </c>
      <c r="I14" t="str">
        <f t="shared" si="4"/>
        <v>Y</v>
      </c>
      <c r="L14">
        <v>5</v>
      </c>
      <c r="M14" t="s">
        <v>28</v>
      </c>
      <c r="N14">
        <v>9</v>
      </c>
      <c r="O14" t="s">
        <v>18</v>
      </c>
      <c r="P14" t="s">
        <v>26</v>
      </c>
    </row>
    <row r="15" spans="1:16">
      <c r="A15" t="str">
        <f t="shared" si="0"/>
        <v>KS~0010</v>
      </c>
      <c r="B15" t="str">
        <f t="shared" si="1"/>
        <v>cp-205.v2g-Y</v>
      </c>
      <c r="G15" t="str">
        <f t="shared" si="2"/>
        <v>cp-205.v2g-Y</v>
      </c>
      <c r="H15" t="str">
        <f t="shared" si="3"/>
        <v>205</v>
      </c>
      <c r="I15" t="str">
        <f t="shared" si="4"/>
        <v>Y</v>
      </c>
      <c r="L15">
        <v>5</v>
      </c>
      <c r="M15" t="s">
        <v>29</v>
      </c>
      <c r="N15">
        <v>10</v>
      </c>
      <c r="O15" t="s">
        <v>20</v>
      </c>
      <c r="P15" t="s">
        <v>26</v>
      </c>
    </row>
    <row r="16" spans="1:16">
      <c r="A16" t="str">
        <f t="shared" si="0"/>
        <v>KS~0011</v>
      </c>
      <c r="B16" t="str">
        <f t="shared" si="1"/>
        <v>cp-345.v2g-Y</v>
      </c>
      <c r="G16" t="str">
        <f t="shared" si="2"/>
        <v>cp-345.v2g-Y</v>
      </c>
      <c r="H16" t="str">
        <f t="shared" si="3"/>
        <v>345</v>
      </c>
      <c r="I16" t="str">
        <f t="shared" si="4"/>
        <v>Y</v>
      </c>
      <c r="L16">
        <v>5</v>
      </c>
      <c r="M16" t="s">
        <v>30</v>
      </c>
      <c r="N16">
        <v>11</v>
      </c>
      <c r="O16" t="s">
        <v>22</v>
      </c>
      <c r="P16" t="s">
        <v>26</v>
      </c>
    </row>
    <row r="17" spans="1:16">
      <c r="A17" t="str">
        <f t="shared" si="0"/>
        <v>KS~0012</v>
      </c>
      <c r="B17" t="str">
        <f t="shared" si="1"/>
        <v>cp-542.v2g-Y</v>
      </c>
      <c r="G17" t="str">
        <f t="shared" si="2"/>
        <v>cp-542.v2g-Y</v>
      </c>
      <c r="H17" t="str">
        <f t="shared" si="3"/>
        <v>542</v>
      </c>
      <c r="I17" t="str">
        <f t="shared" si="4"/>
        <v>Y</v>
      </c>
      <c r="L17">
        <v>5</v>
      </c>
      <c r="M17" t="s">
        <v>31</v>
      </c>
      <c r="N17">
        <v>12</v>
      </c>
      <c r="O17" t="s">
        <v>24</v>
      </c>
      <c r="P17" t="s">
        <v>26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/>
  <dimension ref="A1:AA61"/>
  <sheetViews>
    <sheetView tabSelected="1" workbookViewId="0">
      <pane ySplit="2" topLeftCell="A3" activePane="bottomLeft" state="frozen"/>
      <selection pane="bottomLeft" activeCell="J7" sqref="J7"/>
    </sheetView>
  </sheetViews>
  <sheetFormatPr defaultColWidth="9" defaultRowHeight="14.25"/>
  <cols>
    <col min="1" max="1" width="13.86328125" customWidth="1"/>
    <col min="2" max="2" width="11.1328125" customWidth="1"/>
    <col min="3" max="3" width="7.86328125" customWidth="1"/>
    <col min="4" max="4" width="26.59765625" customWidth="1"/>
    <col min="5" max="5" width="16.86328125" customWidth="1"/>
    <col min="6" max="6" width="8.59765625" customWidth="1"/>
    <col min="7" max="8" width="8.73046875" customWidth="1"/>
    <col min="9" max="9" width="16.73046875" customWidth="1"/>
    <col min="10" max="10" width="30.86328125" customWidth="1"/>
    <col min="11" max="11" width="8.59765625" customWidth="1"/>
    <col min="12" max="12" width="7" customWidth="1"/>
    <col min="13" max="13" width="4.265625" customWidth="1"/>
    <col min="14" max="14" width="9.265625" customWidth="1"/>
    <col min="15" max="15" width="21.3984375" customWidth="1"/>
    <col min="16" max="16" width="14.59765625" customWidth="1"/>
    <col min="17" max="17" width="22.3984375" customWidth="1"/>
    <col min="18" max="20" width="9.265625" customWidth="1"/>
    <col min="21" max="21" width="2" customWidth="1"/>
    <col min="22" max="22" width="11.59765625" customWidth="1"/>
  </cols>
  <sheetData>
    <row r="1" spans="1:27">
      <c r="A1" t="s">
        <v>32</v>
      </c>
    </row>
    <row r="2" spans="1:27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</v>
      </c>
      <c r="P2" s="1" t="s">
        <v>5</v>
      </c>
      <c r="Q2" s="1" t="s">
        <v>6</v>
      </c>
      <c r="R2" s="1" t="s">
        <v>47</v>
      </c>
      <c r="S2" s="1" t="s">
        <v>48</v>
      </c>
      <c r="T2" s="1" t="s">
        <v>49</v>
      </c>
      <c r="V2" s="13" t="s">
        <v>50</v>
      </c>
      <c r="W2" s="14" t="s">
        <v>51</v>
      </c>
      <c r="AA2" t="s">
        <v>52</v>
      </c>
    </row>
    <row r="3" spans="1:27">
      <c r="A3" t="s">
        <v>53</v>
      </c>
      <c r="D3" t="str">
        <f>PSET_Map!H28</f>
        <v>DMD_AGR,DMD_COM,DMD_RES,DMD_AUTOP,DMD_IND,DMD_Non-En,DMD_TRA-NR,DMD_TRA-R</v>
      </c>
      <c r="I3" t="s">
        <v>54</v>
      </c>
      <c r="L3" t="s">
        <v>55</v>
      </c>
      <c r="O3" t="s">
        <v>56</v>
      </c>
      <c r="P3" t="str">
        <f>O3</f>
        <v>FinEnergy</v>
      </c>
      <c r="Q3" t="s">
        <v>57</v>
      </c>
    </row>
    <row r="4" spans="1:27">
      <c r="A4" t="s">
        <v>53</v>
      </c>
      <c r="I4" t="str">
        <f>$I$3</f>
        <v>NRG</v>
      </c>
      <c r="J4" t="s">
        <v>58</v>
      </c>
      <c r="L4" t="s">
        <v>55</v>
      </c>
      <c r="O4" t="s">
        <v>56</v>
      </c>
      <c r="P4" t="str">
        <f>O4</f>
        <v>FinEnergy</v>
      </c>
      <c r="Q4" t="s">
        <v>57</v>
      </c>
    </row>
    <row r="5" spans="1:27">
      <c r="A5" t="s">
        <v>59</v>
      </c>
      <c r="E5" t="s">
        <v>60</v>
      </c>
      <c r="I5" t="str">
        <f>$I$3</f>
        <v>NRG</v>
      </c>
      <c r="J5" s="17" t="s">
        <v>61</v>
      </c>
      <c r="L5" t="s">
        <v>55</v>
      </c>
      <c r="O5" t="s">
        <v>56</v>
      </c>
      <c r="P5" t="str">
        <f t="shared" ref="P5:P7" si="0">O5</f>
        <v>FinEnergy</v>
      </c>
      <c r="Q5" t="s">
        <v>57</v>
      </c>
    </row>
    <row r="6" spans="1:27">
      <c r="A6" t="s">
        <v>59</v>
      </c>
      <c r="E6" t="s">
        <v>60</v>
      </c>
      <c r="I6" t="str">
        <f>$I$3</f>
        <v>NRG</v>
      </c>
      <c r="J6" s="17" t="s">
        <v>61</v>
      </c>
      <c r="L6" t="s">
        <v>62</v>
      </c>
      <c r="O6" t="s">
        <v>56</v>
      </c>
      <c r="P6" t="str">
        <f t="shared" si="0"/>
        <v>FinEnergy</v>
      </c>
      <c r="Q6" t="s">
        <v>57</v>
      </c>
    </row>
    <row r="7" spans="1:27">
      <c r="A7" t="s">
        <v>63</v>
      </c>
      <c r="D7" t="s">
        <v>64</v>
      </c>
      <c r="E7" s="17" t="s">
        <v>65</v>
      </c>
      <c r="J7" s="12" t="s">
        <v>1146</v>
      </c>
      <c r="L7" t="s">
        <v>66</v>
      </c>
      <c r="O7" t="s">
        <v>67</v>
      </c>
      <c r="P7" t="str">
        <f t="shared" si="0"/>
        <v>Elec_Prod</v>
      </c>
      <c r="Q7" t="s">
        <v>68</v>
      </c>
      <c r="R7" t="s">
        <v>84</v>
      </c>
    </row>
    <row r="8" spans="1:27">
      <c r="A8" t="s">
        <v>53</v>
      </c>
      <c r="D8" t="s">
        <v>69</v>
      </c>
      <c r="E8" s="17" t="s">
        <v>70</v>
      </c>
      <c r="J8" s="12" t="s">
        <v>71</v>
      </c>
      <c r="L8" t="s">
        <v>72</v>
      </c>
      <c r="O8" t="s">
        <v>67</v>
      </c>
      <c r="P8" t="str">
        <f>P7</f>
        <v>Elec_Prod</v>
      </c>
      <c r="Q8" t="s">
        <v>68</v>
      </c>
      <c r="R8" t="s">
        <v>84</v>
      </c>
    </row>
    <row r="9" spans="1:27">
      <c r="A9" t="s">
        <v>63</v>
      </c>
      <c r="D9" t="s">
        <v>73</v>
      </c>
      <c r="J9" t="s">
        <v>74</v>
      </c>
      <c r="L9" t="s">
        <v>66</v>
      </c>
      <c r="O9" t="s">
        <v>75</v>
      </c>
      <c r="P9" t="str">
        <f t="shared" ref="P9:P11" si="1">O9</f>
        <v>Elec-int_Prod</v>
      </c>
      <c r="Q9" t="s">
        <v>76</v>
      </c>
    </row>
    <row r="10" spans="1:27">
      <c r="A10" t="s">
        <v>77</v>
      </c>
      <c r="D10" t="s">
        <v>78</v>
      </c>
      <c r="H10" t="s">
        <v>1147</v>
      </c>
      <c r="L10" t="s">
        <v>66</v>
      </c>
      <c r="O10" t="s">
        <v>79</v>
      </c>
      <c r="P10" t="str">
        <f t="shared" ref="P10" si="2">O10</f>
        <v>Elec_act</v>
      </c>
      <c r="Q10" t="str">
        <f t="shared" ref="Q10" si="3">P10</f>
        <v>Elec_act</v>
      </c>
    </row>
    <row r="11" spans="1:27">
      <c r="A11" t="s">
        <v>63</v>
      </c>
      <c r="D11" s="17" t="s">
        <v>80</v>
      </c>
      <c r="J11" t="s">
        <v>81</v>
      </c>
      <c r="L11" t="s">
        <v>55</v>
      </c>
      <c r="O11" t="s">
        <v>82</v>
      </c>
      <c r="P11" t="str">
        <f t="shared" si="1"/>
        <v>H2_Prod</v>
      </c>
      <c r="Q11" t="s">
        <v>83</v>
      </c>
      <c r="R11" t="s">
        <v>84</v>
      </c>
    </row>
    <row r="12" spans="1:27">
      <c r="A12" t="s">
        <v>85</v>
      </c>
      <c r="D12" t="s">
        <v>86</v>
      </c>
      <c r="E12" s="17" t="s">
        <v>87</v>
      </c>
      <c r="H12" t="s">
        <v>1147</v>
      </c>
      <c r="L12" t="s">
        <v>88</v>
      </c>
      <c r="O12" t="s">
        <v>89</v>
      </c>
      <c r="P12" t="str">
        <f t="shared" ref="P12:P15" si="4">O12</f>
        <v>Capacity_Elec</v>
      </c>
      <c r="Q12" t="str">
        <f t="shared" ref="Q12:Q20" si="5">P12</f>
        <v>Capacity_Elec</v>
      </c>
      <c r="R12" t="s">
        <v>84</v>
      </c>
      <c r="T12" s="6" t="s">
        <v>90</v>
      </c>
    </row>
    <row r="13" spans="1:27">
      <c r="A13" t="s">
        <v>85</v>
      </c>
      <c r="D13" t="s">
        <v>91</v>
      </c>
      <c r="E13" s="17" t="s">
        <v>92</v>
      </c>
      <c r="L13" t="s">
        <v>88</v>
      </c>
      <c r="O13" t="s">
        <v>89</v>
      </c>
      <c r="P13" t="str">
        <f t="shared" ref="P13" si="6">O13</f>
        <v>Capacity_Elec</v>
      </c>
      <c r="Q13" t="str">
        <f t="shared" ref="Q13" si="7">P13</f>
        <v>Capacity_Elec</v>
      </c>
      <c r="T13" s="6"/>
    </row>
    <row r="14" spans="1:27">
      <c r="A14" t="s">
        <v>85</v>
      </c>
      <c r="D14" s="17" t="s">
        <v>93</v>
      </c>
      <c r="H14" t="s">
        <v>81</v>
      </c>
      <c r="L14" t="s">
        <v>94</v>
      </c>
      <c r="O14" t="s">
        <v>95</v>
      </c>
      <c r="P14" t="str">
        <f t="shared" si="4"/>
        <v>Capacity_H2</v>
      </c>
      <c r="R14" t="s">
        <v>84</v>
      </c>
    </row>
    <row r="15" spans="1:27">
      <c r="A15" t="s">
        <v>96</v>
      </c>
      <c r="D15" s="17" t="s">
        <v>93</v>
      </c>
      <c r="L15" t="s">
        <v>94</v>
      </c>
      <c r="O15" t="s">
        <v>97</v>
      </c>
      <c r="P15" t="str">
        <f t="shared" si="4"/>
        <v>NewCap</v>
      </c>
    </row>
    <row r="16" spans="1:27">
      <c r="A16" t="s">
        <v>96</v>
      </c>
      <c r="D16" t="s">
        <v>91</v>
      </c>
      <c r="E16" s="17" t="s">
        <v>92</v>
      </c>
      <c r="L16" t="s">
        <v>88</v>
      </c>
      <c r="O16" t="s">
        <v>97</v>
      </c>
      <c r="P16" t="str">
        <f t="shared" ref="P16" si="8">O16</f>
        <v>NewCap</v>
      </c>
    </row>
    <row r="17" spans="1:20">
      <c r="A17" t="s">
        <v>98</v>
      </c>
      <c r="D17" t="s">
        <v>99</v>
      </c>
      <c r="E17" s="17" t="s">
        <v>100</v>
      </c>
      <c r="L17" t="s">
        <v>101</v>
      </c>
      <c r="O17" t="s">
        <v>102</v>
      </c>
      <c r="P17" t="str">
        <f t="shared" ref="P17" si="9">O17</f>
        <v>CostINV</v>
      </c>
      <c r="Q17" t="str">
        <f t="shared" si="5"/>
        <v>CostINV</v>
      </c>
    </row>
    <row r="18" spans="1:20">
      <c r="A18" t="s">
        <v>103</v>
      </c>
      <c r="D18" t="s">
        <v>104</v>
      </c>
      <c r="E18" s="17" t="s">
        <v>100</v>
      </c>
      <c r="L18" t="s">
        <v>101</v>
      </c>
      <c r="O18" t="s">
        <v>105</v>
      </c>
      <c r="P18" t="str">
        <f t="shared" ref="P18" si="10">O18</f>
        <v>CostVAR</v>
      </c>
      <c r="Q18" t="str">
        <f t="shared" si="5"/>
        <v>CostVAR</v>
      </c>
    </row>
    <row r="19" spans="1:20">
      <c r="A19" t="s">
        <v>106</v>
      </c>
      <c r="D19" t="s">
        <v>104</v>
      </c>
      <c r="E19" s="17" t="s">
        <v>100</v>
      </c>
      <c r="L19" t="s">
        <v>101</v>
      </c>
      <c r="O19" t="s">
        <v>107</v>
      </c>
      <c r="P19" t="str">
        <f t="shared" ref="P19:P20" si="11">O19</f>
        <v>CostFIX</v>
      </c>
      <c r="Q19" t="str">
        <f t="shared" si="5"/>
        <v>CostFIX</v>
      </c>
    </row>
    <row r="20" spans="1:20">
      <c r="A20" t="s">
        <v>108</v>
      </c>
      <c r="D20" t="s">
        <v>109</v>
      </c>
      <c r="E20" s="17" t="s">
        <v>100</v>
      </c>
      <c r="I20" t="s">
        <v>54</v>
      </c>
      <c r="J20" s="17" t="s">
        <v>110</v>
      </c>
      <c r="L20" t="s">
        <v>101</v>
      </c>
      <c r="O20" t="s">
        <v>111</v>
      </c>
      <c r="P20" t="str">
        <f t="shared" si="11"/>
        <v>CostFue</v>
      </c>
      <c r="Q20" t="str">
        <f t="shared" si="5"/>
        <v>CostFue</v>
      </c>
    </row>
    <row r="21" spans="1:20">
      <c r="A21" t="s">
        <v>108</v>
      </c>
      <c r="H21" t="s">
        <v>81</v>
      </c>
      <c r="I21" t="s">
        <v>54</v>
      </c>
      <c r="J21" s="17" t="s">
        <v>112</v>
      </c>
      <c r="L21" t="s">
        <v>101</v>
      </c>
      <c r="O21" t="s">
        <v>111</v>
      </c>
      <c r="P21" t="str">
        <f t="shared" ref="P21:P23" si="12">O21</f>
        <v>CostFue</v>
      </c>
      <c r="Q21" t="str">
        <f t="shared" ref="Q21:Q23" si="13">P21</f>
        <v>CostFue</v>
      </c>
    </row>
    <row r="22" spans="1:20">
      <c r="A22" t="s">
        <v>108</v>
      </c>
      <c r="D22" t="s">
        <v>113</v>
      </c>
      <c r="E22" s="17" t="s">
        <v>114</v>
      </c>
      <c r="I22" t="s">
        <v>54</v>
      </c>
      <c r="L22" t="s">
        <v>101</v>
      </c>
      <c r="O22" t="s">
        <v>111</v>
      </c>
      <c r="P22" t="str">
        <f t="shared" si="12"/>
        <v>CostFue</v>
      </c>
      <c r="Q22" t="str">
        <f t="shared" si="13"/>
        <v>CostFue</v>
      </c>
    </row>
    <row r="23" spans="1:20">
      <c r="A23" t="s">
        <v>108</v>
      </c>
      <c r="D23" t="s">
        <v>115</v>
      </c>
      <c r="I23" t="s">
        <v>54</v>
      </c>
      <c r="J23" s="17" t="s">
        <v>116</v>
      </c>
      <c r="L23" t="s">
        <v>101</v>
      </c>
      <c r="O23" t="s">
        <v>111</v>
      </c>
      <c r="P23" t="str">
        <f t="shared" si="12"/>
        <v>CostFue</v>
      </c>
      <c r="Q23" t="str">
        <f t="shared" si="13"/>
        <v>CostFue</v>
      </c>
    </row>
    <row r="24" spans="1:20">
      <c r="A24" t="s">
        <v>53</v>
      </c>
      <c r="D24" t="s">
        <v>117</v>
      </c>
      <c r="H24" t="s">
        <v>1148</v>
      </c>
      <c r="I24" t="s">
        <v>54</v>
      </c>
      <c r="J24" s="17" t="s">
        <v>118</v>
      </c>
      <c r="L24" t="s">
        <v>55</v>
      </c>
      <c r="O24" t="s">
        <v>119</v>
      </c>
      <c r="P24" t="str">
        <f t="shared" ref="P24:P25" si="14">O24</f>
        <v>Fuel_cons_power</v>
      </c>
      <c r="Q24" t="s">
        <v>120</v>
      </c>
      <c r="T24" t="s">
        <v>90</v>
      </c>
    </row>
    <row r="25" spans="1:20">
      <c r="A25" t="s">
        <v>53</v>
      </c>
      <c r="D25" s="17" t="s">
        <v>80</v>
      </c>
      <c r="H25" t="s">
        <v>81</v>
      </c>
      <c r="I25" t="s">
        <v>54</v>
      </c>
      <c r="L25" t="s">
        <v>55</v>
      </c>
      <c r="O25" t="s">
        <v>121</v>
      </c>
      <c r="P25" t="str">
        <f t="shared" si="14"/>
        <v>Fuel_cons_H2</v>
      </c>
      <c r="Q25" t="s">
        <v>122</v>
      </c>
    </row>
    <row r="26" spans="1:20">
      <c r="A26" t="s">
        <v>53</v>
      </c>
      <c r="H26" t="s">
        <v>123</v>
      </c>
      <c r="I26" t="s">
        <v>54</v>
      </c>
      <c r="L26" t="s">
        <v>55</v>
      </c>
      <c r="O26" t="s">
        <v>124</v>
      </c>
      <c r="Q26" t="s">
        <v>125</v>
      </c>
    </row>
    <row r="27" spans="1:20">
      <c r="A27" t="s">
        <v>85</v>
      </c>
      <c r="D27" t="s">
        <v>113</v>
      </c>
      <c r="H27" t="s">
        <v>126</v>
      </c>
      <c r="L27" t="s">
        <v>94</v>
      </c>
      <c r="O27" t="s">
        <v>127</v>
      </c>
      <c r="Q27" t="s">
        <v>128</v>
      </c>
    </row>
    <row r="28" spans="1:20">
      <c r="A28" t="s">
        <v>63</v>
      </c>
      <c r="D28" t="s">
        <v>113</v>
      </c>
      <c r="I28" t="s">
        <v>129</v>
      </c>
      <c r="J28" s="17" t="s">
        <v>130</v>
      </c>
      <c r="L28" t="s">
        <v>131</v>
      </c>
      <c r="O28" t="s">
        <v>132</v>
      </c>
      <c r="P28" t="str">
        <f t="shared" ref="P28:Q30" si="15">O28</f>
        <v>DMD_out</v>
      </c>
      <c r="Q28" t="s">
        <v>133</v>
      </c>
    </row>
    <row r="29" spans="1:20">
      <c r="A29" t="s">
        <v>53</v>
      </c>
      <c r="D29" t="s">
        <v>113</v>
      </c>
      <c r="H29" s="17" t="s">
        <v>134</v>
      </c>
      <c r="I29" t="s">
        <v>54</v>
      </c>
      <c r="L29" t="s">
        <v>55</v>
      </c>
      <c r="O29" t="s">
        <v>135</v>
      </c>
      <c r="P29" t="str">
        <f t="shared" si="15"/>
        <v>DMD_in</v>
      </c>
      <c r="Q29" t="str">
        <f t="shared" si="15"/>
        <v>DMD_in</v>
      </c>
    </row>
    <row r="30" spans="1:20">
      <c r="A30" t="s">
        <v>136</v>
      </c>
      <c r="E30" s="17" t="s">
        <v>137</v>
      </c>
      <c r="J30" s="17" t="s">
        <v>138</v>
      </c>
      <c r="L30" t="s">
        <v>139</v>
      </c>
      <c r="O30" t="s">
        <v>140</v>
      </c>
      <c r="P30" t="str">
        <f t="shared" si="15"/>
        <v>Power</v>
      </c>
      <c r="Q30" t="str">
        <f t="shared" si="15"/>
        <v>Power</v>
      </c>
      <c r="R30" t="s">
        <v>141</v>
      </c>
      <c r="T30" s="6" t="s">
        <v>90</v>
      </c>
    </row>
    <row r="31" spans="1:20">
      <c r="A31" t="s">
        <v>63</v>
      </c>
      <c r="D31" t="s">
        <v>91</v>
      </c>
      <c r="E31" t="s">
        <v>142</v>
      </c>
      <c r="I31" t="s">
        <v>54</v>
      </c>
      <c r="L31" t="s">
        <v>55</v>
      </c>
      <c r="O31" t="s">
        <v>143</v>
      </c>
      <c r="P31" t="str">
        <f t="shared" ref="P31:Q40" si="16">O31</f>
        <v>Pri_Prod</v>
      </c>
      <c r="Q31" t="str">
        <f t="shared" si="16"/>
        <v>Pri_Prod</v>
      </c>
    </row>
    <row r="32" spans="1:20">
      <c r="A32" t="s">
        <v>63</v>
      </c>
      <c r="E32" t="s">
        <v>144</v>
      </c>
      <c r="J32" t="s">
        <v>145</v>
      </c>
      <c r="L32" t="s">
        <v>55</v>
      </c>
      <c r="O32" t="s">
        <v>143</v>
      </c>
      <c r="P32" t="str">
        <f t="shared" ref="P32" si="17">O32</f>
        <v>Pri_Prod</v>
      </c>
      <c r="Q32" t="str">
        <f t="shared" ref="Q32" si="18">P32</f>
        <v>Pri_Prod</v>
      </c>
    </row>
    <row r="33" spans="1:18">
      <c r="A33" t="s">
        <v>63</v>
      </c>
      <c r="I33" t="s">
        <v>146</v>
      </c>
      <c r="J33" t="s">
        <v>147</v>
      </c>
      <c r="L33" t="s">
        <v>148</v>
      </c>
      <c r="O33" t="s">
        <v>149</v>
      </c>
      <c r="P33" t="str">
        <f t="shared" si="16"/>
        <v>CO2_emissions</v>
      </c>
      <c r="Q33" t="str">
        <f t="shared" si="16"/>
        <v>CO2_emissions</v>
      </c>
      <c r="R33" t="s">
        <v>150</v>
      </c>
    </row>
    <row r="34" spans="1:18">
      <c r="A34" t="s">
        <v>63</v>
      </c>
      <c r="J34" t="s">
        <v>151</v>
      </c>
      <c r="L34" t="s">
        <v>152</v>
      </c>
      <c r="O34" t="s">
        <v>153</v>
      </c>
      <c r="P34" t="str">
        <f t="shared" si="16"/>
        <v>CO2_captured</v>
      </c>
      <c r="Q34" t="str">
        <f t="shared" si="16"/>
        <v>CO2_captured</v>
      </c>
      <c r="R34" t="s">
        <v>84</v>
      </c>
    </row>
    <row r="35" spans="1:18">
      <c r="A35" t="s">
        <v>53</v>
      </c>
      <c r="J35" t="s">
        <v>154</v>
      </c>
      <c r="L35" t="s">
        <v>152</v>
      </c>
      <c r="O35" t="s">
        <v>153</v>
      </c>
      <c r="P35" t="str">
        <f t="shared" ref="P35" si="19">O35</f>
        <v>CO2_captured</v>
      </c>
      <c r="Q35" t="str">
        <f t="shared" ref="Q35" si="20">P35</f>
        <v>CO2_captured</v>
      </c>
    </row>
    <row r="36" spans="1:18">
      <c r="A36" t="s">
        <v>53</v>
      </c>
      <c r="J36" t="s">
        <v>155</v>
      </c>
      <c r="L36" t="s">
        <v>148</v>
      </c>
      <c r="O36" t="s">
        <v>156</v>
      </c>
      <c r="P36" t="str">
        <f t="shared" si="16"/>
        <v>CO2_Stored</v>
      </c>
      <c r="Q36" t="str">
        <f t="shared" si="16"/>
        <v>CO2_Stored</v>
      </c>
      <c r="R36" t="s">
        <v>84</v>
      </c>
    </row>
    <row r="37" spans="1:18">
      <c r="A37" t="s">
        <v>63</v>
      </c>
      <c r="D37" t="s">
        <v>157</v>
      </c>
      <c r="I37" t="s">
        <v>54</v>
      </c>
      <c r="L37" t="s">
        <v>55</v>
      </c>
      <c r="O37" t="s">
        <v>158</v>
      </c>
      <c r="P37" t="str">
        <f t="shared" si="16"/>
        <v>Pri_Import</v>
      </c>
      <c r="Q37" t="str">
        <f t="shared" si="16"/>
        <v>Pri_Import</v>
      </c>
    </row>
    <row r="38" spans="1:18">
      <c r="A38" t="s">
        <v>63</v>
      </c>
      <c r="E38" t="s">
        <v>159</v>
      </c>
      <c r="J38" t="s">
        <v>160</v>
      </c>
      <c r="L38" t="s">
        <v>55</v>
      </c>
      <c r="O38" t="s">
        <v>158</v>
      </c>
    </row>
    <row r="39" spans="1:18">
      <c r="A39" t="s">
        <v>53</v>
      </c>
      <c r="D39" t="s">
        <v>157</v>
      </c>
      <c r="I39" t="s">
        <v>54</v>
      </c>
      <c r="L39" t="s">
        <v>161</v>
      </c>
      <c r="O39" t="s">
        <v>162</v>
      </c>
      <c r="P39" t="str">
        <f t="shared" si="16"/>
        <v>Pri_Export</v>
      </c>
      <c r="Q39" t="str">
        <f t="shared" si="16"/>
        <v>Pri_Export</v>
      </c>
    </row>
    <row r="40" spans="1:18">
      <c r="A40" t="s">
        <v>163</v>
      </c>
      <c r="B40" t="s">
        <v>164</v>
      </c>
      <c r="I40" t="s">
        <v>54</v>
      </c>
      <c r="J40" t="s">
        <v>165</v>
      </c>
      <c r="L40" t="s">
        <v>166</v>
      </c>
      <c r="O40" t="s">
        <v>167</v>
      </c>
      <c r="P40" t="str">
        <f t="shared" si="16"/>
        <v>Prices</v>
      </c>
      <c r="Q40" t="str">
        <f t="shared" si="16"/>
        <v>Prices</v>
      </c>
      <c r="R40" t="s">
        <v>150</v>
      </c>
    </row>
    <row r="41" spans="1:18">
      <c r="A41" t="s">
        <v>163</v>
      </c>
      <c r="B41" t="s">
        <v>164</v>
      </c>
      <c r="I41" t="s">
        <v>54</v>
      </c>
      <c r="J41" t="s">
        <v>168</v>
      </c>
      <c r="L41" t="s">
        <v>169</v>
      </c>
      <c r="O41" t="s">
        <v>167</v>
      </c>
      <c r="P41" t="str">
        <f t="shared" ref="P41" si="21">O41</f>
        <v>Prices</v>
      </c>
      <c r="Q41" t="str">
        <f t="shared" ref="Q41" si="22">P41</f>
        <v>Prices</v>
      </c>
      <c r="R41" t="s">
        <v>170</v>
      </c>
    </row>
    <row r="42" spans="1:18">
      <c r="A42" t="s">
        <v>163</v>
      </c>
      <c r="B42" t="s">
        <v>164</v>
      </c>
      <c r="I42" t="s">
        <v>54</v>
      </c>
      <c r="J42" t="s">
        <v>81</v>
      </c>
      <c r="L42" t="s">
        <v>171</v>
      </c>
      <c r="O42" t="s">
        <v>167</v>
      </c>
      <c r="P42" t="str">
        <f t="shared" ref="P42" si="23">O42</f>
        <v>Prices</v>
      </c>
      <c r="Q42" t="str">
        <f t="shared" ref="Q42" si="24">P42</f>
        <v>Prices</v>
      </c>
      <c r="R42" t="s">
        <v>170</v>
      </c>
    </row>
    <row r="43" spans="1:18">
      <c r="A43" t="s">
        <v>163</v>
      </c>
      <c r="B43" t="s">
        <v>164</v>
      </c>
      <c r="I43" t="s">
        <v>54</v>
      </c>
      <c r="J43" t="s">
        <v>172</v>
      </c>
      <c r="L43" t="s">
        <v>173</v>
      </c>
      <c r="O43" t="s">
        <v>167</v>
      </c>
    </row>
    <row r="44" spans="1:18">
      <c r="A44" t="s">
        <v>163</v>
      </c>
      <c r="B44" t="s">
        <v>164</v>
      </c>
      <c r="I44" t="s">
        <v>54</v>
      </c>
      <c r="J44" t="s">
        <v>174</v>
      </c>
      <c r="L44" t="s">
        <v>175</v>
      </c>
      <c r="O44" t="s">
        <v>167</v>
      </c>
      <c r="R44" t="s">
        <v>176</v>
      </c>
    </row>
    <row r="45" spans="1:18">
      <c r="A45" t="s">
        <v>163</v>
      </c>
      <c r="B45" t="s">
        <v>164</v>
      </c>
      <c r="I45" t="s">
        <v>146</v>
      </c>
      <c r="J45" t="s">
        <v>154</v>
      </c>
      <c r="L45" t="s">
        <v>177</v>
      </c>
      <c r="O45" t="s">
        <v>167</v>
      </c>
      <c r="P45" t="str">
        <f t="shared" ref="P45" si="25">O45</f>
        <v>Prices</v>
      </c>
      <c r="Q45" t="str">
        <f t="shared" ref="Q45" si="26">P45</f>
        <v>Prices</v>
      </c>
      <c r="R45" t="s">
        <v>150</v>
      </c>
    </row>
    <row r="46" spans="1:18">
      <c r="A46" t="s">
        <v>163</v>
      </c>
      <c r="B46" t="s">
        <v>164</v>
      </c>
      <c r="I46" t="s">
        <v>129</v>
      </c>
      <c r="J46" t="s">
        <v>126</v>
      </c>
      <c r="L46" t="s">
        <v>178</v>
      </c>
      <c r="O46" t="s">
        <v>167</v>
      </c>
      <c r="P46" t="str">
        <f t="shared" ref="P46:P48" si="27">O46</f>
        <v>Prices</v>
      </c>
      <c r="Q46" t="str">
        <f t="shared" ref="Q46:Q48" si="28">P46</f>
        <v>Prices</v>
      </c>
      <c r="R46" t="s">
        <v>150</v>
      </c>
    </row>
    <row r="47" spans="1:18">
      <c r="A47" t="s">
        <v>163</v>
      </c>
      <c r="B47" t="s">
        <v>164</v>
      </c>
      <c r="I47" t="s">
        <v>129</v>
      </c>
      <c r="J47" t="s">
        <v>179</v>
      </c>
      <c r="L47" t="s">
        <v>180</v>
      </c>
      <c r="O47" t="s">
        <v>167</v>
      </c>
      <c r="P47" t="str">
        <f t="shared" si="27"/>
        <v>Prices</v>
      </c>
      <c r="Q47" t="str">
        <f t="shared" si="28"/>
        <v>Prices</v>
      </c>
      <c r="R47" t="s">
        <v>150</v>
      </c>
    </row>
    <row r="48" spans="1:18">
      <c r="A48" t="s">
        <v>163</v>
      </c>
      <c r="B48" t="s">
        <v>164</v>
      </c>
      <c r="I48" t="s">
        <v>129</v>
      </c>
      <c r="J48" s="17" t="s">
        <v>181</v>
      </c>
      <c r="L48" t="s">
        <v>166</v>
      </c>
      <c r="O48" t="s">
        <v>167</v>
      </c>
      <c r="P48" t="str">
        <f t="shared" si="27"/>
        <v>Prices</v>
      </c>
      <c r="Q48" t="str">
        <f t="shared" si="28"/>
        <v>Prices</v>
      </c>
      <c r="R48" t="s">
        <v>150</v>
      </c>
    </row>
    <row r="49" spans="1:18">
      <c r="A49" t="s">
        <v>182</v>
      </c>
      <c r="B49" t="s">
        <v>96</v>
      </c>
      <c r="D49" t="s">
        <v>183</v>
      </c>
      <c r="L49" t="s">
        <v>166</v>
      </c>
      <c r="O49" t="s">
        <v>184</v>
      </c>
      <c r="P49" t="str">
        <f t="shared" ref="P49:P52" si="29">O49</f>
        <v>LCOE</v>
      </c>
      <c r="Q49" t="str">
        <f t="shared" ref="Q49:Q52" si="30">P49</f>
        <v>LCOE</v>
      </c>
    </row>
    <row r="50" spans="1:18">
      <c r="A50" t="s">
        <v>182</v>
      </c>
      <c r="B50" t="s">
        <v>96</v>
      </c>
      <c r="D50" t="s">
        <v>185</v>
      </c>
      <c r="H50" t="s">
        <v>186</v>
      </c>
      <c r="L50" t="s">
        <v>187</v>
      </c>
      <c r="O50" t="s">
        <v>184</v>
      </c>
      <c r="P50" t="str">
        <f t="shared" ref="P50" si="31">O50</f>
        <v>LCOE</v>
      </c>
      <c r="Q50" t="str">
        <f t="shared" ref="Q50" si="32">P50</f>
        <v>LCOE</v>
      </c>
      <c r="R50" t="s">
        <v>84</v>
      </c>
    </row>
    <row r="51" spans="1:18">
      <c r="A51" t="s">
        <v>188</v>
      </c>
      <c r="J51" t="s">
        <v>154</v>
      </c>
      <c r="L51" t="str">
        <f>L36</f>
        <v>kt CO2</v>
      </c>
      <c r="O51" t="s">
        <v>189</v>
      </c>
      <c r="P51" t="str">
        <f t="shared" si="29"/>
        <v>TOTCO2_check</v>
      </c>
      <c r="Q51" t="str">
        <f t="shared" si="30"/>
        <v>TOTCO2_check</v>
      </c>
    </row>
    <row r="52" spans="1:18">
      <c r="A52" t="s">
        <v>190</v>
      </c>
      <c r="L52" t="s">
        <v>101</v>
      </c>
      <c r="O52" t="s">
        <v>191</v>
      </c>
      <c r="P52" t="str">
        <f t="shared" si="29"/>
        <v>Ann_OBJ</v>
      </c>
      <c r="Q52" t="str">
        <f t="shared" si="30"/>
        <v>Ann_OBJ</v>
      </c>
      <c r="R52" t="s">
        <v>192</v>
      </c>
    </row>
    <row r="53" spans="1:18">
      <c r="A53" t="s">
        <v>63</v>
      </c>
      <c r="D53" t="s">
        <v>91</v>
      </c>
      <c r="E53" t="s">
        <v>193</v>
      </c>
      <c r="L53" t="s">
        <v>55</v>
      </c>
      <c r="O53" t="s">
        <v>194</v>
      </c>
      <c r="P53" t="str">
        <f t="shared" ref="P53:P55" si="33">O53</f>
        <v>Dummy imports</v>
      </c>
      <c r="Q53" t="str">
        <f t="shared" ref="Q53:Q55" si="34">P53</f>
        <v>Dummy imports</v>
      </c>
      <c r="R53" t="s">
        <v>195</v>
      </c>
    </row>
    <row r="54" spans="1:18">
      <c r="A54" t="s">
        <v>63</v>
      </c>
      <c r="D54" t="s">
        <v>196</v>
      </c>
      <c r="H54" t="s">
        <v>197</v>
      </c>
      <c r="L54" t="s">
        <v>55</v>
      </c>
      <c r="O54" t="s">
        <v>198</v>
      </c>
      <c r="P54" t="str">
        <f t="shared" si="33"/>
        <v>LNG_liquefaction</v>
      </c>
      <c r="Q54" t="str">
        <f t="shared" si="34"/>
        <v>LNG_liquefaction</v>
      </c>
    </row>
    <row r="55" spans="1:18">
      <c r="A55" t="s">
        <v>53</v>
      </c>
      <c r="D55" t="s">
        <v>196</v>
      </c>
      <c r="G55" t="s">
        <v>197</v>
      </c>
      <c r="L55" t="s">
        <v>55</v>
      </c>
      <c r="O55" t="s">
        <v>199</v>
      </c>
      <c r="P55" t="str">
        <f t="shared" si="33"/>
        <v>LNG_regasification</v>
      </c>
      <c r="Q55" t="str">
        <f t="shared" si="34"/>
        <v>LNG_regasification</v>
      </c>
    </row>
    <row r="56" spans="1:18">
      <c r="A56" t="s">
        <v>85</v>
      </c>
      <c r="D56" t="s">
        <v>196</v>
      </c>
      <c r="H56" t="s">
        <v>197</v>
      </c>
      <c r="L56" t="s">
        <v>200</v>
      </c>
      <c r="O56" t="str">
        <f>"Cap_"&amp;LEFT(O54,9)</f>
        <v>Cap_LNG_lique</v>
      </c>
    </row>
    <row r="57" spans="1:18">
      <c r="A57" t="s">
        <v>85</v>
      </c>
      <c r="D57" t="s">
        <v>196</v>
      </c>
      <c r="G57" t="s">
        <v>197</v>
      </c>
      <c r="L57" t="s">
        <v>200</v>
      </c>
      <c r="O57" t="str">
        <f>"Cap_"&amp;LEFT(O55,9)</f>
        <v>Cap_LNG_regas</v>
      </c>
    </row>
    <row r="58" spans="1:18">
      <c r="A58" t="s">
        <v>85</v>
      </c>
      <c r="D58" t="s">
        <v>201</v>
      </c>
      <c r="L58" t="s">
        <v>88</v>
      </c>
      <c r="O58" t="str">
        <f>"Stg"&amp;MID(A58,4,10)</f>
        <v>Stg_CAP</v>
      </c>
      <c r="R58" t="s">
        <v>84</v>
      </c>
    </row>
    <row r="59" spans="1:18">
      <c r="A59" t="s">
        <v>77</v>
      </c>
      <c r="D59" t="s">
        <v>201</v>
      </c>
      <c r="L59" t="s">
        <v>55</v>
      </c>
      <c r="O59" t="str">
        <f t="shared" ref="O59:O61" si="35">"Stg"&amp;MID(A59,4,10)</f>
        <v>Stg_ACT</v>
      </c>
      <c r="R59" t="s">
        <v>202</v>
      </c>
    </row>
    <row r="60" spans="1:18">
      <c r="A60" t="s">
        <v>53</v>
      </c>
      <c r="D60" t="s">
        <v>201</v>
      </c>
      <c r="L60" t="s">
        <v>55</v>
      </c>
      <c r="O60" t="str">
        <f t="shared" si="35"/>
        <v>Stg_FIN</v>
      </c>
      <c r="R60" t="s">
        <v>203</v>
      </c>
    </row>
    <row r="61" spans="1:18">
      <c r="A61" t="s">
        <v>63</v>
      </c>
      <c r="D61" t="s">
        <v>201</v>
      </c>
      <c r="L61" t="s">
        <v>55</v>
      </c>
      <c r="O61" t="str">
        <f t="shared" si="35"/>
        <v>Stg_FOUT</v>
      </c>
      <c r="R61" t="s">
        <v>203</v>
      </c>
    </row>
  </sheetData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9"/>
  <sheetViews>
    <sheetView workbookViewId="0">
      <pane ySplit="2" topLeftCell="A3" activePane="bottomLeft" state="frozen"/>
      <selection pane="bottomLeft" activeCell="A3" sqref="A3"/>
    </sheetView>
  </sheetViews>
  <sheetFormatPr defaultColWidth="9" defaultRowHeight="14.25"/>
  <cols>
    <col min="2" max="2" width="8.1328125" customWidth="1"/>
    <col min="3" max="3" width="9.1328125" customWidth="1"/>
    <col min="4" max="13" width="3.59765625" customWidth="1"/>
    <col min="14" max="14" width="7" customWidth="1"/>
    <col min="15" max="15" width="4.265625" customWidth="1"/>
    <col min="16" max="19" width="17.86328125" customWidth="1"/>
    <col min="20" max="21" width="9.265625" customWidth="1"/>
    <col min="22" max="22" width="2" customWidth="1"/>
    <col min="23" max="23" width="11.59765625" customWidth="1"/>
  </cols>
  <sheetData>
    <row r="1" spans="1:21">
      <c r="A1" t="s">
        <v>32</v>
      </c>
    </row>
    <row r="2" spans="1:21">
      <c r="A2" t="s">
        <v>223</v>
      </c>
      <c r="B2" s="1" t="s">
        <v>224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</v>
      </c>
      <c r="R2" s="1" t="s">
        <v>5</v>
      </c>
      <c r="S2" s="1" t="s">
        <v>6</v>
      </c>
      <c r="T2" s="1" t="s">
        <v>47</v>
      </c>
      <c r="U2" s="1" t="s">
        <v>48</v>
      </c>
    </row>
    <row r="3" spans="1:21">
      <c r="C3" t="s">
        <v>225</v>
      </c>
      <c r="N3" t="s">
        <v>226</v>
      </c>
      <c r="P3" t="s">
        <v>227</v>
      </c>
      <c r="Q3" t="str">
        <f>P3</f>
        <v>rep_tra_road_pass</v>
      </c>
      <c r="R3" t="str">
        <f t="shared" ref="R3:S3" si="0">Q3</f>
        <v>rep_tra_road_pass</v>
      </c>
      <c r="S3" t="str">
        <f t="shared" si="0"/>
        <v>rep_tra_road_pass</v>
      </c>
    </row>
    <row r="4" spans="1:21">
      <c r="C4" t="s">
        <v>225</v>
      </c>
      <c r="N4" t="s">
        <v>226</v>
      </c>
      <c r="P4" t="s">
        <v>228</v>
      </c>
      <c r="Q4" t="str">
        <f t="shared" ref="Q4:S4" si="1">P4</f>
        <v>rep_tra_road_frt</v>
      </c>
      <c r="R4" t="str">
        <f t="shared" si="1"/>
        <v>rep_tra_road_frt</v>
      </c>
      <c r="S4" t="str">
        <f t="shared" si="1"/>
        <v>rep_tra_road_frt</v>
      </c>
    </row>
    <row r="5" spans="1:21">
      <c r="C5" t="s">
        <v>225</v>
      </c>
      <c r="N5" t="s">
        <v>213</v>
      </c>
      <c r="P5" t="s">
        <v>229</v>
      </c>
      <c r="Q5" t="str">
        <f t="shared" ref="Q5:S5" si="2">P5</f>
        <v>rep_totco2</v>
      </c>
      <c r="R5" t="str">
        <f t="shared" si="2"/>
        <v>rep_totco2</v>
      </c>
      <c r="S5" t="str">
        <f t="shared" si="2"/>
        <v>rep_totco2</v>
      </c>
    </row>
    <row r="6" spans="1:21">
      <c r="C6" t="s">
        <v>225</v>
      </c>
      <c r="N6" t="s">
        <v>230</v>
      </c>
      <c r="P6" t="s">
        <v>231</v>
      </c>
      <c r="Q6" t="str">
        <f t="shared" ref="Q6:S6" si="3">P6</f>
        <v>rep_GDP</v>
      </c>
      <c r="R6" t="str">
        <f t="shared" si="3"/>
        <v>rep_GDP</v>
      </c>
      <c r="S6" t="str">
        <f t="shared" si="3"/>
        <v>rep_GDP</v>
      </c>
    </row>
    <row r="7" spans="1:21">
      <c r="C7" t="s">
        <v>225</v>
      </c>
      <c r="N7" t="s">
        <v>230</v>
      </c>
      <c r="P7" t="s">
        <v>232</v>
      </c>
      <c r="Q7" t="str">
        <f t="shared" ref="Q7:S7" si="4">P7</f>
        <v>rep_GDPAGR</v>
      </c>
      <c r="R7" t="str">
        <f t="shared" si="4"/>
        <v>rep_GDPAGR</v>
      </c>
      <c r="S7" t="str">
        <f t="shared" si="4"/>
        <v>rep_GDPAGR</v>
      </c>
    </row>
    <row r="8" spans="1:21">
      <c r="C8" t="s">
        <v>225</v>
      </c>
      <c r="N8" t="s">
        <v>230</v>
      </c>
      <c r="P8" t="s">
        <v>233</v>
      </c>
      <c r="Q8" t="str">
        <f t="shared" ref="Q8:S8" si="5">P8</f>
        <v>rep_GDPIND</v>
      </c>
      <c r="R8" t="str">
        <f t="shared" si="5"/>
        <v>rep_GDPIND</v>
      </c>
      <c r="S8" t="str">
        <f t="shared" si="5"/>
        <v>rep_GDPIND</v>
      </c>
    </row>
    <row r="9" spans="1:21">
      <c r="C9" t="s">
        <v>225</v>
      </c>
      <c r="N9" t="s">
        <v>230</v>
      </c>
      <c r="P9" t="s">
        <v>234</v>
      </c>
      <c r="Q9" t="str">
        <f t="shared" ref="Q9:S9" si="6">P9</f>
        <v>rep_GDPSER</v>
      </c>
      <c r="R9" t="str">
        <f t="shared" si="6"/>
        <v>rep_GDPSER</v>
      </c>
      <c r="S9" t="str">
        <f t="shared" si="6"/>
        <v>rep_GDPSER</v>
      </c>
    </row>
    <row r="10" spans="1:21">
      <c r="C10" t="s">
        <v>225</v>
      </c>
      <c r="N10" t="s">
        <v>235</v>
      </c>
      <c r="P10" t="s">
        <v>236</v>
      </c>
      <c r="Q10" t="str">
        <f t="shared" ref="Q10:S10" si="7">P10</f>
        <v>rep_HOU</v>
      </c>
      <c r="R10" t="str">
        <f t="shared" si="7"/>
        <v>rep_HOU</v>
      </c>
      <c r="S10" t="str">
        <f t="shared" si="7"/>
        <v>rep_HOU</v>
      </c>
    </row>
    <row r="11" spans="1:21">
      <c r="C11" t="s">
        <v>225</v>
      </c>
      <c r="N11" t="s">
        <v>235</v>
      </c>
      <c r="P11" t="s">
        <v>237</v>
      </c>
      <c r="Q11" t="str">
        <f t="shared" ref="Q11:S11" si="8">P11</f>
        <v>rep_POP</v>
      </c>
      <c r="R11" t="str">
        <f t="shared" si="8"/>
        <v>rep_POP</v>
      </c>
      <c r="S11" t="str">
        <f t="shared" si="8"/>
        <v>rep_POP</v>
      </c>
    </row>
    <row r="12" spans="1:21">
      <c r="C12" t="s">
        <v>225</v>
      </c>
      <c r="N12" t="s">
        <v>55</v>
      </c>
      <c r="P12" t="s">
        <v>238</v>
      </c>
      <c r="Q12" t="str">
        <f t="shared" ref="Q12:Q19" si="9">P12</f>
        <v>rep_com_cookhw</v>
      </c>
      <c r="R12" t="str">
        <f t="shared" ref="R12:R19" si="10">Q12</f>
        <v>rep_com_cookhw</v>
      </c>
      <c r="S12" t="str">
        <f t="shared" ref="S12:S19" si="11">R12</f>
        <v>rep_com_cookhw</v>
      </c>
    </row>
    <row r="13" spans="1:21">
      <c r="C13" t="s">
        <v>225</v>
      </c>
      <c r="N13" t="s">
        <v>55</v>
      </c>
      <c r="P13" t="s">
        <v>239</v>
      </c>
      <c r="Q13" t="str">
        <f t="shared" si="9"/>
        <v>rep_com_lightappl</v>
      </c>
      <c r="R13" t="str">
        <f t="shared" si="10"/>
        <v>rep_com_lightappl</v>
      </c>
      <c r="S13" t="str">
        <f t="shared" si="11"/>
        <v>rep_com_lightappl</v>
      </c>
    </row>
    <row r="14" spans="1:21">
      <c r="C14" t="s">
        <v>225</v>
      </c>
      <c r="N14" t="s">
        <v>55</v>
      </c>
      <c r="P14" t="s">
        <v>240</v>
      </c>
      <c r="Q14" t="str">
        <f t="shared" si="9"/>
        <v>rep_com_spcool</v>
      </c>
      <c r="R14" t="str">
        <f t="shared" si="10"/>
        <v>rep_com_spcool</v>
      </c>
      <c r="S14" t="str">
        <f t="shared" si="11"/>
        <v>rep_com_spcool</v>
      </c>
    </row>
    <row r="15" spans="1:21">
      <c r="C15" t="s">
        <v>225</v>
      </c>
      <c r="N15" t="s">
        <v>55</v>
      </c>
      <c r="P15" t="s">
        <v>241</v>
      </c>
      <c r="Q15" t="str">
        <f t="shared" si="9"/>
        <v>rep_com_spht</v>
      </c>
      <c r="R15" t="str">
        <f t="shared" si="10"/>
        <v>rep_com_spht</v>
      </c>
      <c r="S15" t="str">
        <f t="shared" si="11"/>
        <v>rep_com_spht</v>
      </c>
    </row>
    <row r="16" spans="1:21">
      <c r="C16" t="s">
        <v>225</v>
      </c>
      <c r="N16" t="s">
        <v>55</v>
      </c>
      <c r="P16" t="s">
        <v>242</v>
      </c>
      <c r="Q16" t="str">
        <f t="shared" si="9"/>
        <v>rep_res_cookhw</v>
      </c>
      <c r="R16" t="str">
        <f t="shared" si="10"/>
        <v>rep_res_cookhw</v>
      </c>
      <c r="S16" t="str">
        <f t="shared" si="11"/>
        <v>rep_res_cookhw</v>
      </c>
    </row>
    <row r="17" spans="3:19">
      <c r="C17" t="s">
        <v>225</v>
      </c>
      <c r="N17" t="s">
        <v>55</v>
      </c>
      <c r="P17" t="s">
        <v>243</v>
      </c>
      <c r="Q17" t="str">
        <f t="shared" si="9"/>
        <v>rep_res_lightappl</v>
      </c>
      <c r="R17" t="str">
        <f t="shared" si="10"/>
        <v>rep_res_lightappl</v>
      </c>
      <c r="S17" t="str">
        <f t="shared" si="11"/>
        <v>rep_res_lightappl</v>
      </c>
    </row>
    <row r="18" spans="3:19">
      <c r="C18" t="s">
        <v>225</v>
      </c>
      <c r="N18" t="s">
        <v>55</v>
      </c>
      <c r="P18" t="s">
        <v>244</v>
      </c>
      <c r="Q18" t="str">
        <f t="shared" si="9"/>
        <v>rep_res_spcool</v>
      </c>
      <c r="R18" t="str">
        <f t="shared" si="10"/>
        <v>rep_res_spcool</v>
      </c>
      <c r="S18" t="str">
        <f t="shared" si="11"/>
        <v>rep_res_spcool</v>
      </c>
    </row>
    <row r="19" spans="3:19">
      <c r="C19" t="s">
        <v>225</v>
      </c>
      <c r="N19" t="s">
        <v>55</v>
      </c>
      <c r="P19" t="s">
        <v>245</v>
      </c>
      <c r="Q19" t="str">
        <f t="shared" si="9"/>
        <v>rep_res_spht</v>
      </c>
      <c r="R19" t="str">
        <f t="shared" si="10"/>
        <v>rep_res_spht</v>
      </c>
      <c r="S19" t="str">
        <f t="shared" si="11"/>
        <v>rep_res_spht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L38"/>
  <sheetViews>
    <sheetView workbookViewId="0"/>
  </sheetViews>
  <sheetFormatPr defaultColWidth="9" defaultRowHeight="14.25"/>
  <cols>
    <col min="3" max="3" width="17.59765625" customWidth="1"/>
    <col min="4" max="4" width="17.73046875" customWidth="1"/>
    <col min="5" max="5" width="24.1328125" customWidth="1"/>
    <col min="6" max="6" width="9" customWidth="1"/>
    <col min="7" max="7" width="9.59765625" customWidth="1"/>
    <col min="8" max="8" width="6.73046875" customWidth="1"/>
    <col min="9" max="10" width="12" customWidth="1"/>
    <col min="12" max="12" width="12.3984375" customWidth="1"/>
  </cols>
  <sheetData>
    <row r="1" spans="3:12">
      <c r="C1" t="s">
        <v>246</v>
      </c>
    </row>
    <row r="2" spans="3:12">
      <c r="C2" t="s">
        <v>247</v>
      </c>
      <c r="D2" t="s">
        <v>248</v>
      </c>
      <c r="E2" s="1" t="s">
        <v>4</v>
      </c>
      <c r="F2" t="s">
        <v>44</v>
      </c>
      <c r="G2" t="s">
        <v>47</v>
      </c>
      <c r="H2" t="s">
        <v>48</v>
      </c>
      <c r="I2" t="s">
        <v>249</v>
      </c>
      <c r="J2" t="s">
        <v>250</v>
      </c>
      <c r="L2" s="7" t="s">
        <v>231</v>
      </c>
    </row>
    <row r="3" spans="3:12">
      <c r="C3" t="s">
        <v>79</v>
      </c>
      <c r="D3" t="s">
        <v>89</v>
      </c>
      <c r="E3" s="11" t="s">
        <v>251</v>
      </c>
      <c r="F3" t="s">
        <v>1149</v>
      </c>
      <c r="I3" t="s">
        <v>253</v>
      </c>
      <c r="J3" t="s">
        <v>84</v>
      </c>
      <c r="L3" s="7" t="s">
        <v>232</v>
      </c>
    </row>
    <row r="4" spans="3:12">
      <c r="C4" t="s">
        <v>82</v>
      </c>
      <c r="D4" t="s">
        <v>95</v>
      </c>
      <c r="E4" s="11" t="s">
        <v>251</v>
      </c>
      <c r="F4" t="s">
        <v>252</v>
      </c>
      <c r="I4" t="s">
        <v>253</v>
      </c>
      <c r="J4" t="s">
        <v>84</v>
      </c>
      <c r="L4" s="7" t="s">
        <v>233</v>
      </c>
    </row>
    <row r="5" spans="3:12">
      <c r="C5" t="s">
        <v>67</v>
      </c>
      <c r="D5" t="s">
        <v>119</v>
      </c>
      <c r="E5" s="11" t="s">
        <v>254</v>
      </c>
      <c r="F5" t="s">
        <v>255</v>
      </c>
      <c r="I5" t="s">
        <v>253</v>
      </c>
      <c r="J5" t="s">
        <v>84</v>
      </c>
      <c r="L5" s="7" t="s">
        <v>234</v>
      </c>
    </row>
    <row r="8" spans="3:12">
      <c r="C8" t="s">
        <v>82</v>
      </c>
      <c r="D8" t="s">
        <v>121</v>
      </c>
      <c r="E8" s="11" t="s">
        <v>254</v>
      </c>
      <c r="F8" t="s">
        <v>255</v>
      </c>
      <c r="I8" t="s">
        <v>253</v>
      </c>
      <c r="J8" t="s">
        <v>84</v>
      </c>
      <c r="L8" s="7" t="s">
        <v>236</v>
      </c>
    </row>
    <row r="9" spans="3:12">
      <c r="C9" t="s">
        <v>132</v>
      </c>
      <c r="D9" t="s">
        <v>135</v>
      </c>
      <c r="E9" s="11" t="s">
        <v>254</v>
      </c>
      <c r="F9" t="s">
        <v>255</v>
      </c>
      <c r="I9" t="s">
        <v>253</v>
      </c>
      <c r="J9" t="s">
        <v>84</v>
      </c>
      <c r="L9" s="7" t="s">
        <v>237</v>
      </c>
    </row>
    <row r="10" spans="3:12">
      <c r="C10" t="s">
        <v>149</v>
      </c>
      <c r="D10" t="s">
        <v>82</v>
      </c>
      <c r="E10" s="11" t="s">
        <v>256</v>
      </c>
      <c r="F10" t="s">
        <v>257</v>
      </c>
      <c r="I10" t="s">
        <v>253</v>
      </c>
      <c r="J10" t="s">
        <v>84</v>
      </c>
    </row>
    <row r="11" spans="3:12">
      <c r="C11" t="s">
        <v>149</v>
      </c>
      <c r="D11" t="s">
        <v>67</v>
      </c>
      <c r="E11" s="11" t="s">
        <v>256</v>
      </c>
      <c r="F11" t="s">
        <v>257</v>
      </c>
      <c r="I11" t="s">
        <v>253</v>
      </c>
      <c r="J11" t="s">
        <v>84</v>
      </c>
    </row>
    <row r="12" spans="3:12">
      <c r="C12" t="s">
        <v>149</v>
      </c>
      <c r="D12" t="s">
        <v>132</v>
      </c>
      <c r="E12" s="11" t="s">
        <v>256</v>
      </c>
      <c r="F12" t="s">
        <v>258</v>
      </c>
      <c r="I12" t="s">
        <v>253</v>
      </c>
      <c r="J12" t="s">
        <v>84</v>
      </c>
    </row>
    <row r="13" spans="3:12">
      <c r="C13" t="s">
        <v>227</v>
      </c>
      <c r="D13" t="s">
        <v>237</v>
      </c>
      <c r="E13" s="11" t="s">
        <v>259</v>
      </c>
      <c r="F13" t="s">
        <v>260</v>
      </c>
    </row>
    <row r="14" spans="3:12">
      <c r="C14" t="s">
        <v>228</v>
      </c>
      <c r="D14" t="s">
        <v>231</v>
      </c>
      <c r="E14" s="11" t="s">
        <v>261</v>
      </c>
      <c r="F14" t="s">
        <v>262</v>
      </c>
    </row>
    <row r="15" spans="3:12">
      <c r="C15" t="s">
        <v>229</v>
      </c>
      <c r="D15" t="s">
        <v>237</v>
      </c>
      <c r="E15" s="11" t="s">
        <v>263</v>
      </c>
      <c r="F15" t="s">
        <v>264</v>
      </c>
    </row>
    <row r="16" spans="3:12">
      <c r="C16" t="s">
        <v>229</v>
      </c>
      <c r="D16" t="s">
        <v>231</v>
      </c>
      <c r="E16" s="11" t="s">
        <v>265</v>
      </c>
      <c r="F16" t="s">
        <v>266</v>
      </c>
    </row>
    <row r="17" spans="3:8">
      <c r="C17" t="s">
        <v>238</v>
      </c>
      <c r="D17" t="s">
        <v>234</v>
      </c>
      <c r="E17" t="str">
        <f t="shared" ref="E17:E20" si="0">MID(C17,5,22)&amp;" / GDPSER"</f>
        <v>com_cookhw / GDPSER</v>
      </c>
      <c r="F17" t="s">
        <v>267</v>
      </c>
    </row>
    <row r="18" spans="3:8">
      <c r="C18" t="s">
        <v>239</v>
      </c>
      <c r="D18" t="s">
        <v>234</v>
      </c>
      <c r="E18" t="str">
        <f t="shared" si="0"/>
        <v>com_lightappl / GDPSER</v>
      </c>
      <c r="F18" t="s">
        <v>267</v>
      </c>
    </row>
    <row r="19" spans="3:8">
      <c r="C19" t="s">
        <v>240</v>
      </c>
      <c r="D19" t="s">
        <v>234</v>
      </c>
      <c r="E19" t="str">
        <f t="shared" si="0"/>
        <v>com_spcool / GDPSER</v>
      </c>
      <c r="F19" t="s">
        <v>267</v>
      </c>
    </row>
    <row r="20" spans="3:8">
      <c r="C20" t="s">
        <v>241</v>
      </c>
      <c r="D20" t="s">
        <v>234</v>
      </c>
      <c r="E20" t="str">
        <f t="shared" si="0"/>
        <v>com_spht / GDPSER</v>
      </c>
      <c r="F20" t="s">
        <v>267</v>
      </c>
    </row>
    <row r="21" spans="3:8">
      <c r="C21" t="s">
        <v>242</v>
      </c>
      <c r="D21" t="s">
        <v>236</v>
      </c>
      <c r="E21" t="str">
        <f t="shared" ref="E21:E24" si="1">MID(C21,5,22)&amp;" / household"</f>
        <v>res_cookhw / household</v>
      </c>
      <c r="F21" t="s">
        <v>268</v>
      </c>
    </row>
    <row r="22" spans="3:8">
      <c r="C22" t="s">
        <v>243</v>
      </c>
      <c r="D22" t="s">
        <v>236</v>
      </c>
      <c r="E22" t="str">
        <f t="shared" si="1"/>
        <v>res_lightappl / household</v>
      </c>
      <c r="F22" t="s">
        <v>268</v>
      </c>
    </row>
    <row r="23" spans="3:8">
      <c r="C23" t="s">
        <v>244</v>
      </c>
      <c r="D23" t="s">
        <v>236</v>
      </c>
      <c r="E23" t="str">
        <f t="shared" si="1"/>
        <v>res_spcool / household</v>
      </c>
      <c r="F23" t="s">
        <v>268</v>
      </c>
    </row>
    <row r="24" spans="3:8">
      <c r="C24" t="s">
        <v>245</v>
      </c>
      <c r="D24" t="s">
        <v>236</v>
      </c>
      <c r="E24" t="str">
        <f t="shared" si="1"/>
        <v>res_spht / household</v>
      </c>
      <c r="F24" t="s">
        <v>268</v>
      </c>
    </row>
    <row r="25" spans="3:8">
      <c r="C25" t="s">
        <v>206</v>
      </c>
      <c r="D25" t="s">
        <v>269</v>
      </c>
      <c r="E25" t="s">
        <v>270</v>
      </c>
      <c r="F25" t="s">
        <v>271</v>
      </c>
      <c r="H25" t="s">
        <v>204</v>
      </c>
    </row>
    <row r="37" spans="3:6">
      <c r="C37" t="s">
        <v>153</v>
      </c>
      <c r="E37" s="11" t="s">
        <v>256</v>
      </c>
      <c r="F37" t="s">
        <v>272</v>
      </c>
    </row>
    <row r="38" spans="3:6">
      <c r="C38" t="s">
        <v>153</v>
      </c>
      <c r="E38" s="11" t="s">
        <v>256</v>
      </c>
      <c r="F38" t="s">
        <v>273</v>
      </c>
    </row>
  </sheetData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H96"/>
  <sheetViews>
    <sheetView workbookViewId="0"/>
  </sheetViews>
  <sheetFormatPr defaultColWidth="9" defaultRowHeight="14.25"/>
  <cols>
    <col min="1" max="1" width="14.1328125" customWidth="1"/>
    <col min="2" max="3" width="13.59765625" customWidth="1"/>
    <col min="7" max="7" width="10.265625" customWidth="1"/>
  </cols>
  <sheetData>
    <row r="1" spans="1:3">
      <c r="A1" t="s">
        <v>210</v>
      </c>
    </row>
    <row r="2" spans="1:3">
      <c r="A2" t="s">
        <v>211</v>
      </c>
      <c r="B2" t="s">
        <v>5</v>
      </c>
      <c r="C2" t="s">
        <v>6</v>
      </c>
    </row>
    <row r="3" spans="1:3">
      <c r="A3" t="s">
        <v>274</v>
      </c>
      <c r="B3" t="s">
        <v>275</v>
      </c>
      <c r="C3" t="str">
        <f>B3</f>
        <v>Bio</v>
      </c>
    </row>
    <row r="4" spans="1:3">
      <c r="A4" t="s">
        <v>276</v>
      </c>
      <c r="B4" t="s">
        <v>277</v>
      </c>
      <c r="C4" t="str">
        <f t="shared" ref="C4:C19" si="0">B4</f>
        <v>Coal</v>
      </c>
    </row>
    <row r="5" spans="1:3">
      <c r="A5" t="s">
        <v>278</v>
      </c>
      <c r="B5" t="s">
        <v>279</v>
      </c>
      <c r="C5" t="str">
        <f t="shared" si="0"/>
        <v>Gas</v>
      </c>
    </row>
    <row r="6" spans="1:3">
      <c r="A6" t="s">
        <v>280</v>
      </c>
      <c r="B6" t="s">
        <v>281</v>
      </c>
      <c r="C6" t="str">
        <f t="shared" si="0"/>
        <v>Lignite</v>
      </c>
    </row>
    <row r="7" spans="1:3">
      <c r="A7" t="s">
        <v>282</v>
      </c>
      <c r="B7" t="s">
        <v>283</v>
      </c>
      <c r="C7" t="str">
        <f t="shared" si="0"/>
        <v>Geothermal</v>
      </c>
    </row>
    <row r="8" spans="1:3">
      <c r="A8" t="s">
        <v>284</v>
      </c>
      <c r="B8" t="s">
        <v>285</v>
      </c>
      <c r="C8" t="str">
        <f t="shared" si="0"/>
        <v>Nuclear</v>
      </c>
    </row>
    <row r="9" spans="1:3">
      <c r="A9" t="s">
        <v>286</v>
      </c>
      <c r="B9" t="s">
        <v>287</v>
      </c>
      <c r="C9" t="str">
        <f t="shared" si="0"/>
        <v>Oil</v>
      </c>
    </row>
    <row r="10" spans="1:3">
      <c r="A10" t="s">
        <v>288</v>
      </c>
      <c r="B10" t="s">
        <v>289</v>
      </c>
      <c r="C10" t="str">
        <f t="shared" si="0"/>
        <v>Crude</v>
      </c>
    </row>
    <row r="11" spans="1:3">
      <c r="A11" t="s">
        <v>290</v>
      </c>
      <c r="B11" t="s">
        <v>291</v>
      </c>
      <c r="C11" t="str">
        <f t="shared" si="0"/>
        <v>Diesel</v>
      </c>
    </row>
    <row r="12" spans="1:3">
      <c r="A12" t="s">
        <v>292</v>
      </c>
      <c r="B12" t="s">
        <v>293</v>
      </c>
      <c r="C12" t="str">
        <f t="shared" si="0"/>
        <v>Waste</v>
      </c>
    </row>
    <row r="13" spans="1:3">
      <c r="A13" t="s">
        <v>294</v>
      </c>
      <c r="B13" t="s">
        <v>295</v>
      </c>
      <c r="C13" t="str">
        <f t="shared" si="0"/>
        <v>Hydro</v>
      </c>
    </row>
    <row r="14" spans="1:3">
      <c r="A14" t="s">
        <v>296</v>
      </c>
      <c r="B14" t="s">
        <v>297</v>
      </c>
      <c r="C14" t="str">
        <f t="shared" si="0"/>
        <v>Solar</v>
      </c>
    </row>
    <row r="15" spans="1:3">
      <c r="A15" t="s">
        <v>298</v>
      </c>
      <c r="B15" t="s">
        <v>299</v>
      </c>
      <c r="C15" t="str">
        <f t="shared" si="0"/>
        <v>Tidal</v>
      </c>
    </row>
    <row r="16" spans="1:3">
      <c r="A16" t="s">
        <v>300</v>
      </c>
      <c r="B16" t="s">
        <v>301</v>
      </c>
      <c r="C16" t="str">
        <f t="shared" si="0"/>
        <v>Wind</v>
      </c>
    </row>
    <row r="17" spans="1:8">
      <c r="A17" t="s">
        <v>302</v>
      </c>
      <c r="B17" t="s">
        <v>303</v>
      </c>
      <c r="C17" t="str">
        <f t="shared" si="0"/>
        <v>Bio (CCS)</v>
      </c>
    </row>
    <row r="18" spans="1:8">
      <c r="A18" t="s">
        <v>304</v>
      </c>
      <c r="B18" t="s">
        <v>305</v>
      </c>
      <c r="C18" t="str">
        <f t="shared" si="0"/>
        <v>Coal (CCS)</v>
      </c>
    </row>
    <row r="19" spans="1:8">
      <c r="A19" t="s">
        <v>306</v>
      </c>
      <c r="B19" t="s">
        <v>307</v>
      </c>
      <c r="C19" t="str">
        <f t="shared" si="0"/>
        <v>Gas (CCS)</v>
      </c>
      <c r="H19" t="str">
        <f>_xlfn.TEXTJOIN(",",TRUE,A3:A19)</f>
        <v>E_Bio,E_Coal,E_Gas,E_Lignite,E_Geothermal,E_Nuclear,E_Oil,E_Crude,E_Diesel,E_Waste,E_Hydro,E_Solar,E_Tidal,E_Wind,E_Bio-S,E_Coal-S,E_Gas-S</v>
      </c>
    </row>
    <row r="20" spans="1:8">
      <c r="A20" t="s">
        <v>207</v>
      </c>
      <c r="B20" t="s">
        <v>308</v>
      </c>
    </row>
    <row r="21" spans="1:8">
      <c r="A21" t="s">
        <v>309</v>
      </c>
      <c r="B21" t="s">
        <v>310</v>
      </c>
      <c r="C21" t="str">
        <f t="shared" ref="C21:C28" si="1">B21</f>
        <v>Agri</v>
      </c>
    </row>
    <row r="22" spans="1:8">
      <c r="A22" t="s">
        <v>311</v>
      </c>
      <c r="B22" t="s">
        <v>312</v>
      </c>
      <c r="C22" t="str">
        <f t="shared" si="1"/>
        <v>Commercial</v>
      </c>
    </row>
    <row r="23" spans="1:8">
      <c r="A23" t="s">
        <v>313</v>
      </c>
      <c r="B23" t="s">
        <v>314</v>
      </c>
      <c r="C23" t="str">
        <f t="shared" si="1"/>
        <v>Residential</v>
      </c>
    </row>
    <row r="24" spans="1:8">
      <c r="A24" t="s">
        <v>315</v>
      </c>
      <c r="B24" t="s">
        <v>316</v>
      </c>
      <c r="C24" t="str">
        <f t="shared" si="1"/>
        <v>Industry</v>
      </c>
    </row>
    <row r="25" spans="1:8">
      <c r="A25" t="s">
        <v>317</v>
      </c>
      <c r="B25" t="s">
        <v>316</v>
      </c>
      <c r="C25" t="str">
        <f t="shared" si="1"/>
        <v>Industry</v>
      </c>
    </row>
    <row r="26" spans="1:8">
      <c r="A26" t="s">
        <v>318</v>
      </c>
      <c r="B26" t="s">
        <v>319</v>
      </c>
      <c r="C26" t="str">
        <f t="shared" si="1"/>
        <v>Non-Energy</v>
      </c>
    </row>
    <row r="27" spans="1:8">
      <c r="A27" t="s">
        <v>320</v>
      </c>
      <c r="B27" t="s">
        <v>321</v>
      </c>
      <c r="C27" t="str">
        <f t="shared" si="1"/>
        <v>Tra Non-Road</v>
      </c>
    </row>
    <row r="28" spans="1:8">
      <c r="A28" t="s">
        <v>322</v>
      </c>
      <c r="B28" t="s">
        <v>323</v>
      </c>
      <c r="C28" t="str">
        <f t="shared" si="1"/>
        <v>Tra Road</v>
      </c>
      <c r="G28" t="s">
        <v>324</v>
      </c>
      <c r="H28" t="str">
        <f>_xlfn.TEXTJOIN(",",TRUE,A21:A28)</f>
        <v>DMD_AGR,DMD_COM,DMD_RES,DMD_AUTOP,DMD_IND,DMD_Non-En,DMD_TRA-NR,DMD_TRA-R</v>
      </c>
    </row>
    <row r="29" spans="1:8">
      <c r="A29" t="s">
        <v>207</v>
      </c>
      <c r="B29" t="s">
        <v>325</v>
      </c>
    </row>
    <row r="30" spans="1:8">
      <c r="A30" t="s">
        <v>326</v>
      </c>
      <c r="B30" t="s">
        <v>327</v>
      </c>
      <c r="C30" t="str">
        <f>B30</f>
        <v>Direct Air Cap</v>
      </c>
      <c r="H30" t="str">
        <f>A30</f>
        <v>s_DAC</v>
      </c>
    </row>
    <row r="31" spans="1:8">
      <c r="A31" t="s">
        <v>328</v>
      </c>
      <c r="B31" t="s">
        <v>329</v>
      </c>
      <c r="C31" t="str">
        <f t="shared" ref="C31:C58" si="2">B31</f>
        <v>Avoided Forest Conv</v>
      </c>
    </row>
    <row r="32" spans="1:8">
      <c r="A32" t="s">
        <v>330</v>
      </c>
      <c r="B32" t="s">
        <v>331</v>
      </c>
      <c r="C32" t="str">
        <f t="shared" si="2"/>
        <v>Reforestation</v>
      </c>
    </row>
    <row r="33" spans="1:8">
      <c r="A33" t="s">
        <v>332</v>
      </c>
      <c r="B33" t="s">
        <v>333</v>
      </c>
      <c r="C33" t="str">
        <f t="shared" si="2"/>
        <v>Nat Forest Mgmt</v>
      </c>
    </row>
    <row r="34" spans="1:8">
      <c r="A34" t="s">
        <v>334</v>
      </c>
      <c r="B34" t="s">
        <v>335</v>
      </c>
      <c r="C34" t="str">
        <f t="shared" si="2"/>
        <v>Biochar</v>
      </c>
    </row>
    <row r="35" spans="1:8">
      <c r="A35" t="s">
        <v>336</v>
      </c>
      <c r="B35" t="s">
        <v>337</v>
      </c>
      <c r="C35" t="str">
        <f t="shared" si="2"/>
        <v>Crplnd Nutrient Mgmt</v>
      </c>
    </row>
    <row r="36" spans="1:8">
      <c r="A36" t="s">
        <v>338</v>
      </c>
      <c r="B36" t="s">
        <v>339</v>
      </c>
      <c r="C36" t="str">
        <f t="shared" si="2"/>
        <v>Trees in Cropland</v>
      </c>
    </row>
    <row r="37" spans="1:8">
      <c r="A37" t="s">
        <v>340</v>
      </c>
      <c r="B37" t="s">
        <v>341</v>
      </c>
      <c r="C37" t="str">
        <f t="shared" si="2"/>
        <v>Avoided Peatland</v>
      </c>
    </row>
    <row r="38" spans="1:8">
      <c r="A38" t="s">
        <v>342</v>
      </c>
      <c r="B38" t="s">
        <v>343</v>
      </c>
      <c r="C38" t="str">
        <f t="shared" si="2"/>
        <v>Cstal Wetland Rstrn</v>
      </c>
    </row>
    <row r="39" spans="1:8">
      <c r="A39" t="s">
        <v>344</v>
      </c>
      <c r="B39" t="s">
        <v>345</v>
      </c>
      <c r="C39" t="str">
        <f t="shared" si="2"/>
        <v>Peatland Restoration</v>
      </c>
      <c r="H39" t="str">
        <f>_xlfn.TEXTJOIN(",",TRUE,A31:A39)</f>
        <v>Snk_Avo_For,Snk_Ref_-_T,Snk_Nat_For,Snk_Bio_-_T,Snk_Cro_Nut,Snk_Tre_In_,Snk_Avo_Pet,Snk_Coa_Wet,Snk_Pet_Res</v>
      </c>
    </row>
    <row r="40" spans="1:8">
      <c r="A40" t="s">
        <v>207</v>
      </c>
    </row>
    <row r="41" spans="1:8">
      <c r="A41" t="s">
        <v>346</v>
      </c>
      <c r="B41" t="s">
        <v>347</v>
      </c>
      <c r="C41" t="str">
        <f t="shared" si="2"/>
        <v>Thermal Power</v>
      </c>
    </row>
    <row r="42" spans="1:8">
      <c r="A42" t="s">
        <v>348</v>
      </c>
      <c r="B42" t="s">
        <v>349</v>
      </c>
      <c r="C42" t="str">
        <f t="shared" si="2"/>
        <v>Thermal CCS</v>
      </c>
    </row>
    <row r="43" spans="1:8">
      <c r="A43" t="s">
        <v>350</v>
      </c>
      <c r="B43" t="s">
        <v>351</v>
      </c>
      <c r="C43" t="str">
        <f t="shared" si="2"/>
        <v>Utility Heat Pump</v>
      </c>
    </row>
    <row r="44" spans="1:8">
      <c r="A44" t="s">
        <v>352</v>
      </c>
      <c r="B44" t="s">
        <v>353</v>
      </c>
      <c r="C44" t="str">
        <f t="shared" si="2"/>
        <v>Ren Elec</v>
      </c>
    </row>
    <row r="45" spans="1:8">
      <c r="A45" t="s">
        <v>354</v>
      </c>
      <c r="B45" t="s">
        <v>355</v>
      </c>
      <c r="C45" t="str">
        <f t="shared" si="2"/>
        <v>Oil Ref</v>
      </c>
    </row>
    <row r="46" spans="1:8">
      <c r="A46" t="s">
        <v>356</v>
      </c>
      <c r="B46" t="s">
        <v>357</v>
      </c>
      <c r="C46" t="str">
        <f t="shared" si="2"/>
        <v>BF and CokOv</v>
      </c>
    </row>
    <row r="47" spans="1:8">
      <c r="A47" t="s">
        <v>358</v>
      </c>
      <c r="B47" t="s">
        <v>359</v>
      </c>
      <c r="C47" t="str">
        <f t="shared" si="2"/>
        <v>Bio Ref</v>
      </c>
    </row>
    <row r="48" spans="1:8">
      <c r="A48" t="s">
        <v>360</v>
      </c>
      <c r="B48" t="str">
        <f>MID(A48,4,22)</f>
        <v>Exp_LH2</v>
      </c>
      <c r="C48" t="str">
        <f t="shared" si="2"/>
        <v>Exp_LH2</v>
      </c>
    </row>
    <row r="49" spans="1:8">
      <c r="A49" t="s">
        <v>361</v>
      </c>
      <c r="B49" t="str">
        <f>MID(A49,4,22)</f>
        <v>Exp_Amm</v>
      </c>
      <c r="C49" t="str">
        <f t="shared" si="2"/>
        <v>Exp_Amm</v>
      </c>
    </row>
    <row r="50" spans="1:8">
      <c r="A50" t="s">
        <v>362</v>
      </c>
      <c r="B50" t="str">
        <f t="shared" ref="B50:B53" si="3">MID(A50,4,22)</f>
        <v>Exp_LOHC</v>
      </c>
      <c r="C50" t="str">
        <f t="shared" si="2"/>
        <v>Exp_LOHC</v>
      </c>
    </row>
    <row r="51" spans="1:8">
      <c r="A51" t="s">
        <v>363</v>
      </c>
      <c r="B51" t="str">
        <f t="shared" si="3"/>
        <v>Imp_LH2</v>
      </c>
      <c r="C51" t="str">
        <f t="shared" si="2"/>
        <v>Imp_LH2</v>
      </c>
    </row>
    <row r="52" spans="1:8">
      <c r="A52" t="s">
        <v>364</v>
      </c>
      <c r="B52" t="str">
        <f t="shared" si="3"/>
        <v>Imp_Amm</v>
      </c>
      <c r="C52" t="str">
        <f t="shared" si="2"/>
        <v>Imp_Amm</v>
      </c>
    </row>
    <row r="53" spans="1:8">
      <c r="A53" t="s">
        <v>365</v>
      </c>
      <c r="B53" t="str">
        <f t="shared" si="3"/>
        <v>Imp_LOHC</v>
      </c>
      <c r="C53" t="str">
        <f t="shared" si="2"/>
        <v>Imp_LOHC</v>
      </c>
    </row>
    <row r="54" spans="1:8">
      <c r="A54" t="s">
        <v>366</v>
      </c>
      <c r="B54" t="s">
        <v>367</v>
      </c>
      <c r="C54" t="str">
        <f t="shared" si="2"/>
        <v>H2 Thermal</v>
      </c>
    </row>
    <row r="55" spans="1:8">
      <c r="A55" t="s">
        <v>368</v>
      </c>
      <c r="B55" t="s">
        <v>369</v>
      </c>
      <c r="C55" t="str">
        <f t="shared" si="2"/>
        <v>H2 Bio</v>
      </c>
    </row>
    <row r="56" spans="1:8">
      <c r="A56" t="s">
        <v>370</v>
      </c>
      <c r="B56" t="s">
        <v>371</v>
      </c>
      <c r="C56" t="str">
        <f t="shared" si="2"/>
        <v>H2 Elec</v>
      </c>
      <c r="G56" t="s">
        <v>372</v>
      </c>
      <c r="H56" t="str">
        <f>_xlfn.TEXTJOIN(",",TRUE,A41:A56)</f>
        <v>E_Thermal,E_Thermal-S,E_USHP,E_Renewable,FossilProc,IndProc,BioRef,H2_Exp_LH2,H2_Exp_Amm,H2_Exp_LOHC,H2_Imp_LH2,H2_Imp_Amm,H2_Imp_LOHC,H2_Thermal,H2_Bio,H2_Elec</v>
      </c>
    </row>
    <row r="57" spans="1:8">
      <c r="A57" t="s">
        <v>207</v>
      </c>
    </row>
    <row r="58" spans="1:8">
      <c r="A58" t="s">
        <v>373</v>
      </c>
      <c r="B58" t="s">
        <v>374</v>
      </c>
      <c r="C58" t="str">
        <f t="shared" si="2"/>
        <v>Extraction</v>
      </c>
      <c r="G58" t="s">
        <v>375</v>
      </c>
      <c r="H58" t="str">
        <f>A58</f>
        <v>s_Mining</v>
      </c>
    </row>
    <row r="59" spans="1:8">
      <c r="A59" t="s">
        <v>207</v>
      </c>
      <c r="B59" t="s">
        <v>376</v>
      </c>
    </row>
    <row r="60" spans="1:8">
      <c r="A60" t="s">
        <v>309</v>
      </c>
      <c r="B60" t="s">
        <v>377</v>
      </c>
    </row>
    <row r="61" spans="1:8">
      <c r="A61" t="s">
        <v>378</v>
      </c>
      <c r="B61" t="s">
        <v>379</v>
      </c>
    </row>
    <row r="62" spans="1:8">
      <c r="A62" t="s">
        <v>380</v>
      </c>
      <c r="B62" t="s">
        <v>381</v>
      </c>
    </row>
    <row r="63" spans="1:8">
      <c r="A63" t="s">
        <v>382</v>
      </c>
      <c r="B63" t="s">
        <v>383</v>
      </c>
    </row>
    <row r="64" spans="1:8">
      <c r="A64" t="s">
        <v>384</v>
      </c>
      <c r="B64" t="s">
        <v>385</v>
      </c>
    </row>
    <row r="65" spans="1:2">
      <c r="A65" t="s">
        <v>386</v>
      </c>
      <c r="B65" t="s">
        <v>387</v>
      </c>
    </row>
    <row r="66" spans="1:2">
      <c r="A66" t="s">
        <v>388</v>
      </c>
      <c r="B66" t="s">
        <v>389</v>
      </c>
    </row>
    <row r="67" spans="1:2">
      <c r="A67" t="s">
        <v>390</v>
      </c>
      <c r="B67" t="s">
        <v>391</v>
      </c>
    </row>
    <row r="68" spans="1:2">
      <c r="A68" t="s">
        <v>392</v>
      </c>
      <c r="B68" t="s">
        <v>393</v>
      </c>
    </row>
    <row r="69" spans="1:2">
      <c r="A69" t="s">
        <v>394</v>
      </c>
      <c r="B69" t="s">
        <v>395</v>
      </c>
    </row>
    <row r="70" spans="1:2">
      <c r="A70" t="s">
        <v>396</v>
      </c>
      <c r="B70" t="s">
        <v>397</v>
      </c>
    </row>
    <row r="71" spans="1:2">
      <c r="A71" t="s">
        <v>398</v>
      </c>
      <c r="B71" t="s">
        <v>399</v>
      </c>
    </row>
    <row r="72" spans="1:2">
      <c r="A72" t="s">
        <v>400</v>
      </c>
      <c r="B72" t="s">
        <v>401</v>
      </c>
    </row>
    <row r="73" spans="1:2">
      <c r="A73" t="s">
        <v>402</v>
      </c>
      <c r="B73" t="s">
        <v>403</v>
      </c>
    </row>
    <row r="74" spans="1:2">
      <c r="A74" t="s">
        <v>404</v>
      </c>
      <c r="B74" t="s">
        <v>405</v>
      </c>
    </row>
    <row r="75" spans="1:2">
      <c r="A75" t="s">
        <v>406</v>
      </c>
      <c r="B75" t="s">
        <v>407</v>
      </c>
    </row>
    <row r="76" spans="1:2">
      <c r="A76" t="s">
        <v>408</v>
      </c>
      <c r="B76" t="s">
        <v>383</v>
      </c>
    </row>
    <row r="77" spans="1:2">
      <c r="A77" t="s">
        <v>409</v>
      </c>
      <c r="B77" t="s">
        <v>410</v>
      </c>
    </row>
    <row r="78" spans="1:2">
      <c r="A78" t="s">
        <v>411</v>
      </c>
      <c r="B78" t="s">
        <v>412</v>
      </c>
    </row>
    <row r="79" spans="1:2">
      <c r="A79" t="s">
        <v>413</v>
      </c>
      <c r="B79" t="s">
        <v>385</v>
      </c>
    </row>
    <row r="80" spans="1:2">
      <c r="A80" t="s">
        <v>414</v>
      </c>
      <c r="B80" t="s">
        <v>379</v>
      </c>
    </row>
    <row r="81" spans="1:8">
      <c r="A81" t="s">
        <v>415</v>
      </c>
      <c r="B81" t="s">
        <v>381</v>
      </c>
    </row>
    <row r="82" spans="1:8">
      <c r="A82" t="s">
        <v>416</v>
      </c>
      <c r="B82" t="s">
        <v>383</v>
      </c>
    </row>
    <row r="83" spans="1:8">
      <c r="A83" t="s">
        <v>417</v>
      </c>
      <c r="B83" t="s">
        <v>387</v>
      </c>
    </row>
    <row r="84" spans="1:8">
      <c r="A84" t="s">
        <v>418</v>
      </c>
      <c r="B84" t="s">
        <v>389</v>
      </c>
    </row>
    <row r="85" spans="1:8">
      <c r="A85" t="s">
        <v>419</v>
      </c>
      <c r="B85" t="s">
        <v>420</v>
      </c>
    </row>
    <row r="86" spans="1:8">
      <c r="A86" t="s">
        <v>421</v>
      </c>
      <c r="B86" t="s">
        <v>422</v>
      </c>
    </row>
    <row r="87" spans="1:8">
      <c r="A87" t="s">
        <v>423</v>
      </c>
      <c r="B87" t="s">
        <v>424</v>
      </c>
    </row>
    <row r="88" spans="1:8">
      <c r="A88" t="s">
        <v>425</v>
      </c>
      <c r="B88" t="s">
        <v>426</v>
      </c>
    </row>
    <row r="89" spans="1:8">
      <c r="A89" t="s">
        <v>427</v>
      </c>
      <c r="B89" t="s">
        <v>428</v>
      </c>
    </row>
    <row r="90" spans="1:8">
      <c r="A90" t="s">
        <v>429</v>
      </c>
      <c r="B90" t="s">
        <v>430</v>
      </c>
    </row>
    <row r="91" spans="1:8">
      <c r="A91" t="s">
        <v>431</v>
      </c>
      <c r="B91" t="s">
        <v>432</v>
      </c>
    </row>
    <row r="92" spans="1:8">
      <c r="A92" t="s">
        <v>433</v>
      </c>
      <c r="B92" t="s">
        <v>434</v>
      </c>
    </row>
    <row r="93" spans="1:8">
      <c r="A93" t="s">
        <v>435</v>
      </c>
      <c r="B93" t="s">
        <v>436</v>
      </c>
    </row>
    <row r="94" spans="1:8">
      <c r="A94" t="s">
        <v>437</v>
      </c>
      <c r="B94" t="s">
        <v>438</v>
      </c>
    </row>
    <row r="95" spans="1:8">
      <c r="A95" t="s">
        <v>439</v>
      </c>
      <c r="B95" t="s">
        <v>440</v>
      </c>
    </row>
    <row r="96" spans="1:8">
      <c r="A96" t="s">
        <v>441</v>
      </c>
      <c r="B96" t="s">
        <v>442</v>
      </c>
      <c r="H96" s="11" t="str">
        <f>_xlfn.TEXTJOIN(",",TRUE,A60:A96)</f>
        <v>DMD_AGR,DMD_CCK,DMD_CHW,DMD_CLA,DMD_CAP,DMD_CSC,DMD_CSH,DMD_ICH,DMD_ICH-fStock,IndSerT_STM,IndSerT_PRH,IndSerT_PRC,IndSerT_MDR,IndSerT_ECP,IndSerT_OTP,IndSerT_SPC,IndSerT_LIG,IndSerT_OTH,DMD_ONO,DMD_RAP,DMD_RCK,DMD_RHW,DMD_RLI,DMD_RSC,DMD_RSH,DMD_TAD,DMD_TAI,DMD_Trd_2w,DMD_Trd_3w,DMD_Trd_Bus,DMD_Trd_Car,DMD_Trd_Hdt,DMD_Trd_Lcv,DMD_TTF,DMD_TTP,DMD_TWD,DMD_TWI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H29"/>
  <sheetViews>
    <sheetView workbookViewId="0"/>
  </sheetViews>
  <sheetFormatPr defaultColWidth="9" defaultRowHeight="14.25"/>
  <cols>
    <col min="1" max="1" width="11.59765625" customWidth="1"/>
    <col min="2" max="2" width="11" customWidth="1"/>
  </cols>
  <sheetData>
    <row r="1" spans="1:8">
      <c r="A1" t="s">
        <v>443</v>
      </c>
    </row>
    <row r="2" spans="1:8">
      <c r="A2" t="s">
        <v>444</v>
      </c>
      <c r="B2" t="s">
        <v>5</v>
      </c>
      <c r="C2" t="s">
        <v>6</v>
      </c>
    </row>
    <row r="3" spans="1:8">
      <c r="A3" t="s">
        <v>445</v>
      </c>
      <c r="B3" t="s">
        <v>297</v>
      </c>
      <c r="C3" t="str">
        <f>B3</f>
        <v>Solar</v>
      </c>
    </row>
    <row r="4" spans="1:8">
      <c r="A4" t="s">
        <v>446</v>
      </c>
      <c r="B4" t="s">
        <v>301</v>
      </c>
      <c r="C4" t="str">
        <f t="shared" ref="C4:C18" si="0">B4</f>
        <v>Wind</v>
      </c>
    </row>
    <row r="5" spans="1:8">
      <c r="A5" t="s">
        <v>447</v>
      </c>
      <c r="B5" t="s">
        <v>295</v>
      </c>
      <c r="C5" t="str">
        <f t="shared" si="0"/>
        <v>Hydro</v>
      </c>
    </row>
    <row r="6" spans="1:8">
      <c r="A6" t="s">
        <v>448</v>
      </c>
      <c r="B6" t="s">
        <v>449</v>
      </c>
      <c r="C6" t="str">
        <f t="shared" si="0"/>
        <v>Geotherm</v>
      </c>
      <c r="H6" t="str">
        <f>_xlfn.TEXTJOIN(",",TRUE,A3:A6)</f>
        <v>ALLSOL,ALLWIN,ALLHYD,ALLGEO</v>
      </c>
    </row>
    <row r="7" spans="1:8">
      <c r="A7" t="s">
        <v>208</v>
      </c>
      <c r="B7" t="s">
        <v>450</v>
      </c>
      <c r="C7" t="str">
        <f t="shared" si="0"/>
        <v>Biomass</v>
      </c>
    </row>
    <row r="8" spans="1:8">
      <c r="A8" t="s">
        <v>451</v>
      </c>
      <c r="B8" t="s">
        <v>285</v>
      </c>
      <c r="C8" t="str">
        <f t="shared" si="0"/>
        <v>Nuclear</v>
      </c>
    </row>
    <row r="9" spans="1:8">
      <c r="A9" t="s">
        <v>452</v>
      </c>
      <c r="B9" t="s">
        <v>453</v>
      </c>
      <c r="C9" t="str">
        <f t="shared" si="0"/>
        <v>Grid Elec</v>
      </c>
    </row>
    <row r="10" spans="1:8">
      <c r="A10" t="s">
        <v>454</v>
      </c>
      <c r="B10" t="s">
        <v>455</v>
      </c>
      <c r="C10" t="str">
        <f t="shared" si="0"/>
        <v>Int. Elec</v>
      </c>
    </row>
    <row r="11" spans="1:8">
      <c r="A11" t="s">
        <v>456</v>
      </c>
      <c r="B11" t="s">
        <v>457</v>
      </c>
      <c r="C11" t="str">
        <f t="shared" si="0"/>
        <v>Hydrogen</v>
      </c>
    </row>
    <row r="12" spans="1:8">
      <c r="A12" t="s">
        <v>458</v>
      </c>
      <c r="B12" t="s">
        <v>277</v>
      </c>
      <c r="C12" t="str">
        <f t="shared" si="0"/>
        <v>Coal</v>
      </c>
    </row>
    <row r="13" spans="1:8">
      <c r="A13" t="s">
        <v>459</v>
      </c>
      <c r="B13" t="s">
        <v>460</v>
      </c>
      <c r="C13" t="str">
        <f t="shared" si="0"/>
        <v>Coal Ind.</v>
      </c>
    </row>
    <row r="14" spans="1:8">
      <c r="A14" t="s">
        <v>461</v>
      </c>
      <c r="B14" t="s">
        <v>462</v>
      </c>
      <c r="C14" t="str">
        <f t="shared" si="0"/>
        <v>Biofuels liq</v>
      </c>
    </row>
    <row r="15" spans="1:8">
      <c r="A15" t="s">
        <v>463</v>
      </c>
      <c r="B15" t="s">
        <v>464</v>
      </c>
      <c r="C15" t="str">
        <f t="shared" si="0"/>
        <v>Biofuels gas</v>
      </c>
    </row>
    <row r="16" spans="1:8">
      <c r="A16" t="s">
        <v>465</v>
      </c>
      <c r="B16" t="s">
        <v>466</v>
      </c>
      <c r="C16" t="str">
        <f t="shared" si="0"/>
        <v>Heat</v>
      </c>
    </row>
    <row r="17" spans="1:8">
      <c r="A17" t="s">
        <v>467</v>
      </c>
      <c r="B17" t="s">
        <v>468</v>
      </c>
      <c r="C17" t="str">
        <f t="shared" si="0"/>
        <v>Oil Crude</v>
      </c>
    </row>
    <row r="18" spans="1:8">
      <c r="A18" t="s">
        <v>469</v>
      </c>
      <c r="B18" t="s">
        <v>470</v>
      </c>
      <c r="C18" t="str">
        <f t="shared" si="0"/>
        <v>Oil Prod.</v>
      </c>
    </row>
    <row r="19" spans="1:8">
      <c r="A19" t="s">
        <v>209</v>
      </c>
      <c r="B19" t="s">
        <v>279</v>
      </c>
      <c r="C19" t="str">
        <f t="shared" ref="C19" si="1">B19</f>
        <v>Gas</v>
      </c>
      <c r="H19" s="11" t="str">
        <f>_xlfn.TEXTJOIN(",",TRUE,A3:A19)</f>
        <v>ALLSOL,ALLWIN,ALLHYD,ALLGEO,ALLBIO,ALLNUC,ALLELC,ALLELCi,ALLH2,ALLCOAL,ALLCOALInd,ALLBIOFliq,ALLBIOFgas,ALLHEAT,ALLOILCrd,ALLOILPrd,ALLGAS</v>
      </c>
    </row>
    <row r="20" spans="1:8">
      <c r="A20" t="s">
        <v>207</v>
      </c>
      <c r="B20" t="s">
        <v>471</v>
      </c>
    </row>
    <row r="21" spans="1:8">
      <c r="A21" t="s">
        <v>472</v>
      </c>
      <c r="B21" t="s">
        <v>473</v>
      </c>
    </row>
    <row r="22" spans="1:8">
      <c r="A22" t="s">
        <v>474</v>
      </c>
      <c r="B22" t="s">
        <v>475</v>
      </c>
    </row>
    <row r="23" spans="1:8">
      <c r="A23" t="s">
        <v>476</v>
      </c>
      <c r="B23" t="s">
        <v>477</v>
      </c>
    </row>
    <row r="24" spans="1:8">
      <c r="A24" t="s">
        <v>478</v>
      </c>
      <c r="B24" t="s">
        <v>479</v>
      </c>
    </row>
    <row r="25" spans="1:8">
      <c r="A25" t="s">
        <v>480</v>
      </c>
      <c r="B25" t="s">
        <v>481</v>
      </c>
    </row>
    <row r="26" spans="1:8">
      <c r="A26" t="s">
        <v>482</v>
      </c>
      <c r="B26" t="s">
        <v>483</v>
      </c>
    </row>
    <row r="27" spans="1:8">
      <c r="A27" t="s">
        <v>484</v>
      </c>
      <c r="B27" t="s">
        <v>485</v>
      </c>
    </row>
    <row r="28" spans="1:8">
      <c r="A28" t="s">
        <v>486</v>
      </c>
      <c r="B28" t="s">
        <v>487</v>
      </c>
    </row>
    <row r="29" spans="1:8">
      <c r="A29" t="s">
        <v>488</v>
      </c>
      <c r="B29" t="s">
        <v>489</v>
      </c>
      <c r="H29" s="11" t="str">
        <f>_xlfn.TEXTJOIN(",",TRUE,A21:A29)</f>
        <v>IndSer_STM,IndSer_PRH,IndSer_PRC,IndSer_MDR,IndSer_ECP,IndSer_OTP,IndSer_SPC,IndSer_LIG,IndSer_OTH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C7"/>
  <sheetViews>
    <sheetView workbookViewId="0"/>
  </sheetViews>
  <sheetFormatPr defaultColWidth="9" defaultRowHeight="14.25"/>
  <sheetData>
    <row r="1" spans="1:3">
      <c r="A1" t="s">
        <v>490</v>
      </c>
    </row>
    <row r="2" spans="1:3">
      <c r="A2" t="s">
        <v>491</v>
      </c>
      <c r="B2" t="s">
        <v>5</v>
      </c>
      <c r="C2" t="s">
        <v>6</v>
      </c>
    </row>
    <row r="3" spans="1:3">
      <c r="A3" t="s">
        <v>492</v>
      </c>
      <c r="B3" t="s">
        <v>295</v>
      </c>
      <c r="C3" t="str">
        <f>B3</f>
        <v>Hydro</v>
      </c>
    </row>
    <row r="4" spans="1:3">
      <c r="A4" t="s">
        <v>493</v>
      </c>
      <c r="B4" t="s">
        <v>297</v>
      </c>
      <c r="C4" t="str">
        <f t="shared" ref="C4:C7" si="0">B4</f>
        <v>Solar</v>
      </c>
    </row>
    <row r="5" spans="1:3">
      <c r="A5" t="s">
        <v>494</v>
      </c>
      <c r="B5" t="s">
        <v>301</v>
      </c>
      <c r="C5" t="str">
        <f t="shared" si="0"/>
        <v>Wind</v>
      </c>
    </row>
    <row r="6" spans="1:3">
      <c r="A6" t="s">
        <v>495</v>
      </c>
      <c r="B6" t="s">
        <v>283</v>
      </c>
      <c r="C6" t="str">
        <f t="shared" si="0"/>
        <v>Geothermal</v>
      </c>
    </row>
    <row r="7" spans="1:3">
      <c r="A7" t="s">
        <v>496</v>
      </c>
      <c r="B7" t="s">
        <v>299</v>
      </c>
      <c r="C7" t="str">
        <f t="shared" si="0"/>
        <v>Tidal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4"/>
  <sheetViews>
    <sheetView workbookViewId="0"/>
  </sheetViews>
  <sheetFormatPr defaultColWidth="9" defaultRowHeight="14.25"/>
  <cols>
    <col min="1" max="1" width="35" customWidth="1"/>
    <col min="2" max="2" width="23.86328125" customWidth="1"/>
    <col min="6" max="6" width="10.73046875" customWidth="1"/>
    <col min="7" max="7" width="12.265625" customWidth="1"/>
  </cols>
  <sheetData>
    <row r="1" spans="1:8">
      <c r="A1" t="s">
        <v>497</v>
      </c>
    </row>
    <row r="2" spans="1:8">
      <c r="A2" t="s">
        <v>498</v>
      </c>
      <c r="B2" t="s">
        <v>5</v>
      </c>
      <c r="C2" t="s">
        <v>6</v>
      </c>
    </row>
    <row r="5" spans="1:8">
      <c r="A5" t="s">
        <v>499</v>
      </c>
      <c r="B5" t="str">
        <f>F5&amp;IF(G5="",""," - "&amp;G5)</f>
        <v>gp_aut-hun</v>
      </c>
      <c r="F5" t="s">
        <v>500</v>
      </c>
      <c r="H5" t="s">
        <v>501</v>
      </c>
    </row>
    <row r="6" spans="1:8">
      <c r="A6" t="s">
        <v>502</v>
      </c>
      <c r="B6" t="str">
        <f t="shared" ref="B6:B69" si="0">F6&amp;IF(G6="",""," - "&amp;G6)</f>
        <v>gp_hun-srb</v>
      </c>
      <c r="F6" t="s">
        <v>503</v>
      </c>
      <c r="H6" t="s">
        <v>501</v>
      </c>
    </row>
    <row r="7" spans="1:8">
      <c r="A7" t="s">
        <v>504</v>
      </c>
      <c r="B7" t="str">
        <f t="shared" si="0"/>
        <v>gp_ltu-pol</v>
      </c>
      <c r="F7" t="s">
        <v>505</v>
      </c>
      <c r="H7" t="s">
        <v>501</v>
      </c>
    </row>
    <row r="8" spans="1:8">
      <c r="A8" t="s">
        <v>506</v>
      </c>
      <c r="B8" t="str">
        <f t="shared" si="0"/>
        <v>gp_srb-bih</v>
      </c>
      <c r="F8" t="s">
        <v>507</v>
      </c>
      <c r="H8" t="s">
        <v>501</v>
      </c>
    </row>
    <row r="9" spans="1:8">
      <c r="A9" t="s">
        <v>508</v>
      </c>
      <c r="B9" t="str">
        <f t="shared" si="0"/>
        <v>gp_svk-pol</v>
      </c>
      <c r="F9" t="s">
        <v>509</v>
      </c>
      <c r="H9" t="s">
        <v>501</v>
      </c>
    </row>
    <row r="10" spans="1:8">
      <c r="A10" t="s">
        <v>510</v>
      </c>
      <c r="B10" t="str">
        <f t="shared" si="0"/>
        <v>gp_ukr-pol</v>
      </c>
      <c r="F10" t="s">
        <v>511</v>
      </c>
      <c r="H10" t="s">
        <v>501</v>
      </c>
    </row>
    <row r="11" spans="1:8">
      <c r="A11" t="s">
        <v>512</v>
      </c>
      <c r="B11" t="str">
        <f t="shared" si="0"/>
        <v>gp_uzb-tjk</v>
      </c>
      <c r="F11" t="s">
        <v>513</v>
      </c>
      <c r="H11" t="s">
        <v>501</v>
      </c>
    </row>
    <row r="12" spans="1:8">
      <c r="A12" t="s">
        <v>514</v>
      </c>
      <c r="B12" t="str">
        <f t="shared" si="0"/>
        <v>gp_mda-rou</v>
      </c>
      <c r="F12" t="s">
        <v>515</v>
      </c>
      <c r="H12" t="s">
        <v>516</v>
      </c>
    </row>
    <row r="13" spans="1:8">
      <c r="A13" t="s">
        <v>517</v>
      </c>
      <c r="B13" t="str">
        <f t="shared" si="0"/>
        <v>gp_ukr-mda</v>
      </c>
      <c r="F13" t="s">
        <v>518</v>
      </c>
      <c r="H13" t="s">
        <v>516</v>
      </c>
    </row>
    <row r="14" spans="1:8">
      <c r="A14" t="s">
        <v>519</v>
      </c>
      <c r="B14" t="str">
        <f t="shared" si="0"/>
        <v>gp_fra-che</v>
      </c>
      <c r="F14" t="s">
        <v>520</v>
      </c>
      <c r="H14" t="s">
        <v>521</v>
      </c>
    </row>
    <row r="15" spans="1:8">
      <c r="A15" t="s">
        <v>522</v>
      </c>
      <c r="B15" t="str">
        <f t="shared" si="0"/>
        <v>gp_egy-jor</v>
      </c>
      <c r="F15" t="s">
        <v>523</v>
      </c>
      <c r="H15" t="s">
        <v>524</v>
      </c>
    </row>
    <row r="16" spans="1:8">
      <c r="A16" t="s">
        <v>525</v>
      </c>
      <c r="B16" t="str">
        <f t="shared" si="0"/>
        <v>gp_rou-hun</v>
      </c>
      <c r="F16" t="s">
        <v>526</v>
      </c>
      <c r="H16" t="s">
        <v>527</v>
      </c>
    </row>
    <row r="17" spans="1:8">
      <c r="A17" t="s">
        <v>528</v>
      </c>
      <c r="B17" t="str">
        <f t="shared" si="0"/>
        <v>gp_isr-egy</v>
      </c>
      <c r="F17" t="s">
        <v>529</v>
      </c>
      <c r="H17" t="s">
        <v>530</v>
      </c>
    </row>
    <row r="18" spans="1:8">
      <c r="A18" t="s">
        <v>531</v>
      </c>
      <c r="B18" t="str">
        <f t="shared" si="0"/>
        <v>gp_aut-svn</v>
      </c>
      <c r="F18" t="s">
        <v>532</v>
      </c>
      <c r="H18" t="s">
        <v>533</v>
      </c>
    </row>
    <row r="19" spans="1:8">
      <c r="A19" t="s">
        <v>534</v>
      </c>
      <c r="B19" t="str">
        <f t="shared" si="0"/>
        <v>gp_nld-gbr</v>
      </c>
      <c r="F19" t="s">
        <v>535</v>
      </c>
      <c r="H19" t="s">
        <v>536</v>
      </c>
    </row>
    <row r="20" spans="1:8">
      <c r="A20" t="s">
        <v>537</v>
      </c>
      <c r="B20" t="str">
        <f t="shared" si="0"/>
        <v>gp_dnk-swe</v>
      </c>
      <c r="F20" t="s">
        <v>538</v>
      </c>
      <c r="H20" t="s">
        <v>539</v>
      </c>
    </row>
    <row r="21" spans="1:8">
      <c r="A21" t="s">
        <v>540</v>
      </c>
      <c r="B21" t="str">
        <f t="shared" si="0"/>
        <v>gp_nor-dnk</v>
      </c>
      <c r="F21" t="s">
        <v>541</v>
      </c>
      <c r="H21" t="s">
        <v>539</v>
      </c>
    </row>
    <row r="22" spans="1:8">
      <c r="A22" t="s">
        <v>542</v>
      </c>
      <c r="B22" t="str">
        <f t="shared" si="0"/>
        <v>gp_swe-pol</v>
      </c>
      <c r="F22" t="s">
        <v>543</v>
      </c>
      <c r="H22" t="s">
        <v>539</v>
      </c>
    </row>
    <row r="23" spans="1:8">
      <c r="A23" t="s">
        <v>544</v>
      </c>
      <c r="B23" t="str">
        <f t="shared" si="0"/>
        <v>gp_fin-est</v>
      </c>
      <c r="F23" t="s">
        <v>545</v>
      </c>
      <c r="H23" t="s">
        <v>546</v>
      </c>
    </row>
    <row r="24" spans="1:8">
      <c r="A24" t="s">
        <v>547</v>
      </c>
      <c r="B24" t="str">
        <f t="shared" si="0"/>
        <v>gp_can-usa</v>
      </c>
      <c r="F24" t="s">
        <v>548</v>
      </c>
      <c r="H24" t="s">
        <v>549</v>
      </c>
    </row>
    <row r="25" spans="1:8">
      <c r="A25" t="s">
        <v>550</v>
      </c>
      <c r="B25" t="str">
        <f t="shared" si="0"/>
        <v>gp_rus-tur - bluestream</v>
      </c>
      <c r="F25" t="s">
        <v>551</v>
      </c>
      <c r="G25" t="s">
        <v>552</v>
      </c>
      <c r="H25" t="s">
        <v>553</v>
      </c>
    </row>
    <row r="26" spans="1:8">
      <c r="A26" t="s">
        <v>554</v>
      </c>
      <c r="B26" t="str">
        <f t="shared" si="0"/>
        <v>gp_kgz-kaz</v>
      </c>
      <c r="F26" t="s">
        <v>555</v>
      </c>
      <c r="H26" t="s">
        <v>556</v>
      </c>
    </row>
    <row r="27" spans="1:8">
      <c r="A27" t="s">
        <v>557</v>
      </c>
      <c r="B27" t="str">
        <f t="shared" si="0"/>
        <v>gp_uzb-kgz</v>
      </c>
      <c r="F27" t="s">
        <v>558</v>
      </c>
      <c r="H27" t="s">
        <v>556</v>
      </c>
    </row>
    <row r="28" spans="1:8">
      <c r="A28" t="s">
        <v>559</v>
      </c>
      <c r="B28" t="str">
        <f t="shared" si="0"/>
        <v>gp_tkm-kaz</v>
      </c>
      <c r="F28" t="s">
        <v>560</v>
      </c>
      <c r="H28" t="s">
        <v>561</v>
      </c>
    </row>
    <row r="29" spans="1:8">
      <c r="A29" t="s">
        <v>562</v>
      </c>
      <c r="B29" t="str">
        <f t="shared" si="0"/>
        <v>gp_uzb-rus</v>
      </c>
      <c r="F29" t="s">
        <v>563</v>
      </c>
      <c r="H29" t="s">
        <v>564</v>
      </c>
    </row>
    <row r="30" spans="1:8">
      <c r="A30" t="s">
        <v>565</v>
      </c>
      <c r="B30" t="str">
        <f t="shared" si="0"/>
        <v>gp_uzb-tkm</v>
      </c>
      <c r="F30" t="s">
        <v>566</v>
      </c>
      <c r="H30" t="s">
        <v>561</v>
      </c>
    </row>
    <row r="31" spans="1:8">
      <c r="A31" t="s">
        <v>567</v>
      </c>
      <c r="B31" t="str">
        <f t="shared" si="0"/>
        <v>gp_kaz-rus</v>
      </c>
      <c r="F31" t="s">
        <v>568</v>
      </c>
      <c r="H31" t="s">
        <v>569</v>
      </c>
    </row>
    <row r="32" spans="1:8">
      <c r="A32" t="s">
        <v>570</v>
      </c>
      <c r="B32" t="str">
        <f t="shared" si="0"/>
        <v>gp_deu-nld</v>
      </c>
      <c r="F32" t="s">
        <v>571</v>
      </c>
      <c r="H32" t="s">
        <v>572</v>
      </c>
    </row>
    <row r="33" spans="1:8">
      <c r="A33" t="s">
        <v>573</v>
      </c>
      <c r="B33" t="str">
        <f t="shared" si="0"/>
        <v>gp_tkm-uzb</v>
      </c>
      <c r="F33" t="s">
        <v>574</v>
      </c>
      <c r="H33" t="s">
        <v>575</v>
      </c>
    </row>
    <row r="34" spans="1:8">
      <c r="A34" t="s">
        <v>576</v>
      </c>
      <c r="B34" t="str">
        <f t="shared" si="0"/>
        <v>gp_uzb-kaz</v>
      </c>
      <c r="F34" t="s">
        <v>577</v>
      </c>
      <c r="H34" t="s">
        <v>578</v>
      </c>
    </row>
    <row r="35" spans="1:8">
      <c r="A35" t="s">
        <v>579</v>
      </c>
      <c r="B35" t="str">
        <f t="shared" si="0"/>
        <v>gp_kaz-chn</v>
      </c>
      <c r="F35" t="s">
        <v>580</v>
      </c>
      <c r="H35" t="s">
        <v>581</v>
      </c>
    </row>
    <row r="36" spans="1:8">
      <c r="A36" t="s">
        <v>582</v>
      </c>
      <c r="B36" t="str">
        <f t="shared" si="0"/>
        <v>gp_tkm-chn</v>
      </c>
      <c r="F36" t="s">
        <v>583</v>
      </c>
      <c r="H36" t="s">
        <v>584</v>
      </c>
    </row>
    <row r="37" spans="1:8">
      <c r="A37" t="s">
        <v>585</v>
      </c>
      <c r="B37" t="str">
        <f t="shared" si="0"/>
        <v>gp_tkm-rus</v>
      </c>
      <c r="F37" t="s">
        <v>586</v>
      </c>
      <c r="H37" t="s">
        <v>587</v>
      </c>
    </row>
    <row r="38" spans="1:8">
      <c r="A38" t="s">
        <v>588</v>
      </c>
      <c r="B38" t="str">
        <f t="shared" si="0"/>
        <v>gp_qat-are</v>
      </c>
      <c r="F38" t="s">
        <v>589</v>
      </c>
      <c r="H38" t="s">
        <v>590</v>
      </c>
    </row>
    <row r="39" spans="1:8">
      <c r="A39" t="s">
        <v>591</v>
      </c>
      <c r="B39" t="str">
        <f t="shared" si="0"/>
        <v>gp_are-omn</v>
      </c>
      <c r="F39" t="s">
        <v>592</v>
      </c>
      <c r="H39" t="s">
        <v>590</v>
      </c>
    </row>
    <row r="40" spans="1:8">
      <c r="A40" t="s">
        <v>593</v>
      </c>
      <c r="B40" t="str">
        <f t="shared" si="0"/>
        <v>gp_hrv-hun</v>
      </c>
      <c r="F40" t="s">
        <v>594</v>
      </c>
      <c r="H40" t="s">
        <v>595</v>
      </c>
    </row>
    <row r="41" spans="1:8">
      <c r="A41" t="s">
        <v>596</v>
      </c>
      <c r="B41" t="str">
        <f t="shared" si="0"/>
        <v>gp_fra-bel</v>
      </c>
      <c r="F41" t="s">
        <v>597</v>
      </c>
      <c r="H41" t="s">
        <v>598</v>
      </c>
    </row>
    <row r="42" spans="1:8">
      <c r="A42" t="s">
        <v>599</v>
      </c>
      <c r="B42" t="str">
        <f t="shared" si="0"/>
        <v>gp_dza-tun</v>
      </c>
      <c r="F42" t="s">
        <v>600</v>
      </c>
      <c r="H42" t="s">
        <v>601</v>
      </c>
    </row>
    <row r="43" spans="1:8">
      <c r="A43" t="s">
        <v>602</v>
      </c>
      <c r="B43" t="str">
        <f t="shared" si="0"/>
        <v>gp_nor-fra - franpipe</v>
      </c>
      <c r="F43" t="s">
        <v>603</v>
      </c>
      <c r="G43" t="s">
        <v>604</v>
      </c>
      <c r="H43" t="s">
        <v>605</v>
      </c>
    </row>
    <row r="44" spans="1:8">
      <c r="A44" t="s">
        <v>606</v>
      </c>
      <c r="B44" t="str">
        <f t="shared" si="0"/>
        <v>gp_pol-ltu</v>
      </c>
      <c r="F44" t="s">
        <v>607</v>
      </c>
      <c r="H44" t="s">
        <v>608</v>
      </c>
    </row>
    <row r="45" spans="1:8">
      <c r="A45" t="s">
        <v>609</v>
      </c>
      <c r="B45" t="str">
        <f t="shared" si="0"/>
        <v>gp_grc-bgr</v>
      </c>
      <c r="F45" t="s">
        <v>610</v>
      </c>
      <c r="H45" t="s">
        <v>611</v>
      </c>
    </row>
    <row r="46" spans="1:8">
      <c r="A46" t="s">
        <v>612</v>
      </c>
      <c r="B46" t="str">
        <f t="shared" si="0"/>
        <v>gp_arg-chl</v>
      </c>
      <c r="F46" t="s">
        <v>613</v>
      </c>
      <c r="H46" t="s">
        <v>614</v>
      </c>
    </row>
    <row r="47" spans="1:8">
      <c r="A47" t="s">
        <v>615</v>
      </c>
      <c r="B47" t="str">
        <f t="shared" si="0"/>
        <v>gp_bol-bra</v>
      </c>
      <c r="F47" t="s">
        <v>616</v>
      </c>
      <c r="H47" t="s">
        <v>617</v>
      </c>
    </row>
    <row r="48" spans="1:8">
      <c r="A48" t="s">
        <v>618</v>
      </c>
      <c r="B48" t="str">
        <f t="shared" si="0"/>
        <v>gp_arg-ury</v>
      </c>
      <c r="F48" t="s">
        <v>619</v>
      </c>
      <c r="H48" t="s">
        <v>620</v>
      </c>
    </row>
    <row r="49" spans="1:8">
      <c r="A49" t="s">
        <v>621</v>
      </c>
      <c r="B49" t="str">
        <f t="shared" si="0"/>
        <v>gp_cze-deu</v>
      </c>
      <c r="F49" t="s">
        <v>622</v>
      </c>
      <c r="H49" t="s">
        <v>623</v>
      </c>
    </row>
    <row r="50" spans="1:8">
      <c r="A50" t="s">
        <v>624</v>
      </c>
      <c r="B50" t="str">
        <f t="shared" si="0"/>
        <v>gp_rou-bgr</v>
      </c>
      <c r="F50" t="s">
        <v>625</v>
      </c>
      <c r="H50" t="s">
        <v>626</v>
      </c>
    </row>
    <row r="51" spans="1:8">
      <c r="A51" t="s">
        <v>627</v>
      </c>
      <c r="B51" t="str">
        <f t="shared" si="0"/>
        <v>gp_bel-nld</v>
      </c>
      <c r="F51" t="s">
        <v>628</v>
      </c>
      <c r="H51" t="s">
        <v>629</v>
      </c>
    </row>
    <row r="52" spans="1:8">
      <c r="A52" t="s">
        <v>630</v>
      </c>
      <c r="B52" t="str">
        <f t="shared" si="0"/>
        <v>gp_grc-ita</v>
      </c>
      <c r="F52" t="s">
        <v>631</v>
      </c>
      <c r="H52" t="s">
        <v>632</v>
      </c>
    </row>
    <row r="53" spans="1:8">
      <c r="A53" t="s">
        <v>633</v>
      </c>
      <c r="B53" t="str">
        <f t="shared" si="0"/>
        <v>gp_lby-ita - greenstream</v>
      </c>
      <c r="F53" t="s">
        <v>634</v>
      </c>
      <c r="G53" t="s">
        <v>635</v>
      </c>
      <c r="H53" t="s">
        <v>636</v>
      </c>
    </row>
    <row r="54" spans="1:8">
      <c r="A54" t="s">
        <v>637</v>
      </c>
      <c r="B54" t="str">
        <f t="shared" si="0"/>
        <v>gp_idn-sgp</v>
      </c>
      <c r="F54" t="s">
        <v>638</v>
      </c>
      <c r="H54" t="s">
        <v>639</v>
      </c>
    </row>
    <row r="55" spans="1:8">
      <c r="A55" t="s">
        <v>640</v>
      </c>
      <c r="B55" t="str">
        <f t="shared" si="0"/>
        <v>gp_aze-rus</v>
      </c>
      <c r="F55" t="s">
        <v>641</v>
      </c>
      <c r="H55" t="s">
        <v>642</v>
      </c>
    </row>
    <row r="56" spans="1:8">
      <c r="A56" t="s">
        <v>643</v>
      </c>
      <c r="B56" t="str">
        <f t="shared" si="0"/>
        <v>gp_aze-irn</v>
      </c>
      <c r="F56" t="s">
        <v>644</v>
      </c>
      <c r="H56" t="s">
        <v>645</v>
      </c>
    </row>
    <row r="57" spans="1:8">
      <c r="A57" t="s">
        <v>646</v>
      </c>
      <c r="B57" t="str">
        <f t="shared" si="0"/>
        <v>gp_aut-che</v>
      </c>
      <c r="F57" t="s">
        <v>647</v>
      </c>
      <c r="H57" t="s">
        <v>648</v>
      </c>
    </row>
    <row r="58" spans="1:8">
      <c r="A58" t="s">
        <v>649</v>
      </c>
      <c r="B58" t="str">
        <f t="shared" si="0"/>
        <v>gp_ukr-rou</v>
      </c>
      <c r="F58" t="s">
        <v>650</v>
      </c>
      <c r="H58" t="s">
        <v>651</v>
      </c>
    </row>
    <row r="59" spans="1:8">
      <c r="A59" t="s">
        <v>652</v>
      </c>
      <c r="B59" t="str">
        <f t="shared" si="0"/>
        <v>gp_irn-arm</v>
      </c>
      <c r="F59" t="s">
        <v>653</v>
      </c>
      <c r="H59" t="s">
        <v>654</v>
      </c>
    </row>
    <row r="60" spans="1:8">
      <c r="A60" t="s">
        <v>655</v>
      </c>
      <c r="B60" t="str">
        <f t="shared" si="0"/>
        <v>gp_irn-irq</v>
      </c>
      <c r="F60" t="s">
        <v>656</v>
      </c>
      <c r="H60" t="s">
        <v>657</v>
      </c>
    </row>
    <row r="61" spans="1:8">
      <c r="A61" t="s">
        <v>658</v>
      </c>
      <c r="B61" t="str">
        <f t="shared" si="0"/>
        <v>gp_esp-fra</v>
      </c>
      <c r="F61" t="s">
        <v>659</v>
      </c>
      <c r="H61" t="s">
        <v>660</v>
      </c>
    </row>
    <row r="62" spans="1:8">
      <c r="A62" t="s">
        <v>661</v>
      </c>
      <c r="B62" t="str">
        <f t="shared" si="0"/>
        <v>gp_isr-jor</v>
      </c>
      <c r="F62" t="s">
        <v>662</v>
      </c>
      <c r="H62" t="s">
        <v>663</v>
      </c>
    </row>
    <row r="63" spans="1:8">
      <c r="A63" t="s">
        <v>664</v>
      </c>
      <c r="B63" t="str">
        <f t="shared" si="0"/>
        <v>gp_blr-ukr</v>
      </c>
      <c r="F63" t="s">
        <v>665</v>
      </c>
      <c r="H63" t="s">
        <v>666</v>
      </c>
    </row>
    <row r="64" spans="1:8">
      <c r="A64" t="s">
        <v>667</v>
      </c>
      <c r="B64" t="str">
        <f t="shared" si="0"/>
        <v>gp_rus-kaz</v>
      </c>
      <c r="F64" t="s">
        <v>668</v>
      </c>
      <c r="H64" t="s">
        <v>669</v>
      </c>
    </row>
    <row r="65" spans="1:8">
      <c r="A65" t="s">
        <v>670</v>
      </c>
      <c r="B65" t="str">
        <f t="shared" si="0"/>
        <v>gp_blr-pol</v>
      </c>
      <c r="F65" t="s">
        <v>671</v>
      </c>
      <c r="H65" t="s">
        <v>672</v>
      </c>
    </row>
    <row r="66" spans="1:8">
      <c r="A66" t="s">
        <v>673</v>
      </c>
      <c r="B66" t="str">
        <f t="shared" si="0"/>
        <v>gp_est-rus</v>
      </c>
      <c r="F66" t="s">
        <v>674</v>
      </c>
      <c r="H66" t="s">
        <v>675</v>
      </c>
    </row>
    <row r="67" spans="1:8">
      <c r="A67" t="s">
        <v>676</v>
      </c>
      <c r="B67" t="str">
        <f t="shared" si="0"/>
        <v>gp_tkm-irn</v>
      </c>
      <c r="F67" t="s">
        <v>677</v>
      </c>
      <c r="H67" t="s">
        <v>678</v>
      </c>
    </row>
    <row r="68" spans="1:8">
      <c r="A68" t="s">
        <v>679</v>
      </c>
      <c r="B68" t="str">
        <f t="shared" si="0"/>
        <v>gp_bgr-grc</v>
      </c>
      <c r="F68" t="s">
        <v>680</v>
      </c>
      <c r="H68" t="s">
        <v>681</v>
      </c>
    </row>
    <row r="69" spans="1:8">
      <c r="A69" t="s">
        <v>682</v>
      </c>
      <c r="B69" t="str">
        <f t="shared" si="0"/>
        <v>gp_aut-svk</v>
      </c>
      <c r="F69" t="s">
        <v>683</v>
      </c>
      <c r="H69" t="s">
        <v>684</v>
      </c>
    </row>
    <row r="70" spans="1:8">
      <c r="A70" t="s">
        <v>685</v>
      </c>
      <c r="B70" t="str">
        <f t="shared" ref="B70:B133" si="1">F70&amp;IF(G70="",""," - "&amp;G70)</f>
        <v>gp_fra-esp</v>
      </c>
      <c r="F70" t="s">
        <v>686</v>
      </c>
      <c r="H70" t="s">
        <v>687</v>
      </c>
    </row>
    <row r="71" spans="1:8">
      <c r="A71" t="s">
        <v>688</v>
      </c>
      <c r="B71" t="str">
        <f t="shared" si="1"/>
        <v>gp_ltu-lva</v>
      </c>
      <c r="F71" t="s">
        <v>689</v>
      </c>
      <c r="H71" t="s">
        <v>690</v>
      </c>
    </row>
    <row r="72" spans="1:8">
      <c r="A72" t="s">
        <v>691</v>
      </c>
      <c r="B72" t="str">
        <f t="shared" si="1"/>
        <v>gp_dza-esp - medgaz</v>
      </c>
      <c r="F72" t="s">
        <v>692</v>
      </c>
      <c r="G72" t="s">
        <v>693</v>
      </c>
      <c r="H72" t="s">
        <v>694</v>
      </c>
    </row>
    <row r="73" spans="1:8">
      <c r="A73" t="s">
        <v>695</v>
      </c>
      <c r="B73" t="str">
        <f t="shared" si="1"/>
        <v>gp_deu-fra</v>
      </c>
      <c r="F73" t="s">
        <v>696</v>
      </c>
      <c r="H73" t="s">
        <v>697</v>
      </c>
    </row>
    <row r="74" spans="1:8">
      <c r="A74" t="s">
        <v>698</v>
      </c>
      <c r="B74" t="str">
        <f t="shared" si="1"/>
        <v>gp_usa-mex</v>
      </c>
      <c r="F74" t="s">
        <v>699</v>
      </c>
      <c r="H74" t="s">
        <v>700</v>
      </c>
    </row>
    <row r="75" spans="1:8">
      <c r="A75" t="s">
        <v>701</v>
      </c>
      <c r="B75" t="str">
        <f t="shared" si="1"/>
        <v>gp_blr-rus</v>
      </c>
      <c r="F75" t="s">
        <v>702</v>
      </c>
      <c r="H75" t="s">
        <v>703</v>
      </c>
    </row>
    <row r="76" spans="1:8">
      <c r="A76" t="s">
        <v>704</v>
      </c>
      <c r="B76" t="str">
        <f t="shared" si="1"/>
        <v>gp_moz-zaf</v>
      </c>
      <c r="F76" t="s">
        <v>705</v>
      </c>
      <c r="H76" t="s">
        <v>706</v>
      </c>
    </row>
    <row r="77" spans="1:8">
      <c r="A77" t="s">
        <v>707</v>
      </c>
      <c r="B77" t="str">
        <f t="shared" si="1"/>
        <v>gp_dnk-nld</v>
      </c>
      <c r="F77" t="s">
        <v>708</v>
      </c>
      <c r="H77" t="s">
        <v>709</v>
      </c>
    </row>
    <row r="78" spans="1:8">
      <c r="A78" t="s">
        <v>710</v>
      </c>
      <c r="B78" t="str">
        <f t="shared" si="1"/>
        <v>gp_nor-deu</v>
      </c>
      <c r="F78" t="s">
        <v>711</v>
      </c>
      <c r="H78" t="s">
        <v>712</v>
      </c>
    </row>
    <row r="79" spans="1:8">
      <c r="A79" t="s">
        <v>713</v>
      </c>
      <c r="B79" t="str">
        <f t="shared" si="1"/>
        <v>gp_geo-arm</v>
      </c>
      <c r="F79" t="s">
        <v>714</v>
      </c>
      <c r="H79" t="s">
        <v>715</v>
      </c>
    </row>
    <row r="80" spans="1:8">
      <c r="A80" t="s">
        <v>716</v>
      </c>
      <c r="B80" t="str">
        <f t="shared" si="1"/>
        <v>gp_rus-geo</v>
      </c>
      <c r="F80" t="s">
        <v>717</v>
      </c>
      <c r="H80" t="s">
        <v>718</v>
      </c>
    </row>
    <row r="81" spans="1:8">
      <c r="A81" t="s">
        <v>719</v>
      </c>
      <c r="B81" t="str">
        <f t="shared" si="1"/>
        <v>gp_gbr-nor</v>
      </c>
      <c r="F81" t="s">
        <v>720</v>
      </c>
      <c r="H81" t="s">
        <v>721</v>
      </c>
    </row>
    <row r="82" spans="1:8">
      <c r="A82" t="s">
        <v>722</v>
      </c>
      <c r="B82" t="str">
        <f t="shared" si="1"/>
        <v>gp_kaz-tkm</v>
      </c>
      <c r="F82" t="s">
        <v>723</v>
      </c>
      <c r="H82" t="s">
        <v>724</v>
      </c>
    </row>
    <row r="83" spans="1:8">
      <c r="A83" t="s">
        <v>725</v>
      </c>
      <c r="B83" t="str">
        <f t="shared" si="1"/>
        <v>gp_svk-hun</v>
      </c>
      <c r="F83" t="s">
        <v>726</v>
      </c>
      <c r="H83" t="s">
        <v>727</v>
      </c>
    </row>
    <row r="84" spans="1:8">
      <c r="A84" t="s">
        <v>728</v>
      </c>
      <c r="B84" t="str">
        <f t="shared" si="1"/>
        <v>gp_arg-bra</v>
      </c>
      <c r="F84" t="s">
        <v>729</v>
      </c>
      <c r="H84" t="s">
        <v>730</v>
      </c>
    </row>
    <row r="85" spans="1:8">
      <c r="A85" t="s">
        <v>731</v>
      </c>
      <c r="B85" t="str">
        <f t="shared" si="1"/>
        <v>gp_bel-fra</v>
      </c>
      <c r="F85" t="s">
        <v>732</v>
      </c>
      <c r="H85" t="s">
        <v>733</v>
      </c>
    </row>
    <row r="86" spans="1:8">
      <c r="A86" t="s">
        <v>734</v>
      </c>
      <c r="B86" t="str">
        <f t="shared" si="1"/>
        <v>gp_pol-svk</v>
      </c>
      <c r="F86" t="s">
        <v>735</v>
      </c>
      <c r="H86" t="s">
        <v>736</v>
      </c>
    </row>
    <row r="87" spans="1:8">
      <c r="A87" t="s">
        <v>737</v>
      </c>
      <c r="B87" t="str">
        <f t="shared" si="1"/>
        <v>gp_nld-deu</v>
      </c>
      <c r="F87" t="s">
        <v>738</v>
      </c>
      <c r="H87" t="s">
        <v>739</v>
      </c>
    </row>
    <row r="88" spans="1:8">
      <c r="A88" t="s">
        <v>740</v>
      </c>
      <c r="B88" t="str">
        <f t="shared" si="1"/>
        <v>gp_svn-ita</v>
      </c>
      <c r="F88" t="s">
        <v>741</v>
      </c>
      <c r="H88" t="s">
        <v>742</v>
      </c>
    </row>
    <row r="89" spans="1:8">
      <c r="A89" t="s">
        <v>743</v>
      </c>
      <c r="B89" t="str">
        <f t="shared" si="1"/>
        <v>gp_rou-mda</v>
      </c>
      <c r="F89" t="s">
        <v>744</v>
      </c>
      <c r="H89" t="s">
        <v>745</v>
      </c>
    </row>
    <row r="90" spans="1:8">
      <c r="A90" t="s">
        <v>746</v>
      </c>
      <c r="B90" t="str">
        <f t="shared" si="1"/>
        <v>gp_srb-hun</v>
      </c>
      <c r="F90" t="s">
        <v>747</v>
      </c>
      <c r="H90" t="s">
        <v>748</v>
      </c>
    </row>
    <row r="91" spans="1:8">
      <c r="A91" t="s">
        <v>749</v>
      </c>
      <c r="B91" t="str">
        <f t="shared" si="1"/>
        <v>gp_rus-ukr</v>
      </c>
      <c r="F91" t="s">
        <v>750</v>
      </c>
      <c r="H91" t="s">
        <v>751</v>
      </c>
    </row>
    <row r="92" spans="1:8">
      <c r="A92" t="s">
        <v>752</v>
      </c>
      <c r="B92" t="str">
        <f t="shared" si="1"/>
        <v>gp_mmr-chn</v>
      </c>
      <c r="F92" t="s">
        <v>753</v>
      </c>
      <c r="H92" t="s">
        <v>754</v>
      </c>
    </row>
    <row r="93" spans="1:8">
      <c r="A93" t="s">
        <v>755</v>
      </c>
      <c r="B93" t="str">
        <f t="shared" si="1"/>
        <v>gp_mkd-bgr</v>
      </c>
      <c r="F93" t="s">
        <v>756</v>
      </c>
      <c r="H93" t="s">
        <v>757</v>
      </c>
    </row>
    <row r="94" spans="1:8">
      <c r="A94" t="s">
        <v>758</v>
      </c>
      <c r="B94" t="str">
        <f t="shared" si="1"/>
        <v>gp_aze-geo</v>
      </c>
      <c r="F94" t="s">
        <v>759</v>
      </c>
      <c r="H94" t="s">
        <v>760</v>
      </c>
    </row>
    <row r="95" spans="1:8">
      <c r="A95" t="s">
        <v>761</v>
      </c>
      <c r="B95" t="str">
        <f t="shared" si="1"/>
        <v>gp_geo-tur</v>
      </c>
      <c r="F95" t="s">
        <v>762</v>
      </c>
      <c r="H95" t="s">
        <v>763</v>
      </c>
    </row>
    <row r="96" spans="1:8">
      <c r="A96" t="s">
        <v>764</v>
      </c>
      <c r="B96" t="str">
        <f t="shared" si="1"/>
        <v>gp_bgr-tur</v>
      </c>
      <c r="F96" t="s">
        <v>765</v>
      </c>
      <c r="H96" t="s">
        <v>766</v>
      </c>
    </row>
    <row r="97" spans="1:8">
      <c r="A97" t="s">
        <v>767</v>
      </c>
      <c r="B97" t="str">
        <f t="shared" si="1"/>
        <v>gp_irn-tur</v>
      </c>
      <c r="F97" t="s">
        <v>768</v>
      </c>
      <c r="H97" t="s">
        <v>769</v>
      </c>
    </row>
    <row r="98" spans="1:8">
      <c r="A98" t="s">
        <v>770</v>
      </c>
      <c r="B98" t="str">
        <f t="shared" si="1"/>
        <v>gp_rus-blr</v>
      </c>
      <c r="F98" t="s">
        <v>771</v>
      </c>
      <c r="H98" t="s">
        <v>772</v>
      </c>
    </row>
    <row r="99" spans="1:8">
      <c r="A99" t="s">
        <v>773</v>
      </c>
      <c r="B99" t="str">
        <f t="shared" si="1"/>
        <v>gp_deu-che</v>
      </c>
      <c r="F99" t="s">
        <v>774</v>
      </c>
      <c r="H99" t="s">
        <v>775</v>
      </c>
    </row>
    <row r="100" spans="1:8">
      <c r="A100" t="s">
        <v>776</v>
      </c>
      <c r="B100" t="str">
        <f t="shared" si="1"/>
        <v>gp_mys-tha</v>
      </c>
      <c r="F100" t="s">
        <v>777</v>
      </c>
      <c r="H100" t="s">
        <v>778</v>
      </c>
    </row>
    <row r="101" spans="1:8">
      <c r="A101" t="s">
        <v>779</v>
      </c>
      <c r="B101" t="str">
        <f t="shared" si="1"/>
        <v>gp_alb-ita</v>
      </c>
      <c r="F101" t="s">
        <v>780</v>
      </c>
      <c r="H101" t="s">
        <v>781</v>
      </c>
    </row>
    <row r="102" spans="1:8">
      <c r="A102" t="s">
        <v>782</v>
      </c>
      <c r="B102" t="str">
        <f t="shared" si="1"/>
        <v>gp_grc-alb</v>
      </c>
      <c r="F102" t="s">
        <v>783</v>
      </c>
      <c r="H102" t="s">
        <v>781</v>
      </c>
    </row>
    <row r="103" spans="1:8">
      <c r="A103" t="s">
        <v>784</v>
      </c>
      <c r="B103" t="str">
        <f t="shared" si="1"/>
        <v>gp_geo-grc</v>
      </c>
      <c r="F103" t="s">
        <v>785</v>
      </c>
      <c r="H103" t="s">
        <v>786</v>
      </c>
    </row>
    <row r="104" spans="1:8">
      <c r="A104" t="s">
        <v>787</v>
      </c>
      <c r="B104" t="str">
        <f t="shared" si="1"/>
        <v>gp_grc-tur</v>
      </c>
      <c r="F104" t="s">
        <v>788</v>
      </c>
      <c r="H104" t="s">
        <v>786</v>
      </c>
    </row>
    <row r="105" spans="1:8">
      <c r="A105" t="s">
        <v>789</v>
      </c>
      <c r="B105" t="str">
        <f t="shared" si="1"/>
        <v>gp_tur-bgr</v>
      </c>
      <c r="F105" t="s">
        <v>790</v>
      </c>
      <c r="H105" t="s">
        <v>791</v>
      </c>
    </row>
    <row r="106" spans="1:8">
      <c r="A106" t="s">
        <v>792</v>
      </c>
      <c r="B106" t="str">
        <f t="shared" si="1"/>
        <v>gp_bgr-rou</v>
      </c>
      <c r="F106" t="s">
        <v>793</v>
      </c>
      <c r="H106" t="s">
        <v>794</v>
      </c>
    </row>
    <row r="107" spans="1:8">
      <c r="A107" t="s">
        <v>795</v>
      </c>
      <c r="B107" t="str">
        <f t="shared" si="1"/>
        <v>gp_ita-svn</v>
      </c>
      <c r="F107" t="s">
        <v>796</v>
      </c>
      <c r="H107" t="s">
        <v>797</v>
      </c>
    </row>
    <row r="108" spans="1:8">
      <c r="A108" t="s">
        <v>798</v>
      </c>
      <c r="B108" t="str">
        <f t="shared" si="1"/>
        <v>gp_tun-ita</v>
      </c>
      <c r="F108" t="s">
        <v>799</v>
      </c>
      <c r="H108" t="s">
        <v>797</v>
      </c>
    </row>
    <row r="109" spans="1:8">
      <c r="A109" t="s">
        <v>800</v>
      </c>
      <c r="B109" t="str">
        <f t="shared" si="1"/>
        <v>gp_che-fra</v>
      </c>
      <c r="F109" t="s">
        <v>801</v>
      </c>
      <c r="H109" t="s">
        <v>802</v>
      </c>
    </row>
    <row r="110" spans="1:8">
      <c r="A110" t="s">
        <v>803</v>
      </c>
      <c r="B110" t="str">
        <f t="shared" si="1"/>
        <v>gp_tur-grc</v>
      </c>
      <c r="F110" t="s">
        <v>804</v>
      </c>
      <c r="H110" t="s">
        <v>805</v>
      </c>
    </row>
    <row r="111" spans="1:8">
      <c r="A111" t="s">
        <v>806</v>
      </c>
      <c r="B111" t="str">
        <f t="shared" si="1"/>
        <v>gp_bgr-srb - turkstream</v>
      </c>
      <c r="F111" t="s">
        <v>807</v>
      </c>
      <c r="G111" t="s">
        <v>808</v>
      </c>
      <c r="H111" t="s">
        <v>809</v>
      </c>
    </row>
    <row r="112" spans="1:8">
      <c r="A112" t="s">
        <v>810</v>
      </c>
      <c r="B112" t="str">
        <f t="shared" si="1"/>
        <v>gp_rus-bgr - turkstream</v>
      </c>
      <c r="F112" t="s">
        <v>811</v>
      </c>
      <c r="G112" t="s">
        <v>808</v>
      </c>
      <c r="H112" t="s">
        <v>809</v>
      </c>
    </row>
    <row r="113" spans="1:8">
      <c r="A113" t="s">
        <v>812</v>
      </c>
      <c r="B113" t="str">
        <f t="shared" si="1"/>
        <v>gp_gbr-irl</v>
      </c>
      <c r="F113" t="s">
        <v>813</v>
      </c>
      <c r="H113" t="s">
        <v>814</v>
      </c>
    </row>
    <row r="114" spans="1:8">
      <c r="A114" t="s">
        <v>815</v>
      </c>
      <c r="B114" t="str">
        <f t="shared" si="1"/>
        <v>gp_svk-aut</v>
      </c>
      <c r="F114" t="s">
        <v>816</v>
      </c>
      <c r="H114" t="s">
        <v>817</v>
      </c>
    </row>
    <row r="115" spans="1:8">
      <c r="A115" t="s">
        <v>818</v>
      </c>
      <c r="B115" t="str">
        <f t="shared" si="1"/>
        <v>gp_ukr-svk</v>
      </c>
      <c r="F115" t="s">
        <v>819</v>
      </c>
      <c r="H115" t="s">
        <v>820</v>
      </c>
    </row>
    <row r="116" spans="1:8">
      <c r="A116" t="s">
        <v>821</v>
      </c>
      <c r="B116" t="str">
        <f t="shared" si="1"/>
        <v>gp_rus-est</v>
      </c>
      <c r="F116" t="s">
        <v>822</v>
      </c>
      <c r="H116" t="s">
        <v>823</v>
      </c>
    </row>
    <row r="117" spans="1:8">
      <c r="A117" t="s">
        <v>824</v>
      </c>
      <c r="B117" t="str">
        <f t="shared" si="1"/>
        <v>gp_est-lva</v>
      </c>
      <c r="F117" t="s">
        <v>825</v>
      </c>
      <c r="H117" t="s">
        <v>826</v>
      </c>
    </row>
    <row r="118" spans="1:8">
      <c r="A118" t="s">
        <v>827</v>
      </c>
      <c r="B118" t="str">
        <f t="shared" si="1"/>
        <v>gp_usa-can</v>
      </c>
      <c r="F118" t="s">
        <v>828</v>
      </c>
      <c r="H118" t="s">
        <v>829</v>
      </c>
    </row>
    <row r="119" spans="1:8">
      <c r="A119" t="s">
        <v>830</v>
      </c>
      <c r="B119" t="str">
        <f t="shared" si="1"/>
        <v>gp_nor-gbr</v>
      </c>
      <c r="F119" t="s">
        <v>831</v>
      </c>
      <c r="H119" t="s">
        <v>832</v>
      </c>
    </row>
    <row r="120" spans="1:8">
      <c r="A120" t="s">
        <v>833</v>
      </c>
      <c r="B120" t="str">
        <f t="shared" si="1"/>
        <v>gp_svk-ukr</v>
      </c>
      <c r="F120" t="s">
        <v>834</v>
      </c>
      <c r="H120" t="s">
        <v>835</v>
      </c>
    </row>
    <row r="121" spans="1:8">
      <c r="A121" t="s">
        <v>836</v>
      </c>
      <c r="B121" t="str">
        <f t="shared" si="1"/>
        <v>gp_hun-hrv</v>
      </c>
      <c r="F121" t="s">
        <v>837</v>
      </c>
      <c r="H121" t="s">
        <v>838</v>
      </c>
    </row>
    <row r="122" spans="1:8">
      <c r="A122" t="s">
        <v>839</v>
      </c>
      <c r="B122" t="str">
        <f t="shared" si="1"/>
        <v>gp_bel-lux</v>
      </c>
      <c r="F122" t="s">
        <v>840</v>
      </c>
      <c r="H122" t="s">
        <v>841</v>
      </c>
    </row>
    <row r="123" spans="1:8">
      <c r="A123" t="s">
        <v>842</v>
      </c>
      <c r="B123" t="str">
        <f t="shared" si="1"/>
        <v>gp_deu-bel</v>
      </c>
      <c r="F123" t="s">
        <v>843</v>
      </c>
      <c r="H123" t="s">
        <v>844</v>
      </c>
    </row>
    <row r="124" spans="1:8">
      <c r="A124" t="s">
        <v>845</v>
      </c>
      <c r="B124" t="str">
        <f t="shared" si="1"/>
        <v>gp_nga-ben</v>
      </c>
      <c r="F124" t="s">
        <v>846</v>
      </c>
      <c r="H124" t="s">
        <v>847</v>
      </c>
    </row>
    <row r="125" spans="1:8">
      <c r="A125" t="s">
        <v>848</v>
      </c>
      <c r="B125" t="str">
        <f t="shared" si="1"/>
        <v>gp_tgo-gha</v>
      </c>
      <c r="F125" t="s">
        <v>849</v>
      </c>
      <c r="H125" t="s">
        <v>847</v>
      </c>
    </row>
    <row r="126" spans="1:8">
      <c r="A126" t="s">
        <v>637</v>
      </c>
      <c r="B126" t="str">
        <f t="shared" si="1"/>
        <v>gp_idn-sgp</v>
      </c>
      <c r="F126" t="s">
        <v>638</v>
      </c>
      <c r="H126" t="s">
        <v>850</v>
      </c>
    </row>
    <row r="127" spans="1:8">
      <c r="A127" t="s">
        <v>851</v>
      </c>
      <c r="B127" t="str">
        <f t="shared" si="1"/>
        <v>gp_nld-bel</v>
      </c>
      <c r="F127" t="s">
        <v>852</v>
      </c>
      <c r="H127" t="s">
        <v>853</v>
      </c>
    </row>
    <row r="128" spans="1:8">
      <c r="A128" t="s">
        <v>854</v>
      </c>
      <c r="B128" t="str">
        <f t="shared" si="1"/>
        <v>gp_bol-arg</v>
      </c>
      <c r="F128" t="s">
        <v>855</v>
      </c>
      <c r="H128" t="s">
        <v>856</v>
      </c>
    </row>
    <row r="129" spans="1:8">
      <c r="A129" t="s">
        <v>670</v>
      </c>
      <c r="B129" t="str">
        <f t="shared" si="1"/>
        <v>gp_blr-pol - yamal</v>
      </c>
      <c r="F129" t="s">
        <v>671</v>
      </c>
      <c r="G129" t="s">
        <v>857</v>
      </c>
      <c r="H129" t="s">
        <v>858</v>
      </c>
    </row>
    <row r="130" spans="1:8">
      <c r="A130" t="s">
        <v>859</v>
      </c>
      <c r="B130" t="str">
        <f t="shared" si="1"/>
        <v>gp_pol-deu - yamal</v>
      </c>
      <c r="F130" t="s">
        <v>860</v>
      </c>
      <c r="G130" t="s">
        <v>857</v>
      </c>
      <c r="H130" t="s">
        <v>858</v>
      </c>
    </row>
    <row r="131" spans="1:8">
      <c r="A131" t="s">
        <v>770</v>
      </c>
      <c r="B131" t="str">
        <f t="shared" si="1"/>
        <v>gp_rus-blr - yamal</v>
      </c>
      <c r="F131" t="s">
        <v>771</v>
      </c>
      <c r="G131" t="s">
        <v>857</v>
      </c>
      <c r="H131" t="s">
        <v>858</v>
      </c>
    </row>
    <row r="132" spans="1:8">
      <c r="A132" t="s">
        <v>861</v>
      </c>
      <c r="B132" t="str">
        <f t="shared" si="1"/>
        <v>gp_deu-pol - yamal-rev</v>
      </c>
      <c r="F132" t="s">
        <v>862</v>
      </c>
      <c r="G132" t="s">
        <v>863</v>
      </c>
      <c r="H132" t="s">
        <v>864</v>
      </c>
    </row>
    <row r="133" spans="1:8">
      <c r="A133" t="s">
        <v>865</v>
      </c>
      <c r="B133" t="str">
        <f t="shared" si="1"/>
        <v>gp_mmr-tha</v>
      </c>
      <c r="F133" t="s">
        <v>866</v>
      </c>
      <c r="H133" t="s">
        <v>867</v>
      </c>
    </row>
    <row r="134" spans="1:8">
      <c r="A134" t="s">
        <v>868</v>
      </c>
      <c r="B134" t="str">
        <f t="shared" ref="B134:B144" si="2">F134&amp;IF(G134="",""," - "&amp;G134)</f>
        <v>gp_bel-gbr</v>
      </c>
      <c r="F134" t="s">
        <v>869</v>
      </c>
      <c r="H134" t="s">
        <v>870</v>
      </c>
    </row>
    <row r="135" spans="1:8">
      <c r="A135" t="s">
        <v>871</v>
      </c>
      <c r="B135" t="str">
        <f t="shared" si="2"/>
        <v>gp_gbr-bel</v>
      </c>
      <c r="F135" t="s">
        <v>872</v>
      </c>
      <c r="H135" t="s">
        <v>873</v>
      </c>
    </row>
    <row r="136" spans="1:8">
      <c r="A136" t="s">
        <v>874</v>
      </c>
      <c r="B136" t="str">
        <f t="shared" si="2"/>
        <v>gp_nor-bel</v>
      </c>
      <c r="F136" t="s">
        <v>875</v>
      </c>
      <c r="H136" t="s">
        <v>876</v>
      </c>
    </row>
    <row r="137" spans="1:8">
      <c r="A137" t="s">
        <v>877</v>
      </c>
      <c r="B137" t="str">
        <f t="shared" si="2"/>
        <v>gp_rus-deu - nordstream</v>
      </c>
      <c r="F137" t="s">
        <v>878</v>
      </c>
      <c r="G137" t="s">
        <v>879</v>
      </c>
      <c r="H137" t="s">
        <v>880</v>
      </c>
    </row>
    <row r="138" spans="1:8">
      <c r="A138" t="s">
        <v>806</v>
      </c>
      <c r="B138" t="str">
        <f t="shared" si="2"/>
        <v>gp_bgr-srb</v>
      </c>
      <c r="F138" t="s">
        <v>807</v>
      </c>
      <c r="H138" t="s">
        <v>881</v>
      </c>
    </row>
    <row r="139" spans="1:8">
      <c r="A139" t="s">
        <v>582</v>
      </c>
      <c r="B139" t="str">
        <f t="shared" si="2"/>
        <v>gp_tkm-chn</v>
      </c>
      <c r="F139" t="s">
        <v>583</v>
      </c>
      <c r="H139" t="s">
        <v>882</v>
      </c>
    </row>
    <row r="140" spans="1:8">
      <c r="A140" t="s">
        <v>883</v>
      </c>
      <c r="B140" t="str">
        <f t="shared" si="2"/>
        <v>gp_irn-pak</v>
      </c>
      <c r="F140" t="s">
        <v>884</v>
      </c>
      <c r="H140" t="s">
        <v>885</v>
      </c>
    </row>
    <row r="141" spans="1:8">
      <c r="A141" t="s">
        <v>528</v>
      </c>
      <c r="B141" t="str">
        <f t="shared" si="2"/>
        <v>gp_isr-egy</v>
      </c>
      <c r="F141" t="s">
        <v>529</v>
      </c>
      <c r="H141" t="s">
        <v>886</v>
      </c>
    </row>
    <row r="142" spans="1:8">
      <c r="A142" t="s">
        <v>688</v>
      </c>
      <c r="B142" t="str">
        <f t="shared" si="2"/>
        <v>gp_ltu-lva</v>
      </c>
      <c r="F142" t="s">
        <v>689</v>
      </c>
      <c r="H142" t="s">
        <v>887</v>
      </c>
    </row>
    <row r="143" spans="1:8">
      <c r="A143" t="s">
        <v>888</v>
      </c>
      <c r="B143" t="str">
        <f t="shared" si="2"/>
        <v>gp_irn-aze</v>
      </c>
      <c r="F143" t="s">
        <v>889</v>
      </c>
      <c r="H143" t="s">
        <v>890</v>
      </c>
    </row>
    <row r="144" spans="1:8">
      <c r="A144" t="s">
        <v>749</v>
      </c>
      <c r="B144" t="str">
        <f t="shared" si="2"/>
        <v>gp_rus-ukr</v>
      </c>
      <c r="F144" t="s">
        <v>750</v>
      </c>
      <c r="H144" t="s">
        <v>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:C2"/>
  <sheetViews>
    <sheetView workbookViewId="0">
      <selection activeCell="A2" sqref="A2"/>
    </sheetView>
  </sheetViews>
  <sheetFormatPr defaultColWidth="9" defaultRowHeight="14.25"/>
  <cols>
    <col min="1" max="1" width="11.265625" customWidth="1"/>
    <col min="2" max="2" width="34.86328125" customWidth="1"/>
    <col min="3" max="3" width="20.1328125" customWidth="1"/>
    <col min="5" max="5" width="15.86328125" customWidth="1"/>
    <col min="6" max="6" width="15.3984375" customWidth="1"/>
    <col min="7" max="7" width="42.86328125" customWidth="1"/>
  </cols>
  <sheetData>
    <row r="1" spans="1:3">
      <c r="A1" t="s">
        <v>892</v>
      </c>
    </row>
    <row r="2" spans="1:3">
      <c r="A2" t="s">
        <v>216</v>
      </c>
      <c r="B2" t="s">
        <v>217</v>
      </c>
      <c r="C2" t="s">
        <v>218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1:F73"/>
  <sheetViews>
    <sheetView workbookViewId="0">
      <pane ySplit="2" topLeftCell="A53" activePane="bottomLeft" state="frozen"/>
      <selection pane="bottomLeft" activeCell="A73" sqref="A73"/>
    </sheetView>
  </sheetViews>
  <sheetFormatPr defaultColWidth="9" defaultRowHeight="14.25"/>
  <cols>
    <col min="1" max="1" width="13.73046875" customWidth="1"/>
    <col min="2" max="2" width="17.3984375" customWidth="1"/>
    <col min="3" max="3" width="28" customWidth="1"/>
    <col min="4" max="4" width="17.265625" customWidth="1"/>
    <col min="5" max="5" width="13.86328125" customWidth="1"/>
    <col min="7" max="7" width="5.265625" customWidth="1"/>
    <col min="8" max="8" width="11" customWidth="1"/>
    <col min="11" max="11" width="16.73046875" customWidth="1"/>
  </cols>
  <sheetData>
    <row r="1" spans="1:6">
      <c r="A1" t="s">
        <v>215</v>
      </c>
    </row>
    <row r="2" spans="1:6">
      <c r="A2" s="9" t="s">
        <v>216</v>
      </c>
      <c r="B2" s="9" t="s">
        <v>217</v>
      </c>
      <c r="C2" s="9" t="s">
        <v>218</v>
      </c>
      <c r="D2" s="9" t="s">
        <v>219</v>
      </c>
      <c r="E2" s="9" t="s">
        <v>220</v>
      </c>
      <c r="F2" s="9" t="s">
        <v>221</v>
      </c>
    </row>
    <row r="3" spans="1:6">
      <c r="A3" t="s">
        <v>902</v>
      </c>
      <c r="C3" t="s">
        <v>904</v>
      </c>
      <c r="D3" t="s">
        <v>419</v>
      </c>
    </row>
    <row r="4" spans="1:6">
      <c r="A4" t="s">
        <v>902</v>
      </c>
      <c r="C4" t="s">
        <v>905</v>
      </c>
      <c r="D4" t="s">
        <v>421</v>
      </c>
    </row>
    <row r="5" spans="1:6">
      <c r="A5" t="s">
        <v>902</v>
      </c>
      <c r="C5" t="s">
        <v>424</v>
      </c>
      <c r="D5" t="s">
        <v>423</v>
      </c>
    </row>
    <row r="6" spans="1:6">
      <c r="A6" t="s">
        <v>902</v>
      </c>
      <c r="C6" t="s">
        <v>426</v>
      </c>
      <c r="D6" t="s">
        <v>425</v>
      </c>
    </row>
    <row r="7" spans="1:6">
      <c r="A7" t="s">
        <v>902</v>
      </c>
      <c r="C7" t="s">
        <v>428</v>
      </c>
      <c r="D7" t="s">
        <v>427</v>
      </c>
    </row>
    <row r="8" spans="1:6">
      <c r="A8" t="s">
        <v>902</v>
      </c>
      <c r="C8" t="s">
        <v>430</v>
      </c>
      <c r="D8" t="s">
        <v>429</v>
      </c>
    </row>
    <row r="9" spans="1:6">
      <c r="A9" t="s">
        <v>902</v>
      </c>
      <c r="C9" t="s">
        <v>432</v>
      </c>
      <c r="D9" t="s">
        <v>431</v>
      </c>
    </row>
    <row r="10" spans="1:6">
      <c r="A10" t="s">
        <v>902</v>
      </c>
      <c r="C10" t="s">
        <v>434</v>
      </c>
      <c r="D10" t="s">
        <v>433</v>
      </c>
    </row>
    <row r="11" spans="1:6">
      <c r="A11" t="s">
        <v>902</v>
      </c>
      <c r="C11" t="s">
        <v>436</v>
      </c>
      <c r="D11" t="s">
        <v>435</v>
      </c>
    </row>
    <row r="12" spans="1:6">
      <c r="A12" t="s">
        <v>902</v>
      </c>
      <c r="C12" t="s">
        <v>438</v>
      </c>
      <c r="D12" t="s">
        <v>437</v>
      </c>
    </row>
    <row r="13" spans="1:6">
      <c r="A13" t="s">
        <v>902</v>
      </c>
      <c r="C13" t="s">
        <v>906</v>
      </c>
      <c r="D13" t="s">
        <v>439</v>
      </c>
    </row>
    <row r="14" spans="1:6">
      <c r="A14" t="s">
        <v>902</v>
      </c>
      <c r="C14" t="s">
        <v>907</v>
      </c>
      <c r="D14" t="s">
        <v>441</v>
      </c>
    </row>
    <row r="15" spans="1:6">
      <c r="A15" t="s">
        <v>902</v>
      </c>
      <c r="C15" t="s">
        <v>903</v>
      </c>
      <c r="D15" t="s">
        <v>898</v>
      </c>
    </row>
    <row r="16" spans="1:6">
      <c r="A16" t="s">
        <v>902</v>
      </c>
      <c r="B16" t="s">
        <v>908</v>
      </c>
      <c r="C16" t="s">
        <v>909</v>
      </c>
      <c r="D16" t="s">
        <v>91</v>
      </c>
    </row>
    <row r="17" spans="1:6">
      <c r="A17" t="s">
        <v>902</v>
      </c>
      <c r="B17" t="s">
        <v>910</v>
      </c>
      <c r="C17" t="s">
        <v>911</v>
      </c>
      <c r="D17" t="s">
        <v>91</v>
      </c>
    </row>
    <row r="18" spans="1:6">
      <c r="A18" t="s">
        <v>222</v>
      </c>
      <c r="B18" t="s">
        <v>912</v>
      </c>
      <c r="C18" t="s">
        <v>913</v>
      </c>
    </row>
    <row r="19" spans="1:6">
      <c r="A19" t="s">
        <v>222</v>
      </c>
      <c r="B19" t="s">
        <v>914</v>
      </c>
      <c r="C19" t="s">
        <v>915</v>
      </c>
    </row>
    <row r="20" spans="1:6">
      <c r="A20" t="s">
        <v>222</v>
      </c>
      <c r="B20" t="s">
        <v>916</v>
      </c>
      <c r="C20" t="s">
        <v>917</v>
      </c>
    </row>
    <row r="21" spans="1:6">
      <c r="A21" t="s">
        <v>222</v>
      </c>
      <c r="B21" t="s">
        <v>918</v>
      </c>
      <c r="C21" t="s">
        <v>919</v>
      </c>
    </row>
    <row r="22" spans="1:6">
      <c r="A22" t="s">
        <v>222</v>
      </c>
      <c r="B22" t="s">
        <v>920</v>
      </c>
      <c r="C22" t="s">
        <v>921</v>
      </c>
    </row>
    <row r="23" spans="1:6">
      <c r="A23" t="s">
        <v>222</v>
      </c>
      <c r="B23" t="s">
        <v>922</v>
      </c>
      <c r="C23" t="s">
        <v>923</v>
      </c>
    </row>
    <row r="24" spans="1:6">
      <c r="A24" t="s">
        <v>222</v>
      </c>
      <c r="B24" t="s">
        <v>924</v>
      </c>
      <c r="C24" t="s">
        <v>925</v>
      </c>
    </row>
    <row r="25" spans="1:6">
      <c r="A25" t="s">
        <v>222</v>
      </c>
      <c r="B25" t="s">
        <v>926</v>
      </c>
      <c r="C25" t="s">
        <v>927</v>
      </c>
    </row>
    <row r="26" spans="1:6">
      <c r="A26" t="s">
        <v>222</v>
      </c>
      <c r="B26" t="s">
        <v>928</v>
      </c>
      <c r="C26" t="s">
        <v>929</v>
      </c>
    </row>
    <row r="27" spans="1:6">
      <c r="A27" t="s">
        <v>222</v>
      </c>
      <c r="B27" t="s">
        <v>930</v>
      </c>
      <c r="C27" t="s">
        <v>931</v>
      </c>
    </row>
    <row r="28" spans="1:6">
      <c r="A28" t="s">
        <v>222</v>
      </c>
      <c r="B28" t="s">
        <v>932</v>
      </c>
      <c r="C28" t="s">
        <v>933</v>
      </c>
    </row>
    <row r="29" spans="1:6">
      <c r="A29" t="s">
        <v>222</v>
      </c>
      <c r="B29" t="s">
        <v>934</v>
      </c>
      <c r="C29" t="s">
        <v>935</v>
      </c>
    </row>
    <row r="30" spans="1:6">
      <c r="A30" t="s">
        <v>222</v>
      </c>
      <c r="C30" t="s">
        <v>275</v>
      </c>
      <c r="D30" t="s">
        <v>109</v>
      </c>
      <c r="E30" t="s">
        <v>936</v>
      </c>
      <c r="F30" t="s">
        <v>937</v>
      </c>
    </row>
    <row r="31" spans="1:6">
      <c r="A31" t="s">
        <v>222</v>
      </c>
      <c r="C31" t="s">
        <v>277</v>
      </c>
      <c r="D31" t="s">
        <v>109</v>
      </c>
      <c r="E31" t="s">
        <v>938</v>
      </c>
      <c r="F31" t="s">
        <v>937</v>
      </c>
    </row>
    <row r="32" spans="1:6">
      <c r="A32" t="s">
        <v>222</v>
      </c>
      <c r="C32" t="s">
        <v>279</v>
      </c>
      <c r="D32" t="s">
        <v>109</v>
      </c>
      <c r="E32" t="s">
        <v>939</v>
      </c>
      <c r="F32" t="s">
        <v>937</v>
      </c>
    </row>
    <row r="33" spans="1:6">
      <c r="A33" t="s">
        <v>222</v>
      </c>
      <c r="C33" t="s">
        <v>281</v>
      </c>
      <c r="D33" t="s">
        <v>109</v>
      </c>
      <c r="E33" t="s">
        <v>940</v>
      </c>
    </row>
    <row r="34" spans="1:6">
      <c r="A34" t="s">
        <v>222</v>
      </c>
      <c r="C34" t="s">
        <v>283</v>
      </c>
      <c r="D34" t="s">
        <v>109</v>
      </c>
      <c r="E34" t="s">
        <v>941</v>
      </c>
    </row>
    <row r="35" spans="1:6">
      <c r="A35" t="s">
        <v>222</v>
      </c>
      <c r="C35" t="s">
        <v>285</v>
      </c>
      <c r="D35" t="s">
        <v>109</v>
      </c>
      <c r="E35" t="s">
        <v>942</v>
      </c>
    </row>
    <row r="36" spans="1:6">
      <c r="A36" t="s">
        <v>222</v>
      </c>
      <c r="C36" t="s">
        <v>287</v>
      </c>
      <c r="D36" t="s">
        <v>109</v>
      </c>
      <c r="E36" t="s">
        <v>943</v>
      </c>
    </row>
    <row r="37" spans="1:6">
      <c r="A37" t="s">
        <v>222</v>
      </c>
      <c r="C37" t="s">
        <v>289</v>
      </c>
      <c r="D37" t="s">
        <v>109</v>
      </c>
      <c r="E37" t="s">
        <v>944</v>
      </c>
    </row>
    <row r="38" spans="1:6">
      <c r="A38" t="s">
        <v>222</v>
      </c>
      <c r="C38" t="s">
        <v>291</v>
      </c>
      <c r="D38" t="s">
        <v>109</v>
      </c>
      <c r="E38" t="s">
        <v>945</v>
      </c>
    </row>
    <row r="39" spans="1:6">
      <c r="A39" t="s">
        <v>222</v>
      </c>
      <c r="C39" t="s">
        <v>293</v>
      </c>
      <c r="D39" t="s">
        <v>109</v>
      </c>
      <c r="E39" t="s">
        <v>946</v>
      </c>
    </row>
    <row r="40" spans="1:6">
      <c r="A40" t="s">
        <v>222</v>
      </c>
      <c r="C40" t="s">
        <v>295</v>
      </c>
      <c r="D40" t="s">
        <v>109</v>
      </c>
      <c r="E40" t="s">
        <v>947</v>
      </c>
    </row>
    <row r="41" spans="1:6">
      <c r="A41" t="s">
        <v>222</v>
      </c>
      <c r="C41" t="s">
        <v>297</v>
      </c>
      <c r="D41" t="s">
        <v>109</v>
      </c>
      <c r="E41" t="s">
        <v>1142</v>
      </c>
    </row>
    <row r="42" spans="1:6">
      <c r="A42" t="s">
        <v>222</v>
      </c>
      <c r="C42" t="s">
        <v>299</v>
      </c>
      <c r="D42" t="s">
        <v>109</v>
      </c>
      <c r="E42" t="s">
        <v>948</v>
      </c>
    </row>
    <row r="43" spans="1:6">
      <c r="A43" t="s">
        <v>222</v>
      </c>
      <c r="C43" t="s">
        <v>301</v>
      </c>
      <c r="D43" t="s">
        <v>109</v>
      </c>
      <c r="E43" t="s">
        <v>1143</v>
      </c>
    </row>
    <row r="44" spans="1:6">
      <c r="A44" t="s">
        <v>222</v>
      </c>
      <c r="C44" t="s">
        <v>303</v>
      </c>
      <c r="D44" t="s">
        <v>109</v>
      </c>
      <c r="E44" t="s">
        <v>936</v>
      </c>
      <c r="F44" t="s">
        <v>949</v>
      </c>
    </row>
    <row r="45" spans="1:6">
      <c r="A45" t="s">
        <v>222</v>
      </c>
      <c r="C45" t="s">
        <v>305</v>
      </c>
      <c r="D45" t="s">
        <v>109</v>
      </c>
      <c r="E45" t="s">
        <v>938</v>
      </c>
      <c r="F45" t="s">
        <v>949</v>
      </c>
    </row>
    <row r="46" spans="1:6">
      <c r="A46" t="s">
        <v>222</v>
      </c>
      <c r="C46" t="s">
        <v>307</v>
      </c>
      <c r="D46" t="s">
        <v>109</v>
      </c>
      <c r="E46" t="s">
        <v>939</v>
      </c>
      <c r="F46" t="s">
        <v>949</v>
      </c>
    </row>
    <row r="47" spans="1:6">
      <c r="A47" t="s">
        <v>222</v>
      </c>
      <c r="C47" t="s">
        <v>1144</v>
      </c>
      <c r="D47" t="s">
        <v>109</v>
      </c>
      <c r="E47" t="s">
        <v>1145</v>
      </c>
    </row>
    <row r="48" spans="1:6">
      <c r="A48" t="s">
        <v>222</v>
      </c>
      <c r="C48" t="s">
        <v>899</v>
      </c>
      <c r="D48" t="s">
        <v>201</v>
      </c>
      <c r="F48" t="s">
        <v>950</v>
      </c>
    </row>
    <row r="49" spans="1:6">
      <c r="A49" t="s">
        <v>222</v>
      </c>
      <c r="C49" t="s">
        <v>951</v>
      </c>
      <c r="D49" t="s">
        <v>201</v>
      </c>
      <c r="F49" t="s">
        <v>952</v>
      </c>
    </row>
    <row r="50" spans="1:6">
      <c r="A50" t="s">
        <v>222</v>
      </c>
      <c r="C50" t="s">
        <v>953</v>
      </c>
      <c r="E50" t="s">
        <v>954</v>
      </c>
      <c r="F50" t="s">
        <v>81</v>
      </c>
    </row>
    <row r="51" spans="1:6">
      <c r="A51" t="s">
        <v>222</v>
      </c>
      <c r="C51" t="s">
        <v>955</v>
      </c>
      <c r="E51" t="s">
        <v>956</v>
      </c>
      <c r="F51" t="s">
        <v>81</v>
      </c>
    </row>
    <row r="52" spans="1:6">
      <c r="A52" t="s">
        <v>222</v>
      </c>
      <c r="C52" t="s">
        <v>957</v>
      </c>
      <c r="E52" t="s">
        <v>958</v>
      </c>
      <c r="F52" t="s">
        <v>81</v>
      </c>
    </row>
    <row r="53" spans="1:6">
      <c r="A53" t="s">
        <v>222</v>
      </c>
      <c r="B53" t="s">
        <v>900</v>
      </c>
      <c r="C53" t="s">
        <v>901</v>
      </c>
    </row>
    <row r="54" spans="1:6">
      <c r="A54" t="s">
        <v>222</v>
      </c>
      <c r="C54" t="s">
        <v>959</v>
      </c>
      <c r="D54" t="s">
        <v>960</v>
      </c>
    </row>
    <row r="55" spans="1:6">
      <c r="A55" t="s">
        <v>222</v>
      </c>
      <c r="C55" t="s">
        <v>291</v>
      </c>
      <c r="D55" t="s">
        <v>961</v>
      </c>
    </row>
    <row r="56" spans="1:6">
      <c r="A56" t="s">
        <v>222</v>
      </c>
      <c r="C56" t="s">
        <v>962</v>
      </c>
      <c r="D56" t="s">
        <v>963</v>
      </c>
    </row>
    <row r="57" spans="1:6">
      <c r="A57" t="s">
        <v>222</v>
      </c>
      <c r="C57" t="s">
        <v>964</v>
      </c>
      <c r="D57" t="s">
        <v>965</v>
      </c>
    </row>
    <row r="58" spans="1:6">
      <c r="A58" t="s">
        <v>222</v>
      </c>
      <c r="C58" t="s">
        <v>966</v>
      </c>
      <c r="D58" t="s">
        <v>967</v>
      </c>
    </row>
    <row r="59" spans="1:6">
      <c r="A59" t="s">
        <v>222</v>
      </c>
      <c r="C59" t="s">
        <v>968</v>
      </c>
      <c r="D59" t="s">
        <v>969</v>
      </c>
    </row>
    <row r="60" spans="1:6">
      <c r="A60" t="s">
        <v>222</v>
      </c>
      <c r="C60" t="s">
        <v>970</v>
      </c>
      <c r="D60" t="s">
        <v>971</v>
      </c>
    </row>
    <row r="61" spans="1:6">
      <c r="A61" t="s">
        <v>222</v>
      </c>
      <c r="C61" t="s">
        <v>972</v>
      </c>
      <c r="D61" t="s">
        <v>973</v>
      </c>
    </row>
    <row r="62" spans="1:6">
      <c r="A62" t="s">
        <v>222</v>
      </c>
      <c r="C62" t="s">
        <v>974</v>
      </c>
      <c r="D62" t="s">
        <v>975</v>
      </c>
    </row>
    <row r="63" spans="1:6">
      <c r="A63" t="s">
        <v>222</v>
      </c>
      <c r="C63" t="s">
        <v>976</v>
      </c>
      <c r="D63" t="s">
        <v>977</v>
      </c>
    </row>
    <row r="64" spans="1:6">
      <c r="A64" t="s">
        <v>222</v>
      </c>
      <c r="C64" t="s">
        <v>978</v>
      </c>
      <c r="D64" t="s">
        <v>979</v>
      </c>
    </row>
    <row r="65" spans="1:4">
      <c r="A65" t="s">
        <v>222</v>
      </c>
      <c r="C65" t="s">
        <v>980</v>
      </c>
      <c r="D65" t="s">
        <v>981</v>
      </c>
    </row>
    <row r="66" spans="1:4">
      <c r="A66" t="s">
        <v>222</v>
      </c>
      <c r="C66" t="s">
        <v>982</v>
      </c>
      <c r="D66" t="s">
        <v>983</v>
      </c>
    </row>
    <row r="67" spans="1:4">
      <c r="A67" t="s">
        <v>222</v>
      </c>
      <c r="C67" t="s">
        <v>984</v>
      </c>
      <c r="D67" t="s">
        <v>985</v>
      </c>
    </row>
    <row r="68" spans="1:4">
      <c r="A68" t="s">
        <v>222</v>
      </c>
      <c r="C68" t="s">
        <v>986</v>
      </c>
      <c r="D68" t="s">
        <v>987</v>
      </c>
    </row>
    <row r="69" spans="1:4">
      <c r="A69" t="s">
        <v>222</v>
      </c>
      <c r="C69" t="s">
        <v>988</v>
      </c>
      <c r="D69" t="s">
        <v>989</v>
      </c>
    </row>
    <row r="70" spans="1:4">
      <c r="A70" t="s">
        <v>222</v>
      </c>
      <c r="C70" t="s">
        <v>990</v>
      </c>
      <c r="D70" t="s">
        <v>991</v>
      </c>
    </row>
    <row r="71" spans="1:4">
      <c r="A71" t="s">
        <v>222</v>
      </c>
      <c r="C71" t="s">
        <v>992</v>
      </c>
      <c r="D71" t="s">
        <v>993</v>
      </c>
    </row>
    <row r="72" spans="1:4">
      <c r="A72" t="s">
        <v>994</v>
      </c>
      <c r="C72" t="s">
        <v>995</v>
      </c>
      <c r="D72" t="s">
        <v>183</v>
      </c>
    </row>
    <row r="73" spans="1:4">
      <c r="A73" t="s">
        <v>994</v>
      </c>
      <c r="C73" t="s">
        <v>996</v>
      </c>
      <c r="D73" t="s">
        <v>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F74"/>
  <sheetViews>
    <sheetView workbookViewId="0">
      <pane ySplit="2" topLeftCell="A3" activePane="bottomLeft" state="frozen"/>
      <selection pane="bottomLeft" activeCell="A3" sqref="A3"/>
    </sheetView>
  </sheetViews>
  <sheetFormatPr defaultColWidth="9" defaultRowHeight="14.25"/>
  <cols>
    <col min="1" max="1" width="17" customWidth="1"/>
    <col min="2" max="2" width="20.1328125" customWidth="1"/>
    <col min="3" max="3" width="13.73046875" customWidth="1"/>
  </cols>
  <sheetData>
    <row r="1" spans="1:6">
      <c r="A1" t="s">
        <v>997</v>
      </c>
    </row>
    <row r="2" spans="1:6">
      <c r="A2" s="9" t="s">
        <v>216</v>
      </c>
      <c r="B2" s="9" t="s">
        <v>217</v>
      </c>
      <c r="C2" s="9" t="s">
        <v>218</v>
      </c>
      <c r="D2" s="9" t="s">
        <v>998</v>
      </c>
      <c r="E2" s="10" t="s">
        <v>999</v>
      </c>
      <c r="F2" s="10" t="s">
        <v>1000</v>
      </c>
    </row>
    <row r="3" spans="1:6">
      <c r="A3" t="s">
        <v>893</v>
      </c>
      <c r="B3" t="s">
        <v>950</v>
      </c>
      <c r="C3" t="s">
        <v>1001</v>
      </c>
    </row>
    <row r="4" spans="1:6">
      <c r="A4" t="s">
        <v>893</v>
      </c>
      <c r="B4" t="s">
        <v>74</v>
      </c>
      <c r="C4" t="s">
        <v>455</v>
      </c>
    </row>
    <row r="5" spans="1:6">
      <c r="A5" t="s">
        <v>893</v>
      </c>
      <c r="B5" t="s">
        <v>1002</v>
      </c>
      <c r="C5" t="s">
        <v>457</v>
      </c>
    </row>
    <row r="6" spans="1:6">
      <c r="A6" t="s">
        <v>893</v>
      </c>
      <c r="B6" t="s">
        <v>1003</v>
      </c>
      <c r="C6" t="str">
        <f>B6</f>
        <v>LOHC</v>
      </c>
    </row>
    <row r="7" spans="1:6">
      <c r="A7" t="s">
        <v>893</v>
      </c>
      <c r="B7" t="s">
        <v>1004</v>
      </c>
      <c r="C7" t="str">
        <f>B7</f>
        <v>Ammonia</v>
      </c>
    </row>
    <row r="8" spans="1:6">
      <c r="A8" t="s">
        <v>893</v>
      </c>
      <c r="B8" t="s">
        <v>1005</v>
      </c>
      <c r="C8" t="s">
        <v>466</v>
      </c>
    </row>
    <row r="9" spans="1:6">
      <c r="A9" t="s">
        <v>893</v>
      </c>
      <c r="B9" t="s">
        <v>1006</v>
      </c>
      <c r="C9" t="s">
        <v>287</v>
      </c>
    </row>
    <row r="10" spans="1:6">
      <c r="A10" t="s">
        <v>893</v>
      </c>
      <c r="B10" t="s">
        <v>1007</v>
      </c>
      <c r="C10" t="s">
        <v>279</v>
      </c>
    </row>
    <row r="11" spans="1:6">
      <c r="A11" t="s">
        <v>893</v>
      </c>
      <c r="B11" t="s">
        <v>1008</v>
      </c>
      <c r="C11" t="s">
        <v>277</v>
      </c>
    </row>
    <row r="12" spans="1:6">
      <c r="A12" t="s">
        <v>893</v>
      </c>
      <c r="B12" t="s">
        <v>1009</v>
      </c>
      <c r="C12" t="s">
        <v>1010</v>
      </c>
    </row>
    <row r="13" spans="1:6">
      <c r="A13" t="s">
        <v>893</v>
      </c>
      <c r="C13" t="s">
        <v>450</v>
      </c>
      <c r="D13" t="s">
        <v>208</v>
      </c>
    </row>
    <row r="14" spans="1:6">
      <c r="A14" t="s">
        <v>893</v>
      </c>
      <c r="B14" t="s">
        <v>1011</v>
      </c>
      <c r="C14" t="s">
        <v>291</v>
      </c>
    </row>
    <row r="15" spans="1:6">
      <c r="A15" t="s">
        <v>893</v>
      </c>
      <c r="B15" t="s">
        <v>1012</v>
      </c>
      <c r="C15" t="s">
        <v>976</v>
      </c>
    </row>
    <row r="16" spans="1:6">
      <c r="A16" t="s">
        <v>893</v>
      </c>
      <c r="B16" t="s">
        <v>1013</v>
      </c>
      <c r="C16" t="s">
        <v>990</v>
      </c>
    </row>
    <row r="17" spans="1:3">
      <c r="A17" t="s">
        <v>893</v>
      </c>
      <c r="B17" t="s">
        <v>1014</v>
      </c>
      <c r="C17" t="s">
        <v>959</v>
      </c>
    </row>
    <row r="18" spans="1:3">
      <c r="A18" t="s">
        <v>893</v>
      </c>
      <c r="B18" t="s">
        <v>1015</v>
      </c>
      <c r="C18" t="s">
        <v>992</v>
      </c>
    </row>
    <row r="19" spans="1:3">
      <c r="A19" t="s">
        <v>893</v>
      </c>
      <c r="B19" t="s">
        <v>1016</v>
      </c>
      <c r="C19" t="s">
        <v>297</v>
      </c>
    </row>
    <row r="20" spans="1:3">
      <c r="A20" t="s">
        <v>893</v>
      </c>
      <c r="B20" t="s">
        <v>1017</v>
      </c>
      <c r="C20" t="s">
        <v>1018</v>
      </c>
    </row>
    <row r="21" spans="1:3">
      <c r="A21" t="s">
        <v>893</v>
      </c>
      <c r="B21" t="s">
        <v>1019</v>
      </c>
      <c r="C21" t="s">
        <v>1020</v>
      </c>
    </row>
    <row r="22" spans="1:3">
      <c r="A22" t="s">
        <v>893</v>
      </c>
      <c r="B22" t="s">
        <v>1021</v>
      </c>
      <c r="C22" t="s">
        <v>1022</v>
      </c>
    </row>
    <row r="23" spans="1:3">
      <c r="A23" t="s">
        <v>893</v>
      </c>
      <c r="B23" t="s">
        <v>1023</v>
      </c>
      <c r="C23" t="s">
        <v>1024</v>
      </c>
    </row>
    <row r="24" spans="1:3">
      <c r="A24" t="s">
        <v>893</v>
      </c>
      <c r="B24" t="s">
        <v>1025</v>
      </c>
      <c r="C24" t="s">
        <v>1026</v>
      </c>
    </row>
    <row r="25" spans="1:3">
      <c r="A25" t="s">
        <v>893</v>
      </c>
      <c r="B25" t="s">
        <v>1027</v>
      </c>
      <c r="C25" t="s">
        <v>295</v>
      </c>
    </row>
    <row r="26" spans="1:3">
      <c r="A26" t="s">
        <v>893</v>
      </c>
      <c r="B26" t="s">
        <v>1028</v>
      </c>
      <c r="C26" t="s">
        <v>293</v>
      </c>
    </row>
    <row r="27" spans="1:3">
      <c r="A27" t="s">
        <v>893</v>
      </c>
      <c r="B27" t="s">
        <v>1029</v>
      </c>
      <c r="C27" t="s">
        <v>301</v>
      </c>
    </row>
    <row r="28" spans="1:3">
      <c r="A28" t="s">
        <v>893</v>
      </c>
      <c r="B28" t="s">
        <v>1030</v>
      </c>
      <c r="C28" t="s">
        <v>1031</v>
      </c>
    </row>
    <row r="29" spans="1:3">
      <c r="A29" t="s">
        <v>893</v>
      </c>
      <c r="B29" t="s">
        <v>1032</v>
      </c>
      <c r="C29" t="s">
        <v>1033</v>
      </c>
    </row>
    <row r="30" spans="1:3">
      <c r="A30" t="s">
        <v>893</v>
      </c>
      <c r="B30" t="s">
        <v>1034</v>
      </c>
      <c r="C30" t="s">
        <v>1035</v>
      </c>
    </row>
    <row r="31" spans="1:3">
      <c r="A31" t="s">
        <v>893</v>
      </c>
      <c r="B31" t="s">
        <v>1036</v>
      </c>
      <c r="C31" t="s">
        <v>1037</v>
      </c>
    </row>
    <row r="32" spans="1:3">
      <c r="A32" t="s">
        <v>893</v>
      </c>
      <c r="B32" t="s">
        <v>1038</v>
      </c>
      <c r="C32" t="s">
        <v>1039</v>
      </c>
    </row>
    <row r="33" spans="1:4">
      <c r="A33" t="s">
        <v>893</v>
      </c>
      <c r="B33" t="s">
        <v>1040</v>
      </c>
      <c r="C33" t="s">
        <v>1041</v>
      </c>
    </row>
    <row r="34" spans="1:4">
      <c r="A34" t="s">
        <v>893</v>
      </c>
      <c r="B34" t="s">
        <v>1042</v>
      </c>
      <c r="C34" t="s">
        <v>1043</v>
      </c>
    </row>
    <row r="35" spans="1:4">
      <c r="A35" t="s">
        <v>893</v>
      </c>
      <c r="B35" t="s">
        <v>1044</v>
      </c>
      <c r="C35" t="s">
        <v>1045</v>
      </c>
    </row>
    <row r="36" spans="1:4">
      <c r="A36" t="s">
        <v>893</v>
      </c>
      <c r="B36" t="s">
        <v>1046</v>
      </c>
      <c r="C36" t="s">
        <v>1047</v>
      </c>
    </row>
    <row r="37" spans="1:4">
      <c r="A37" t="s">
        <v>893</v>
      </c>
      <c r="B37" t="s">
        <v>1048</v>
      </c>
      <c r="C37" t="s">
        <v>1049</v>
      </c>
    </row>
    <row r="38" spans="1:4">
      <c r="A38" t="s">
        <v>893</v>
      </c>
      <c r="B38" t="s">
        <v>1050</v>
      </c>
      <c r="C38" t="s">
        <v>283</v>
      </c>
    </row>
    <row r="39" spans="1:4">
      <c r="A39" t="s">
        <v>893</v>
      </c>
      <c r="B39" t="s">
        <v>1051</v>
      </c>
      <c r="C39" t="s">
        <v>285</v>
      </c>
    </row>
    <row r="40" spans="1:4">
      <c r="A40" t="s">
        <v>893</v>
      </c>
      <c r="B40" t="s">
        <v>1052</v>
      </c>
      <c r="C40" t="s">
        <v>277</v>
      </c>
    </row>
    <row r="41" spans="1:4">
      <c r="A41" t="s">
        <v>893</v>
      </c>
      <c r="B41" t="s">
        <v>1053</v>
      </c>
      <c r="C41" t="s">
        <v>279</v>
      </c>
    </row>
    <row r="42" spans="1:4">
      <c r="A42" t="s">
        <v>893</v>
      </c>
      <c r="B42" t="s">
        <v>1054</v>
      </c>
      <c r="C42" t="s">
        <v>287</v>
      </c>
    </row>
    <row r="43" spans="1:4">
      <c r="A43" t="s">
        <v>893</v>
      </c>
      <c r="B43" t="s">
        <v>1055</v>
      </c>
      <c r="C43" t="s">
        <v>293</v>
      </c>
    </row>
    <row r="44" spans="1:4">
      <c r="A44" t="s">
        <v>893</v>
      </c>
      <c r="B44" t="s">
        <v>1056</v>
      </c>
      <c r="C44" t="s">
        <v>275</v>
      </c>
    </row>
    <row r="45" spans="1:4">
      <c r="A45" t="s">
        <v>1057</v>
      </c>
      <c r="C45" t="s">
        <v>297</v>
      </c>
      <c r="D45" t="s">
        <v>445</v>
      </c>
    </row>
    <row r="46" spans="1:4">
      <c r="A46" t="s">
        <v>1057</v>
      </c>
      <c r="C46" t="s">
        <v>301</v>
      </c>
      <c r="D46" t="s">
        <v>446</v>
      </c>
    </row>
    <row r="47" spans="1:4">
      <c r="A47" t="s">
        <v>1057</v>
      </c>
      <c r="C47" t="s">
        <v>295</v>
      </c>
      <c r="D47" t="s">
        <v>447</v>
      </c>
    </row>
    <row r="48" spans="1:4">
      <c r="A48" t="s">
        <v>1057</v>
      </c>
      <c r="C48" t="s">
        <v>449</v>
      </c>
      <c r="D48" t="s">
        <v>448</v>
      </c>
    </row>
    <row r="49" spans="1:4">
      <c r="A49" t="s">
        <v>1057</v>
      </c>
      <c r="C49" t="s">
        <v>450</v>
      </c>
      <c r="D49" t="s">
        <v>208</v>
      </c>
    </row>
    <row r="50" spans="1:4">
      <c r="A50" t="s">
        <v>1057</v>
      </c>
      <c r="C50" t="s">
        <v>285</v>
      </c>
      <c r="D50" t="s">
        <v>451</v>
      </c>
    </row>
    <row r="51" spans="1:4">
      <c r="A51" t="s">
        <v>1057</v>
      </c>
      <c r="C51" t="s">
        <v>453</v>
      </c>
      <c r="D51" t="s">
        <v>452</v>
      </c>
    </row>
    <row r="52" spans="1:4">
      <c r="A52" t="s">
        <v>1057</v>
      </c>
      <c r="C52" t="s">
        <v>455</v>
      </c>
      <c r="D52" t="s">
        <v>454</v>
      </c>
    </row>
    <row r="53" spans="1:4">
      <c r="A53" t="s">
        <v>1057</v>
      </c>
      <c r="C53" t="s">
        <v>279</v>
      </c>
      <c r="D53" t="s">
        <v>209</v>
      </c>
    </row>
    <row r="54" spans="1:4">
      <c r="A54" t="s">
        <v>1057</v>
      </c>
      <c r="C54" t="s">
        <v>277</v>
      </c>
      <c r="D54" t="s">
        <v>458</v>
      </c>
    </row>
    <row r="55" spans="1:4">
      <c r="A55" t="s">
        <v>1057</v>
      </c>
      <c r="C55" t="s">
        <v>460</v>
      </c>
      <c r="D55" t="s">
        <v>459</v>
      </c>
    </row>
    <row r="56" spans="1:4">
      <c r="A56" t="s">
        <v>1057</v>
      </c>
      <c r="C56" t="s">
        <v>462</v>
      </c>
      <c r="D56" t="s">
        <v>461</v>
      </c>
    </row>
    <row r="57" spans="1:4">
      <c r="A57" t="s">
        <v>1057</v>
      </c>
      <c r="C57" t="s">
        <v>464</v>
      </c>
      <c r="D57" t="s">
        <v>463</v>
      </c>
    </row>
    <row r="58" spans="1:4">
      <c r="A58" t="s">
        <v>1057</v>
      </c>
      <c r="C58" t="s">
        <v>466</v>
      </c>
      <c r="D58" t="s">
        <v>465</v>
      </c>
    </row>
    <row r="59" spans="1:4">
      <c r="A59" t="s">
        <v>1057</v>
      </c>
      <c r="C59" t="s">
        <v>1058</v>
      </c>
      <c r="D59" t="s">
        <v>467</v>
      </c>
    </row>
    <row r="60" spans="1:4">
      <c r="A60" t="s">
        <v>1057</v>
      </c>
      <c r="C60" t="s">
        <v>1059</v>
      </c>
      <c r="D60" t="s">
        <v>1060</v>
      </c>
    </row>
    <row r="61" spans="1:4">
      <c r="A61" t="s">
        <v>1057</v>
      </c>
      <c r="B61" s="17" t="s">
        <v>1061</v>
      </c>
      <c r="C61" t="s">
        <v>1062</v>
      </c>
      <c r="D61" t="s">
        <v>456</v>
      </c>
    </row>
    <row r="62" spans="1:4">
      <c r="A62" t="s">
        <v>1057</v>
      </c>
      <c r="B62" s="17" t="s">
        <v>1063</v>
      </c>
      <c r="C62" t="s">
        <v>1062</v>
      </c>
    </row>
    <row r="63" spans="1:4">
      <c r="A63" t="s">
        <v>1064</v>
      </c>
      <c r="C63" t="s">
        <v>896</v>
      </c>
      <c r="D63" t="s">
        <v>54</v>
      </c>
    </row>
    <row r="64" spans="1:4">
      <c r="A64" t="s">
        <v>1064</v>
      </c>
      <c r="C64" t="s">
        <v>1065</v>
      </c>
      <c r="D64" t="s">
        <v>129</v>
      </c>
    </row>
    <row r="65" spans="1:6">
      <c r="A65" t="s">
        <v>1064</v>
      </c>
      <c r="C65" t="s">
        <v>894</v>
      </c>
      <c r="D65" t="s">
        <v>146</v>
      </c>
    </row>
    <row r="66" spans="1:6">
      <c r="A66" t="s">
        <v>1064</v>
      </c>
      <c r="C66" t="s">
        <v>1066</v>
      </c>
      <c r="D66" t="s">
        <v>212</v>
      </c>
    </row>
    <row r="67" spans="1:6">
      <c r="A67" t="s">
        <v>1064</v>
      </c>
      <c r="C67" t="s">
        <v>1067</v>
      </c>
      <c r="E67" t="s">
        <v>1068</v>
      </c>
    </row>
    <row r="68" spans="1:6">
      <c r="A68" t="s">
        <v>1069</v>
      </c>
      <c r="B68" t="s">
        <v>1070</v>
      </c>
      <c r="C68" t="s">
        <v>897</v>
      </c>
    </row>
    <row r="69" spans="1:6">
      <c r="A69" t="s">
        <v>1069</v>
      </c>
      <c r="B69" t="s">
        <v>1071</v>
      </c>
      <c r="C69" t="s">
        <v>895</v>
      </c>
    </row>
    <row r="70" spans="1:6">
      <c r="A70" t="s">
        <v>1069</v>
      </c>
      <c r="B70" t="s">
        <v>1072</v>
      </c>
      <c r="C70" t="s">
        <v>316</v>
      </c>
    </row>
    <row r="71" spans="1:6">
      <c r="A71" t="s">
        <v>1069</v>
      </c>
      <c r="B71" t="s">
        <v>1073</v>
      </c>
      <c r="C71" t="s">
        <v>140</v>
      </c>
    </row>
    <row r="72" spans="1:6">
      <c r="A72" t="s">
        <v>1069</v>
      </c>
      <c r="B72" t="s">
        <v>1074</v>
      </c>
      <c r="C72" t="s">
        <v>457</v>
      </c>
    </row>
    <row r="73" spans="1:6">
      <c r="A73" t="s">
        <v>1075</v>
      </c>
      <c r="B73" t="s">
        <v>207</v>
      </c>
      <c r="C73" t="s">
        <v>1076</v>
      </c>
      <c r="F73" t="s">
        <v>1077</v>
      </c>
    </row>
    <row r="74" spans="1:6">
      <c r="A74" t="s">
        <v>1075</v>
      </c>
      <c r="B74" t="s">
        <v>1078</v>
      </c>
      <c r="C74" t="s">
        <v>1079</v>
      </c>
      <c r="F74" t="s">
        <v>1077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1"/>
  <dimension ref="A1:N32"/>
  <sheetViews>
    <sheetView workbookViewId="0">
      <selection activeCell="D32" sqref="D32"/>
    </sheetView>
  </sheetViews>
  <sheetFormatPr defaultColWidth="9" defaultRowHeight="14.25"/>
  <cols>
    <col min="1" max="1" width="9.1328125" customWidth="1"/>
    <col min="2" max="2" width="10" customWidth="1"/>
    <col min="3" max="3" width="17.265625" customWidth="1"/>
    <col min="4" max="4" width="8" customWidth="1"/>
    <col min="6" max="6" width="2" customWidth="1"/>
    <col min="7" max="7" width="12.73046875" customWidth="1"/>
    <col min="8" max="8" width="5" customWidth="1"/>
    <col min="9" max="9" width="2" customWidth="1"/>
    <col min="10" max="10" width="17.265625" customWidth="1"/>
    <col min="17" max="17" width="14.73046875" customWidth="1"/>
  </cols>
  <sheetData>
    <row r="1" spans="1:14">
      <c r="A1" t="s">
        <v>1080</v>
      </c>
    </row>
    <row r="2" spans="1:14">
      <c r="A2" t="s">
        <v>1081</v>
      </c>
      <c r="B2" s="1" t="s">
        <v>1082</v>
      </c>
      <c r="C2" s="1" t="s">
        <v>1083</v>
      </c>
      <c r="D2" s="1" t="s">
        <v>1084</v>
      </c>
    </row>
    <row r="3" spans="1:14">
      <c r="A3" t="s">
        <v>1085</v>
      </c>
      <c r="B3" t="s">
        <v>88</v>
      </c>
      <c r="C3" t="s">
        <v>88</v>
      </c>
      <c r="D3">
        <v>1</v>
      </c>
      <c r="G3" s="2" t="s">
        <v>1086</v>
      </c>
      <c r="H3" s="3">
        <v>1.1299999999999999</v>
      </c>
      <c r="J3" s="7" t="s">
        <v>1087</v>
      </c>
      <c r="L3">
        <f>218/172.2</f>
        <v>1.26596980255517</v>
      </c>
      <c r="M3">
        <f>1/L3</f>
        <v>0.78990825688073396</v>
      </c>
    </row>
    <row r="4" spans="1:14">
      <c r="A4" t="s">
        <v>1085</v>
      </c>
      <c r="B4" t="s">
        <v>166</v>
      </c>
      <c r="C4" t="s">
        <v>1088</v>
      </c>
      <c r="D4" s="4">
        <f>H5</f>
        <v>1</v>
      </c>
      <c r="G4" s="2" t="s">
        <v>1089</v>
      </c>
      <c r="H4" s="3">
        <f>1/0.81</f>
        <v>1.2345679012345701</v>
      </c>
      <c r="J4" s="2" t="s">
        <v>1090</v>
      </c>
    </row>
    <row r="5" spans="1:14">
      <c r="A5" t="s">
        <v>1085</v>
      </c>
      <c r="B5" t="s">
        <v>1091</v>
      </c>
      <c r="C5" t="s">
        <v>1092</v>
      </c>
      <c r="D5">
        <v>1E-3</v>
      </c>
      <c r="G5" s="2" t="s">
        <v>1093</v>
      </c>
      <c r="H5" s="5">
        <v>1</v>
      </c>
      <c r="J5" s="2" t="s">
        <v>1094</v>
      </c>
    </row>
    <row r="6" spans="1:14">
      <c r="A6" t="s">
        <v>1085</v>
      </c>
      <c r="B6" t="s">
        <v>148</v>
      </c>
      <c r="C6" t="s">
        <v>1095</v>
      </c>
      <c r="D6">
        <v>1E-3</v>
      </c>
      <c r="G6" s="2" t="s">
        <v>1096</v>
      </c>
      <c r="H6" s="5">
        <v>0.92207697563197399</v>
      </c>
      <c r="J6" s="2" t="s">
        <v>255</v>
      </c>
    </row>
    <row r="7" spans="1:14">
      <c r="A7" t="s">
        <v>1085</v>
      </c>
      <c r="B7" t="s">
        <v>152</v>
      </c>
      <c r="C7" t="s">
        <v>1095</v>
      </c>
      <c r="D7">
        <v>-1E-3</v>
      </c>
      <c r="J7" s="2" t="s">
        <v>1097</v>
      </c>
    </row>
    <row r="8" spans="1:14">
      <c r="A8" t="s">
        <v>1085</v>
      </c>
      <c r="B8" t="s">
        <v>1098</v>
      </c>
      <c r="C8" t="s">
        <v>1099</v>
      </c>
      <c r="D8">
        <v>1</v>
      </c>
      <c r="J8" s="2" t="s">
        <v>1100</v>
      </c>
    </row>
    <row r="9" spans="1:14">
      <c r="A9" t="s">
        <v>1085</v>
      </c>
      <c r="B9" t="s">
        <v>101</v>
      </c>
      <c r="C9" t="s">
        <v>1101</v>
      </c>
      <c r="D9">
        <f>0.001*H5</f>
        <v>1E-3</v>
      </c>
      <c r="J9" s="2" t="s">
        <v>1102</v>
      </c>
    </row>
    <row r="10" spans="1:14">
      <c r="A10" t="s">
        <v>1085</v>
      </c>
      <c r="B10" t="s">
        <v>1103</v>
      </c>
      <c r="C10" t="s">
        <v>1104</v>
      </c>
      <c r="D10">
        <f>D4</f>
        <v>1</v>
      </c>
      <c r="J10" s="2" t="s">
        <v>1105</v>
      </c>
      <c r="L10" t="s">
        <v>55</v>
      </c>
      <c r="M10" t="s">
        <v>1106</v>
      </c>
      <c r="N10">
        <f>947800*10^-9</f>
        <v>9.4780000000000005E-4</v>
      </c>
    </row>
    <row r="11" spans="1:14">
      <c r="A11" t="s">
        <v>1085</v>
      </c>
      <c r="B11" t="s">
        <v>1107</v>
      </c>
      <c r="C11" t="s">
        <v>1107</v>
      </c>
      <c r="D11">
        <v>1</v>
      </c>
      <c r="J11" s="2" t="s">
        <v>1108</v>
      </c>
    </row>
    <row r="12" spans="1:14">
      <c r="A12" t="s">
        <v>1085</v>
      </c>
      <c r="B12" t="s">
        <v>1109</v>
      </c>
      <c r="C12" t="s">
        <v>1109</v>
      </c>
      <c r="D12">
        <v>1</v>
      </c>
      <c r="J12" s="2" t="s">
        <v>1110</v>
      </c>
    </row>
    <row r="13" spans="1:14">
      <c r="A13" t="s">
        <v>1085</v>
      </c>
      <c r="B13" t="s">
        <v>1111</v>
      </c>
      <c r="C13" t="s">
        <v>1111</v>
      </c>
      <c r="D13">
        <v>1</v>
      </c>
      <c r="J13" s="8" t="s">
        <v>88</v>
      </c>
    </row>
    <row r="14" spans="1:14">
      <c r="A14" t="s">
        <v>1085</v>
      </c>
      <c r="B14" t="s">
        <v>1112</v>
      </c>
      <c r="C14" t="s">
        <v>1108</v>
      </c>
      <c r="D14">
        <v>1E-3</v>
      </c>
      <c r="J14" s="2" t="s">
        <v>1113</v>
      </c>
    </row>
    <row r="15" spans="1:14">
      <c r="A15" t="s">
        <v>1085</v>
      </c>
      <c r="B15" t="s">
        <v>169</v>
      </c>
      <c r="C15" t="s">
        <v>1114</v>
      </c>
      <c r="D15">
        <v>3.6</v>
      </c>
      <c r="J15" s="2" t="s">
        <v>1099</v>
      </c>
    </row>
    <row r="16" spans="1:14">
      <c r="A16" t="s">
        <v>1085</v>
      </c>
      <c r="B16" t="s">
        <v>1115</v>
      </c>
      <c r="C16" t="s">
        <v>1116</v>
      </c>
      <c r="D16">
        <f>D4</f>
        <v>1</v>
      </c>
      <c r="J16" s="2" t="s">
        <v>1117</v>
      </c>
    </row>
    <row r="17" spans="1:10">
      <c r="A17" t="s">
        <v>1085</v>
      </c>
      <c r="B17" t="s">
        <v>1118</v>
      </c>
      <c r="C17" t="s">
        <v>1119</v>
      </c>
      <c r="D17">
        <f>D9</f>
        <v>1E-3</v>
      </c>
      <c r="J17" s="2" t="s">
        <v>235</v>
      </c>
    </row>
    <row r="18" spans="1:10">
      <c r="A18" t="s">
        <v>1085</v>
      </c>
      <c r="B18" t="s">
        <v>66</v>
      </c>
      <c r="C18" t="s">
        <v>1120</v>
      </c>
      <c r="D18">
        <f>1/3.6</f>
        <v>0.27777777777777801</v>
      </c>
      <c r="J18" s="2" t="s">
        <v>1121</v>
      </c>
    </row>
    <row r="19" spans="1:10">
      <c r="A19" t="s">
        <v>1085</v>
      </c>
      <c r="B19" t="s">
        <v>1122</v>
      </c>
      <c r="C19" t="s">
        <v>55</v>
      </c>
      <c r="D19">
        <v>-1</v>
      </c>
      <c r="J19" s="2" t="s">
        <v>1123</v>
      </c>
    </row>
    <row r="20" spans="1:10">
      <c r="A20" t="s">
        <v>1085</v>
      </c>
      <c r="B20" t="s">
        <v>139</v>
      </c>
      <c r="C20" t="s">
        <v>88</v>
      </c>
      <c r="D20">
        <f>1/31.536</f>
        <v>3.1709791983764599E-2</v>
      </c>
      <c r="J20" s="2" t="s">
        <v>1092</v>
      </c>
    </row>
    <row r="21" spans="1:10">
      <c r="A21" t="s">
        <v>1085</v>
      </c>
      <c r="B21" t="s">
        <v>177</v>
      </c>
      <c r="C21" t="s">
        <v>1104</v>
      </c>
      <c r="D21">
        <v>-1000</v>
      </c>
      <c r="J21" s="2" t="s">
        <v>1124</v>
      </c>
    </row>
    <row r="22" spans="1:10">
      <c r="A22" t="s">
        <v>1085</v>
      </c>
      <c r="B22" t="s">
        <v>178</v>
      </c>
      <c r="C22" t="s">
        <v>1125</v>
      </c>
      <c r="D22">
        <v>1E-3</v>
      </c>
      <c r="J22" s="2" t="s">
        <v>1095</v>
      </c>
    </row>
    <row r="23" spans="1:10">
      <c r="A23" t="s">
        <v>1085</v>
      </c>
      <c r="B23" t="s">
        <v>252</v>
      </c>
      <c r="C23" t="s">
        <v>255</v>
      </c>
      <c r="D23">
        <f>1/31.536</f>
        <v>3.1709791983764599E-2</v>
      </c>
      <c r="G23" s="6" t="s">
        <v>1126</v>
      </c>
      <c r="J23" s="2" t="s">
        <v>1127</v>
      </c>
    </row>
    <row r="24" spans="1:10">
      <c r="A24" t="s">
        <v>1085</v>
      </c>
      <c r="B24" t="s">
        <v>257</v>
      </c>
      <c r="C24" t="s">
        <v>1128</v>
      </c>
      <c r="D24">
        <f>3.6</f>
        <v>3.6</v>
      </c>
      <c r="G24" s="6" t="s">
        <v>1129</v>
      </c>
      <c r="J24" s="2" t="s">
        <v>1130</v>
      </c>
    </row>
    <row r="25" spans="1:10">
      <c r="A25" t="s">
        <v>1085</v>
      </c>
      <c r="B25" t="s">
        <v>264</v>
      </c>
      <c r="C25" t="s">
        <v>1131</v>
      </c>
      <c r="D25">
        <v>1E-3</v>
      </c>
      <c r="J25" s="2" t="s">
        <v>1132</v>
      </c>
    </row>
    <row r="26" spans="1:10">
      <c r="A26" t="s">
        <v>1085</v>
      </c>
      <c r="B26" t="s">
        <v>266</v>
      </c>
      <c r="C26" t="s">
        <v>1133</v>
      </c>
      <c r="D26">
        <v>1E-3</v>
      </c>
      <c r="J26" s="2" t="s">
        <v>1134</v>
      </c>
    </row>
    <row r="27" spans="1:10">
      <c r="A27" t="s">
        <v>1085</v>
      </c>
      <c r="B27" t="s">
        <v>1135</v>
      </c>
      <c r="C27" t="s">
        <v>1136</v>
      </c>
      <c r="D27">
        <v>6.1</v>
      </c>
      <c r="J27" s="2" t="s">
        <v>1107</v>
      </c>
    </row>
    <row r="28" spans="1:10">
      <c r="A28" t="s">
        <v>1085</v>
      </c>
      <c r="B28" t="s">
        <v>175</v>
      </c>
      <c r="C28" t="s">
        <v>1137</v>
      </c>
      <c r="D28">
        <v>1.0549999999999999</v>
      </c>
      <c r="J28" s="2" t="s">
        <v>1109</v>
      </c>
    </row>
    <row r="29" spans="1:10">
      <c r="A29" t="s">
        <v>1085</v>
      </c>
      <c r="B29" t="s">
        <v>171</v>
      </c>
      <c r="C29" t="s">
        <v>1138</v>
      </c>
      <c r="D29">
        <f>120/1000</f>
        <v>0.12</v>
      </c>
      <c r="J29" s="2" t="s">
        <v>1139</v>
      </c>
    </row>
    <row r="30" spans="1:10">
      <c r="A30" t="s">
        <v>1085</v>
      </c>
      <c r="B30" t="s">
        <v>72</v>
      </c>
      <c r="C30" t="s">
        <v>1120</v>
      </c>
      <c r="D30">
        <f>-1/3.6</f>
        <v>-0.27777777777777801</v>
      </c>
      <c r="J30" s="2" t="s">
        <v>1140</v>
      </c>
    </row>
    <row r="31" spans="1:10">
      <c r="A31" t="s">
        <v>1085</v>
      </c>
      <c r="B31" t="s">
        <v>214</v>
      </c>
      <c r="C31" t="s">
        <v>205</v>
      </c>
      <c r="D31">
        <v>-1</v>
      </c>
      <c r="J31" s="2" t="s">
        <v>1141</v>
      </c>
    </row>
    <row r="32" spans="1:10">
      <c r="A32" t="s">
        <v>1085</v>
      </c>
      <c r="B32" t="s">
        <v>1149</v>
      </c>
      <c r="C32" t="s">
        <v>255</v>
      </c>
      <c r="D32">
        <f>1/8.76</f>
        <v>0.11415525114155252</v>
      </c>
      <c r="J32" s="2" t="s">
        <v>1111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29891-7D93-4FAE-B305-4FD542A519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TS_Defs repUCs</vt:lpstr>
      <vt:lpstr>TS_ratios</vt:lpstr>
      <vt:lpstr>PSET_Map</vt:lpstr>
      <vt:lpstr>CSET_Map</vt:lpstr>
      <vt:lpstr>cname_map</vt:lpstr>
      <vt:lpstr>pname_map</vt:lpstr>
      <vt:lpstr>varbl map</vt:lpstr>
      <vt:lpstr>process map</vt:lpstr>
      <vt:lpstr>commodity map</vt:lpstr>
      <vt:lpstr>UnitConv_TIAM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2011-02-22T06:05:00Z</dcterms:created>
  <dcterms:modified xsi:type="dcterms:W3CDTF">2026-07-08T08:56:05Z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509090593767424</vt:r8>
  </property>
  <property fmtid="{D5CDD505-2E9C-101B-9397-08002B2CF9AE}" pid="3" name="{A44787D4-0540-4523-9961-78E4036D8C6D}">
    <vt:lpwstr>{1445FEDD-6E3D-4D61-B9ED-39A5E9973A5F}</vt:lpwstr>
  </property>
  <property fmtid="{D5CDD505-2E9C-101B-9397-08002B2CF9AE}" pid="4" name="ICV">
    <vt:lpwstr>8790DFB8EE1945AC94ED96C9916465C1_13</vt:lpwstr>
  </property>
  <property fmtid="{D5CDD505-2E9C-101B-9397-08002B2CF9AE}" pid="5" name="KSOProductBuildVer">
    <vt:lpwstr>1033-12.2.0.22549</vt:lpwstr>
  </property>
</Properties>
</file>