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<sst xmlns="http://schemas.openxmlformats.org/spreadsheetml/2006/main" count="1167" uniqueCount="190">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</sst>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6">
    <xf numFmtId="0" fontId="0" fillId="0" borderId="0" xfId="0"/>
    <xf numFmtId="0" fontId="0" fillId="2" borderId="0" xfId="49" applyFill="1"/>
    <xf numFmtId="0" fontId="0" fillId="2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3" borderId="0" xfId="49" applyFill="1"/>
    <xf numFmtId="0" fontId="3" fillId="3" borderId="0" xfId="0" applyFont="1" applyFill="1"/>
    <xf numFmtId="0" fontId="4" fillId="3" borderId="0" xfId="49" applyFont="1" applyFill="1"/>
    <xf numFmtId="0" fontId="4" fillId="2" borderId="0" xfId="0" applyFont="1" applyFill="1"/>
    <xf numFmtId="0" fontId="0" fillId="4" borderId="0" xfId="0" applyFill="1"/>
    <xf numFmtId="0" fontId="0" fillId="5" borderId="1" xfId="49" applyFill="1" applyBorder="1"/>
    <xf numFmtId="179" fontId="0" fillId="5" borderId="1" xfId="49" applyNumberFormat="1" applyFill="1" applyBorder="1"/>
    <xf numFmtId="0" fontId="0" fillId="5" borderId="2" xfId="49" applyFill="1" applyBorder="1"/>
    <xf numFmtId="0" fontId="5" fillId="2" borderId="0" xfId="0" applyFont="1" applyFill="1"/>
    <xf numFmtId="0" fontId="6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0" borderId="1" xfId="49" applyBorder="1"/>
    <xf numFmtId="0" fontId="3" fillId="0" borderId="0" xfId="0" applyFont="1"/>
    <xf numFmtId="0" fontId="4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5" customWidth="1"/>
    <col min="2" max="2" width="8.86363636363636" style="25" customWidth="1"/>
    <col min="3" max="3" width="4.72727272727273" style="25" customWidth="1"/>
    <col min="4" max="4" width="8.86363636363636" style="25" customWidth="1"/>
    <col min="5" max="5" width="4.4" style="25" customWidth="1"/>
    <col min="6" max="6" width="4.26363636363636" style="25" customWidth="1"/>
    <col min="7" max="7" width="4.4" style="25" customWidth="1"/>
    <col min="8" max="8" width="4.6" style="25" customWidth="1"/>
    <col min="9" max="9" width="4" style="25" customWidth="1"/>
    <col min="10" max="10" width="4.4" style="25" customWidth="1"/>
    <col min="11" max="11" width="4.6" style="25" customWidth="1"/>
    <col min="12" max="12" width="4.4" style="25" customWidth="1"/>
    <col min="13" max="13" width="4" style="25" customWidth="1"/>
    <col min="14" max="14" width="4.26363636363636" style="25" customWidth="1"/>
    <col min="15" max="16" width="4.4" style="25" customWidth="1"/>
    <col min="17" max="18" width="4.6" style="25" customWidth="1"/>
    <col min="19" max="19" width="4.4" style="25" customWidth="1"/>
    <col min="20" max="20" width="5" style="25" customWidth="1"/>
    <col min="21" max="21" width="11.7272727272727" style="25" customWidth="1"/>
    <col min="22" max="22" width="10.7272727272727" style="25" customWidth="1"/>
    <col min="23" max="23" width="13.1363636363636" style="25" customWidth="1"/>
    <col min="24" max="259" width="11.4" style="25" customWidth="1"/>
    <col min="260" max="16384" width="9.13636363636364" style="25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69" zoomScaleNormal="69" topLeftCell="G33" workbookViewId="0">
      <selection activeCell="O76" sqref="O76"/>
    </sheetView>
  </sheetViews>
  <sheetFormatPr defaultColWidth="9" defaultRowHeight="12.5"/>
  <cols>
    <col min="2" max="2" width="21.4" customWidth="1"/>
    <col min="3" max="3" width="12.7272727272727" customWidth="1"/>
    <col min="4" max="5" width="22.0636363636364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5272727272727" customWidth="1"/>
    <col min="13" max="18" width="7.13636363636364" customWidth="1"/>
    <col min="19" max="19" width="12.7272727272727" customWidth="1"/>
    <col min="20" max="20" width="8.6" customWidth="1"/>
    <col min="21" max="21" width="7.8" customWidth="1"/>
    <col min="22" max="24" width="7.13636363636364" customWidth="1"/>
    <col min="25" max="25" width="9.52727272727273" customWidth="1"/>
    <col min="26" max="26" width="17.9272727272727" customWidth="1"/>
    <col min="27" max="27" width="9.92727272727273" customWidth="1"/>
    <col min="28" max="33" width="7.13636363636364" customWidth="1"/>
    <col min="34" max="37" width="6" customWidth="1"/>
    <col min="38" max="39" width="15.5272727272727" customWidth="1"/>
    <col min="40" max="40" width="22.6" customWidth="1"/>
    <col min="41" max="41" width="13.6" customWidth="1"/>
    <col min="42" max="43" width="6" customWidth="1"/>
    <col min="44" max="44" width="8.46363636363636" customWidth="1"/>
    <col min="45" max="45" width="10.3363636363636" customWidth="1"/>
    <col min="46" max="49" width="6" customWidth="1"/>
    <col min="50" max="50" width="12.2636363636364" customWidth="1"/>
    <col min="51" max="51" width="13.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7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26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3"/>
    </row>
    <row r="63" spans="8:53">
      <c r="H63" s="3"/>
      <c r="BA63" s="2"/>
    </row>
    <row r="65" s="1" customFormat="1" spans="1:106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="2" customFormat="1" spans="2:106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="2" customFormat="1" ht="14.5" spans="2:106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="2" customFormat="1" ht="14.5" spans="2:106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="2" customFormat="1" ht="14.5" spans="2:106">
      <c r="B69" s="10" t="s">
        <v>125</v>
      </c>
      <c r="C69" s="8" t="s">
        <v>68</v>
      </c>
      <c r="D69" s="9" t="s">
        <v>126</v>
      </c>
      <c r="E69" s="9" t="s">
        <v>129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125</v>
      </c>
      <c r="CX69" t="s">
        <v>68</v>
      </c>
      <c r="CY69" s="3" t="s">
        <v>126</v>
      </c>
      <c r="CZ69" s="3" t="s">
        <v>129</v>
      </c>
      <c r="DA69" s="24">
        <v>0</v>
      </c>
      <c r="DB69" s="24">
        <v>5</v>
      </c>
    </row>
    <row r="70" s="2" customFormat="1" ht="14.5" spans="2:106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M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ref="N70:AM70" si="9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="2" customFormat="1" ht="14.5" spans="2:106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>
        <v>41500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>
        <v>3650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="2" customFormat="1" ht="14.5" spans="2:106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="1" customFormat="1" ht="14.5" spans="1:106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="3" customFormat="1"/>
    <row r="75" s="3" customFormat="1" spans="5:5">
      <c r="E75" s="3" t="s">
        <v>134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8" spans="2:2">
      <c r="B88" t="s">
        <v>135</v>
      </c>
    </row>
    <row r="91" spans="8:12">
      <c r="H91" s="3"/>
      <c r="I91" s="3"/>
      <c r="J91" s="3"/>
      <c r="K91" s="3"/>
      <c r="L91" s="3"/>
    </row>
    <row r="92" spans="4:12">
      <c r="D92" s="3"/>
      <c r="H92" s="3"/>
      <c r="I92" s="3"/>
      <c r="J92" s="3"/>
      <c r="K92" s="3"/>
      <c r="L92" s="3"/>
    </row>
    <row r="93" spans="3:12">
      <c r="C93" s="3"/>
      <c r="D93" s="3"/>
      <c r="F93" s="3"/>
      <c r="H93" s="3"/>
      <c r="I93" s="3"/>
      <c r="J93" s="3"/>
      <c r="K93" s="3"/>
      <c r="L93" s="3"/>
    </row>
    <row r="94" spans="3:12">
      <c r="C94" s="3"/>
      <c r="D94" s="3"/>
      <c r="H94" s="3"/>
      <c r="I94" s="3"/>
      <c r="J94" s="3"/>
      <c r="K94" s="3"/>
      <c r="L94" s="3"/>
    </row>
    <row r="95" spans="3:12">
      <c r="C95" s="3"/>
      <c r="D95" s="3"/>
      <c r="F95" s="3"/>
      <c r="H95" s="3"/>
      <c r="I95" s="3"/>
      <c r="J95" s="3"/>
      <c r="K95" s="3"/>
      <c r="L95" s="3"/>
    </row>
    <row r="96" spans="3:12">
      <c r="C96" s="3"/>
      <c r="D96" s="3"/>
      <c r="H96" s="3"/>
      <c r="I96" s="3"/>
      <c r="J96" s="3"/>
      <c r="K96" s="3"/>
      <c r="L96" s="3"/>
    </row>
    <row r="97" spans="3:12">
      <c r="C97" s="3"/>
      <c r="D97" s="3"/>
      <c r="F97" s="3"/>
      <c r="H97" s="3"/>
      <c r="I97" s="3"/>
      <c r="J97" s="3"/>
      <c r="K97" s="3"/>
      <c r="L97" s="3"/>
    </row>
    <row r="98" spans="3:12">
      <c r="C98" s="3"/>
      <c r="D98" s="3"/>
      <c r="H98" s="3"/>
      <c r="I98" s="3"/>
      <c r="J98" s="3"/>
      <c r="K98" s="3"/>
      <c r="L98" s="3"/>
    </row>
    <row r="99" spans="3:6">
      <c r="C99" s="3"/>
      <c r="F99" s="3"/>
    </row>
    <row r="100" spans="3:4">
      <c r="C100" s="3"/>
      <c r="D100" s="3"/>
    </row>
    <row r="101" spans="3:7">
      <c r="C101" s="3"/>
      <c r="D101" s="14"/>
      <c r="E101" s="14"/>
      <c r="F101" s="14"/>
      <c r="G101" s="14"/>
    </row>
    <row r="102" spans="3:26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7.11384396954065</v>
      </c>
      <c r="F104" s="15">
        <v>5.40179852616065</v>
      </c>
      <c r="G104" s="15">
        <v>8.85540744288872</v>
      </c>
      <c r="L104">
        <v>2050</v>
      </c>
      <c r="M104" s="3" t="s">
        <v>136</v>
      </c>
      <c r="N104" s="14" t="s">
        <v>137</v>
      </c>
      <c r="O104" s="14">
        <f>E104*0.313</f>
        <v>2.22663316246622</v>
      </c>
      <c r="P104" s="14">
        <f>F104*0.313</f>
        <v>1.69076293868828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7.11384396954065</v>
      </c>
      <c r="F105" s="15">
        <v>5.40179852616065</v>
      </c>
      <c r="G105" s="15">
        <v>8.85540744288872</v>
      </c>
      <c r="L105">
        <v>2050</v>
      </c>
      <c r="M105" s="3" t="s">
        <v>136</v>
      </c>
      <c r="N105" s="14" t="s">
        <v>138</v>
      </c>
      <c r="O105" s="14">
        <f t="shared" ref="O105:O124" si="16">E105*0.313</f>
        <v>2.22663316246622</v>
      </c>
      <c r="P105" s="14">
        <f t="shared" ref="P105:P124" si="17">F105*0.313</f>
        <v>1.69076293868828</v>
      </c>
      <c r="Q105" s="14">
        <f t="shared" ref="Q105:Q124" si="18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</v>
      </c>
      <c r="F106" s="15">
        <v>5.79354797347089</v>
      </c>
      <c r="G106" s="15">
        <v>9.49761967575534</v>
      </c>
      <c r="L106">
        <v>2050</v>
      </c>
      <c r="M106" s="3" t="s">
        <v>136</v>
      </c>
      <c r="N106" s="14" t="s">
        <v>139</v>
      </c>
      <c r="O106" s="14">
        <f t="shared" si="16"/>
        <v>2.38811314546794</v>
      </c>
      <c r="P106" s="14">
        <f t="shared" si="17"/>
        <v>1.81338051569639</v>
      </c>
      <c r="Q106" s="14">
        <f t="shared" si="18"/>
        <v>2.97275495851142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7.47097081798084</v>
      </c>
      <c r="F107" s="15">
        <v>5.67297781871776</v>
      </c>
      <c r="G107" s="15">
        <v>9.29996366985999</v>
      </c>
      <c r="L107">
        <v>2050</v>
      </c>
      <c r="M107" s="3" t="s">
        <v>136</v>
      </c>
      <c r="N107" s="14" t="s">
        <v>140</v>
      </c>
      <c r="O107" s="14">
        <f t="shared" si="16"/>
        <v>2.338413866028</v>
      </c>
      <c r="P107" s="14">
        <f t="shared" si="17"/>
        <v>1.77564205725866</v>
      </c>
      <c r="Q107" s="14">
        <f t="shared" si="18"/>
        <v>2.91088862866618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7.51643520019651</v>
      </c>
      <c r="F108" s="15">
        <v>5.70750058953574</v>
      </c>
      <c r="G108" s="15">
        <v>9.35655836403832</v>
      </c>
      <c r="L108">
        <v>2050</v>
      </c>
      <c r="M108" s="3" t="s">
        <v>136</v>
      </c>
      <c r="N108" s="14" t="s">
        <v>141</v>
      </c>
      <c r="O108" s="14">
        <f t="shared" si="16"/>
        <v>2.35264421766151</v>
      </c>
      <c r="P108" s="14">
        <f t="shared" si="17"/>
        <v>1.78644768452469</v>
      </c>
      <c r="Q108" s="14">
        <f t="shared" si="18"/>
        <v>2.92860276794399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5.73326293294031</v>
      </c>
      <c r="G109" s="15">
        <v>9.39879167280766</v>
      </c>
      <c r="L109">
        <v>2050</v>
      </c>
      <c r="M109" s="3" t="s">
        <v>136</v>
      </c>
      <c r="N109" s="14" t="s">
        <v>142</v>
      </c>
      <c r="O109" s="14">
        <f t="shared" si="16"/>
        <v>2.36326350574797</v>
      </c>
      <c r="P109" s="14">
        <f t="shared" si="17"/>
        <v>1.79451129801032</v>
      </c>
      <c r="Q109" s="14">
        <f t="shared" si="18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</v>
      </c>
      <c r="F110" s="15">
        <v>5.79354797347089</v>
      </c>
      <c r="G110" s="15">
        <v>9.49761967575534</v>
      </c>
      <c r="L110">
        <v>2050</v>
      </c>
      <c r="M110" s="3" t="s">
        <v>136</v>
      </c>
      <c r="N110" s="14" t="s">
        <v>143</v>
      </c>
      <c r="O110" s="14">
        <f t="shared" si="16"/>
        <v>2.38811314546794</v>
      </c>
      <c r="P110" s="14">
        <f t="shared" si="17"/>
        <v>1.81338051569639</v>
      </c>
      <c r="Q110" s="14">
        <f t="shared" si="18"/>
        <v>2.97275495851142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</v>
      </c>
      <c r="F111" s="15">
        <v>3.17694532056006</v>
      </c>
      <c r="G111" s="15">
        <v>5.20810707442889</v>
      </c>
      <c r="L111">
        <v>2050</v>
      </c>
      <c r="M111" s="3" t="s">
        <v>136</v>
      </c>
      <c r="N111" s="14" t="s">
        <v>144</v>
      </c>
      <c r="O111" s="14">
        <f t="shared" si="16"/>
        <v>1.3095438006141</v>
      </c>
      <c r="P111" s="14">
        <f t="shared" si="17"/>
        <v>0.994383885335299</v>
      </c>
      <c r="Q111" s="14">
        <f t="shared" si="18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</v>
      </c>
      <c r="F112" s="15">
        <v>3.17694532056006</v>
      </c>
      <c r="G112" s="15">
        <v>5.20810707442889</v>
      </c>
      <c r="L112">
        <v>2050</v>
      </c>
      <c r="M112" s="3" t="s">
        <v>136</v>
      </c>
      <c r="N112" s="14" t="s">
        <v>145</v>
      </c>
      <c r="O112" s="14">
        <f t="shared" si="16"/>
        <v>1.3095438006141</v>
      </c>
      <c r="P112" s="14">
        <f t="shared" si="17"/>
        <v>0.994383885335299</v>
      </c>
      <c r="Q112" s="14">
        <f t="shared" si="18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</v>
      </c>
      <c r="F113" s="15">
        <v>3.17694532056006</v>
      </c>
      <c r="G113" s="15">
        <v>5.20810707442889</v>
      </c>
      <c r="L113">
        <v>2050</v>
      </c>
      <c r="M113" s="3" t="s">
        <v>136</v>
      </c>
      <c r="N113" s="14" t="s">
        <v>146</v>
      </c>
      <c r="O113" s="14">
        <f t="shared" si="16"/>
        <v>1.3095438006141</v>
      </c>
      <c r="P113" s="14">
        <f t="shared" si="17"/>
        <v>0.994383885335299</v>
      </c>
      <c r="Q113" s="14">
        <f t="shared" si="18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</v>
      </c>
      <c r="F114" s="15">
        <v>3.17694532056006</v>
      </c>
      <c r="G114" s="15">
        <v>5.20810707442889</v>
      </c>
      <c r="L114">
        <v>2050</v>
      </c>
      <c r="M114" s="3" t="s">
        <v>136</v>
      </c>
      <c r="N114" s="14" t="s">
        <v>147</v>
      </c>
      <c r="O114" s="14">
        <f t="shared" si="16"/>
        <v>1.3095438006141</v>
      </c>
      <c r="P114" s="14">
        <f t="shared" si="17"/>
        <v>0.994383885335299</v>
      </c>
      <c r="Q114" s="14">
        <f t="shared" si="18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</v>
      </c>
      <c r="F115" s="15">
        <v>3.17694532056006</v>
      </c>
      <c r="G115" s="15">
        <v>5.20810707442889</v>
      </c>
      <c r="L115">
        <v>2050</v>
      </c>
      <c r="M115" s="3" t="s">
        <v>136</v>
      </c>
      <c r="N115" s="14" t="s">
        <v>148</v>
      </c>
      <c r="O115" s="14">
        <f t="shared" si="16"/>
        <v>1.3095438006141</v>
      </c>
      <c r="P115" s="14">
        <f t="shared" si="17"/>
        <v>0.994383885335299</v>
      </c>
      <c r="Q115" s="14">
        <f t="shared" si="18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</v>
      </c>
      <c r="F116" s="15">
        <v>3.17694532056006</v>
      </c>
      <c r="G116" s="15">
        <v>5.20810707442889</v>
      </c>
      <c r="L116">
        <v>2050</v>
      </c>
      <c r="M116" s="3" t="s">
        <v>136</v>
      </c>
      <c r="N116" s="14" t="s">
        <v>149</v>
      </c>
      <c r="O116" s="14">
        <f t="shared" si="16"/>
        <v>1.3095438006141</v>
      </c>
      <c r="P116" s="14">
        <f t="shared" si="17"/>
        <v>0.994383885335299</v>
      </c>
      <c r="Q116" s="14">
        <f t="shared" si="18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</v>
      </c>
      <c r="F117" s="15">
        <v>3.17694532056006</v>
      </c>
      <c r="G117" s="15">
        <v>5.20810707442889</v>
      </c>
      <c r="L117">
        <v>2050</v>
      </c>
      <c r="M117" s="3" t="s">
        <v>136</v>
      </c>
      <c r="N117" s="14" t="s">
        <v>150</v>
      </c>
      <c r="O117" s="14">
        <f t="shared" si="16"/>
        <v>1.3095438006141</v>
      </c>
      <c r="P117" s="14">
        <f t="shared" si="17"/>
        <v>0.994383885335299</v>
      </c>
      <c r="Q117" s="14">
        <f t="shared" si="18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</v>
      </c>
      <c r="F118" s="15">
        <v>2.70746042741341</v>
      </c>
      <c r="G118" s="15">
        <v>4.4384597641857</v>
      </c>
      <c r="L118">
        <v>2050</v>
      </c>
      <c r="M118" s="3" t="s">
        <v>136</v>
      </c>
      <c r="N118" s="14" t="s">
        <v>151</v>
      </c>
      <c r="O118" s="14">
        <f t="shared" si="16"/>
        <v>1.1160211134365</v>
      </c>
      <c r="P118" s="14">
        <f t="shared" si="17"/>
        <v>0.847435113780397</v>
      </c>
      <c r="Q118" s="14">
        <f t="shared" si="18"/>
        <v>1.38923790619012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</v>
      </c>
      <c r="F119" s="15">
        <v>2.73427597641857</v>
      </c>
      <c r="G119" s="15">
        <v>4.48241960206338</v>
      </c>
      <c r="L119">
        <v>2050</v>
      </c>
      <c r="M119" s="3" t="s">
        <v>136</v>
      </c>
      <c r="N119" s="14" t="s">
        <v>152</v>
      </c>
      <c r="O119" s="14">
        <f t="shared" si="16"/>
        <v>1.1270745266028</v>
      </c>
      <c r="P119" s="14">
        <f t="shared" si="17"/>
        <v>0.855828380619012</v>
      </c>
      <c r="Q119" s="14">
        <f t="shared" si="18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</v>
      </c>
      <c r="F120" s="15">
        <v>2.70746042741341</v>
      </c>
      <c r="G120" s="15">
        <v>4.4384597641857</v>
      </c>
      <c r="L120">
        <v>2050</v>
      </c>
      <c r="M120" s="3" t="s">
        <v>136</v>
      </c>
      <c r="N120" s="14" t="s">
        <v>153</v>
      </c>
      <c r="O120" s="14">
        <f t="shared" si="16"/>
        <v>1.1160211134365</v>
      </c>
      <c r="P120" s="14">
        <f t="shared" si="17"/>
        <v>0.847435113780397</v>
      </c>
      <c r="Q120" s="14">
        <f t="shared" si="18"/>
        <v>1.38923790619012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4.43956890198968</v>
      </c>
      <c r="L121">
        <v>2050</v>
      </c>
      <c r="M121" s="3" t="s">
        <v>136</v>
      </c>
      <c r="N121" s="14" t="s">
        <v>154</v>
      </c>
      <c r="O121" s="14">
        <f t="shared" si="16"/>
        <v>1.11630000712356</v>
      </c>
      <c r="P121" s="14">
        <f t="shared" si="17"/>
        <v>0.847646901989683</v>
      </c>
      <c r="Q121" s="14">
        <f t="shared" si="18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</v>
      </c>
      <c r="F122" s="15">
        <v>2.70768592483419</v>
      </c>
      <c r="G122" s="15">
        <v>4.43882940309506</v>
      </c>
      <c r="L122">
        <v>2050</v>
      </c>
      <c r="M122" s="3" t="s">
        <v>136</v>
      </c>
      <c r="N122" s="14" t="s">
        <v>155</v>
      </c>
      <c r="O122" s="14">
        <f t="shared" si="16"/>
        <v>1.11611406005895</v>
      </c>
      <c r="P122" s="14">
        <f t="shared" si="17"/>
        <v>0.847505694473101</v>
      </c>
      <c r="Q122" s="14">
        <f t="shared" si="18"/>
        <v>1.38935360316875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</v>
      </c>
      <c r="F123" s="15">
        <v>2.70746042741341</v>
      </c>
      <c r="G123" s="15">
        <v>4.4384597641857</v>
      </c>
      <c r="L123">
        <v>2050</v>
      </c>
      <c r="M123" s="3" t="s">
        <v>136</v>
      </c>
      <c r="N123" s="14" t="s">
        <v>156</v>
      </c>
      <c r="O123" s="14">
        <f t="shared" si="16"/>
        <v>1.1160211134365</v>
      </c>
      <c r="P123" s="14">
        <f t="shared" si="17"/>
        <v>0.847435113780397</v>
      </c>
      <c r="Q123" s="14">
        <f t="shared" si="18"/>
        <v>1.38923790619012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</v>
      </c>
      <c r="F124" s="15">
        <v>2.70700957995578</v>
      </c>
      <c r="G124" s="15">
        <v>4.43772063375092</v>
      </c>
      <c r="L124">
        <v>2050</v>
      </c>
      <c r="M124" s="3" t="s">
        <v>136</v>
      </c>
      <c r="N124" s="16" t="s">
        <v>157</v>
      </c>
      <c r="O124" s="14">
        <f t="shared" si="16"/>
        <v>1.11583526632277</v>
      </c>
      <c r="P124" s="14">
        <f t="shared" si="17"/>
        <v>0.847293998526159</v>
      </c>
      <c r="Q124" s="14">
        <f t="shared" si="18"/>
        <v>1.38900655836404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2025-04-11T00:32:07Z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1033-12.2.0.20782</vt:lpwstr>
  </property>
</Properties>
</file>